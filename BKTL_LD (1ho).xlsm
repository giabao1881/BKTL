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otg10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7" i="1" l="1"/>
  <c r="J151" i="1" l="1"/>
  <c r="K151" i="1" l="1"/>
  <c r="E5" i="1"/>
  <c r="H5" i="1"/>
  <c r="B10" i="1" l="1"/>
  <c r="B9" i="1"/>
  <c r="C96" i="1" l="1"/>
  <c r="C104" i="1"/>
  <c r="C112" i="1"/>
  <c r="D112" i="1" s="1"/>
  <c r="C120" i="1"/>
  <c r="C128" i="1"/>
  <c r="D128" i="1" s="1"/>
  <c r="C136" i="1"/>
  <c r="D136" i="1" s="1"/>
  <c r="C144" i="1"/>
  <c r="D144" i="1" s="1"/>
  <c r="C94" i="1"/>
  <c r="D94" i="1" s="1"/>
  <c r="C102" i="1"/>
  <c r="C110" i="1"/>
  <c r="C126" i="1"/>
  <c r="C134" i="1"/>
  <c r="D134" i="1" s="1"/>
  <c r="C142" i="1"/>
  <c r="C150" i="1"/>
  <c r="C97" i="1"/>
  <c r="D97" i="1" s="1"/>
  <c r="C105" i="1"/>
  <c r="C113" i="1"/>
  <c r="C121" i="1"/>
  <c r="C129" i="1"/>
  <c r="C137" i="1"/>
  <c r="C145" i="1"/>
  <c r="D145" i="1" s="1"/>
  <c r="C98" i="1"/>
  <c r="D98" i="1" s="1"/>
  <c r="C106" i="1"/>
  <c r="C114" i="1"/>
  <c r="C122" i="1"/>
  <c r="C130" i="1"/>
  <c r="C138" i="1"/>
  <c r="C146" i="1"/>
  <c r="C99" i="1"/>
  <c r="C107" i="1"/>
  <c r="D107" i="1" s="1"/>
  <c r="C115" i="1"/>
  <c r="D115" i="1" s="1"/>
  <c r="C123" i="1"/>
  <c r="D123" i="1" s="1"/>
  <c r="C131" i="1"/>
  <c r="C139" i="1"/>
  <c r="C147" i="1"/>
  <c r="C100" i="1"/>
  <c r="D100" i="1" s="1"/>
  <c r="C108" i="1"/>
  <c r="D108" i="1" s="1"/>
  <c r="C116" i="1"/>
  <c r="D116" i="1" s="1"/>
  <c r="C124" i="1"/>
  <c r="D124" i="1" s="1"/>
  <c r="C132" i="1"/>
  <c r="D132" i="1" s="1"/>
  <c r="C140" i="1"/>
  <c r="C148" i="1"/>
  <c r="C101" i="1"/>
  <c r="D101" i="1" s="1"/>
  <c r="C109" i="1"/>
  <c r="C117" i="1"/>
  <c r="C125" i="1"/>
  <c r="C133" i="1"/>
  <c r="C141" i="1"/>
  <c r="D141" i="1" s="1"/>
  <c r="C149" i="1"/>
  <c r="C118" i="1"/>
  <c r="C143" i="1"/>
  <c r="C95" i="1"/>
  <c r="C103" i="1"/>
  <c r="D103" i="1" s="1"/>
  <c r="C111" i="1"/>
  <c r="C119" i="1"/>
  <c r="D119" i="1" s="1"/>
  <c r="C127" i="1"/>
  <c r="C135" i="1"/>
  <c r="A103" i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D104" i="1"/>
  <c r="D110" i="1"/>
  <c r="D109" i="1"/>
  <c r="D117" i="1"/>
  <c r="D125" i="1"/>
  <c r="D133" i="1"/>
  <c r="D149" i="1"/>
  <c r="D140" i="1"/>
  <c r="D148" i="1"/>
  <c r="D127" i="1"/>
  <c r="D131" i="1"/>
  <c r="D139" i="1"/>
  <c r="D147" i="1"/>
  <c r="D129" i="1"/>
  <c r="D135" i="1"/>
  <c r="D143" i="1"/>
  <c r="D106" i="1"/>
  <c r="D114" i="1"/>
  <c r="D122" i="1"/>
  <c r="D130" i="1"/>
  <c r="D138" i="1"/>
  <c r="D146" i="1"/>
  <c r="D137" i="1"/>
  <c r="D120" i="1"/>
  <c r="D111" i="1"/>
  <c r="D105" i="1"/>
  <c r="D113" i="1"/>
  <c r="D121" i="1"/>
  <c r="D126" i="1"/>
  <c r="D118" i="1"/>
  <c r="D150" i="1"/>
  <c r="D142" i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D99" i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23" i="1"/>
  <c r="D23" i="1" s="1"/>
  <c r="C47" i="1"/>
  <c r="D47" i="1" s="1"/>
  <c r="C63" i="1"/>
  <c r="D63" i="1" s="1"/>
  <c r="C79" i="1"/>
  <c r="D79" i="1" s="1"/>
  <c r="D95" i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D102" i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D96" i="1"/>
  <c r="C50" i="1"/>
  <c r="D50" i="1" s="1"/>
  <c r="C74" i="1"/>
  <c r="D74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<sst xmlns="http://schemas.openxmlformats.org/spreadsheetml/2006/main" count="169" uniqueCount="70">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</sst>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dd/mm/yyyy"/>
  </numFmts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12" fillId="0" borderId="0" xfId="0" applyNumberFormat="1" applyFont="1"/>
    <xf numFmtId="168" fontId="0" fillId="0" borderId="4" xfId="0" applyNumberFormat="1" applyBorder="1"/>
    <xf numFmtId="168" fontId="0" fillId="0" borderId="0" xfId="0" applyNumberFormat="1"/>
    <xf numFmtId="4" fontId="0" fillId="0" borderId="0" xfId="0" applyNumberFormat="1"/>
    <xf numFmtId="168" fontId="15" fillId="5" borderId="4" xfId="0" applyNumberFormat="1" applyFont="1" applyFill="1" applyBorder="1"/>
    <xf numFmtId="168" fontId="15" fillId="0" borderId="0" xfId="0" applyNumberFormat="1" applyFont="1" applyFill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657573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1212648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201748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154663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433456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244618</xdr:colOff>
      <xdr:row>0</xdr:row>
      <xdr:rowOff>121230</xdr:rowOff>
    </xdr:from>
    <xdr:to>
      <xdr:col>5</xdr:col>
      <xdr:colOff>208068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216476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346362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305235</xdr:colOff>
      <xdr:row>0</xdr:row>
      <xdr:rowOff>112568</xdr:rowOff>
    </xdr:from>
    <xdr:to>
      <xdr:col>10</xdr:col>
      <xdr:colOff>595313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10</xdr:col>
      <xdr:colOff>584488</xdr:colOff>
      <xdr:row>0</xdr:row>
      <xdr:rowOff>129888</xdr:rowOff>
    </xdr:from>
    <xdr:to>
      <xdr:col>12</xdr:col>
      <xdr:colOff>649430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411307</xdr:colOff>
      <xdr:row>1</xdr:row>
      <xdr:rowOff>97415</xdr:rowOff>
    </xdr:from>
    <xdr:to>
      <xdr:col>22</xdr:col>
      <xdr:colOff>422132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zoomScaleNormal="100" workbookViewId="0">
      <selection activeCell="C150" sqref="C150"/>
    </sheetView>
  </sheetViews>
  <sheetFormatPr defaultColWidth="9.140625" defaultRowHeight="15" x14ac:dyDescent="0.25"/>
  <cols>
    <col min="1" max="1" width="12.85546875" style="1" customWidth="1"/>
    <col min="2" max="2" width="18.85546875" style="2" customWidth="1"/>
    <col min="3" max="3" width="12.140625" style="1" customWidth="1"/>
    <col min="4" max="4" width="14.28515625" style="1" customWidth="1"/>
    <col min="5" max="5" width="15.5703125" style="1" customWidth="1"/>
    <col min="6" max="6" width="9.140625" style="1" customWidth="1"/>
    <col min="7" max="7" width="13.28515625" style="1" customWidth="1"/>
    <col min="8" max="8" width="17.140625" style="1" customWidth="1"/>
    <col min="9" max="9" width="14.28515625" style="1" customWidth="1"/>
    <col min="10" max="10" width="13.140625" style="1" customWidth="1"/>
    <col min="11" max="11" width="12.7109375" style="1" customWidth="1"/>
    <col min="12" max="13" width="9.140625" style="1"/>
    <col min="14" max="14" width="9.7109375" style="1" bestFit="1" customWidth="1"/>
    <col min="15" max="16384" width="9.140625" style="1"/>
  </cols>
  <sheetData>
    <row r="1" spans="1:62" x14ac:dyDescent="0.25">
      <c r="A1" s="92" t="s">
        <v>23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62" x14ac:dyDescent="0.25">
      <c r="J2" s="3"/>
      <c r="K2" s="3"/>
    </row>
    <row r="3" spans="1:62" x14ac:dyDescent="0.25">
      <c r="A3" s="93" t="s">
        <v>0</v>
      </c>
      <c r="B3" s="94"/>
      <c r="C3" s="4"/>
      <c r="D3" s="4"/>
      <c r="E3"/>
      <c r="F3"/>
      <c r="H3"/>
      <c r="I3"/>
      <c r="J3" s="17"/>
      <c r="K3" s="6"/>
    </row>
    <row r="4" spans="1:62" x14ac:dyDescent="0.25">
      <c r="A4" s="16" t="s">
        <v>1</v>
      </c>
      <c r="B4" s="23"/>
      <c r="C4" s="4"/>
      <c r="D4" s="95" t="s">
        <v>25</v>
      </c>
      <c r="E4" s="96"/>
      <c r="G4" s="97" t="s">
        <v>24</v>
      </c>
      <c r="H4" s="98"/>
      <c r="I4" s="51" t="s">
        <v>26</v>
      </c>
      <c r="J4" s="15"/>
      <c r="K4" s="15"/>
    </row>
    <row r="5" spans="1:62" x14ac:dyDescent="0.25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25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25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25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25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25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25">
      <c r="E11"/>
      <c r="F11"/>
      <c r="G11"/>
      <c r="H11"/>
      <c r="J11" s="3"/>
      <c r="K11" s="3"/>
    </row>
    <row r="12" spans="1:62" ht="39" customHeight="1" x14ac:dyDescent="0.25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25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25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25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25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25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25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25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25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25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25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25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25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25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25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25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25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25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25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25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25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25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25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25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25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25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25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25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25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25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25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25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25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25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25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25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25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25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25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25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25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25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25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25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25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25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25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25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25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25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25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25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25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25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25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25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25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25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25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25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25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25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25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25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25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25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25">
      <c r="A78" s="45" t="str">
        <f t="shared" ref="A78:A102" si="7">IF(B78&gt;=$B$9,"QUÁ HẠN", "TRONG HẠN")</f>
        <v>QUÁ HẠN</v>
      </c>
      <c r="B78" s="34"/>
      <c r="C78" s="46">
        <f t="shared" ref="C78:C141" si="8">IFERROR(IF(B79="", $B$10, B79-1), $B$10)</f>
        <v>0</v>
      </c>
      <c r="D78" s="44">
        <f t="shared" ref="D78:D102" si="9">C78-B78+1</f>
        <v>1</v>
      </c>
      <c r="E78" s="35">
        <f t="shared" si="6"/>
        <v>0</v>
      </c>
      <c r="F78" s="39"/>
      <c r="G78" s="40">
        <f t="shared" ref="G78:G102" si="10">IF(A78="QUÁ HẠN", F78*1.5,"")</f>
        <v>0</v>
      </c>
      <c r="H78" s="22" t="str">
        <f t="shared" ref="H78:H102" si="11">IF(A78="TRONG HẠN",D78*E78*F78/365,"")</f>
        <v/>
      </c>
      <c r="I78" s="22">
        <f t="shared" ref="I78:I102" si="12">IF(A78="QUÁ HẠN",D78*E78*G78/365,"")</f>
        <v>0</v>
      </c>
      <c r="J78" s="35"/>
      <c r="K78" s="36"/>
      <c r="N78" s="12"/>
    </row>
    <row r="79" spans="1:14" x14ac:dyDescent="0.25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02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25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25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25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25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25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25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25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25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25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25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25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25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25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25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25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25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25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25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25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25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25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25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25">
      <c r="A102" s="45" t="str">
        <f t="shared" si="7"/>
        <v>QUÁ HẠN</v>
      </c>
      <c r="B102" s="34"/>
      <c r="C102" s="46">
        <f t="shared" si="8"/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25">
      <c r="A103" s="45" t="str">
        <f t="shared" ref="A103:A150" si="14">IF(B103&gt;=$B$9,"QUÁ HẠN", "TRONG HẠN")</f>
        <v>QUÁ HẠN</v>
      </c>
      <c r="B103" s="34"/>
      <c r="C103" s="46">
        <f t="shared" si="8"/>
        <v>0</v>
      </c>
      <c r="D103" s="44">
        <f t="shared" ref="D103:D150" si="15">C103-B103+1</f>
        <v>1</v>
      </c>
      <c r="E103" s="35">
        <f t="shared" ref="E103:E150" si="16">E102-J103</f>
        <v>0</v>
      </c>
      <c r="F103" s="39"/>
      <c r="G103" s="40">
        <f t="shared" ref="G103:G150" si="17">IF(A103="QUÁ HẠN", F103*1.5,"")</f>
        <v>0</v>
      </c>
      <c r="H103" s="22" t="str">
        <f t="shared" ref="H103:H150" si="18">IF(A103="TRONG HẠN",D103*E103*F103/365,"")</f>
        <v/>
      </c>
      <c r="I103" s="22">
        <f t="shared" ref="I103:I150" si="19">IF(A103="QUÁ HẠN",D103*E103*G103/365,"")</f>
        <v>0</v>
      </c>
      <c r="J103" s="35"/>
      <c r="K103" s="36"/>
      <c r="N103" s="12"/>
    </row>
    <row r="104" spans="1:14" x14ac:dyDescent="0.25">
      <c r="A104" s="45" t="str">
        <f t="shared" si="14"/>
        <v>QUÁ HẠN</v>
      </c>
      <c r="B104" s="34"/>
      <c r="C104" s="46">
        <f t="shared" si="8"/>
        <v>0</v>
      </c>
      <c r="D104" s="44">
        <f t="shared" si="15"/>
        <v>1</v>
      </c>
      <c r="E104" s="35">
        <f t="shared" si="16"/>
        <v>0</v>
      </c>
      <c r="F104" s="39"/>
      <c r="G104" s="40">
        <f t="shared" si="17"/>
        <v>0</v>
      </c>
      <c r="H104" s="22" t="str">
        <f t="shared" si="18"/>
        <v/>
      </c>
      <c r="I104" s="22">
        <f t="shared" si="19"/>
        <v>0</v>
      </c>
      <c r="J104" s="35"/>
      <c r="K104" s="36"/>
      <c r="N104" s="12"/>
    </row>
    <row r="105" spans="1:14" x14ac:dyDescent="0.25">
      <c r="A105" s="45" t="str">
        <f t="shared" si="14"/>
        <v>QUÁ HẠN</v>
      </c>
      <c r="B105" s="34"/>
      <c r="C105" s="46">
        <f t="shared" si="8"/>
        <v>0</v>
      </c>
      <c r="D105" s="44">
        <f t="shared" si="15"/>
        <v>1</v>
      </c>
      <c r="E105" s="35">
        <f t="shared" si="16"/>
        <v>0</v>
      </c>
      <c r="F105" s="39"/>
      <c r="G105" s="40">
        <f t="shared" si="17"/>
        <v>0</v>
      </c>
      <c r="H105" s="22" t="str">
        <f t="shared" si="18"/>
        <v/>
      </c>
      <c r="I105" s="22">
        <f t="shared" si="19"/>
        <v>0</v>
      </c>
      <c r="J105" s="35"/>
      <c r="K105" s="36"/>
      <c r="N105" s="12"/>
    </row>
    <row r="106" spans="1:14" x14ac:dyDescent="0.25">
      <c r="A106" s="45" t="str">
        <f t="shared" si="14"/>
        <v>QUÁ HẠN</v>
      </c>
      <c r="B106" s="34"/>
      <c r="C106" s="46">
        <f t="shared" si="8"/>
        <v>0</v>
      </c>
      <c r="D106" s="44">
        <f t="shared" si="15"/>
        <v>1</v>
      </c>
      <c r="E106" s="35">
        <f t="shared" si="16"/>
        <v>0</v>
      </c>
      <c r="F106" s="39"/>
      <c r="G106" s="40">
        <f t="shared" si="17"/>
        <v>0</v>
      </c>
      <c r="H106" s="22" t="str">
        <f t="shared" si="18"/>
        <v/>
      </c>
      <c r="I106" s="22">
        <f t="shared" si="19"/>
        <v>0</v>
      </c>
      <c r="J106" s="35"/>
      <c r="K106" s="36"/>
      <c r="N106" s="12"/>
    </row>
    <row r="107" spans="1:14" x14ac:dyDescent="0.25">
      <c r="A107" s="45" t="str">
        <f t="shared" si="14"/>
        <v>QUÁ HẠN</v>
      </c>
      <c r="B107" s="34"/>
      <c r="C107" s="46">
        <f t="shared" si="8"/>
        <v>0</v>
      </c>
      <c r="D107" s="44">
        <f t="shared" si="15"/>
        <v>1</v>
      </c>
      <c r="E107" s="35">
        <f t="shared" si="16"/>
        <v>0</v>
      </c>
      <c r="F107" s="39"/>
      <c r="G107" s="40">
        <f t="shared" si="17"/>
        <v>0</v>
      </c>
      <c r="H107" s="22" t="str">
        <f t="shared" si="18"/>
        <v/>
      </c>
      <c r="I107" s="22">
        <f t="shared" si="19"/>
        <v>0</v>
      </c>
      <c r="J107" s="35"/>
      <c r="K107" s="36"/>
      <c r="N107" s="12"/>
    </row>
    <row r="108" spans="1:14" x14ac:dyDescent="0.25">
      <c r="A108" s="45" t="str">
        <f t="shared" si="14"/>
        <v>QUÁ HẠN</v>
      </c>
      <c r="B108" s="34"/>
      <c r="C108" s="46">
        <f t="shared" si="8"/>
        <v>0</v>
      </c>
      <c r="D108" s="44">
        <f t="shared" si="15"/>
        <v>1</v>
      </c>
      <c r="E108" s="35">
        <f t="shared" si="16"/>
        <v>0</v>
      </c>
      <c r="F108" s="39"/>
      <c r="G108" s="40">
        <f t="shared" si="17"/>
        <v>0</v>
      </c>
      <c r="H108" s="22" t="str">
        <f t="shared" si="18"/>
        <v/>
      </c>
      <c r="I108" s="22">
        <f t="shared" si="19"/>
        <v>0</v>
      </c>
      <c r="J108" s="35"/>
      <c r="K108" s="36"/>
      <c r="N108" s="12"/>
    </row>
    <row r="109" spans="1:14" x14ac:dyDescent="0.25">
      <c r="A109" s="45" t="str">
        <f t="shared" si="14"/>
        <v>QUÁ HẠN</v>
      </c>
      <c r="B109" s="34"/>
      <c r="C109" s="46">
        <f t="shared" si="8"/>
        <v>0</v>
      </c>
      <c r="D109" s="44">
        <f t="shared" si="15"/>
        <v>1</v>
      </c>
      <c r="E109" s="35">
        <f t="shared" si="16"/>
        <v>0</v>
      </c>
      <c r="F109" s="39"/>
      <c r="G109" s="40">
        <f t="shared" si="17"/>
        <v>0</v>
      </c>
      <c r="H109" s="22" t="str">
        <f t="shared" si="18"/>
        <v/>
      </c>
      <c r="I109" s="22">
        <f t="shared" si="19"/>
        <v>0</v>
      </c>
      <c r="J109" s="35"/>
      <c r="K109" s="36"/>
      <c r="N109" s="12"/>
    </row>
    <row r="110" spans="1:14" x14ac:dyDescent="0.25">
      <c r="A110" s="45" t="str">
        <f t="shared" si="14"/>
        <v>QUÁ HẠN</v>
      </c>
      <c r="B110" s="34"/>
      <c r="C110" s="46">
        <f t="shared" si="8"/>
        <v>0</v>
      </c>
      <c r="D110" s="44">
        <f t="shared" si="15"/>
        <v>1</v>
      </c>
      <c r="E110" s="35">
        <f t="shared" si="16"/>
        <v>0</v>
      </c>
      <c r="F110" s="39"/>
      <c r="G110" s="40">
        <f t="shared" si="17"/>
        <v>0</v>
      </c>
      <c r="H110" s="22" t="str">
        <f t="shared" si="18"/>
        <v/>
      </c>
      <c r="I110" s="22">
        <f t="shared" si="19"/>
        <v>0</v>
      </c>
      <c r="J110" s="35"/>
      <c r="K110" s="36"/>
      <c r="N110" s="12"/>
    </row>
    <row r="111" spans="1:14" x14ac:dyDescent="0.25">
      <c r="A111" s="45" t="str">
        <f t="shared" si="14"/>
        <v>QUÁ HẠN</v>
      </c>
      <c r="B111" s="34"/>
      <c r="C111" s="46">
        <f t="shared" si="8"/>
        <v>0</v>
      </c>
      <c r="D111" s="44">
        <f t="shared" si="15"/>
        <v>1</v>
      </c>
      <c r="E111" s="35">
        <f t="shared" si="16"/>
        <v>0</v>
      </c>
      <c r="F111" s="39"/>
      <c r="G111" s="40">
        <f t="shared" si="17"/>
        <v>0</v>
      </c>
      <c r="H111" s="22" t="str">
        <f t="shared" si="18"/>
        <v/>
      </c>
      <c r="I111" s="22">
        <f t="shared" si="19"/>
        <v>0</v>
      </c>
      <c r="J111" s="35"/>
      <c r="K111" s="36"/>
      <c r="N111" s="12"/>
    </row>
    <row r="112" spans="1:14" x14ac:dyDescent="0.25">
      <c r="A112" s="45" t="str">
        <f t="shared" si="14"/>
        <v>QUÁ HẠN</v>
      </c>
      <c r="B112" s="34"/>
      <c r="C112" s="46">
        <f t="shared" si="8"/>
        <v>0</v>
      </c>
      <c r="D112" s="44">
        <f t="shared" si="15"/>
        <v>1</v>
      </c>
      <c r="E112" s="35">
        <f t="shared" si="16"/>
        <v>0</v>
      </c>
      <c r="F112" s="39"/>
      <c r="G112" s="40">
        <f t="shared" si="17"/>
        <v>0</v>
      </c>
      <c r="H112" s="22" t="str">
        <f t="shared" si="18"/>
        <v/>
      </c>
      <c r="I112" s="22">
        <f t="shared" si="19"/>
        <v>0</v>
      </c>
      <c r="J112" s="35"/>
      <c r="K112" s="36"/>
      <c r="N112" s="12"/>
    </row>
    <row r="113" spans="1:14" x14ac:dyDescent="0.25">
      <c r="A113" s="45" t="str">
        <f t="shared" si="14"/>
        <v>QUÁ HẠN</v>
      </c>
      <c r="B113" s="34"/>
      <c r="C113" s="46">
        <f t="shared" si="8"/>
        <v>0</v>
      </c>
      <c r="D113" s="44">
        <f t="shared" si="15"/>
        <v>1</v>
      </c>
      <c r="E113" s="35">
        <f t="shared" si="16"/>
        <v>0</v>
      </c>
      <c r="F113" s="39"/>
      <c r="G113" s="40">
        <f t="shared" si="17"/>
        <v>0</v>
      </c>
      <c r="H113" s="22" t="str">
        <f t="shared" si="18"/>
        <v/>
      </c>
      <c r="I113" s="22">
        <f t="shared" si="19"/>
        <v>0</v>
      </c>
      <c r="J113" s="35"/>
      <c r="K113" s="36"/>
      <c r="N113" s="12"/>
    </row>
    <row r="114" spans="1:14" x14ac:dyDescent="0.25">
      <c r="A114" s="45" t="str">
        <f t="shared" si="14"/>
        <v>QUÁ HẠN</v>
      </c>
      <c r="B114" s="34"/>
      <c r="C114" s="46">
        <f t="shared" si="8"/>
        <v>0</v>
      </c>
      <c r="D114" s="44">
        <f t="shared" si="15"/>
        <v>1</v>
      </c>
      <c r="E114" s="35">
        <f t="shared" si="16"/>
        <v>0</v>
      </c>
      <c r="F114" s="39"/>
      <c r="G114" s="40">
        <f t="shared" si="17"/>
        <v>0</v>
      </c>
      <c r="H114" s="22" t="str">
        <f t="shared" si="18"/>
        <v/>
      </c>
      <c r="I114" s="22">
        <f t="shared" si="19"/>
        <v>0</v>
      </c>
      <c r="J114" s="35"/>
      <c r="K114" s="36"/>
      <c r="N114" s="12"/>
    </row>
    <row r="115" spans="1:14" x14ac:dyDescent="0.25">
      <c r="A115" s="45" t="str">
        <f t="shared" si="14"/>
        <v>QUÁ HẠN</v>
      </c>
      <c r="B115" s="34"/>
      <c r="C115" s="46">
        <f t="shared" si="8"/>
        <v>0</v>
      </c>
      <c r="D115" s="44">
        <f t="shared" si="15"/>
        <v>1</v>
      </c>
      <c r="E115" s="35">
        <f t="shared" si="16"/>
        <v>0</v>
      </c>
      <c r="F115" s="39"/>
      <c r="G115" s="40">
        <f t="shared" si="17"/>
        <v>0</v>
      </c>
      <c r="H115" s="22" t="str">
        <f t="shared" si="18"/>
        <v/>
      </c>
      <c r="I115" s="22">
        <f t="shared" si="19"/>
        <v>0</v>
      </c>
      <c r="J115" s="35"/>
      <c r="K115" s="36"/>
      <c r="N115" s="12"/>
    </row>
    <row r="116" spans="1:14" x14ac:dyDescent="0.25">
      <c r="A116" s="45" t="str">
        <f t="shared" si="14"/>
        <v>QUÁ HẠN</v>
      </c>
      <c r="B116" s="34"/>
      <c r="C116" s="46">
        <f t="shared" si="8"/>
        <v>0</v>
      </c>
      <c r="D116" s="44">
        <f t="shared" si="15"/>
        <v>1</v>
      </c>
      <c r="E116" s="35">
        <f t="shared" si="16"/>
        <v>0</v>
      </c>
      <c r="F116" s="39"/>
      <c r="G116" s="40">
        <f t="shared" si="17"/>
        <v>0</v>
      </c>
      <c r="H116" s="22" t="str">
        <f t="shared" si="18"/>
        <v/>
      </c>
      <c r="I116" s="22">
        <f t="shared" si="19"/>
        <v>0</v>
      </c>
      <c r="J116" s="35"/>
      <c r="K116" s="36"/>
      <c r="N116" s="12"/>
    </row>
    <row r="117" spans="1:14" x14ac:dyDescent="0.25">
      <c r="A117" s="45" t="str">
        <f t="shared" si="14"/>
        <v>QUÁ HẠN</v>
      </c>
      <c r="B117" s="34"/>
      <c r="C117" s="46">
        <f t="shared" si="8"/>
        <v>0</v>
      </c>
      <c r="D117" s="44">
        <f t="shared" si="15"/>
        <v>1</v>
      </c>
      <c r="E117" s="35">
        <f t="shared" si="16"/>
        <v>0</v>
      </c>
      <c r="F117" s="39"/>
      <c r="G117" s="40">
        <f t="shared" si="17"/>
        <v>0</v>
      </c>
      <c r="H117" s="22" t="str">
        <f t="shared" si="18"/>
        <v/>
      </c>
      <c r="I117" s="22">
        <f t="shared" si="19"/>
        <v>0</v>
      </c>
      <c r="J117" s="35"/>
      <c r="K117" s="36"/>
      <c r="N117" s="12"/>
    </row>
    <row r="118" spans="1:14" x14ac:dyDescent="0.25">
      <c r="A118" s="45" t="str">
        <f t="shared" si="14"/>
        <v>QUÁ HẠN</v>
      </c>
      <c r="B118" s="34"/>
      <c r="C118" s="46">
        <f t="shared" si="8"/>
        <v>0</v>
      </c>
      <c r="D118" s="44">
        <f t="shared" si="15"/>
        <v>1</v>
      </c>
      <c r="E118" s="35">
        <f t="shared" si="16"/>
        <v>0</v>
      </c>
      <c r="F118" s="39"/>
      <c r="G118" s="40">
        <f t="shared" si="17"/>
        <v>0</v>
      </c>
      <c r="H118" s="22" t="str">
        <f t="shared" si="18"/>
        <v/>
      </c>
      <c r="I118" s="22">
        <f t="shared" si="19"/>
        <v>0</v>
      </c>
      <c r="J118" s="35"/>
      <c r="K118" s="36"/>
      <c r="N118" s="12"/>
    </row>
    <row r="119" spans="1:14" x14ac:dyDescent="0.25">
      <c r="A119" s="45" t="str">
        <f t="shared" si="14"/>
        <v>QUÁ HẠN</v>
      </c>
      <c r="B119" s="34"/>
      <c r="C119" s="46">
        <f t="shared" si="8"/>
        <v>0</v>
      </c>
      <c r="D119" s="44">
        <f t="shared" si="15"/>
        <v>1</v>
      </c>
      <c r="E119" s="35">
        <f t="shared" si="16"/>
        <v>0</v>
      </c>
      <c r="F119" s="39"/>
      <c r="G119" s="40">
        <f t="shared" si="17"/>
        <v>0</v>
      </c>
      <c r="H119" s="22" t="str">
        <f t="shared" si="18"/>
        <v/>
      </c>
      <c r="I119" s="22">
        <f t="shared" si="19"/>
        <v>0</v>
      </c>
      <c r="J119" s="35"/>
      <c r="K119" s="36"/>
      <c r="N119" s="12"/>
    </row>
    <row r="120" spans="1:14" x14ac:dyDescent="0.25">
      <c r="A120" s="45" t="str">
        <f t="shared" si="14"/>
        <v>QUÁ HẠN</v>
      </c>
      <c r="B120" s="34"/>
      <c r="C120" s="46">
        <f t="shared" si="8"/>
        <v>0</v>
      </c>
      <c r="D120" s="44">
        <f t="shared" si="15"/>
        <v>1</v>
      </c>
      <c r="E120" s="35">
        <f t="shared" si="16"/>
        <v>0</v>
      </c>
      <c r="F120" s="39"/>
      <c r="G120" s="40">
        <f t="shared" si="17"/>
        <v>0</v>
      </c>
      <c r="H120" s="22" t="str">
        <f t="shared" si="18"/>
        <v/>
      </c>
      <c r="I120" s="22">
        <f t="shared" si="19"/>
        <v>0</v>
      </c>
      <c r="J120" s="35"/>
      <c r="K120" s="36"/>
      <c r="N120" s="12"/>
    </row>
    <row r="121" spans="1:14" x14ac:dyDescent="0.25">
      <c r="A121" s="45" t="str">
        <f t="shared" si="14"/>
        <v>QUÁ HẠN</v>
      </c>
      <c r="B121" s="34"/>
      <c r="C121" s="46">
        <f t="shared" si="8"/>
        <v>0</v>
      </c>
      <c r="D121" s="44">
        <f t="shared" si="15"/>
        <v>1</v>
      </c>
      <c r="E121" s="35">
        <f t="shared" si="16"/>
        <v>0</v>
      </c>
      <c r="F121" s="39"/>
      <c r="G121" s="40">
        <f t="shared" si="17"/>
        <v>0</v>
      </c>
      <c r="H121" s="22" t="str">
        <f t="shared" si="18"/>
        <v/>
      </c>
      <c r="I121" s="22">
        <f t="shared" si="19"/>
        <v>0</v>
      </c>
      <c r="J121" s="35"/>
      <c r="K121" s="36"/>
      <c r="N121" s="12"/>
    </row>
    <row r="122" spans="1:14" x14ac:dyDescent="0.25">
      <c r="A122" s="45" t="str">
        <f t="shared" si="14"/>
        <v>QUÁ HẠN</v>
      </c>
      <c r="B122" s="34"/>
      <c r="C122" s="46">
        <f t="shared" si="8"/>
        <v>0</v>
      </c>
      <c r="D122" s="44">
        <f t="shared" si="15"/>
        <v>1</v>
      </c>
      <c r="E122" s="35">
        <f t="shared" si="16"/>
        <v>0</v>
      </c>
      <c r="F122" s="39"/>
      <c r="G122" s="40">
        <f t="shared" si="17"/>
        <v>0</v>
      </c>
      <c r="H122" s="22" t="str">
        <f t="shared" si="18"/>
        <v/>
      </c>
      <c r="I122" s="22">
        <f t="shared" si="19"/>
        <v>0</v>
      </c>
      <c r="J122" s="35"/>
      <c r="K122" s="36"/>
      <c r="N122" s="12"/>
    </row>
    <row r="123" spans="1:14" x14ac:dyDescent="0.25">
      <c r="A123" s="45" t="str">
        <f t="shared" si="14"/>
        <v>QUÁ HẠN</v>
      </c>
      <c r="B123" s="34"/>
      <c r="C123" s="46">
        <f t="shared" si="8"/>
        <v>0</v>
      </c>
      <c r="D123" s="44">
        <f t="shared" si="15"/>
        <v>1</v>
      </c>
      <c r="E123" s="35">
        <f t="shared" si="16"/>
        <v>0</v>
      </c>
      <c r="F123" s="39"/>
      <c r="G123" s="40">
        <f t="shared" si="17"/>
        <v>0</v>
      </c>
      <c r="H123" s="22" t="str">
        <f t="shared" si="18"/>
        <v/>
      </c>
      <c r="I123" s="22">
        <f t="shared" si="19"/>
        <v>0</v>
      </c>
      <c r="J123" s="35"/>
      <c r="K123" s="36"/>
      <c r="N123" s="12"/>
    </row>
    <row r="124" spans="1:14" x14ac:dyDescent="0.25">
      <c r="A124" s="45" t="str">
        <f t="shared" si="14"/>
        <v>QUÁ HẠN</v>
      </c>
      <c r="B124" s="34"/>
      <c r="C124" s="46">
        <f t="shared" si="8"/>
        <v>0</v>
      </c>
      <c r="D124" s="44">
        <f t="shared" si="15"/>
        <v>1</v>
      </c>
      <c r="E124" s="35">
        <f t="shared" si="16"/>
        <v>0</v>
      </c>
      <c r="F124" s="39"/>
      <c r="G124" s="40">
        <f t="shared" si="17"/>
        <v>0</v>
      </c>
      <c r="H124" s="22" t="str">
        <f t="shared" si="18"/>
        <v/>
      </c>
      <c r="I124" s="22">
        <f t="shared" si="19"/>
        <v>0</v>
      </c>
      <c r="J124" s="35"/>
      <c r="K124" s="36"/>
      <c r="N124" s="12"/>
    </row>
    <row r="125" spans="1:14" x14ac:dyDescent="0.25">
      <c r="A125" s="45" t="str">
        <f t="shared" si="14"/>
        <v>QUÁ HẠN</v>
      </c>
      <c r="B125" s="34"/>
      <c r="C125" s="46">
        <f t="shared" si="8"/>
        <v>0</v>
      </c>
      <c r="D125" s="44">
        <f t="shared" si="15"/>
        <v>1</v>
      </c>
      <c r="E125" s="35">
        <f t="shared" si="16"/>
        <v>0</v>
      </c>
      <c r="F125" s="39"/>
      <c r="G125" s="40">
        <f t="shared" si="17"/>
        <v>0</v>
      </c>
      <c r="H125" s="22" t="str">
        <f t="shared" si="18"/>
        <v/>
      </c>
      <c r="I125" s="22">
        <f t="shared" si="19"/>
        <v>0</v>
      </c>
      <c r="J125" s="35"/>
      <c r="K125" s="36"/>
      <c r="N125" s="12"/>
    </row>
    <row r="126" spans="1:14" x14ac:dyDescent="0.25">
      <c r="A126" s="45" t="str">
        <f t="shared" si="14"/>
        <v>QUÁ HẠN</v>
      </c>
      <c r="B126" s="34"/>
      <c r="C126" s="46">
        <f t="shared" si="8"/>
        <v>0</v>
      </c>
      <c r="D126" s="44">
        <f t="shared" si="15"/>
        <v>1</v>
      </c>
      <c r="E126" s="35">
        <f t="shared" si="16"/>
        <v>0</v>
      </c>
      <c r="F126" s="39"/>
      <c r="G126" s="40">
        <f t="shared" si="17"/>
        <v>0</v>
      </c>
      <c r="H126" s="22" t="str">
        <f t="shared" si="18"/>
        <v/>
      </c>
      <c r="I126" s="22">
        <f t="shared" si="19"/>
        <v>0</v>
      </c>
      <c r="J126" s="35"/>
      <c r="K126" s="36"/>
      <c r="N126" s="12"/>
    </row>
    <row r="127" spans="1:14" x14ac:dyDescent="0.25">
      <c r="A127" s="45" t="str">
        <f t="shared" si="14"/>
        <v>QUÁ HẠN</v>
      </c>
      <c r="B127" s="34"/>
      <c r="C127" s="46">
        <f t="shared" si="8"/>
        <v>0</v>
      </c>
      <c r="D127" s="44">
        <f t="shared" si="15"/>
        <v>1</v>
      </c>
      <c r="E127" s="35">
        <f t="shared" si="16"/>
        <v>0</v>
      </c>
      <c r="F127" s="39"/>
      <c r="G127" s="40">
        <f t="shared" si="17"/>
        <v>0</v>
      </c>
      <c r="H127" s="22" t="str">
        <f t="shared" si="18"/>
        <v/>
      </c>
      <c r="I127" s="22">
        <f t="shared" si="19"/>
        <v>0</v>
      </c>
      <c r="J127" s="35"/>
      <c r="K127" s="36"/>
      <c r="N127" s="12"/>
    </row>
    <row r="128" spans="1:14" x14ac:dyDescent="0.25">
      <c r="A128" s="45" t="str">
        <f t="shared" si="14"/>
        <v>QUÁ HẠN</v>
      </c>
      <c r="B128" s="34"/>
      <c r="C128" s="46">
        <f t="shared" si="8"/>
        <v>0</v>
      </c>
      <c r="D128" s="44">
        <f t="shared" si="15"/>
        <v>1</v>
      </c>
      <c r="E128" s="35">
        <f t="shared" si="16"/>
        <v>0</v>
      </c>
      <c r="F128" s="39"/>
      <c r="G128" s="40">
        <f t="shared" si="17"/>
        <v>0</v>
      </c>
      <c r="H128" s="22" t="str">
        <f t="shared" si="18"/>
        <v/>
      </c>
      <c r="I128" s="22">
        <f t="shared" si="19"/>
        <v>0</v>
      </c>
      <c r="J128" s="35"/>
      <c r="K128" s="36"/>
      <c r="N128" s="12"/>
    </row>
    <row r="129" spans="1:14" x14ac:dyDescent="0.25">
      <c r="A129" s="45" t="str">
        <f t="shared" si="14"/>
        <v>QUÁ HẠN</v>
      </c>
      <c r="B129" s="34"/>
      <c r="C129" s="46">
        <f t="shared" si="8"/>
        <v>0</v>
      </c>
      <c r="D129" s="44">
        <f t="shared" si="15"/>
        <v>1</v>
      </c>
      <c r="E129" s="35">
        <f t="shared" si="16"/>
        <v>0</v>
      </c>
      <c r="F129" s="39"/>
      <c r="G129" s="40">
        <f t="shared" si="17"/>
        <v>0</v>
      </c>
      <c r="H129" s="22" t="str">
        <f t="shared" si="18"/>
        <v/>
      </c>
      <c r="I129" s="22">
        <f t="shared" si="19"/>
        <v>0</v>
      </c>
      <c r="J129" s="35"/>
      <c r="K129" s="36"/>
      <c r="N129" s="12"/>
    </row>
    <row r="130" spans="1:14" x14ac:dyDescent="0.25">
      <c r="A130" s="45" t="str">
        <f t="shared" si="14"/>
        <v>QUÁ HẠN</v>
      </c>
      <c r="B130" s="34"/>
      <c r="C130" s="46">
        <f t="shared" si="8"/>
        <v>0</v>
      </c>
      <c r="D130" s="44">
        <f t="shared" si="15"/>
        <v>1</v>
      </c>
      <c r="E130" s="35">
        <f t="shared" si="16"/>
        <v>0</v>
      </c>
      <c r="F130" s="39"/>
      <c r="G130" s="40">
        <f t="shared" si="17"/>
        <v>0</v>
      </c>
      <c r="H130" s="22" t="str">
        <f t="shared" si="18"/>
        <v/>
      </c>
      <c r="I130" s="22">
        <f t="shared" si="19"/>
        <v>0</v>
      </c>
      <c r="J130" s="35"/>
      <c r="K130" s="36"/>
      <c r="N130" s="12"/>
    </row>
    <row r="131" spans="1:14" x14ac:dyDescent="0.25">
      <c r="A131" s="45" t="str">
        <f t="shared" si="14"/>
        <v>QUÁ HẠN</v>
      </c>
      <c r="B131" s="34"/>
      <c r="C131" s="46">
        <f t="shared" si="8"/>
        <v>0</v>
      </c>
      <c r="D131" s="44">
        <f t="shared" si="15"/>
        <v>1</v>
      </c>
      <c r="E131" s="35">
        <f t="shared" si="16"/>
        <v>0</v>
      </c>
      <c r="F131" s="39"/>
      <c r="G131" s="40">
        <f t="shared" si="17"/>
        <v>0</v>
      </c>
      <c r="H131" s="22" t="str">
        <f t="shared" si="18"/>
        <v/>
      </c>
      <c r="I131" s="22">
        <f t="shared" si="19"/>
        <v>0</v>
      </c>
      <c r="J131" s="35"/>
      <c r="K131" s="36"/>
      <c r="N131" s="12"/>
    </row>
    <row r="132" spans="1:14" x14ac:dyDescent="0.25">
      <c r="A132" s="45" t="str">
        <f t="shared" si="14"/>
        <v>QUÁ HẠN</v>
      </c>
      <c r="B132" s="34"/>
      <c r="C132" s="46">
        <f t="shared" si="8"/>
        <v>0</v>
      </c>
      <c r="D132" s="44">
        <f t="shared" si="15"/>
        <v>1</v>
      </c>
      <c r="E132" s="35">
        <f t="shared" si="16"/>
        <v>0</v>
      </c>
      <c r="F132" s="39"/>
      <c r="G132" s="40">
        <f t="shared" si="17"/>
        <v>0</v>
      </c>
      <c r="H132" s="22" t="str">
        <f t="shared" si="18"/>
        <v/>
      </c>
      <c r="I132" s="22">
        <f t="shared" si="19"/>
        <v>0</v>
      </c>
      <c r="J132" s="35"/>
      <c r="K132" s="36"/>
      <c r="N132" s="12"/>
    </row>
    <row r="133" spans="1:14" x14ac:dyDescent="0.25">
      <c r="A133" s="45" t="str">
        <f t="shared" si="14"/>
        <v>QUÁ HẠN</v>
      </c>
      <c r="B133" s="34"/>
      <c r="C133" s="46">
        <f t="shared" si="8"/>
        <v>0</v>
      </c>
      <c r="D133" s="44">
        <f t="shared" si="15"/>
        <v>1</v>
      </c>
      <c r="E133" s="35">
        <f t="shared" si="16"/>
        <v>0</v>
      </c>
      <c r="F133" s="39"/>
      <c r="G133" s="40">
        <f t="shared" si="17"/>
        <v>0</v>
      </c>
      <c r="H133" s="22" t="str">
        <f t="shared" si="18"/>
        <v/>
      </c>
      <c r="I133" s="22">
        <f t="shared" si="19"/>
        <v>0</v>
      </c>
      <c r="J133" s="35"/>
      <c r="K133" s="36"/>
      <c r="N133" s="12"/>
    </row>
    <row r="134" spans="1:14" x14ac:dyDescent="0.25">
      <c r="A134" s="45" t="str">
        <f t="shared" si="14"/>
        <v>QUÁ HẠN</v>
      </c>
      <c r="B134" s="34"/>
      <c r="C134" s="46">
        <f t="shared" si="8"/>
        <v>0</v>
      </c>
      <c r="D134" s="44">
        <f t="shared" si="15"/>
        <v>1</v>
      </c>
      <c r="E134" s="35">
        <f t="shared" si="16"/>
        <v>0</v>
      </c>
      <c r="F134" s="39"/>
      <c r="G134" s="40">
        <f t="shared" si="17"/>
        <v>0</v>
      </c>
      <c r="H134" s="22" t="str">
        <f t="shared" si="18"/>
        <v/>
      </c>
      <c r="I134" s="22">
        <f t="shared" si="19"/>
        <v>0</v>
      </c>
      <c r="J134" s="35"/>
      <c r="K134" s="36"/>
      <c r="N134" s="12"/>
    </row>
    <row r="135" spans="1:14" x14ac:dyDescent="0.25">
      <c r="A135" s="45" t="str">
        <f t="shared" si="14"/>
        <v>QUÁ HẠN</v>
      </c>
      <c r="B135" s="34"/>
      <c r="C135" s="46">
        <f t="shared" si="8"/>
        <v>0</v>
      </c>
      <c r="D135" s="44">
        <f t="shared" si="15"/>
        <v>1</v>
      </c>
      <c r="E135" s="35">
        <f t="shared" si="16"/>
        <v>0</v>
      </c>
      <c r="F135" s="39"/>
      <c r="G135" s="40">
        <f t="shared" si="17"/>
        <v>0</v>
      </c>
      <c r="H135" s="22" t="str">
        <f t="shared" si="18"/>
        <v/>
      </c>
      <c r="I135" s="22">
        <f t="shared" si="19"/>
        <v>0</v>
      </c>
      <c r="J135" s="35"/>
      <c r="K135" s="36"/>
      <c r="N135" s="12"/>
    </row>
    <row r="136" spans="1:14" x14ac:dyDescent="0.25">
      <c r="A136" s="45" t="str">
        <f t="shared" si="14"/>
        <v>QUÁ HẠN</v>
      </c>
      <c r="B136" s="34"/>
      <c r="C136" s="46">
        <f t="shared" si="8"/>
        <v>0</v>
      </c>
      <c r="D136" s="44">
        <f t="shared" si="15"/>
        <v>1</v>
      </c>
      <c r="E136" s="35">
        <f t="shared" si="16"/>
        <v>0</v>
      </c>
      <c r="F136" s="39"/>
      <c r="G136" s="40">
        <f t="shared" si="17"/>
        <v>0</v>
      </c>
      <c r="H136" s="22" t="str">
        <f t="shared" si="18"/>
        <v/>
      </c>
      <c r="I136" s="22">
        <f t="shared" si="19"/>
        <v>0</v>
      </c>
      <c r="J136" s="35"/>
      <c r="K136" s="36"/>
      <c r="N136" s="12"/>
    </row>
    <row r="137" spans="1:14" x14ac:dyDescent="0.25">
      <c r="A137" s="45" t="str">
        <f t="shared" si="14"/>
        <v>QUÁ HẠN</v>
      </c>
      <c r="B137" s="34"/>
      <c r="C137" s="46">
        <f t="shared" si="8"/>
        <v>0</v>
      </c>
      <c r="D137" s="44">
        <f t="shared" si="15"/>
        <v>1</v>
      </c>
      <c r="E137" s="35">
        <f t="shared" si="16"/>
        <v>0</v>
      </c>
      <c r="F137" s="39"/>
      <c r="G137" s="40">
        <f t="shared" si="17"/>
        <v>0</v>
      </c>
      <c r="H137" s="22" t="str">
        <f t="shared" si="18"/>
        <v/>
      </c>
      <c r="I137" s="22">
        <f t="shared" si="19"/>
        <v>0</v>
      </c>
      <c r="J137" s="35"/>
      <c r="K137" s="36"/>
      <c r="N137" s="12"/>
    </row>
    <row r="138" spans="1:14" x14ac:dyDescent="0.25">
      <c r="A138" s="45" t="str">
        <f t="shared" si="14"/>
        <v>QUÁ HẠN</v>
      </c>
      <c r="B138" s="34"/>
      <c r="C138" s="46">
        <f t="shared" si="8"/>
        <v>0</v>
      </c>
      <c r="D138" s="44">
        <f t="shared" si="15"/>
        <v>1</v>
      </c>
      <c r="E138" s="35">
        <f t="shared" si="16"/>
        <v>0</v>
      </c>
      <c r="F138" s="39"/>
      <c r="G138" s="40">
        <f t="shared" si="17"/>
        <v>0</v>
      </c>
      <c r="H138" s="22" t="str">
        <f t="shared" si="18"/>
        <v/>
      </c>
      <c r="I138" s="22">
        <f t="shared" si="19"/>
        <v>0</v>
      </c>
      <c r="J138" s="35"/>
      <c r="K138" s="36"/>
      <c r="N138" s="12"/>
    </row>
    <row r="139" spans="1:14" x14ac:dyDescent="0.25">
      <c r="A139" s="45" t="str">
        <f t="shared" si="14"/>
        <v>QUÁ HẠN</v>
      </c>
      <c r="B139" s="34"/>
      <c r="C139" s="46">
        <f t="shared" si="8"/>
        <v>0</v>
      </c>
      <c r="D139" s="44">
        <f t="shared" si="15"/>
        <v>1</v>
      </c>
      <c r="E139" s="35">
        <f t="shared" si="16"/>
        <v>0</v>
      </c>
      <c r="F139" s="39"/>
      <c r="G139" s="40">
        <f t="shared" si="17"/>
        <v>0</v>
      </c>
      <c r="H139" s="22" t="str">
        <f t="shared" si="18"/>
        <v/>
      </c>
      <c r="I139" s="22">
        <f t="shared" si="19"/>
        <v>0</v>
      </c>
      <c r="J139" s="35"/>
      <c r="K139" s="36"/>
      <c r="N139" s="12"/>
    </row>
    <row r="140" spans="1:14" x14ac:dyDescent="0.25">
      <c r="A140" s="45" t="str">
        <f t="shared" si="14"/>
        <v>QUÁ HẠN</v>
      </c>
      <c r="B140" s="34"/>
      <c r="C140" s="46">
        <f t="shared" si="8"/>
        <v>0</v>
      </c>
      <c r="D140" s="44">
        <f t="shared" si="15"/>
        <v>1</v>
      </c>
      <c r="E140" s="35">
        <f t="shared" si="16"/>
        <v>0</v>
      </c>
      <c r="F140" s="39"/>
      <c r="G140" s="40">
        <f t="shared" si="17"/>
        <v>0</v>
      </c>
      <c r="H140" s="22" t="str">
        <f t="shared" si="18"/>
        <v/>
      </c>
      <c r="I140" s="22">
        <f t="shared" si="19"/>
        <v>0</v>
      </c>
      <c r="J140" s="35"/>
      <c r="K140" s="36"/>
      <c r="N140" s="12"/>
    </row>
    <row r="141" spans="1:14" x14ac:dyDescent="0.25">
      <c r="A141" s="45" t="str">
        <f t="shared" si="14"/>
        <v>QUÁ HẠN</v>
      </c>
      <c r="B141" s="34"/>
      <c r="C141" s="46">
        <f t="shared" si="8"/>
        <v>0</v>
      </c>
      <c r="D141" s="44">
        <f t="shared" si="15"/>
        <v>1</v>
      </c>
      <c r="E141" s="35">
        <f t="shared" si="16"/>
        <v>0</v>
      </c>
      <c r="F141" s="39"/>
      <c r="G141" s="40">
        <f t="shared" si="17"/>
        <v>0</v>
      </c>
      <c r="H141" s="22" t="str">
        <f t="shared" si="18"/>
        <v/>
      </c>
      <c r="I141" s="22">
        <f t="shared" si="19"/>
        <v>0</v>
      </c>
      <c r="J141" s="35"/>
      <c r="K141" s="36"/>
      <c r="N141" s="12"/>
    </row>
    <row r="142" spans="1:14" x14ac:dyDescent="0.25">
      <c r="A142" s="45" t="str">
        <f t="shared" si="14"/>
        <v>QUÁ HẠN</v>
      </c>
      <c r="B142" s="34"/>
      <c r="C142" s="46">
        <f t="shared" ref="C142:C150" si="20">IFERROR(IF(B143="", $B$10, B143-1), $B$10)</f>
        <v>0</v>
      </c>
      <c r="D142" s="44">
        <f t="shared" si="15"/>
        <v>1</v>
      </c>
      <c r="E142" s="35">
        <f t="shared" si="16"/>
        <v>0</v>
      </c>
      <c r="F142" s="39"/>
      <c r="G142" s="40">
        <f t="shared" si="17"/>
        <v>0</v>
      </c>
      <c r="H142" s="22" t="str">
        <f t="shared" si="18"/>
        <v/>
      </c>
      <c r="I142" s="22">
        <f t="shared" si="19"/>
        <v>0</v>
      </c>
      <c r="J142" s="35"/>
      <c r="K142" s="36"/>
      <c r="N142" s="12"/>
    </row>
    <row r="143" spans="1:14" x14ac:dyDescent="0.25">
      <c r="A143" s="45" t="str">
        <f t="shared" si="14"/>
        <v>QUÁ HẠN</v>
      </c>
      <c r="B143" s="34"/>
      <c r="C143" s="46">
        <f t="shared" si="20"/>
        <v>0</v>
      </c>
      <c r="D143" s="44">
        <f t="shared" si="15"/>
        <v>1</v>
      </c>
      <c r="E143" s="35">
        <f t="shared" si="16"/>
        <v>0</v>
      </c>
      <c r="F143" s="39"/>
      <c r="G143" s="40">
        <f t="shared" si="17"/>
        <v>0</v>
      </c>
      <c r="H143" s="22" t="str">
        <f t="shared" si="18"/>
        <v/>
      </c>
      <c r="I143" s="22">
        <f t="shared" si="19"/>
        <v>0</v>
      </c>
      <c r="J143" s="35"/>
      <c r="K143" s="36"/>
      <c r="N143" s="12"/>
    </row>
    <row r="144" spans="1:14" x14ac:dyDescent="0.25">
      <c r="A144" s="45" t="str">
        <f t="shared" si="14"/>
        <v>QUÁ HẠN</v>
      </c>
      <c r="B144" s="34"/>
      <c r="C144" s="46">
        <f t="shared" si="20"/>
        <v>0</v>
      </c>
      <c r="D144" s="44">
        <f t="shared" si="15"/>
        <v>1</v>
      </c>
      <c r="E144" s="35">
        <f t="shared" si="16"/>
        <v>0</v>
      </c>
      <c r="F144" s="39"/>
      <c r="G144" s="40">
        <f t="shared" si="17"/>
        <v>0</v>
      </c>
      <c r="H144" s="22" t="str">
        <f t="shared" si="18"/>
        <v/>
      </c>
      <c r="I144" s="22">
        <f t="shared" si="19"/>
        <v>0</v>
      </c>
      <c r="J144" s="35"/>
      <c r="K144" s="36"/>
      <c r="N144" s="12"/>
    </row>
    <row r="145" spans="1:14" x14ac:dyDescent="0.25">
      <c r="A145" s="45" t="str">
        <f t="shared" si="14"/>
        <v>QUÁ HẠN</v>
      </c>
      <c r="B145" s="34"/>
      <c r="C145" s="46">
        <f t="shared" si="20"/>
        <v>0</v>
      </c>
      <c r="D145" s="44">
        <f t="shared" si="15"/>
        <v>1</v>
      </c>
      <c r="E145" s="35">
        <f t="shared" si="16"/>
        <v>0</v>
      </c>
      <c r="F145" s="39"/>
      <c r="G145" s="40">
        <f t="shared" si="17"/>
        <v>0</v>
      </c>
      <c r="H145" s="22" t="str">
        <f t="shared" si="18"/>
        <v/>
      </c>
      <c r="I145" s="22">
        <f t="shared" si="19"/>
        <v>0</v>
      </c>
      <c r="J145" s="35"/>
      <c r="K145" s="36"/>
      <c r="N145" s="12"/>
    </row>
    <row r="146" spans="1:14" x14ac:dyDescent="0.25">
      <c r="A146" s="45" t="str">
        <f t="shared" si="14"/>
        <v>QUÁ HẠN</v>
      </c>
      <c r="B146" s="34"/>
      <c r="C146" s="46">
        <f t="shared" si="20"/>
        <v>0</v>
      </c>
      <c r="D146" s="44">
        <f t="shared" si="15"/>
        <v>1</v>
      </c>
      <c r="E146" s="35">
        <f t="shared" si="16"/>
        <v>0</v>
      </c>
      <c r="F146" s="39"/>
      <c r="G146" s="40">
        <f t="shared" si="17"/>
        <v>0</v>
      </c>
      <c r="H146" s="22" t="str">
        <f t="shared" si="18"/>
        <v/>
      </c>
      <c r="I146" s="22">
        <f t="shared" si="19"/>
        <v>0</v>
      </c>
      <c r="J146" s="35"/>
      <c r="K146" s="36"/>
      <c r="N146" s="12"/>
    </row>
    <row r="147" spans="1:14" x14ac:dyDescent="0.25">
      <c r="A147" s="45" t="str">
        <f t="shared" si="14"/>
        <v>QUÁ HẠN</v>
      </c>
      <c r="B147" s="34"/>
      <c r="C147" s="46">
        <f t="shared" si="20"/>
        <v>0</v>
      </c>
      <c r="D147" s="44">
        <f t="shared" si="15"/>
        <v>1</v>
      </c>
      <c r="E147" s="35">
        <f t="shared" si="16"/>
        <v>0</v>
      </c>
      <c r="F147" s="39"/>
      <c r="G147" s="40">
        <f t="shared" si="17"/>
        <v>0</v>
      </c>
      <c r="H147" s="22" t="str">
        <f t="shared" si="18"/>
        <v/>
      </c>
      <c r="I147" s="22">
        <f t="shared" si="19"/>
        <v>0</v>
      </c>
      <c r="J147" s="35"/>
      <c r="K147" s="36"/>
      <c r="N147" s="12"/>
    </row>
    <row r="148" spans="1:14" x14ac:dyDescent="0.25">
      <c r="A148" s="45" t="str">
        <f t="shared" si="14"/>
        <v>QUÁ HẠN</v>
      </c>
      <c r="B148" s="34"/>
      <c r="C148" s="46">
        <f t="shared" si="20"/>
        <v>0</v>
      </c>
      <c r="D148" s="44">
        <f t="shared" si="15"/>
        <v>1</v>
      </c>
      <c r="E148" s="35">
        <f t="shared" si="16"/>
        <v>0</v>
      </c>
      <c r="F148" s="39"/>
      <c r="G148" s="40">
        <f t="shared" si="17"/>
        <v>0</v>
      </c>
      <c r="H148" s="22" t="str">
        <f t="shared" si="18"/>
        <v/>
      </c>
      <c r="I148" s="22">
        <f t="shared" si="19"/>
        <v>0</v>
      </c>
      <c r="J148" s="35"/>
      <c r="K148" s="36"/>
      <c r="N148" s="12"/>
    </row>
    <row r="149" spans="1:14" x14ac:dyDescent="0.25">
      <c r="A149" s="45" t="str">
        <f t="shared" si="14"/>
        <v>QUÁ HẠN</v>
      </c>
      <c r="B149" s="34"/>
      <c r="C149" s="46">
        <f t="shared" si="20"/>
        <v>0</v>
      </c>
      <c r="D149" s="44">
        <f t="shared" si="15"/>
        <v>1</v>
      </c>
      <c r="E149" s="35">
        <f t="shared" si="16"/>
        <v>0</v>
      </c>
      <c r="F149" s="39"/>
      <c r="G149" s="40">
        <f t="shared" si="17"/>
        <v>0</v>
      </c>
      <c r="H149" s="22" t="str">
        <f t="shared" si="18"/>
        <v/>
      </c>
      <c r="I149" s="22">
        <f t="shared" si="19"/>
        <v>0</v>
      </c>
      <c r="J149" s="35"/>
      <c r="K149" s="36"/>
      <c r="N149" s="12"/>
    </row>
    <row r="150" spans="1:14" x14ac:dyDescent="0.25">
      <c r="A150" s="45" t="str">
        <f t="shared" si="14"/>
        <v>QUÁ HẠN</v>
      </c>
      <c r="B150" s="34"/>
      <c r="C150" s="46">
        <f t="shared" si="20"/>
        <v>0</v>
      </c>
      <c r="D150" s="44">
        <f t="shared" si="15"/>
        <v>1</v>
      </c>
      <c r="E150" s="35">
        <f t="shared" si="16"/>
        <v>0</v>
      </c>
      <c r="F150" s="39"/>
      <c r="G150" s="40">
        <f t="shared" si="17"/>
        <v>0</v>
      </c>
      <c r="H150" s="22" t="str">
        <f t="shared" si="18"/>
        <v/>
      </c>
      <c r="I150" s="22">
        <f t="shared" si="19"/>
        <v>0</v>
      </c>
      <c r="J150" s="35"/>
      <c r="K150" s="36"/>
      <c r="N150" s="12"/>
    </row>
    <row r="151" spans="1:14" x14ac:dyDescent="0.25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25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25">
      <c r="H153" s="91" t="s">
        <v>65</v>
      </c>
      <c r="I153" s="91"/>
      <c r="J153" s="91"/>
    </row>
    <row r="154" spans="1:14" x14ac:dyDescent="0.25">
      <c r="I154" s="2"/>
      <c r="J154" s="13"/>
    </row>
    <row r="155" spans="1:14" x14ac:dyDescent="0.25">
      <c r="I155" s="2"/>
      <c r="J155" s="13"/>
    </row>
    <row r="156" spans="1:14" x14ac:dyDescent="0.25">
      <c r="I156" s="2"/>
      <c r="J156" s="13"/>
    </row>
    <row r="157" spans="1:14" x14ac:dyDescent="0.25">
      <c r="H157" s="90" t="str">
        <f>IF(THTT!C2="","",THTT!C2)</f>
        <v/>
      </c>
      <c r="I157" s="90"/>
      <c r="J157" s="90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tabSelected="1" zoomScaleNormal="115" workbookViewId="0">
      <selection activeCell="E19" sqref="E19"/>
    </sheetView>
  </sheetViews>
  <sheetFormatPr defaultRowHeight="15" x14ac:dyDescent="0.25"/>
  <cols>
    <col min="1" max="1" width="13.7109375" customWidth="1"/>
    <col min="2" max="2" width="15" customWidth="1"/>
    <col min="3" max="3" width="16.85546875" customWidth="1"/>
    <col min="6" max="6" width="8.42578125" customWidth="1"/>
    <col min="7" max="7" width="14.28515625" customWidth="1"/>
    <col min="8" max="8" width="13.7109375" customWidth="1"/>
    <col min="9" max="9" width="13.140625" customWidth="1"/>
    <col min="11" max="11" width="12.85546875" customWidth="1"/>
    <col min="12" max="12" width="11.7109375" customWidth="1"/>
    <col min="13" max="13" width="13.140625" customWidth="1"/>
    <col min="14" max="14" width="9.5703125" bestFit="1" customWidth="1"/>
    <col min="15" max="15" width="16.42578125" customWidth="1"/>
    <col min="16" max="16" width="11.7109375" customWidth="1"/>
    <col min="17" max="17" width="13.140625" customWidth="1"/>
    <col min="19" max="19" width="16.42578125" customWidth="1"/>
    <col min="20" max="20" width="11.7109375" customWidth="1"/>
    <col min="21" max="21" width="13.140625" customWidth="1"/>
    <col min="23" max="23" width="15.5703125" customWidth="1"/>
    <col min="24" max="24" width="11.7109375" customWidth="1"/>
    <col min="25" max="25" width="13.140625" customWidth="1"/>
    <col min="27" max="27" width="11.28515625" customWidth="1"/>
    <col min="28" max="28" width="11.7109375" customWidth="1"/>
    <col min="29" max="29" width="13.140625" customWidth="1"/>
    <col min="31" max="31" width="11.28515625" customWidth="1"/>
    <col min="32" max="32" width="11.7109375" customWidth="1"/>
    <col min="33" max="33" width="13.140625" customWidth="1"/>
    <col min="35" max="35" width="11.28515625" customWidth="1"/>
    <col min="36" max="36" width="11.7109375" customWidth="1"/>
    <col min="37" max="37" width="13.140625" customWidth="1"/>
    <col min="39" max="39" width="11.28515625" customWidth="1"/>
    <col min="40" max="40" width="11.7109375" customWidth="1"/>
    <col min="41" max="41" width="13.140625" customWidth="1"/>
    <col min="43" max="43" width="11.28515625" customWidth="1"/>
    <col min="44" max="44" width="11.7109375" customWidth="1"/>
    <col min="45" max="45" width="13.140625" customWidth="1"/>
  </cols>
  <sheetData>
    <row r="1" spans="1:33" x14ac:dyDescent="0.25">
      <c r="A1" s="18" t="s">
        <v>6</v>
      </c>
      <c r="B1" s="18" t="s">
        <v>17</v>
      </c>
      <c r="C1" s="18" t="s">
        <v>65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25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25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25">
      <c r="A4" s="87" t="s">
        <v>67</v>
      </c>
      <c r="B4" s="49"/>
      <c r="C4" s="50"/>
      <c r="D4" s="50"/>
      <c r="E4" s="50"/>
      <c r="F4" s="50"/>
      <c r="G4" s="50"/>
      <c r="H4" s="50"/>
      <c r="I4" s="87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25">
      <c r="A5" s="87" t="s">
        <v>69</v>
      </c>
      <c r="B5" s="49"/>
      <c r="C5" s="50"/>
      <c r="D5" s="50"/>
      <c r="E5" s="50"/>
      <c r="F5" s="50"/>
      <c r="G5" s="50"/>
      <c r="H5" s="50"/>
      <c r="I5" s="87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25">
      <c r="A6" s="87" t="s">
        <v>66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25"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25">
      <c r="A8" t="s">
        <v>68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25">
      <c r="A9" s="48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25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25">
      <c r="C11" s="50"/>
      <c r="D11" s="50"/>
      <c r="E11" s="50"/>
      <c r="F11" s="101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25"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25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25">
      <c r="A15" s="57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25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25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25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25"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25"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25">
      <c r="A21" s="5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25">
      <c r="A22" s="58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25">
      <c r="A23" s="58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25">
      <c r="A24" s="58"/>
      <c r="C24" s="50"/>
      <c r="D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25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25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25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25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25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25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25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25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25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25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25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25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25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25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25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6:33" x14ac:dyDescent="0.25"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  <row r="41" spans="6:33" x14ac:dyDescent="0.25"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</row>
    <row r="131" spans="1:1" x14ac:dyDescent="0.25">
      <c r="A131" t="s">
        <v>31</v>
      </c>
    </row>
    <row r="282" spans="1:1" x14ac:dyDescent="0.25">
      <c r="A282" t="s">
        <v>32</v>
      </c>
    </row>
    <row r="283" spans="1:1" x14ac:dyDescent="0.25">
      <c r="A283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F42" sqref="F42"/>
    </sheetView>
  </sheetViews>
  <sheetFormatPr defaultRowHeight="15" x14ac:dyDescent="0.25"/>
  <cols>
    <col min="1" max="1" width="14" bestFit="1" customWidth="1"/>
    <col min="2" max="2" width="16.85546875" bestFit="1" customWidth="1"/>
    <col min="3" max="4" width="13.5703125" bestFit="1" customWidth="1"/>
    <col min="6" max="6" width="14" bestFit="1" customWidth="1"/>
    <col min="7" max="7" width="20" bestFit="1" customWidth="1"/>
    <col min="8" max="9" width="13.5703125" bestFit="1" customWidth="1"/>
    <col min="11" max="11" width="14" bestFit="1" customWidth="1"/>
    <col min="12" max="12" width="20" bestFit="1" customWidth="1"/>
    <col min="13" max="14" width="12.5703125" bestFit="1" customWidth="1"/>
    <col min="15" max="15" width="12.42578125" bestFit="1" customWidth="1"/>
    <col min="16" max="16" width="14" bestFit="1" customWidth="1"/>
    <col min="17" max="17" width="17.7109375" bestFit="1" customWidth="1"/>
    <col min="18" max="18" width="12.5703125" bestFit="1" customWidth="1"/>
    <col min="19" max="19" width="13.5703125" bestFit="1" customWidth="1"/>
    <col min="21" max="21" width="14" bestFit="1" customWidth="1"/>
    <col min="22" max="22" width="17.7109375" bestFit="1" customWidth="1"/>
    <col min="23" max="23" width="10.85546875" bestFit="1" customWidth="1"/>
    <col min="24" max="24" width="12.5703125" bestFit="1" customWidth="1"/>
    <col min="26" max="26" width="14.7109375" bestFit="1" customWidth="1"/>
    <col min="27" max="27" width="17.28515625" bestFit="1" customWidth="1"/>
    <col min="28" max="28" width="11.140625" bestFit="1" customWidth="1"/>
    <col min="29" max="29" width="12.7109375" bestFit="1" customWidth="1"/>
    <col min="31" max="31" width="14.140625" bestFit="1" customWidth="1"/>
    <col min="32" max="32" width="17.85546875" bestFit="1" customWidth="1"/>
    <col min="33" max="33" width="19.42578125" customWidth="1"/>
    <col min="34" max="34" width="12.7109375" bestFit="1" customWidth="1"/>
    <col min="36" max="36" width="14.140625" bestFit="1" customWidth="1"/>
    <col min="37" max="37" width="17.85546875" bestFit="1" customWidth="1"/>
    <col min="38" max="38" width="12.7109375" bestFit="1" customWidth="1"/>
    <col min="39" max="39" width="13.7109375" bestFit="1" customWidth="1"/>
    <col min="41" max="41" width="14.140625" bestFit="1" customWidth="1"/>
    <col min="42" max="42" width="17.85546875" bestFit="1" customWidth="1"/>
    <col min="43" max="43" width="12.7109375" bestFit="1" customWidth="1"/>
    <col min="44" max="44" width="13.7109375" bestFit="1" customWidth="1"/>
    <col min="46" max="46" width="14.28515625" bestFit="1" customWidth="1"/>
    <col min="47" max="47" width="18.140625" bestFit="1" customWidth="1"/>
    <col min="48" max="48" width="12.28515625" bestFit="1" customWidth="1"/>
    <col min="49" max="49" width="13.28515625" bestFit="1" customWidth="1"/>
    <col min="51" max="51" width="14.28515625" bestFit="1" customWidth="1"/>
    <col min="52" max="52" width="18.140625" bestFit="1" customWidth="1"/>
    <col min="53" max="53" width="10.7109375" bestFit="1" customWidth="1"/>
    <col min="54" max="54" width="12.28515625" bestFit="1" customWidth="1"/>
  </cols>
  <sheetData>
    <row r="1" spans="1:49" s="99" customFormat="1" ht="39" customHeight="1" x14ac:dyDescent="0.25"/>
    <row r="2" spans="1:49" s="99" customFormat="1" ht="72" customHeight="1" x14ac:dyDescent="0.25"/>
    <row r="3" spans="1:49" x14ac:dyDescent="0.25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25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25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25">
      <c r="A6" s="102"/>
      <c r="B6" s="61"/>
      <c r="C6" s="61"/>
      <c r="D6" s="61"/>
      <c r="F6" s="88"/>
      <c r="G6" s="61"/>
      <c r="H6" s="61"/>
      <c r="I6" s="61"/>
      <c r="K6" s="88"/>
      <c r="L6" s="61"/>
      <c r="M6" s="61"/>
      <c r="N6" s="61"/>
      <c r="P6" s="83"/>
      <c r="Q6" s="61"/>
      <c r="R6" s="61"/>
      <c r="S6" s="61"/>
      <c r="U6" s="83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25">
      <c r="A7" s="102"/>
      <c r="B7" s="61"/>
      <c r="C7" s="61"/>
      <c r="D7" s="61"/>
      <c r="F7" s="88"/>
      <c r="G7" s="61"/>
      <c r="H7" s="61"/>
      <c r="I7" s="61"/>
      <c r="K7" s="88"/>
      <c r="L7" s="61"/>
      <c r="M7" s="61"/>
      <c r="N7" s="61"/>
      <c r="P7" s="83"/>
      <c r="Q7" s="61"/>
      <c r="R7" s="61"/>
      <c r="S7" s="61"/>
      <c r="U7" s="83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25">
      <c r="A8" s="102"/>
      <c r="B8" s="61"/>
      <c r="C8" s="61"/>
      <c r="D8" s="61"/>
      <c r="F8" s="88"/>
      <c r="G8" s="61"/>
      <c r="H8" s="61"/>
      <c r="I8" s="61"/>
      <c r="K8" s="88"/>
      <c r="L8" s="61"/>
      <c r="M8" s="61"/>
      <c r="N8" s="61"/>
      <c r="P8" s="83"/>
      <c r="Q8" s="61"/>
      <c r="R8" s="61"/>
      <c r="S8" s="61"/>
      <c r="U8" s="83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25">
      <c r="A9" s="102"/>
      <c r="B9" s="61"/>
      <c r="C9" s="61"/>
      <c r="D9" s="61"/>
      <c r="F9" s="88"/>
      <c r="G9" s="61"/>
      <c r="H9" s="61"/>
      <c r="I9" s="61"/>
      <c r="K9" s="88"/>
      <c r="L9" s="61"/>
      <c r="M9" s="61"/>
      <c r="N9" s="61"/>
      <c r="P9" s="83"/>
      <c r="Q9" s="61"/>
      <c r="R9" s="61"/>
      <c r="S9" s="61"/>
      <c r="U9" s="83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25">
      <c r="A10" s="102"/>
      <c r="B10" s="61"/>
      <c r="C10" s="61"/>
      <c r="D10" s="61"/>
      <c r="F10" s="88"/>
      <c r="G10" s="61"/>
      <c r="H10" s="61"/>
      <c r="I10" s="61"/>
      <c r="K10" s="88"/>
      <c r="L10" s="61"/>
      <c r="M10" s="61"/>
      <c r="N10" s="61"/>
      <c r="P10" s="83"/>
      <c r="Q10" s="61"/>
      <c r="R10" s="61"/>
      <c r="S10" s="61"/>
      <c r="U10" s="83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25">
      <c r="A11" s="102"/>
      <c r="B11" s="61"/>
      <c r="C11" s="61"/>
      <c r="D11" s="61"/>
      <c r="F11" s="88"/>
      <c r="G11" s="61"/>
      <c r="H11" s="61"/>
      <c r="I11" s="61"/>
      <c r="K11" s="88"/>
      <c r="L11" s="61"/>
      <c r="M11" s="61"/>
      <c r="N11" s="61"/>
      <c r="P11" s="83"/>
      <c r="Q11" s="61"/>
      <c r="R11" s="61"/>
      <c r="S11" s="61"/>
      <c r="U11" s="83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25">
      <c r="A12" s="102"/>
      <c r="B12" s="61"/>
      <c r="C12" s="61"/>
      <c r="D12" s="61"/>
      <c r="F12" s="88"/>
      <c r="G12" s="61"/>
      <c r="H12" s="61"/>
      <c r="I12" s="61"/>
      <c r="K12" s="88"/>
      <c r="L12" s="61"/>
      <c r="M12" s="61"/>
      <c r="N12" s="61"/>
      <c r="P12" s="83"/>
      <c r="Q12" s="61"/>
      <c r="R12" s="61"/>
      <c r="S12" s="61"/>
      <c r="U12" s="83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25">
      <c r="A13" s="102"/>
      <c r="B13" s="61"/>
      <c r="C13" s="61"/>
      <c r="D13" s="61"/>
      <c r="F13" s="88"/>
      <c r="G13" s="61"/>
      <c r="H13" s="61"/>
      <c r="I13" s="61"/>
      <c r="K13" s="88"/>
      <c r="L13" s="61"/>
      <c r="M13" s="61"/>
      <c r="N13" s="61"/>
      <c r="P13" s="83"/>
      <c r="Q13" s="61"/>
      <c r="R13" s="61"/>
      <c r="S13" s="61"/>
      <c r="U13" s="83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25">
      <c r="A14" s="102"/>
      <c r="B14" s="61"/>
      <c r="C14" s="61"/>
      <c r="D14" s="61"/>
      <c r="F14" s="88"/>
      <c r="G14" s="61"/>
      <c r="H14" s="61"/>
      <c r="I14" s="61"/>
      <c r="K14" s="88"/>
      <c r="L14" s="61"/>
      <c r="M14" s="61"/>
      <c r="N14" s="61"/>
      <c r="P14" s="83"/>
      <c r="Q14" s="61"/>
      <c r="R14" s="61"/>
      <c r="S14" s="61"/>
      <c r="U14" s="83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25">
      <c r="A15" s="102"/>
      <c r="B15" s="61"/>
      <c r="C15" s="61"/>
      <c r="D15" s="61"/>
      <c r="F15" s="88"/>
      <c r="G15" s="61"/>
      <c r="H15" s="61"/>
      <c r="I15" s="61"/>
      <c r="K15" s="88"/>
      <c r="L15" s="61"/>
      <c r="M15" s="61"/>
      <c r="N15" s="61"/>
      <c r="P15" s="83"/>
      <c r="Q15" s="61"/>
      <c r="R15" s="61"/>
      <c r="S15" s="61"/>
      <c r="U15" s="83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25">
      <c r="A16" s="102"/>
      <c r="B16" s="61"/>
      <c r="C16" s="61"/>
      <c r="D16" s="61"/>
      <c r="F16" s="88"/>
      <c r="G16" s="61"/>
      <c r="H16" s="61"/>
      <c r="I16" s="61"/>
      <c r="K16" s="88"/>
      <c r="L16" s="61"/>
      <c r="M16" s="61"/>
      <c r="N16" s="61"/>
      <c r="P16" s="83"/>
      <c r="Q16" s="61"/>
      <c r="R16" s="61"/>
      <c r="S16" s="61"/>
      <c r="U16" s="83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25">
      <c r="A17" s="102"/>
      <c r="B17" s="61"/>
      <c r="C17" s="61"/>
      <c r="D17" s="61"/>
      <c r="F17" s="88"/>
      <c r="G17" s="61"/>
      <c r="H17" s="61"/>
      <c r="I17" s="61"/>
      <c r="K17" s="88"/>
      <c r="L17" s="61"/>
      <c r="M17" s="61"/>
      <c r="N17" s="61"/>
      <c r="P17" s="83"/>
      <c r="Q17" s="61"/>
      <c r="R17" s="61"/>
      <c r="S17" s="61"/>
      <c r="U17" s="83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25">
      <c r="A18" s="102"/>
      <c r="B18" s="61"/>
      <c r="C18" s="61"/>
      <c r="D18" s="61"/>
      <c r="F18" s="88"/>
      <c r="G18" s="61"/>
      <c r="H18" s="61"/>
      <c r="I18" s="61"/>
      <c r="K18" s="88"/>
      <c r="L18" s="61"/>
      <c r="M18" s="61"/>
      <c r="N18" s="61"/>
      <c r="P18" s="83"/>
      <c r="Q18" s="61"/>
      <c r="R18" s="61"/>
      <c r="S18" s="61"/>
      <c r="U18" s="83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25">
      <c r="A19" s="102"/>
      <c r="B19" s="61"/>
      <c r="C19" s="61"/>
      <c r="D19" s="61"/>
      <c r="F19" s="88"/>
      <c r="G19" s="61"/>
      <c r="H19" s="61"/>
      <c r="I19" s="61"/>
      <c r="K19" s="83"/>
      <c r="L19" s="61"/>
      <c r="M19" s="61"/>
      <c r="N19" s="61"/>
      <c r="P19" s="83"/>
      <c r="Q19" s="61"/>
      <c r="R19" s="61"/>
      <c r="S19" s="61"/>
      <c r="U19" s="83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25">
      <c r="A20" s="102"/>
      <c r="B20" s="61"/>
      <c r="C20" s="61"/>
      <c r="D20" s="61"/>
      <c r="F20" s="88"/>
      <c r="G20" s="61"/>
      <c r="H20" s="61"/>
      <c r="I20" s="61"/>
      <c r="K20" s="83"/>
      <c r="L20" s="61"/>
      <c r="M20" s="61"/>
      <c r="N20" s="61"/>
      <c r="P20" s="83"/>
      <c r="Q20" s="61"/>
      <c r="R20" s="61"/>
      <c r="S20" s="61"/>
      <c r="U20" s="83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25">
      <c r="A21" s="102"/>
      <c r="B21" s="61"/>
      <c r="C21" s="61"/>
      <c r="D21" s="61"/>
      <c r="F21" s="88"/>
      <c r="G21" s="61"/>
      <c r="H21" s="61"/>
      <c r="I21" s="61"/>
      <c r="K21" s="83"/>
      <c r="L21" s="61"/>
      <c r="M21" s="61"/>
      <c r="N21" s="61"/>
      <c r="P21" s="83"/>
      <c r="Q21" s="61"/>
      <c r="R21" s="61"/>
      <c r="S21" s="61"/>
      <c r="U21" s="83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25">
      <c r="A22" s="102"/>
      <c r="B22" s="61"/>
      <c r="C22" s="61"/>
      <c r="D22" s="61"/>
      <c r="F22" s="88"/>
      <c r="G22" s="61"/>
      <c r="H22" s="61"/>
      <c r="I22" s="61"/>
      <c r="K22" s="83"/>
      <c r="L22" s="61"/>
      <c r="M22" s="61"/>
      <c r="N22" s="61"/>
      <c r="P22" s="83"/>
      <c r="Q22" s="61"/>
      <c r="R22" s="61"/>
      <c r="S22" s="61"/>
      <c r="U22" s="83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25">
      <c r="A23" s="102"/>
      <c r="B23" s="61"/>
      <c r="C23" s="61"/>
      <c r="D23" s="61"/>
      <c r="F23" s="88"/>
      <c r="G23" s="61"/>
      <c r="H23" s="61"/>
      <c r="I23" s="61"/>
      <c r="K23" s="83"/>
      <c r="L23" s="61"/>
      <c r="M23" s="61"/>
      <c r="N23" s="61"/>
      <c r="P23" s="83"/>
      <c r="Q23" s="61"/>
      <c r="R23" s="61"/>
      <c r="S23" s="61"/>
      <c r="U23" s="83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25">
      <c r="A24" s="102"/>
      <c r="B24" s="61"/>
      <c r="C24" s="61"/>
      <c r="D24" s="61"/>
      <c r="F24" s="88"/>
      <c r="G24" s="61"/>
      <c r="H24" s="61"/>
      <c r="I24" s="61"/>
      <c r="K24" s="83"/>
      <c r="L24" s="61"/>
      <c r="M24" s="61"/>
      <c r="N24" s="61"/>
      <c r="P24" s="83"/>
      <c r="Q24" s="61"/>
      <c r="R24" s="61"/>
      <c r="S24" s="61"/>
      <c r="U24" s="83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25">
      <c r="A25" s="102"/>
      <c r="B25" s="61"/>
      <c r="C25" s="61"/>
      <c r="D25" s="61"/>
      <c r="F25" s="88"/>
      <c r="G25" s="61"/>
      <c r="H25" s="61"/>
      <c r="I25" s="61"/>
      <c r="K25" s="83"/>
      <c r="L25" s="61"/>
      <c r="M25" s="61"/>
      <c r="N25" s="61"/>
      <c r="P25" s="83"/>
      <c r="Q25" s="61"/>
      <c r="R25" s="61"/>
      <c r="S25" s="61"/>
      <c r="U25" s="83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25">
      <c r="A26" s="102"/>
      <c r="B26" s="61"/>
      <c r="C26" s="61"/>
      <c r="D26" s="61"/>
      <c r="F26" s="88"/>
      <c r="G26" s="61"/>
      <c r="H26" s="61"/>
      <c r="I26" s="61"/>
      <c r="K26" s="83"/>
      <c r="L26" s="61"/>
      <c r="M26" s="61"/>
      <c r="N26" s="61"/>
      <c r="P26" s="83"/>
      <c r="Q26" s="61"/>
      <c r="R26" s="61"/>
      <c r="S26" s="61"/>
      <c r="U26" s="83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25">
      <c r="A27" s="102"/>
      <c r="B27" s="61"/>
      <c r="C27" s="61"/>
      <c r="D27" s="61"/>
      <c r="F27" s="88"/>
      <c r="G27" s="61"/>
      <c r="H27" s="61"/>
      <c r="I27" s="61"/>
      <c r="K27" s="83"/>
      <c r="L27" s="61"/>
      <c r="M27" s="61"/>
      <c r="N27" s="61"/>
      <c r="P27" s="83"/>
      <c r="Q27" s="61"/>
      <c r="R27" s="61"/>
      <c r="S27" s="61"/>
      <c r="U27" s="83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25">
      <c r="A28" s="102"/>
      <c r="B28" s="61"/>
      <c r="C28" s="61"/>
      <c r="D28" s="61"/>
      <c r="F28" s="88"/>
      <c r="G28" s="61"/>
      <c r="H28" s="61"/>
      <c r="I28" s="61"/>
      <c r="K28" s="69"/>
      <c r="L28" s="61"/>
      <c r="M28" s="61"/>
      <c r="N28" s="61"/>
      <c r="P28" s="83"/>
      <c r="Q28" s="61"/>
      <c r="R28" s="61"/>
      <c r="S28" s="61"/>
      <c r="U28" s="83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25">
      <c r="A29" s="102"/>
      <c r="B29" s="61"/>
      <c r="C29" s="61"/>
      <c r="D29" s="61"/>
      <c r="F29" s="88"/>
      <c r="G29" s="61"/>
      <c r="H29" s="61"/>
      <c r="I29" s="61"/>
      <c r="K29" s="69"/>
      <c r="L29" s="61"/>
      <c r="M29" s="61"/>
      <c r="N29" s="61"/>
      <c r="P29" s="83"/>
      <c r="Q29" s="61"/>
      <c r="R29" s="61"/>
      <c r="S29" s="61"/>
      <c r="U29" s="83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25">
      <c r="A30" s="102"/>
      <c r="B30" s="61"/>
      <c r="C30" s="61"/>
      <c r="D30" s="61"/>
      <c r="F30" s="88"/>
      <c r="G30" s="61"/>
      <c r="H30" s="61"/>
      <c r="I30" s="61"/>
      <c r="K30" s="69"/>
      <c r="L30" s="61"/>
      <c r="M30" s="61"/>
      <c r="N30" s="61"/>
      <c r="P30" s="83"/>
      <c r="Q30" s="61"/>
      <c r="R30" s="61"/>
      <c r="S30" s="61"/>
      <c r="U30" s="83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25">
      <c r="A31" s="102"/>
      <c r="B31" s="61"/>
      <c r="C31" s="61"/>
      <c r="D31" s="61"/>
      <c r="F31" s="88"/>
      <c r="G31" s="61"/>
      <c r="H31" s="61"/>
      <c r="I31" s="61"/>
      <c r="K31" s="69"/>
      <c r="L31" s="61"/>
      <c r="M31" s="61"/>
      <c r="N31" s="61"/>
      <c r="P31" s="83"/>
      <c r="Q31" s="61"/>
      <c r="R31" s="61"/>
      <c r="S31" s="61"/>
      <c r="U31" s="83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25">
      <c r="A32" s="102"/>
      <c r="B32" s="61"/>
      <c r="C32" s="61"/>
      <c r="D32" s="61"/>
      <c r="F32" s="88"/>
      <c r="G32" s="61"/>
      <c r="H32" s="61"/>
      <c r="I32" s="61"/>
      <c r="K32" s="69"/>
      <c r="L32" s="61"/>
      <c r="M32" s="61"/>
      <c r="N32" s="61"/>
      <c r="P32" s="83"/>
      <c r="Q32" s="61"/>
      <c r="R32" s="61"/>
      <c r="S32" s="61"/>
      <c r="U32" s="83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25">
      <c r="A33" s="102"/>
      <c r="B33" s="61"/>
      <c r="C33" s="61"/>
      <c r="D33" s="61"/>
      <c r="F33" s="88"/>
      <c r="G33" s="61"/>
      <c r="H33" s="61"/>
      <c r="I33" s="61"/>
      <c r="K33" s="69"/>
      <c r="L33" s="61"/>
      <c r="M33" s="61"/>
      <c r="N33" s="61"/>
      <c r="P33" s="83"/>
      <c r="Q33" s="61"/>
      <c r="R33" s="61"/>
      <c r="S33" s="61"/>
      <c r="U33" s="83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25">
      <c r="A34" s="102"/>
      <c r="B34" s="61"/>
      <c r="C34" s="61"/>
      <c r="D34" s="61"/>
      <c r="F34" s="88"/>
      <c r="G34" s="61"/>
      <c r="H34" s="61"/>
      <c r="I34" s="61"/>
      <c r="K34" s="69"/>
      <c r="L34" s="61"/>
      <c r="M34" s="61"/>
      <c r="N34" s="61"/>
      <c r="P34" s="83"/>
      <c r="Q34" s="61"/>
      <c r="R34" s="61"/>
      <c r="S34" s="61"/>
      <c r="U34" s="83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25">
      <c r="A35" s="102"/>
      <c r="B35" s="61"/>
      <c r="C35" s="61"/>
      <c r="D35" s="61"/>
      <c r="F35" s="88"/>
      <c r="G35" s="61"/>
      <c r="H35" s="61"/>
      <c r="I35" s="61"/>
      <c r="K35" s="69"/>
      <c r="L35" s="61"/>
      <c r="M35" s="61"/>
      <c r="N35" s="61"/>
      <c r="P35" s="83"/>
      <c r="Q35" s="61"/>
      <c r="R35" s="61"/>
      <c r="S35" s="61"/>
      <c r="U35" s="83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25">
      <c r="A36" s="102"/>
      <c r="B36" s="61"/>
      <c r="C36" s="61"/>
      <c r="D36" s="61"/>
      <c r="F36" s="88"/>
      <c r="G36" s="61"/>
      <c r="H36" s="61"/>
      <c r="I36" s="61"/>
      <c r="K36" s="69"/>
      <c r="L36" s="61"/>
      <c r="M36" s="61"/>
      <c r="N36" s="61"/>
      <c r="P36" s="83"/>
      <c r="Q36" s="61"/>
      <c r="R36" s="61"/>
      <c r="S36" s="61"/>
      <c r="U36" s="83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25">
      <c r="A37" s="102"/>
      <c r="B37" s="61"/>
      <c r="C37" s="61"/>
      <c r="D37" s="61"/>
      <c r="F37" s="88"/>
      <c r="G37" s="61"/>
      <c r="H37" s="61"/>
      <c r="I37" s="61"/>
      <c r="K37" s="69"/>
      <c r="L37" s="61"/>
      <c r="M37" s="61"/>
      <c r="N37" s="61"/>
      <c r="P37" s="83"/>
      <c r="Q37" s="61"/>
      <c r="R37" s="61"/>
      <c r="S37" s="61"/>
      <c r="U37" s="83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25">
      <c r="A38" s="102"/>
      <c r="B38" s="61"/>
      <c r="C38" s="61"/>
      <c r="D38" s="61"/>
      <c r="F38" s="88"/>
      <c r="G38" s="61"/>
      <c r="H38" s="61"/>
      <c r="I38" s="61"/>
      <c r="K38" s="69"/>
      <c r="L38" s="61"/>
      <c r="M38" s="61"/>
      <c r="N38" s="61"/>
      <c r="P38" s="83"/>
      <c r="Q38" s="61"/>
      <c r="R38" s="61"/>
      <c r="S38" s="61"/>
      <c r="U38" s="83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25">
      <c r="A39" s="102"/>
      <c r="B39" s="61"/>
      <c r="C39" s="61"/>
      <c r="D39" s="61"/>
      <c r="F39" s="88"/>
      <c r="G39" s="61"/>
      <c r="H39" s="61"/>
      <c r="I39" s="61"/>
      <c r="K39" s="63"/>
      <c r="L39" s="61"/>
      <c r="M39" s="61"/>
      <c r="N39" s="61"/>
      <c r="P39" s="83"/>
      <c r="Q39" s="61"/>
      <c r="R39" s="61"/>
      <c r="S39" s="61"/>
      <c r="U39" s="83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25">
      <c r="A40" s="102"/>
      <c r="B40" s="61"/>
      <c r="C40" s="61"/>
      <c r="D40" s="61"/>
      <c r="F40" s="88"/>
      <c r="G40" s="61"/>
      <c r="H40" s="61"/>
      <c r="I40" s="61"/>
      <c r="K40" s="63"/>
      <c r="L40" s="61"/>
      <c r="M40" s="61"/>
      <c r="N40" s="61"/>
      <c r="P40" s="83"/>
      <c r="Q40" s="61"/>
      <c r="R40" s="61"/>
      <c r="S40" s="61"/>
      <c r="U40" s="83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25">
      <c r="A41" s="102"/>
      <c r="B41" s="61"/>
      <c r="C41" s="61"/>
      <c r="D41" s="61"/>
      <c r="F41" s="88"/>
      <c r="G41" s="61"/>
      <c r="H41" s="61"/>
      <c r="I41" s="61"/>
      <c r="K41" s="63"/>
      <c r="L41" s="61"/>
      <c r="M41" s="61"/>
      <c r="N41" s="61"/>
      <c r="P41" s="83"/>
      <c r="Q41" s="61"/>
      <c r="R41" s="61"/>
      <c r="S41" s="61"/>
      <c r="U41" s="83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25">
      <c r="A42" s="102"/>
      <c r="B42" s="61"/>
      <c r="C42" s="61"/>
      <c r="D42" s="61"/>
      <c r="F42" s="88"/>
      <c r="G42" s="61"/>
      <c r="H42" s="61"/>
      <c r="I42" s="61"/>
      <c r="K42" s="63"/>
      <c r="L42" s="61"/>
      <c r="M42" s="61"/>
      <c r="N42" s="61"/>
      <c r="P42" s="83"/>
      <c r="Q42" s="61"/>
      <c r="R42" s="61"/>
      <c r="S42" s="61"/>
      <c r="U42" s="83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25">
      <c r="A43" s="102"/>
      <c r="B43" s="61"/>
      <c r="C43" s="61"/>
      <c r="D43" s="61"/>
      <c r="F43" s="14"/>
      <c r="G43" s="14"/>
      <c r="H43" s="14"/>
      <c r="I43" s="14"/>
      <c r="K43" s="14"/>
      <c r="L43" s="14"/>
      <c r="M43" s="14"/>
      <c r="N43" s="14"/>
      <c r="P43" s="83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25">
      <c r="A44" s="102"/>
      <c r="B44" s="61"/>
      <c r="C44" s="61"/>
      <c r="D44" s="61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25">
      <c r="A45" s="102"/>
      <c r="B45" s="61"/>
      <c r="C45" s="61"/>
      <c r="D45" s="61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25">
      <c r="A46" s="102"/>
      <c r="B46" s="61"/>
      <c r="C46" s="61"/>
      <c r="D46" s="61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25">
      <c r="A47" s="102"/>
      <c r="B47" s="61"/>
      <c r="C47" s="61"/>
      <c r="D47" s="61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25">
      <c r="A48" s="102"/>
      <c r="B48" s="61"/>
      <c r="C48" s="61"/>
      <c r="D48" s="61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25">
      <c r="A49" s="102"/>
      <c r="B49" s="61"/>
      <c r="C49" s="61"/>
      <c r="D49" s="61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25">
      <c r="A50" s="102"/>
      <c r="B50" s="61"/>
      <c r="C50" s="61"/>
      <c r="D50" s="61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25">
      <c r="A51" s="103"/>
      <c r="B51" s="104"/>
      <c r="C51" s="104"/>
      <c r="D51" s="104"/>
    </row>
    <row r="52" spans="1:49" x14ac:dyDescent="0.25">
      <c r="A52" s="103"/>
      <c r="B52" s="104"/>
      <c r="C52" s="104"/>
      <c r="D52" s="104"/>
    </row>
    <row r="53" spans="1:49" x14ac:dyDescent="0.25">
      <c r="A53" s="103"/>
      <c r="B53" s="104"/>
      <c r="C53" s="104"/>
      <c r="D53" s="104"/>
    </row>
    <row r="54" spans="1:49" x14ac:dyDescent="0.25">
      <c r="A54" s="103"/>
      <c r="B54" s="104"/>
      <c r="C54" s="104"/>
      <c r="D54" s="104"/>
    </row>
    <row r="55" spans="1:49" x14ac:dyDescent="0.25">
      <c r="A55" s="103"/>
      <c r="B55" s="104"/>
      <c r="C55" s="104"/>
      <c r="D55" s="104"/>
    </row>
    <row r="56" spans="1:49" x14ac:dyDescent="0.25">
      <c r="A56" s="103"/>
      <c r="B56" s="104"/>
      <c r="C56" s="104"/>
      <c r="D56" s="104"/>
    </row>
    <row r="57" spans="1:49" x14ac:dyDescent="0.25">
      <c r="A57" s="103"/>
      <c r="B57" s="104"/>
      <c r="C57" s="104"/>
      <c r="D57" s="104"/>
    </row>
    <row r="58" spans="1:49" x14ac:dyDescent="0.25">
      <c r="A58" s="103"/>
      <c r="B58" s="104"/>
      <c r="C58" s="104"/>
      <c r="D58" s="104"/>
    </row>
    <row r="59" spans="1:49" x14ac:dyDescent="0.25">
      <c r="A59" s="103"/>
      <c r="B59" s="104"/>
      <c r="C59" s="104"/>
      <c r="D59" s="104"/>
    </row>
    <row r="60" spans="1:49" x14ac:dyDescent="0.25">
      <c r="A60" s="103"/>
      <c r="B60" s="104"/>
      <c r="C60" s="104"/>
      <c r="D60" s="104"/>
    </row>
    <row r="61" spans="1:49" x14ac:dyDescent="0.25">
      <c r="A61" s="103"/>
      <c r="B61" s="104"/>
      <c r="C61" s="104"/>
      <c r="D61" s="104"/>
    </row>
    <row r="62" spans="1:49" x14ac:dyDescent="0.25">
      <c r="A62" s="103"/>
      <c r="B62" s="104"/>
      <c r="C62" s="104"/>
      <c r="D62" s="104"/>
    </row>
    <row r="63" spans="1:49" x14ac:dyDescent="0.25">
      <c r="A63" s="103"/>
      <c r="B63" s="104"/>
      <c r="C63" s="104"/>
      <c r="D63" s="104"/>
    </row>
    <row r="64" spans="1:49" x14ac:dyDescent="0.25">
      <c r="A64" s="103"/>
      <c r="B64" s="104"/>
      <c r="C64" s="104"/>
      <c r="D64" s="104"/>
    </row>
    <row r="65" spans="1:4" x14ac:dyDescent="0.25">
      <c r="A65" s="103"/>
      <c r="B65" s="104"/>
      <c r="C65" s="104"/>
      <c r="D65" s="104"/>
    </row>
    <row r="66" spans="1:4" x14ac:dyDescent="0.25">
      <c r="A66" s="103"/>
      <c r="B66" s="104"/>
      <c r="C66" s="104"/>
      <c r="D66" s="104"/>
    </row>
    <row r="67" spans="1:4" x14ac:dyDescent="0.25">
      <c r="A67" s="103"/>
      <c r="B67" s="104"/>
      <c r="C67" s="104"/>
      <c r="D67" s="104"/>
    </row>
    <row r="68" spans="1:4" x14ac:dyDescent="0.25">
      <c r="A68" s="103"/>
      <c r="B68" s="104"/>
      <c r="C68" s="104"/>
      <c r="D68" s="104"/>
    </row>
    <row r="69" spans="1:4" x14ac:dyDescent="0.25">
      <c r="A69" s="103"/>
      <c r="B69" s="104"/>
      <c r="C69" s="104"/>
      <c r="D69" s="104"/>
    </row>
    <row r="70" spans="1:4" x14ac:dyDescent="0.25">
      <c r="A70" s="103"/>
      <c r="B70" s="104"/>
      <c r="C70" s="104"/>
      <c r="D70" s="104"/>
    </row>
    <row r="71" spans="1:4" x14ac:dyDescent="0.25">
      <c r="A71" s="103"/>
      <c r="B71" s="104"/>
      <c r="C71" s="104"/>
      <c r="D71" s="104"/>
    </row>
    <row r="72" spans="1:4" x14ac:dyDescent="0.25">
      <c r="A72" s="103"/>
      <c r="B72" s="104"/>
      <c r="C72" s="104"/>
      <c r="D72" s="104"/>
    </row>
    <row r="73" spans="1:4" x14ac:dyDescent="0.25">
      <c r="A73" s="103"/>
      <c r="B73" s="104"/>
      <c r="C73" s="104"/>
      <c r="D73" s="104"/>
    </row>
    <row r="74" spans="1:4" x14ac:dyDescent="0.25">
      <c r="A74" s="103"/>
      <c r="B74" s="104"/>
      <c r="C74" s="104"/>
      <c r="D74" s="104"/>
    </row>
    <row r="75" spans="1:4" x14ac:dyDescent="0.25">
      <c r="A75" s="103"/>
      <c r="B75" s="104"/>
      <c r="C75" s="104"/>
      <c r="D75" s="104"/>
    </row>
    <row r="76" spans="1:4" x14ac:dyDescent="0.25">
      <c r="A76" s="103"/>
      <c r="B76" s="104"/>
      <c r="C76" s="104"/>
      <c r="D76" s="104"/>
    </row>
    <row r="77" spans="1:4" x14ac:dyDescent="0.25">
      <c r="A77" s="103"/>
      <c r="B77" s="104"/>
      <c r="C77" s="104"/>
      <c r="D77" s="104"/>
    </row>
    <row r="78" spans="1:4" x14ac:dyDescent="0.25">
      <c r="A78" s="103"/>
      <c r="B78" s="104"/>
      <c r="C78" s="104"/>
      <c r="D78" s="104"/>
    </row>
    <row r="79" spans="1:4" x14ac:dyDescent="0.25">
      <c r="A79" s="103"/>
      <c r="B79" s="104"/>
      <c r="C79" s="104"/>
      <c r="D79" s="104"/>
    </row>
    <row r="80" spans="1:4" x14ac:dyDescent="0.25">
      <c r="A80" s="103"/>
      <c r="B80" s="104"/>
      <c r="C80" s="104"/>
      <c r="D80" s="104"/>
    </row>
    <row r="81" spans="1:4" x14ac:dyDescent="0.25">
      <c r="A81" s="103"/>
      <c r="B81" s="104"/>
      <c r="C81" s="104"/>
      <c r="D81" s="104"/>
    </row>
    <row r="82" spans="1:4" x14ac:dyDescent="0.25">
      <c r="A82" s="103"/>
      <c r="B82" s="104"/>
      <c r="C82" s="104"/>
      <c r="D82" s="104"/>
    </row>
    <row r="83" spans="1:4" x14ac:dyDescent="0.25">
      <c r="A83" s="103"/>
      <c r="B83" s="104"/>
      <c r="C83" s="104"/>
      <c r="D83" s="104"/>
    </row>
    <row r="84" spans="1:4" x14ac:dyDescent="0.25">
      <c r="A84" s="103"/>
      <c r="B84" s="104"/>
      <c r="C84" s="104"/>
      <c r="D84" s="104"/>
    </row>
    <row r="85" spans="1:4" x14ac:dyDescent="0.25">
      <c r="A85" s="103"/>
      <c r="B85" s="104"/>
      <c r="C85" s="104"/>
      <c r="D85" s="104"/>
    </row>
    <row r="86" spans="1:4" x14ac:dyDescent="0.25">
      <c r="A86" s="103"/>
      <c r="B86" s="104"/>
      <c r="C86" s="104"/>
      <c r="D86" s="104"/>
    </row>
    <row r="87" spans="1:4" x14ac:dyDescent="0.25">
      <c r="A87" s="103"/>
      <c r="B87" s="104"/>
      <c r="C87" s="104"/>
      <c r="D87" s="104"/>
    </row>
    <row r="88" spans="1:4" x14ac:dyDescent="0.25">
      <c r="A88" s="103"/>
      <c r="B88" s="104"/>
      <c r="C88" s="104"/>
      <c r="D88" s="104"/>
    </row>
    <row r="89" spans="1:4" x14ac:dyDescent="0.25">
      <c r="A89" s="103"/>
      <c r="B89" s="104"/>
      <c r="C89" s="104"/>
      <c r="D89" s="104"/>
    </row>
    <row r="90" spans="1:4" x14ac:dyDescent="0.25">
      <c r="A90" s="103"/>
      <c r="B90" s="104"/>
      <c r="C90" s="104"/>
      <c r="D90" s="104"/>
    </row>
    <row r="91" spans="1:4" x14ac:dyDescent="0.25">
      <c r="A91" s="103"/>
      <c r="B91" s="104"/>
      <c r="C91" s="104"/>
      <c r="D91" s="104"/>
    </row>
    <row r="92" spans="1:4" x14ac:dyDescent="0.25">
      <c r="A92" s="103"/>
      <c r="B92" s="104"/>
      <c r="C92" s="104"/>
      <c r="D92" s="104"/>
    </row>
    <row r="93" spans="1:4" x14ac:dyDescent="0.25">
      <c r="A93" s="103"/>
      <c r="B93" s="104"/>
      <c r="C93" s="104"/>
      <c r="D93" s="104"/>
    </row>
    <row r="94" spans="1:4" x14ac:dyDescent="0.25">
      <c r="A94" s="103"/>
      <c r="B94" s="104"/>
      <c r="C94" s="104"/>
      <c r="D94" s="104"/>
    </row>
    <row r="95" spans="1:4" x14ac:dyDescent="0.25">
      <c r="A95" s="103"/>
      <c r="B95" s="104"/>
      <c r="C95" s="104"/>
      <c r="D95" s="104"/>
    </row>
    <row r="96" spans="1:4" x14ac:dyDescent="0.25">
      <c r="A96" s="103"/>
      <c r="B96" s="104"/>
      <c r="C96" s="104"/>
      <c r="D96" s="104"/>
    </row>
    <row r="97" spans="1:4" x14ac:dyDescent="0.25">
      <c r="A97" s="103"/>
      <c r="B97" s="104"/>
      <c r="C97" s="104"/>
      <c r="D97" s="104"/>
    </row>
    <row r="98" spans="1:4" x14ac:dyDescent="0.25">
      <c r="A98" s="103"/>
      <c r="B98" s="104"/>
      <c r="C98" s="104"/>
      <c r="D98" s="104"/>
    </row>
    <row r="99" spans="1:4" x14ac:dyDescent="0.25">
      <c r="A99" s="103"/>
      <c r="B99" s="104"/>
      <c r="C99" s="104"/>
      <c r="D99" s="10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D19" sqref="D19"/>
    </sheetView>
  </sheetViews>
  <sheetFormatPr defaultColWidth="8.85546875" defaultRowHeight="15" x14ac:dyDescent="0.25"/>
  <cols>
    <col min="1" max="1" width="14.5703125" style="82" customWidth="1"/>
    <col min="2" max="2" width="9.7109375" style="64" customWidth="1"/>
    <col min="3" max="3" width="10.42578125" style="65" bestFit="1" customWidth="1"/>
    <col min="4" max="4" width="14.5703125" style="82" customWidth="1"/>
    <col min="5" max="5" width="9.7109375" style="64" customWidth="1"/>
    <col min="6" max="6" width="8.85546875" style="65"/>
    <col min="7" max="7" width="14.5703125" style="82" customWidth="1"/>
    <col min="8" max="8" width="9.7109375" style="64" customWidth="1"/>
    <col min="9" max="9" width="8.85546875" style="65"/>
    <col min="10" max="10" width="13.28515625" style="82" customWidth="1"/>
    <col min="11" max="11" width="9.7109375" style="64" customWidth="1"/>
    <col min="12" max="12" width="8.85546875" style="65"/>
    <col min="13" max="13" width="14.5703125" style="82" customWidth="1"/>
    <col min="14" max="14" width="9.7109375" style="64" customWidth="1"/>
    <col min="15" max="15" width="14.28515625" style="65" bestFit="1" customWidth="1"/>
    <col min="16" max="16" width="13.28515625" style="78" bestFit="1" customWidth="1"/>
    <col min="17" max="17" width="7.28515625" style="64" bestFit="1" customWidth="1"/>
    <col min="18" max="18" width="8.85546875" style="65"/>
    <col min="19" max="19" width="9.42578125" style="65" customWidth="1"/>
    <col min="20" max="20" width="10.42578125" style="65" bestFit="1" customWidth="1"/>
    <col min="21" max="16384" width="8.85546875" style="65"/>
  </cols>
  <sheetData>
    <row r="1" spans="1:26" s="100" customFormat="1" ht="25.15" customHeight="1" x14ac:dyDescent="0.25"/>
    <row r="2" spans="1:26" s="100" customFormat="1" ht="106.15" customHeight="1" x14ac:dyDescent="0.25"/>
    <row r="3" spans="1:26" x14ac:dyDescent="0.25">
      <c r="A3" s="79"/>
      <c r="B3" s="66"/>
      <c r="D3" s="79"/>
      <c r="E3" s="66"/>
      <c r="G3" s="79"/>
      <c r="H3" s="66"/>
      <c r="J3" s="79"/>
      <c r="K3" s="66"/>
      <c r="M3" s="79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25">
      <c r="A4" s="80"/>
      <c r="B4" s="66"/>
      <c r="D4" s="80"/>
      <c r="E4" s="66"/>
      <c r="G4" s="80"/>
      <c r="H4" s="66"/>
      <c r="J4" s="80"/>
      <c r="K4" s="66"/>
      <c r="M4" s="80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25">
      <c r="A5" s="80"/>
      <c r="B5" s="66"/>
      <c r="D5" s="80"/>
      <c r="E5" s="66"/>
      <c r="G5" s="80"/>
      <c r="H5" s="66"/>
      <c r="J5" s="80"/>
      <c r="K5" s="66"/>
      <c r="M5" s="80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25">
      <c r="A6" s="105"/>
      <c r="B6" s="73"/>
      <c r="D6" s="89"/>
      <c r="E6" s="73"/>
      <c r="G6" s="89"/>
      <c r="H6" s="73"/>
      <c r="J6" s="85"/>
      <c r="K6" s="73"/>
      <c r="M6" s="84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25">
      <c r="A7" s="105"/>
      <c r="B7" s="73"/>
      <c r="D7" s="89"/>
      <c r="E7" s="73"/>
      <c r="G7" s="85"/>
      <c r="H7" s="73"/>
      <c r="J7" s="85"/>
      <c r="K7" s="73"/>
      <c r="M7" s="84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25">
      <c r="A8" s="105"/>
      <c r="B8" s="73"/>
      <c r="D8" s="89"/>
      <c r="E8" s="73"/>
      <c r="G8" s="85"/>
      <c r="H8" s="73"/>
      <c r="J8" s="86"/>
      <c r="K8" s="73"/>
      <c r="M8" s="84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25">
      <c r="A9" s="105"/>
      <c r="B9" s="73"/>
      <c r="D9" s="89"/>
      <c r="E9" s="73"/>
      <c r="G9" s="85"/>
      <c r="H9" s="73"/>
      <c r="J9" s="86"/>
      <c r="K9" s="73"/>
      <c r="M9" s="84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25">
      <c r="A10" s="105"/>
      <c r="B10" s="73"/>
      <c r="D10" s="85"/>
      <c r="E10" s="73"/>
      <c r="G10" s="85"/>
      <c r="H10" s="73"/>
      <c r="J10" s="84"/>
      <c r="K10" s="73"/>
      <c r="M10" s="84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25">
      <c r="A11" s="105"/>
      <c r="B11" s="73"/>
      <c r="D11" s="85"/>
      <c r="E11" s="73"/>
      <c r="G11" s="85"/>
      <c r="H11" s="73"/>
      <c r="J11" s="84"/>
      <c r="K11" s="73"/>
      <c r="M11" s="84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25">
      <c r="A12" s="105"/>
      <c r="B12" s="73"/>
      <c r="D12" s="85"/>
      <c r="E12" s="73"/>
      <c r="G12" s="85"/>
      <c r="H12" s="73"/>
      <c r="J12" s="84"/>
      <c r="K12" s="73"/>
      <c r="M12" s="84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25">
      <c r="A13" s="105"/>
      <c r="B13" s="73"/>
      <c r="D13" s="85"/>
      <c r="E13" s="73"/>
      <c r="G13" s="85"/>
      <c r="H13" s="73"/>
      <c r="J13" s="84"/>
      <c r="K13" s="73"/>
      <c r="M13" s="84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25">
      <c r="A14" s="105"/>
      <c r="B14" s="73"/>
      <c r="D14" s="84"/>
      <c r="E14" s="73"/>
      <c r="G14" s="84"/>
      <c r="H14" s="73"/>
      <c r="J14" s="81"/>
      <c r="K14" s="73"/>
      <c r="M14" s="81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25">
      <c r="A15" s="105"/>
      <c r="B15" s="73"/>
      <c r="D15" s="84"/>
      <c r="E15" s="73"/>
      <c r="G15" s="84"/>
      <c r="H15" s="73"/>
      <c r="J15" s="81"/>
      <c r="K15" s="73"/>
      <c r="M15" s="81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25">
      <c r="A16" s="105"/>
      <c r="B16" s="73"/>
      <c r="D16" s="81"/>
      <c r="E16" s="73"/>
      <c r="G16" s="81"/>
      <c r="H16" s="73"/>
      <c r="J16" s="81"/>
      <c r="K16" s="73"/>
      <c r="M16" s="81"/>
      <c r="N16" s="73"/>
      <c r="P16" s="77"/>
      <c r="Q16" s="73"/>
      <c r="S16" s="72"/>
      <c r="T16" s="73"/>
      <c r="V16" s="72"/>
      <c r="W16" s="73"/>
      <c r="Y16" s="72"/>
      <c r="Z16" s="73"/>
    </row>
    <row r="17" spans="1:1" x14ac:dyDescent="0.25">
      <c r="A17" s="106"/>
    </row>
    <row r="18" spans="1:1" x14ac:dyDescent="0.25">
      <c r="A18" s="106"/>
    </row>
    <row r="19" spans="1:1" x14ac:dyDescent="0.25">
      <c r="A19" s="106"/>
    </row>
    <row r="20" spans="1:1" x14ac:dyDescent="0.25">
      <c r="A20" s="106"/>
    </row>
    <row r="21" spans="1:1" x14ac:dyDescent="0.25">
      <c r="A21" s="10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5" x14ac:dyDescent="0.25"/>
  <sheetData>
    <row r="1" spans="1:6" x14ac:dyDescent="0.25">
      <c r="A1" t="s">
        <v>47</v>
      </c>
      <c r="B1" t="s">
        <v>48</v>
      </c>
      <c r="C1" t="s">
        <v>49</v>
      </c>
      <c r="D1" t="s">
        <v>50</v>
      </c>
    </row>
    <row r="2" spans="1:6" x14ac:dyDescent="0.25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25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25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25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25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25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25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25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25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25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25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25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25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25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25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25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25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25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25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25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25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25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25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25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25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25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25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25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25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25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Bao Tran Gia (DCD - RCC.FRD)</cp:lastModifiedBy>
  <cp:lastPrinted>2025-08-10T13:56:03Z</cp:lastPrinted>
  <dcterms:created xsi:type="dcterms:W3CDTF">2025-08-10T08:27:57Z</dcterms:created>
  <dcterms:modified xsi:type="dcterms:W3CDTF">2025-11-12T08:44:05Z</dcterms:modified>
</cp:coreProperties>
</file>