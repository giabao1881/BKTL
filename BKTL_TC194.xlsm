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bookViews>
    <workbookView xWindow="0" yWindow="0" windowWidth="23040" windowHeight="8496" firstSheet="2" activeTab="2"/>
  </bookViews>
  <sheets>
    <sheet name="PVSKTC" sheetId="27" state="hidden" r:id="rId1"/>
    <sheet name="SKTC" sheetId="26" state="hidden" r:id="rId2"/>
    <sheet name="THTT" sheetId="3" r:id="rId3"/>
    <sheet name="BANGTINH" sheetId="30" state="hidden" r:id="rId4"/>
    <sheet name="_LKLS_LOG" sheetId="21" state="veryHidden" r:id="rId5"/>
  </sheets>
  <definedNames>
    <definedName name="__AUTH_CACHE_OK__">FALSE</definedName>
    <definedName name="__AUTH_CACHE_TS__">"2025-09-07 03:21:58"</definedName>
    <definedName name="__RUN_ONCE_INIT__">TRUE</definedName>
    <definedName name="_xlnm._FilterDatabase" localSheetId="3" hidden="1">BANGTINH!$A$12:$L$301</definedName>
    <definedName name="_xlnm._FilterDatabase" localSheetId="1" hidden="1">SKTC!$I$6:$X$386</definedName>
    <definedName name="HTML_SKTC" localSheetId="1">SKTC!$A$1:$X$316</definedName>
    <definedName name="HTML_SKTC_1" localSheetId="1">SKTC!$A$1:$X$316</definedName>
    <definedName name="HTML_SKTC_2" localSheetId="1">SKTC!$A$1:$X$316</definedName>
    <definedName name="HTML_SKTC_3" localSheetId="1">SKTC!$A$1:$X$981</definedName>
    <definedName name="_xlnm.Print_Area" localSheetId="3">BANGTINH!$A$1:$L$310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01" i="30" l="1"/>
  <c r="G201" i="30"/>
  <c r="H201" i="30"/>
  <c r="F202" i="30"/>
  <c r="G202" i="30"/>
  <c r="H202" i="30"/>
  <c r="F203" i="30"/>
  <c r="G203" i="30"/>
  <c r="H203" i="30"/>
  <c r="F204" i="30"/>
  <c r="G204" i="30"/>
  <c r="H204" i="30"/>
  <c r="F205" i="30"/>
  <c r="G205" i="30"/>
  <c r="H205" i="30"/>
  <c r="F206" i="30"/>
  <c r="G206" i="30"/>
  <c r="H206" i="30"/>
  <c r="F207" i="30"/>
  <c r="G207" i="30"/>
  <c r="H207" i="30"/>
  <c r="F208" i="30"/>
  <c r="G208" i="30"/>
  <c r="H208" i="30"/>
  <c r="F209" i="30"/>
  <c r="G209" i="30"/>
  <c r="H209" i="30"/>
  <c r="F210" i="30"/>
  <c r="G210" i="30"/>
  <c r="H210" i="30"/>
  <c r="F211" i="30"/>
  <c r="G211" i="30"/>
  <c r="H211" i="30"/>
  <c r="F212" i="30"/>
  <c r="G212" i="30"/>
  <c r="H212" i="30"/>
  <c r="F213" i="30"/>
  <c r="G213" i="30"/>
  <c r="H213" i="30"/>
  <c r="F214" i="30"/>
  <c r="G214" i="30"/>
  <c r="H214" i="30"/>
  <c r="F215" i="30"/>
  <c r="G215" i="30"/>
  <c r="H215" i="30"/>
  <c r="F216" i="30"/>
  <c r="G216" i="30"/>
  <c r="H216" i="30"/>
  <c r="F217" i="30"/>
  <c r="G217" i="30"/>
  <c r="H217" i="30"/>
  <c r="F218" i="30"/>
  <c r="G218" i="30"/>
  <c r="H218" i="30"/>
  <c r="F219" i="30"/>
  <c r="G219" i="30"/>
  <c r="H219" i="30"/>
  <c r="F220" i="30"/>
  <c r="G220" i="30"/>
  <c r="H220" i="30"/>
  <c r="F221" i="30"/>
  <c r="G221" i="30"/>
  <c r="H221" i="30"/>
  <c r="F222" i="30"/>
  <c r="G222" i="30"/>
  <c r="H222" i="30"/>
  <c r="F223" i="30"/>
  <c r="G223" i="30"/>
  <c r="H223" i="30"/>
  <c r="F224" i="30"/>
  <c r="G224" i="30"/>
  <c r="H224" i="30"/>
  <c r="F225" i="30"/>
  <c r="G225" i="30"/>
  <c r="H225" i="30"/>
  <c r="F226" i="30"/>
  <c r="G226" i="30"/>
  <c r="H226" i="30"/>
  <c r="F227" i="30"/>
  <c r="G227" i="30"/>
  <c r="H227" i="30"/>
  <c r="F228" i="30"/>
  <c r="G228" i="30"/>
  <c r="H228" i="30"/>
  <c r="F229" i="30"/>
  <c r="G229" i="30"/>
  <c r="H229" i="30"/>
  <c r="F230" i="30"/>
  <c r="G230" i="30"/>
  <c r="H230" i="30"/>
  <c r="F231" i="30"/>
  <c r="G231" i="30"/>
  <c r="H231" i="30"/>
  <c r="F232" i="30"/>
  <c r="G232" i="30"/>
  <c r="H232" i="30"/>
  <c r="F233" i="30"/>
  <c r="G233" i="30"/>
  <c r="H233" i="30"/>
  <c r="F234" i="30"/>
  <c r="G234" i="30"/>
  <c r="H234" i="30"/>
  <c r="F235" i="30"/>
  <c r="G235" i="30"/>
  <c r="H235" i="30"/>
  <c r="F236" i="30"/>
  <c r="G236" i="30"/>
  <c r="H236" i="30"/>
  <c r="F237" i="30"/>
  <c r="G237" i="30"/>
  <c r="H237" i="30"/>
  <c r="F238" i="30"/>
  <c r="G238" i="30"/>
  <c r="H238" i="30"/>
  <c r="F239" i="30"/>
  <c r="G239" i="30"/>
  <c r="H239" i="30"/>
  <c r="F240" i="30"/>
  <c r="G240" i="30"/>
  <c r="H240" i="30"/>
  <c r="F241" i="30"/>
  <c r="G241" i="30"/>
  <c r="H241" i="30"/>
  <c r="F242" i="30"/>
  <c r="G242" i="30"/>
  <c r="H242" i="30"/>
  <c r="F243" i="30"/>
  <c r="G243" i="30"/>
  <c r="H243" i="30"/>
  <c r="F244" i="30"/>
  <c r="G244" i="30"/>
  <c r="H244" i="30"/>
  <c r="F245" i="30"/>
  <c r="G245" i="30"/>
  <c r="H245" i="30"/>
  <c r="F246" i="30"/>
  <c r="G246" i="30"/>
  <c r="H246" i="30"/>
  <c r="F247" i="30"/>
  <c r="G247" i="30"/>
  <c r="H247" i="30"/>
  <c r="F248" i="30"/>
  <c r="G248" i="30"/>
  <c r="H248" i="30"/>
  <c r="F249" i="30"/>
  <c r="G249" i="30"/>
  <c r="H249" i="30"/>
  <c r="F250" i="30"/>
  <c r="G250" i="30"/>
  <c r="H250" i="30"/>
  <c r="F251" i="30"/>
  <c r="G251" i="30"/>
  <c r="H251" i="30"/>
  <c r="F252" i="30"/>
  <c r="G252" i="30"/>
  <c r="H252" i="30"/>
  <c r="F253" i="30"/>
  <c r="G253" i="30"/>
  <c r="H253" i="30"/>
  <c r="F254" i="30"/>
  <c r="G254" i="30"/>
  <c r="H254" i="30"/>
  <c r="F255" i="30"/>
  <c r="G255" i="30"/>
  <c r="H255" i="30"/>
  <c r="F256" i="30"/>
  <c r="G256" i="30"/>
  <c r="H256" i="30"/>
  <c r="F257" i="30"/>
  <c r="G257" i="30"/>
  <c r="H257" i="30"/>
  <c r="F258" i="30"/>
  <c r="G258" i="30"/>
  <c r="H258" i="30"/>
  <c r="F259" i="30"/>
  <c r="G259" i="30"/>
  <c r="H259" i="30"/>
  <c r="F260" i="30"/>
  <c r="G260" i="30"/>
  <c r="H260" i="30"/>
  <c r="F261" i="30"/>
  <c r="G261" i="30"/>
  <c r="H261" i="30"/>
  <c r="F262" i="30"/>
  <c r="G262" i="30"/>
  <c r="H262" i="30"/>
  <c r="F263" i="30"/>
  <c r="G263" i="30"/>
  <c r="H263" i="30"/>
  <c r="F264" i="30"/>
  <c r="G264" i="30"/>
  <c r="H264" i="30"/>
  <c r="F265" i="30"/>
  <c r="G265" i="30"/>
  <c r="H265" i="30"/>
  <c r="F266" i="30"/>
  <c r="G266" i="30"/>
  <c r="H266" i="30"/>
  <c r="F267" i="30"/>
  <c r="G267" i="30"/>
  <c r="H267" i="30"/>
  <c r="F268" i="30"/>
  <c r="G268" i="30"/>
  <c r="H268" i="30"/>
  <c r="F269" i="30"/>
  <c r="G269" i="30"/>
  <c r="H269" i="30"/>
  <c r="F270" i="30"/>
  <c r="G270" i="30"/>
  <c r="H270" i="30"/>
  <c r="F271" i="30"/>
  <c r="G271" i="30"/>
  <c r="H271" i="30"/>
  <c r="F272" i="30"/>
  <c r="G272" i="30"/>
  <c r="H272" i="30"/>
  <c r="F273" i="30"/>
  <c r="G273" i="30"/>
  <c r="H273" i="30"/>
  <c r="F274" i="30"/>
  <c r="G274" i="30"/>
  <c r="H274" i="30"/>
  <c r="F275" i="30"/>
  <c r="G275" i="30"/>
  <c r="H275" i="30"/>
  <c r="F276" i="30"/>
  <c r="G276" i="30"/>
  <c r="H276" i="30"/>
  <c r="F277" i="30"/>
  <c r="G277" i="30"/>
  <c r="H277" i="30"/>
  <c r="F278" i="30"/>
  <c r="G278" i="30"/>
  <c r="H278" i="30"/>
  <c r="F279" i="30"/>
  <c r="G279" i="30"/>
  <c r="H279" i="30"/>
  <c r="F280" i="30"/>
  <c r="G280" i="30"/>
  <c r="H280" i="30"/>
  <c r="F281" i="30"/>
  <c r="G281" i="30"/>
  <c r="H281" i="30"/>
  <c r="F282" i="30"/>
  <c r="G282" i="30"/>
  <c r="H282" i="30"/>
  <c r="F283" i="30"/>
  <c r="G283" i="30"/>
  <c r="H283" i="30"/>
  <c r="F284" i="30"/>
  <c r="G284" i="30"/>
  <c r="H284" i="30"/>
  <c r="F285" i="30"/>
  <c r="G285" i="30"/>
  <c r="H285" i="30"/>
  <c r="F286" i="30"/>
  <c r="G286" i="30"/>
  <c r="H286" i="30"/>
  <c r="F287" i="30"/>
  <c r="G287" i="30"/>
  <c r="H287" i="30"/>
  <c r="F288" i="30"/>
  <c r="G288" i="30"/>
  <c r="H288" i="30"/>
  <c r="F289" i="30"/>
  <c r="G289" i="30"/>
  <c r="H289" i="30"/>
  <c r="F290" i="30"/>
  <c r="G290" i="30"/>
  <c r="H290" i="30"/>
  <c r="F291" i="30"/>
  <c r="G291" i="30"/>
  <c r="H291" i="30"/>
  <c r="F292" i="30"/>
  <c r="G292" i="30"/>
  <c r="H292" i="30"/>
  <c r="F293" i="30"/>
  <c r="G293" i="30"/>
  <c r="H293" i="30"/>
  <c r="F294" i="30"/>
  <c r="G294" i="30"/>
  <c r="H294" i="30"/>
  <c r="F295" i="30"/>
  <c r="G295" i="30"/>
  <c r="H295" i="30"/>
  <c r="F296" i="30"/>
  <c r="G296" i="30"/>
  <c r="H296" i="30"/>
  <c r="F297" i="30"/>
  <c r="G297" i="30"/>
  <c r="H297" i="30"/>
  <c r="F298" i="30"/>
  <c r="G298" i="30"/>
  <c r="H298" i="30"/>
  <c r="F299" i="30"/>
  <c r="G299" i="30"/>
  <c r="H299" i="30"/>
  <c r="F300" i="30"/>
  <c r="G300" i="30"/>
  <c r="H300" i="30"/>
  <c r="A5" i="3"/>
  <c r="J307" i="30" l="1"/>
  <c r="H14" i="30" l="1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H34" i="30"/>
  <c r="H35" i="30"/>
  <c r="H36" i="30"/>
  <c r="H37" i="30"/>
  <c r="H38" i="30"/>
  <c r="H39" i="30"/>
  <c r="H40" i="30"/>
  <c r="H41" i="30"/>
  <c r="H42" i="30"/>
  <c r="H43" i="30"/>
  <c r="H44" i="30"/>
  <c r="H45" i="30"/>
  <c r="H46" i="30"/>
  <c r="H47" i="30"/>
  <c r="H48" i="30"/>
  <c r="H49" i="30"/>
  <c r="H50" i="30"/>
  <c r="H51" i="30"/>
  <c r="H52" i="30"/>
  <c r="H53" i="30"/>
  <c r="H54" i="30"/>
  <c r="H55" i="30"/>
  <c r="H56" i="30"/>
  <c r="H57" i="30"/>
  <c r="H58" i="30"/>
  <c r="H59" i="30"/>
  <c r="H60" i="30"/>
  <c r="H61" i="30"/>
  <c r="H62" i="30"/>
  <c r="H63" i="30"/>
  <c r="H64" i="30"/>
  <c r="H65" i="30"/>
  <c r="H66" i="30"/>
  <c r="H67" i="30"/>
  <c r="H68" i="30"/>
  <c r="H69" i="30"/>
  <c r="H70" i="30"/>
  <c r="H71" i="30"/>
  <c r="H72" i="30"/>
  <c r="H73" i="30"/>
  <c r="H74" i="30"/>
  <c r="H75" i="30"/>
  <c r="H76" i="30"/>
  <c r="H77" i="30"/>
  <c r="H78" i="30"/>
  <c r="H79" i="30"/>
  <c r="H80" i="30"/>
  <c r="H81" i="30"/>
  <c r="H82" i="30"/>
  <c r="H83" i="30"/>
  <c r="H84" i="30"/>
  <c r="H85" i="30"/>
  <c r="H86" i="30"/>
  <c r="H87" i="30"/>
  <c r="H88" i="30"/>
  <c r="H89" i="30"/>
  <c r="H90" i="30"/>
  <c r="H91" i="30"/>
  <c r="H92" i="30"/>
  <c r="H93" i="30"/>
  <c r="H94" i="30"/>
  <c r="H95" i="30"/>
  <c r="H96" i="30"/>
  <c r="H97" i="30"/>
  <c r="H98" i="30"/>
  <c r="H99" i="30"/>
  <c r="H100" i="30"/>
  <c r="H101" i="30"/>
  <c r="H102" i="30"/>
  <c r="H103" i="30"/>
  <c r="H104" i="30"/>
  <c r="H105" i="30"/>
  <c r="H106" i="30"/>
  <c r="H107" i="30"/>
  <c r="H108" i="30"/>
  <c r="H109" i="30"/>
  <c r="H110" i="30"/>
  <c r="H111" i="30"/>
  <c r="H112" i="30"/>
  <c r="H113" i="30"/>
  <c r="H114" i="30"/>
  <c r="H115" i="30"/>
  <c r="H116" i="30"/>
  <c r="H117" i="30"/>
  <c r="H118" i="30"/>
  <c r="H119" i="30"/>
  <c r="H120" i="30"/>
  <c r="H121" i="30"/>
  <c r="H122" i="30"/>
  <c r="H123" i="30"/>
  <c r="H124" i="30"/>
  <c r="H125" i="30"/>
  <c r="H126" i="30"/>
  <c r="H127" i="30"/>
  <c r="H128" i="30"/>
  <c r="H129" i="30"/>
  <c r="H130" i="30"/>
  <c r="H131" i="30"/>
  <c r="H132" i="30"/>
  <c r="H133" i="30"/>
  <c r="H134" i="30"/>
  <c r="H135" i="30"/>
  <c r="H136" i="30"/>
  <c r="H137" i="30"/>
  <c r="H138" i="30"/>
  <c r="H139" i="30"/>
  <c r="H140" i="30"/>
  <c r="H141" i="30"/>
  <c r="H142" i="30"/>
  <c r="H143" i="30"/>
  <c r="H144" i="30"/>
  <c r="H145" i="30"/>
  <c r="H146" i="30"/>
  <c r="H147" i="30"/>
  <c r="H148" i="30"/>
  <c r="H149" i="30"/>
  <c r="H150" i="30"/>
  <c r="H151" i="30"/>
  <c r="H152" i="30"/>
  <c r="H153" i="30"/>
  <c r="H154" i="30"/>
  <c r="H155" i="30"/>
  <c r="H156" i="30"/>
  <c r="H157" i="30"/>
  <c r="H158" i="30"/>
  <c r="H159" i="30"/>
  <c r="H160" i="30"/>
  <c r="H161" i="30"/>
  <c r="H162" i="30"/>
  <c r="H163" i="30"/>
  <c r="H164" i="30"/>
  <c r="H165" i="30"/>
  <c r="H166" i="30"/>
  <c r="H167" i="30"/>
  <c r="H168" i="30"/>
  <c r="H169" i="30"/>
  <c r="H170" i="30"/>
  <c r="H171" i="30"/>
  <c r="H172" i="30"/>
  <c r="H173" i="30"/>
  <c r="H174" i="30"/>
  <c r="H175" i="30"/>
  <c r="H176" i="30"/>
  <c r="H177" i="30"/>
  <c r="H178" i="30"/>
  <c r="H179" i="30"/>
  <c r="H180" i="30"/>
  <c r="H181" i="30"/>
  <c r="H182" i="30"/>
  <c r="H183" i="30"/>
  <c r="H184" i="30"/>
  <c r="H185" i="30"/>
  <c r="H186" i="30"/>
  <c r="H187" i="30"/>
  <c r="H188" i="30"/>
  <c r="H189" i="30"/>
  <c r="H190" i="30"/>
  <c r="H191" i="30"/>
  <c r="H192" i="30"/>
  <c r="H193" i="30"/>
  <c r="H194" i="30"/>
  <c r="H195" i="30"/>
  <c r="H196" i="30"/>
  <c r="H197" i="30"/>
  <c r="H198" i="30"/>
  <c r="H199" i="30"/>
  <c r="H200" i="30"/>
  <c r="H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G34" i="30"/>
  <c r="G35" i="30"/>
  <c r="G36" i="30"/>
  <c r="G37" i="30"/>
  <c r="G38" i="30"/>
  <c r="G39" i="30"/>
  <c r="G40" i="30"/>
  <c r="G41" i="30"/>
  <c r="G42" i="30"/>
  <c r="G43" i="30"/>
  <c r="G44" i="30"/>
  <c r="G45" i="30"/>
  <c r="G46" i="30"/>
  <c r="G47" i="30"/>
  <c r="G48" i="30"/>
  <c r="G49" i="30"/>
  <c r="G50" i="30"/>
  <c r="G51" i="30"/>
  <c r="G52" i="30"/>
  <c r="G53" i="30"/>
  <c r="G54" i="30"/>
  <c r="G55" i="30"/>
  <c r="G56" i="30"/>
  <c r="G57" i="30"/>
  <c r="G58" i="30"/>
  <c r="G59" i="30"/>
  <c r="G60" i="30"/>
  <c r="G61" i="30"/>
  <c r="G62" i="30"/>
  <c r="G63" i="30"/>
  <c r="G64" i="30"/>
  <c r="G65" i="30"/>
  <c r="G66" i="30"/>
  <c r="G67" i="30"/>
  <c r="G68" i="30"/>
  <c r="G69" i="30"/>
  <c r="G70" i="30"/>
  <c r="G71" i="30"/>
  <c r="G72" i="30"/>
  <c r="G73" i="30"/>
  <c r="G74" i="30"/>
  <c r="G75" i="30"/>
  <c r="G76" i="30"/>
  <c r="G77" i="30"/>
  <c r="G78" i="30"/>
  <c r="G79" i="30"/>
  <c r="G80" i="30"/>
  <c r="G81" i="30"/>
  <c r="G82" i="30"/>
  <c r="G83" i="30"/>
  <c r="G84" i="30"/>
  <c r="G85" i="30"/>
  <c r="G86" i="30"/>
  <c r="G87" i="30"/>
  <c r="G88" i="30"/>
  <c r="G89" i="30"/>
  <c r="G90" i="30"/>
  <c r="G91" i="30"/>
  <c r="G92" i="30"/>
  <c r="G93" i="30"/>
  <c r="G94" i="30"/>
  <c r="G95" i="30"/>
  <c r="G96" i="30"/>
  <c r="G97" i="30"/>
  <c r="G98" i="30"/>
  <c r="G99" i="30"/>
  <c r="G100" i="30"/>
  <c r="G101" i="30"/>
  <c r="G102" i="30"/>
  <c r="G103" i="30"/>
  <c r="G104" i="30"/>
  <c r="G105" i="30"/>
  <c r="G106" i="30"/>
  <c r="G107" i="30"/>
  <c r="G108" i="30"/>
  <c r="G109" i="30"/>
  <c r="G110" i="30"/>
  <c r="G111" i="30"/>
  <c r="G112" i="30"/>
  <c r="G113" i="30"/>
  <c r="G114" i="30"/>
  <c r="G115" i="30"/>
  <c r="G116" i="30"/>
  <c r="G117" i="30"/>
  <c r="G118" i="30"/>
  <c r="G119" i="30"/>
  <c r="G120" i="30"/>
  <c r="G121" i="30"/>
  <c r="G122" i="30"/>
  <c r="G123" i="30"/>
  <c r="G124" i="30"/>
  <c r="G125" i="30"/>
  <c r="G126" i="30"/>
  <c r="G127" i="30"/>
  <c r="G128" i="30"/>
  <c r="G129" i="30"/>
  <c r="G130" i="30"/>
  <c r="G131" i="30"/>
  <c r="G132" i="30"/>
  <c r="G133" i="30"/>
  <c r="G134" i="30"/>
  <c r="G135" i="30"/>
  <c r="G136" i="30"/>
  <c r="G137" i="30"/>
  <c r="G138" i="30"/>
  <c r="G139" i="30"/>
  <c r="G140" i="30"/>
  <c r="G141" i="30"/>
  <c r="G142" i="30"/>
  <c r="G143" i="30"/>
  <c r="G144" i="30"/>
  <c r="G145" i="30"/>
  <c r="G146" i="30"/>
  <c r="G147" i="30"/>
  <c r="G148" i="30"/>
  <c r="G149" i="30"/>
  <c r="G150" i="30"/>
  <c r="G151" i="30"/>
  <c r="G152" i="30"/>
  <c r="G153" i="30"/>
  <c r="G154" i="30"/>
  <c r="G155" i="30"/>
  <c r="G156" i="30"/>
  <c r="G157" i="30"/>
  <c r="G158" i="30"/>
  <c r="G159" i="30"/>
  <c r="G160" i="30"/>
  <c r="G161" i="30"/>
  <c r="G162" i="30"/>
  <c r="G163" i="30"/>
  <c r="G164" i="30"/>
  <c r="G165" i="30"/>
  <c r="G166" i="30"/>
  <c r="G167" i="30"/>
  <c r="G168" i="30"/>
  <c r="G169" i="30"/>
  <c r="G170" i="30"/>
  <c r="G171" i="30"/>
  <c r="G172" i="30"/>
  <c r="G173" i="30"/>
  <c r="G174" i="30"/>
  <c r="G175" i="30"/>
  <c r="G176" i="30"/>
  <c r="G177" i="30"/>
  <c r="G178" i="30"/>
  <c r="G179" i="30"/>
  <c r="G180" i="30"/>
  <c r="G181" i="30"/>
  <c r="G182" i="30"/>
  <c r="G183" i="30"/>
  <c r="G184" i="30"/>
  <c r="G185" i="30"/>
  <c r="G186" i="30"/>
  <c r="G187" i="30"/>
  <c r="G188" i="30"/>
  <c r="G189" i="30"/>
  <c r="G190" i="30"/>
  <c r="G191" i="30"/>
  <c r="G192" i="30"/>
  <c r="G193" i="30"/>
  <c r="G194" i="30"/>
  <c r="G195" i="30"/>
  <c r="G196" i="30"/>
  <c r="G197" i="30"/>
  <c r="G198" i="30"/>
  <c r="G199" i="30"/>
  <c r="G200" i="30"/>
  <c r="E13" i="30"/>
  <c r="F14" i="30"/>
  <c r="F15" i="30"/>
  <c r="F16" i="30"/>
  <c r="F17" i="30"/>
  <c r="F18" i="30"/>
  <c r="F19" i="30"/>
  <c r="F20" i="30"/>
  <c r="F21" i="30"/>
  <c r="F22" i="30"/>
  <c r="F23" i="30"/>
  <c r="F24" i="30"/>
  <c r="F25" i="30"/>
  <c r="F26" i="30"/>
  <c r="F27" i="30"/>
  <c r="F28" i="30"/>
  <c r="F29" i="30"/>
  <c r="F30" i="30"/>
  <c r="F31" i="30"/>
  <c r="F32" i="30"/>
  <c r="F33" i="30"/>
  <c r="F34" i="30"/>
  <c r="F35" i="30"/>
  <c r="F36" i="30"/>
  <c r="F37" i="30"/>
  <c r="F38" i="30"/>
  <c r="F39" i="30"/>
  <c r="F40" i="30"/>
  <c r="F41" i="30"/>
  <c r="F42" i="30"/>
  <c r="F43" i="30"/>
  <c r="F44" i="30"/>
  <c r="F45" i="30"/>
  <c r="F46" i="30"/>
  <c r="F47" i="30"/>
  <c r="F48" i="30"/>
  <c r="F49" i="30"/>
  <c r="F50" i="30"/>
  <c r="F51" i="30"/>
  <c r="F52" i="30"/>
  <c r="F53" i="30"/>
  <c r="F54" i="30"/>
  <c r="F55" i="30"/>
  <c r="F56" i="30"/>
  <c r="F57" i="30"/>
  <c r="F58" i="30"/>
  <c r="F59" i="30"/>
  <c r="F60" i="30"/>
  <c r="F61" i="30"/>
  <c r="F62" i="30"/>
  <c r="F63" i="30"/>
  <c r="F64" i="30"/>
  <c r="F65" i="30"/>
  <c r="F66" i="30"/>
  <c r="F67" i="30"/>
  <c r="F68" i="30"/>
  <c r="F69" i="30"/>
  <c r="F70" i="30"/>
  <c r="F71" i="30"/>
  <c r="F72" i="30"/>
  <c r="F73" i="30"/>
  <c r="F74" i="30"/>
  <c r="F75" i="30"/>
  <c r="F76" i="30"/>
  <c r="F77" i="30"/>
  <c r="F78" i="30"/>
  <c r="F79" i="30"/>
  <c r="F80" i="30"/>
  <c r="F81" i="30"/>
  <c r="F82" i="30"/>
  <c r="F83" i="30"/>
  <c r="F84" i="30"/>
  <c r="F85" i="30"/>
  <c r="F86" i="30"/>
  <c r="F87" i="30"/>
  <c r="F88" i="30"/>
  <c r="F89" i="30"/>
  <c r="F90" i="30"/>
  <c r="F91" i="30"/>
  <c r="F92" i="30"/>
  <c r="F93" i="30"/>
  <c r="F94" i="30"/>
  <c r="F95" i="30"/>
  <c r="F96" i="30"/>
  <c r="F97" i="30"/>
  <c r="F98" i="30"/>
  <c r="F99" i="30"/>
  <c r="F100" i="30"/>
  <c r="F101" i="30"/>
  <c r="F102" i="30"/>
  <c r="F103" i="30"/>
  <c r="F104" i="30"/>
  <c r="F105" i="30"/>
  <c r="F106" i="30"/>
  <c r="F107" i="30"/>
  <c r="F108" i="30"/>
  <c r="F109" i="30"/>
  <c r="F110" i="30"/>
  <c r="F111" i="30"/>
  <c r="F112" i="30"/>
  <c r="F113" i="30"/>
  <c r="F114" i="30"/>
  <c r="F115" i="30"/>
  <c r="F116" i="30"/>
  <c r="F117" i="30"/>
  <c r="F118" i="30"/>
  <c r="F119" i="30"/>
  <c r="F120" i="30"/>
  <c r="F121" i="30"/>
  <c r="F122" i="30"/>
  <c r="F123" i="30"/>
  <c r="F124" i="30"/>
  <c r="F125" i="30"/>
  <c r="F126" i="30"/>
  <c r="F127" i="30"/>
  <c r="F128" i="30"/>
  <c r="F129" i="30"/>
  <c r="F130" i="30"/>
  <c r="F131" i="30"/>
  <c r="F132" i="30"/>
  <c r="F133" i="30"/>
  <c r="F134" i="30"/>
  <c r="F135" i="30"/>
  <c r="F136" i="30"/>
  <c r="F137" i="30"/>
  <c r="F138" i="30"/>
  <c r="F139" i="30"/>
  <c r="F140" i="30"/>
  <c r="F141" i="30"/>
  <c r="F142" i="30"/>
  <c r="F143" i="30"/>
  <c r="F144" i="30"/>
  <c r="F145" i="30"/>
  <c r="F146" i="30"/>
  <c r="F147" i="30"/>
  <c r="F148" i="30"/>
  <c r="F149" i="30"/>
  <c r="F150" i="30"/>
  <c r="F151" i="30"/>
  <c r="F152" i="30"/>
  <c r="F153" i="30"/>
  <c r="F154" i="30"/>
  <c r="F155" i="30"/>
  <c r="F156" i="30"/>
  <c r="F157" i="30"/>
  <c r="F158" i="30"/>
  <c r="F159" i="30"/>
  <c r="F160" i="30"/>
  <c r="F161" i="30"/>
  <c r="F162" i="30"/>
  <c r="F163" i="30"/>
  <c r="F164" i="30"/>
  <c r="F165" i="30"/>
  <c r="F166" i="30"/>
  <c r="F167" i="30"/>
  <c r="F168" i="30"/>
  <c r="F169" i="30"/>
  <c r="F170" i="30"/>
  <c r="F171" i="30"/>
  <c r="F172" i="30"/>
  <c r="F173" i="30"/>
  <c r="F174" i="30"/>
  <c r="F175" i="30"/>
  <c r="F176" i="30"/>
  <c r="F177" i="30"/>
  <c r="F178" i="30"/>
  <c r="F179" i="30"/>
  <c r="F180" i="30"/>
  <c r="F181" i="30"/>
  <c r="F182" i="30"/>
  <c r="F183" i="30"/>
  <c r="F184" i="30"/>
  <c r="F185" i="30"/>
  <c r="F186" i="30"/>
  <c r="F187" i="30"/>
  <c r="F188" i="30"/>
  <c r="F189" i="30"/>
  <c r="F190" i="30"/>
  <c r="F191" i="30"/>
  <c r="F192" i="30"/>
  <c r="F193" i="30"/>
  <c r="F194" i="30"/>
  <c r="F195" i="30"/>
  <c r="F196" i="30"/>
  <c r="F197" i="30"/>
  <c r="F198" i="30"/>
  <c r="F199" i="30"/>
  <c r="F200" i="30"/>
  <c r="A13" i="30" l="1"/>
  <c r="I13" i="30"/>
  <c r="E14" i="30"/>
  <c r="L13" i="30" l="1"/>
  <c r="K13" i="30"/>
  <c r="J13" i="30"/>
  <c r="A14" i="30"/>
  <c r="L14" i="30" s="1"/>
  <c r="I14" i="30"/>
  <c r="E15" i="30"/>
  <c r="K14" i="30" l="1"/>
  <c r="A15" i="30"/>
  <c r="I15" i="30"/>
  <c r="J14" i="30"/>
  <c r="E16" i="30"/>
  <c r="L15" i="30" l="1"/>
  <c r="K15" i="30"/>
  <c r="A16" i="30"/>
  <c r="I16" i="30"/>
  <c r="J15" i="30"/>
  <c r="E17" i="30"/>
  <c r="L16" i="30" l="1"/>
  <c r="K16" i="30"/>
  <c r="A17" i="30"/>
  <c r="L17" i="30" s="1"/>
  <c r="I17" i="30"/>
  <c r="J16" i="30"/>
  <c r="E18" i="30"/>
  <c r="K17" i="30" l="1"/>
  <c r="A18" i="30"/>
  <c r="L18" i="30" s="1"/>
  <c r="I18" i="30"/>
  <c r="J17" i="30"/>
  <c r="E19" i="30"/>
  <c r="K18" i="30" l="1"/>
  <c r="J18" i="30"/>
  <c r="A19" i="30"/>
  <c r="I19" i="30"/>
  <c r="E20" i="30"/>
  <c r="L19" i="30" l="1"/>
  <c r="K19" i="30"/>
  <c r="A20" i="30"/>
  <c r="L20" i="30" s="1"/>
  <c r="I20" i="30"/>
  <c r="J19" i="30"/>
  <c r="E21" i="30"/>
  <c r="K20" i="30" l="1"/>
  <c r="J20" i="30"/>
  <c r="A21" i="30"/>
  <c r="L21" i="30" s="1"/>
  <c r="I21" i="30"/>
  <c r="E22" i="30"/>
  <c r="K21" i="30" l="1"/>
  <c r="A22" i="30"/>
  <c r="L22" i="30" s="1"/>
  <c r="I22" i="30"/>
  <c r="J21" i="30"/>
  <c r="E23" i="30"/>
  <c r="K22" i="30" l="1"/>
  <c r="A23" i="30"/>
  <c r="L23" i="30" s="1"/>
  <c r="I23" i="30"/>
  <c r="J22" i="30"/>
  <c r="E24" i="30"/>
  <c r="K23" i="30" l="1"/>
  <c r="J23" i="30"/>
  <c r="A24" i="30"/>
  <c r="L24" i="30" s="1"/>
  <c r="I24" i="30"/>
  <c r="E25" i="30"/>
  <c r="K24" i="30" l="1"/>
  <c r="A25" i="30"/>
  <c r="L25" i="30" s="1"/>
  <c r="I25" i="30"/>
  <c r="J24" i="30"/>
  <c r="E26" i="30"/>
  <c r="K25" i="30" l="1"/>
  <c r="A26" i="30"/>
  <c r="L26" i="30" s="1"/>
  <c r="I26" i="30"/>
  <c r="J25" i="30"/>
  <c r="E27" i="30"/>
  <c r="K26" i="30" l="1"/>
  <c r="A27" i="30"/>
  <c r="L27" i="30" s="1"/>
  <c r="I27" i="30"/>
  <c r="J26" i="30"/>
  <c r="E28" i="30"/>
  <c r="K27" i="30" l="1"/>
  <c r="A28" i="30"/>
  <c r="L28" i="30" s="1"/>
  <c r="I28" i="30"/>
  <c r="J27" i="30"/>
  <c r="E29" i="30"/>
  <c r="K28" i="30" l="1"/>
  <c r="A29" i="30"/>
  <c r="L29" i="30" s="1"/>
  <c r="I29" i="30"/>
  <c r="J28" i="30"/>
  <c r="E30" i="30"/>
  <c r="K29" i="30" l="1"/>
  <c r="A30" i="30"/>
  <c r="L30" i="30" s="1"/>
  <c r="I30" i="30"/>
  <c r="J29" i="30"/>
  <c r="E31" i="30"/>
  <c r="K30" i="30" l="1"/>
  <c r="A31" i="30"/>
  <c r="L31" i="30" s="1"/>
  <c r="I31" i="30"/>
  <c r="J30" i="30"/>
  <c r="E32" i="30"/>
  <c r="K31" i="30" l="1"/>
  <c r="A32" i="30"/>
  <c r="L32" i="30" s="1"/>
  <c r="I32" i="30"/>
  <c r="J31" i="30"/>
  <c r="E33" i="30"/>
  <c r="K32" i="30" l="1"/>
  <c r="A33" i="30"/>
  <c r="L33" i="30" s="1"/>
  <c r="I33" i="30"/>
  <c r="J32" i="30"/>
  <c r="E34" i="30"/>
  <c r="K33" i="30" l="1"/>
  <c r="A34" i="30"/>
  <c r="L34" i="30" s="1"/>
  <c r="I34" i="30"/>
  <c r="J33" i="30"/>
  <c r="E35" i="30"/>
  <c r="K34" i="30" l="1"/>
  <c r="A35" i="30"/>
  <c r="L35" i="30" s="1"/>
  <c r="I35" i="30"/>
  <c r="J34" i="30"/>
  <c r="E36" i="30"/>
  <c r="K35" i="30" l="1"/>
  <c r="A36" i="30"/>
  <c r="L36" i="30" s="1"/>
  <c r="I36" i="30"/>
  <c r="J35" i="30"/>
  <c r="E37" i="30"/>
  <c r="K36" i="30" l="1"/>
  <c r="A37" i="30"/>
  <c r="L37" i="30" s="1"/>
  <c r="I37" i="30"/>
  <c r="J36" i="30"/>
  <c r="E38" i="30"/>
  <c r="K37" i="30" l="1"/>
  <c r="A38" i="30"/>
  <c r="L38" i="30" s="1"/>
  <c r="I38" i="30"/>
  <c r="J37" i="30"/>
  <c r="E39" i="30"/>
  <c r="K38" i="30" l="1"/>
  <c r="A39" i="30"/>
  <c r="L39" i="30" s="1"/>
  <c r="I39" i="30"/>
  <c r="J38" i="30"/>
  <c r="E40" i="30"/>
  <c r="K39" i="30" l="1"/>
  <c r="A40" i="30"/>
  <c r="L40" i="30" s="1"/>
  <c r="I40" i="30"/>
  <c r="J39" i="30"/>
  <c r="E41" i="30"/>
  <c r="K40" i="30" l="1"/>
  <c r="J40" i="30"/>
  <c r="A41" i="30"/>
  <c r="L41" i="30" s="1"/>
  <c r="I41" i="30"/>
  <c r="E42" i="30"/>
  <c r="K41" i="30" l="1"/>
  <c r="A42" i="30"/>
  <c r="L42" i="30" s="1"/>
  <c r="I42" i="30"/>
  <c r="J41" i="30"/>
  <c r="E43" i="30"/>
  <c r="K42" i="30" l="1"/>
  <c r="A43" i="30"/>
  <c r="L43" i="30" s="1"/>
  <c r="I43" i="30"/>
  <c r="J42" i="30"/>
  <c r="E44" i="30"/>
  <c r="K43" i="30" l="1"/>
  <c r="A44" i="30"/>
  <c r="L44" i="30" s="1"/>
  <c r="I44" i="30"/>
  <c r="J43" i="30"/>
  <c r="E45" i="30"/>
  <c r="K44" i="30" l="1"/>
  <c r="A45" i="30"/>
  <c r="L45" i="30" s="1"/>
  <c r="I45" i="30"/>
  <c r="J44" i="30"/>
  <c r="E46" i="30"/>
  <c r="K45" i="30" l="1"/>
  <c r="A46" i="30"/>
  <c r="L46" i="30" s="1"/>
  <c r="I46" i="30"/>
  <c r="J45" i="30"/>
  <c r="E47" i="30"/>
  <c r="K46" i="30" l="1"/>
  <c r="A47" i="30"/>
  <c r="L47" i="30" s="1"/>
  <c r="I47" i="30"/>
  <c r="J46" i="30"/>
  <c r="E48" i="30"/>
  <c r="K47" i="30" l="1"/>
  <c r="A48" i="30"/>
  <c r="L48" i="30" s="1"/>
  <c r="I48" i="30"/>
  <c r="J47" i="30"/>
  <c r="E49" i="30"/>
  <c r="K48" i="30" l="1"/>
  <c r="A49" i="30"/>
  <c r="L49" i="30" s="1"/>
  <c r="I49" i="30"/>
  <c r="J48" i="30"/>
  <c r="E50" i="30"/>
  <c r="K49" i="30" l="1"/>
  <c r="A50" i="30"/>
  <c r="L50" i="30" s="1"/>
  <c r="I50" i="30"/>
  <c r="J49" i="30"/>
  <c r="E51" i="30"/>
  <c r="K50" i="30" l="1"/>
  <c r="A51" i="30"/>
  <c r="L51" i="30" s="1"/>
  <c r="I51" i="30"/>
  <c r="J50" i="30"/>
  <c r="E52" i="30"/>
  <c r="K51" i="30" l="1"/>
  <c r="A52" i="30"/>
  <c r="L52" i="30" s="1"/>
  <c r="I52" i="30"/>
  <c r="J51" i="30"/>
  <c r="E53" i="30"/>
  <c r="K52" i="30" l="1"/>
  <c r="A53" i="30"/>
  <c r="L53" i="30" s="1"/>
  <c r="I53" i="30"/>
  <c r="J52" i="30"/>
  <c r="E54" i="30"/>
  <c r="K53" i="30" l="1"/>
  <c r="A54" i="30"/>
  <c r="L54" i="30" s="1"/>
  <c r="I54" i="30"/>
  <c r="J53" i="30"/>
  <c r="E55" i="30"/>
  <c r="K54" i="30" l="1"/>
  <c r="A55" i="30"/>
  <c r="L55" i="30" s="1"/>
  <c r="I55" i="30"/>
  <c r="J54" i="30"/>
  <c r="E56" i="30"/>
  <c r="K55" i="30" l="1"/>
  <c r="A56" i="30"/>
  <c r="L56" i="30" s="1"/>
  <c r="I56" i="30"/>
  <c r="J55" i="30"/>
  <c r="E57" i="30"/>
  <c r="K56" i="30" l="1"/>
  <c r="A57" i="30"/>
  <c r="L57" i="30" s="1"/>
  <c r="I57" i="30"/>
  <c r="J56" i="30"/>
  <c r="E58" i="30"/>
  <c r="K57" i="30" l="1"/>
  <c r="A58" i="30"/>
  <c r="L58" i="30" s="1"/>
  <c r="I58" i="30"/>
  <c r="J57" i="30"/>
  <c r="E59" i="30"/>
  <c r="K58" i="30" l="1"/>
  <c r="A59" i="30"/>
  <c r="L59" i="30" s="1"/>
  <c r="I59" i="30"/>
  <c r="J58" i="30"/>
  <c r="E60" i="30"/>
  <c r="K59" i="30" l="1"/>
  <c r="A60" i="30"/>
  <c r="L60" i="30" s="1"/>
  <c r="I60" i="30"/>
  <c r="J59" i="30"/>
  <c r="E61" i="30"/>
  <c r="K60" i="30" l="1"/>
  <c r="A61" i="30"/>
  <c r="L61" i="30" s="1"/>
  <c r="I61" i="30"/>
  <c r="J60" i="30"/>
  <c r="E62" i="30"/>
  <c r="K61" i="30" l="1"/>
  <c r="A62" i="30"/>
  <c r="L62" i="30" s="1"/>
  <c r="I62" i="30"/>
  <c r="J61" i="30"/>
  <c r="E63" i="30"/>
  <c r="K62" i="30" l="1"/>
  <c r="A63" i="30"/>
  <c r="L63" i="30" s="1"/>
  <c r="I63" i="30"/>
  <c r="J62" i="30"/>
  <c r="E64" i="30"/>
  <c r="K63" i="30" l="1"/>
  <c r="A64" i="30"/>
  <c r="L64" i="30" s="1"/>
  <c r="I64" i="30"/>
  <c r="J63" i="30"/>
  <c r="E65" i="30"/>
  <c r="K64" i="30" l="1"/>
  <c r="A65" i="30"/>
  <c r="L65" i="30" s="1"/>
  <c r="I65" i="30"/>
  <c r="J64" i="30"/>
  <c r="E66" i="30"/>
  <c r="K65" i="30" l="1"/>
  <c r="J65" i="30"/>
  <c r="A66" i="30"/>
  <c r="L66" i="30" s="1"/>
  <c r="I66" i="30"/>
  <c r="E67" i="30"/>
  <c r="K66" i="30" l="1"/>
  <c r="A67" i="30"/>
  <c r="L67" i="30" s="1"/>
  <c r="I67" i="30"/>
  <c r="J66" i="30"/>
  <c r="E68" i="30"/>
  <c r="K67" i="30" l="1"/>
  <c r="J67" i="30"/>
  <c r="A68" i="30"/>
  <c r="L68" i="30" s="1"/>
  <c r="I68" i="30"/>
  <c r="E69" i="30"/>
  <c r="K68" i="30" l="1"/>
  <c r="A69" i="30"/>
  <c r="L69" i="30" s="1"/>
  <c r="I69" i="30"/>
  <c r="J68" i="30"/>
  <c r="E70" i="30"/>
  <c r="K69" i="30" l="1"/>
  <c r="J69" i="30"/>
  <c r="A70" i="30"/>
  <c r="L70" i="30" s="1"/>
  <c r="I70" i="30"/>
  <c r="E71" i="30"/>
  <c r="K70" i="30" l="1"/>
  <c r="A71" i="30"/>
  <c r="L71" i="30" s="1"/>
  <c r="I71" i="30"/>
  <c r="J70" i="30"/>
  <c r="E72" i="30"/>
  <c r="K71" i="30" l="1"/>
  <c r="A72" i="30"/>
  <c r="L72" i="30" s="1"/>
  <c r="I72" i="30"/>
  <c r="J71" i="30"/>
  <c r="E73" i="30"/>
  <c r="K72" i="30" l="1"/>
  <c r="A73" i="30"/>
  <c r="L73" i="30" s="1"/>
  <c r="I73" i="30"/>
  <c r="J72" i="30"/>
  <c r="E74" i="30"/>
  <c r="K73" i="30" l="1"/>
  <c r="A74" i="30"/>
  <c r="L74" i="30" s="1"/>
  <c r="I74" i="30"/>
  <c r="J73" i="30"/>
  <c r="E75" i="30"/>
  <c r="K74" i="30" l="1"/>
  <c r="A75" i="30"/>
  <c r="L75" i="30" s="1"/>
  <c r="I75" i="30"/>
  <c r="J74" i="30"/>
  <c r="E76" i="30"/>
  <c r="K75" i="30" l="1"/>
  <c r="A76" i="30"/>
  <c r="L76" i="30" s="1"/>
  <c r="I76" i="30"/>
  <c r="J75" i="30"/>
  <c r="E77" i="30"/>
  <c r="K76" i="30" l="1"/>
  <c r="A77" i="30"/>
  <c r="L77" i="30" s="1"/>
  <c r="I77" i="30"/>
  <c r="J76" i="30"/>
  <c r="E78" i="30"/>
  <c r="K77" i="30" l="1"/>
  <c r="A78" i="30"/>
  <c r="L78" i="30" s="1"/>
  <c r="I78" i="30"/>
  <c r="J77" i="30"/>
  <c r="E79" i="30"/>
  <c r="K78" i="30" l="1"/>
  <c r="A79" i="30"/>
  <c r="L79" i="30" s="1"/>
  <c r="I79" i="30"/>
  <c r="J78" i="30"/>
  <c r="E80" i="30"/>
  <c r="K79" i="30" l="1"/>
  <c r="A80" i="30"/>
  <c r="L80" i="30" s="1"/>
  <c r="I80" i="30"/>
  <c r="J79" i="30"/>
  <c r="E81" i="30"/>
  <c r="K80" i="30" l="1"/>
  <c r="A81" i="30"/>
  <c r="L81" i="30" s="1"/>
  <c r="I81" i="30"/>
  <c r="J80" i="30"/>
  <c r="E82" i="30"/>
  <c r="K81" i="30" l="1"/>
  <c r="J81" i="30"/>
  <c r="A82" i="30"/>
  <c r="L82" i="30" s="1"/>
  <c r="I82" i="30"/>
  <c r="E83" i="30"/>
  <c r="K82" i="30" l="1"/>
  <c r="A83" i="30"/>
  <c r="L83" i="30" s="1"/>
  <c r="I83" i="30"/>
  <c r="J82" i="30"/>
  <c r="E84" i="30"/>
  <c r="K83" i="30" l="1"/>
  <c r="A84" i="30"/>
  <c r="L84" i="30" s="1"/>
  <c r="I84" i="30"/>
  <c r="J83" i="30"/>
  <c r="E85" i="30"/>
  <c r="K84" i="30" l="1"/>
  <c r="J84" i="30"/>
  <c r="A85" i="30"/>
  <c r="L85" i="30" s="1"/>
  <c r="I85" i="30"/>
  <c r="E86" i="30"/>
  <c r="K85" i="30" l="1"/>
  <c r="A86" i="30"/>
  <c r="L86" i="30" s="1"/>
  <c r="I86" i="30"/>
  <c r="J85" i="30"/>
  <c r="E87" i="30"/>
  <c r="K86" i="30" l="1"/>
  <c r="A87" i="30"/>
  <c r="L87" i="30" s="1"/>
  <c r="I87" i="30"/>
  <c r="J86" i="30"/>
  <c r="E88" i="30"/>
  <c r="K87" i="30" l="1"/>
  <c r="J87" i="30"/>
  <c r="A88" i="30"/>
  <c r="L88" i="30" s="1"/>
  <c r="I88" i="30"/>
  <c r="E89" i="30"/>
  <c r="K88" i="30" l="1"/>
  <c r="A89" i="30"/>
  <c r="L89" i="30" s="1"/>
  <c r="I89" i="30"/>
  <c r="J88" i="30"/>
  <c r="E90" i="30"/>
  <c r="K89" i="30" l="1"/>
  <c r="A90" i="30"/>
  <c r="L90" i="30" s="1"/>
  <c r="I90" i="30"/>
  <c r="J89" i="30"/>
  <c r="E91" i="30"/>
  <c r="K90" i="30" l="1"/>
  <c r="J90" i="30"/>
  <c r="A91" i="30"/>
  <c r="L91" i="30" s="1"/>
  <c r="I91" i="30"/>
  <c r="E92" i="30"/>
  <c r="K91" i="30" l="1"/>
  <c r="A92" i="30"/>
  <c r="L92" i="30" s="1"/>
  <c r="I92" i="30"/>
  <c r="J91" i="30"/>
  <c r="E93" i="30"/>
  <c r="K92" i="30" l="1"/>
  <c r="J92" i="30"/>
  <c r="A93" i="30"/>
  <c r="L93" i="30" s="1"/>
  <c r="I93" i="30"/>
  <c r="E94" i="30"/>
  <c r="K93" i="30" l="1"/>
  <c r="A94" i="30"/>
  <c r="L94" i="30" s="1"/>
  <c r="I94" i="30"/>
  <c r="J93" i="30"/>
  <c r="E95" i="30"/>
  <c r="K94" i="30" l="1"/>
  <c r="J94" i="30"/>
  <c r="A95" i="30"/>
  <c r="L95" i="30" s="1"/>
  <c r="I95" i="30"/>
  <c r="E96" i="30"/>
  <c r="K95" i="30" l="1"/>
  <c r="A96" i="30"/>
  <c r="L96" i="30" s="1"/>
  <c r="I96" i="30"/>
  <c r="J95" i="30"/>
  <c r="E97" i="30"/>
  <c r="K96" i="30" l="1"/>
  <c r="J96" i="30"/>
  <c r="A97" i="30"/>
  <c r="L97" i="30" s="1"/>
  <c r="I97" i="30"/>
  <c r="E98" i="30"/>
  <c r="K97" i="30" l="1"/>
  <c r="A98" i="30"/>
  <c r="L98" i="30" s="1"/>
  <c r="I98" i="30"/>
  <c r="J97" i="30"/>
  <c r="E99" i="30"/>
  <c r="K98" i="30" l="1"/>
  <c r="J98" i="30"/>
  <c r="A99" i="30"/>
  <c r="L99" i="30" s="1"/>
  <c r="I99" i="30"/>
  <c r="E100" i="30"/>
  <c r="K99" i="30" l="1"/>
  <c r="A100" i="30"/>
  <c r="L100" i="30" s="1"/>
  <c r="I100" i="30"/>
  <c r="J99" i="30"/>
  <c r="E101" i="30"/>
  <c r="K100" i="30" l="1"/>
  <c r="J100" i="30"/>
  <c r="A101" i="30"/>
  <c r="L101" i="30" s="1"/>
  <c r="I101" i="30"/>
  <c r="E102" i="30"/>
  <c r="K101" i="30" l="1"/>
  <c r="A102" i="30"/>
  <c r="L102" i="30" s="1"/>
  <c r="I102" i="30"/>
  <c r="J101" i="30"/>
  <c r="E103" i="30"/>
  <c r="K102" i="30" l="1"/>
  <c r="J102" i="30"/>
  <c r="A103" i="30"/>
  <c r="L103" i="30" s="1"/>
  <c r="I103" i="30"/>
  <c r="E104" i="30"/>
  <c r="K103" i="30" l="1"/>
  <c r="A104" i="30"/>
  <c r="L104" i="30" s="1"/>
  <c r="I104" i="30"/>
  <c r="J103" i="30"/>
  <c r="E105" i="30"/>
  <c r="K104" i="30" l="1"/>
  <c r="A105" i="30"/>
  <c r="L105" i="30" s="1"/>
  <c r="I105" i="30"/>
  <c r="J104" i="30"/>
  <c r="E106" i="30"/>
  <c r="K105" i="30" l="1"/>
  <c r="A106" i="30"/>
  <c r="L106" i="30" s="1"/>
  <c r="I106" i="30"/>
  <c r="J105" i="30"/>
  <c r="E107" i="30"/>
  <c r="K106" i="30" l="1"/>
  <c r="A107" i="30"/>
  <c r="L107" i="30" s="1"/>
  <c r="I107" i="30"/>
  <c r="J106" i="30"/>
  <c r="E108" i="30"/>
  <c r="K107" i="30" l="1"/>
  <c r="J107" i="30"/>
  <c r="A108" i="30"/>
  <c r="L108" i="30" s="1"/>
  <c r="I108" i="30"/>
  <c r="E109" i="30"/>
  <c r="K108" i="30" l="1"/>
  <c r="A109" i="30"/>
  <c r="L109" i="30" s="1"/>
  <c r="I109" i="30"/>
  <c r="J108" i="30"/>
  <c r="E110" i="30"/>
  <c r="K109" i="30" l="1"/>
  <c r="A110" i="30"/>
  <c r="L110" i="30" s="1"/>
  <c r="I110" i="30"/>
  <c r="J109" i="30"/>
  <c r="E111" i="30"/>
  <c r="K110" i="30" l="1"/>
  <c r="A111" i="30"/>
  <c r="L111" i="30" s="1"/>
  <c r="I111" i="30"/>
  <c r="J110" i="30"/>
  <c r="E112" i="30"/>
  <c r="K111" i="30" l="1"/>
  <c r="A112" i="30"/>
  <c r="L112" i="30" s="1"/>
  <c r="I112" i="30"/>
  <c r="J111" i="30"/>
  <c r="E113" i="30"/>
  <c r="K112" i="30" l="1"/>
  <c r="A113" i="30"/>
  <c r="L113" i="30" s="1"/>
  <c r="I113" i="30"/>
  <c r="J112" i="30"/>
  <c r="E114" i="30"/>
  <c r="K113" i="30" l="1"/>
  <c r="A114" i="30"/>
  <c r="L114" i="30" s="1"/>
  <c r="I114" i="30"/>
  <c r="J113" i="30"/>
  <c r="E115" i="30"/>
  <c r="K114" i="30" l="1"/>
  <c r="A115" i="30"/>
  <c r="L115" i="30" s="1"/>
  <c r="I115" i="30"/>
  <c r="J114" i="30"/>
  <c r="E116" i="30"/>
  <c r="K115" i="30" l="1"/>
  <c r="A116" i="30"/>
  <c r="L116" i="30" s="1"/>
  <c r="I116" i="30"/>
  <c r="J115" i="30"/>
  <c r="E117" i="30"/>
  <c r="K116" i="30" l="1"/>
  <c r="A117" i="30"/>
  <c r="L117" i="30" s="1"/>
  <c r="I117" i="30"/>
  <c r="J116" i="30"/>
  <c r="E118" i="30"/>
  <c r="K117" i="30" l="1"/>
  <c r="A118" i="30"/>
  <c r="L118" i="30" s="1"/>
  <c r="I118" i="30"/>
  <c r="J117" i="30"/>
  <c r="E119" i="30"/>
  <c r="K118" i="30" l="1"/>
  <c r="A119" i="30"/>
  <c r="L119" i="30" s="1"/>
  <c r="I119" i="30"/>
  <c r="J118" i="30"/>
  <c r="E120" i="30"/>
  <c r="K119" i="30" l="1"/>
  <c r="A120" i="30"/>
  <c r="L120" i="30" s="1"/>
  <c r="I120" i="30"/>
  <c r="J119" i="30"/>
  <c r="E121" i="30"/>
  <c r="K120" i="30" l="1"/>
  <c r="A121" i="30"/>
  <c r="L121" i="30" s="1"/>
  <c r="I121" i="30"/>
  <c r="J120" i="30"/>
  <c r="E122" i="30"/>
  <c r="K121" i="30" l="1"/>
  <c r="A122" i="30"/>
  <c r="L122" i="30" s="1"/>
  <c r="I122" i="30"/>
  <c r="J121" i="30"/>
  <c r="E123" i="30"/>
  <c r="K122" i="30" l="1"/>
  <c r="A123" i="30"/>
  <c r="L123" i="30" s="1"/>
  <c r="I123" i="30"/>
  <c r="J122" i="30"/>
  <c r="E124" i="30"/>
  <c r="K123" i="30" l="1"/>
  <c r="A124" i="30"/>
  <c r="L124" i="30" s="1"/>
  <c r="I124" i="30"/>
  <c r="J123" i="30"/>
  <c r="E125" i="30"/>
  <c r="K124" i="30" l="1"/>
  <c r="A125" i="30"/>
  <c r="L125" i="30" s="1"/>
  <c r="I125" i="30"/>
  <c r="J124" i="30"/>
  <c r="E126" i="30"/>
  <c r="K125" i="30" l="1"/>
  <c r="A126" i="30"/>
  <c r="L126" i="30" s="1"/>
  <c r="I126" i="30"/>
  <c r="J125" i="30"/>
  <c r="E127" i="30"/>
  <c r="K126" i="30" l="1"/>
  <c r="A127" i="30"/>
  <c r="L127" i="30" s="1"/>
  <c r="I127" i="30"/>
  <c r="J126" i="30"/>
  <c r="E128" i="30"/>
  <c r="K127" i="30" l="1"/>
  <c r="A128" i="30"/>
  <c r="L128" i="30" s="1"/>
  <c r="I128" i="30"/>
  <c r="J127" i="30"/>
  <c r="E129" i="30"/>
  <c r="K128" i="30" l="1"/>
  <c r="A129" i="30"/>
  <c r="L129" i="30" s="1"/>
  <c r="I129" i="30"/>
  <c r="J128" i="30"/>
  <c r="E130" i="30"/>
  <c r="K129" i="30" l="1"/>
  <c r="A130" i="30"/>
  <c r="L130" i="30" s="1"/>
  <c r="I130" i="30"/>
  <c r="J129" i="30"/>
  <c r="E131" i="30"/>
  <c r="K130" i="30" l="1"/>
  <c r="A131" i="30"/>
  <c r="L131" i="30" s="1"/>
  <c r="I131" i="30"/>
  <c r="J130" i="30"/>
  <c r="E132" i="30"/>
  <c r="K131" i="30" l="1"/>
  <c r="A132" i="30"/>
  <c r="L132" i="30" s="1"/>
  <c r="I132" i="30"/>
  <c r="J131" i="30"/>
  <c r="E133" i="30"/>
  <c r="K132" i="30" l="1"/>
  <c r="A133" i="30"/>
  <c r="L133" i="30" s="1"/>
  <c r="I133" i="30"/>
  <c r="J132" i="30"/>
  <c r="E134" i="30"/>
  <c r="K133" i="30" l="1"/>
  <c r="A134" i="30"/>
  <c r="L134" i="30" s="1"/>
  <c r="I134" i="30"/>
  <c r="J133" i="30"/>
  <c r="E135" i="30"/>
  <c r="K134" i="30" l="1"/>
  <c r="A135" i="30"/>
  <c r="L135" i="30" s="1"/>
  <c r="I135" i="30"/>
  <c r="J134" i="30"/>
  <c r="E136" i="30"/>
  <c r="K135" i="30" l="1"/>
  <c r="A136" i="30"/>
  <c r="L136" i="30" s="1"/>
  <c r="I136" i="30"/>
  <c r="J135" i="30"/>
  <c r="E137" i="30"/>
  <c r="K136" i="30" l="1"/>
  <c r="A137" i="30"/>
  <c r="L137" i="30" s="1"/>
  <c r="I137" i="30"/>
  <c r="J136" i="30"/>
  <c r="E138" i="30"/>
  <c r="K137" i="30" l="1"/>
  <c r="A138" i="30"/>
  <c r="L138" i="30" s="1"/>
  <c r="I138" i="30"/>
  <c r="J137" i="30"/>
  <c r="E139" i="30"/>
  <c r="K138" i="30" l="1"/>
  <c r="A139" i="30"/>
  <c r="L139" i="30" s="1"/>
  <c r="I139" i="30"/>
  <c r="J138" i="30"/>
  <c r="E140" i="30"/>
  <c r="K139" i="30" l="1"/>
  <c r="A140" i="30"/>
  <c r="L140" i="30" s="1"/>
  <c r="I140" i="30"/>
  <c r="J139" i="30"/>
  <c r="E141" i="30"/>
  <c r="K140" i="30" l="1"/>
  <c r="A141" i="30"/>
  <c r="L141" i="30" s="1"/>
  <c r="I141" i="30"/>
  <c r="J140" i="30"/>
  <c r="E142" i="30"/>
  <c r="K141" i="30" l="1"/>
  <c r="A142" i="30"/>
  <c r="L142" i="30" s="1"/>
  <c r="I142" i="30"/>
  <c r="J141" i="30"/>
  <c r="E143" i="30"/>
  <c r="K142" i="30" l="1"/>
  <c r="A143" i="30"/>
  <c r="L143" i="30" s="1"/>
  <c r="I143" i="30"/>
  <c r="J142" i="30"/>
  <c r="E144" i="30"/>
  <c r="K143" i="30" l="1"/>
  <c r="A144" i="30"/>
  <c r="L144" i="30" s="1"/>
  <c r="I144" i="30"/>
  <c r="J143" i="30"/>
  <c r="E145" i="30"/>
  <c r="K144" i="30" l="1"/>
  <c r="A145" i="30"/>
  <c r="L145" i="30" s="1"/>
  <c r="I145" i="30"/>
  <c r="J144" i="30"/>
  <c r="E146" i="30"/>
  <c r="K145" i="30" l="1"/>
  <c r="A146" i="30"/>
  <c r="L146" i="30" s="1"/>
  <c r="I146" i="30"/>
  <c r="J145" i="30"/>
  <c r="E147" i="30"/>
  <c r="K146" i="30" l="1"/>
  <c r="A147" i="30"/>
  <c r="L147" i="30" s="1"/>
  <c r="I147" i="30"/>
  <c r="J146" i="30"/>
  <c r="E148" i="30"/>
  <c r="K147" i="30" l="1"/>
  <c r="A148" i="30"/>
  <c r="L148" i="30" s="1"/>
  <c r="I148" i="30"/>
  <c r="J147" i="30"/>
  <c r="E149" i="30"/>
  <c r="K148" i="30" l="1"/>
  <c r="A149" i="30"/>
  <c r="L149" i="30" s="1"/>
  <c r="I149" i="30"/>
  <c r="J148" i="30"/>
  <c r="E150" i="30"/>
  <c r="K149" i="30" l="1"/>
  <c r="A150" i="30"/>
  <c r="L150" i="30" s="1"/>
  <c r="I150" i="30"/>
  <c r="J149" i="30"/>
  <c r="E151" i="30"/>
  <c r="K150" i="30" l="1"/>
  <c r="A151" i="30"/>
  <c r="L151" i="30" s="1"/>
  <c r="I151" i="30"/>
  <c r="J150" i="30"/>
  <c r="E152" i="30"/>
  <c r="K151" i="30" l="1"/>
  <c r="A152" i="30"/>
  <c r="L152" i="30" s="1"/>
  <c r="I152" i="30"/>
  <c r="J151" i="30"/>
  <c r="E153" i="30"/>
  <c r="K152" i="30" l="1"/>
  <c r="A153" i="30"/>
  <c r="L153" i="30" s="1"/>
  <c r="I153" i="30"/>
  <c r="J152" i="30"/>
  <c r="E154" i="30"/>
  <c r="K153" i="30" l="1"/>
  <c r="A154" i="30"/>
  <c r="L154" i="30" s="1"/>
  <c r="I154" i="30"/>
  <c r="J153" i="30"/>
  <c r="E155" i="30"/>
  <c r="K154" i="30" l="1"/>
  <c r="A155" i="30"/>
  <c r="L155" i="30" s="1"/>
  <c r="I155" i="30"/>
  <c r="J154" i="30"/>
  <c r="E156" i="30"/>
  <c r="K155" i="30" l="1"/>
  <c r="A156" i="30"/>
  <c r="L156" i="30" s="1"/>
  <c r="I156" i="30"/>
  <c r="J155" i="30"/>
  <c r="E157" i="30"/>
  <c r="K156" i="30" l="1"/>
  <c r="A157" i="30"/>
  <c r="L157" i="30" s="1"/>
  <c r="I157" i="30"/>
  <c r="J156" i="30"/>
  <c r="E158" i="30"/>
  <c r="K157" i="30" l="1"/>
  <c r="A158" i="30"/>
  <c r="L158" i="30" s="1"/>
  <c r="I158" i="30"/>
  <c r="J157" i="30"/>
  <c r="E159" i="30"/>
  <c r="K158" i="30" l="1"/>
  <c r="A159" i="30"/>
  <c r="L159" i="30" s="1"/>
  <c r="I159" i="30"/>
  <c r="J158" i="30"/>
  <c r="E160" i="30"/>
  <c r="K159" i="30" l="1"/>
  <c r="A160" i="30"/>
  <c r="L160" i="30" s="1"/>
  <c r="I160" i="30"/>
  <c r="J159" i="30"/>
  <c r="E161" i="30"/>
  <c r="B10" i="30"/>
  <c r="B9" i="30"/>
  <c r="B8" i="30"/>
  <c r="B7" i="30"/>
  <c r="B6" i="30"/>
  <c r="B5" i="30"/>
  <c r="B4" i="30"/>
  <c r="C27" i="30" l="1"/>
  <c r="C35" i="30"/>
  <c r="C43" i="30"/>
  <c r="D43" i="30" s="1"/>
  <c r="C51" i="30"/>
  <c r="C59" i="30"/>
  <c r="C67" i="30"/>
  <c r="C75" i="30"/>
  <c r="C83" i="30"/>
  <c r="D83" i="30" s="1"/>
  <c r="C91" i="30"/>
  <c r="C99" i="30"/>
  <c r="C107" i="30"/>
  <c r="D107" i="30" s="1"/>
  <c r="C115" i="30"/>
  <c r="C123" i="30"/>
  <c r="C131" i="30"/>
  <c r="C139" i="30"/>
  <c r="C147" i="30"/>
  <c r="D147" i="30" s="1"/>
  <c r="C155" i="30"/>
  <c r="C163" i="30"/>
  <c r="C171" i="30"/>
  <c r="D171" i="30" s="1"/>
  <c r="C179" i="30"/>
  <c r="C187" i="30"/>
  <c r="C195" i="30"/>
  <c r="C203" i="30"/>
  <c r="C211" i="30"/>
  <c r="C219" i="30"/>
  <c r="C227" i="30"/>
  <c r="C235" i="30"/>
  <c r="D235" i="30" s="1"/>
  <c r="C243" i="30"/>
  <c r="C251" i="30"/>
  <c r="C259" i="30"/>
  <c r="C267" i="30"/>
  <c r="C275" i="30"/>
  <c r="D275" i="30" s="1"/>
  <c r="C283" i="30"/>
  <c r="C291" i="30"/>
  <c r="C299" i="30"/>
  <c r="C82" i="30"/>
  <c r="C114" i="30"/>
  <c r="C162" i="30"/>
  <c r="C186" i="30"/>
  <c r="C218" i="30"/>
  <c r="D218" i="30" s="1"/>
  <c r="C266" i="30"/>
  <c r="C28" i="30"/>
  <c r="C36" i="30"/>
  <c r="C44" i="30"/>
  <c r="C52" i="30"/>
  <c r="C60" i="30"/>
  <c r="C68" i="30"/>
  <c r="C76" i="30"/>
  <c r="D76" i="30" s="1"/>
  <c r="C84" i="30"/>
  <c r="C92" i="30"/>
  <c r="C100" i="30"/>
  <c r="D100" i="30" s="1"/>
  <c r="C108" i="30"/>
  <c r="C116" i="30"/>
  <c r="C124" i="30"/>
  <c r="C132" i="30"/>
  <c r="C140" i="30"/>
  <c r="C148" i="30"/>
  <c r="C156" i="30"/>
  <c r="C164" i="30"/>
  <c r="D164" i="30" s="1"/>
  <c r="C172" i="30"/>
  <c r="C180" i="30"/>
  <c r="C188" i="30"/>
  <c r="C196" i="30"/>
  <c r="C204" i="30"/>
  <c r="D204" i="30" s="1"/>
  <c r="C212" i="30"/>
  <c r="C220" i="30"/>
  <c r="C228" i="30"/>
  <c r="D228" i="30" s="1"/>
  <c r="C236" i="30"/>
  <c r="C244" i="30"/>
  <c r="C252" i="30"/>
  <c r="C260" i="30"/>
  <c r="C268" i="30"/>
  <c r="D268" i="30" s="1"/>
  <c r="C276" i="30"/>
  <c r="C284" i="30"/>
  <c r="C292" i="30"/>
  <c r="D292" i="30" s="1"/>
  <c r="C300" i="30"/>
  <c r="C293" i="30"/>
  <c r="C166" i="30"/>
  <c r="C182" i="30"/>
  <c r="C206" i="30"/>
  <c r="D206" i="30" s="1"/>
  <c r="C230" i="30"/>
  <c r="C254" i="30"/>
  <c r="C278" i="30"/>
  <c r="D278" i="30" s="1"/>
  <c r="C170" i="30"/>
  <c r="C234" i="30"/>
  <c r="C282" i="30"/>
  <c r="C29" i="30"/>
  <c r="C37" i="30"/>
  <c r="D37" i="30" s="1"/>
  <c r="C45" i="30"/>
  <c r="C53" i="30"/>
  <c r="C61" i="30"/>
  <c r="D61" i="30" s="1"/>
  <c r="C69" i="30"/>
  <c r="C77" i="30"/>
  <c r="C85" i="30"/>
  <c r="C93" i="30"/>
  <c r="C101" i="30"/>
  <c r="D101" i="30" s="1"/>
  <c r="C109" i="30"/>
  <c r="C117" i="30"/>
  <c r="C125" i="30"/>
  <c r="C133" i="30"/>
  <c r="C141" i="30"/>
  <c r="C149" i="30"/>
  <c r="C157" i="30"/>
  <c r="C165" i="30"/>
  <c r="D165" i="30" s="1"/>
  <c r="C173" i="30"/>
  <c r="C181" i="30"/>
  <c r="C189" i="30"/>
  <c r="D189" i="30" s="1"/>
  <c r="C197" i="30"/>
  <c r="C205" i="30"/>
  <c r="C213" i="30"/>
  <c r="C221" i="30"/>
  <c r="C229" i="30"/>
  <c r="D229" i="30" s="1"/>
  <c r="C237" i="30"/>
  <c r="C245" i="30"/>
  <c r="C253" i="30"/>
  <c r="D253" i="30" s="1"/>
  <c r="C261" i="30"/>
  <c r="C269" i="30"/>
  <c r="C277" i="30"/>
  <c r="C285" i="30"/>
  <c r="C158" i="30"/>
  <c r="D158" i="30" s="1"/>
  <c r="C174" i="30"/>
  <c r="C198" i="30"/>
  <c r="C222" i="30"/>
  <c r="D222" i="30" s="1"/>
  <c r="C246" i="30"/>
  <c r="C262" i="30"/>
  <c r="C286" i="30"/>
  <c r="C130" i="30"/>
  <c r="C22" i="30"/>
  <c r="D22" i="30" s="1"/>
  <c r="C30" i="30"/>
  <c r="C38" i="30"/>
  <c r="C46" i="30"/>
  <c r="D46" i="30" s="1"/>
  <c r="C54" i="30"/>
  <c r="C62" i="30"/>
  <c r="C70" i="30"/>
  <c r="C78" i="30"/>
  <c r="C86" i="30"/>
  <c r="D86" i="30" s="1"/>
  <c r="C94" i="30"/>
  <c r="C102" i="30"/>
  <c r="C110" i="30"/>
  <c r="D110" i="30" s="1"/>
  <c r="C118" i="30"/>
  <c r="C126" i="30"/>
  <c r="C134" i="30"/>
  <c r="C142" i="30"/>
  <c r="C150" i="30"/>
  <c r="D150" i="30" s="1"/>
  <c r="C190" i="30"/>
  <c r="C214" i="30"/>
  <c r="C238" i="30"/>
  <c r="D238" i="30" s="1"/>
  <c r="C270" i="30"/>
  <c r="C294" i="30"/>
  <c r="C50" i="30"/>
  <c r="C274" i="30"/>
  <c r="C23" i="30"/>
  <c r="D23" i="30" s="1"/>
  <c r="C31" i="30"/>
  <c r="C39" i="30"/>
  <c r="C47" i="30"/>
  <c r="D47" i="30" s="1"/>
  <c r="C55" i="30"/>
  <c r="C63" i="30"/>
  <c r="C71" i="30"/>
  <c r="C79" i="30"/>
  <c r="C87" i="30"/>
  <c r="D87" i="30" s="1"/>
  <c r="C95" i="30"/>
  <c r="C103" i="30"/>
  <c r="C111" i="30"/>
  <c r="D111" i="30" s="1"/>
  <c r="C119" i="30"/>
  <c r="C127" i="30"/>
  <c r="C135" i="30"/>
  <c r="C143" i="30"/>
  <c r="C151" i="30"/>
  <c r="D151" i="30" s="1"/>
  <c r="C159" i="30"/>
  <c r="C167" i="30"/>
  <c r="C175" i="30"/>
  <c r="D175" i="30" s="1"/>
  <c r="C183" i="30"/>
  <c r="C191" i="30"/>
  <c r="C199" i="30"/>
  <c r="C207" i="30"/>
  <c r="C215" i="30"/>
  <c r="D215" i="30" s="1"/>
  <c r="C223" i="30"/>
  <c r="C231" i="30"/>
  <c r="C239" i="30"/>
  <c r="D239" i="30" s="1"/>
  <c r="C247" i="30"/>
  <c r="C255" i="30"/>
  <c r="C263" i="30"/>
  <c r="C271" i="30"/>
  <c r="C279" i="30"/>
  <c r="D279" i="30" s="1"/>
  <c r="C287" i="30"/>
  <c r="C295" i="30"/>
  <c r="C42" i="30"/>
  <c r="D42" i="30" s="1"/>
  <c r="C58" i="30"/>
  <c r="C90" i="30"/>
  <c r="C122" i="30"/>
  <c r="C154" i="30"/>
  <c r="C202" i="30"/>
  <c r="D202" i="30" s="1"/>
  <c r="C242" i="30"/>
  <c r="C290" i="30"/>
  <c r="C24" i="30"/>
  <c r="D24" i="30" s="1"/>
  <c r="C32" i="30"/>
  <c r="C40" i="30"/>
  <c r="C48" i="30"/>
  <c r="C56" i="30"/>
  <c r="C64" i="30"/>
  <c r="D64" i="30" s="1"/>
  <c r="C72" i="30"/>
  <c r="C80" i="30"/>
  <c r="C88" i="30"/>
  <c r="C96" i="30"/>
  <c r="C104" i="30"/>
  <c r="C112" i="30"/>
  <c r="C120" i="30"/>
  <c r="C128" i="30"/>
  <c r="D128" i="30" s="1"/>
  <c r="C136" i="30"/>
  <c r="C144" i="30"/>
  <c r="C152" i="30"/>
  <c r="D152" i="30" s="1"/>
  <c r="C160" i="30"/>
  <c r="C168" i="30"/>
  <c r="C176" i="30"/>
  <c r="C184" i="30"/>
  <c r="C192" i="30"/>
  <c r="D192" i="30" s="1"/>
  <c r="C200" i="30"/>
  <c r="C208" i="30"/>
  <c r="C216" i="30"/>
  <c r="D216" i="30" s="1"/>
  <c r="C224" i="30"/>
  <c r="C232" i="30"/>
  <c r="C240" i="30"/>
  <c r="C248" i="30"/>
  <c r="C256" i="30"/>
  <c r="D256" i="30" s="1"/>
  <c r="C264" i="30"/>
  <c r="C272" i="30"/>
  <c r="C280" i="30"/>
  <c r="D280" i="30" s="1"/>
  <c r="C288" i="30"/>
  <c r="C296" i="30"/>
  <c r="C26" i="30"/>
  <c r="C66" i="30"/>
  <c r="C106" i="30"/>
  <c r="C146" i="30"/>
  <c r="C178" i="30"/>
  <c r="C210" i="30"/>
  <c r="D210" i="30" s="1"/>
  <c r="C250" i="30"/>
  <c r="C298" i="30"/>
  <c r="C25" i="30"/>
  <c r="C33" i="30"/>
  <c r="C41" i="30"/>
  <c r="D41" i="30" s="1"/>
  <c r="C49" i="30"/>
  <c r="C57" i="30"/>
  <c r="C65" i="30"/>
  <c r="D65" i="30" s="1"/>
  <c r="C73" i="30"/>
  <c r="C81" i="30"/>
  <c r="C89" i="30"/>
  <c r="C97" i="30"/>
  <c r="C105" i="30"/>
  <c r="D105" i="30" s="1"/>
  <c r="C113" i="30"/>
  <c r="C121" i="30"/>
  <c r="C129" i="30"/>
  <c r="D129" i="30" s="1"/>
  <c r="C137" i="30"/>
  <c r="C145" i="30"/>
  <c r="C153" i="30"/>
  <c r="C161" i="30"/>
  <c r="C169" i="30"/>
  <c r="D169" i="30" s="1"/>
  <c r="C177" i="30"/>
  <c r="C185" i="30"/>
  <c r="C193" i="30"/>
  <c r="D193" i="30" s="1"/>
  <c r="C201" i="30"/>
  <c r="C209" i="30"/>
  <c r="D209" i="30" s="1"/>
  <c r="C217" i="30"/>
  <c r="C225" i="30"/>
  <c r="D225" i="30" s="1"/>
  <c r="C233" i="30"/>
  <c r="D233" i="30" s="1"/>
  <c r="C241" i="30"/>
  <c r="C249" i="30"/>
  <c r="C257" i="30"/>
  <c r="D257" i="30" s="1"/>
  <c r="C265" i="30"/>
  <c r="C273" i="30"/>
  <c r="C281" i="30"/>
  <c r="C289" i="30"/>
  <c r="C297" i="30"/>
  <c r="D297" i="30" s="1"/>
  <c r="C34" i="30"/>
  <c r="C74" i="30"/>
  <c r="C98" i="30"/>
  <c r="D98" i="30" s="1"/>
  <c r="C138" i="30"/>
  <c r="C194" i="30"/>
  <c r="C226" i="30"/>
  <c r="C258" i="30"/>
  <c r="D258" i="30" s="1"/>
  <c r="D211" i="30"/>
  <c r="D220" i="30"/>
  <c r="D227" i="30"/>
  <c r="D234" i="30"/>
  <c r="D236" i="30"/>
  <c r="D241" i="30"/>
  <c r="D243" i="30"/>
  <c r="D250" i="30"/>
  <c r="D252" i="30"/>
  <c r="D259" i="30"/>
  <c r="D270" i="30"/>
  <c r="D290" i="30"/>
  <c r="D213" i="30"/>
  <c r="D245" i="30"/>
  <c r="D254" i="30"/>
  <c r="D261" i="30"/>
  <c r="D272" i="30"/>
  <c r="D281" i="30"/>
  <c r="D283" i="30"/>
  <c r="D294" i="30"/>
  <c r="D266" i="30"/>
  <c r="D277" i="30"/>
  <c r="D231" i="30"/>
  <c r="D247" i="30"/>
  <c r="D263" i="30"/>
  <c r="D274" i="30"/>
  <c r="D276" i="30"/>
  <c r="D285" i="30"/>
  <c r="D296" i="30"/>
  <c r="D232" i="30"/>
  <c r="D248" i="30"/>
  <c r="D208" i="30"/>
  <c r="D224" i="30"/>
  <c r="D240" i="30"/>
  <c r="D265" i="30"/>
  <c r="D267" i="30"/>
  <c r="D287" i="30"/>
  <c r="D298" i="30"/>
  <c r="D201" i="30"/>
  <c r="D203" i="30"/>
  <c r="D212" i="30"/>
  <c r="D217" i="30"/>
  <c r="D219" i="30"/>
  <c r="D226" i="30"/>
  <c r="D242" i="30"/>
  <c r="D244" i="30"/>
  <c r="D249" i="30"/>
  <c r="D251" i="30"/>
  <c r="D260" i="30"/>
  <c r="D269" i="30"/>
  <c r="D289" i="30"/>
  <c r="D291" i="30"/>
  <c r="D300" i="30"/>
  <c r="D288" i="30"/>
  <c r="D205" i="30"/>
  <c r="D214" i="30"/>
  <c r="D221" i="30"/>
  <c r="D230" i="30"/>
  <c r="D237" i="30"/>
  <c r="D246" i="30"/>
  <c r="D262" i="30"/>
  <c r="D271" i="30"/>
  <c r="D282" i="30"/>
  <c r="D284" i="30"/>
  <c r="D293" i="30"/>
  <c r="D207" i="30"/>
  <c r="D223" i="30"/>
  <c r="D255" i="30"/>
  <c r="D264" i="30"/>
  <c r="D273" i="30"/>
  <c r="D286" i="30"/>
  <c r="D295" i="30"/>
  <c r="D299" i="30"/>
  <c r="K160" i="30"/>
  <c r="A161" i="30"/>
  <c r="L161" i="30" s="1"/>
  <c r="I161" i="30"/>
  <c r="J160" i="30"/>
  <c r="E162" i="30"/>
  <c r="C17" i="30"/>
  <c r="D17" i="30" s="1"/>
  <c r="D25" i="30"/>
  <c r="D33" i="30"/>
  <c r="D49" i="30"/>
  <c r="D57" i="30"/>
  <c r="D73" i="30"/>
  <c r="D81" i="30"/>
  <c r="D89" i="30"/>
  <c r="D97" i="30"/>
  <c r="D113" i="30"/>
  <c r="D121" i="30"/>
  <c r="D137" i="30"/>
  <c r="D145" i="30"/>
  <c r="D153" i="30"/>
  <c r="D161" i="30"/>
  <c r="D177" i="30"/>
  <c r="D185" i="30"/>
  <c r="C18" i="30"/>
  <c r="D18" i="30" s="1"/>
  <c r="D26" i="30"/>
  <c r="D34" i="30"/>
  <c r="D50" i="30"/>
  <c r="D58" i="30"/>
  <c r="D66" i="30"/>
  <c r="D74" i="30"/>
  <c r="D82" i="30"/>
  <c r="D90" i="30"/>
  <c r="D106" i="30"/>
  <c r="D114" i="30"/>
  <c r="D122" i="30"/>
  <c r="D130" i="30"/>
  <c r="D138" i="30"/>
  <c r="D146" i="30"/>
  <c r="D154" i="30"/>
  <c r="D162" i="30"/>
  <c r="D170" i="30"/>
  <c r="D178" i="30"/>
  <c r="D186" i="30"/>
  <c r="D194" i="30"/>
  <c r="C20" i="30"/>
  <c r="D20" i="30" s="1"/>
  <c r="D44" i="30"/>
  <c r="D60" i="30"/>
  <c r="D92" i="30"/>
  <c r="D108" i="30"/>
  <c r="D132" i="30"/>
  <c r="D156" i="30"/>
  <c r="D180" i="30"/>
  <c r="C19" i="30"/>
  <c r="D19" i="30" s="1"/>
  <c r="D27" i="30"/>
  <c r="D35" i="30"/>
  <c r="D51" i="30"/>
  <c r="D59" i="30"/>
  <c r="D67" i="30"/>
  <c r="D75" i="30"/>
  <c r="D91" i="30"/>
  <c r="D99" i="30"/>
  <c r="D115" i="30"/>
  <c r="D123" i="30"/>
  <c r="D131" i="30"/>
  <c r="D139" i="30"/>
  <c r="D155" i="30"/>
  <c r="D163" i="30"/>
  <c r="D179" i="30"/>
  <c r="D187" i="30"/>
  <c r="D195" i="30"/>
  <c r="C13" i="30"/>
  <c r="D13" i="30" s="1"/>
  <c r="D28" i="30"/>
  <c r="D52" i="30"/>
  <c r="D68" i="30"/>
  <c r="D84" i="30"/>
  <c r="D124" i="30"/>
  <c r="D148" i="30"/>
  <c r="D172" i="30"/>
  <c r="D196" i="30"/>
  <c r="D36" i="30"/>
  <c r="D116" i="30"/>
  <c r="D140" i="30"/>
  <c r="D188" i="30"/>
  <c r="C21" i="30"/>
  <c r="D21" i="30" s="1"/>
  <c r="D29" i="30"/>
  <c r="D45" i="30"/>
  <c r="D53" i="30"/>
  <c r="D69" i="30"/>
  <c r="D77" i="30"/>
  <c r="D85" i="30"/>
  <c r="D93" i="30"/>
  <c r="D109" i="30"/>
  <c r="D117" i="30"/>
  <c r="D125" i="30"/>
  <c r="D133" i="30"/>
  <c r="D141" i="30"/>
  <c r="D149" i="30"/>
  <c r="D157" i="30"/>
  <c r="D173" i="30"/>
  <c r="D181" i="30"/>
  <c r="D197" i="30"/>
  <c r="C15" i="30"/>
  <c r="D15" i="30" s="1"/>
  <c r="D31" i="30"/>
  <c r="D39" i="30"/>
  <c r="D55" i="30"/>
  <c r="D32" i="30"/>
  <c r="D63" i="30"/>
  <c r="D104" i="30"/>
  <c r="D127" i="30"/>
  <c r="D168" i="30"/>
  <c r="D191" i="30"/>
  <c r="D160" i="30"/>
  <c r="D143" i="30"/>
  <c r="D30" i="30"/>
  <c r="D126" i="30"/>
  <c r="D38" i="30"/>
  <c r="D174" i="30"/>
  <c r="D119" i="30"/>
  <c r="D167" i="30"/>
  <c r="D40" i="30"/>
  <c r="D70" i="30"/>
  <c r="D88" i="30"/>
  <c r="D134" i="30"/>
  <c r="D198" i="30"/>
  <c r="D102" i="30"/>
  <c r="D190" i="30"/>
  <c r="C14" i="30"/>
  <c r="D14" i="30" s="1"/>
  <c r="D71" i="30"/>
  <c r="D94" i="30"/>
  <c r="D112" i="30"/>
  <c r="D135" i="30"/>
  <c r="D176" i="30"/>
  <c r="D199" i="30"/>
  <c r="D142" i="30"/>
  <c r="D79" i="30"/>
  <c r="D184" i="30"/>
  <c r="D62" i="30"/>
  <c r="D144" i="30"/>
  <c r="C16" i="30"/>
  <c r="D16" i="30" s="1"/>
  <c r="D48" i="30"/>
  <c r="D72" i="30"/>
  <c r="D95" i="30"/>
  <c r="D118" i="30"/>
  <c r="D136" i="30"/>
  <c r="D159" i="30"/>
  <c r="D182" i="30"/>
  <c r="D200" i="30"/>
  <c r="D54" i="30"/>
  <c r="D78" i="30"/>
  <c r="D96" i="30"/>
  <c r="D56" i="30"/>
  <c r="D166" i="30"/>
  <c r="D80" i="30"/>
  <c r="D183" i="30"/>
  <c r="D120" i="30"/>
  <c r="D103" i="30"/>
  <c r="H301" i="30"/>
  <c r="G301" i="30"/>
  <c r="E7" i="30" s="1"/>
  <c r="F301" i="30"/>
  <c r="E5" i="30" s="1"/>
  <c r="K161" i="30" l="1"/>
  <c r="A162" i="30"/>
  <c r="L162" i="30" s="1"/>
  <c r="I162" i="30"/>
  <c r="J161" i="30"/>
  <c r="E163" i="30"/>
  <c r="K162" i="30" l="1"/>
  <c r="A163" i="30"/>
  <c r="L163" i="30" s="1"/>
  <c r="I163" i="30"/>
  <c r="J162" i="30"/>
  <c r="E164" i="30"/>
  <c r="K163" i="30" l="1"/>
  <c r="A164" i="30"/>
  <c r="L164" i="30" s="1"/>
  <c r="I164" i="30"/>
  <c r="J163" i="30"/>
  <c r="E165" i="30"/>
  <c r="K164" i="30" l="1"/>
  <c r="A165" i="30"/>
  <c r="L165" i="30" s="1"/>
  <c r="I165" i="30"/>
  <c r="J164" i="30"/>
  <c r="E166" i="30"/>
  <c r="K165" i="30" l="1"/>
  <c r="A166" i="30"/>
  <c r="L166" i="30" s="1"/>
  <c r="I166" i="30"/>
  <c r="J165" i="30"/>
  <c r="E167" i="30"/>
  <c r="K166" i="30" l="1"/>
  <c r="A167" i="30"/>
  <c r="L167" i="30" s="1"/>
  <c r="I167" i="30"/>
  <c r="J166" i="30"/>
  <c r="E168" i="30"/>
  <c r="K167" i="30" l="1"/>
  <c r="A168" i="30"/>
  <c r="L168" i="30" s="1"/>
  <c r="I168" i="30"/>
  <c r="J167" i="30"/>
  <c r="E169" i="30"/>
  <c r="K168" i="30" l="1"/>
  <c r="A169" i="30"/>
  <c r="L169" i="30" s="1"/>
  <c r="I169" i="30"/>
  <c r="J168" i="30"/>
  <c r="E170" i="30"/>
  <c r="K169" i="30" l="1"/>
  <c r="A170" i="30"/>
  <c r="L170" i="30" s="1"/>
  <c r="I170" i="30"/>
  <c r="J169" i="30"/>
  <c r="E171" i="30"/>
  <c r="K170" i="30" l="1"/>
  <c r="J170" i="30"/>
  <c r="A171" i="30"/>
  <c r="L171" i="30" s="1"/>
  <c r="I171" i="30"/>
  <c r="E172" i="30"/>
  <c r="K171" i="30" l="1"/>
  <c r="J171" i="30"/>
  <c r="A172" i="30"/>
  <c r="L172" i="30" s="1"/>
  <c r="I172" i="30"/>
  <c r="E173" i="30"/>
  <c r="K172" i="30" l="1"/>
  <c r="J172" i="30"/>
  <c r="A173" i="30"/>
  <c r="L173" i="30" s="1"/>
  <c r="I173" i="30"/>
  <c r="E174" i="30"/>
  <c r="K173" i="30" l="1"/>
  <c r="J173" i="30"/>
  <c r="A174" i="30"/>
  <c r="L174" i="30" s="1"/>
  <c r="I174" i="30"/>
  <c r="E175" i="30"/>
  <c r="K174" i="30" l="1"/>
  <c r="A175" i="30"/>
  <c r="L175" i="30" s="1"/>
  <c r="I175" i="30"/>
  <c r="J174" i="30"/>
  <c r="E176" i="30"/>
  <c r="K175" i="30" l="1"/>
  <c r="A176" i="30"/>
  <c r="L176" i="30" s="1"/>
  <c r="I176" i="30"/>
  <c r="J175" i="30"/>
  <c r="E177" i="30"/>
  <c r="K176" i="30" l="1"/>
  <c r="A177" i="30"/>
  <c r="L177" i="30" s="1"/>
  <c r="I177" i="30"/>
  <c r="J176" i="30"/>
  <c r="E178" i="30"/>
  <c r="K177" i="30" l="1"/>
  <c r="A178" i="30"/>
  <c r="L178" i="30" s="1"/>
  <c r="I178" i="30"/>
  <c r="J177" i="30"/>
  <c r="E179" i="30"/>
  <c r="K178" i="30" l="1"/>
  <c r="A179" i="30"/>
  <c r="L179" i="30" s="1"/>
  <c r="I179" i="30"/>
  <c r="J178" i="30"/>
  <c r="E180" i="30"/>
  <c r="K179" i="30" l="1"/>
  <c r="A180" i="30"/>
  <c r="L180" i="30" s="1"/>
  <c r="I180" i="30"/>
  <c r="J179" i="30"/>
  <c r="E181" i="30"/>
  <c r="K180" i="30" l="1"/>
  <c r="J180" i="30"/>
  <c r="A181" i="30"/>
  <c r="L181" i="30" s="1"/>
  <c r="I181" i="30"/>
  <c r="E182" i="30"/>
  <c r="K181" i="30" l="1"/>
  <c r="A182" i="30"/>
  <c r="L182" i="30" s="1"/>
  <c r="I182" i="30"/>
  <c r="J181" i="30"/>
  <c r="E183" i="30"/>
  <c r="K182" i="30" l="1"/>
  <c r="A183" i="30"/>
  <c r="L183" i="30" s="1"/>
  <c r="I183" i="30"/>
  <c r="J182" i="30"/>
  <c r="E184" i="30"/>
  <c r="K183" i="30" l="1"/>
  <c r="A184" i="30"/>
  <c r="L184" i="30" s="1"/>
  <c r="I184" i="30"/>
  <c r="J183" i="30"/>
  <c r="E185" i="30"/>
  <c r="K184" i="30" l="1"/>
  <c r="A185" i="30"/>
  <c r="L185" i="30" s="1"/>
  <c r="I185" i="30"/>
  <c r="J184" i="30"/>
  <c r="E186" i="30"/>
  <c r="K185" i="30" l="1"/>
  <c r="A186" i="30"/>
  <c r="L186" i="30" s="1"/>
  <c r="I186" i="30"/>
  <c r="J185" i="30"/>
  <c r="E187" i="30"/>
  <c r="K186" i="30" l="1"/>
  <c r="A187" i="30"/>
  <c r="L187" i="30" s="1"/>
  <c r="I187" i="30"/>
  <c r="J186" i="30"/>
  <c r="E188" i="30"/>
  <c r="K187" i="30" l="1"/>
  <c r="A188" i="30"/>
  <c r="L188" i="30" s="1"/>
  <c r="I188" i="30"/>
  <c r="J187" i="30"/>
  <c r="E189" i="30"/>
  <c r="K188" i="30" l="1"/>
  <c r="A189" i="30"/>
  <c r="L189" i="30" s="1"/>
  <c r="I189" i="30"/>
  <c r="J188" i="30"/>
  <c r="E190" i="30"/>
  <c r="K189" i="30" l="1"/>
  <c r="A190" i="30"/>
  <c r="L190" i="30" s="1"/>
  <c r="I190" i="30"/>
  <c r="J189" i="30"/>
  <c r="E191" i="30"/>
  <c r="K190" i="30" l="1"/>
  <c r="A191" i="30"/>
  <c r="L191" i="30" s="1"/>
  <c r="I191" i="30"/>
  <c r="J190" i="30"/>
  <c r="E192" i="30"/>
  <c r="K191" i="30" l="1"/>
  <c r="J191" i="30"/>
  <c r="A192" i="30"/>
  <c r="L192" i="30" s="1"/>
  <c r="I192" i="30"/>
  <c r="E193" i="30"/>
  <c r="K192" i="30" l="1"/>
  <c r="A193" i="30"/>
  <c r="L193" i="30" s="1"/>
  <c r="I193" i="30"/>
  <c r="J192" i="30"/>
  <c r="E194" i="30"/>
  <c r="K193" i="30" l="1"/>
  <c r="A194" i="30"/>
  <c r="L194" i="30" s="1"/>
  <c r="I194" i="30"/>
  <c r="J193" i="30"/>
  <c r="E195" i="30"/>
  <c r="K194" i="30" l="1"/>
  <c r="A195" i="30"/>
  <c r="L195" i="30" s="1"/>
  <c r="I195" i="30"/>
  <c r="J194" i="30"/>
  <c r="E196" i="30"/>
  <c r="K195" i="30" l="1"/>
  <c r="A196" i="30"/>
  <c r="L196" i="30" s="1"/>
  <c r="I196" i="30"/>
  <c r="J195" i="30"/>
  <c r="E197" i="30"/>
  <c r="K196" i="30" l="1"/>
  <c r="A197" i="30"/>
  <c r="L197" i="30" s="1"/>
  <c r="I197" i="30"/>
  <c r="J196" i="30"/>
  <c r="E198" i="30"/>
  <c r="K197" i="30" l="1"/>
  <c r="A198" i="30"/>
  <c r="L198" i="30" s="1"/>
  <c r="I198" i="30"/>
  <c r="J197" i="30"/>
  <c r="E199" i="30"/>
  <c r="K198" i="30" l="1"/>
  <c r="A199" i="30"/>
  <c r="L199" i="30" s="1"/>
  <c r="I199" i="30"/>
  <c r="J198" i="30"/>
  <c r="E200" i="30"/>
  <c r="E201" i="30" s="1"/>
  <c r="I201" i="30" l="1"/>
  <c r="E202" i="30"/>
  <c r="A201" i="30"/>
  <c r="K199" i="30"/>
  <c r="A200" i="30"/>
  <c r="L200" i="30" s="1"/>
  <c r="I200" i="30"/>
  <c r="J199" i="30"/>
  <c r="E203" i="30" l="1"/>
  <c r="I202" i="30"/>
  <c r="A202" i="30"/>
  <c r="K201" i="30"/>
  <c r="J201" i="30"/>
  <c r="L201" i="30"/>
  <c r="K200" i="30"/>
  <c r="J200" i="30"/>
  <c r="K202" i="30" l="1"/>
  <c r="J202" i="30"/>
  <c r="L202" i="30"/>
  <c r="E204" i="30"/>
  <c r="I203" i="30"/>
  <c r="A203" i="30"/>
  <c r="L203" i="30" l="1"/>
  <c r="J203" i="30"/>
  <c r="E205" i="30"/>
  <c r="I204" i="30"/>
  <c r="A204" i="30"/>
  <c r="K204" i="30" s="1"/>
  <c r="K203" i="30"/>
  <c r="E206" i="30" l="1"/>
  <c r="I205" i="30"/>
  <c r="A205" i="30"/>
  <c r="K205" i="30" s="1"/>
  <c r="L204" i="30"/>
  <c r="J204" i="30"/>
  <c r="J205" i="30" l="1"/>
  <c r="L205" i="30"/>
  <c r="I206" i="30"/>
  <c r="A206" i="30"/>
  <c r="K206" i="30" s="1"/>
  <c r="E207" i="30"/>
  <c r="A207" i="30" l="1"/>
  <c r="K207" i="30" s="1"/>
  <c r="E208" i="30"/>
  <c r="I207" i="30"/>
  <c r="L206" i="30"/>
  <c r="J206" i="30"/>
  <c r="E209" i="30" l="1"/>
  <c r="A208" i="30"/>
  <c r="I208" i="30"/>
  <c r="L207" i="30"/>
  <c r="J207" i="30"/>
  <c r="J208" i="30" l="1"/>
  <c r="L208" i="30"/>
  <c r="E210" i="30"/>
  <c r="I209" i="30"/>
  <c r="A209" i="30"/>
  <c r="K209" i="30" s="1"/>
  <c r="K208" i="30"/>
  <c r="L209" i="30" l="1"/>
  <c r="J209" i="30"/>
  <c r="I210" i="30"/>
  <c r="A210" i="30"/>
  <c r="E211" i="30"/>
  <c r="K210" i="30" l="1"/>
  <c r="L210" i="30"/>
  <c r="J210" i="30"/>
  <c r="I211" i="30"/>
  <c r="A211" i="30"/>
  <c r="E212" i="30"/>
  <c r="K211" i="30" l="1"/>
  <c r="J211" i="30"/>
  <c r="L211" i="30"/>
  <c r="E213" i="30"/>
  <c r="I212" i="30"/>
  <c r="A212" i="30"/>
  <c r="J212" i="30" l="1"/>
  <c r="L212" i="30"/>
  <c r="K212" i="30"/>
  <c r="I213" i="30"/>
  <c r="A213" i="30"/>
  <c r="E214" i="30"/>
  <c r="E215" i="30" l="1"/>
  <c r="I214" i="30"/>
  <c r="A214" i="30"/>
  <c r="K213" i="30"/>
  <c r="J213" i="30"/>
  <c r="L213" i="30"/>
  <c r="J214" i="30" l="1"/>
  <c r="L214" i="30"/>
  <c r="K214" i="30"/>
  <c r="E216" i="30"/>
  <c r="I215" i="30"/>
  <c r="A215" i="30"/>
  <c r="K215" i="30" l="1"/>
  <c r="L215" i="30"/>
  <c r="J215" i="30"/>
  <c r="I216" i="30"/>
  <c r="A216" i="30"/>
  <c r="K216" i="30" s="1"/>
  <c r="E217" i="30"/>
  <c r="I217" i="30" l="1"/>
  <c r="A217" i="30"/>
  <c r="E218" i="30"/>
  <c r="J216" i="30"/>
  <c r="L216" i="30"/>
  <c r="J217" i="30" l="1"/>
  <c r="L217" i="30"/>
  <c r="E219" i="30"/>
  <c r="I218" i="30"/>
  <c r="A218" i="30"/>
  <c r="K217" i="30"/>
  <c r="J218" i="30" l="1"/>
  <c r="L218" i="30"/>
  <c r="K218" i="30"/>
  <c r="E220" i="30"/>
  <c r="I219" i="30"/>
  <c r="A219" i="30"/>
  <c r="L219" i="30" l="1"/>
  <c r="J219" i="30"/>
  <c r="E221" i="30"/>
  <c r="I220" i="30"/>
  <c r="A220" i="30"/>
  <c r="K219" i="30"/>
  <c r="K220" i="30" l="1"/>
  <c r="J220" i="30"/>
  <c r="L220" i="30"/>
  <c r="I221" i="30"/>
  <c r="E222" i="30"/>
  <c r="A221" i="30"/>
  <c r="J221" i="30" l="1"/>
  <c r="L221" i="30"/>
  <c r="K221" i="30"/>
  <c r="A222" i="30"/>
  <c r="E223" i="30"/>
  <c r="I222" i="30"/>
  <c r="K222" i="30" l="1"/>
  <c r="L222" i="30"/>
  <c r="J222" i="30"/>
  <c r="I223" i="30"/>
  <c r="A223" i="30"/>
  <c r="K223" i="30" s="1"/>
  <c r="E224" i="30"/>
  <c r="J223" i="30" l="1"/>
  <c r="L223" i="30"/>
  <c r="E225" i="30"/>
  <c r="I224" i="30"/>
  <c r="A224" i="30"/>
  <c r="K224" i="30" s="1"/>
  <c r="J224" i="30" l="1"/>
  <c r="L224" i="30"/>
  <c r="A225" i="30"/>
  <c r="E226" i="30"/>
  <c r="I225" i="30"/>
  <c r="E227" i="30" l="1"/>
  <c r="I226" i="30"/>
  <c r="A226" i="30"/>
  <c r="K225" i="30"/>
  <c r="L225" i="30"/>
  <c r="J225" i="30"/>
  <c r="J226" i="30" l="1"/>
  <c r="L226" i="30"/>
  <c r="K226" i="30"/>
  <c r="E228" i="30"/>
  <c r="A227" i="30"/>
  <c r="I227" i="30"/>
  <c r="K227" i="30" l="1"/>
  <c r="J227" i="30"/>
  <c r="L227" i="30"/>
  <c r="I228" i="30"/>
  <c r="A228" i="30"/>
  <c r="E229" i="30"/>
  <c r="J228" i="30" l="1"/>
  <c r="L228" i="30"/>
  <c r="K228" i="30"/>
  <c r="I229" i="30"/>
  <c r="A229" i="30"/>
  <c r="E230" i="30"/>
  <c r="A230" i="30" l="1"/>
  <c r="K230" i="30" s="1"/>
  <c r="I230" i="30"/>
  <c r="E231" i="30"/>
  <c r="K229" i="30"/>
  <c r="J229" i="30"/>
  <c r="L229" i="30"/>
  <c r="A231" i="30" l="1"/>
  <c r="K231" i="30" s="1"/>
  <c r="E232" i="30"/>
  <c r="I231" i="30"/>
  <c r="L230" i="30"/>
  <c r="J230" i="30"/>
  <c r="I232" i="30" l="1"/>
  <c r="E233" i="30"/>
  <c r="A232" i="30"/>
  <c r="L231" i="30"/>
  <c r="J231" i="30"/>
  <c r="A233" i="30" l="1"/>
  <c r="K233" i="30" s="1"/>
  <c r="E234" i="30"/>
  <c r="I233" i="30"/>
  <c r="K232" i="30"/>
  <c r="L232" i="30"/>
  <c r="J232" i="30"/>
  <c r="E235" i="30" l="1"/>
  <c r="A234" i="30"/>
  <c r="K234" i="30" s="1"/>
  <c r="I234" i="30"/>
  <c r="J233" i="30"/>
  <c r="L233" i="30"/>
  <c r="J234" i="30" l="1"/>
  <c r="L234" i="30"/>
  <c r="E236" i="30"/>
  <c r="I235" i="30"/>
  <c r="A235" i="30"/>
  <c r="L235" i="30" l="1"/>
  <c r="J235" i="30"/>
  <c r="K235" i="30"/>
  <c r="E237" i="30"/>
  <c r="I236" i="30"/>
  <c r="A236" i="30"/>
  <c r="K236" i="30" l="1"/>
  <c r="J236" i="30"/>
  <c r="L236" i="30"/>
  <c r="E238" i="30"/>
  <c r="A237" i="30"/>
  <c r="I237" i="30"/>
  <c r="J237" i="30" l="1"/>
  <c r="L237" i="30"/>
  <c r="K237" i="30"/>
  <c r="E239" i="30"/>
  <c r="A238" i="30"/>
  <c r="K238" i="30" s="1"/>
  <c r="I238" i="30"/>
  <c r="E240" i="30" l="1"/>
  <c r="A239" i="30"/>
  <c r="I239" i="30"/>
  <c r="L238" i="30"/>
  <c r="J238" i="30"/>
  <c r="K239" i="30" l="1"/>
  <c r="J239" i="30"/>
  <c r="L239" i="30"/>
  <c r="E241" i="30"/>
  <c r="I240" i="30"/>
  <c r="A240" i="30"/>
  <c r="K240" i="30" s="1"/>
  <c r="J240" i="30" l="1"/>
  <c r="L240" i="30"/>
  <c r="A241" i="30"/>
  <c r="K241" i="30" s="1"/>
  <c r="I241" i="30"/>
  <c r="E242" i="30"/>
  <c r="I242" i="30" l="1"/>
  <c r="E243" i="30"/>
  <c r="A242" i="30"/>
  <c r="K242" i="30" s="1"/>
  <c r="J241" i="30"/>
  <c r="L241" i="30"/>
  <c r="A243" i="30" l="1"/>
  <c r="E244" i="30"/>
  <c r="I243" i="30"/>
  <c r="J242" i="30"/>
  <c r="L242" i="30"/>
  <c r="I244" i="30" l="1"/>
  <c r="E245" i="30"/>
  <c r="A244" i="30"/>
  <c r="K244" i="30" s="1"/>
  <c r="K243" i="30"/>
  <c r="J243" i="30"/>
  <c r="L243" i="30"/>
  <c r="E246" i="30" l="1"/>
  <c r="I245" i="30"/>
  <c r="A245" i="30"/>
  <c r="J244" i="30"/>
  <c r="L244" i="30"/>
  <c r="J245" i="30" l="1"/>
  <c r="L245" i="30"/>
  <c r="K245" i="30"/>
  <c r="I246" i="30"/>
  <c r="E247" i="30"/>
  <c r="A246" i="30"/>
  <c r="L246" i="30" l="1"/>
  <c r="J246" i="30"/>
  <c r="K246" i="30"/>
  <c r="E248" i="30"/>
  <c r="I247" i="30"/>
  <c r="A247" i="30"/>
  <c r="K247" i="30" s="1"/>
  <c r="J247" i="30" l="1"/>
  <c r="L247" i="30"/>
  <c r="E249" i="30"/>
  <c r="A248" i="30"/>
  <c r="I248" i="30"/>
  <c r="K248" i="30" l="1"/>
  <c r="J248" i="30"/>
  <c r="L248" i="30"/>
  <c r="A249" i="30"/>
  <c r="K249" i="30" s="1"/>
  <c r="E250" i="30"/>
  <c r="I249" i="30"/>
  <c r="E251" i="30" l="1"/>
  <c r="I250" i="30"/>
  <c r="A250" i="30"/>
  <c r="J249" i="30"/>
  <c r="L249" i="30"/>
  <c r="J250" i="30" l="1"/>
  <c r="L250" i="30"/>
  <c r="K250" i="30"/>
  <c r="E252" i="30"/>
  <c r="A251" i="30"/>
  <c r="I251" i="30"/>
  <c r="K251" i="30" l="1"/>
  <c r="L251" i="30"/>
  <c r="J251" i="30"/>
  <c r="I252" i="30"/>
  <c r="E253" i="30"/>
  <c r="A252" i="30"/>
  <c r="J252" i="30" l="1"/>
  <c r="L252" i="30"/>
  <c r="K252" i="30"/>
  <c r="E254" i="30"/>
  <c r="I253" i="30"/>
  <c r="A253" i="30"/>
  <c r="J253" i="30" l="1"/>
  <c r="L253" i="30"/>
  <c r="I254" i="30"/>
  <c r="E255" i="30"/>
  <c r="A254" i="30"/>
  <c r="K253" i="30"/>
  <c r="K254" i="30" l="1"/>
  <c r="L254" i="30"/>
  <c r="J254" i="30"/>
  <c r="E256" i="30"/>
  <c r="I255" i="30"/>
  <c r="A255" i="30"/>
  <c r="J255" i="30" l="1"/>
  <c r="L255" i="30"/>
  <c r="K255" i="30"/>
  <c r="E257" i="30"/>
  <c r="I256" i="30"/>
  <c r="A256" i="30"/>
  <c r="K256" i="30" l="1"/>
  <c r="J256" i="30"/>
  <c r="L256" i="30"/>
  <c r="A257" i="30"/>
  <c r="K257" i="30" s="1"/>
  <c r="E258" i="30"/>
  <c r="I257" i="30"/>
  <c r="E259" i="30" l="1"/>
  <c r="I258" i="30"/>
  <c r="A258" i="30"/>
  <c r="J257" i="30"/>
  <c r="L257" i="30"/>
  <c r="J258" i="30" l="1"/>
  <c r="L258" i="30"/>
  <c r="K258" i="30"/>
  <c r="E260" i="30"/>
  <c r="A259" i="30"/>
  <c r="I259" i="30"/>
  <c r="L259" i="30" l="1"/>
  <c r="J259" i="30"/>
  <c r="K259" i="30"/>
  <c r="I260" i="30"/>
  <c r="A260" i="30"/>
  <c r="E261" i="30"/>
  <c r="J260" i="30" l="1"/>
  <c r="L260" i="30"/>
  <c r="K260" i="30"/>
  <c r="I261" i="30"/>
  <c r="A261" i="30"/>
  <c r="E262" i="30"/>
  <c r="J261" i="30" l="1"/>
  <c r="L261" i="30"/>
  <c r="E263" i="30"/>
  <c r="A262" i="30"/>
  <c r="K262" i="30" s="1"/>
  <c r="I262" i="30"/>
  <c r="K261" i="30"/>
  <c r="L262" i="30" l="1"/>
  <c r="J262" i="30"/>
  <c r="I263" i="30"/>
  <c r="E264" i="30"/>
  <c r="A263" i="30"/>
  <c r="K263" i="30" s="1"/>
  <c r="I264" i="30" l="1"/>
  <c r="E265" i="30"/>
  <c r="A264" i="30"/>
  <c r="J263" i="30"/>
  <c r="L263" i="30"/>
  <c r="A265" i="30" l="1"/>
  <c r="K265" i="30" s="1"/>
  <c r="I265" i="30"/>
  <c r="E266" i="30"/>
  <c r="K264" i="30"/>
  <c r="J264" i="30"/>
  <c r="L264" i="30"/>
  <c r="E267" i="30" l="1"/>
  <c r="I266" i="30"/>
  <c r="A266" i="30"/>
  <c r="J265" i="30"/>
  <c r="L265" i="30"/>
  <c r="J266" i="30" l="1"/>
  <c r="L266" i="30"/>
  <c r="K266" i="30"/>
  <c r="E268" i="30"/>
  <c r="I267" i="30"/>
  <c r="A267" i="30"/>
  <c r="L267" i="30" l="1"/>
  <c r="J267" i="30"/>
  <c r="I268" i="30"/>
  <c r="A268" i="30"/>
  <c r="K268" i="30" s="1"/>
  <c r="E269" i="30"/>
  <c r="K267" i="30"/>
  <c r="I269" i="30" l="1"/>
  <c r="A269" i="30"/>
  <c r="E270" i="30"/>
  <c r="J268" i="30"/>
  <c r="L268" i="30"/>
  <c r="J269" i="30" l="1"/>
  <c r="L269" i="30"/>
  <c r="E271" i="30"/>
  <c r="I270" i="30"/>
  <c r="A270" i="30"/>
  <c r="K270" i="30" s="1"/>
  <c r="K269" i="30"/>
  <c r="L270" i="30" l="1"/>
  <c r="J270" i="30"/>
  <c r="I271" i="30"/>
  <c r="A271" i="30"/>
  <c r="K271" i="30" s="1"/>
  <c r="E272" i="30"/>
  <c r="E273" i="30" l="1"/>
  <c r="I272" i="30"/>
  <c r="A272" i="30"/>
  <c r="J271" i="30"/>
  <c r="L271" i="30"/>
  <c r="L272" i="30" l="1"/>
  <c r="J272" i="30"/>
  <c r="K272" i="30"/>
  <c r="A273" i="30"/>
  <c r="K273" i="30" s="1"/>
  <c r="E274" i="30"/>
  <c r="I273" i="30"/>
  <c r="I274" i="30" l="1"/>
  <c r="A274" i="30"/>
  <c r="E275" i="30"/>
  <c r="J273" i="30"/>
  <c r="L273" i="30"/>
  <c r="J274" i="30" l="1"/>
  <c r="L274" i="30"/>
  <c r="K274" i="30"/>
  <c r="E276" i="30"/>
  <c r="I275" i="30"/>
  <c r="A275" i="30"/>
  <c r="K275" i="30" s="1"/>
  <c r="I276" i="30" l="1"/>
  <c r="A276" i="30"/>
  <c r="K276" i="30" s="1"/>
  <c r="E277" i="30"/>
  <c r="L275" i="30"/>
  <c r="J275" i="30"/>
  <c r="J276" i="30" l="1"/>
  <c r="L276" i="30"/>
  <c r="E278" i="30"/>
  <c r="I277" i="30"/>
  <c r="A277" i="30"/>
  <c r="J277" i="30" l="1"/>
  <c r="L277" i="30"/>
  <c r="K277" i="30"/>
  <c r="A278" i="30"/>
  <c r="K278" i="30" s="1"/>
  <c r="E279" i="30"/>
  <c r="I278" i="30"/>
  <c r="E280" i="30" l="1"/>
  <c r="I279" i="30"/>
  <c r="A279" i="30"/>
  <c r="L278" i="30"/>
  <c r="J278" i="30"/>
  <c r="J279" i="30" l="1"/>
  <c r="L279" i="30"/>
  <c r="K279" i="30"/>
  <c r="A280" i="30"/>
  <c r="K280" i="30" s="1"/>
  <c r="E281" i="30"/>
  <c r="I280" i="30"/>
  <c r="I281" i="30" l="1"/>
  <c r="A281" i="30"/>
  <c r="E282" i="30"/>
  <c r="J280" i="30"/>
  <c r="L280" i="30"/>
  <c r="J281" i="30" l="1"/>
  <c r="L281" i="30"/>
  <c r="E283" i="30"/>
  <c r="I282" i="30"/>
  <c r="A282" i="30"/>
  <c r="K281" i="30"/>
  <c r="J282" i="30" l="1"/>
  <c r="L282" i="30"/>
  <c r="K282" i="30"/>
  <c r="E284" i="30"/>
  <c r="A283" i="30"/>
  <c r="K283" i="30" s="1"/>
  <c r="I283" i="30"/>
  <c r="I284" i="30" l="1"/>
  <c r="A284" i="30"/>
  <c r="E285" i="30"/>
  <c r="L283" i="30"/>
  <c r="J283" i="30"/>
  <c r="J284" i="30" l="1"/>
  <c r="L284" i="30"/>
  <c r="K284" i="30"/>
  <c r="A285" i="30"/>
  <c r="E286" i="30"/>
  <c r="I285" i="30"/>
  <c r="A286" i="30" l="1"/>
  <c r="K286" i="30" s="1"/>
  <c r="E287" i="30"/>
  <c r="I286" i="30"/>
  <c r="K285" i="30"/>
  <c r="J285" i="30"/>
  <c r="L285" i="30"/>
  <c r="E288" i="30" l="1"/>
  <c r="A287" i="30"/>
  <c r="K287" i="30" s="1"/>
  <c r="I287" i="30"/>
  <c r="L286" i="30"/>
  <c r="J286" i="30"/>
  <c r="J287" i="30" l="1"/>
  <c r="L287" i="30"/>
  <c r="E289" i="30"/>
  <c r="I288" i="30"/>
  <c r="A288" i="30"/>
  <c r="J288" i="30" l="1"/>
  <c r="L288" i="30"/>
  <c r="K288" i="30"/>
  <c r="A289" i="30"/>
  <c r="K289" i="30" s="1"/>
  <c r="I289" i="30"/>
  <c r="E290" i="30"/>
  <c r="A290" i="30" l="1"/>
  <c r="K290" i="30" s="1"/>
  <c r="E291" i="30"/>
  <c r="I290" i="30"/>
  <c r="J289" i="30"/>
  <c r="L289" i="30"/>
  <c r="I291" i="30" l="1"/>
  <c r="E292" i="30"/>
  <c r="A291" i="30"/>
  <c r="K291" i="30" s="1"/>
  <c r="J290" i="30"/>
  <c r="L290" i="30"/>
  <c r="I292" i="30" l="1"/>
  <c r="A292" i="30"/>
  <c r="E293" i="30"/>
  <c r="L291" i="30"/>
  <c r="J291" i="30"/>
  <c r="K292" i="30" l="1"/>
  <c r="L292" i="30"/>
  <c r="J292" i="30"/>
  <c r="E294" i="30"/>
  <c r="A293" i="30"/>
  <c r="I293" i="30"/>
  <c r="L293" i="30" l="1"/>
  <c r="J293" i="30"/>
  <c r="K293" i="30"/>
  <c r="I294" i="30"/>
  <c r="A294" i="30"/>
  <c r="E295" i="30"/>
  <c r="L294" i="30" l="1"/>
  <c r="J294" i="30"/>
  <c r="K294" i="30"/>
  <c r="I295" i="30"/>
  <c r="A295" i="30"/>
  <c r="K295" i="30" s="1"/>
  <c r="E296" i="30"/>
  <c r="J295" i="30" l="1"/>
  <c r="L295" i="30"/>
  <c r="E297" i="30"/>
  <c r="I296" i="30"/>
  <c r="A296" i="30"/>
  <c r="J296" i="30" l="1"/>
  <c r="L296" i="30"/>
  <c r="K296" i="30"/>
  <c r="E298" i="30"/>
  <c r="I297" i="30"/>
  <c r="A297" i="30"/>
  <c r="J297" i="30" l="1"/>
  <c r="L297" i="30"/>
  <c r="K297" i="30"/>
  <c r="A298" i="30"/>
  <c r="K298" i="30" s="1"/>
  <c r="E299" i="30"/>
  <c r="I298" i="30"/>
  <c r="L298" i="30" l="1"/>
  <c r="J298" i="30"/>
  <c r="I299" i="30"/>
  <c r="E300" i="30"/>
  <c r="A299" i="30"/>
  <c r="K299" i="30" s="1"/>
  <c r="I300" i="30" l="1"/>
  <c r="A300" i="30"/>
  <c r="E301" i="30"/>
  <c r="H6" i="30" s="1"/>
  <c r="J299" i="30"/>
  <c r="L299" i="30"/>
  <c r="E9" i="30" l="1"/>
  <c r="E10" i="30"/>
  <c r="J300" i="30"/>
  <c r="L300" i="30"/>
  <c r="K300" i="30"/>
  <c r="E8" i="30" l="1"/>
  <c r="E6" i="30" s="1"/>
  <c r="K301" i="30"/>
  <c r="H8" i="30"/>
  <c r="L301" i="30"/>
  <c r="H9" i="30"/>
  <c r="H7" i="30" l="1"/>
  <c r="H10" i="30" s="1"/>
</calcChain>
</file>

<file path=xl/connections.xml><?xml version="1.0" encoding="utf-8"?>
<connections xmlns="http://schemas.openxmlformats.org/spreadsheetml/2006/main">
  <connection id="1" name="Connection" type="4" refreshedVersion="6" saveData="1">
    <webPr sourceData="1" parsePre="1" consecutive="1" xl2000="1" url="file:///C:/Users/dell/Downloads/STMT.ENT.BOOK.VPB3 (4).html"/>
  </connection>
  <connection id="2" name="Connection1" type="4" refreshedVersion="6" saveData="1">
    <webPr sourceData="1" parsePre="1" consecutive="1" xl2000="1" url="file:///C:/Users/dell/Downloads/STMT.ENT.BOOK.VPB3 (4).html"/>
  </connection>
  <connection id="3" name="Connection2" type="4" refreshedVersion="6" saveData="1">
    <webPr sourceData="1" parsePre="1" consecutive="1" xl2000="1" url="file:///C:/Users/dell/Downloads/STMT.ENT.BOOK.VPB3 (4).html"/>
  </connection>
  <connection id="4" name="Connection3" type="4" refreshedVersion="6" saveData="1">
    <webPr sourceData="1" parsePre="1" consecutive="1" xl2000="1" url="file:///C:/Users/dell/Downloads/saokeNhieen.html"/>
  </connection>
</connections>
</file>

<file path=xl/sharedStrings.xml><?xml version="1.0" encoding="utf-8"?>
<sst xmlns="http://schemas.openxmlformats.org/spreadsheetml/2006/main" count="8047" uniqueCount="2183">
  <si>
    <t>Tổng hợp thông tin hợp đồng</t>
  </si>
  <si>
    <t>Tên khách hàng</t>
  </si>
  <si>
    <t>Mã khách hàng</t>
  </si>
  <si>
    <t>Ngày quá hạn</t>
  </si>
  <si>
    <t>Trạng thái</t>
  </si>
  <si>
    <t>Đến ngày</t>
  </si>
  <si>
    <t>Số ngày tính lãi</t>
  </si>
  <si>
    <t>Lãi suất TH (%)</t>
  </si>
  <si>
    <t>Lãi trong hạn</t>
  </si>
  <si>
    <t>Lãi quá hạn</t>
  </si>
  <si>
    <t>Lãi đã trả</t>
  </si>
  <si>
    <t>Tổng</t>
  </si>
  <si>
    <t>Ngày cần tính</t>
  </si>
  <si>
    <t>Từ ngày</t>
  </si>
  <si>
    <t>Thống kê</t>
  </si>
  <si>
    <t>Lãi suất QH (%)</t>
  </si>
  <si>
    <t>BAOTG10</t>
  </si>
  <si>
    <t>BAO</t>
  </si>
  <si>
    <t>TG10</t>
  </si>
  <si>
    <t>LD2320800279</t>
  </si>
  <si>
    <t>LD2320800347</t>
  </si>
  <si>
    <t>LD2424301291</t>
  </si>
  <si>
    <t>LD2429901150</t>
  </si>
  <si>
    <t>LD2431900537</t>
  </si>
  <si>
    <t>B3_ID</t>
  </si>
  <si>
    <t>FilePath</t>
  </si>
  <si>
    <t>LastModified</t>
  </si>
  <si>
    <t>StartCol</t>
  </si>
  <si>
    <t>C:\Users\dell\Desktop\New folder (2)\New folder (3)\New Microsoft Excel Worksheet - Copy (3).csv</t>
  </si>
  <si>
    <t>ADDED</t>
  </si>
  <si>
    <t>Thêm kh?i m?i</t>
  </si>
  <si>
    <t>C:\Users\dell\Desktop\New folder (2)\New folder (3)\New Microsoft Excel Worksheet - Copy (4).csv</t>
  </si>
  <si>
    <t>C:\Users\dell\Desktop\New folder (2)\New folder (3)\New Microsoft Excel Worksheet - Copy.csv</t>
  </si>
  <si>
    <t>C:\Users\dell\Desktop\New folder (2)\New folder (3)\New Microsoft Excel Worksheet.csv</t>
  </si>
  <si>
    <t>C:\Users\dell\Desktop\New folder (2)\New folder (3)\New Microsoft Excel Worksheet - Copy (2).csv</t>
  </si>
  <si>
    <t>C:\Users\dell\Desktop\New folder (3)\New Microsoft Excel Worksheet.csv</t>
  </si>
  <si>
    <t>C:\Users\dell\Desktop\New folder (3)\New Microsoft Excel Worksheet - Copy (2).csv</t>
  </si>
  <si>
    <t>C:\Users\dell\Desktop\New folder (3)\New Microsoft Excel Worksheet - Copy (3).csv</t>
  </si>
  <si>
    <t>C:\Users\dell\Desktop\New folder (3)\New Microsoft Excel Worksheet - Copy (4).csv</t>
  </si>
  <si>
    <t>C:\Users\dell\Desktop\New folder (3)\New Microsoft Excel Worksheet - Copy.csv</t>
  </si>
  <si>
    <t>UPDATED</t>
  </si>
  <si>
    <t>C?p nh?t kh?i cu</t>
  </si>
  <si>
    <t>Người lập bảng</t>
  </si>
  <si>
    <t xml:space="preserve">Hạn mức thấu chi </t>
  </si>
  <si>
    <t>Dư nợ thấu chi</t>
  </si>
  <si>
    <t>Gốc Đã Trả</t>
  </si>
  <si>
    <t>Nợ phát sinh</t>
  </si>
  <si>
    <t>Ngày mở thấu chi</t>
  </si>
  <si>
    <t>Hạn mức TC</t>
  </si>
  <si>
    <t>Ngày mở TC</t>
  </si>
  <si>
    <t>Số tài khoản TC</t>
  </si>
  <si>
    <t>STATEMENT ENTRY DATED ENQUIRY</t>
  </si>
  <si>
    <t>NR.</t>
  </si>
  <si>
    <t>CUSTOMER</t>
  </si>
  <si>
    <t>CCY:</t>
  </si>
  <si>
    <t>VND</t>
  </si>
  <si>
    <t>BOOK:</t>
  </si>
  <si>
    <t>PASSWORD</t>
  </si>
  <si>
    <t>VAL. DATE</t>
  </si>
  <si>
    <t>DESCRIPTION</t>
  </si>
  <si>
    <t>TRANS.REF.NO</t>
  </si>
  <si>
    <t>POST DATE</t>
  </si>
  <si>
    <t>DEBIT AMOUNT</t>
  </si>
  <si>
    <t>CREDIT AMOUNT</t>
  </si>
  <si>
    <t>NARRATIVE</t>
  </si>
  <si>
    <t>DATETIME</t>
  </si>
  <si>
    <t>INPUTTER</t>
  </si>
  <si>
    <t>AUTHORISER</t>
  </si>
  <si>
    <t>PF.CENT.CUST</t>
  </si>
  <si>
    <t>CO.CODE</t>
  </si>
  <si>
    <t>CARD.NO</t>
  </si>
  <si>
    <t>ATM REF</t>
  </si>
  <si>
    <t>SUSPENSE.ID</t>
  </si>
  <si>
    <t>BALANCE AT PERIOD START</t>
  </si>
  <si>
    <t>VALDESC</t>
  </si>
  <si>
    <t>PDESC</t>
  </si>
  <si>
    <t>REFNO</t>
  </si>
  <si>
    <t>POST</t>
  </si>
  <si>
    <t>PDAMT</t>
  </si>
  <si>
    <t>PCAMT</t>
  </si>
  <si>
    <t>NARR</t>
  </si>
  <si>
    <t>Y.INPUTTER</t>
  </si>
  <si>
    <t>Y.AUTHORISER</t>
  </si>
  <si>
    <t>PROFIT.CUST</t>
  </si>
  <si>
    <t>ATM.REF</t>
  </si>
  <si>
    <t>BOOKED BALANCE</t>
  </si>
  <si>
    <t>VIRTUAL.ACCT.ID</t>
  </si>
  <si>
    <t>VIRTUAL.ACCT.NAME</t>
  </si>
  <si>
    <t>NICE.ACCT</t>
  </si>
  <si>
    <t>KENH.TT</t>
  </si>
  <si>
    <t>Transfer</t>
  </si>
  <si>
    <t>EBANK.4</t>
  </si>
  <si>
    <t>NAPAS</t>
  </si>
  <si>
    <t>VN0010335</t>
  </si>
  <si>
    <t>Thanh toan lai thau chi</t>
  </si>
  <si>
    <t>Hach toan lai</t>
  </si>
  <si>
    <t>COBUSER</t>
  </si>
  <si>
    <t>VN0010001</t>
  </si>
  <si>
    <t>VN0010241</t>
  </si>
  <si>
    <t>Balance Take Over - Credit</t>
  </si>
  <si>
    <t>Take Over Entry - Credit</t>
  </si>
  <si>
    <t>TOTAL MOVEMENT:</t>
  </si>
  <si>
    <t>BALANCE AT PERIOD END</t>
  </si>
  <si>
    <t>Ngày</t>
  </si>
  <si>
    <t>Sum I</t>
  </si>
  <si>
    <t>Sum J</t>
  </si>
  <si>
    <t>Laitra</t>
  </si>
  <si>
    <t>Luy k?</t>
  </si>
  <si>
    <t xml:space="preserve">  + Lãi trong hạn</t>
  </si>
  <si>
    <t xml:space="preserve">  + Lãi quá hạn</t>
  </si>
  <si>
    <t>Tổng nợ phát sinh</t>
  </si>
  <si>
    <t>Tổng tiền trả</t>
  </si>
  <si>
    <t>Nợ lãi</t>
  </si>
  <si>
    <t>Tổng dư nợ</t>
  </si>
  <si>
    <t xml:space="preserve">BẢNG TÓM TẮT SAO KÊ THẤU CHI  </t>
  </si>
  <si>
    <t xml:space="preserve">  + Gốc đã trả</t>
  </si>
  <si>
    <t xml:space="preserve">  + Lãi đã trả</t>
  </si>
  <si>
    <t>Lãi suất</t>
  </si>
  <si>
    <t xml:space="preserve">     - Dư nợ thấu chi= Tổng nợ phát sinh - Gốc đã trả</t>
  </si>
  <si>
    <t xml:space="preserve">     - Nợ lãi = Lãi TH + Lãi QH</t>
  </si>
  <si>
    <t xml:space="preserve">     - Lãi trong hạn = Lãi TH phát sinh - Lãi TH đã trả</t>
  </si>
  <si>
    <t xml:space="preserve">     - Lãi quá hạn = Lãi QH phát sinh - Lãi QH đã trả</t>
  </si>
  <si>
    <t xml:space="preserve">     *** Lưu ý: Nợ phát sinh vượt hạn mức do bị đơn vay trả nhiều lần</t>
  </si>
  <si>
    <t xml:space="preserve">        Lãi TH đã trả</t>
  </si>
  <si>
    <t xml:space="preserve">        Lãi QH đã trả</t>
  </si>
  <si>
    <t>Quá trình sử dụng thấu chi</t>
  </si>
  <si>
    <t>baotg10</t>
  </si>
  <si>
    <t>CHATBOX TỰ ĐỘNG</t>
  </si>
  <si>
    <t>⬆ TẢI FILE HTML
Kéo thả file vào đây</t>
  </si>
  <si>
    <t>▶ TẠO BKTL</t>
  </si>
  <si>
    <t>⚠ LƯU Ý: File sao kê tải về phải được đặt trong thư mục Download.</t>
  </si>
  <si>
    <t>Chau Quoc Nhien</t>
  </si>
  <si>
    <t>VPBANK HO CHI MINH</t>
  </si>
  <si>
    <t>38,537,329-</t>
  </si>
  <si>
    <t>FT23220167006572</t>
  </si>
  <si>
    <t>CHAU QUOC NHIEN chuyen tien</t>
  </si>
  <si>
    <t>3595152/Chau Quoc Nhien</t>
  </si>
  <si>
    <t>VN0010102</t>
  </si>
  <si>
    <t>VPB2308080589262563</t>
  </si>
  <si>
    <t>FT23221273380766</t>
  </si>
  <si>
    <t>VPB2308090590983693</t>
  </si>
  <si>
    <t>FT23224923648546\PNN</t>
  </si>
  <si>
    <t>CHAU THACH NHUY chuyen tien</t>
  </si>
  <si>
    <t>3043457/CHAU THACH NHUY</t>
  </si>
  <si>
    <t>VN0010178</t>
  </si>
  <si>
    <t>VPB2308120593530447</t>
  </si>
  <si>
    <t>FT23224882877677</t>
  </si>
  <si>
    <t>VPB2308120593532884</t>
  </si>
  <si>
    <t>FT23224985878809</t>
  </si>
  <si>
    <t>VPB2308120593533482</t>
  </si>
  <si>
    <t>FT23224877003490</t>
  </si>
  <si>
    <t>VPB2308120593568393</t>
  </si>
  <si>
    <t>Debit Interest</t>
  </si>
  <si>
    <t>121793555-20230812</t>
  </si>
  <si>
    <t>Debit Interest-121793555-20230812</t>
  </si>
  <si>
    <t>FT23226765072536</t>
  </si>
  <si>
    <t>VPB2308130594473743</t>
  </si>
  <si>
    <t>FT23226759833082</t>
  </si>
  <si>
    <t>NHAN TU 19036197455018 TRACE 770941 ND TRAN QUOC PHONG chuyen FT23226822079030</t>
  </si>
  <si>
    <t>FT23226623770000</t>
  </si>
  <si>
    <t>VPB2308130594696988</t>
  </si>
  <si>
    <t>FT23226488359008</t>
  </si>
  <si>
    <t>Thanh toan the tin dung</t>
  </si>
  <si>
    <t>VPB2308130594697254</t>
  </si>
  <si>
    <t>FT23226611522446</t>
  </si>
  <si>
    <t>VPB2308130595047767</t>
  </si>
  <si>
    <t>FT23226607319015</t>
  </si>
  <si>
    <t>VPB2308140595341126</t>
  </si>
  <si>
    <t>FT23226005931911</t>
  </si>
  <si>
    <t>VPB2308140595481896</t>
  </si>
  <si>
    <t>FT23227310752440\BNK</t>
  </si>
  <si>
    <t>CASHOUT 01682662195 43856501642 4f253c030ffb4fd8a0f88d10e5506697</t>
  </si>
  <si>
    <t>FT23227004200032</t>
  </si>
  <si>
    <t>VPB2308150596891835</t>
  </si>
  <si>
    <t>FT23227407602083\BNK</t>
  </si>
  <si>
    <t>CASHIN 01682662195 43871155677 f3cff33b044947969a102b47239734b5</t>
  </si>
  <si>
    <t>FT23228079324383</t>
  </si>
  <si>
    <t>Gui tien lai thang 8</t>
  </si>
  <si>
    <t>VPB2308160597548144</t>
  </si>
  <si>
    <t>FT23228667100206\BNK</t>
  </si>
  <si>
    <t>CASHIN 01682662195 43930214019 e36955b265a043b88c52ae0b8bceed79</t>
  </si>
  <si>
    <t>FT23228482354058\BNK</t>
  </si>
  <si>
    <t>CASHOUT 01682662195 43934007481 d2609ddad11640888bbd4d650cc2f865</t>
  </si>
  <si>
    <t>FT23229926369140</t>
  </si>
  <si>
    <t>VNQR2308170599253083</t>
  </si>
  <si>
    <t>FT23230323609063</t>
  </si>
  <si>
    <t>Tra va F1</t>
  </si>
  <si>
    <t>VPB2308180599672170</t>
  </si>
  <si>
    <t>FT23231459450342</t>
  </si>
  <si>
    <t>NHAN TU 0911000042267 TRACE 097342 ND MBVCB.4058531300.097342.CHAU NU CHIEM THACH chuyen tien.CT tu 0911000042267 CHAU NU CHIEM THACH toi 121793555 Chau Quoc Nhien tai VPBANK</t>
  </si>
  <si>
    <t>FT23231638365338</t>
  </si>
  <si>
    <t>em cam on</t>
  </si>
  <si>
    <t>VPB2308190600551106</t>
  </si>
  <si>
    <t>FT23233230606093</t>
  </si>
  <si>
    <t>VPB2308210602288450</t>
  </si>
  <si>
    <t>FT23233654031526</t>
  </si>
  <si>
    <t>VPB2308210602328000</t>
  </si>
  <si>
    <t>FT23235146220446</t>
  </si>
  <si>
    <t>VPB2308220604250079</t>
  </si>
  <si>
    <t>FT23235023849241</t>
  </si>
  <si>
    <t>VPB2308230604778655</t>
  </si>
  <si>
    <t>FT23237724652599\BNK</t>
  </si>
  <si>
    <t>Nap tien dich vu:-0382662195-90000.0</t>
  </si>
  <si>
    <t>TOP2308250606866837</t>
  </si>
  <si>
    <t>FT23237503699090</t>
  </si>
  <si>
    <t>VPB2308250606870630</t>
  </si>
  <si>
    <t>FT23237498730313</t>
  </si>
  <si>
    <t>VPB2308250607104079</t>
  </si>
  <si>
    <t>FT23238650630544</t>
  </si>
  <si>
    <t>VPB2308260607392211</t>
  </si>
  <si>
    <t>FT23238877984587</t>
  </si>
  <si>
    <t>VPB2308260607805272</t>
  </si>
  <si>
    <t>FT23238580331796</t>
  </si>
  <si>
    <t>Thanh toan du no tk thau chi 121 793555</t>
  </si>
  <si>
    <t>FT23238275818288</t>
  </si>
  <si>
    <t>FT23240007009173</t>
  </si>
  <si>
    <t>VPB2308270608833708</t>
  </si>
  <si>
    <t>FT23240078625146</t>
  </si>
  <si>
    <t>VPB2308280609188066</t>
  </si>
  <si>
    <t>FT23240138373811</t>
  </si>
  <si>
    <t>NHAN TU 1935497519 TRACE 946191 ND LE TAN THIEN FT23240309076918</t>
  </si>
  <si>
    <t>FT23240974459770</t>
  </si>
  <si>
    <t>VPB2308280609331867</t>
  </si>
  <si>
    <t>FT23240070450361</t>
  </si>
  <si>
    <t>NHAN TU 15694737 TRACE 759354 ND OK-280823-10:39:32 759354</t>
  </si>
  <si>
    <t>FT23240058060937</t>
  </si>
  <si>
    <t>VPB2308280609377644</t>
  </si>
  <si>
    <t>FT23240834022136</t>
  </si>
  <si>
    <t>FT23241401160681</t>
  </si>
  <si>
    <t>NHAN TU 9990101010123 TRACE 920950 ND 20529758413194985472</t>
  </si>
  <si>
    <t>FT23241930663696</t>
  </si>
  <si>
    <t>VPB2308290610792403</t>
  </si>
  <si>
    <t>FT23241374328307</t>
  </si>
  <si>
    <t>FT23242052614717</t>
  </si>
  <si>
    <t>VPB2308300611777662</t>
  </si>
  <si>
    <t>FT23243616056150</t>
  </si>
  <si>
    <t>NHAN TU 33646177 TRACE 870621 ND 20530542829277478912-310823-19:42:0 6 870621</t>
  </si>
  <si>
    <t>FT23243025022224</t>
  </si>
  <si>
    <t>Con gui mama</t>
  </si>
  <si>
    <t>VPB2308310613337941</t>
  </si>
  <si>
    <t>FT23243400031325</t>
  </si>
  <si>
    <t>VNQR2308310613341509</t>
  </si>
  <si>
    <t>FT23243247099720</t>
  </si>
  <si>
    <t>VPB2308310613349496</t>
  </si>
  <si>
    <t>FT23243226978715</t>
  </si>
  <si>
    <t>VPB2308310613351334</t>
  </si>
  <si>
    <t>121793555-20230831</t>
  </si>
  <si>
    <t>Hach toan lai-121793555-20230831</t>
  </si>
  <si>
    <t>FT23244315724036</t>
  </si>
  <si>
    <t>VPB2309010614126261</t>
  </si>
  <si>
    <t>FT23248514232665</t>
  </si>
  <si>
    <t>VPB2309020615241853</t>
  </si>
  <si>
    <t>FT23248364630639</t>
  </si>
  <si>
    <t>VPB2309030615299457</t>
  </si>
  <si>
    <t>FT23248314284522</t>
  </si>
  <si>
    <t>NHAN TU 19036128023017 TRACE 391212 ND Chuyen khoan Chau Quoc Nhien FT23248026182522</t>
  </si>
  <si>
    <t>FT23248071880475</t>
  </si>
  <si>
    <t>VPB2309040616298074</t>
  </si>
  <si>
    <t>FT23248826030606\PNN</t>
  </si>
  <si>
    <t>VPB2309040616773688</t>
  </si>
  <si>
    <t>FT23248379667094</t>
  </si>
  <si>
    <t>VPB2309040616797119</t>
  </si>
  <si>
    <t>FT23248050862791</t>
  </si>
  <si>
    <t>VPB2309050617135062</t>
  </si>
  <si>
    <t>FT23249011289709</t>
  </si>
  <si>
    <t>NHAN TU 19037651683019 TRACE 381596 ND TRAN ANH PHAP chuyen 20532591294841958400 FT23249078034554</t>
  </si>
  <si>
    <t>FT23249834802328</t>
  </si>
  <si>
    <t>VPB2309060618525837</t>
  </si>
  <si>
    <t>FT23249003908318</t>
  </si>
  <si>
    <t>VPB2309060618642968</t>
  </si>
  <si>
    <t>FT23249620540307</t>
  </si>
  <si>
    <t>VPB2309060618886291</t>
  </si>
  <si>
    <t>FT23249154941305</t>
  </si>
  <si>
    <t>VPB2309060618981581</t>
  </si>
  <si>
    <t>FT23250002006753</t>
  </si>
  <si>
    <t>VPB2309070620088014</t>
  </si>
  <si>
    <t>FT23251018295973</t>
  </si>
  <si>
    <t>NHAN TU 9990101010123 TRACE 483027 ND 20533463633310593024</t>
  </si>
  <si>
    <t>FT23251092854095</t>
  </si>
  <si>
    <t>VNQR2309080621380350</t>
  </si>
  <si>
    <t>FT23252480404940</t>
  </si>
  <si>
    <t>NHAN TU 1015557914 TRACE 066348 ND MBVCB.4181454788.066348.NAO MINH TAM chuyen tien.CT tu 1015557914 NAO MINH TAM toi 121793555 Chau Quoc Nhien tai VPBANK</t>
  </si>
  <si>
    <t>FT23252858823507</t>
  </si>
  <si>
    <t>VPB2309090621607520</t>
  </si>
  <si>
    <t>FT23252791511289</t>
  </si>
  <si>
    <t>VNQR2309090621673803</t>
  </si>
  <si>
    <t>FT23252624598100</t>
  </si>
  <si>
    <t>VPB2309090622296422</t>
  </si>
  <si>
    <t>FT23254697367644</t>
  </si>
  <si>
    <t>NHAN TU 11954717 TRACE 573931 ND 20533886767468273664-100923-01:02:2 0 573931</t>
  </si>
  <si>
    <t>FT23254508000794</t>
  </si>
  <si>
    <t>VPB2309100622541745</t>
  </si>
  <si>
    <t>FT23254941708793</t>
  </si>
  <si>
    <t>VPB2309100622542130</t>
  </si>
  <si>
    <t>FT23254075425074</t>
  </si>
  <si>
    <t>NHAN TU 0501000213417 TRACE 062709 ND MBVCB.4189053975.062709.VO NGUYEN HO VY chuyen tien.CT tu 0501000213417 VO NGUYEN HO VY toi 121793555 Chau Quoc Nhien tai VPBANK</t>
  </si>
  <si>
    <t>FT23254548551024</t>
  </si>
  <si>
    <t>VPB2309110623910923</t>
  </si>
  <si>
    <t>FT23255582946088</t>
  </si>
  <si>
    <t>VPB2309120624788719</t>
  </si>
  <si>
    <t>FT23255401037832</t>
  </si>
  <si>
    <t>VPB2309120625500756</t>
  </si>
  <si>
    <t>FT23256490215090</t>
  </si>
  <si>
    <t>NHAN TU 070319836677 TRACE 253600 ND BUI THI HUE chuyen khoan20534916495334547456</t>
  </si>
  <si>
    <t>FT23256100043920</t>
  </si>
  <si>
    <t>VPB2309130625881366</t>
  </si>
  <si>
    <t>FT23256192838300</t>
  </si>
  <si>
    <t>lai suat T9</t>
  </si>
  <si>
    <t>VPB2309130625940088</t>
  </si>
  <si>
    <t>FT23256546601849</t>
  </si>
  <si>
    <t>NHAN TU 1033416549 TRACE 037150 ND MBVCB.4208105598.037150.LE NGOC HUNG chuyen tien20535082736237674496.CT tu 1033416549 LE NGOC HUNG toi 121793555 Chau Quoc Nhien tai VPBANK</t>
  </si>
  <si>
    <t>FT23256426656553</t>
  </si>
  <si>
    <t>VPB2309130626047493</t>
  </si>
  <si>
    <t>FT23257259750880</t>
  </si>
  <si>
    <t>VPB2309140626924631</t>
  </si>
  <si>
    <t>FT23257660885362</t>
  </si>
  <si>
    <t>VPB2309140626924772</t>
  </si>
  <si>
    <t>FT23257807730644</t>
  </si>
  <si>
    <t>NHAN TU 4504509900 TRACE 626232 ND PHAM VIET CUONG Chuyen tien</t>
  </si>
  <si>
    <t>FT23257287462854</t>
  </si>
  <si>
    <t>VPB2309140627518229</t>
  </si>
  <si>
    <t>FT23257993281284</t>
  </si>
  <si>
    <t>VPB2309140627518926</t>
  </si>
  <si>
    <t>FT23257402024526</t>
  </si>
  <si>
    <t>Chi Ty gui tien lai Thang 9</t>
  </si>
  <si>
    <t>VPB2309140627520840</t>
  </si>
  <si>
    <t>FT23261176872235</t>
  </si>
  <si>
    <t>NHAN TU 0000999624006 TRACE 450271 ND 20536895868640837632</t>
  </si>
  <si>
    <t>FT23261900481871</t>
  </si>
  <si>
    <t>VPB2309180631133037</t>
  </si>
  <si>
    <t>FT23261414109001</t>
  </si>
  <si>
    <t>VPB2309180631133605</t>
  </si>
  <si>
    <t>FT23261081839724</t>
  </si>
  <si>
    <t>VPB2309180631134408</t>
  </si>
  <si>
    <t>FT23261572406810</t>
  </si>
  <si>
    <t>NHAN TU 1935497519 TRACE 963785 ND LE TAN THIEN FT23261400900555</t>
  </si>
  <si>
    <t>FT23261045901220</t>
  </si>
  <si>
    <t>VPB2309180631315972</t>
  </si>
  <si>
    <t>FT23262542760895</t>
  </si>
  <si>
    <t>VPB2309190632178819</t>
  </si>
  <si>
    <t>FT23262210872530\PNN</t>
  </si>
  <si>
    <t>VPB2309190633069722</t>
  </si>
  <si>
    <t>FT23262708509238</t>
  </si>
  <si>
    <t>E Nhien coc tien camping tour 6ng</t>
  </si>
  <si>
    <t>VPB2309190633071181</t>
  </si>
  <si>
    <t>FT23263702559071\KBB</t>
  </si>
  <si>
    <t>MOMO45601366434-0382662195-CHAU QUOC NHIEN chuyen tien qua MoMo</t>
  </si>
  <si>
    <t>1988619/M SERVICE JSC CTCP DICH VU DI DONG TRUC TUYEN</t>
  </si>
  <si>
    <t>VN0010006</t>
  </si>
  <si>
    <t>MOMO45601366434</t>
  </si>
  <si>
    <t>FT23263007584867</t>
  </si>
  <si>
    <t>NHAN TU 11954717 TRACE 608327 ND 20537634292118716416-200923-09:14:3 0 608327</t>
  </si>
  <si>
    <t>FT23263174575926\PNN</t>
  </si>
  <si>
    <t>VPB2309200633874248</t>
  </si>
  <si>
    <t>FT23263545292962</t>
  </si>
  <si>
    <t>VPB2309200634041141</t>
  </si>
  <si>
    <t>FT23264970004522</t>
  </si>
  <si>
    <t>VPB2309210634388752</t>
  </si>
  <si>
    <t>FT23264575949902</t>
  </si>
  <si>
    <t>VPB2309210634594892</t>
  </si>
  <si>
    <t>FT23264342152055\BNK</t>
  </si>
  <si>
    <t>TOP2309210634595608 Nap tien dich vu:-0355753271-10000.0</t>
  </si>
  <si>
    <t>TOP2309210634595608</t>
  </si>
  <si>
    <t>FT23264342409427\BNK</t>
  </si>
  <si>
    <t>TOP2309210634600265 Nap tien dich vu:-0355753271-10000.0</t>
  </si>
  <si>
    <t>TOP2309210634600265</t>
  </si>
  <si>
    <t>FT23264926571560</t>
  </si>
  <si>
    <t>NHAN TU 1022651801 TRACE 083303 ND MBVCB.4262049860.083303.TRAN THI HONG NHUNG chuyen tien.CT tu 1022651801 TRAN THI HONG NHUNG toi 121793555 Chau Quoc Nhien tai VPBANK</t>
  </si>
  <si>
    <t>FT23264211907474</t>
  </si>
  <si>
    <t>VPB2309210634697912</t>
  </si>
  <si>
    <t>FT23264807990849</t>
  </si>
  <si>
    <t>VPB2309210634698910</t>
  </si>
  <si>
    <t>FT23266728081000</t>
  </si>
  <si>
    <t>NHAN TU 9145699999 TRACE 077198 ND MBVCB.4274861661.077198.TRAN QUOC PHONG chuyen tien.CT tu 9145699999 TRAN QUOC PHONG toi 121793555 Chau Quoc Nhien tai VPBANK</t>
  </si>
  <si>
    <t>FT23266928427006</t>
  </si>
  <si>
    <t>VPB2309230636863764</t>
  </si>
  <si>
    <t>FT23266394864601</t>
  </si>
  <si>
    <t>VPB2309230637064859</t>
  </si>
  <si>
    <t>FT23268361603261</t>
  </si>
  <si>
    <t>NHAN TU 0111534471 TRACE 550070 ND Chuyen khoan Chau Quoc Nhien u39</t>
  </si>
  <si>
    <t>FT23268440777632</t>
  </si>
  <si>
    <t>VPB2309250638628376</t>
  </si>
  <si>
    <t>FT23269038126741</t>
  </si>
  <si>
    <t>FT23269609842989</t>
  </si>
  <si>
    <t>FT23271685869042</t>
  </si>
  <si>
    <t>NHAN TU 1022651801 TRACE 035892 ND MBVCB.4303151665.035892.TRAN THI HONG NHUNG chuyen tien.CT tu 1022651801 TRAN THI HONG NHUNG toi 121793555 Chau Quoc Nhien tai VPBANK</t>
  </si>
  <si>
    <t>FT23271005690353</t>
  </si>
  <si>
    <t>FT23272070502588</t>
  </si>
  <si>
    <t>VPB2309290642897712</t>
  </si>
  <si>
    <t>FT23272303599484</t>
  </si>
  <si>
    <t>NHAN TU 9990101010123 TRACE 212862 ND 20540993887642009600</t>
  </si>
  <si>
    <t>FT23272511078481</t>
  </si>
  <si>
    <t>NHAN TU 0081001290719 TRACE 051231 ND MBVCB.4314368025.051231.Quoc Phong chuyen tien.CT tu 0081001290719 HOANG DUY PHUONG toi 121793555 Chau Quoc Nhien tai VPBANK</t>
  </si>
  <si>
    <t>FT23272085576174</t>
  </si>
  <si>
    <t>VPB2309290643544759</t>
  </si>
  <si>
    <t>FT23273907073400\BNK</t>
  </si>
  <si>
    <t>TOP2309300643886035</t>
  </si>
  <si>
    <t>FT23273296273312\BNK</t>
  </si>
  <si>
    <t>CAD2309300643886689 Mua ma the tra truoc:-0382662195-30000.0</t>
  </si>
  <si>
    <t>CAD2309300643886689</t>
  </si>
  <si>
    <t>FT23273982795000</t>
  </si>
  <si>
    <t>Thanh toan cho don hang 14901392405</t>
  </si>
  <si>
    <t>VPB2309300644298193</t>
  </si>
  <si>
    <t>FT23273040582494</t>
  </si>
  <si>
    <t>VPB2309300644369558</t>
  </si>
  <si>
    <t>FT23273146700859</t>
  </si>
  <si>
    <t>VPB2309300644375945</t>
  </si>
  <si>
    <t>FT23275110506591</t>
  </si>
  <si>
    <t>NHAN TU 1935497519 TRACE 841745 ND LE TAN THIEN FT23275572165769</t>
  </si>
  <si>
    <t>FT23275325552215</t>
  </si>
  <si>
    <t>VPB2310020646139692</t>
  </si>
  <si>
    <t>FT23275555680907</t>
  </si>
  <si>
    <t>VPB2310020646381714</t>
  </si>
  <si>
    <t>FT23275165600987</t>
  </si>
  <si>
    <t>VPB2310020646390431</t>
  </si>
  <si>
    <t>FT23275468725244</t>
  </si>
  <si>
    <t>VPB2310020646392030</t>
  </si>
  <si>
    <t>FT23275406465223</t>
  </si>
  <si>
    <t>NHAN TU 9145699999 TRACE 060406 ND MBVCB.4331462045.060406.TRAN QUOC PHONG chuyen tien.CT tu 9145699999 TRAN QUOC PHONG toi 121793555 Chau Quoc Nhien tai VPBANK</t>
  </si>
  <si>
    <t>FT23275080287799</t>
  </si>
  <si>
    <t>VPB2310020646457936</t>
  </si>
  <si>
    <t>FT23275090370075</t>
  </si>
  <si>
    <t>NHAN TU 0000999624006 TRACE 153299 ND 20542069644598358016</t>
  </si>
  <si>
    <t>FT23275422028082</t>
  </si>
  <si>
    <t>VNQR2310020646490856</t>
  </si>
  <si>
    <t>FT23275062747653</t>
  </si>
  <si>
    <t>VPB2310020646492349</t>
  </si>
  <si>
    <t>FT23275928906438</t>
  </si>
  <si>
    <t>VPB2310020646661585</t>
  </si>
  <si>
    <t>FT23275411416688</t>
  </si>
  <si>
    <t>NHAN TU 3411552396 TRACE 780028 ND TRAN THI HONG NHUNG Chuyen tien</t>
  </si>
  <si>
    <t>FT23275999765495</t>
  </si>
  <si>
    <t>NHAN TU 3411552396 TRACE 884172 ND TRAN THI HONG NHUNG Chuyen tien</t>
  </si>
  <si>
    <t>FT23275950991707</t>
  </si>
  <si>
    <t>VPB2310020646729806</t>
  </si>
  <si>
    <t>FT23276945190510</t>
  </si>
  <si>
    <t>VPB2310030647236395</t>
  </si>
  <si>
    <t>FT23276209093071</t>
  </si>
  <si>
    <t>NHAN TU 0501000213417 TRACE 098066 ND MBVCB.4337254087.098066.VO NGUYEN HO VY chuyen tien.CT tu 0501000213417 VO NGUYEN HO VY toi 121793555 Chau Quoc Nhien tai VPBANK</t>
  </si>
  <si>
    <t>FT23279023117898</t>
  </si>
  <si>
    <t>VPB2310060650663731</t>
  </si>
  <si>
    <t>FT23279088309883</t>
  </si>
  <si>
    <t>NHAN TU 9145699999 TRACE 042871 ND MBVCB.4357747570.042871.TRAN QUOC PHONG chuyen tien.CT tu 9145699999 TRAN QUOC PHONG toi 121793555 Chau Quoc Nhien tai VPBANK</t>
  </si>
  <si>
    <t>FT23279786468927</t>
  </si>
  <si>
    <t>VPB2310060651096004</t>
  </si>
  <si>
    <t>FT23279155003269</t>
  </si>
  <si>
    <t>VPB2310060651099828</t>
  </si>
  <si>
    <t>FT23279510772422</t>
  </si>
  <si>
    <t>VPB2310060651194514</t>
  </si>
  <si>
    <t>FT23280128400433</t>
  </si>
  <si>
    <t>NHAN TU 36128827 TRACE 018031 ND 20543932203008761856-071023-18:19:5 7 018031</t>
  </si>
  <si>
    <t>FT23282301044424</t>
  </si>
  <si>
    <t>VPB2310070652700871</t>
  </si>
  <si>
    <t>FT23282523323712</t>
  </si>
  <si>
    <t>NHAN TU 9145699999 TRACE 068990 ND MBVCB.4371975332.068990.TRAN QUOC PHONG chuyen tien.CT tu 9145699999 TRAN QUOC PHONG toi 121793555 Chau Quoc Nhien tai VPBANK</t>
  </si>
  <si>
    <t>FT23282262673402</t>
  </si>
  <si>
    <t>VNQR2310080653663113</t>
  </si>
  <si>
    <t>FT23282250709113</t>
  </si>
  <si>
    <t>VPB2310080653673949</t>
  </si>
  <si>
    <t>FT23282045611673</t>
  </si>
  <si>
    <t>DANG THI CUC .</t>
  </si>
  <si>
    <t>020097041510092021232023MKTY502554</t>
  </si>
  <si>
    <t>FT23282925960240</t>
  </si>
  <si>
    <t>VPB2310090654817060</t>
  </si>
  <si>
    <t>FT23283379681800\BNK</t>
  </si>
  <si>
    <t>TOP2310100655155455 Nap tien dich vu:-0355753271-30000.0</t>
  </si>
  <si>
    <t>TOP2310100655155455</t>
  </si>
  <si>
    <t>FT23283379690657\BNK</t>
  </si>
  <si>
    <t>TOP2310100655158058 Nap tien dich vu:-0382662195-10000.0</t>
  </si>
  <si>
    <t>TOP2310100655158058</t>
  </si>
  <si>
    <t>FT23285161074078</t>
  </si>
  <si>
    <t>NHAN TU 0000999624006 TRACE 227648 ND 20545660923664723968</t>
  </si>
  <si>
    <t>FT23285675438182</t>
  </si>
  <si>
    <t>VPB2310120657900752</t>
  </si>
  <si>
    <t>FT23285727490368</t>
  </si>
  <si>
    <t>NHAN TU 1040958718 TRACE 090416 ND MBVCB.4399413877.090416.20545664694 542712832.CT tu 1040958718 LE TUAN ANH toi 121793555 Chau Quoc Nhien tai VPBANK</t>
  </si>
  <si>
    <t>FT23285807834009</t>
  </si>
  <si>
    <t>anh gui</t>
  </si>
  <si>
    <t>VPB2310120657923842</t>
  </si>
  <si>
    <t>FT23287556412594</t>
  </si>
  <si>
    <t>NHAN TU 0831000073979 TRACE 099485 ND MBVCB.4412540057.099485.20546351489 647316992.CT tu 0831000073979 BUI DUY LONG toi 121793555 Chau Quoc Nhien tai VPBANK</t>
  </si>
  <si>
    <t>FT23287055183492</t>
  </si>
  <si>
    <t>VPB2310140659985204</t>
  </si>
  <si>
    <t>FT23289781296297</t>
  </si>
  <si>
    <t>NHAN TU 1002116933202 TRACE 493928 ND CHAU QUOC NHIEN CT</t>
  </si>
  <si>
    <t>FT23289092938779</t>
  </si>
  <si>
    <t>NHAN TU 32710857 TRACE 922498 ND 20547132746271793152-161023-14:19:5 2 922498</t>
  </si>
  <si>
    <t>FT23289912261230</t>
  </si>
  <si>
    <t>VPB2310160662311098</t>
  </si>
  <si>
    <t>FT23289629932750</t>
  </si>
  <si>
    <t>NHAN TU 0111533813 TRACE 086365 ND Chuyen khoan Chau Quoc Nhien X94</t>
  </si>
  <si>
    <t>FT23290008020889</t>
  </si>
  <si>
    <t>chi Ty chuyen tien lai</t>
  </si>
  <si>
    <t>VPB2310170663089478</t>
  </si>
  <si>
    <t>FT23290954323162</t>
  </si>
  <si>
    <t>VPB2310170663090600</t>
  </si>
  <si>
    <t>FT23291560408921</t>
  </si>
  <si>
    <t>VPB2310170664045435</t>
  </si>
  <si>
    <t>FT23291243031740</t>
  </si>
  <si>
    <t>VPB2310180664374843</t>
  </si>
  <si>
    <t>FT23291315969849</t>
  </si>
  <si>
    <t>NHAN TU 1016239013 TRACE 022817 ND MBVCB.4444027962.022817.TRUONG DANG THY THY chuyen tien, cam on a nhe.CT tu 1016239013 TRUONG DANG THY THY toi 121793555 Chau Quoc Nhien tai VPBANK</t>
  </si>
  <si>
    <t>FT23291317960020</t>
  </si>
  <si>
    <t>VPB2310180665022164</t>
  </si>
  <si>
    <t>FT23291771090007</t>
  </si>
  <si>
    <t>VPB2310180665024378</t>
  </si>
  <si>
    <t>FT23291606834105</t>
  </si>
  <si>
    <t>VPB2310180665028359</t>
  </si>
  <si>
    <t>FT23291383894384</t>
  </si>
  <si>
    <t>VPB2310180665029672</t>
  </si>
  <si>
    <t>FT23292376010045</t>
  </si>
  <si>
    <t>VPB2310190665364256</t>
  </si>
  <si>
    <t>FT23292014062384</t>
  </si>
  <si>
    <t>NHAN TU 9145699999 TRACE 062257 ND MBVCB.4447246034.062257.TRAN QUOC PHONG chuyen tien.CT tu 9145699999 TRAN QUOC PHONG toi 121793555 Chau Quoc Nhien tai VPBANK</t>
  </si>
  <si>
    <t>FT23293283113380</t>
  </si>
  <si>
    <t>NHAN TU 19038443076016 TRACE 909474 ND TRAN NAM HUNG chuyen FT23293407729842</t>
  </si>
  <si>
    <t>FT23293320327546</t>
  </si>
  <si>
    <t>VPB2310200667090138</t>
  </si>
  <si>
    <t>FT23293579856250</t>
  </si>
  <si>
    <t>NHAN TU 15694737 TRACE 994903 ND OK-201023-18:07:33 994903</t>
  </si>
  <si>
    <t>FT23293910044002</t>
  </si>
  <si>
    <t>VPB2310200667430023</t>
  </si>
  <si>
    <t>FT23296832611650</t>
  </si>
  <si>
    <t>NHAN TU 1015557914 TRACE 057132 ND MBVCB.4467797521.057132.NAO MINH TAM chuyen tien.CT tu 1015557914 NAO MINH TAM toi 121793555 Chau Quoc Nhien tai VPBANK</t>
  </si>
  <si>
    <t>FT23296957041889\NHT</t>
  </si>
  <si>
    <t>VN0010400</t>
  </si>
  <si>
    <t>VPB2310220668861521</t>
  </si>
  <si>
    <t>FT23296358996981</t>
  </si>
  <si>
    <t>VPB2310220668928781</t>
  </si>
  <si>
    <t>FT23296372860070</t>
  </si>
  <si>
    <t>36762 2JJC4</t>
  </si>
  <si>
    <t>VPB2310230669697576</t>
  </si>
  <si>
    <t>FT23296998236871</t>
  </si>
  <si>
    <t>NHAN TU 36397557 TRACE 960201 ND 20549581398079209472-231023-08:31:1 1 960201</t>
  </si>
  <si>
    <t>FT23296317012069</t>
  </si>
  <si>
    <t>VPB2310230669719236</t>
  </si>
  <si>
    <t>FT23296831690266</t>
  </si>
  <si>
    <t>VPB2310230669850010</t>
  </si>
  <si>
    <t>FT23296704881888</t>
  </si>
  <si>
    <t>VPB2310230669878728</t>
  </si>
  <si>
    <t>FT23296293309001</t>
  </si>
  <si>
    <t>NHAN TU 0111534064 TRACE 866433 ND Chuyen khoan Chau Quoc Nhien r33</t>
  </si>
  <si>
    <t>FT23296381941205</t>
  </si>
  <si>
    <t>VPB2310230669979183</t>
  </si>
  <si>
    <t>FT23296372452665</t>
  </si>
  <si>
    <t>VPB2310230669980520</t>
  </si>
  <si>
    <t>FT23296697642902</t>
  </si>
  <si>
    <t>NHAN TU 19038443076016 TRACE 646174 ND TRAN NAM HUNG chuyen FT23296890730219</t>
  </si>
  <si>
    <t>FT23297800412219</t>
  </si>
  <si>
    <t>VPB2310240670763620</t>
  </si>
  <si>
    <t>FT23297050040138</t>
  </si>
  <si>
    <t>VPB2310240671463605</t>
  </si>
  <si>
    <t>FT23298395894210</t>
  </si>
  <si>
    <t>VPB2310250672233718</t>
  </si>
  <si>
    <t>FT23298622830472</t>
  </si>
  <si>
    <t>NHAN TU 19038443076016 TRACE 573355 ND TRAN NAM HUNG chuyen FT23298344195549</t>
  </si>
  <si>
    <t>FT23299069994003</t>
  </si>
  <si>
    <t>VPB2310260673039318</t>
  </si>
  <si>
    <t>FT23299070501857</t>
  </si>
  <si>
    <t>VNQR2310260673515310</t>
  </si>
  <si>
    <t>FT23300149747455</t>
  </si>
  <si>
    <t>VPB2310260674032341</t>
  </si>
  <si>
    <t>FT23301039502953</t>
  </si>
  <si>
    <t>VTP1698478602625056 XXODAU</t>
  </si>
  <si>
    <t>VPB2310280675689430</t>
  </si>
  <si>
    <t>FT23303400075945</t>
  </si>
  <si>
    <t>NHAN TU 19038443076016 TRACE 606517 ND TRAN NAM HUNG chuyen FT23303970045107</t>
  </si>
  <si>
    <t>FT23303316045197</t>
  </si>
  <si>
    <t>NHAN TU 0111533813 TRACE 586318 ND Chuyen khoan Chau Quoc Nhien Y96</t>
  </si>
  <si>
    <t>FT23303818863114</t>
  </si>
  <si>
    <t>VPB2310300677194781</t>
  </si>
  <si>
    <t>FT23303056900727\BNK</t>
  </si>
  <si>
    <t>CAD2310300677430141 Mua ma the tra truoc:-0382662195-50000.0</t>
  </si>
  <si>
    <t>CAD2310300677430141</t>
  </si>
  <si>
    <t>FT23303151561337</t>
  </si>
  <si>
    <t>VPB2310300677612464</t>
  </si>
  <si>
    <t>FT23303623421023\BNK</t>
  </si>
  <si>
    <t>CAD2310300677664636 Mua ma the tra truoc:-0382662195-30000.0</t>
  </si>
  <si>
    <t>CAD2310300677664636</t>
  </si>
  <si>
    <t>FT23303104577074\BNK</t>
  </si>
  <si>
    <t>TOP2310300677941036</t>
  </si>
  <si>
    <t>FT23303359642858</t>
  </si>
  <si>
    <t>FT23304831321161</t>
  </si>
  <si>
    <t>VNQR2310310678371956</t>
  </si>
  <si>
    <t>FT23304490654706</t>
  </si>
  <si>
    <t>VPB2310310678374397</t>
  </si>
  <si>
    <t>FT23304541295075\VPD</t>
  </si>
  <si>
    <t>LE THI HUE chuyen tien</t>
  </si>
  <si>
    <t>VN0010357</t>
  </si>
  <si>
    <t>CL07BH2S71LLLH0B9IIG451368824377</t>
  </si>
  <si>
    <t>FT23304682280007</t>
  </si>
  <si>
    <t>NHAN TU 0697044102899 TRACE 412359 ND LUONG VAN CUONG chuyen tien qua MoMo</t>
  </si>
  <si>
    <t>FT23304273582997</t>
  </si>
  <si>
    <t>VPB2310310678615850</t>
  </si>
  <si>
    <t>FT23305818098196</t>
  </si>
  <si>
    <t>VPB2311010679887919</t>
  </si>
  <si>
    <t>FT23305728956008</t>
  </si>
  <si>
    <t>VPB2311010679903284</t>
  </si>
  <si>
    <t>FT23305701690602</t>
  </si>
  <si>
    <t>NHAN TU 19050179865015 TRACE 552746 ND DANG BINH ANH TAN FT23305953038390</t>
  </si>
  <si>
    <t>FT23305433149953</t>
  </si>
  <si>
    <t>VPB2311010680022665</t>
  </si>
  <si>
    <t>FT23305965037714</t>
  </si>
  <si>
    <t>NHAN TU 0366901395 TRACE 449409 ND LUONG VAN CUONG chuyen khoan</t>
  </si>
  <si>
    <t>FT23306090327974\VPD</t>
  </si>
  <si>
    <t>CL1G2UL2B2BGDCQKRQ10062014080010</t>
  </si>
  <si>
    <t>FT23306778127327</t>
  </si>
  <si>
    <t>NHAN TU 0366901395 TRACE 999091 ND LUONG VAN CUONG chuyen khoan</t>
  </si>
  <si>
    <t>FT23306739315697</t>
  </si>
  <si>
    <t>VPB2311020680952623</t>
  </si>
  <si>
    <t>FT23306499322043</t>
  </si>
  <si>
    <t>NHAN TU 0366901395 TRACE 581781 ND LUONG VAN CUONG chuyen khoan</t>
  </si>
  <si>
    <t>FT23306106074912</t>
  </si>
  <si>
    <t>367620515MMTso7uLl0f18QR0824QG61PV2 ZPME7E2G9416Q79HW</t>
  </si>
  <si>
    <t>VPB2311020681392108</t>
  </si>
  <si>
    <t>FT23306087629937</t>
  </si>
  <si>
    <t>NHAN TU 0366901395 TRACE 539067 ND LUONG VAN CUONG chuyen khoan</t>
  </si>
  <si>
    <t>FT23306608000278</t>
  </si>
  <si>
    <t>VPB2311020681508347</t>
  </si>
  <si>
    <t>FT23307449418144</t>
  </si>
  <si>
    <t>CHUYEN TIEN NHANH QUA QR</t>
  </si>
  <si>
    <t>VPB2311030681968091</t>
  </si>
  <si>
    <t>FT23307691030174</t>
  </si>
  <si>
    <t>NHAN TU 1018813101 TRACE 083559 ND MBVCB.4549138915.083559.BUI TIEN THO chuyen tien.CT tu 1018813101 BUI TIEN THO toi 121793555 Chau Quoc Nhien tai VPBANK</t>
  </si>
  <si>
    <t>FT23307006516810</t>
  </si>
  <si>
    <t>Con gui me</t>
  </si>
  <si>
    <t>VPB2311030682319754</t>
  </si>
  <si>
    <t>FT23307073058435</t>
  </si>
  <si>
    <t>VNQR2311030682342029</t>
  </si>
  <si>
    <t>FT23307419399727</t>
  </si>
  <si>
    <t>VPB2311030682345566</t>
  </si>
  <si>
    <t>FT23307343006080</t>
  </si>
  <si>
    <t>Tien lai suat thang 11</t>
  </si>
  <si>
    <t>VPB2311030682349396</t>
  </si>
  <si>
    <t>FT23307035789407\BNK</t>
  </si>
  <si>
    <t>TOP2311030682601117 Nap tien dich vu:-0382662195-50000.0</t>
  </si>
  <si>
    <t>TOP2311030682601117</t>
  </si>
  <si>
    <t>FT23307918521284</t>
  </si>
  <si>
    <t>B2 1007 dong phi dich vu</t>
  </si>
  <si>
    <t>VPB2311030682638437</t>
  </si>
  <si>
    <t>FT23308177090416</t>
  </si>
  <si>
    <t>NHAN TU 0366901395 TRACE 200505 ND LUONG VAN CUONG chuyen khoan</t>
  </si>
  <si>
    <t>FT23308499870943</t>
  </si>
  <si>
    <t>VPB2311040683112505</t>
  </si>
  <si>
    <t>FT23308510801732</t>
  </si>
  <si>
    <t>NHAN TU 0366901395 TRACE 001953 ND LUONG VAN CUONG chuyen khoan</t>
  </si>
  <si>
    <t>FT23308558540720</t>
  </si>
  <si>
    <t>NHAN TU 0366901395 TRACE 298948 ND LUONG VAN CUONG chuyen khoan</t>
  </si>
  <si>
    <t>FT23308886784148</t>
  </si>
  <si>
    <t>VPB2311040683214962</t>
  </si>
  <si>
    <t>FT23308228589587</t>
  </si>
  <si>
    <t>NHAN TU 0366901395 TRACE 703101 ND LUONG VAN CUONG chuyen khoan</t>
  </si>
  <si>
    <t>FT23308102979093</t>
  </si>
  <si>
    <t>NHAN TU 0366901395 TRACE 741672 ND LUONG VAN CUONG chuyen khoan</t>
  </si>
  <si>
    <t>FT23308028948484</t>
  </si>
  <si>
    <t>VPB2311040683265801</t>
  </si>
  <si>
    <t>FT23308788940884</t>
  </si>
  <si>
    <t>VPB2311040683746451</t>
  </si>
  <si>
    <t>FT23310928918145</t>
  </si>
  <si>
    <t>NHAN TU 0366901395 TRACE 269297 ND LUONG VAN CUONG chuyen khoan</t>
  </si>
  <si>
    <t>FT23310800118126</t>
  </si>
  <si>
    <t>VPB2311040683916622</t>
  </si>
  <si>
    <t>FT23310573600029</t>
  </si>
  <si>
    <t>NHAN TU 36397557 TRACE 209760 ND 20554432188255813632-051123-17:42:4 9 209760</t>
  </si>
  <si>
    <t>FT23310032057685</t>
  </si>
  <si>
    <t>VPB2311050684581197</t>
  </si>
  <si>
    <t>FT23310612886830</t>
  </si>
  <si>
    <t>VPB2311050684632404</t>
  </si>
  <si>
    <t>FT23310088970075</t>
  </si>
  <si>
    <t>VPB2311050684707373</t>
  </si>
  <si>
    <t>FT23310532102576</t>
  </si>
  <si>
    <t>VPB2311060685040412</t>
  </si>
  <si>
    <t>FT23310796996087</t>
  </si>
  <si>
    <t>VPB2311060685040992</t>
  </si>
  <si>
    <t>FT23310327333480</t>
  </si>
  <si>
    <t>NHAN TU 0366901395 TRACE 493891 ND LUONG VAN CUONG chuyen khoan</t>
  </si>
  <si>
    <t>FT23310317045665</t>
  </si>
  <si>
    <t>NHAN TU 0697044002694 TRACE 156921 ND Payout</t>
  </si>
  <si>
    <t>FT23310709564310</t>
  </si>
  <si>
    <t>VPB2311060685195502</t>
  </si>
  <si>
    <t>FT23311833862021</t>
  </si>
  <si>
    <t>VPB2311070686166178</t>
  </si>
  <si>
    <t>FT23311865090412</t>
  </si>
  <si>
    <t>YxwgLJmGVZjoygWCztIzTGCID CHAU QUOC NHIEN chuyen tien</t>
  </si>
  <si>
    <t>VPB2311070686762611</t>
  </si>
  <si>
    <t>FT23311132070566</t>
  </si>
  <si>
    <t>VPB2311070686931027</t>
  </si>
  <si>
    <t>FT23311275195090</t>
  </si>
  <si>
    <t>VPB2311070687160256</t>
  </si>
  <si>
    <t>FT23311004401152</t>
  </si>
  <si>
    <t>NHAN TU 0697044102899 TRACE 620671 ND LUONG VAN CUONG chuyen tien qua MoMo</t>
  </si>
  <si>
    <t>FT23312550063745</t>
  </si>
  <si>
    <t>VPB2311080687422062</t>
  </si>
  <si>
    <t>FT23312103165014</t>
  </si>
  <si>
    <t>VPB2311080688179472</t>
  </si>
  <si>
    <t>FT23313935284542</t>
  </si>
  <si>
    <t>NHAN TU 0366901395 TRACE 388210 ND LUONG VAN CUONG chuyen khoan</t>
  </si>
  <si>
    <t>FT23313683719060</t>
  </si>
  <si>
    <t>NHAN TU 0366901395 TRACE 710035 ND LUONG VAN CUONG chuyen khoan</t>
  </si>
  <si>
    <t>FT23313099600176</t>
  </si>
  <si>
    <t>VPB2311090688711330</t>
  </si>
  <si>
    <t>FT23313705463647\BNK</t>
  </si>
  <si>
    <t>Nap tien dich vu:-0382662195-9000.0</t>
  </si>
  <si>
    <t>TOP2311090689562701</t>
  </si>
  <si>
    <t>FT23314420672428</t>
  </si>
  <si>
    <t>NHAN TU 0366901395 TRACE 857149 ND LUONG VAN CUONG chuyen khoan</t>
  </si>
  <si>
    <t>FT23314529067024</t>
  </si>
  <si>
    <t>NHAN TU 0366901395 TRACE 196146 ND LUONG VAN CUONG chuyen khoan</t>
  </si>
  <si>
    <t>FT23314886540367</t>
  </si>
  <si>
    <t>VPB2311090689671749</t>
  </si>
  <si>
    <t>FT23314607316760</t>
  </si>
  <si>
    <t>NHAN TU 0000999624006 TRACE 509553 ND 20556195388431024128</t>
  </si>
  <si>
    <t>FT23314847931890</t>
  </si>
  <si>
    <t>VPB2311100690270948</t>
  </si>
  <si>
    <t>FT23314238880088</t>
  </si>
  <si>
    <t>VPB2311100690276830</t>
  </si>
  <si>
    <t>FT23314883783681</t>
  </si>
  <si>
    <t>VPB2311100690278787</t>
  </si>
  <si>
    <t>FT23314180306543</t>
  </si>
  <si>
    <t>NHAN TU 9145699999 TRACE 033305 ND MBVCB.4599440602.033305.TRAN QUOC PHONG chuyen tien.CT tu 9145699999 TRAN QUOC PHONG toi 121793555 Chau Quoc Nhien tai VPBANK</t>
  </si>
  <si>
    <t>FT23314458278310</t>
  </si>
  <si>
    <t>NHAN TU 9145699999 TRACE 086927 ND MBVCB.4600057901.086927.TRAN QUOC PHONG chuyen tien.CT tu 9145699999 TRAN QUOC PHONG toi 121793555 Chau Quoc Nhien tai VPBANK</t>
  </si>
  <si>
    <t>FT23314509701829</t>
  </si>
  <si>
    <t>VPB2311100690787176</t>
  </si>
  <si>
    <t>FT23315001654683</t>
  </si>
  <si>
    <t>VPB2311110691288027</t>
  </si>
  <si>
    <t>FT23315395023877</t>
  </si>
  <si>
    <t>VPB2311110691709428</t>
  </si>
  <si>
    <t>FT23315139499521</t>
  </si>
  <si>
    <t>VPB2311110691787890</t>
  </si>
  <si>
    <t>FT23317389949345</t>
  </si>
  <si>
    <t>NHAN TU 0873320144 TRACE 716407 ND 20556697064197767168</t>
  </si>
  <si>
    <t>FT23317337502108</t>
  </si>
  <si>
    <t>NHAN TU 0366901395 TRACE 391414 ND LUONG VAN CUONG chuyen khoan</t>
  </si>
  <si>
    <t>FT23317594562606</t>
  </si>
  <si>
    <t>Chi Ty chuyen tien lai thang 11</t>
  </si>
  <si>
    <t>VPB2311120692649619</t>
  </si>
  <si>
    <t>FT23317205588268</t>
  </si>
  <si>
    <t>NHAN TU 0366901395 TRACE 964525 ND LUONG VAN CUONG chuyen khoan</t>
  </si>
  <si>
    <t>FT23317773417400</t>
  </si>
  <si>
    <t>NHAN TU 19033237410013 TRACE 645635 ND FT23317467104071</t>
  </si>
  <si>
    <t>FT23317453072651</t>
  </si>
  <si>
    <t>NHAN TU 0784689998 TRACE 412159 ND TRAN QUOC PHONG chuyen khoan</t>
  </si>
  <si>
    <t>FT23317768569788</t>
  </si>
  <si>
    <t>Hoang Phi</t>
  </si>
  <si>
    <t>VPB2311130693811436</t>
  </si>
  <si>
    <t>FT23318550770599</t>
  </si>
  <si>
    <t>VPB2311140694212371</t>
  </si>
  <si>
    <t>FT23318981193072</t>
  </si>
  <si>
    <t>VPB2311140694388614</t>
  </si>
  <si>
    <t>FT23318363984793</t>
  </si>
  <si>
    <t>NHAN TU 6899696 TRACE 820859 ND 20557698061397553152-141123-18:00:4 9 820859</t>
  </si>
  <si>
    <t>FT23318083814462</t>
  </si>
  <si>
    <t>NPS686908191103079231114192857</t>
  </si>
  <si>
    <t>VPB2311140695081532</t>
  </si>
  <si>
    <t>FT23319534680508</t>
  </si>
  <si>
    <t>VPB2311140695212127</t>
  </si>
  <si>
    <t>FT23319722702152</t>
  </si>
  <si>
    <t>A9iJQLlrbKgGMClGRRr9TGCID CHAU QUOC NHIEN gui tang thiep mung</t>
  </si>
  <si>
    <t>VPB2311150695594234</t>
  </si>
  <si>
    <t>FT23321098905009</t>
  </si>
  <si>
    <t>DV can ho 1007 thang 11 toa B2</t>
  </si>
  <si>
    <t>VPB2311170698523795</t>
  </si>
  <si>
    <t>FT23322136290405</t>
  </si>
  <si>
    <t>VPB2311180699252890</t>
  </si>
  <si>
    <t>FT23324139970307</t>
  </si>
  <si>
    <t>NHAN TU 107003013207 TRACE 983098 ND QR - NGUYEN HUY DONG chuyen tien</t>
  </si>
  <si>
    <t>FT23324871013238</t>
  </si>
  <si>
    <t>VPB2311180699764122</t>
  </si>
  <si>
    <t>FT23325956065437</t>
  </si>
  <si>
    <t>VPB2311210702933494</t>
  </si>
  <si>
    <t>FT23325798402488</t>
  </si>
  <si>
    <t>VPB2311210702934544</t>
  </si>
  <si>
    <t>FT23329326062695</t>
  </si>
  <si>
    <t>NHAN TU 36397557 TRACE 658571 ND 20561535582686175232-251123-08:09:0 1 658571</t>
  </si>
  <si>
    <t>FT23329384627618</t>
  </si>
  <si>
    <t>VPB2311250706652584</t>
  </si>
  <si>
    <t>FT23331348200657</t>
  </si>
  <si>
    <t>NHAN TU 19050179865015 TRACE 969947 ND DANG BINH ANH TAN FT23331947402567</t>
  </si>
  <si>
    <t>FT23331781221836</t>
  </si>
  <si>
    <t>ck</t>
  </si>
  <si>
    <t>VPB2311270708821856</t>
  </si>
  <si>
    <t>FT23331421576860</t>
  </si>
  <si>
    <t>NHAN TU 0366901395 TRACE 167558 ND LUONG VAN CUONG chuyen khoan</t>
  </si>
  <si>
    <t>FT23331601275781</t>
  </si>
  <si>
    <t>NHAN TU 0366901395 TRACE 175922 ND LUONG VAN CUONG chuyen khoan</t>
  </si>
  <si>
    <t>FT23331473490218</t>
  </si>
  <si>
    <t>VPB2311270709236820</t>
  </si>
  <si>
    <t>FT23331801761817</t>
  </si>
  <si>
    <t>FT23331277051912</t>
  </si>
  <si>
    <t>NHAN TU 0697044105922 TRACE 610033 ND LUONG VAN CUONG chuyen tien qua MoMo</t>
  </si>
  <si>
    <t>FT23332809288624</t>
  </si>
  <si>
    <t>NHAN TU 0366901395 TRACE 749344 ND LUONG VAN CUONG chuyen khoan</t>
  </si>
  <si>
    <t>FT23332330800007</t>
  </si>
  <si>
    <t>VPB2311280709947511</t>
  </si>
  <si>
    <t>FT23332211995900</t>
  </si>
  <si>
    <t>VPB2311280710128718</t>
  </si>
  <si>
    <t>FT23332858912180</t>
  </si>
  <si>
    <t>FT23332980166002</t>
  </si>
  <si>
    <t>NHAN TU 0366901395 TRACE 701672 ND LUONG VAN CUONG chuyen khoan</t>
  </si>
  <si>
    <t>FT23333804006384</t>
  </si>
  <si>
    <t>VPB2311290711483419</t>
  </si>
  <si>
    <t>FT23333150101471</t>
  </si>
  <si>
    <t>NHAN TU 0366901395 TRACE 399788 ND LUONG VAN CUONG chuyen khoan</t>
  </si>
  <si>
    <t>FT23333245326708</t>
  </si>
  <si>
    <t>Coc tien mua dt iphone 6g</t>
  </si>
  <si>
    <t>VPB2311290711558097</t>
  </si>
  <si>
    <t>FT23333423269033\BNK</t>
  </si>
  <si>
    <t>Nap tien dich vu:-0382662195-120000.0</t>
  </si>
  <si>
    <t>TOP2311290711666265</t>
  </si>
  <si>
    <t>FT23333091485129</t>
  </si>
  <si>
    <t>VPB2311290711685753</t>
  </si>
  <si>
    <t>FT23333361076974</t>
  </si>
  <si>
    <t>VPB2311290711708564</t>
  </si>
  <si>
    <t>FT23333937900542</t>
  </si>
  <si>
    <t>NHAN TU 0366901395 TRACE 304243 ND LUONG VAN CUONG chuyen khoan</t>
  </si>
  <si>
    <t>FT23334168360653</t>
  </si>
  <si>
    <t>VPB2311300712299134</t>
  </si>
  <si>
    <t>FT23334623108908</t>
  </si>
  <si>
    <t>VPB2311300712403733</t>
  </si>
  <si>
    <t>FT23334541040120</t>
  </si>
  <si>
    <t>VPB2311300712468590</t>
  </si>
  <si>
    <t>FT23334102046626</t>
  </si>
  <si>
    <t>NHAN TU 105868878393 TRACE 087555 ND PHAN TRAN TUAN chuyen tien</t>
  </si>
  <si>
    <t>FT23335300158206</t>
  </si>
  <si>
    <t>VPB2312010713381041</t>
  </si>
  <si>
    <t>FT23335642228503</t>
  </si>
  <si>
    <t>NHAN TU 36397557 TRACE 035382 ND 20563602893321904128-011223-01:03:5 6 035382</t>
  </si>
  <si>
    <t>FT23335047736307</t>
  </si>
  <si>
    <t>VPB2312010713405972</t>
  </si>
  <si>
    <t>FT23335200293646</t>
  </si>
  <si>
    <t>NHAN TU 11954717 TRACE 113999 ND 20563708425925115904-011223-08:04:1 6 113999</t>
  </si>
  <si>
    <t>FT23335220777785</t>
  </si>
  <si>
    <t>VPB2312010713487048</t>
  </si>
  <si>
    <t>FT23335801030391\PNN</t>
  </si>
  <si>
    <t>VPB2312010713497874</t>
  </si>
  <si>
    <t>FT23335651240854</t>
  </si>
  <si>
    <t>VPB2312010713501253</t>
  </si>
  <si>
    <t>FT23335104898086</t>
  </si>
  <si>
    <t>VPB2312010713838642</t>
  </si>
  <si>
    <t>FT23335037101078</t>
  </si>
  <si>
    <t>VPB2312010714482508</t>
  </si>
  <si>
    <t>FT23336207661088</t>
  </si>
  <si>
    <t>NHAN TU 107003013207 TRACE 867168 ND NGUYEN HUY DONG chuyen tien</t>
  </si>
  <si>
    <t>FT23336207689222</t>
  </si>
  <si>
    <t>NHAN TU 0366901395 TRACE 948066 ND LUONG VAN CUONG chuyen khoan</t>
  </si>
  <si>
    <t>FT23336624170670</t>
  </si>
  <si>
    <t>VPB2312020715014220</t>
  </si>
  <si>
    <t>FT23336537972943</t>
  </si>
  <si>
    <t>VPB2312020715015120</t>
  </si>
  <si>
    <t>FT23336488506079</t>
  </si>
  <si>
    <t>VPB2312020715092772</t>
  </si>
  <si>
    <t>FT23336431821506</t>
  </si>
  <si>
    <t>VPB2312020715286473</t>
  </si>
  <si>
    <t>FT23336428590765</t>
  </si>
  <si>
    <t>V5JV2F</t>
  </si>
  <si>
    <t>VPB2312020715303162</t>
  </si>
  <si>
    <t>FT23338730415302</t>
  </si>
  <si>
    <t>VPB2312020715646501</t>
  </si>
  <si>
    <t>FT23338735019491</t>
  </si>
  <si>
    <t>NHAN TU 0366901395 TRACE 123306 ND LUONG VAN CUONG chuyen khoan</t>
  </si>
  <si>
    <t>FT23338105818203</t>
  </si>
  <si>
    <t>NHAN TU 7266666666 TRACE 055221 ND MBVCB.4756408038.055221.DO VAN TRUNG chuyen tien.CT tu 7266666666 DO VAN TRUNG toi 121793555 Chau Quoc Nhien tai VPBANK</t>
  </si>
  <si>
    <t>FT23338595295820</t>
  </si>
  <si>
    <t>VPB2312030716355367</t>
  </si>
  <si>
    <t>FT23338658117091</t>
  </si>
  <si>
    <t>NHAN TU 0366901395 TRACE 237652 ND LUONG VAN CUONG chuyen khoan</t>
  </si>
  <si>
    <t>FT23338455746241</t>
  </si>
  <si>
    <t>NHAN TU 0366901395 TRACE 620141 ND LUONG VAN CUONG chuyen khoan</t>
  </si>
  <si>
    <t>FT23338380363330</t>
  </si>
  <si>
    <t>VPB2312040717378719</t>
  </si>
  <si>
    <t>FT23338077183470</t>
  </si>
  <si>
    <t>NHAN TU 0366901395 TRACE 059037 ND LUONG VAN CUONG chuyen khoan</t>
  </si>
  <si>
    <t>FT23338349530320</t>
  </si>
  <si>
    <t>VPB2312040717630487</t>
  </si>
  <si>
    <t>FT23338001636564</t>
  </si>
  <si>
    <t>Nhien 20564950377665376256</t>
  </si>
  <si>
    <t>VPB2312040717635425</t>
  </si>
  <si>
    <t>FT23338429313925</t>
  </si>
  <si>
    <t>NHAN TU 0784689998 TRACE 693682 ND TRAN QUOC PHONG chuyen khoan</t>
  </si>
  <si>
    <t>FT23338379903954</t>
  </si>
  <si>
    <t>NHAN TU 0366901395 TRACE 884382 ND LUONG VAN CUONG chuyen khoan</t>
  </si>
  <si>
    <t>FT23338263445060</t>
  </si>
  <si>
    <t>VPB2312040717883851</t>
  </si>
  <si>
    <t>FT23339823994698</t>
  </si>
  <si>
    <t>NHAN TU 0697044105922 TRACE 869763 ND NGUYEN HUY DONG chuyen tien qua MoMo</t>
  </si>
  <si>
    <t>FT23339893006826</t>
  </si>
  <si>
    <t>VPB2312050719108432</t>
  </si>
  <si>
    <t>FT23339900496587</t>
  </si>
  <si>
    <t>NHAN TU 0697044105922 TRACE 908774 ND LUONG VAN CUONG chuyen tien qua MoMo</t>
  </si>
  <si>
    <t>FT23339382060710</t>
  </si>
  <si>
    <t>NHAN TU 0697044105922 TRACE 910301 ND LUONG VAN CUONG chuyen tien qua MoMo</t>
  </si>
  <si>
    <t>FT23340094430502</t>
  </si>
  <si>
    <t>NHAN TU 107003013207 TRACE 605225 ND NGUYEN HUY DONG chuyen tien</t>
  </si>
  <si>
    <t>FT23340406971137</t>
  </si>
  <si>
    <t>VPB2312060719682742</t>
  </si>
  <si>
    <t>FT23340003288428</t>
  </si>
  <si>
    <t>NHAN TU 0366901395 TRACE 331518 ND LUONG VAN CUONG chuyen khoan</t>
  </si>
  <si>
    <t>FT23340236506223</t>
  </si>
  <si>
    <t>VPB2312060720392950</t>
  </si>
  <si>
    <t>FT23340535675556</t>
  </si>
  <si>
    <t>NHAN TU 0366901395 TRACE 669610 ND LUONG VAN CUONG chuyen khoan</t>
  </si>
  <si>
    <t>FT23341970909621</t>
  </si>
  <si>
    <t>VPB2312070720916863</t>
  </si>
  <si>
    <t>FT23341904477274</t>
  </si>
  <si>
    <t>NHAN TU 108870002305 TRACE 652358 ND tra no xau</t>
  </si>
  <si>
    <t>FT23341477006138</t>
  </si>
  <si>
    <t>VPB2312070721126369</t>
  </si>
  <si>
    <t>FT23341860482555</t>
  </si>
  <si>
    <t>NHAN TU 107003013207 TRACE 692997 ND NGUYEN HUY DONG chuyen tien</t>
  </si>
  <si>
    <t>FT23341200329133\I2B</t>
  </si>
  <si>
    <t>Thanh toan hoa don tra sau PB18010097769 229537.0</t>
  </si>
  <si>
    <t>VN0010005</t>
  </si>
  <si>
    <t>BIL2312070721381614</t>
  </si>
  <si>
    <t>FT23341013052330\BNK</t>
  </si>
  <si>
    <t>TOP2312070721624314</t>
  </si>
  <si>
    <t>FT23343800773293</t>
  </si>
  <si>
    <t>NHAN TU 108870002305 TRACE 559503 ND TRAN NGOC THIEN chuyen tien</t>
  </si>
  <si>
    <t>FT23343228675085</t>
  </si>
  <si>
    <t>NHAN TU 0111534064 TRACE 351647 ND Chuyen khoan Chau Quoc Nhien z49</t>
  </si>
  <si>
    <t>FT23343314977676</t>
  </si>
  <si>
    <t>VNQR2312090723939245</t>
  </si>
  <si>
    <t>FT23345451536915</t>
  </si>
  <si>
    <t>VPB2312100724619534</t>
  </si>
  <si>
    <t>FT23345476460400\BNK</t>
  </si>
  <si>
    <t>CASHIN 01682662195 49863369671 f9e71cf3e9ca4d0d9bda76a33e0cc6ad</t>
  </si>
  <si>
    <t>FT23346000093930</t>
  </si>
  <si>
    <t>NHAN TU 108870002305 TRACE 249947 ND TRAN NGOC THIEN chuyen tien</t>
  </si>
  <si>
    <t>FT23346170957405</t>
  </si>
  <si>
    <t>VPB2312120726966587</t>
  </si>
  <si>
    <t>FT23346681449879</t>
  </si>
  <si>
    <t>VPB2312120727062611</t>
  </si>
  <si>
    <t>FT23346093300024</t>
  </si>
  <si>
    <t>NHAN TU 0366901395 TRACE 257057 ND LUONG VAN CUONG chuyen khoan</t>
  </si>
  <si>
    <t>FT23346553900973</t>
  </si>
  <si>
    <t>NHAN TU 6979999569 TRACE 042369 ND MBVCB.4826144877.042369.TRUONG HUY PHUNG chuyen tien.CT tu 6979999569 TRUONG HUY PHUNG toi 121793555 Chau Quoc Nhien tai VPBANK</t>
  </si>
  <si>
    <t>FT23346407580998</t>
  </si>
  <si>
    <t>VPB2312120727628720</t>
  </si>
  <si>
    <t>FT23346500500191</t>
  </si>
  <si>
    <t>VPB2312120727639411</t>
  </si>
  <si>
    <t>FT23346575960337</t>
  </si>
  <si>
    <t>chuyen khoan</t>
  </si>
  <si>
    <t>VPB2312120727791773</t>
  </si>
  <si>
    <t>FT23347849741719</t>
  </si>
  <si>
    <t>VPB2312130728299432</t>
  </si>
  <si>
    <t>FT23347840760567</t>
  </si>
  <si>
    <t>VPB2312130728388987</t>
  </si>
  <si>
    <t>FT23347092511518</t>
  </si>
  <si>
    <t>NHAN TU 19033682259015 TRACE 259389 ND BA THI BICH CHI chuyen FT23347512025399</t>
  </si>
  <si>
    <t>FT23347900070095</t>
  </si>
  <si>
    <t>NHAN TU 1028971942 TRACE 076286 ND MBVCB.4831428847.076286.20568111146 552770560.CT tu 1028971942 DO VAN LUONG toi 121793555 Chau Quoc Nhien tai VPBANK</t>
  </si>
  <si>
    <t>FT23347409243004</t>
  </si>
  <si>
    <t>VPB2312130728583921</t>
  </si>
  <si>
    <t>FT23347171950377\BNK</t>
  </si>
  <si>
    <t>CASHOUT 01682662195 49964109464 ca54f6cc631b44469d5697f3718072ce</t>
  </si>
  <si>
    <t>FT23347286049619</t>
  </si>
  <si>
    <t>VPB2312130728651351</t>
  </si>
  <si>
    <t>FT23347824490018</t>
  </si>
  <si>
    <t>NHAN TU 0366901395 TRACE 672308 ND LUONG VAN CUONG chuyen khoan</t>
  </si>
  <si>
    <t>FT23348626479905</t>
  </si>
  <si>
    <t>VPB2312130729161533</t>
  </si>
  <si>
    <t>FT23348806602370</t>
  </si>
  <si>
    <t>dem qua em tuyet lam</t>
  </si>
  <si>
    <t>VPB2312140729524846</t>
  </si>
  <si>
    <t>FT23348882777598\BNK</t>
  </si>
  <si>
    <t>TOP2312140730244660 Nap tien dich vu:-0382662195-20000.0</t>
  </si>
  <si>
    <t>TOP2312140730244660</t>
  </si>
  <si>
    <t>FT23348042503975</t>
  </si>
  <si>
    <t>NHAN TU 107003013207 TRACE 178219 ND NGUYEN HUY DONG chuyen tien</t>
  </si>
  <si>
    <t>FT23348561734335</t>
  </si>
  <si>
    <t>Ck</t>
  </si>
  <si>
    <t>VPB2312140730256625</t>
  </si>
  <si>
    <t>FT23349051199323</t>
  </si>
  <si>
    <t>NHAN TU 1039757014 TRACE 066980 ND IBVCB.4843118808.066980.20568626681 633456128.CT tu 1039757014 TRAN DUC DUY toi 121793555 Chau Quoc Nhien tai VPBANK</t>
  </si>
  <si>
    <t>FT23349649348950</t>
  </si>
  <si>
    <t>VPB2312140730361719</t>
  </si>
  <si>
    <t>FT23349149088009</t>
  </si>
  <si>
    <t>VPB2312140730379913</t>
  </si>
  <si>
    <t>FT23349560052237</t>
  </si>
  <si>
    <t>VPB2312150730909405</t>
  </si>
  <si>
    <t>FT23349093793680</t>
  </si>
  <si>
    <t>NHAN TU 0111534471 TRACE 108893 ND Chuyen khoan Chau Quoc Nhien H64</t>
  </si>
  <si>
    <t>FT23349203504313</t>
  </si>
  <si>
    <t>VPB2312150731144288</t>
  </si>
  <si>
    <t>FT23349050866790</t>
  </si>
  <si>
    <t>VPB2312150731267634</t>
  </si>
  <si>
    <t>FT23349800062601</t>
  </si>
  <si>
    <t>NHAN TU 0811000026724 TRACE 038478 ND MBVCB.4849489702.038478.THACH THANH GIA LONG chuyen tien.CT tu 0811000026724 THACH THANH GIA LONG toi 121793555 Chau Quoc Nhien tai VPBANK</t>
  </si>
  <si>
    <t>FT23350668882677</t>
  </si>
  <si>
    <t>NHAN TU 32064177 TRACE 853018 ND 20569133431998672896-161223-07:20:1 4 853018</t>
  </si>
  <si>
    <t>FT23350267604424</t>
  </si>
  <si>
    <t>VPB2312160731886503</t>
  </si>
  <si>
    <t>FT23350840160402</t>
  </si>
  <si>
    <t>VPB2312160731955521</t>
  </si>
  <si>
    <t>FT23350756589713</t>
  </si>
  <si>
    <t>VPB2312160732594367</t>
  </si>
  <si>
    <t>FT23350181111070</t>
  </si>
  <si>
    <t>NHAN TU 33646177 TRACE 468526 ND 20569296811618975744-161223-18:14:5 7 468526</t>
  </si>
  <si>
    <t>FT23350004002971</t>
  </si>
  <si>
    <t>VPB2312160732712007</t>
  </si>
  <si>
    <t>FT23350224816428</t>
  </si>
  <si>
    <t>chuyen tien lai suat thang 12</t>
  </si>
  <si>
    <t>VPB2312160732713319</t>
  </si>
  <si>
    <t>FT23350181213635</t>
  </si>
  <si>
    <t>NHAN TU 32064177 TRACE 496373 ND 20569305070006927360-161223-18:42:2 8 496373</t>
  </si>
  <si>
    <t>FT23352847399362</t>
  </si>
  <si>
    <t>VPB2312170733726282</t>
  </si>
  <si>
    <t>FT23352606041374</t>
  </si>
  <si>
    <t>VPB2312170733889908</t>
  </si>
  <si>
    <t>FT23352770923747</t>
  </si>
  <si>
    <t>VPB2312180734457470</t>
  </si>
  <si>
    <t>FT23352001510680</t>
  </si>
  <si>
    <t>NHAN TU 0061001129825 TRACE 080743 ND MBVCB.4872104305.080743.20570057344 528580608.CT tu 0061001129825 TRAN QUOC TINH toi 121793555 Chau Quoc Nhien tai VPBANK</t>
  </si>
  <si>
    <t>FT23352305006204</t>
  </si>
  <si>
    <t>VPB2312180735166283</t>
  </si>
  <si>
    <t>FT23353676984840</t>
  </si>
  <si>
    <t>VPB2312190735630963</t>
  </si>
  <si>
    <t>FT23354602182816</t>
  </si>
  <si>
    <t>VPB2312200737148411</t>
  </si>
  <si>
    <t>FT23354316215233</t>
  </si>
  <si>
    <t>VPB2312200737206290</t>
  </si>
  <si>
    <t>FT23354762574981</t>
  </si>
  <si>
    <t>VPB2312200737423809</t>
  </si>
  <si>
    <t>FT23354300632207</t>
  </si>
  <si>
    <t>VPB2312200737424701</t>
  </si>
  <si>
    <t>FT23356000411920</t>
  </si>
  <si>
    <t>NHAN TU 0000999624006 TRACE 490165 ND 20571516482968211456</t>
  </si>
  <si>
    <t>FT23356834575670</t>
  </si>
  <si>
    <t>8d9aCZZneGx7GPNMKblmTGCID CHAU QUOC NHIEN chuyen tien</t>
  </si>
  <si>
    <t>VPB2312220740246392</t>
  </si>
  <si>
    <t>FT23357518180588</t>
  </si>
  <si>
    <t>NHAN TU 107003013207 TRACE 163081 ND NGUYEN HUY DONG chuyen tien</t>
  </si>
  <si>
    <t>FT23357207505309</t>
  </si>
  <si>
    <t>VPB2312230741109608</t>
  </si>
  <si>
    <t>FT23357567966420</t>
  </si>
  <si>
    <t>VPB2312230741194851</t>
  </si>
  <si>
    <t>FT23359175746420</t>
  </si>
  <si>
    <t>VPB2312240741725015</t>
  </si>
  <si>
    <t>FT23359904300612</t>
  </si>
  <si>
    <t>NHAN TU 101870574941 TRACE 154617 ND 20572467851885150208</t>
  </si>
  <si>
    <t>FT23359541060354</t>
  </si>
  <si>
    <t>VPB2312250743268999</t>
  </si>
  <si>
    <t>FT23359252792990</t>
  </si>
  <si>
    <t>VNQR2312250743632611</t>
  </si>
  <si>
    <t>FT23361870873862</t>
  </si>
  <si>
    <t>NHAN TU 36397557 TRACE 209370 ND 20573089165332037632-271223-05:19:0 4 209370</t>
  </si>
  <si>
    <t>FT23361756658400</t>
  </si>
  <si>
    <t>VPB2312270745027325</t>
  </si>
  <si>
    <t>FT23361290802365</t>
  </si>
  <si>
    <t>VPB2312270745058593</t>
  </si>
  <si>
    <t>FT23361982487806</t>
  </si>
  <si>
    <t>VPB2312270745587434</t>
  </si>
  <si>
    <t>FT23361151805096</t>
  </si>
  <si>
    <t>NHAN TU 103880096457 TRACE 295129 ND BUI TIEN HUNG chuyen tien</t>
  </si>
  <si>
    <t>FT23361139010454</t>
  </si>
  <si>
    <t>VPB2312270745863747</t>
  </si>
  <si>
    <t>FT23361987509498</t>
  </si>
  <si>
    <t>VPB2312270745891630</t>
  </si>
  <si>
    <t>FT23361330990676</t>
  </si>
  <si>
    <t>NHAN TU 1935497519 TRACE 882226 ND LE TAN THIE FT23361050176231</t>
  </si>
  <si>
    <t>FT23361104150680</t>
  </si>
  <si>
    <t>FT23361519380257</t>
  </si>
  <si>
    <t>VPB2312270746001861</t>
  </si>
  <si>
    <t>FT23362906300638</t>
  </si>
  <si>
    <t>VPB2312280747219626</t>
  </si>
  <si>
    <t>FT23362602467054</t>
  </si>
  <si>
    <t>VPB2312280747228771</t>
  </si>
  <si>
    <t>FT23363026307975</t>
  </si>
  <si>
    <t>Gui em</t>
  </si>
  <si>
    <t>VPB2312290748004848</t>
  </si>
  <si>
    <t>FT23363050003393</t>
  </si>
  <si>
    <t>NHAN TU 36397557 TRACE 920680 ND 20573997894837534720-291223-17:31:1 3 920680</t>
  </si>
  <si>
    <t>FT23363378029376</t>
  </si>
  <si>
    <t>VPB2312290748587218</t>
  </si>
  <si>
    <t>FT23363076490110</t>
  </si>
  <si>
    <t>VPB2312290748622804</t>
  </si>
  <si>
    <t>FT23364602397700</t>
  </si>
  <si>
    <t>NHAN TU 36397557 TRACE 035860 ND 20574372856153874432-301223-18:19:5 2 035860</t>
  </si>
  <si>
    <t>FT23364019970547</t>
  </si>
  <si>
    <t>VPB2312300749826203</t>
  </si>
  <si>
    <t>FT23364969600572</t>
  </si>
  <si>
    <t>VPB2312300749983956</t>
  </si>
  <si>
    <t>FT23365098461831</t>
  </si>
  <si>
    <t>VPB2312310750813395</t>
  </si>
  <si>
    <t>FT23365010737800</t>
  </si>
  <si>
    <t>VPB2312310750837066</t>
  </si>
  <si>
    <t>121793555-20231231</t>
  </si>
  <si>
    <t>Hach toan lai-121793555-20231231</t>
  </si>
  <si>
    <t>FT24001263060938</t>
  </si>
  <si>
    <t>NHAN TU 0811000023942 TRACE 060249 ND MBVCB.4969556058.060249.KIEU QUANG THANG chuyen tien.CT tu 0811000023942 KIEU QUANG THANG toi 121793555 Chau Quoc Nhien tai VPBANK</t>
  </si>
  <si>
    <t>FT24001870761046</t>
  </si>
  <si>
    <t>VPB2401010751675145</t>
  </si>
  <si>
    <t>FT24001701684231</t>
  </si>
  <si>
    <t>VPB2401010751688833</t>
  </si>
  <si>
    <t>FT24001106402720</t>
  </si>
  <si>
    <t>VPB2401010751739381</t>
  </si>
  <si>
    <t>FT24002044199128</t>
  </si>
  <si>
    <t>NHAN TU 000006034315 TRACE 810286 ND 20575311806846205952</t>
  </si>
  <si>
    <t>FT24002918659604</t>
  </si>
  <si>
    <t>VPB2401020752302564</t>
  </si>
  <si>
    <t>FT24002380688288</t>
  </si>
  <si>
    <t>VPB2401020752313356</t>
  </si>
  <si>
    <t>FT24002609297574</t>
  </si>
  <si>
    <t>VPB2401020752360291</t>
  </si>
  <si>
    <t>FT24002604023756</t>
  </si>
  <si>
    <t>NHAN TU 36397557 TRACE 342948 ND 20575367984691163136-020124-12:15:1 5 342948</t>
  </si>
  <si>
    <t>FT24002013841820</t>
  </si>
  <si>
    <t>VPB2401020752590407</t>
  </si>
  <si>
    <t>FT24002916826834</t>
  </si>
  <si>
    <t>VPB2401020752636647</t>
  </si>
  <si>
    <t>FT24002296154654</t>
  </si>
  <si>
    <t>NHAN TU 0873320144 TRACE 884633 ND 20575395631658938368</t>
  </si>
  <si>
    <t>FT24002376273132</t>
  </si>
  <si>
    <t>VPB2401020752922497</t>
  </si>
  <si>
    <t>FT24002191220957</t>
  </si>
  <si>
    <t>NHAN TU 670708 TRACE 650892 ND 20575435504037863424-020124-16:51:5 1 650892</t>
  </si>
  <si>
    <t>FT24002028471155</t>
  </si>
  <si>
    <t>VPB2401020752987282</t>
  </si>
  <si>
    <t>FT24002002419413</t>
  </si>
  <si>
    <t>VPB2401020753181974</t>
  </si>
  <si>
    <t>FT24002929690011</t>
  </si>
  <si>
    <t>VPB2401020753241523</t>
  </si>
  <si>
    <t>FT24002727818900</t>
  </si>
  <si>
    <t>NHAN TU 36397557 TRACE 920139 ND 20575500577851609088-020124-21:01:3 0 920139</t>
  </si>
  <si>
    <t>FT24003004199931</t>
  </si>
  <si>
    <t>VPB2401030753553723</t>
  </si>
  <si>
    <t>FT24003148363838</t>
  </si>
  <si>
    <t>VPB2401030753609877</t>
  </si>
  <si>
    <t>FT24003364586933</t>
  </si>
  <si>
    <t>NHAN TU 36397557 TRACE 338057 ND 20575721583643496448-030124-11:39:2 2 338057</t>
  </si>
  <si>
    <t>FT24003244755045</t>
  </si>
  <si>
    <t>VNQR2401030753819630</t>
  </si>
  <si>
    <t>FT24003758810746</t>
  </si>
  <si>
    <t>VPB2401030754084196</t>
  </si>
  <si>
    <t>FT24003222030139</t>
  </si>
  <si>
    <t>NHAN TU 36397557 TRACE 701712 ND 20575805171223113728-030124-17:11:3 2 701712</t>
  </si>
  <si>
    <t>FT24003396070242</t>
  </si>
  <si>
    <t>VPB2401030754238162</t>
  </si>
  <si>
    <t>FT24003109927868</t>
  </si>
  <si>
    <t>VPB2401030754251389</t>
  </si>
  <si>
    <t>FT24003103479106</t>
  </si>
  <si>
    <t>VPB2401030754403950</t>
  </si>
  <si>
    <t>FT24003806148979</t>
  </si>
  <si>
    <t>VPB2401030754515977</t>
  </si>
  <si>
    <t>FT24004670024400\I2B</t>
  </si>
  <si>
    <t>Thanh toan hoa don tra sau PB18010097769 219351.0</t>
  </si>
  <si>
    <t>BIL2401040755172894</t>
  </si>
  <si>
    <t>FT24005683201113</t>
  </si>
  <si>
    <t>VPB2401050756411982</t>
  </si>
  <si>
    <t>FT24005197901079</t>
  </si>
  <si>
    <t>VPB2401050756857731</t>
  </si>
  <si>
    <t>FT24005455406163</t>
  </si>
  <si>
    <t>VPB2401050756966958</t>
  </si>
  <si>
    <t>FT24006129151126</t>
  </si>
  <si>
    <t>VPB2401060757559908</t>
  </si>
  <si>
    <t>FT24006282162843</t>
  </si>
  <si>
    <t>VPB2401060757565061</t>
  </si>
  <si>
    <t>FT24006541495951</t>
  </si>
  <si>
    <t>NHAN TU 0811000023942 TRACE 073742 ND MBVCB.5005707131.073742.KIEU QUANG THANG chuyen tien.CT tu 0811000023942 KIEU QUANG THANG toi 121793555 Chau Quoc Nhien tai VPBANK</t>
  </si>
  <si>
    <t>FT24006507023971</t>
  </si>
  <si>
    <t>DV can ho 1007 Thang 1 Toa B2</t>
  </si>
  <si>
    <t>VPB2401060758156408</t>
  </si>
  <si>
    <t>FT24006284633885</t>
  </si>
  <si>
    <t>VPB2401060758263496</t>
  </si>
  <si>
    <t>FT24008588579371</t>
  </si>
  <si>
    <t>VPB2401070759044323</t>
  </si>
  <si>
    <t>FT24008053661012</t>
  </si>
  <si>
    <t>VPB2401070759105463</t>
  </si>
  <si>
    <t>FT24008213202782</t>
  </si>
  <si>
    <t>VPB2401070759111599</t>
  </si>
  <si>
    <t>FT24008302389503</t>
  </si>
  <si>
    <t>VPB2401070759417588</t>
  </si>
  <si>
    <t>FT24008131523527\BNK</t>
  </si>
  <si>
    <t>TOP2401070759419560</t>
  </si>
  <si>
    <t>FT24008655505206</t>
  </si>
  <si>
    <t>VPB2401070759457453</t>
  </si>
  <si>
    <t>FT24008624060063</t>
  </si>
  <si>
    <t>NHAN TU 0366901395 TRACE 678226 ND LUONG VAN CUONG chuyen khoan</t>
  </si>
  <si>
    <t>FT24008639194504</t>
  </si>
  <si>
    <t>VPB2401080759867733</t>
  </si>
  <si>
    <t>FT24008877778030</t>
  </si>
  <si>
    <t>VPB2401080760051474</t>
  </si>
  <si>
    <t>FT24008023267963</t>
  </si>
  <si>
    <t>LAIKA</t>
  </si>
  <si>
    <t>VPB2401080760319363</t>
  </si>
  <si>
    <t>FT24008047007790</t>
  </si>
  <si>
    <t>VPB2401080760705718</t>
  </si>
  <si>
    <t>FT24009474494691</t>
  </si>
  <si>
    <t>VPB2401090761364569</t>
  </si>
  <si>
    <t>FT24009644963524</t>
  </si>
  <si>
    <t>VPB2401090761868585</t>
  </si>
  <si>
    <t>FT24009268087203\BNK</t>
  </si>
  <si>
    <t>CASHOUT 01682662195 51352235514 bbf8c268f80346d882986d2c6d757642</t>
  </si>
  <si>
    <t>FT24009290005232</t>
  </si>
  <si>
    <t>VPB2401090762002247</t>
  </si>
  <si>
    <t>FT24009128405980</t>
  </si>
  <si>
    <t>VPB2401090762107043</t>
  </si>
  <si>
    <t>FT24010015050452</t>
  </si>
  <si>
    <t>Good</t>
  </si>
  <si>
    <t>VPB2401090762188485</t>
  </si>
  <si>
    <t>FT24011801065030\BNK</t>
  </si>
  <si>
    <t>CAD2401110764179395 Mua ma the tra truoc:-0382662195-10000.0</t>
  </si>
  <si>
    <t>CAD2401110764179395</t>
  </si>
  <si>
    <t>FT24011207607406</t>
  </si>
  <si>
    <t>VPB2401110764771715</t>
  </si>
  <si>
    <t>FT24012526383067</t>
  </si>
  <si>
    <t>NHAN TU 0784689998 TRACE 904752 ND TRAN QUOC PHONG chuyen khoan</t>
  </si>
  <si>
    <t>FT24012068350794</t>
  </si>
  <si>
    <t>VPB2401120765153346</t>
  </si>
  <si>
    <t>FT24012750443453</t>
  </si>
  <si>
    <t>VPB2401120765239729</t>
  </si>
  <si>
    <t>FT24012333561902</t>
  </si>
  <si>
    <t>VPB2401120765244310</t>
  </si>
  <si>
    <t>FT24012980410415</t>
  </si>
  <si>
    <t>NHAN TU 36397557 TRACE 801512 ND 20579000818417799168-120124-12:49:4 9 801512</t>
  </si>
  <si>
    <t>FT24012241120090\BNK</t>
  </si>
  <si>
    <t>CASHOUT 01682662195 51508752371 2eb609ed0f7b45a8aa7934870463ee2a</t>
  </si>
  <si>
    <t>FT24012107921651</t>
  </si>
  <si>
    <t>VPB2401120765341993</t>
  </si>
  <si>
    <t>FT24012708332723</t>
  </si>
  <si>
    <t>VPB2401120765726759</t>
  </si>
  <si>
    <t>FT24012033790492</t>
  </si>
  <si>
    <t>VPB2401120765877596</t>
  </si>
  <si>
    <t>FT24012060615576</t>
  </si>
  <si>
    <t>VPB2401120765933792</t>
  </si>
  <si>
    <t>FT24013685350770\PNN</t>
  </si>
  <si>
    <t>VPB2401130766453793</t>
  </si>
  <si>
    <t>FT24013310694636</t>
  </si>
  <si>
    <t>VPB2401130766455062</t>
  </si>
  <si>
    <t>FT24013060903913</t>
  </si>
  <si>
    <t>VPB2401130766456591</t>
  </si>
  <si>
    <t>FT24013903503838</t>
  </si>
  <si>
    <t>VPB2401130766507220</t>
  </si>
  <si>
    <t>FT24013881362061</t>
  </si>
  <si>
    <t>VPB2401130766514820</t>
  </si>
  <si>
    <t>FT24013680729715</t>
  </si>
  <si>
    <t>NHAN TU 15694737 TRACE 012303 ND CHAU QUOC NHIEN chuyen khoan-130124-16:09:34 012303</t>
  </si>
  <si>
    <t>FT24013577220681</t>
  </si>
  <si>
    <t>VPB2401130766766382</t>
  </si>
  <si>
    <t>FT24015112835674</t>
  </si>
  <si>
    <t>VPB2401140767290432</t>
  </si>
  <si>
    <t>FT24015660578054</t>
  </si>
  <si>
    <t>VPB2401140767669979</t>
  </si>
  <si>
    <t>FT24015585039319</t>
  </si>
  <si>
    <t>VPB2401150769157765</t>
  </si>
  <si>
    <t>FT24015778558070</t>
  </si>
  <si>
    <t>NHAN TU 33646177 TRACE 082566 ND 20580148362910121984-150124-17:11:1 1 082566</t>
  </si>
  <si>
    <t>FT24015867165026</t>
  </si>
  <si>
    <t>VPB2401150769192397</t>
  </si>
  <si>
    <t>FT24015800083730</t>
  </si>
  <si>
    <t>NHAN TU 19037450162010 TRACE 070503 ND FT24015237379371</t>
  </si>
  <si>
    <t>FT24015441576263</t>
  </si>
  <si>
    <t>VPB2401150769392652</t>
  </si>
  <si>
    <t>FT24016802001506</t>
  </si>
  <si>
    <t>VPB2401160770066730</t>
  </si>
  <si>
    <t>FT24016067216236</t>
  </si>
  <si>
    <t>VPB2401160770400822</t>
  </si>
  <si>
    <t>FT24016707320001</t>
  </si>
  <si>
    <t>NHAN TU 0784689998 TRACE 920365 ND TRAN QUOC PHONG chuyen khoan</t>
  </si>
  <si>
    <t>FT24016935269000</t>
  </si>
  <si>
    <t>VPB2401160770556791</t>
  </si>
  <si>
    <t>FT24016822880695</t>
  </si>
  <si>
    <t>Tien lai chi Ty thang 1</t>
  </si>
  <si>
    <t>VPB2401160770559492</t>
  </si>
  <si>
    <t>FT24016310791685</t>
  </si>
  <si>
    <t>NHAN TU 0126101999397979 TRACE 149024 ND CHAU DUC TRONG chuyen tien</t>
  </si>
  <si>
    <t>FT24016525872380</t>
  </si>
  <si>
    <t>VPB2401160770804992</t>
  </si>
  <si>
    <t>FT24017987001431</t>
  </si>
  <si>
    <t>VPB2401170771465157</t>
  </si>
  <si>
    <t>FT24017776803950</t>
  </si>
  <si>
    <t>V5QQ6H</t>
  </si>
  <si>
    <t>VPB2401170771841818</t>
  </si>
  <si>
    <t>FT24017546971831</t>
  </si>
  <si>
    <t>VPB2401170771875368</t>
  </si>
  <si>
    <t>FT24017079654213</t>
  </si>
  <si>
    <t>VPB2401170771884960</t>
  </si>
  <si>
    <t>FT24018200520290</t>
  </si>
  <si>
    <t>VPB2401170772120484</t>
  </si>
  <si>
    <t>FT24018807388357</t>
  </si>
  <si>
    <t>VPB2401180772620255</t>
  </si>
  <si>
    <t>FT24018244742994</t>
  </si>
  <si>
    <t>VNQR2401180772653767</t>
  </si>
  <si>
    <t>FT24018451961864</t>
  </si>
  <si>
    <t>VPB2401180772715878</t>
  </si>
  <si>
    <t>FT24018213581941</t>
  </si>
  <si>
    <t>VPB2401180773039728</t>
  </si>
  <si>
    <t>FT24019886100294</t>
  </si>
  <si>
    <t>MMTSJMCLj6Z09QR QG61PV2ZPME7VTKLXDS5BFA</t>
  </si>
  <si>
    <t>VPB2401190773833012</t>
  </si>
  <si>
    <t>FT24019892703057</t>
  </si>
  <si>
    <t>VPB2401190774449982</t>
  </si>
  <si>
    <t>FT24022876120060</t>
  </si>
  <si>
    <t>VPB2401200775661698</t>
  </si>
  <si>
    <t>FT24022246089833\BNK</t>
  </si>
  <si>
    <t>CASHOUT 01682662195 52013302214 5308823f0fb4402797627446d13686d2</t>
  </si>
  <si>
    <t>FT24022299542403</t>
  </si>
  <si>
    <t>VPB2401210776783472</t>
  </si>
  <si>
    <t>FT24022018479420</t>
  </si>
  <si>
    <t>VPB2401210776784186</t>
  </si>
  <si>
    <t>FT24026074766821</t>
  </si>
  <si>
    <t>NHAN TU 19036985980018 TRACE 731747 ND . FT24026597481249</t>
  </si>
  <si>
    <t>FT24026841460561</t>
  </si>
  <si>
    <t>VPB2401260782043464</t>
  </si>
  <si>
    <t>FT24026039454985</t>
  </si>
  <si>
    <t>VPB2401260782820305</t>
  </si>
  <si>
    <t>FT24026188868930</t>
  </si>
  <si>
    <t>FT24029207611763</t>
  </si>
  <si>
    <t>VPB2401290786408788</t>
  </si>
  <si>
    <t>FT24029005528798</t>
  </si>
  <si>
    <t>VPB2401290786409739</t>
  </si>
  <si>
    <t>FT24029949800891</t>
  </si>
  <si>
    <t>NHAN TU 15694737 TRACE 470634 ND CHAU QUOC NHIEN chuyen khoan-290124-17:54:52 470634</t>
  </si>
  <si>
    <t>FT24029628457682</t>
  </si>
  <si>
    <t>VPB2401290786458690</t>
  </si>
  <si>
    <t>FT24030913004222</t>
  </si>
  <si>
    <t>VPB2401300787196159</t>
  </si>
  <si>
    <t>FT24030631478860</t>
  </si>
  <si>
    <t>NHAN TU 9990101010123 TRACE 898729 ND 20585541673539653632</t>
  </si>
  <si>
    <t>FT24030201590212</t>
  </si>
  <si>
    <t>VPB2401300787607958</t>
  </si>
  <si>
    <t>FT24030044509033</t>
  </si>
  <si>
    <t>VPB2401300787723456</t>
  </si>
  <si>
    <t>FT24030359913604</t>
  </si>
  <si>
    <t>BBKL3D</t>
  </si>
  <si>
    <t>VPB2401300787977131</t>
  </si>
  <si>
    <t>FT24031323360022</t>
  </si>
  <si>
    <t>NHAN TU 0873320144 TRACE 334613 ND 20585898072059473920</t>
  </si>
  <si>
    <t>FT24031571294915</t>
  </si>
  <si>
    <t>VPB2401310788899524</t>
  </si>
  <si>
    <t>FT24031856754006\PNN</t>
  </si>
  <si>
    <t>partners ads t1 2024</t>
  </si>
  <si>
    <t>VPB2401310788944889</t>
  </si>
  <si>
    <t>FT24031136505240\BNK</t>
  </si>
  <si>
    <t>TOP2401310789235384 Nap tien dich vu:-0382662195-50000.0</t>
  </si>
  <si>
    <t>TOP2401310789235384</t>
  </si>
  <si>
    <t>FT24031879042996\BNK</t>
  </si>
  <si>
    <t>thanh toan phi bao hiem phonescreen 0382662195</t>
  </si>
  <si>
    <t>FT24031021507294</t>
  </si>
  <si>
    <t>VPB2401310789320195</t>
  </si>
  <si>
    <t>FT24032105790986</t>
  </si>
  <si>
    <t>VPB2402010790739988</t>
  </si>
  <si>
    <t>FT24033157097813</t>
  </si>
  <si>
    <t>VPB2402020792477266</t>
  </si>
  <si>
    <t>FT24036268742996</t>
  </si>
  <si>
    <t>VPB2402050796307614</t>
  </si>
  <si>
    <t>FT24036520068910</t>
  </si>
  <si>
    <t>VPB2402050796973059</t>
  </si>
  <si>
    <t>FT24037779301210</t>
  </si>
  <si>
    <t>NHAN TU 0501000213417 TRACE 053596 ND MBVCB.5265064507.053596.VO NGUYEN HO VY chuyen tien.CT tu 0501000213417 VO NGUYEN HO VY toi 121793555 Chau Quoc Nhien tai VPBANK</t>
  </si>
  <si>
    <t>FT24037723503977</t>
  </si>
  <si>
    <t>Con gui tien</t>
  </si>
  <si>
    <t>VPB2402060798873646</t>
  </si>
  <si>
    <t>FT24038955651293</t>
  </si>
  <si>
    <t>NHAN TU 011222220112 TRACE 575810 ND Cam on quy khach da su dung dich vu cua D2card moi thac mac xin vui long lien he 0968895050</t>
  </si>
  <si>
    <t>FT24038010915645\CMB</t>
  </si>
  <si>
    <t>CASHIN 01682662195 52955917401 3b79f5d9dab74b8ab99d6894f69923cd</t>
  </si>
  <si>
    <t>FT24038360588447</t>
  </si>
  <si>
    <t>VPB2402070800182478</t>
  </si>
  <si>
    <t>FT24038709977606</t>
  </si>
  <si>
    <t>VPB2402070800186111</t>
  </si>
  <si>
    <t>FT24038721063309</t>
  </si>
  <si>
    <t>VPB2402070800186921</t>
  </si>
  <si>
    <t>FT24038264630303</t>
  </si>
  <si>
    <t>VPB2402070800366791</t>
  </si>
  <si>
    <t>FT24045087993656</t>
  </si>
  <si>
    <t>VM283NGT</t>
  </si>
  <si>
    <t>VPB2402090802358639</t>
  </si>
  <si>
    <t>FT24045935376901</t>
  </si>
  <si>
    <t>VPB2402090802384488</t>
  </si>
  <si>
    <t>FT24045200715081\BNK</t>
  </si>
  <si>
    <t>TOP2402090802816076</t>
  </si>
  <si>
    <t>FT24045378432018</t>
  </si>
  <si>
    <t>VPB2402100803315695</t>
  </si>
  <si>
    <t>FT24045246216916</t>
  </si>
  <si>
    <t>VPB2402100803316412</t>
  </si>
  <si>
    <t>FT24045283624132\BNK</t>
  </si>
  <si>
    <t>CASHOUT 01682662195 53118122272 94589b50dd05472aa21bb39a5d3d8e84</t>
  </si>
  <si>
    <t>FT24045511450404</t>
  </si>
  <si>
    <t>VPB2402100803317075</t>
  </si>
  <si>
    <t>FT24045790374780\BNK</t>
  </si>
  <si>
    <t>CASHOUT 01682662195 53239488228 84abea144faf47fea598d392c151ad07</t>
  </si>
  <si>
    <t>FT24045777386096</t>
  </si>
  <si>
    <t>NHAN TU 0697044002694 TRACE 219682 ND Payout</t>
  </si>
  <si>
    <t>FT24045060708701</t>
  </si>
  <si>
    <t>VPB2402140805120554</t>
  </si>
  <si>
    <t>FT24046705909603</t>
  </si>
  <si>
    <t>VPB2402140805278438</t>
  </si>
  <si>
    <t>FT24046899002192</t>
  </si>
  <si>
    <t>NHAN TU 15694737 TRACE 738923 ND CHAU QUOC NHIEN chuyen khoan-150224-03:02:05 738923</t>
  </si>
  <si>
    <t>FT24046448172129</t>
  </si>
  <si>
    <t>thanh toan phi dich vu toa B2 phong 1007</t>
  </si>
  <si>
    <t>VPB2402150805545614</t>
  </si>
  <si>
    <t>FT24046068437025</t>
  </si>
  <si>
    <t>VPB2402150806276990</t>
  </si>
  <si>
    <t>FT24046071725012</t>
  </si>
  <si>
    <t>NHAN TU 0873320144 TRACE 983036 ND 20591423451015663616</t>
  </si>
  <si>
    <t>FT24046979996631</t>
  </si>
  <si>
    <t>VPB2402150806284486</t>
  </si>
  <si>
    <t>FT24047321205308</t>
  </si>
  <si>
    <t>NHAN TU 9704229201308785994 TRACE 364719 ND dem qua em dep lam</t>
  </si>
  <si>
    <t>FT24047548787080</t>
  </si>
  <si>
    <t>NHAN TU 0501000213417 TRACE 069733 ND MBVCB.5317052597.069733.VO NGUYEN HO VY chuyen tien.CT tu 0501000213417 VO NGUYEN HO VY toi 121793555 Chau Quoc Nhien tai VPBANK</t>
  </si>
  <si>
    <t>FT24047138540049</t>
  </si>
  <si>
    <t>K137TB</t>
  </si>
  <si>
    <t>VPB2402160806676612</t>
  </si>
  <si>
    <t>FT24047625020358</t>
  </si>
  <si>
    <t>S4925A</t>
  </si>
  <si>
    <t>VPB2402160806814610</t>
  </si>
  <si>
    <t>FT24050080636147</t>
  </si>
  <si>
    <t>VPB2402180808824764</t>
  </si>
  <si>
    <t>FT24050070532041</t>
  </si>
  <si>
    <t>NHAN TU 9704229201308785994 TRACE 356725 ND Phan Dang Duy chuyen tien tu Viettel Money</t>
  </si>
  <si>
    <t>FT24050916340619</t>
  </si>
  <si>
    <t>VPB2402180808918497</t>
  </si>
  <si>
    <t>FT24050016157320</t>
  </si>
  <si>
    <t>VPB2402190809106640</t>
  </si>
  <si>
    <t>FT24050021283750</t>
  </si>
  <si>
    <t>NHAN TU 151066666868 TRACE 796877 ND 20592733505581223936-190224-10:21:0 0 796877</t>
  </si>
  <si>
    <t>FT24050285053374</t>
  </si>
  <si>
    <t>Chi Ty gui tien lai thang 2</t>
  </si>
  <si>
    <t>VPB2402190809200632</t>
  </si>
  <si>
    <t>FT24050191915102</t>
  </si>
  <si>
    <t>VPB2402190809328090</t>
  </si>
  <si>
    <t>FT24050704679074</t>
  </si>
  <si>
    <t>VPB2402190809522887</t>
  </si>
  <si>
    <t>FT24050335068851</t>
  </si>
  <si>
    <t>VPB2402190809526277</t>
  </si>
  <si>
    <t>FT24050600805007\I2B</t>
  </si>
  <si>
    <t>Thanh toan hoa don tra sau PB18010097769 157982.0</t>
  </si>
  <si>
    <t>BIL2402190809682550</t>
  </si>
  <si>
    <t>FT24050273820456\PNN</t>
  </si>
  <si>
    <t>VPB2402190809910146</t>
  </si>
  <si>
    <t>FT24050059313050</t>
  </si>
  <si>
    <t>VPB2402190809911639</t>
  </si>
  <si>
    <t>FT24051978947797</t>
  </si>
  <si>
    <t>VPB2402200810167465</t>
  </si>
  <si>
    <t>FT24052243771094</t>
  </si>
  <si>
    <t>NHAN TU 011222220112 TRACE 456873 ND Cam on quy khach da su dung dich vu cua D2card moi thac mac xin vui long lien he 0968895050</t>
  </si>
  <si>
    <t>FT24052793216870</t>
  </si>
  <si>
    <t>VPB2402210811815529</t>
  </si>
  <si>
    <t>FT24053325336830</t>
  </si>
  <si>
    <t>VPB2402220812172327</t>
  </si>
  <si>
    <t>FT24054219194310</t>
  </si>
  <si>
    <t>VPB2402220813124885</t>
  </si>
  <si>
    <t>FT24054907112890</t>
  </si>
  <si>
    <t>NHAN TU 6150170685 TRACE 583781 ND CHAU CONG NHAN Chuyen tien</t>
  </si>
  <si>
    <t>FT24054343989519</t>
  </si>
  <si>
    <t>VPB2402230813449631</t>
  </si>
  <si>
    <t>FT24054830899902</t>
  </si>
  <si>
    <t>VPB2402230813454308</t>
  </si>
  <si>
    <t>FT24054375804618</t>
  </si>
  <si>
    <t>VPB2402230813455303</t>
  </si>
  <si>
    <t>FT24054169016601</t>
  </si>
  <si>
    <t>VPB2402230813988868</t>
  </si>
  <si>
    <t>FT24057675757756</t>
  </si>
  <si>
    <t>VPB2402240815046483</t>
  </si>
  <si>
    <t>FT24057289662991</t>
  </si>
  <si>
    <t>VPB2402250815401572</t>
  </si>
  <si>
    <t>FT24057254237677</t>
  </si>
  <si>
    <t>VPB2402250815512256</t>
  </si>
  <si>
    <t>FT24057902440009</t>
  </si>
  <si>
    <t>VPB2402250815635113</t>
  </si>
  <si>
    <t>FT24057782344372</t>
  </si>
  <si>
    <t>VPB2402250815639086</t>
  </si>
  <si>
    <t>FT24057130020934</t>
  </si>
  <si>
    <t>91VP9K</t>
  </si>
  <si>
    <t>VPB2402250815741023</t>
  </si>
  <si>
    <t>FT24057323011585</t>
  </si>
  <si>
    <t>NHAN TU 9990101010123 TRACE 884928 ND 20595255797439066112</t>
  </si>
  <si>
    <t>FT24057297156018</t>
  </si>
  <si>
    <t>VPB2402260816169797</t>
  </si>
  <si>
    <t>FT24057602208440</t>
  </si>
  <si>
    <t>NHAN TU 0697044002694 TRACE 232237 ND Payout</t>
  </si>
  <si>
    <t>FT24057494017487</t>
  </si>
  <si>
    <t>VPB2402260816530230</t>
  </si>
  <si>
    <t>FT24057903857630</t>
  </si>
  <si>
    <t>VPB2402260816740608</t>
  </si>
  <si>
    <t>FT24057907084966</t>
  </si>
  <si>
    <t>NHAN TU 15694737 TRACE 407008 ND CHAU QUOC NHIEN chuyen khoan-260224-18:13:54 407008</t>
  </si>
  <si>
    <t>FT24057054066660</t>
  </si>
  <si>
    <t>FT24058602639841</t>
  </si>
  <si>
    <t>VPB2402270817197021</t>
  </si>
  <si>
    <t>FT24058806717376</t>
  </si>
  <si>
    <t>NHAN TU 0873320144 TRACE 694040 ND 20595749385080598528</t>
  </si>
  <si>
    <t>FT24058430260239</t>
  </si>
  <si>
    <t>VPB2402270817944661</t>
  </si>
  <si>
    <t>FT24058035756578</t>
  </si>
  <si>
    <t>RG697G</t>
  </si>
  <si>
    <t>VPB2402270817951777</t>
  </si>
  <si>
    <t>FT24059920500931</t>
  </si>
  <si>
    <t>VPB2402280818928192</t>
  </si>
  <si>
    <t>FT24059507838057</t>
  </si>
  <si>
    <t>VPB2402280819068414</t>
  </si>
  <si>
    <t>FT24060902007163\PNN</t>
  </si>
  <si>
    <t>CHAU THACH NHUY chuyen tien partner T2</t>
  </si>
  <si>
    <t>VPB2402290819605076</t>
  </si>
  <si>
    <t>FT24060059961770</t>
  </si>
  <si>
    <t>VPB2402290820348650</t>
  </si>
  <si>
    <t>FT24062003543188</t>
  </si>
  <si>
    <t>NHAN TU 151066666868 TRACE 844952 ND 20597108579595255808-020324-12:07:1 6 844952</t>
  </si>
  <si>
    <t>FT24062009306653</t>
  </si>
  <si>
    <t>VPB2403020822175041</t>
  </si>
  <si>
    <t>FT24062391517004</t>
  </si>
  <si>
    <t>VPB2403020822177624</t>
  </si>
  <si>
    <t>FT24062026925097</t>
  </si>
  <si>
    <t>VPB2403020822563960</t>
  </si>
  <si>
    <t>FT24064957633916\CMB</t>
  </si>
  <si>
    <t>CASHIN 01682662195 54222260721 eaa3c8bc53244f6dad0d5492297cc9b9</t>
  </si>
  <si>
    <t>FT24064898276021</t>
  </si>
  <si>
    <t>VPB2403030823509531</t>
  </si>
  <si>
    <t>FT24065202920792</t>
  </si>
  <si>
    <t>NHAN TU 107003013207 TRACE 069883 ND NGUYEN HUY DONG chuyen tien</t>
  </si>
  <si>
    <t>FT24065145392043\CMB</t>
  </si>
  <si>
    <t>CASHIN 01682662195 54345340900 43dae7d8fb6942b48feb4ce0458cf4c6</t>
  </si>
  <si>
    <t>FT24065229711708</t>
  </si>
  <si>
    <t>NHAN TU 151066666868 TRACE 344108 ND 20598320520738926592-050324-20:19:2 2 344108</t>
  </si>
  <si>
    <t>FT24065850001490</t>
  </si>
  <si>
    <t>VPB2403050826529005</t>
  </si>
  <si>
    <t>FT24066156756784</t>
  </si>
  <si>
    <t>VPB2403060827840482</t>
  </si>
  <si>
    <t>FT24066209509134</t>
  </si>
  <si>
    <t>NW8BJH</t>
  </si>
  <si>
    <t>VPB2403060827862549</t>
  </si>
  <si>
    <t>FT24066063666487</t>
  </si>
  <si>
    <t>VPB2403060828007875</t>
  </si>
  <si>
    <t>FT24067005030805</t>
  </si>
  <si>
    <t>VPB2403070829080085</t>
  </si>
  <si>
    <t>FT24068183606228</t>
  </si>
  <si>
    <t>NHAN TU 6150170685 TRACE 804761 ND CHAU CONG NHAN Chuyen tien</t>
  </si>
  <si>
    <t>FT24068567902796\CMB</t>
  </si>
  <si>
    <t>CASHIN 01682662195 54537768554 872f992b5d5649a3968bbaa6a66bbd4e</t>
  </si>
  <si>
    <t>FT24068513958545</t>
  </si>
  <si>
    <t>VNQR2403080830108809</t>
  </si>
  <si>
    <t>FT24068854497008\BNK</t>
  </si>
  <si>
    <t>CASHOUT 01682662195 54537462950 e6ac16485cf447ecbfe63de7c4123b90</t>
  </si>
  <si>
    <t>FT24068397726003</t>
  </si>
  <si>
    <t>VPB2403080830117130</t>
  </si>
  <si>
    <t>FT24068033820096</t>
  </si>
  <si>
    <t>VPB2403080830503962</t>
  </si>
  <si>
    <t>FT24069059176042</t>
  </si>
  <si>
    <t>VPB2403080830685689</t>
  </si>
  <si>
    <t>FT24069077473005</t>
  </si>
  <si>
    <t>VPB2403090830928681</t>
  </si>
  <si>
    <t>FT24069460007525</t>
  </si>
  <si>
    <t>VPB2403090830994602</t>
  </si>
  <si>
    <t>FT24069803063087</t>
  </si>
  <si>
    <t>NHAN TU 151066666868 TRACE 129450 ND 20599646461849636864-090324-12:08:3 8 129450</t>
  </si>
  <si>
    <t>FT24069567050520</t>
  </si>
  <si>
    <t>VPB2403090831195363</t>
  </si>
  <si>
    <t>FT24071210860797</t>
  </si>
  <si>
    <t>NHAN TU 9021110817107 TRACE 191864 ND Nguyen Hoang Nhieu chuyen tien tu Timo</t>
  </si>
  <si>
    <t>FT24071410360706\BNK</t>
  </si>
  <si>
    <t>TOP2403100832158069</t>
  </si>
  <si>
    <t>FT24071990059251</t>
  </si>
  <si>
    <t>VPB2403100832179321</t>
  </si>
  <si>
    <t>FT24071654905565</t>
  </si>
  <si>
    <t>VPB2403100832777723</t>
  </si>
  <si>
    <t>FT24071708748014</t>
  </si>
  <si>
    <t>VPB2403110833132441</t>
  </si>
  <si>
    <t>FT24071648409643</t>
  </si>
  <si>
    <t>NHAN TU 0000999624006 TRACE 066835 ND 20600318541561135104</t>
  </si>
  <si>
    <t>FT24071004181135</t>
  </si>
  <si>
    <t>VPB2403110833181484</t>
  </si>
  <si>
    <t>FT24071180502560</t>
  </si>
  <si>
    <t>VPB2403110833274667</t>
  </si>
  <si>
    <t>FT24071019006876</t>
  </si>
  <si>
    <t>VPB2403110833499368</t>
  </si>
  <si>
    <t>FT24071870714891</t>
  </si>
  <si>
    <t>VPB2403110833704925</t>
  </si>
  <si>
    <t>FT24071918479207\CMB</t>
  </si>
  <si>
    <t>CASHIN 01682662195 54713886590 717b11d38b8f4c26aa5ebe6e204906f3</t>
  </si>
  <si>
    <t>FT24071397352615</t>
  </si>
  <si>
    <t>NHAN TU 9990101010123 TRACE 543573 ND 20600430172159000576</t>
  </si>
  <si>
    <t>FT24071814020566</t>
  </si>
  <si>
    <t>VPB2403110833793755</t>
  </si>
  <si>
    <t>FT24071871893688</t>
  </si>
  <si>
    <t>VPB2403110833794767</t>
  </si>
  <si>
    <t>FT24071004190074\CMB</t>
  </si>
  <si>
    <t>CASHIN 01682662195 54719929484 dbcfc9fe2a394c9ba498006d42c7cf86</t>
  </si>
  <si>
    <t>FT24071743471170</t>
  </si>
  <si>
    <t>VPB2403110834330367</t>
  </si>
  <si>
    <t>FT24071415570851</t>
  </si>
  <si>
    <t>VPB2403110834333714</t>
  </si>
  <si>
    <t>FT24072844052334\CMB</t>
  </si>
  <si>
    <t>CASHIN 01682662195 54754580701 44f8a42b1935458895dd428f8bb1b0ec</t>
  </si>
  <si>
    <t>FT24073176686248</t>
  </si>
  <si>
    <t>NHAN TU 000006034315 TRACE 336669 ND 20601074486598164480</t>
  </si>
  <si>
    <t>FT24073171623431</t>
  </si>
  <si>
    <t>VPB2403130835903622</t>
  </si>
  <si>
    <t>FT24073267760501</t>
  </si>
  <si>
    <t>VPB2403130835930488</t>
  </si>
  <si>
    <t>FT24073155002017\CMB</t>
  </si>
  <si>
    <t>CASHIN 01682662195 54819420409 016b69b39da9439eaa1ae5804f979471</t>
  </si>
  <si>
    <t>FT24073304430774</t>
  </si>
  <si>
    <t>VPB2403130836413434</t>
  </si>
  <si>
    <t>FT24073196971828</t>
  </si>
  <si>
    <t>VPB2403130836415200</t>
  </si>
  <si>
    <t>FT24074710164048</t>
  </si>
  <si>
    <t>NGUYEN THI TUYEN 20601406000988028928</t>
  </si>
  <si>
    <t>020097041503140841552024GTGQ364427</t>
  </si>
  <si>
    <t>FT24074599974295</t>
  </si>
  <si>
    <t>VPB2403140837108850</t>
  </si>
  <si>
    <t>FT24074562156020</t>
  </si>
  <si>
    <t>VPB2403140837430660</t>
  </si>
  <si>
    <t>FT24074521011041</t>
  </si>
  <si>
    <t>NVGN83</t>
  </si>
  <si>
    <t>VPB2403140837551905</t>
  </si>
  <si>
    <t>FT24074951278058\BNK</t>
  </si>
  <si>
    <t>CASHOUT 01682662195 54901772546 6550873d130f4b91aed53fd6aa9ca8a4</t>
  </si>
  <si>
    <t>FT24074603817896</t>
  </si>
  <si>
    <t>VPB2403140837794819</t>
  </si>
  <si>
    <t>FT24075801399582</t>
  </si>
  <si>
    <t>VPB2403150838299952</t>
  </si>
  <si>
    <t>FT24075002404384</t>
  </si>
  <si>
    <t>VPB2403150838463756</t>
  </si>
  <si>
    <t>FT24075007006515</t>
  </si>
  <si>
    <t>VPB2403150838927452</t>
  </si>
  <si>
    <t>FT24075129361101</t>
  </si>
  <si>
    <t>VPB2403150838936161</t>
  </si>
  <si>
    <t>FT24076192702659\I2B</t>
  </si>
  <si>
    <t>Thanh toan hoa don tra sau PB18010097769 91673.0</t>
  </si>
  <si>
    <t>BIL2403160839476781</t>
  </si>
  <si>
    <t>FT24076043450907</t>
  </si>
  <si>
    <t>NHAN TU 19029625567105 TRACE 586637 ND . FT24076204468310</t>
  </si>
  <si>
    <t>FT24076354586850</t>
  </si>
  <si>
    <t>CA2QR1</t>
  </si>
  <si>
    <t>VPB2403160839973005</t>
  </si>
  <si>
    <t>FT24076039145075</t>
  </si>
  <si>
    <t>VPB2403160839975422</t>
  </si>
  <si>
    <t>FT24076944508085</t>
  </si>
  <si>
    <t>VPB2403160840022016</t>
  </si>
  <si>
    <t>FT24078971000421</t>
  </si>
  <si>
    <t>VPB2403170841440195</t>
  </si>
  <si>
    <t>FT24079008622635</t>
  </si>
  <si>
    <t>NHAN TU 19033237410013 TRACE 260554 ND FT24079088340660</t>
  </si>
  <si>
    <t>FT24079237803770</t>
  </si>
  <si>
    <t>Chi Ty gui tien lai thang 3</t>
  </si>
  <si>
    <t>VPB2403190843263395</t>
  </si>
  <si>
    <t>FT24079809688450</t>
  </si>
  <si>
    <t>VPB2403190843372249</t>
  </si>
  <si>
    <t>FT24079312843631</t>
  </si>
  <si>
    <t>chuyen tien</t>
  </si>
  <si>
    <t>VPB2403190843412773</t>
  </si>
  <si>
    <t>FT24079569066175</t>
  </si>
  <si>
    <t>VPB2403190843567743</t>
  </si>
  <si>
    <t>FT24081920991719</t>
  </si>
  <si>
    <t>NHAN TU 0935656152 TRACE 016658 ND 20603945435378237440</t>
  </si>
  <si>
    <t>FT24081073005778</t>
  </si>
  <si>
    <t>NHAN TU 15694737 TRACE 268013 ND CHAU QUOC NHIEN chuyen khoan-210324-08:53:47 268013</t>
  </si>
  <si>
    <t>FT24081119966568\PNN</t>
  </si>
  <si>
    <t>VPB2403210845216420</t>
  </si>
  <si>
    <t>FT24081606076314</t>
  </si>
  <si>
    <t>VPB2403210845217152</t>
  </si>
  <si>
    <t>FT24081919606727</t>
  </si>
  <si>
    <t>VPB2403210845241357</t>
  </si>
  <si>
    <t>FT24081642367147</t>
  </si>
  <si>
    <t>VPB2403210845854166</t>
  </si>
  <si>
    <t>FT24081299530717</t>
  </si>
  <si>
    <t>NHAN TU 0697044105922 TRACE 134546 ND TU HUU NGUYEN PHAT chuyen tien qua MoMo</t>
  </si>
  <si>
    <t>FT24082283100802</t>
  </si>
  <si>
    <t>VPB2403220846551027</t>
  </si>
  <si>
    <t>FT24083540234228</t>
  </si>
  <si>
    <t>VPB2403230847910393</t>
  </si>
  <si>
    <t>FT24085290093651</t>
  </si>
  <si>
    <t>VPB2403230848530086</t>
  </si>
  <si>
    <t>FT24085506745191</t>
  </si>
  <si>
    <t>VPB2403240848996270</t>
  </si>
  <si>
    <t>FT24085209983347</t>
  </si>
  <si>
    <t>VPB2403240849482905</t>
  </si>
  <si>
    <t>FT24085936601095</t>
  </si>
  <si>
    <t>VPB2403250849960404</t>
  </si>
  <si>
    <t>FT24085845818193</t>
  </si>
  <si>
    <t>VPB2403250850574492</t>
  </si>
  <si>
    <t>FT24086930064868</t>
  </si>
  <si>
    <t>NHAN TU 19028316270010 TRACE 432785 ND TRAN HAI HA chuyen FT24086567518111</t>
  </si>
  <si>
    <t>FT24086876803407</t>
  </si>
  <si>
    <t>FT24089484069408</t>
  </si>
  <si>
    <t>NHAN TU 392704070000097 TRACE 531930 ND Chuyen tien lien ngan hang</t>
  </si>
  <si>
    <t>FT24089730534220</t>
  </si>
  <si>
    <t>VPB2403290855491062</t>
  </si>
  <si>
    <t>FT24089381027761</t>
  </si>
  <si>
    <t>VPB2403290855511008</t>
  </si>
  <si>
    <t>FT24089690680497</t>
  </si>
  <si>
    <t>NHAN TU 392704070000097 TRACE 536705 ND Chuyen tien lien ngan hang</t>
  </si>
  <si>
    <t>FT24089073045725</t>
  </si>
  <si>
    <t>VPB2403290855527708</t>
  </si>
  <si>
    <t>FT24089069605255</t>
  </si>
  <si>
    <t>VPB2403290855534119</t>
  </si>
  <si>
    <t>FT24089233180131</t>
  </si>
  <si>
    <t>VPB2403290855557680</t>
  </si>
  <si>
    <t>FT24089105521407</t>
  </si>
  <si>
    <t>VPB2403290855568897</t>
  </si>
  <si>
    <t>FT24089930159705</t>
  </si>
  <si>
    <t>FT24089804230536</t>
  </si>
  <si>
    <t>VPB2403290855732406</t>
  </si>
  <si>
    <t>FT24089189800250</t>
  </si>
  <si>
    <t>VPB2403290855871645</t>
  </si>
  <si>
    <t>FT24090745698072</t>
  </si>
  <si>
    <t>GA33LF</t>
  </si>
  <si>
    <t>VPB2403300856815468</t>
  </si>
  <si>
    <t>FT24091027078174</t>
  </si>
  <si>
    <t>FZB8K3</t>
  </si>
  <si>
    <t>VPB2403310857677892</t>
  </si>
  <si>
    <t>FT24091641290407</t>
  </si>
  <si>
    <t>VPB2403310857911354</t>
  </si>
  <si>
    <t>FT24092980357662</t>
  </si>
  <si>
    <t>VPB2403310858221664</t>
  </si>
  <si>
    <t>FT24092947060305</t>
  </si>
  <si>
    <t>NHAN TU 1080023880770000 TRACE 480718 ND 20607958083419832320</t>
  </si>
  <si>
    <t>FT24092782090383</t>
  </si>
  <si>
    <t>ch 626</t>
  </si>
  <si>
    <t>VPB2404010858605613</t>
  </si>
  <si>
    <t>FT24092939013954\PNN</t>
  </si>
  <si>
    <t>ads CTV t3 2024</t>
  </si>
  <si>
    <t>VPB2404010858946322</t>
  </si>
  <si>
    <t>FT24092752368208</t>
  </si>
  <si>
    <t>VPB2404010858947880</t>
  </si>
  <si>
    <t>FT24092051131440\CMB</t>
  </si>
  <si>
    <t>CASHIN 01682662195 55892957463 982cd2fab8e94390a0e2ae435b123332</t>
  </si>
  <si>
    <t>FT24092074228337\CMB</t>
  </si>
  <si>
    <t>CASHIN 01682662195 55892611439 24e3021c008a48eab3c27f123f2698df</t>
  </si>
  <si>
    <t>FT24094050259570</t>
  </si>
  <si>
    <t>VPB2404020860912963</t>
  </si>
  <si>
    <t>FT24094684520042</t>
  </si>
  <si>
    <t>VPB2404030861921346</t>
  </si>
  <si>
    <t>FT24094672075081</t>
  </si>
  <si>
    <t>NHAN TU 19032818722028 TRACE 316332 ND NGUYEN PHUONG THUY chuyen 20608814683757678592 FT24094311020309</t>
  </si>
  <si>
    <t>FT24094572423473\CMB</t>
  </si>
  <si>
    <t>CASHIN 01682662195 56009997925 9306e2636f6c4d0e9eca55fac2b265ff</t>
  </si>
  <si>
    <t>FT24095101272882</t>
  </si>
  <si>
    <t>NHAN TU 0000999624006 TRACE 419684 ND 20609119741340626944</t>
  </si>
  <si>
    <t>FT24095574505089\CMB</t>
  </si>
  <si>
    <t>CASHIN 01682662195 56062277122 74ce31c60f2649168661deb38c4d818d</t>
  </si>
  <si>
    <t>FT24095120299098</t>
  </si>
  <si>
    <t>NHAN TU 1199933188 TRACE 360453 ND 20609142439912624128</t>
  </si>
  <si>
    <t>FT24095167404747</t>
  </si>
  <si>
    <t>VPB2404040863246554</t>
  </si>
  <si>
    <t>FT24095904190000</t>
  </si>
  <si>
    <t>VPB2404040863266670</t>
  </si>
  <si>
    <t>FT24095326410296</t>
  </si>
  <si>
    <t>VPB2404040863460951</t>
  </si>
  <si>
    <t>FT24096170811294</t>
  </si>
  <si>
    <t>NHAN TU 151066666868 TRACE 644931 ND 20609218784366014464-040424-22:05:1 0 644931</t>
  </si>
  <si>
    <t>FT24096201098582</t>
  </si>
  <si>
    <t>VPB2404040863663850</t>
  </si>
  <si>
    <t>FT24096140007045</t>
  </si>
  <si>
    <t>VPB2404050864493605</t>
  </si>
  <si>
    <t>FT24096515904109\CMB</t>
  </si>
  <si>
    <t>CASHOUT 01682662195 56147856283 d7e6b2b75731414abb58ce061d9a2463</t>
  </si>
  <si>
    <t>FT24096639242850</t>
  </si>
  <si>
    <t>VPB2404050865000326</t>
  </si>
  <si>
    <t>FT24097142250105</t>
  </si>
  <si>
    <t>NHAN TU 107879133185 TRACE 570056 ND NGUYEN MANH CUONG Chuyen tien</t>
  </si>
  <si>
    <t>FT24097179872956</t>
  </si>
  <si>
    <t>VPB2404050865136774</t>
  </si>
  <si>
    <t>FT24097720100101</t>
  </si>
  <si>
    <t>VPB2404050865144444</t>
  </si>
  <si>
    <t>FT24097383887403</t>
  </si>
  <si>
    <t>VPB2404060866019255</t>
  </si>
  <si>
    <t>FT24097900789415</t>
  </si>
  <si>
    <t>VPB2404060866053509</t>
  </si>
  <si>
    <t>FT24099070397975</t>
  </si>
  <si>
    <t>NHAN TU 1199933188 TRACE 903803 ND 20610232078837067776</t>
  </si>
  <si>
    <t>FT24099405071450</t>
  </si>
  <si>
    <t>VPB2404070867173932</t>
  </si>
  <si>
    <t>FT24099958600761\BNK</t>
  </si>
  <si>
    <t>TOP2404080868344453</t>
  </si>
  <si>
    <t>FT24099052200028\HQV</t>
  </si>
  <si>
    <t>NGUYEN DUY BAO chuyen tien</t>
  </si>
  <si>
    <t>6516827/NGUYEN DUY BAO</t>
  </si>
  <si>
    <t>VN0010192</t>
  </si>
  <si>
    <t>VPB2404080868422559</t>
  </si>
  <si>
    <t>FT24099031047298</t>
  </si>
  <si>
    <t>VPB2404080868431134</t>
  </si>
  <si>
    <t>FT24099598840549</t>
  </si>
  <si>
    <t>VPB2404080868435273</t>
  </si>
  <si>
    <t>FT24100411099754</t>
  </si>
  <si>
    <t>VPB2404090869162831</t>
  </si>
  <si>
    <t>FT24100889805609</t>
  </si>
  <si>
    <t>VPB2404090869171717</t>
  </si>
  <si>
    <t>FT24100154540923</t>
  </si>
  <si>
    <t>VPB2404090869178062</t>
  </si>
  <si>
    <t>FT24100600250190</t>
  </si>
  <si>
    <t>NHAN TU 0126101999397979 TRACE 322012 ND CHAU DUC TRONG chuyen tien</t>
  </si>
  <si>
    <t>FT24100838299891</t>
  </si>
  <si>
    <t>NHAN TU 0126101999397979 TRACE 323392 ND CHAU DUC TRONG chuyen tien</t>
  </si>
  <si>
    <t>FT24100227516297\BNK</t>
  </si>
  <si>
    <t>TOP2404090869668677 Nap tien dich vu:-0382662195-30000.0</t>
  </si>
  <si>
    <t>TOP2404090869668677</t>
  </si>
  <si>
    <t>FT24100080718380</t>
  </si>
  <si>
    <t>NHAN TU 9990101010123 TRACE 073214 ND 20610985685518589952</t>
  </si>
  <si>
    <t>FT24100310225257</t>
  </si>
  <si>
    <t>VPB2404090870086936</t>
  </si>
  <si>
    <t>FT24101272689199</t>
  </si>
  <si>
    <t>VPB2404100871537199</t>
  </si>
  <si>
    <t>FT24102773762692</t>
  </si>
  <si>
    <t>VPB2404110872844963</t>
  </si>
  <si>
    <t>FT24102462876491</t>
  </si>
  <si>
    <t>VNQR2404110873000535</t>
  </si>
  <si>
    <t>FT24102863510422</t>
  </si>
  <si>
    <t>NPS6869 0401721240411211408</t>
  </si>
  <si>
    <t>VPB2404110873028427</t>
  </si>
  <si>
    <t>FT24103663085110</t>
  </si>
  <si>
    <t>VPB2404120873616139</t>
  </si>
  <si>
    <t>FT24103001895892</t>
  </si>
  <si>
    <t>VPB2404120874018911</t>
  </si>
  <si>
    <t>FT24103552140416</t>
  </si>
  <si>
    <t>VPB2404120874173828</t>
  </si>
  <si>
    <t>FT24104213017721</t>
  </si>
  <si>
    <t>NHAN TU 15694737 TRACE 194100 ND CHAU QUOC NHIEN chuyen khoan-130424-12:51:54 194100</t>
  </si>
  <si>
    <t>FT24104202969070</t>
  </si>
  <si>
    <t>VPB2404130874950534</t>
  </si>
  <si>
    <t>FT24106002150952</t>
  </si>
  <si>
    <t>NHAN TU 1199933188 TRACE 215876 ND 20612695478546956288</t>
  </si>
  <si>
    <t>FT24106693095783</t>
  </si>
  <si>
    <t>VPB2404140876030425</t>
  </si>
  <si>
    <t>FT24106048088148</t>
  </si>
  <si>
    <t>NHAN TU 0000999624006 TRACE 235673 ND 20613031886700437504</t>
  </si>
  <si>
    <t>Outward Loc Clearing Payment</t>
  </si>
  <si>
    <t>FT24106CI2B14201</t>
  </si>
  <si>
    <t>VPB2404150877054053</t>
  </si>
  <si>
    <t>CITAD</t>
  </si>
  <si>
    <t>FT24106637822965</t>
  </si>
  <si>
    <t>NHAN TU 392704070000097 TRACE 438849 ND Chuyen tien lien ngan hang</t>
  </si>
  <si>
    <t>FT24106271836390</t>
  </si>
  <si>
    <t>VPB2404150877066738</t>
  </si>
  <si>
    <t>FT24106088708389</t>
  </si>
  <si>
    <t>Can ho B2 1007 dong phi</t>
  </si>
  <si>
    <t>VPB2404150877068839</t>
  </si>
  <si>
    <t>FT24106763635461</t>
  </si>
  <si>
    <t>VPB2404150877451532</t>
  </si>
  <si>
    <t>FT24106329893134</t>
  </si>
  <si>
    <t>NHAN TU 0111534587 TRACE 414160 ND Chuyen khoan Chau Quoc Nhien k21</t>
  </si>
  <si>
    <t>FT24106060720462</t>
  </si>
  <si>
    <t>VPB2404150877668130</t>
  </si>
  <si>
    <t>FT24106098148265</t>
  </si>
  <si>
    <t>VPB2404150877741509</t>
  </si>
  <si>
    <t>FT24108026707009</t>
  </si>
  <si>
    <t>VPB2404170880310761</t>
  </si>
  <si>
    <t>FT24110869833291</t>
  </si>
  <si>
    <t>VPB2404180881150710</t>
  </si>
  <si>
    <t>FT24110271204495</t>
  </si>
  <si>
    <t>VPB2404180881244815</t>
  </si>
  <si>
    <t>FT24110969710558</t>
  </si>
  <si>
    <t>VPB2404190882220425</t>
  </si>
  <si>
    <t>FT24110625300523\WUC</t>
  </si>
  <si>
    <t>Hoan tien CTKM chi tieu thau chi nhan hoan tien ky T12.2023 HD/STK 121793555 theo ticket 4400070720 ngay 19.04.2024</t>
  </si>
  <si>
    <t>VN0010009</t>
  </si>
  <si>
    <t>FTL240419055452000000000777721101</t>
  </si>
  <si>
    <t>FT24110100247506</t>
  </si>
  <si>
    <t>VPB2404190882593424</t>
  </si>
  <si>
    <t>FT24110901263909</t>
  </si>
  <si>
    <t>VPB2404190882632683</t>
  </si>
  <si>
    <t>FT24110020909435</t>
  </si>
  <si>
    <t>VPB2404190882718529</t>
  </si>
  <si>
    <t>FT24111002671083</t>
  </si>
  <si>
    <t>NHAN TU 0111551961 TRACE 769837 ND Chuyen khoan Chau Quoc Nhien T85</t>
  </si>
  <si>
    <t>FT24111651570377</t>
  </si>
  <si>
    <t>VPB2404200883568972</t>
  </si>
  <si>
    <t>FT24111009878228</t>
  </si>
  <si>
    <t>VPB2404200883687309</t>
  </si>
  <si>
    <t>FT24111404359994</t>
  </si>
  <si>
    <t>NHAN TU 0531002487460 TRACE 431702 ND MBVCB.5808771696.431702.NGUYEN DAC BANG chuyen tien.CT tu 0531002487460 NGUYEN DAC BANG toi 121793555 Chau Quoc Nhien tai VPBANK</t>
  </si>
  <si>
    <t>FT24111850279605</t>
  </si>
  <si>
    <t>VPB2404200883835127</t>
  </si>
  <si>
    <t>FT24111200344443</t>
  </si>
  <si>
    <t>VPB2404200884082350</t>
  </si>
  <si>
    <t>FT24113090235423</t>
  </si>
  <si>
    <t>VPB2404200884174955</t>
  </si>
  <si>
    <t>FT24113920213000</t>
  </si>
  <si>
    <t>NHAN TU 19036738831018 TRACE 353428 ND Hoan tien coc nha 1007 hacom FT24113221504519</t>
  </si>
  <si>
    <t>FT24113005877123</t>
  </si>
  <si>
    <t>VPB2404210884781551</t>
  </si>
  <si>
    <t>FT24113320094067</t>
  </si>
  <si>
    <t>VPB2404210884837046</t>
  </si>
  <si>
    <t>FT24113068066530</t>
  </si>
  <si>
    <t>Chuyen khoan</t>
  </si>
  <si>
    <t>VPB2404210884840079</t>
  </si>
  <si>
    <t>FT24113120405059</t>
  </si>
  <si>
    <t>Chi ty chuyen tien lai thang 4</t>
  </si>
  <si>
    <t>VPB2404210884841120</t>
  </si>
  <si>
    <t>FT24113015082515</t>
  </si>
  <si>
    <t>VPB2404210884844652</t>
  </si>
  <si>
    <t>FT24113689769247</t>
  </si>
  <si>
    <t>VPB2404210885049489</t>
  </si>
  <si>
    <t>FT24113026365003</t>
  </si>
  <si>
    <t>VPB2404210885084984</t>
  </si>
  <si>
    <t>FT24113198890040</t>
  </si>
  <si>
    <t>VPB2404210885263284</t>
  </si>
  <si>
    <t>FT24113034074909</t>
  </si>
  <si>
    <t>VPB2404220885818073</t>
  </si>
  <si>
    <t>FT24113995254092</t>
  </si>
  <si>
    <t>VPB2404220886492921</t>
  </si>
  <si>
    <t>FT24114047721968</t>
  </si>
  <si>
    <t>NHAN TU 392704070000097 TRACE 783507 ND Chuyen tien lien ngan hang</t>
  </si>
  <si>
    <t>FT24114695138176</t>
  </si>
  <si>
    <t>NHAN TU 15694737 TRACE 627744 ND CHAU QUOC NHIEN chuyen khoan-230424-05:43:33 627744</t>
  </si>
  <si>
    <t>FT24114770311052</t>
  </si>
  <si>
    <t>VPB2404230886883156</t>
  </si>
  <si>
    <t>FT24114898090566</t>
  </si>
  <si>
    <t>NHAN TU 7510160807 TRACE 437972 ND Chuyen khoan Chau Quoc Nhien FT24114081433187</t>
  </si>
  <si>
    <t>FT24115707978629</t>
  </si>
  <si>
    <t>VPB2404230887979685</t>
  </si>
  <si>
    <t>FT24115776728337</t>
  </si>
  <si>
    <t>VPB2404240888276261</t>
  </si>
  <si>
    <t>FT24115507900048</t>
  </si>
  <si>
    <t>VPB2404240888533483</t>
  </si>
  <si>
    <t>FT24115023914628</t>
  </si>
  <si>
    <t>NHAN TU 0000999624006 TRACE 348718 ND 20616415994863616000</t>
  </si>
  <si>
    <t>FT24115213312266</t>
  </si>
  <si>
    <t>NHAN TU 0126101999397979 TRACE 522131 ND CHAU DUC TRONG chuyen tien</t>
  </si>
  <si>
    <t>FT24115221333056</t>
  </si>
  <si>
    <t>VPB2404240889116065</t>
  </si>
  <si>
    <t>FT24115175036870</t>
  </si>
  <si>
    <t>VPB2404240889181415</t>
  </si>
  <si>
    <t>FT24115201707540</t>
  </si>
  <si>
    <t>VPB2404240889184030</t>
  </si>
  <si>
    <t>FT24116473441877\CMB</t>
  </si>
  <si>
    <t>CASHIN 01682662195 57312733882 37fd1f4c9b2a475d9530afe0e336ceba</t>
  </si>
  <si>
    <t>FT24118818908329</t>
  </si>
  <si>
    <t>NHAN TU 1042436495 TRACE 154624 ND IBVCB.5862895109.154624.20617384470 038429696.CT tu 1042436495 TRAN THI TRA MY toi 121793555 Chau Quoc Nhien tai VPBANK</t>
  </si>
  <si>
    <t>FT24118136032791</t>
  </si>
  <si>
    <t>FT24122120174246\PNN</t>
  </si>
  <si>
    <t>VPB2405010896813931</t>
  </si>
  <si>
    <t>FT24122534087880</t>
  </si>
  <si>
    <t>VPB2405010896814875</t>
  </si>
  <si>
    <t>FT24122051340096</t>
  </si>
  <si>
    <t>NHAN TU 15694737 TRACE 436926 ND CHAU QUOC NHIEN CHUYEN KHOAN-010524-10:59:16 436926</t>
  </si>
  <si>
    <t>FT24122243117724\CMB</t>
  </si>
  <si>
    <t>CASHIN 01682662195 57670509928 7bd17e28db5e4bbaaafaabe5ff1dbb3f</t>
  </si>
  <si>
    <t>FT24122231240103\CMB</t>
  </si>
  <si>
    <t>CASHIN 01682662195 57669553678 948924874fc4410d9128a8c216610f9f</t>
  </si>
  <si>
    <t>FT24122907052391\PNN</t>
  </si>
  <si>
    <t>partners ads T4 2024</t>
  </si>
  <si>
    <t>VPB2405010896849775</t>
  </si>
  <si>
    <t>FT24122922987825</t>
  </si>
  <si>
    <t>FT24123975551739</t>
  </si>
  <si>
    <t>VPB2405020898692405</t>
  </si>
  <si>
    <t>FT24123810324909</t>
  </si>
  <si>
    <t>VPB2405020898756255</t>
  </si>
  <si>
    <t>FT24125538330571</t>
  </si>
  <si>
    <t>VPB2405040900867461</t>
  </si>
  <si>
    <t>FT24127106088287</t>
  </si>
  <si>
    <t>VPB2405050902340456</t>
  </si>
  <si>
    <t>FT24127401583603</t>
  </si>
  <si>
    <t>VPB2405060902970198</t>
  </si>
  <si>
    <t>FT24127020008671</t>
  </si>
  <si>
    <t>VPB2405060902977137</t>
  </si>
  <si>
    <t>FT24127483668400</t>
  </si>
  <si>
    <t>NHAN TU 9600991989 TRACE 304656 ND Chuyen khoan Chau Quoc Nhien FT24127940482205</t>
  </si>
  <si>
    <t>FT24127826013580</t>
  </si>
  <si>
    <t>NHAN TU 0501000134380 TRACE 361345 ND MBVCB.5935241263.361345.NGUYEN THI DIEU THUY chuyen tien.CT tu 0501000134380 NGUYEN THI DIEU THUY toi 121793555 Chau Quoc Nhien tai VPBANK</t>
  </si>
  <si>
    <t>FT24127484618972</t>
  </si>
  <si>
    <t>VPB2405060904311646</t>
  </si>
  <si>
    <t>FT24128398111113</t>
  </si>
  <si>
    <t>VPB2405070904558365</t>
  </si>
  <si>
    <t>FT24128490169423</t>
  </si>
  <si>
    <t>VPB2405070904765818</t>
  </si>
  <si>
    <t>FT24128313782495</t>
  </si>
  <si>
    <t>VPB2405070904904264</t>
  </si>
  <si>
    <t>FT24128251179903</t>
  </si>
  <si>
    <t>VPB2405070905124273</t>
  </si>
  <si>
    <t>FT24128305760807</t>
  </si>
  <si>
    <t>VPB2405070905341881</t>
  </si>
  <si>
    <t>FT24129565834014</t>
  </si>
  <si>
    <t>VPB2405070905738007</t>
  </si>
  <si>
    <t>FT24129961062064</t>
  </si>
  <si>
    <t>VPB2405070905769074</t>
  </si>
  <si>
    <t>FT24129144091348</t>
  </si>
  <si>
    <t>NHAN TU 0501000213417 TRACE 519987 ND MBVCB.5946904826.519987.VO NGUYEN HO VY chuyen tien.CT tu 0501000213417 VO NGUYEN HO VY toi 121793555 Chau Quoc Nhien tai VPBANK</t>
  </si>
  <si>
    <t>FT24129756475574\PNN</t>
  </si>
  <si>
    <t>VPB2405080906276516</t>
  </si>
  <si>
    <t>FT24129393501427</t>
  </si>
  <si>
    <t>VNQR2405080906277900</t>
  </si>
  <si>
    <t>FT24130105226060</t>
  </si>
  <si>
    <t>NHAN TU 19033682259015 TRACE 500777 ND BA THI BICH CHI chuyen FT24130240527007</t>
  </si>
  <si>
    <t>FT24135084731163</t>
  </si>
  <si>
    <t>VPB2405140914638112</t>
  </si>
  <si>
    <t>FT24135647179641</t>
  </si>
  <si>
    <t>NHAN TU 106872295455 TRACE 362802 ND CHAU VAN LIEN Chuyen tien</t>
  </si>
  <si>
    <t>FT24135804205560</t>
  </si>
  <si>
    <t>VPB2405140914891213</t>
  </si>
  <si>
    <t>FT24135869211829</t>
  </si>
  <si>
    <t>VPB2405140914910539</t>
  </si>
  <si>
    <t>FT24137854561093</t>
  </si>
  <si>
    <t>NHAN TU 1015557914 TRACE 976703 ND MBVCB.6016371146.976703.NAO MINH TAM chuyen tien.CT tu 1015557914 NAO MINH TAM toi 121793555 Chau Quoc Nhien tai VPBANK</t>
  </si>
  <si>
    <t>FT24137466309780</t>
  </si>
  <si>
    <t>VPB2405160917400581</t>
  </si>
  <si>
    <t>FT24137313207965</t>
  </si>
  <si>
    <t>VPB2405160917403266</t>
  </si>
  <si>
    <t>FT24138308262211</t>
  </si>
  <si>
    <t>NHAN TU 106872295455 TRACE 536705 ND CHAU VAN LIEN Chuyen tien</t>
  </si>
  <si>
    <t>FT24138060769918</t>
  </si>
  <si>
    <t>VPB2405170918604983</t>
  </si>
  <si>
    <t>FT24142550897004</t>
  </si>
  <si>
    <t>NHAN TU 2627101971 TRACE 601098 ND Chuyen khoan Chau Quoc Nhien FT24142384062928</t>
  </si>
  <si>
    <t>FT24142538082601</t>
  </si>
  <si>
    <t>NHAN TU 9704030227983522 TRACE 817083 ND IBFT .</t>
  </si>
  <si>
    <t>FT24142077407497</t>
  </si>
  <si>
    <t>dv247 maxi</t>
  </si>
  <si>
    <t>VPB2405210923448151</t>
  </si>
  <si>
    <t>FT24142513604408</t>
  </si>
  <si>
    <t>VPB2405210923464489</t>
  </si>
  <si>
    <t>FT24142213201709\PNN</t>
  </si>
  <si>
    <t>VPB2405210923727628</t>
  </si>
  <si>
    <t>FT24142443162985</t>
  </si>
  <si>
    <t>NHAN TU 701888888 TRACE 191962 ND 58997735631-0382662195-CHAU QUOC NHIEN chuyen tien qua MoMo</t>
  </si>
  <si>
    <t>FT24142007860388</t>
  </si>
  <si>
    <t>VPB2405210923733781</t>
  </si>
  <si>
    <t>FT24142149638763</t>
  </si>
  <si>
    <t>VPB2405210923735281</t>
  </si>
  <si>
    <t>FT24142455507200</t>
  </si>
  <si>
    <t>VPB2405210923736214</t>
  </si>
  <si>
    <t>FT24146408125460</t>
  </si>
  <si>
    <t>NHAN TU 151066666868 TRACE 634657 ND 20627692598155591680-250524-21:35:1 4 634657</t>
  </si>
  <si>
    <t>FT24146378091854</t>
  </si>
  <si>
    <t>VPB2405250929221244</t>
  </si>
  <si>
    <t>FT24146352720064</t>
  </si>
  <si>
    <t>Chi Ty chuyen tien lai thang 5 Xin loi em chuyen tien tre</t>
  </si>
  <si>
    <t>VPB2405250929222679</t>
  </si>
  <si>
    <t>FT24148326170100\PNN</t>
  </si>
  <si>
    <t>VPB2405270930893823</t>
  </si>
  <si>
    <t>FT24148063286817</t>
  </si>
  <si>
    <t>NHAN TU 9975033120 TRACE 902502 ND MBVCB.6103572212.902502.20628276033 773199360.CT tu 9975033120 TRAN THI TAM toi 121793555 Chau Quoc Nhien tai VPBANK</t>
  </si>
  <si>
    <t>FT24148275080518</t>
  </si>
  <si>
    <t>VPB2405270930946000</t>
  </si>
  <si>
    <t>FT24148363943713</t>
  </si>
  <si>
    <t>VPB2405270930948159</t>
  </si>
  <si>
    <t>FT24148647449455</t>
  </si>
  <si>
    <t>VPB2405270931138938</t>
  </si>
  <si>
    <t>FT24148277517005</t>
  </si>
  <si>
    <t>FT24149076631101</t>
  </si>
  <si>
    <t>VPB2405280932831514</t>
  </si>
  <si>
    <t>FT24153946545207</t>
  </si>
  <si>
    <t>NHAN TU 0000999624006 TRACE 426797 ND 20630072828779757568</t>
  </si>
  <si>
    <t>FT24153082085016</t>
  </si>
  <si>
    <t>VPB2406010937776776</t>
  </si>
  <si>
    <t>FT24153445956155</t>
  </si>
  <si>
    <t>VPB2406010938137590</t>
  </si>
  <si>
    <t>FT24155640523013</t>
  </si>
  <si>
    <t>NHAN TU 8145838688 TRACE 102352 ND NGUYEN DUC VINH chuyen FT24155663333549</t>
  </si>
  <si>
    <t>FT24155777973322</t>
  </si>
  <si>
    <t>VPB2406020938648817</t>
  </si>
  <si>
    <t>FT24155043057628</t>
  </si>
  <si>
    <t>VPB2406020938693501</t>
  </si>
  <si>
    <t>FT24155037801350\BNK</t>
  </si>
  <si>
    <t>Nap tien dich vu:-0382662195-15000.0</t>
  </si>
  <si>
    <t>TOP2406020938694706</t>
  </si>
  <si>
    <t>FT24157956951774</t>
  </si>
  <si>
    <t>NHAN TU 15694737 TRACE 744279 ND CHAU QUOC NHIEN chuyen khoan-050624-10:11:39 744279</t>
  </si>
  <si>
    <t>FT24157200036125</t>
  </si>
  <si>
    <t>VPB2406050942768574</t>
  </si>
  <si>
    <t>FT24157915406048\CMB</t>
  </si>
  <si>
    <t>CASHIN 01682662195 59893429586 6817b95d061f4ee4a954e1863ea75887</t>
  </si>
  <si>
    <t>FT24157649076017\PNN</t>
  </si>
  <si>
    <t>luong ads partners T5 2024</t>
  </si>
  <si>
    <t>VPB2406050942835277</t>
  </si>
  <si>
    <t>FT24157836650734</t>
  </si>
  <si>
    <t>VPB2406050943003234</t>
  </si>
  <si>
    <t>FT24157078670801</t>
  </si>
  <si>
    <t>VPB2406050943006700</t>
  </si>
  <si>
    <t>FT24158710632339</t>
  </si>
  <si>
    <t>VPB2406060944931445</t>
  </si>
  <si>
    <t>FT24159800016091</t>
  </si>
  <si>
    <t>NHAN TU 6160174329 TRACE 915827 ND KIEU THI KHEN Chuyen tien</t>
  </si>
  <si>
    <t>FT24159411351035</t>
  </si>
  <si>
    <t>NHAN TU 1045674054 TRACE 969277 ND MBVCB.6193954623.969277.20632336096893612032.CT tu 1045674054 NGUYEN ANH TU toi 121793555 Chau Quoc Nhien tai VPBANK</t>
  </si>
  <si>
    <t>FT24160107040773\BNK</t>
  </si>
  <si>
    <t>TOP2406080947051739 Nap tien dich vu:-0382662195-20000.0</t>
  </si>
  <si>
    <t>TOP2406080947051739</t>
  </si>
  <si>
    <t>FT24160473743186\BNK</t>
  </si>
  <si>
    <t>CAD2406080947054066 Mua ma the tra truoc:-0382662195-10000.0</t>
  </si>
  <si>
    <t>CAD2406080947054066</t>
  </si>
  <si>
    <t>FT24160928301494\BNK</t>
  </si>
  <si>
    <t>TOP2406080947057645 Nap tien dich vu:-0382662195-10000.0</t>
  </si>
  <si>
    <t>TOP2406080947057645</t>
  </si>
  <si>
    <t>FT24160991963430</t>
  </si>
  <si>
    <t>8EV3NE</t>
  </si>
  <si>
    <t>VPB2406080947104641</t>
  </si>
  <si>
    <t>FT24160965497500</t>
  </si>
  <si>
    <t>VPB2406080947119586</t>
  </si>
  <si>
    <t>FT24162896601482</t>
  </si>
  <si>
    <t>NHAN TU 9704229214104783 TRACE 999279 ND bun bo hi</t>
  </si>
  <si>
    <t>FT24162151006541</t>
  </si>
  <si>
    <t>VPB2406100950280033</t>
  </si>
  <si>
    <t>FT24164359408331</t>
  </si>
  <si>
    <t>NHAN TU 8851924889 TRACE 821281 ND NGUYEN THI HOANG UYEN Chuyen tien</t>
  </si>
  <si>
    <t>FT24164661637008</t>
  </si>
  <si>
    <t>VPB2406120953198463</t>
  </si>
  <si>
    <t>FT24166515000973</t>
  </si>
  <si>
    <t>VPB2406140955813770</t>
  </si>
  <si>
    <t>FT24166565861998</t>
  </si>
  <si>
    <t>0RZF8URI</t>
  </si>
  <si>
    <t>VPB2406140955817519</t>
  </si>
  <si>
    <t>FT24169779417640</t>
  </si>
  <si>
    <t>NHAN TU 1199933188 TRACE 367210 ND 20635514072696201216</t>
  </si>
  <si>
    <t>FT24169507383711</t>
  </si>
  <si>
    <t>VPB2406160958112543</t>
  </si>
  <si>
    <t>FT24169300044720</t>
  </si>
  <si>
    <t>NHAN TU 1033726507 TRACE 562558 ND MBVCB.6271978030.562558.VU DUY HUNG chuyen tien.CT tu 1033726507 VU DUY HUNG toi 121793555 Chau Quoc Nhien tai VPBANK</t>
  </si>
  <si>
    <t>FT24169295795284</t>
  </si>
  <si>
    <t>TS 2167</t>
  </si>
  <si>
    <t>VPB2406160958548280</t>
  </si>
  <si>
    <t>FT24170860705280</t>
  </si>
  <si>
    <t>VPB2406180960536001</t>
  </si>
  <si>
    <t>FT24171608198391</t>
  </si>
  <si>
    <t>NHAN TU 1045946200 TRACE 594170 ND IBVCB.6297651838.594170.PHAM HUYNH ANH DUC chuyen tien.CT tu 1045946200 PHAM HUYNH ANH DUC toi 121793555 Chau Quoc Nhien tai VPBANK</t>
  </si>
  <si>
    <t>FT24171035260997</t>
  </si>
  <si>
    <t>VPB2406190962654826</t>
  </si>
  <si>
    <t>FT24171213177633</t>
  </si>
  <si>
    <t>NHAN TU 8851924889 TRACE 737860 ND NGUYEN THI HOANG UYEN Chuyen tien</t>
  </si>
  <si>
    <t>FT24171820397906</t>
  </si>
  <si>
    <t>VPB2406190962705913</t>
  </si>
  <si>
    <t>FT24171924003143</t>
  </si>
  <si>
    <t>Em chao anhchi Em co chuyen nham tien vui long gui lai em duoc khong Em cam on nhieu Stk 121793555 Vpbank</t>
  </si>
  <si>
    <t>VPB2406190962749534</t>
  </si>
  <si>
    <t>FT24172625982062</t>
  </si>
  <si>
    <t>NHAN TU 19030970644013 TRACE 232618 ND TRAN THI HUYEN TRANG chuyen FT24172580351613</t>
  </si>
  <si>
    <t>FT24172946732187</t>
  </si>
  <si>
    <t>VPB2406200964154309</t>
  </si>
  <si>
    <t>FT24173522955945</t>
  </si>
  <si>
    <t>10NK9FH3</t>
  </si>
  <si>
    <t>VPB2406210965272621</t>
  </si>
  <si>
    <t>FT24191994407905</t>
  </si>
  <si>
    <t>VPB2407090988774671</t>
  </si>
  <si>
    <t>FT24194388474839</t>
  </si>
  <si>
    <t>NHAN TU 15694737 TRACE 080147 ND CHAU QUOC NHIEN chuyen khoan-120724-10:56:43 080147</t>
  </si>
  <si>
    <t>FT24194118375008\BNK</t>
  </si>
  <si>
    <t>TOP2407120992744386</t>
  </si>
  <si>
    <t>Thanh toan lai</t>
  </si>
  <si>
    <t>PDPD2418850774;4</t>
  </si>
  <si>
    <t>Thanh toan lai-PDPD2418850774;4-</t>
  </si>
  <si>
    <t>Thanh toan lai qua han</t>
  </si>
  <si>
    <t>Thanh toan lai qua han-PDPD2418850774;4-</t>
  </si>
  <si>
    <t>PDCA2422800101</t>
  </si>
  <si>
    <t>Take Over Entry - Credit-PDCA2422800101-</t>
  </si>
  <si>
    <t>FT24239580162785\PNN</t>
  </si>
  <si>
    <t>16289587/LE THI PHUONG</t>
  </si>
  <si>
    <t>VPB2408261051764192</t>
  </si>
  <si>
    <t>FT24239175103638</t>
  </si>
  <si>
    <t>VPB2408261051765348</t>
  </si>
  <si>
    <t>FT24239510366018\KDO</t>
  </si>
  <si>
    <t>CHUYEN KHOAN TU DONG THANH TOAN QUA HAN HD THE 106-P-5125196</t>
  </si>
  <si>
    <t>yvtz9P5WZKyV</t>
  </si>
  <si>
    <t>FT24353913795638\PNN</t>
  </si>
  <si>
    <t>VPB2412181215810792</t>
  </si>
  <si>
    <t>Trich tai khoan nop thue</t>
  </si>
  <si>
    <t>CHG243536JWT3</t>
  </si>
  <si>
    <t>Thu phi DTTK tk 121793555 thang 09/2024</t>
  </si>
  <si>
    <t>Balance Requirement Chgs Dr</t>
  </si>
  <si>
    <t>CHG24353F91BY</t>
  </si>
  <si>
    <t>Thu phi DTTK tk 121793555 thang 11/2024</t>
  </si>
  <si>
    <t>CHG24353H51CF</t>
  </si>
  <si>
    <t>Thu phi DTTK tk 121793555 thang 10/2024</t>
  </si>
  <si>
    <t>Thanh toan goc qua han</t>
  </si>
  <si>
    <t>PDLD2317000767;24\WUC</t>
  </si>
  <si>
    <t>Thanh toan goc qua han-PDLD2317000767;24-Chau Quoc Nhien Chau Quoc Nhien</t>
  </si>
  <si>
    <t>ROBOTRPA17</t>
  </si>
  <si>
    <t>FT25006851122201</t>
  </si>
  <si>
    <t>NHAN TU 15694737 TRACE 609815 ND CHUYEN KHOAN THANH TOAN KHOAN VAY-060125-09:04:23 609815</t>
  </si>
  <si>
    <t>PDPD2422804684;8\MSB</t>
  </si>
  <si>
    <t>Thanh toan goc qua han-PDPD2422804684;8-</t>
  </si>
  <si>
    <t>FT25013062542040</t>
  </si>
  <si>
    <t>VPB2501121254892736</t>
  </si>
  <si>
    <t>FT25013981150781</t>
  </si>
  <si>
    <t>NHAN TU 15694737 TRACE 823830 ND CHUYEN KHOAN-120125-12:59:41 823830</t>
  </si>
  <si>
    <t>PDPD2422804684;10\MSB</t>
  </si>
  <si>
    <t>Thanh toan goc qua han-PDPD2422804684;10-</t>
  </si>
  <si>
    <t>ROBOTRPA21</t>
  </si>
  <si>
    <t>FT25018241527052</t>
  </si>
  <si>
    <t>NHAN TU 15694737 TRACE 618879 ND CHUYEN KHOAN-180125-10:31:41 618879</t>
  </si>
  <si>
    <t>PDPD2422804684;12\MSB</t>
  </si>
  <si>
    <t>Thanh toan goc qua han-PDPD2422804684;12-</t>
  </si>
  <si>
    <t>FT25031759960171</t>
  </si>
  <si>
    <t>NHAN TU 0859937669 TRACE 135422 ND 22717823994038337536</t>
  </si>
  <si>
    <t>FT25031913110091</t>
  </si>
  <si>
    <t>VPB2501291283669422</t>
  </si>
  <si>
    <t>PDPD2422804684;14\MSB</t>
  </si>
  <si>
    <t>Thanh toan goc qua han-PDPD2422804684;14-</t>
  </si>
  <si>
    <t>3595152</t>
  </si>
  <si>
    <t>121793555</t>
  </si>
  <si>
    <t>BẢNG KÊ TÍNH LÃI THẤU CHI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</si>
</sst>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1" formatCode="_-* #,##0_-;\-* #,##0_-;_-* &quot;-&quot;_-;_-@_-"/>
    <numFmt numFmtId="43" formatCode="_-* #,##0.00_-;\-* #,##0.00_-;_-* &quot;-&quot;??_-;_-@_-"/>
    <numFmt numFmtId="164" formatCode="_-* #,##0_-;\-* #,##0_-;_-* &quot;-&quot;??_-;_-@_-"/>
    <numFmt numFmtId="165" formatCode="B1dd\-mmm\-yy"/>
  </numFmts>
  <fonts count="21" x14ac:knownFonts="1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b/>
      <sz val="10"/>
      <color theme="1"/>
      <name val="Calibri"/>
      <family val="1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1"/>
      <scheme val="minor"/>
    </font>
    <font>
      <sz val="10"/>
      <color theme="1"/>
      <name val="Calibri"/>
      <family val="2"/>
      <charset val="163"/>
      <scheme val="minor"/>
    </font>
    <font>
      <b/>
      <sz val="9.5"/>
      <color theme="1"/>
      <name val="Calibri"/>
      <family val="2"/>
      <charset val="163"/>
      <scheme val="minor"/>
    </font>
    <font>
      <sz val="9"/>
      <color theme="1"/>
      <name val="Calibri"/>
      <family val="2"/>
      <charset val="163"/>
      <scheme val="minor"/>
    </font>
    <font>
      <i/>
      <sz val="11"/>
      <color rgb="FFFF0000"/>
      <name val="Calibri"/>
      <family val="2"/>
      <scheme val="minor"/>
    </font>
    <font>
      <b/>
      <sz val="14"/>
      <color rgb="FFFFFFFF"/>
      <name val="Segoe UI"/>
      <family val="2"/>
    </font>
    <font>
      <b/>
      <sz val="15"/>
      <color rgb="FF0B3B8F"/>
      <name val="Segoe UI"/>
      <family val="2"/>
    </font>
    <font>
      <b/>
      <sz val="18"/>
      <color rgb="FFFFFFFF"/>
      <name val="Segoe UI"/>
      <family val="2"/>
    </font>
    <font>
      <b/>
      <sz val="12"/>
      <color rgb="FF8A6A00"/>
      <name val="Segoe UI"/>
      <family val="2"/>
    </font>
    <font>
      <b/>
      <sz val="11"/>
      <color theme="0"/>
      <name val="Segoe UI"/>
      <family val="2"/>
    </font>
    <font>
      <b/>
      <i/>
      <sz val="11"/>
      <color rgb="FFFF0000"/>
      <name val="Segoe UI"/>
      <family val="2"/>
    </font>
    <font>
      <b/>
      <sz val="11"/>
      <color rgb="FFFF0000"/>
      <name val="Calibri"/>
      <family val="2"/>
      <charset val="163"/>
      <scheme val="minor"/>
    </font>
    <font>
      <sz val="11"/>
      <color rgb="FF243447"/>
      <name val="Calibri"/>
      <family val="2"/>
    </font>
    <font>
      <b/>
      <sz val="18"/>
      <color rgb="FF143F8F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</patternFill>
    </fill>
    <fill>
      <patternFill patternType="solid">
        <fgColor rgb="FF0B3B8F"/>
      </patternFill>
    </fill>
    <fill>
      <patternFill patternType="solid">
        <fgColor rgb="FFFAFCFF"/>
      </patternFill>
    </fill>
    <fill>
      <patternFill patternType="solid">
        <fgColor rgb="FFEAF3FF"/>
      </patternFill>
    </fill>
    <fill>
      <patternFill patternType="solid">
        <fgColor rgb="FFFFF7D6"/>
      </patternFill>
    </fill>
    <fill>
      <patternFill patternType="solid">
        <fgColor rgb="FF143F8F"/>
        <bgColor indexed="64"/>
      </patternFill>
    </fill>
    <fill>
      <patternFill patternType="solid">
        <fgColor rgb="FFF4F6FA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143F8F"/>
      </left>
      <right style="medium">
        <color rgb="FF143F8F"/>
      </right>
      <top style="medium">
        <color rgb="FF143F8F"/>
      </top>
      <bottom style="medium">
        <color rgb="FF143F8F"/>
      </bottom>
      <diagonal/>
    </border>
    <border>
      <left style="medium">
        <color rgb="FF143F8F"/>
      </left>
      <right/>
      <top style="medium">
        <color rgb="FF143F8F"/>
      </top>
      <bottom style="medium">
        <color rgb="FF143F8F"/>
      </bottom>
      <diagonal/>
    </border>
    <border>
      <left/>
      <right/>
      <top style="medium">
        <color rgb="FF143F8F"/>
      </top>
      <bottom style="medium">
        <color rgb="FF143F8F"/>
      </bottom>
      <diagonal/>
    </border>
    <border>
      <left/>
      <right style="medium">
        <color rgb="FF143F8F"/>
      </right>
      <top style="medium">
        <color rgb="FF143F8F"/>
      </top>
      <bottom style="medium">
        <color rgb="FF143F8F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72">
    <xf numFmtId="0" fontId="0" fillId="0" borderId="0" xfId="0"/>
    <xf numFmtId="0" fontId="0" fillId="0" borderId="0" xfId="0" applyNumberFormat="1" applyFont="1" applyFill="1" applyBorder="1" applyProtection="1"/>
    <xf numFmtId="0" fontId="0" fillId="0" borderId="0" xfId="0" applyNumberFormat="1" applyFont="1" applyFill="1" applyBorder="1" applyAlignment="1" applyProtection="1">
      <alignment horizontal="center"/>
    </xf>
    <xf numFmtId="0" fontId="3" fillId="0" borderId="0" xfId="0" applyNumberFormat="1" applyFont="1" applyFill="1" applyBorder="1" applyProtection="1"/>
    <xf numFmtId="0" fontId="0" fillId="3" borderId="0" xfId="0" applyNumberFormat="1" applyFont="1" applyFill="1" applyBorder="1" applyProtection="1"/>
    <xf numFmtId="0" fontId="4" fillId="0" borderId="4" xfId="0" applyNumberFormat="1" applyFont="1" applyFill="1" applyBorder="1" applyProtection="1"/>
    <xf numFmtId="0" fontId="0" fillId="0" borderId="0" xfId="0" applyNumberFormat="1" applyFont="1" applyFill="1" applyBorder="1" applyAlignment="1" applyProtection="1">
      <alignment horizontal="center"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3" fillId="0" borderId="4" xfId="1" applyNumberFormat="1" applyFont="1" applyFill="1" applyBorder="1" applyAlignment="1">
      <alignment horizontal="center" vertical="center"/>
    </xf>
    <xf numFmtId="14" fontId="4" fillId="0" borderId="4" xfId="0" applyNumberFormat="1" applyFont="1" applyFill="1" applyBorder="1" applyAlignment="1" applyProtection="1">
      <alignment horizontal="center" vertical="center"/>
    </xf>
    <xf numFmtId="0" fontId="4" fillId="0" borderId="5" xfId="0" applyNumberFormat="1" applyFont="1" applyBorder="1" applyAlignment="1">
      <alignment horizontal="center" vertical="center"/>
    </xf>
    <xf numFmtId="14" fontId="4" fillId="0" borderId="5" xfId="0" applyNumberFormat="1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4" xfId="0" applyNumberFormat="1" applyFont="1" applyBorder="1" applyAlignment="1">
      <alignment horizontal="center" vertical="center"/>
    </xf>
    <xf numFmtId="10" fontId="3" fillId="0" borderId="4" xfId="2" applyNumberFormat="1" applyFont="1" applyFill="1" applyBorder="1" applyAlignment="1">
      <alignment horizontal="center" vertical="center"/>
    </xf>
    <xf numFmtId="10" fontId="3" fillId="0" borderId="4" xfId="0" applyNumberFormat="1" applyFont="1" applyFill="1" applyBorder="1" applyAlignment="1">
      <alignment horizontal="center" vertical="center"/>
    </xf>
    <xf numFmtId="41" fontId="8" fillId="0" borderId="4" xfId="3" applyFont="1" applyBorder="1"/>
    <xf numFmtId="0" fontId="3" fillId="0" borderId="4" xfId="0" applyNumberFormat="1" applyFont="1" applyFill="1" applyBorder="1" applyAlignment="1">
      <alignment horizontal="center" vertical="center"/>
    </xf>
    <xf numFmtId="14" fontId="3" fillId="0" borderId="4" xfId="0" applyNumberFormat="1" applyFont="1" applyFill="1" applyBorder="1" applyAlignment="1">
      <alignment horizontal="center" vertical="center"/>
    </xf>
    <xf numFmtId="0" fontId="9" fillId="2" borderId="4" xfId="0" applyFont="1" applyFill="1" applyBorder="1" applyAlignment="1">
      <alignment horizontal="center" vertical="center" wrapText="1"/>
    </xf>
    <xf numFmtId="0" fontId="10" fillId="0" borderId="0" xfId="0" applyFont="1"/>
    <xf numFmtId="0" fontId="4" fillId="0" borderId="4" xfId="0" quotePrefix="1" applyFont="1" applyBorder="1"/>
    <xf numFmtId="22" fontId="0" fillId="0" borderId="0" xfId="0" applyNumberFormat="1"/>
    <xf numFmtId="3" fontId="4" fillId="0" borderId="4" xfId="0" applyNumberFormat="1" applyFont="1" applyFill="1" applyBorder="1" applyAlignment="1" applyProtection="1">
      <alignment horizontal="center" vertical="center"/>
    </xf>
    <xf numFmtId="3" fontId="0" fillId="0" borderId="0" xfId="0" applyNumberFormat="1"/>
    <xf numFmtId="3" fontId="0" fillId="0" borderId="0" xfId="0" applyNumberFormat="1" applyFont="1" applyFill="1" applyBorder="1" applyProtection="1"/>
    <xf numFmtId="164" fontId="0" fillId="0" borderId="0" xfId="0" applyNumberFormat="1" applyFont="1" applyFill="1" applyBorder="1" applyProtection="1"/>
    <xf numFmtId="14" fontId="3" fillId="0" borderId="4" xfId="0" applyNumberFormat="1" applyFont="1" applyFill="1" applyBorder="1" applyAlignment="1">
      <alignment horizontal="center" vertical="center"/>
    </xf>
    <xf numFmtId="0" fontId="4" fillId="0" borderId="6" xfId="0" applyNumberFormat="1" applyFont="1" applyFill="1" applyBorder="1" applyProtection="1"/>
    <xf numFmtId="164" fontId="3" fillId="0" borderId="4" xfId="0" applyNumberFormat="1" applyFont="1" applyFill="1" applyBorder="1" applyAlignment="1">
      <alignment horizontal="left" vertical="top"/>
    </xf>
    <xf numFmtId="0" fontId="4" fillId="0" borderId="0" xfId="0" applyNumberFormat="1" applyFont="1" applyFill="1" applyBorder="1" applyProtection="1"/>
    <xf numFmtId="14" fontId="0" fillId="0" borderId="0" xfId="0" applyNumberFormat="1" applyFont="1" applyFill="1" applyBorder="1" applyAlignment="1" applyProtection="1">
      <alignment horizontal="center"/>
    </xf>
    <xf numFmtId="10" fontId="0" fillId="0" borderId="0" xfId="0" applyNumberFormat="1" applyFont="1" applyFill="1" applyBorder="1" applyProtection="1"/>
    <xf numFmtId="10" fontId="9" fillId="2" borderId="4" xfId="0" applyNumberFormat="1" applyFont="1" applyFill="1" applyBorder="1" applyAlignment="1">
      <alignment horizontal="center" vertical="center" wrapText="1"/>
    </xf>
    <xf numFmtId="10" fontId="4" fillId="0" borderId="4" xfId="0" applyNumberFormat="1" applyFont="1" applyBorder="1" applyAlignment="1">
      <alignment horizontal="center" vertical="center"/>
    </xf>
    <xf numFmtId="10" fontId="0" fillId="0" borderId="0" xfId="0" applyNumberFormat="1" applyFont="1" applyFill="1" applyBorder="1" applyAlignment="1" applyProtection="1">
      <alignment vertical="center"/>
    </xf>
    <xf numFmtId="165" fontId="0" fillId="0" borderId="0" xfId="0" applyNumberFormat="1"/>
    <xf numFmtId="3" fontId="4" fillId="0" borderId="4" xfId="0" applyNumberFormat="1" applyFont="1" applyFill="1" applyBorder="1" applyAlignment="1" applyProtection="1">
      <alignment horizontal="center"/>
    </xf>
    <xf numFmtId="14" fontId="4" fillId="0" borderId="4" xfId="0" applyNumberFormat="1" applyFont="1" applyFill="1" applyBorder="1" applyAlignment="1" applyProtection="1">
      <alignment horizontal="center"/>
    </xf>
    <xf numFmtId="0" fontId="0" fillId="0" borderId="0" xfId="0" applyNumberFormat="1"/>
    <xf numFmtId="0" fontId="11" fillId="0" borderId="0" xfId="0" quotePrefix="1" applyNumberFormat="1" applyFont="1" applyFill="1" applyBorder="1" applyProtection="1"/>
    <xf numFmtId="0" fontId="4" fillId="0" borderId="4" xfId="0" quotePrefix="1" applyNumberFormat="1" applyFont="1" applyFill="1" applyBorder="1" applyProtection="1"/>
    <xf numFmtId="41" fontId="8" fillId="0" borderId="4" xfId="3" applyFont="1" applyFill="1" applyBorder="1" applyAlignment="1" applyProtection="1">
      <alignment horizontal="right"/>
    </xf>
    <xf numFmtId="0" fontId="6" fillId="0" borderId="0" xfId="0" applyNumberFormat="1" applyFont="1" applyFill="1" applyBorder="1" applyAlignment="1" applyProtection="1"/>
    <xf numFmtId="0" fontId="5" fillId="0" borderId="0" xfId="0" applyNumberFormat="1" applyFont="1" applyFill="1" applyBorder="1" applyAlignment="1" applyProtection="1">
      <alignment vertical="center"/>
    </xf>
    <xf numFmtId="0" fontId="0" fillId="0" borderId="0" xfId="0" applyBorder="1"/>
    <xf numFmtId="41" fontId="4" fillId="0" borderId="7" xfId="3" applyFont="1" applyBorder="1" applyAlignment="1">
      <alignment horizontal="right" vertical="center"/>
    </xf>
    <xf numFmtId="14" fontId="4" fillId="0" borderId="7" xfId="0" applyNumberFormat="1" applyFont="1" applyBorder="1" applyAlignment="1">
      <alignment horizontal="right" vertical="center"/>
    </xf>
    <xf numFmtId="10" fontId="4" fillId="0" borderId="7" xfId="0" applyNumberFormat="1" applyFont="1" applyBorder="1" applyAlignment="1">
      <alignment horizontal="right" vertical="center"/>
    </xf>
    <xf numFmtId="0" fontId="4" fillId="0" borderId="7" xfId="0" applyFont="1" applyBorder="1" applyAlignment="1">
      <alignment horizontal="center" vertical="center"/>
    </xf>
    <xf numFmtId="0" fontId="16" fillId="8" borderId="7" xfId="0" applyFont="1" applyFill="1" applyBorder="1" applyAlignment="1">
      <alignment horizontal="center" vertical="center"/>
    </xf>
    <xf numFmtId="14" fontId="0" fillId="0" borderId="0" xfId="0" applyNumberFormat="1"/>
    <xf numFmtId="0" fontId="19" fillId="9" borderId="0" xfId="0" applyFont="1" applyFill="1"/>
    <xf numFmtId="0" fontId="20" fillId="0" borderId="8" xfId="0" applyFont="1" applyFill="1" applyBorder="1" applyAlignment="1">
      <alignment horizontal="center" vertical="center"/>
    </xf>
    <xf numFmtId="0" fontId="20" fillId="0" borderId="9" xfId="0" applyFont="1" applyFill="1" applyBorder="1" applyAlignment="1">
      <alignment horizontal="center" vertical="center"/>
    </xf>
    <xf numFmtId="0" fontId="20" fillId="0" borderId="10" xfId="0" applyFont="1" applyFill="1" applyBorder="1" applyAlignment="1">
      <alignment horizontal="center" vertical="center"/>
    </xf>
    <xf numFmtId="0" fontId="15" fillId="7" borderId="0" xfId="0" applyFont="1" applyFill="1" applyBorder="1" applyAlignment="1">
      <alignment horizontal="left" vertical="center" wrapText="1"/>
    </xf>
    <xf numFmtId="0" fontId="0" fillId="7" borderId="0" xfId="0" applyFill="1" applyBorder="1"/>
    <xf numFmtId="0" fontId="12" fillId="4" borderId="0" xfId="0" applyFont="1" applyFill="1" applyBorder="1" applyAlignment="1">
      <alignment horizontal="center" vertical="center" wrapText="1"/>
    </xf>
    <xf numFmtId="0" fontId="0" fillId="4" borderId="0" xfId="0" applyFill="1" applyBorder="1"/>
    <xf numFmtId="0" fontId="17" fillId="5" borderId="0" xfId="0" applyFont="1" applyFill="1" applyBorder="1" applyAlignment="1">
      <alignment horizontal="left" vertical="center" wrapText="1"/>
    </xf>
    <xf numFmtId="0" fontId="18" fillId="5" borderId="0" xfId="0" applyFont="1" applyFill="1" applyBorder="1" applyAlignment="1">
      <alignment horizontal="left" vertical="center"/>
    </xf>
    <xf numFmtId="0" fontId="13" fillId="6" borderId="0" xfId="0" applyFont="1" applyFill="1" applyBorder="1" applyAlignment="1">
      <alignment horizontal="center" vertical="center" wrapText="1"/>
    </xf>
    <xf numFmtId="0" fontId="0" fillId="6" borderId="0" xfId="0" applyFill="1" applyBorder="1"/>
    <xf numFmtId="0" fontId="14" fillId="4" borderId="0" xfId="0" applyFont="1" applyFill="1" applyBorder="1" applyAlignment="1">
      <alignment horizontal="center" vertical="center" wrapText="1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7" fillId="2" borderId="0" xfId="0" applyNumberFormat="1" applyFont="1" applyFill="1" applyBorder="1" applyAlignment="1" applyProtection="1">
      <alignment horizontal="center" vertical="center"/>
    </xf>
    <xf numFmtId="0" fontId="2" fillId="2" borderId="1" xfId="0" applyNumberFormat="1" applyFont="1" applyFill="1" applyBorder="1" applyAlignment="1" applyProtection="1">
      <alignment horizontal="center"/>
    </xf>
    <xf numFmtId="0" fontId="2" fillId="2" borderId="2" xfId="0" applyNumberFormat="1" applyFont="1" applyFill="1" applyBorder="1" applyAlignment="1" applyProtection="1">
      <alignment horizontal="center"/>
    </xf>
    <xf numFmtId="0" fontId="6" fillId="2" borderId="5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6" fillId="0" borderId="0" xfId="0" applyNumberFormat="1" applyFont="1" applyFill="1" applyBorder="1" applyAlignment="1" applyProtection="1">
      <alignment horizontal="center"/>
    </xf>
  </cellXfs>
  <cellStyles count="4">
    <cellStyle name="Comma" xfId="1" builtinId="3"/>
    <cellStyle name="Comma [0]" xfId="3" builtinId="6"/>
    <cellStyle name="Normal" xfId="0" builtinId="0"/>
    <cellStyle name="Percent" xfId="2" builtinId="5"/>
  </cellStyles>
  <dxfs count="9">
    <dxf>
      <border>
        <left style="thin">
          <color theme="6"/>
        </left>
      </border>
    </dxf>
    <dxf>
      <border>
        <left style="thin">
          <color theme="6"/>
        </left>
      </border>
    </dxf>
    <dxf>
      <border>
        <top style="thin">
          <color theme="6"/>
        </top>
      </border>
    </dxf>
    <dxf>
      <border>
        <top style="thin">
          <color theme="6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6"/>
        </top>
      </border>
    </dxf>
    <dxf>
      <font>
        <b/>
        <color theme="0"/>
      </font>
      <fill>
        <patternFill patternType="solid">
          <fgColor rgb="FF008445"/>
          <bgColor rgb="FF008B44"/>
        </patternFill>
      </fill>
    </dxf>
    <dxf>
      <font>
        <color theme="1"/>
      </font>
      <border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</border>
    </dxf>
  </dxfs>
  <tableStyles count="1" defaultTableStyle="TableStyleMedium2" defaultPivotStyle="PivotStyleLight16">
    <tableStyle name="VpbankTable" pivot="0" count="9">
      <tableStyleElement type="wholeTable" dxfId="8"/>
      <tableStyleElement type="headerRow" dxfId="7"/>
      <tableStyleElement type="totalRow" dxfId="6"/>
      <tableStyleElement type="firstColumn" dxfId="5"/>
      <tableStyleElement type="lastColumn" dxfId="4"/>
      <tableStyleElement type="firstRowStripe" dxfId="3"/>
      <tableStyleElement type="secondRowStripe" dxfId="2"/>
      <tableStyleElement type="firstColumnStripe" dxfId="1"/>
      <tableStyleElement type="secondColumnStripe" dxfId="0"/>
    </tableStyle>
  </tableStyles>
  <colors>
    <mruColors>
      <color rgb="FF143F8F"/>
      <color rgb="FF4001B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</xdr:colOff>
      <xdr:row>0</xdr:row>
      <xdr:rowOff>7620</xdr:rowOff>
    </xdr:from>
    <xdr:to>
      <xdr:col>6</xdr:col>
      <xdr:colOff>0</xdr:colOff>
      <xdr:row>14</xdr:row>
      <xdr:rowOff>0</xdr:rowOff>
    </xdr:to>
    <xdr:sp macro="" textlink="">
      <xdr:nvSpPr>
        <xdr:cNvPr id="12" name="Rectangle 11"/>
        <xdr:cNvSpPr>
          <a:spLocks noChangeAspect="1"/>
        </xdr:cNvSpPr>
      </xdr:nvSpPr>
      <xdr:spPr>
        <a:xfrm>
          <a:off x="7620" y="7620"/>
          <a:ext cx="6370320" cy="4084320"/>
        </a:xfrm>
        <a:prstGeom prst="rect">
          <a:avLst/>
        </a:prstGeom>
        <a:noFill/>
        <a:ln w="19050">
          <a:solidFill>
            <a:srgbClr val="143F8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6</xdr:col>
      <xdr:colOff>7620</xdr:colOff>
      <xdr:row>11</xdr:row>
      <xdr:rowOff>7620</xdr:rowOff>
    </xdr:to>
    <xdr:pic macro="[0]!ChayTatCa">
      <xdr:nvPicPr>
        <xdr:cNvPr id="14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41320" y="2659380"/>
          <a:ext cx="3444240" cy="8915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7</xdr:row>
      <xdr:rowOff>0</xdr:rowOff>
    </xdr:from>
    <xdr:to>
      <xdr:col>3</xdr:col>
      <xdr:colOff>7620</xdr:colOff>
      <xdr:row>11</xdr:row>
      <xdr:rowOff>7620</xdr:rowOff>
    </xdr:to>
    <xdr:pic macro="[0]!UploadToSKTC">
      <xdr:nvPicPr>
        <xdr:cNvPr id="15" name="Picture 14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59380"/>
          <a:ext cx="2948940" cy="8915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251460</xdr:colOff>
      <xdr:row>2</xdr:row>
      <xdr:rowOff>106680</xdr:rowOff>
    </xdr:from>
    <xdr:to>
      <xdr:col>1</xdr:col>
      <xdr:colOff>243840</xdr:colOff>
      <xdr:row>2</xdr:row>
      <xdr:rowOff>381000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436" t="37611" r="27444" b="43069"/>
        <a:stretch/>
      </xdr:blipFill>
      <xdr:spPr>
        <a:xfrm>
          <a:off x="251460" y="754380"/>
          <a:ext cx="975360" cy="27432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HTML_SKTC" backgroundRefresh="0" growShrinkType="overwriteClear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TML_SKTC_2" backgroundRefresh="0" growShrinkType="overwriteClear" connectionId="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TML_SKTC_3" backgroundRefresh="0" growShrinkType="overwriteClear" connectionId="4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TML_SKTC_1" backgroundRefresh="0" growShrinkType="overwriteClear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4.xml"/><Relationship Id="rId4" Type="http://schemas.openxmlformats.org/officeDocument/2006/relationships/queryTable" Target="../queryTables/query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J226"/>
  <sheetViews>
    <sheetView topLeftCell="L1" workbookViewId="0">
      <selection activeCell="A4" sqref="A4:D226"/>
    </sheetView>
  </sheetViews>
  <sheetFormatPr defaultRowHeight="14.4" x14ac:dyDescent="0.3"/>
  <cols>
    <col min="1" max="1" width="10.5546875" style="51" bestFit="1" customWidth="1"/>
    <col min="2" max="2" width="10.88671875" style="24" bestFit="1" customWidth="1"/>
    <col min="3" max="3" width="15.21875" style="24" bestFit="1" customWidth="1"/>
    <col min="4" max="4" width="10" style="24" bestFit="1" customWidth="1"/>
    <col min="5" max="7" width="0" hidden="1" customWidth="1"/>
    <col min="8" max="8" width="10.5546875" style="24" bestFit="1" customWidth="1"/>
    <col min="9" max="9" width="10.6640625" hidden="1" customWidth="1"/>
    <col min="10" max="10" width="20.21875" hidden="1" customWidth="1"/>
    <col min="11" max="11" width="0" hidden="1" customWidth="1"/>
  </cols>
  <sheetData>
    <row r="2" spans="1:8" x14ac:dyDescent="0.3">
      <c r="B2" s="24" t="s">
        <v>2180</v>
      </c>
      <c r="C2" s="24" t="s">
        <v>131</v>
      </c>
      <c r="D2" s="24" t="s">
        <v>2181</v>
      </c>
    </row>
    <row r="3" spans="1:8" x14ac:dyDescent="0.3">
      <c r="A3" s="51" t="s">
        <v>103</v>
      </c>
      <c r="B3" s="24" t="s">
        <v>104</v>
      </c>
      <c r="C3" s="24" t="s">
        <v>105</v>
      </c>
      <c r="D3" s="24" t="s">
        <v>106</v>
      </c>
      <c r="H3" s="24" t="s">
        <v>107</v>
      </c>
    </row>
    <row r="4" spans="1:8" x14ac:dyDescent="0.3">
      <c r="A4" s="51">
        <v>45146</v>
      </c>
      <c r="B4" s="24">
        <v>1000000</v>
      </c>
      <c r="H4" s="24">
        <v>39537329</v>
      </c>
    </row>
    <row r="5" spans="1:8" x14ac:dyDescent="0.3">
      <c r="A5" s="51">
        <v>45147</v>
      </c>
      <c r="B5" s="24">
        <v>240000</v>
      </c>
      <c r="H5" s="24">
        <v>39777329</v>
      </c>
    </row>
    <row r="6" spans="1:8" x14ac:dyDescent="0.3">
      <c r="A6" s="51">
        <v>45150</v>
      </c>
      <c r="B6" s="24">
        <v>52751625</v>
      </c>
      <c r="C6" s="24">
        <v>125000000</v>
      </c>
      <c r="H6" s="24">
        <v>-32471046</v>
      </c>
    </row>
    <row r="7" spans="1:8" x14ac:dyDescent="0.3">
      <c r="A7" s="51">
        <v>45152</v>
      </c>
      <c r="B7" s="24">
        <v>39096737</v>
      </c>
      <c r="C7" s="24">
        <v>10000000</v>
      </c>
      <c r="H7" s="24">
        <v>-3374309</v>
      </c>
    </row>
    <row r="8" spans="1:8" x14ac:dyDescent="0.3">
      <c r="A8" s="51">
        <v>45153</v>
      </c>
      <c r="B8" s="24">
        <v>24032000</v>
      </c>
      <c r="C8" s="24">
        <v>79835</v>
      </c>
      <c r="H8" s="24">
        <v>20577856</v>
      </c>
    </row>
    <row r="9" spans="1:8" x14ac:dyDescent="0.3">
      <c r="A9" s="51">
        <v>45154</v>
      </c>
      <c r="B9" s="24">
        <v>1360000</v>
      </c>
      <c r="C9" s="24">
        <v>160000</v>
      </c>
      <c r="H9" s="24">
        <v>21777856</v>
      </c>
    </row>
    <row r="10" spans="1:8" x14ac:dyDescent="0.3">
      <c r="A10" s="51">
        <v>45155</v>
      </c>
      <c r="B10" s="24">
        <v>613000</v>
      </c>
      <c r="H10" s="24">
        <v>22390856</v>
      </c>
    </row>
    <row r="11" spans="1:8" x14ac:dyDescent="0.3">
      <c r="A11" s="51">
        <v>45156</v>
      </c>
      <c r="B11" s="24">
        <v>1000000</v>
      </c>
      <c r="H11" s="24">
        <v>23390856</v>
      </c>
    </row>
    <row r="12" spans="1:8" x14ac:dyDescent="0.3">
      <c r="A12" s="51">
        <v>45157</v>
      </c>
      <c r="B12" s="24">
        <v>3880000</v>
      </c>
      <c r="C12" s="24">
        <v>1000000</v>
      </c>
      <c r="H12" s="24">
        <v>26270856</v>
      </c>
    </row>
    <row r="13" spans="1:8" x14ac:dyDescent="0.3">
      <c r="A13" s="51">
        <v>45159</v>
      </c>
      <c r="B13" s="24">
        <v>3400000</v>
      </c>
      <c r="H13" s="24">
        <v>29670856</v>
      </c>
    </row>
    <row r="14" spans="1:8" x14ac:dyDescent="0.3">
      <c r="A14" s="51">
        <v>45161</v>
      </c>
      <c r="B14" s="24">
        <v>4000000</v>
      </c>
      <c r="H14" s="24">
        <v>33670856</v>
      </c>
    </row>
    <row r="15" spans="1:8" x14ac:dyDescent="0.3">
      <c r="A15" s="51">
        <v>45163</v>
      </c>
      <c r="B15" s="24">
        <v>286000</v>
      </c>
      <c r="H15" s="24">
        <v>33956856</v>
      </c>
    </row>
    <row r="16" spans="1:8" x14ac:dyDescent="0.3">
      <c r="A16" s="51">
        <v>45164</v>
      </c>
      <c r="B16" s="24">
        <v>1271000</v>
      </c>
      <c r="C16" s="24">
        <v>1000</v>
      </c>
      <c r="D16" s="24">
        <v>1000</v>
      </c>
      <c r="H16" s="24">
        <v>35226856</v>
      </c>
    </row>
    <row r="17" spans="1:8" x14ac:dyDescent="0.3">
      <c r="A17" s="51">
        <v>45166</v>
      </c>
      <c r="B17" s="24">
        <v>13531412</v>
      </c>
      <c r="C17" s="24">
        <v>8758268</v>
      </c>
      <c r="D17" s="24">
        <v>31412</v>
      </c>
      <c r="H17" s="24">
        <v>40000000</v>
      </c>
    </row>
    <row r="18" spans="1:8" x14ac:dyDescent="0.3">
      <c r="A18" s="51">
        <v>45167</v>
      </c>
      <c r="B18" s="24">
        <v>506992</v>
      </c>
      <c r="C18" s="24">
        <v>1212850</v>
      </c>
      <c r="D18" s="24">
        <v>206992</v>
      </c>
      <c r="H18" s="24">
        <v>39294142</v>
      </c>
    </row>
    <row r="19" spans="1:8" x14ac:dyDescent="0.3">
      <c r="A19" s="51">
        <v>45168</v>
      </c>
      <c r="B19" s="24">
        <v>200000</v>
      </c>
      <c r="H19" s="24">
        <v>39494142</v>
      </c>
    </row>
    <row r="20" spans="1:8" x14ac:dyDescent="0.3">
      <c r="A20" s="51">
        <v>45169</v>
      </c>
      <c r="B20" s="24">
        <v>8335000</v>
      </c>
      <c r="C20" s="24">
        <v>9695388</v>
      </c>
      <c r="H20" s="24">
        <v>38133754</v>
      </c>
    </row>
    <row r="21" spans="1:8" x14ac:dyDescent="0.3">
      <c r="A21" s="51">
        <v>45170</v>
      </c>
      <c r="B21" s="24">
        <v>500000</v>
      </c>
      <c r="H21" s="24">
        <v>38633754</v>
      </c>
    </row>
    <row r="22" spans="1:8" x14ac:dyDescent="0.3">
      <c r="A22" s="51">
        <v>45174</v>
      </c>
      <c r="B22" s="24">
        <v>15810000</v>
      </c>
      <c r="C22" s="24">
        <v>14813220</v>
      </c>
      <c r="H22" s="24">
        <v>39630534</v>
      </c>
    </row>
    <row r="23" spans="1:8" x14ac:dyDescent="0.3">
      <c r="A23" s="51">
        <v>45175</v>
      </c>
      <c r="B23" s="24">
        <v>4136000</v>
      </c>
      <c r="C23" s="24">
        <v>7257300</v>
      </c>
      <c r="H23" s="24">
        <v>36509234</v>
      </c>
    </row>
    <row r="24" spans="1:8" x14ac:dyDescent="0.3">
      <c r="A24" s="51">
        <v>45176</v>
      </c>
      <c r="B24" s="24">
        <v>350000</v>
      </c>
      <c r="H24" s="24">
        <v>36859234</v>
      </c>
    </row>
    <row r="25" spans="1:8" x14ac:dyDescent="0.3">
      <c r="A25" s="51">
        <v>45177</v>
      </c>
      <c r="B25" s="24">
        <v>4983000</v>
      </c>
      <c r="C25" s="24">
        <v>3635850</v>
      </c>
      <c r="H25" s="24">
        <v>38206384</v>
      </c>
    </row>
    <row r="26" spans="1:8" x14ac:dyDescent="0.3">
      <c r="A26" s="51">
        <v>45178</v>
      </c>
      <c r="B26" s="24">
        <v>30618000</v>
      </c>
      <c r="C26" s="24">
        <v>31000000</v>
      </c>
      <c r="H26" s="24">
        <v>37824384</v>
      </c>
    </row>
    <row r="27" spans="1:8" x14ac:dyDescent="0.3">
      <c r="A27" s="51">
        <v>45180</v>
      </c>
      <c r="B27" s="24">
        <v>7676000</v>
      </c>
      <c r="C27" s="24">
        <v>7666836</v>
      </c>
      <c r="H27" s="24">
        <v>37833548</v>
      </c>
    </row>
    <row r="28" spans="1:8" x14ac:dyDescent="0.3">
      <c r="A28" s="51">
        <v>45181</v>
      </c>
      <c r="B28" s="24">
        <v>920000</v>
      </c>
      <c r="H28" s="24">
        <v>38753548</v>
      </c>
    </row>
    <row r="29" spans="1:8" x14ac:dyDescent="0.3">
      <c r="A29" s="51">
        <v>45182</v>
      </c>
      <c r="B29" s="24">
        <v>6750000</v>
      </c>
      <c r="C29" s="24">
        <v>9060193</v>
      </c>
      <c r="H29" s="24">
        <v>36443355</v>
      </c>
    </row>
    <row r="30" spans="1:8" x14ac:dyDescent="0.3">
      <c r="A30" s="51">
        <v>45183</v>
      </c>
      <c r="B30" s="24">
        <v>7900000</v>
      </c>
      <c r="C30" s="24">
        <v>4852600</v>
      </c>
      <c r="H30" s="24">
        <v>39490755</v>
      </c>
    </row>
    <row r="31" spans="1:8" x14ac:dyDescent="0.3">
      <c r="A31" s="51">
        <v>45187</v>
      </c>
      <c r="B31" s="24">
        <v>8512000</v>
      </c>
      <c r="C31" s="24">
        <v>8228067</v>
      </c>
      <c r="H31" s="24">
        <v>39774688</v>
      </c>
    </row>
    <row r="32" spans="1:8" x14ac:dyDescent="0.3">
      <c r="A32" s="51">
        <v>45188</v>
      </c>
      <c r="B32" s="24">
        <v>1700000</v>
      </c>
      <c r="C32" s="24">
        <v>1500000</v>
      </c>
      <c r="H32" s="24">
        <v>39974688</v>
      </c>
    </row>
    <row r="33" spans="1:8" x14ac:dyDescent="0.3">
      <c r="A33" s="51">
        <v>45189</v>
      </c>
      <c r="B33" s="24">
        <v>1500000</v>
      </c>
      <c r="C33" s="24">
        <v>1686522</v>
      </c>
      <c r="H33" s="24">
        <v>39788166</v>
      </c>
    </row>
    <row r="34" spans="1:8" x14ac:dyDescent="0.3">
      <c r="A34" s="51">
        <v>45190</v>
      </c>
      <c r="B34" s="24">
        <v>1720000</v>
      </c>
      <c r="C34" s="24">
        <v>1737307</v>
      </c>
      <c r="H34" s="24">
        <v>39770859</v>
      </c>
    </row>
    <row r="35" spans="1:8" x14ac:dyDescent="0.3">
      <c r="A35" s="51">
        <v>45192</v>
      </c>
      <c r="B35" s="24">
        <v>5070000</v>
      </c>
      <c r="C35" s="24">
        <v>4860000</v>
      </c>
      <c r="H35" s="24">
        <v>39980859</v>
      </c>
    </row>
    <row r="36" spans="1:8" x14ac:dyDescent="0.3">
      <c r="A36" s="51">
        <v>45194</v>
      </c>
      <c r="B36" s="24">
        <v>6986000</v>
      </c>
      <c r="C36" s="24">
        <v>6986736</v>
      </c>
      <c r="H36" s="24">
        <v>39980123</v>
      </c>
    </row>
    <row r="37" spans="1:8" x14ac:dyDescent="0.3">
      <c r="A37" s="51">
        <v>45195</v>
      </c>
      <c r="B37" s="24">
        <v>1000</v>
      </c>
      <c r="C37" s="24">
        <v>1000</v>
      </c>
      <c r="D37" s="24">
        <v>1000</v>
      </c>
      <c r="H37" s="24">
        <v>39980123</v>
      </c>
    </row>
    <row r="38" spans="1:8" x14ac:dyDescent="0.3">
      <c r="A38" s="51">
        <v>45197</v>
      </c>
      <c r="B38" s="24">
        <v>951456</v>
      </c>
      <c r="C38" s="24">
        <v>2476086</v>
      </c>
      <c r="D38" s="24">
        <v>951456</v>
      </c>
      <c r="H38" s="24">
        <v>38455493</v>
      </c>
    </row>
    <row r="39" spans="1:8" x14ac:dyDescent="0.3">
      <c r="A39" s="51">
        <v>45198</v>
      </c>
      <c r="B39" s="24">
        <v>10850000</v>
      </c>
      <c r="C39" s="24">
        <v>13474339</v>
      </c>
      <c r="H39" s="24">
        <v>35831154</v>
      </c>
    </row>
    <row r="40" spans="1:8" x14ac:dyDescent="0.3">
      <c r="A40" s="51">
        <v>45199</v>
      </c>
      <c r="B40" s="24">
        <v>1755000</v>
      </c>
      <c r="H40" s="24">
        <v>37586154</v>
      </c>
    </row>
    <row r="41" spans="1:8" x14ac:dyDescent="0.3">
      <c r="A41" s="51">
        <v>45201</v>
      </c>
      <c r="B41" s="24">
        <v>29440400</v>
      </c>
      <c r="C41" s="24">
        <v>27255450</v>
      </c>
      <c r="H41" s="24">
        <v>39771104</v>
      </c>
    </row>
    <row r="42" spans="1:8" x14ac:dyDescent="0.3">
      <c r="A42" s="51">
        <v>45202</v>
      </c>
      <c r="B42" s="24">
        <v>30000</v>
      </c>
      <c r="C42" s="24">
        <v>1500000</v>
      </c>
      <c r="H42" s="24">
        <v>38301104</v>
      </c>
    </row>
    <row r="43" spans="1:8" x14ac:dyDescent="0.3">
      <c r="A43" s="51">
        <v>45205</v>
      </c>
      <c r="B43" s="24">
        <v>12145000</v>
      </c>
      <c r="C43" s="24">
        <v>10600000</v>
      </c>
      <c r="H43" s="24">
        <v>39846104</v>
      </c>
    </row>
    <row r="44" spans="1:8" x14ac:dyDescent="0.3">
      <c r="A44" s="51">
        <v>45206</v>
      </c>
      <c r="C44" s="24">
        <v>1724030</v>
      </c>
      <c r="H44" s="24">
        <v>38122074</v>
      </c>
    </row>
    <row r="45" spans="1:8" x14ac:dyDescent="0.3">
      <c r="A45" s="51">
        <v>45208</v>
      </c>
      <c r="B45" s="24">
        <v>16580000</v>
      </c>
      <c r="C45" s="24">
        <v>14911655</v>
      </c>
      <c r="H45" s="24">
        <v>39790419</v>
      </c>
    </row>
    <row r="46" spans="1:8" x14ac:dyDescent="0.3">
      <c r="A46" s="51">
        <v>45209</v>
      </c>
      <c r="B46" s="24">
        <v>40000</v>
      </c>
      <c r="H46" s="24">
        <v>39830419</v>
      </c>
    </row>
    <row r="47" spans="1:8" x14ac:dyDescent="0.3">
      <c r="A47" s="51">
        <v>45211</v>
      </c>
      <c r="B47" s="24">
        <v>10000000</v>
      </c>
      <c r="C47" s="24">
        <v>10043939</v>
      </c>
      <c r="H47" s="24">
        <v>39786480</v>
      </c>
    </row>
    <row r="48" spans="1:8" x14ac:dyDescent="0.3">
      <c r="A48" s="51">
        <v>45213</v>
      </c>
      <c r="B48" s="24">
        <v>1900000</v>
      </c>
      <c r="C48" s="24">
        <v>1976240</v>
      </c>
      <c r="H48" s="24">
        <v>39710240</v>
      </c>
    </row>
    <row r="49" spans="1:8" x14ac:dyDescent="0.3">
      <c r="A49" s="51">
        <v>45215</v>
      </c>
      <c r="B49" s="24">
        <v>4700000</v>
      </c>
      <c r="C49" s="24">
        <v>6820682</v>
      </c>
      <c r="H49" s="24">
        <v>37589558</v>
      </c>
    </row>
    <row r="50" spans="1:8" x14ac:dyDescent="0.3">
      <c r="A50" s="51">
        <v>45216</v>
      </c>
      <c r="B50" s="24">
        <v>1200000</v>
      </c>
      <c r="C50" s="24">
        <v>445000</v>
      </c>
      <c r="H50" s="24">
        <v>38344558</v>
      </c>
    </row>
    <row r="51" spans="1:8" x14ac:dyDescent="0.3">
      <c r="A51" s="51">
        <v>45217</v>
      </c>
      <c r="B51" s="24">
        <v>10800760</v>
      </c>
      <c r="C51" s="24">
        <v>10000000</v>
      </c>
      <c r="H51" s="24">
        <v>39145318</v>
      </c>
    </row>
    <row r="52" spans="1:8" x14ac:dyDescent="0.3">
      <c r="A52" s="51">
        <v>45218</v>
      </c>
      <c r="B52" s="24">
        <v>300000</v>
      </c>
      <c r="C52" s="24">
        <v>3750000</v>
      </c>
      <c r="H52" s="24">
        <v>35695318</v>
      </c>
    </row>
    <row r="53" spans="1:8" x14ac:dyDescent="0.3">
      <c r="A53" s="51">
        <v>45219</v>
      </c>
      <c r="B53" s="24">
        <v>10790000</v>
      </c>
      <c r="C53" s="24">
        <v>12940000</v>
      </c>
      <c r="H53" s="24">
        <v>33545318</v>
      </c>
    </row>
    <row r="54" spans="1:8" x14ac:dyDescent="0.3">
      <c r="A54" s="51">
        <v>45222</v>
      </c>
      <c r="B54" s="24">
        <v>20098000</v>
      </c>
      <c r="C54" s="24">
        <v>15807509</v>
      </c>
      <c r="H54" s="24">
        <v>37835809</v>
      </c>
    </row>
    <row r="55" spans="1:8" x14ac:dyDescent="0.3">
      <c r="A55" s="51">
        <v>45223</v>
      </c>
      <c r="B55" s="24">
        <v>1000000</v>
      </c>
      <c r="H55" s="24">
        <v>38835809</v>
      </c>
    </row>
    <row r="56" spans="1:8" x14ac:dyDescent="0.3">
      <c r="A56" s="51">
        <v>45224</v>
      </c>
      <c r="B56" s="24">
        <v>50000</v>
      </c>
      <c r="C56" s="24">
        <v>7750000</v>
      </c>
      <c r="H56" s="24">
        <v>31135809</v>
      </c>
    </row>
    <row r="57" spans="1:8" x14ac:dyDescent="0.3">
      <c r="A57" s="51">
        <v>45225</v>
      </c>
      <c r="B57" s="24">
        <v>1354000</v>
      </c>
      <c r="H57" s="24">
        <v>32489809</v>
      </c>
    </row>
    <row r="58" spans="1:8" x14ac:dyDescent="0.3">
      <c r="A58" s="51">
        <v>45226</v>
      </c>
      <c r="B58" s="24">
        <v>600000</v>
      </c>
      <c r="H58" s="24">
        <v>33089809</v>
      </c>
    </row>
    <row r="59" spans="1:8" x14ac:dyDescent="0.3">
      <c r="A59" s="51">
        <v>45227</v>
      </c>
      <c r="B59" s="24">
        <v>225800</v>
      </c>
      <c r="H59" s="24">
        <v>33315609</v>
      </c>
    </row>
    <row r="60" spans="1:8" x14ac:dyDescent="0.3">
      <c r="A60" s="51">
        <v>45229</v>
      </c>
      <c r="B60" s="24">
        <v>5900044</v>
      </c>
      <c r="C60" s="24">
        <v>8426700</v>
      </c>
      <c r="D60" s="24">
        <v>904044</v>
      </c>
      <c r="H60" s="24">
        <v>30788953</v>
      </c>
    </row>
    <row r="61" spans="1:8" x14ac:dyDescent="0.3">
      <c r="A61" s="51">
        <v>45230</v>
      </c>
      <c r="B61" s="24">
        <v>4985000</v>
      </c>
      <c r="C61" s="24">
        <v>2329000</v>
      </c>
      <c r="H61" s="24">
        <v>33444953</v>
      </c>
    </row>
    <row r="62" spans="1:8" x14ac:dyDescent="0.3">
      <c r="A62" s="51">
        <v>45231</v>
      </c>
      <c r="B62" s="24">
        <v>11239734</v>
      </c>
      <c r="C62" s="24">
        <v>6153734</v>
      </c>
      <c r="H62" s="24">
        <v>38530953</v>
      </c>
    </row>
    <row r="63" spans="1:8" x14ac:dyDescent="0.3">
      <c r="A63" s="51">
        <v>45232</v>
      </c>
      <c r="B63" s="24">
        <v>1335000</v>
      </c>
      <c r="C63" s="24">
        <v>1939500</v>
      </c>
      <c r="H63" s="24">
        <v>37926453</v>
      </c>
    </row>
    <row r="64" spans="1:8" x14ac:dyDescent="0.3">
      <c r="A64" s="51">
        <v>45233</v>
      </c>
      <c r="B64" s="24">
        <v>10487981</v>
      </c>
      <c r="C64" s="24">
        <v>10000000</v>
      </c>
      <c r="H64" s="24">
        <v>38414434</v>
      </c>
    </row>
    <row r="65" spans="1:8" x14ac:dyDescent="0.3">
      <c r="A65" s="51">
        <v>45234</v>
      </c>
      <c r="B65" s="24">
        <v>5445000</v>
      </c>
      <c r="C65" s="24">
        <v>6278000</v>
      </c>
      <c r="H65" s="24">
        <v>37581434</v>
      </c>
    </row>
    <row r="66" spans="1:8" x14ac:dyDescent="0.3">
      <c r="A66" s="51">
        <v>45236</v>
      </c>
      <c r="B66" s="24">
        <v>15371600</v>
      </c>
      <c r="C66" s="24">
        <v>16223500</v>
      </c>
      <c r="H66" s="24">
        <v>36729534</v>
      </c>
    </row>
    <row r="67" spans="1:8" x14ac:dyDescent="0.3">
      <c r="A67" s="51">
        <v>45237</v>
      </c>
      <c r="B67" s="24">
        <v>1756000</v>
      </c>
      <c r="C67" s="24">
        <v>477000</v>
      </c>
      <c r="H67" s="24">
        <v>38008534</v>
      </c>
    </row>
    <row r="68" spans="1:8" x14ac:dyDescent="0.3">
      <c r="A68" s="51">
        <v>45238</v>
      </c>
      <c r="B68" s="24">
        <v>600000</v>
      </c>
      <c r="H68" s="24">
        <v>38608534</v>
      </c>
    </row>
    <row r="69" spans="1:8" x14ac:dyDescent="0.3">
      <c r="A69" s="51">
        <v>45239</v>
      </c>
      <c r="B69" s="24">
        <v>7009000</v>
      </c>
      <c r="C69" s="24">
        <v>6406000</v>
      </c>
      <c r="H69" s="24">
        <v>39211534</v>
      </c>
    </row>
    <row r="70" spans="1:8" x14ac:dyDescent="0.3">
      <c r="A70" s="51">
        <v>45240</v>
      </c>
      <c r="B70" s="24">
        <v>11894000</v>
      </c>
      <c r="C70" s="24">
        <v>26511200</v>
      </c>
      <c r="H70" s="24">
        <v>24594334</v>
      </c>
    </row>
    <row r="71" spans="1:8" x14ac:dyDescent="0.3">
      <c r="A71" s="51">
        <v>45241</v>
      </c>
      <c r="B71" s="24">
        <v>15000000</v>
      </c>
      <c r="H71" s="24">
        <v>39594334</v>
      </c>
    </row>
    <row r="72" spans="1:8" x14ac:dyDescent="0.3">
      <c r="A72" s="51">
        <v>45243</v>
      </c>
      <c r="B72" s="24">
        <v>11700000</v>
      </c>
      <c r="C72" s="24">
        <v>17478299</v>
      </c>
      <c r="H72" s="24">
        <v>33816035</v>
      </c>
    </row>
    <row r="73" spans="1:8" x14ac:dyDescent="0.3">
      <c r="A73" s="51">
        <v>45244</v>
      </c>
      <c r="B73" s="24">
        <v>7861900</v>
      </c>
      <c r="C73" s="24">
        <v>10000000</v>
      </c>
      <c r="H73" s="24">
        <v>31677935</v>
      </c>
    </row>
    <row r="74" spans="1:8" x14ac:dyDescent="0.3">
      <c r="A74" s="51">
        <v>45245</v>
      </c>
      <c r="B74" s="24">
        <v>4511193</v>
      </c>
      <c r="H74" s="24">
        <v>36189128</v>
      </c>
    </row>
    <row r="75" spans="1:8" x14ac:dyDescent="0.3">
      <c r="A75" s="51">
        <v>45247</v>
      </c>
      <c r="B75" s="24">
        <v>240364</v>
      </c>
      <c r="H75" s="24">
        <v>36429492</v>
      </c>
    </row>
    <row r="76" spans="1:8" x14ac:dyDescent="0.3">
      <c r="A76" s="51">
        <v>45248</v>
      </c>
      <c r="B76" s="24">
        <v>2473500</v>
      </c>
      <c r="H76" s="24">
        <v>38902992</v>
      </c>
    </row>
    <row r="77" spans="1:8" x14ac:dyDescent="0.3">
      <c r="A77" s="51">
        <v>45250</v>
      </c>
      <c r="B77" s="24">
        <v>4944000</v>
      </c>
      <c r="C77" s="24">
        <v>4000000</v>
      </c>
      <c r="H77" s="24">
        <v>39846992</v>
      </c>
    </row>
    <row r="78" spans="1:8" x14ac:dyDescent="0.3">
      <c r="A78" s="51">
        <v>45251</v>
      </c>
      <c r="B78" s="24">
        <v>200000</v>
      </c>
      <c r="C78" s="24">
        <v>68000</v>
      </c>
      <c r="H78" s="24">
        <v>39978992</v>
      </c>
    </row>
    <row r="79" spans="1:8" x14ac:dyDescent="0.3">
      <c r="A79" s="51">
        <v>45255</v>
      </c>
      <c r="B79" s="24">
        <v>900000</v>
      </c>
      <c r="C79" s="24">
        <v>918799</v>
      </c>
      <c r="H79" s="24">
        <v>39960193</v>
      </c>
    </row>
    <row r="80" spans="1:8" x14ac:dyDescent="0.3">
      <c r="A80" s="51">
        <v>45257</v>
      </c>
      <c r="B80" s="24">
        <v>5931038</v>
      </c>
      <c r="C80" s="24">
        <v>7491231</v>
      </c>
      <c r="D80" s="24">
        <v>440038</v>
      </c>
      <c r="H80" s="24">
        <v>38400000</v>
      </c>
    </row>
    <row r="81" spans="1:8" x14ac:dyDescent="0.3">
      <c r="A81" s="51">
        <v>45258</v>
      </c>
      <c r="B81" s="24">
        <v>2598466</v>
      </c>
      <c r="C81" s="24">
        <v>5850000</v>
      </c>
      <c r="D81" s="24">
        <v>461466</v>
      </c>
      <c r="H81" s="24">
        <v>35148466</v>
      </c>
    </row>
    <row r="82" spans="1:8" x14ac:dyDescent="0.3">
      <c r="A82" s="51">
        <v>45259</v>
      </c>
      <c r="B82" s="24">
        <v>5550000</v>
      </c>
      <c r="C82" s="24">
        <v>4444000</v>
      </c>
      <c r="H82" s="24">
        <v>36254466</v>
      </c>
    </row>
    <row r="83" spans="1:8" x14ac:dyDescent="0.3">
      <c r="A83" s="51">
        <v>45260</v>
      </c>
      <c r="B83" s="24">
        <v>2307000</v>
      </c>
      <c r="C83" s="24">
        <v>500000</v>
      </c>
      <c r="H83" s="24">
        <v>38061466</v>
      </c>
    </row>
    <row r="84" spans="1:8" x14ac:dyDescent="0.3">
      <c r="A84" s="51">
        <v>45261</v>
      </c>
      <c r="B84" s="24">
        <v>6512000</v>
      </c>
      <c r="C84" s="24">
        <v>6942071</v>
      </c>
      <c r="H84" s="24">
        <v>37631395</v>
      </c>
    </row>
    <row r="85" spans="1:8" x14ac:dyDescent="0.3">
      <c r="A85" s="51">
        <v>45262</v>
      </c>
      <c r="B85" s="24">
        <v>4414666</v>
      </c>
      <c r="C85" s="24">
        <v>2800000</v>
      </c>
      <c r="H85" s="24">
        <v>39246061</v>
      </c>
    </row>
    <row r="86" spans="1:8" x14ac:dyDescent="0.3">
      <c r="A86" s="51">
        <v>45264</v>
      </c>
      <c r="B86" s="24">
        <v>26300000</v>
      </c>
      <c r="C86" s="24">
        <v>27518000</v>
      </c>
      <c r="H86" s="24">
        <v>38028061</v>
      </c>
    </row>
    <row r="87" spans="1:8" x14ac:dyDescent="0.3">
      <c r="A87" s="51">
        <v>45265</v>
      </c>
      <c r="B87" s="24">
        <v>1000000</v>
      </c>
      <c r="C87" s="24">
        <v>7889000</v>
      </c>
      <c r="H87" s="24">
        <v>31139061</v>
      </c>
    </row>
    <row r="88" spans="1:8" x14ac:dyDescent="0.3">
      <c r="A88" s="51">
        <v>45266</v>
      </c>
      <c r="B88" s="24">
        <v>12000000</v>
      </c>
      <c r="C88" s="24">
        <v>3970000</v>
      </c>
      <c r="H88" s="24">
        <v>39169061</v>
      </c>
    </row>
    <row r="89" spans="1:8" x14ac:dyDescent="0.3">
      <c r="A89" s="51">
        <v>45267</v>
      </c>
      <c r="B89" s="24">
        <v>5765185</v>
      </c>
      <c r="C89" s="24">
        <v>5129000</v>
      </c>
      <c r="H89" s="24">
        <v>39805246</v>
      </c>
    </row>
    <row r="90" spans="1:8" x14ac:dyDescent="0.3">
      <c r="A90" s="51">
        <v>45269</v>
      </c>
      <c r="B90" s="24">
        <v>4629000</v>
      </c>
      <c r="C90" s="24">
        <v>11793020</v>
      </c>
      <c r="H90" s="24">
        <v>32641226</v>
      </c>
    </row>
    <row r="91" spans="1:8" x14ac:dyDescent="0.3">
      <c r="A91" s="51">
        <v>45271</v>
      </c>
      <c r="B91" s="24">
        <v>2552700</v>
      </c>
      <c r="H91" s="24">
        <v>35193926</v>
      </c>
    </row>
    <row r="92" spans="1:8" x14ac:dyDescent="0.3">
      <c r="A92" s="51">
        <v>45272</v>
      </c>
      <c r="B92" s="24">
        <v>86274000</v>
      </c>
      <c r="C92" s="24">
        <v>96500000</v>
      </c>
      <c r="H92" s="24">
        <v>24967926</v>
      </c>
    </row>
    <row r="93" spans="1:8" x14ac:dyDescent="0.3">
      <c r="A93" s="51">
        <v>45273</v>
      </c>
      <c r="B93" s="24">
        <v>20800000</v>
      </c>
      <c r="C93" s="24">
        <v>9302650</v>
      </c>
      <c r="H93" s="24">
        <v>36465276</v>
      </c>
    </row>
    <row r="94" spans="1:8" x14ac:dyDescent="0.3">
      <c r="A94" s="51">
        <v>45274</v>
      </c>
      <c r="B94" s="24">
        <v>3520000</v>
      </c>
      <c r="C94" s="24">
        <v>50000</v>
      </c>
      <c r="H94" s="24">
        <v>39935276</v>
      </c>
    </row>
    <row r="95" spans="1:8" x14ac:dyDescent="0.3">
      <c r="A95" s="51">
        <v>45275</v>
      </c>
      <c r="B95" s="24">
        <v>9284000</v>
      </c>
      <c r="C95" s="24">
        <v>14347893</v>
      </c>
      <c r="H95" s="24">
        <v>34871383</v>
      </c>
    </row>
    <row r="96" spans="1:8" x14ac:dyDescent="0.3">
      <c r="A96" s="51">
        <v>45276</v>
      </c>
      <c r="B96" s="24">
        <v>32255000</v>
      </c>
      <c r="C96" s="24">
        <v>101396600</v>
      </c>
      <c r="H96" s="24">
        <v>-34270217</v>
      </c>
    </row>
    <row r="97" spans="1:8" x14ac:dyDescent="0.3">
      <c r="A97" s="51">
        <v>45278</v>
      </c>
      <c r="B97" s="24">
        <v>78491600</v>
      </c>
      <c r="C97" s="24">
        <v>17360700</v>
      </c>
      <c r="H97" s="24">
        <v>26860683</v>
      </c>
    </row>
    <row r="98" spans="1:8" x14ac:dyDescent="0.3">
      <c r="A98" s="51">
        <v>45279</v>
      </c>
      <c r="B98" s="24">
        <v>10000000</v>
      </c>
      <c r="H98" s="24">
        <v>36860683</v>
      </c>
    </row>
    <row r="99" spans="1:8" x14ac:dyDescent="0.3">
      <c r="A99" s="51">
        <v>45280</v>
      </c>
      <c r="B99" s="24">
        <v>3883700</v>
      </c>
      <c r="C99" s="24">
        <v>746705</v>
      </c>
      <c r="H99" s="24">
        <v>39997678</v>
      </c>
    </row>
    <row r="100" spans="1:8" x14ac:dyDescent="0.3">
      <c r="A100" s="51">
        <v>45282</v>
      </c>
      <c r="B100" s="24">
        <v>9000000</v>
      </c>
      <c r="C100" s="24">
        <v>9930800</v>
      </c>
      <c r="H100" s="24">
        <v>39066878</v>
      </c>
    </row>
    <row r="101" spans="1:8" x14ac:dyDescent="0.3">
      <c r="A101" s="51">
        <v>45283</v>
      </c>
      <c r="B101" s="24">
        <v>5242000</v>
      </c>
      <c r="C101" s="24">
        <v>4965400</v>
      </c>
      <c r="H101" s="24">
        <v>39343478</v>
      </c>
    </row>
    <row r="102" spans="1:8" x14ac:dyDescent="0.3">
      <c r="A102" s="51">
        <v>45285</v>
      </c>
      <c r="B102" s="24">
        <v>2700000</v>
      </c>
      <c r="C102" s="24">
        <v>2981520</v>
      </c>
      <c r="H102" s="24">
        <v>39061958</v>
      </c>
    </row>
    <row r="103" spans="1:8" x14ac:dyDescent="0.3">
      <c r="A103" s="51">
        <v>45287</v>
      </c>
      <c r="B103" s="24">
        <v>51835756</v>
      </c>
      <c r="C103" s="24">
        <v>52825680</v>
      </c>
      <c r="D103" s="24">
        <v>817676</v>
      </c>
      <c r="H103" s="24">
        <v>38072034</v>
      </c>
    </row>
    <row r="104" spans="1:8" x14ac:dyDescent="0.3">
      <c r="A104" s="51">
        <v>45288</v>
      </c>
      <c r="B104" s="24">
        <v>800000</v>
      </c>
      <c r="H104" s="24">
        <v>38872034</v>
      </c>
    </row>
    <row r="105" spans="1:8" x14ac:dyDescent="0.3">
      <c r="A105" s="51">
        <v>45289</v>
      </c>
      <c r="B105" s="24">
        <v>2370000</v>
      </c>
      <c r="C105" s="24">
        <v>1460486</v>
      </c>
      <c r="H105" s="24">
        <v>39781548</v>
      </c>
    </row>
    <row r="106" spans="1:8" x14ac:dyDescent="0.3">
      <c r="A106" s="51">
        <v>45290</v>
      </c>
      <c r="B106" s="24">
        <v>1109000</v>
      </c>
      <c r="C106" s="24">
        <v>1935368</v>
      </c>
      <c r="H106" s="24">
        <v>38955180</v>
      </c>
    </row>
    <row r="107" spans="1:8" x14ac:dyDescent="0.3">
      <c r="A107" s="51">
        <v>45291</v>
      </c>
      <c r="B107" s="24">
        <v>951000</v>
      </c>
      <c r="C107" s="24">
        <v>188</v>
      </c>
      <c r="H107" s="24">
        <v>39905992</v>
      </c>
    </row>
    <row r="108" spans="1:8" x14ac:dyDescent="0.3">
      <c r="A108" s="51">
        <v>45292</v>
      </c>
      <c r="B108" s="24">
        <v>24659000</v>
      </c>
      <c r="C108" s="24">
        <v>24700000</v>
      </c>
      <c r="H108" s="24">
        <v>39864992</v>
      </c>
    </row>
    <row r="109" spans="1:8" x14ac:dyDescent="0.3">
      <c r="A109" s="51">
        <v>45293</v>
      </c>
      <c r="B109" s="24">
        <v>6843000</v>
      </c>
      <c r="C109" s="24">
        <v>9253099</v>
      </c>
      <c r="H109" s="24">
        <v>37454893</v>
      </c>
    </row>
    <row r="110" spans="1:8" x14ac:dyDescent="0.3">
      <c r="A110" s="51">
        <v>45294</v>
      </c>
      <c r="B110" s="24">
        <v>9795000</v>
      </c>
      <c r="C110" s="24">
        <v>8005451</v>
      </c>
      <c r="H110" s="24">
        <v>39244442</v>
      </c>
    </row>
    <row r="111" spans="1:8" x14ac:dyDescent="0.3">
      <c r="A111" s="51">
        <v>45295</v>
      </c>
      <c r="B111" s="24">
        <v>219351</v>
      </c>
      <c r="H111" s="24">
        <v>39463793</v>
      </c>
    </row>
    <row r="112" spans="1:8" x14ac:dyDescent="0.3">
      <c r="A112" s="51">
        <v>45296</v>
      </c>
      <c r="B112" s="24">
        <v>203000</v>
      </c>
      <c r="H112" s="24">
        <v>39666793</v>
      </c>
    </row>
    <row r="113" spans="1:8" x14ac:dyDescent="0.3">
      <c r="A113" s="51">
        <v>45297</v>
      </c>
      <c r="B113" s="24">
        <v>646388</v>
      </c>
      <c r="C113" s="24">
        <v>500000</v>
      </c>
      <c r="H113" s="24">
        <v>39813181</v>
      </c>
    </row>
    <row r="114" spans="1:8" x14ac:dyDescent="0.3">
      <c r="A114" s="51">
        <v>45299</v>
      </c>
      <c r="B114" s="24">
        <v>1564000</v>
      </c>
      <c r="C114" s="24">
        <v>1882000</v>
      </c>
      <c r="H114" s="24">
        <v>39495181</v>
      </c>
    </row>
    <row r="115" spans="1:8" x14ac:dyDescent="0.3">
      <c r="A115" s="51">
        <v>45300</v>
      </c>
      <c r="B115" s="24">
        <v>824000</v>
      </c>
      <c r="C115" s="24">
        <v>980000</v>
      </c>
      <c r="H115" s="24">
        <v>39339181</v>
      </c>
    </row>
    <row r="116" spans="1:8" x14ac:dyDescent="0.3">
      <c r="A116" s="51">
        <v>45301</v>
      </c>
      <c r="B116" s="24">
        <v>150000</v>
      </c>
      <c r="H116" s="24">
        <v>39489181</v>
      </c>
    </row>
    <row r="117" spans="1:8" x14ac:dyDescent="0.3">
      <c r="A117" s="51">
        <v>45302</v>
      </c>
      <c r="B117" s="24">
        <v>260000</v>
      </c>
      <c r="H117" s="24">
        <v>39749181</v>
      </c>
    </row>
    <row r="118" spans="1:8" x14ac:dyDescent="0.3">
      <c r="A118" s="51">
        <v>45303</v>
      </c>
      <c r="B118" s="24">
        <v>23535000</v>
      </c>
      <c r="C118" s="24">
        <v>23481300</v>
      </c>
      <c r="H118" s="24">
        <v>39802881</v>
      </c>
    </row>
    <row r="119" spans="1:8" x14ac:dyDescent="0.3">
      <c r="A119" s="51">
        <v>45304</v>
      </c>
      <c r="B119" s="24">
        <v>5525000</v>
      </c>
      <c r="C119" s="24">
        <v>6100000</v>
      </c>
      <c r="H119" s="24">
        <v>39227881</v>
      </c>
    </row>
    <row r="120" spans="1:8" x14ac:dyDescent="0.3">
      <c r="A120" s="51">
        <v>45306</v>
      </c>
      <c r="B120" s="24">
        <v>4701145</v>
      </c>
      <c r="C120" s="24">
        <v>4280782</v>
      </c>
      <c r="H120" s="24">
        <v>39648244</v>
      </c>
    </row>
    <row r="121" spans="1:8" x14ac:dyDescent="0.3">
      <c r="A121" s="51">
        <v>45307</v>
      </c>
      <c r="B121" s="24">
        <v>8365000</v>
      </c>
      <c r="C121" s="24">
        <v>10500000</v>
      </c>
      <c r="H121" s="24">
        <v>37513244</v>
      </c>
    </row>
    <row r="122" spans="1:8" x14ac:dyDescent="0.3">
      <c r="A122" s="51">
        <v>45308</v>
      </c>
      <c r="B122" s="24">
        <v>1301547</v>
      </c>
      <c r="H122" s="24">
        <v>38814791</v>
      </c>
    </row>
    <row r="123" spans="1:8" x14ac:dyDescent="0.3">
      <c r="A123" s="51">
        <v>45309</v>
      </c>
      <c r="B123" s="24">
        <v>976000</v>
      </c>
      <c r="H123" s="24">
        <v>39790791</v>
      </c>
    </row>
    <row r="124" spans="1:8" x14ac:dyDescent="0.3">
      <c r="A124" s="51">
        <v>45310</v>
      </c>
      <c r="B124" s="24">
        <v>97000</v>
      </c>
      <c r="H124" s="24">
        <v>39887791</v>
      </c>
    </row>
    <row r="125" spans="1:8" x14ac:dyDescent="0.3">
      <c r="A125" s="51">
        <v>45313</v>
      </c>
      <c r="B125" s="24">
        <v>1105000</v>
      </c>
      <c r="C125" s="24">
        <v>1000000</v>
      </c>
      <c r="H125" s="24">
        <v>39992791</v>
      </c>
    </row>
    <row r="126" spans="1:8" x14ac:dyDescent="0.3">
      <c r="A126" s="51">
        <v>45317</v>
      </c>
      <c r="B126" s="24">
        <v>1230671</v>
      </c>
      <c r="C126" s="24">
        <v>1230625</v>
      </c>
      <c r="D126" s="24">
        <v>970671</v>
      </c>
      <c r="H126" s="24">
        <v>39992837</v>
      </c>
    </row>
    <row r="127" spans="1:8" x14ac:dyDescent="0.3">
      <c r="A127" s="51">
        <v>45320</v>
      </c>
      <c r="B127" s="24">
        <v>60000</v>
      </c>
      <c r="C127" s="24">
        <v>74979</v>
      </c>
      <c r="H127" s="24">
        <v>39977858</v>
      </c>
    </row>
    <row r="128" spans="1:8" x14ac:dyDescent="0.3">
      <c r="A128" s="51">
        <v>45321</v>
      </c>
      <c r="B128" s="24">
        <v>464778</v>
      </c>
      <c r="C128" s="24">
        <v>1243850</v>
      </c>
      <c r="H128" s="24">
        <v>39198786</v>
      </c>
    </row>
    <row r="129" spans="1:8" x14ac:dyDescent="0.3">
      <c r="A129" s="51">
        <v>45322</v>
      </c>
      <c r="B129" s="24">
        <v>1615000</v>
      </c>
      <c r="C129" s="24">
        <v>2177201</v>
      </c>
      <c r="H129" s="24">
        <v>38636585</v>
      </c>
    </row>
    <row r="130" spans="1:8" x14ac:dyDescent="0.3">
      <c r="A130" s="51">
        <v>45323</v>
      </c>
      <c r="B130" s="24">
        <v>125000</v>
      </c>
      <c r="H130" s="24">
        <v>38761585</v>
      </c>
    </row>
    <row r="131" spans="1:8" x14ac:dyDescent="0.3">
      <c r="A131" s="51">
        <v>45324</v>
      </c>
      <c r="B131" s="24">
        <v>500000</v>
      </c>
      <c r="H131" s="24">
        <v>39261585</v>
      </c>
    </row>
    <row r="132" spans="1:8" x14ac:dyDescent="0.3">
      <c r="A132" s="51">
        <v>45327</v>
      </c>
      <c r="B132" s="24">
        <v>350000</v>
      </c>
      <c r="H132" s="24">
        <v>39611585</v>
      </c>
    </row>
    <row r="133" spans="1:8" x14ac:dyDescent="0.3">
      <c r="A133" s="51">
        <v>45328</v>
      </c>
      <c r="B133" s="24">
        <v>1000000</v>
      </c>
      <c r="C133" s="24">
        <v>3000000</v>
      </c>
      <c r="H133" s="24">
        <v>37611585</v>
      </c>
    </row>
    <row r="134" spans="1:8" x14ac:dyDescent="0.3">
      <c r="A134" s="51">
        <v>45329</v>
      </c>
      <c r="B134" s="24">
        <v>15000000</v>
      </c>
      <c r="C134" s="24">
        <v>16000000</v>
      </c>
      <c r="H134" s="24">
        <v>36611585</v>
      </c>
    </row>
    <row r="135" spans="1:8" x14ac:dyDescent="0.3">
      <c r="A135" s="51">
        <v>45336</v>
      </c>
      <c r="B135" s="24">
        <v>4852550</v>
      </c>
      <c r="C135" s="24">
        <v>1824039</v>
      </c>
      <c r="H135" s="24">
        <v>39640096</v>
      </c>
    </row>
    <row r="136" spans="1:8" x14ac:dyDescent="0.3">
      <c r="A136" s="51">
        <v>45337</v>
      </c>
      <c r="B136" s="24">
        <v>738668</v>
      </c>
      <c r="C136" s="24">
        <v>379846</v>
      </c>
      <c r="H136" s="24">
        <v>39998918</v>
      </c>
    </row>
    <row r="137" spans="1:8" x14ac:dyDescent="0.3">
      <c r="A137" s="51">
        <v>45338</v>
      </c>
      <c r="B137" s="24">
        <v>713210</v>
      </c>
      <c r="C137" s="24">
        <v>1000000</v>
      </c>
      <c r="H137" s="24">
        <v>39712128</v>
      </c>
    </row>
    <row r="138" spans="1:8" x14ac:dyDescent="0.3">
      <c r="A138" s="51">
        <v>45341</v>
      </c>
      <c r="B138" s="24">
        <v>3297982</v>
      </c>
      <c r="C138" s="24">
        <v>3095943</v>
      </c>
      <c r="H138" s="24">
        <v>39914167</v>
      </c>
    </row>
    <row r="139" spans="1:8" x14ac:dyDescent="0.3">
      <c r="A139" s="51">
        <v>45342</v>
      </c>
      <c r="B139" s="24">
        <v>64000</v>
      </c>
      <c r="H139" s="24">
        <v>39978167</v>
      </c>
    </row>
    <row r="140" spans="1:8" x14ac:dyDescent="0.3">
      <c r="A140" s="51">
        <v>45343</v>
      </c>
      <c r="B140" s="24">
        <v>22736700</v>
      </c>
      <c r="C140" s="24">
        <v>24000000</v>
      </c>
      <c r="H140" s="24">
        <v>38714867</v>
      </c>
    </row>
    <row r="141" spans="1:8" x14ac:dyDescent="0.3">
      <c r="A141" s="51">
        <v>45344</v>
      </c>
      <c r="B141" s="24">
        <v>1001000</v>
      </c>
      <c r="H141" s="24">
        <v>39715867</v>
      </c>
    </row>
    <row r="142" spans="1:8" x14ac:dyDescent="0.3">
      <c r="A142" s="51">
        <v>45345</v>
      </c>
      <c r="B142" s="24">
        <v>18245000</v>
      </c>
      <c r="C142" s="24">
        <v>19500000</v>
      </c>
      <c r="H142" s="24">
        <v>38460867</v>
      </c>
    </row>
    <row r="143" spans="1:8" x14ac:dyDescent="0.3">
      <c r="A143" s="51">
        <v>45348</v>
      </c>
      <c r="B143" s="24">
        <v>3231281</v>
      </c>
      <c r="C143" s="24">
        <v>2103020</v>
      </c>
      <c r="D143" s="24">
        <v>953681</v>
      </c>
      <c r="H143" s="24">
        <v>39589128</v>
      </c>
    </row>
    <row r="144" spans="1:8" x14ac:dyDescent="0.3">
      <c r="A144" s="51">
        <v>45349</v>
      </c>
      <c r="B144" s="24">
        <v>554600</v>
      </c>
      <c r="C144" s="24">
        <v>584869</v>
      </c>
      <c r="H144" s="24">
        <v>39558859</v>
      </c>
    </row>
    <row r="145" spans="1:8" x14ac:dyDescent="0.3">
      <c r="A145" s="51">
        <v>45350</v>
      </c>
      <c r="B145" s="24">
        <v>432000</v>
      </c>
      <c r="H145" s="24">
        <v>39990859</v>
      </c>
    </row>
    <row r="146" spans="1:8" x14ac:dyDescent="0.3">
      <c r="A146" s="51">
        <v>45351</v>
      </c>
      <c r="B146" s="24">
        <v>360000</v>
      </c>
      <c r="C146" s="24">
        <v>357924</v>
      </c>
      <c r="H146" s="24">
        <v>39992935</v>
      </c>
    </row>
    <row r="147" spans="1:8" x14ac:dyDescent="0.3">
      <c r="A147" s="51">
        <v>45353</v>
      </c>
      <c r="B147" s="24">
        <v>400000</v>
      </c>
      <c r="C147" s="24">
        <v>678305</v>
      </c>
      <c r="H147" s="24">
        <v>39714630</v>
      </c>
    </row>
    <row r="148" spans="1:8" x14ac:dyDescent="0.3">
      <c r="A148" s="51">
        <v>45355</v>
      </c>
      <c r="B148" s="24">
        <v>278000</v>
      </c>
      <c r="H148" s="24">
        <v>39992630</v>
      </c>
    </row>
    <row r="149" spans="1:8" x14ac:dyDescent="0.3">
      <c r="A149" s="51">
        <v>45356</v>
      </c>
      <c r="B149" s="24">
        <v>605000</v>
      </c>
      <c r="C149" s="24">
        <v>1597891</v>
      </c>
      <c r="H149" s="24">
        <v>38999739</v>
      </c>
    </row>
    <row r="150" spans="1:8" x14ac:dyDescent="0.3">
      <c r="A150" s="51">
        <v>45357</v>
      </c>
      <c r="B150" s="24">
        <v>671447</v>
      </c>
      <c r="H150" s="24">
        <v>39671186</v>
      </c>
    </row>
    <row r="151" spans="1:8" x14ac:dyDescent="0.3">
      <c r="A151" s="51">
        <v>45358</v>
      </c>
      <c r="B151" s="24">
        <v>328000</v>
      </c>
      <c r="H151" s="24">
        <v>39999186</v>
      </c>
    </row>
    <row r="152" spans="1:8" x14ac:dyDescent="0.3">
      <c r="A152" s="51">
        <v>45359</v>
      </c>
      <c r="B152" s="24">
        <v>22696500</v>
      </c>
      <c r="C152" s="24">
        <v>25000000</v>
      </c>
      <c r="H152" s="24">
        <v>37695686</v>
      </c>
    </row>
    <row r="153" spans="1:8" x14ac:dyDescent="0.3">
      <c r="A153" s="51">
        <v>45360</v>
      </c>
      <c r="B153" s="24">
        <v>3405000</v>
      </c>
      <c r="C153" s="24">
        <v>1929150</v>
      </c>
      <c r="H153" s="24">
        <v>39171536</v>
      </c>
    </row>
    <row r="154" spans="1:8" x14ac:dyDescent="0.3">
      <c r="A154" s="51">
        <v>45362</v>
      </c>
      <c r="B154" s="24">
        <v>7819000</v>
      </c>
      <c r="C154" s="24">
        <v>7362996</v>
      </c>
      <c r="H154" s="24">
        <v>39627540</v>
      </c>
    </row>
    <row r="155" spans="1:8" x14ac:dyDescent="0.3">
      <c r="A155" s="51">
        <v>45363</v>
      </c>
      <c r="B155" s="24">
        <v>300000</v>
      </c>
      <c r="H155" s="24">
        <v>39927540</v>
      </c>
    </row>
    <row r="156" spans="1:8" x14ac:dyDescent="0.3">
      <c r="A156" s="51">
        <v>45364</v>
      </c>
      <c r="B156" s="24">
        <v>5340000</v>
      </c>
      <c r="C156" s="24">
        <v>5276400</v>
      </c>
      <c r="H156" s="24">
        <v>39991140</v>
      </c>
    </row>
    <row r="157" spans="1:8" x14ac:dyDescent="0.3">
      <c r="A157" s="51">
        <v>45365</v>
      </c>
      <c r="B157" s="24">
        <v>1490824</v>
      </c>
      <c r="C157" s="24">
        <v>1830240</v>
      </c>
      <c r="H157" s="24">
        <v>39651724</v>
      </c>
    </row>
    <row r="158" spans="1:8" x14ac:dyDescent="0.3">
      <c r="A158" s="51">
        <v>45366</v>
      </c>
      <c r="B158" s="24">
        <v>251000</v>
      </c>
      <c r="H158" s="24">
        <v>39902724</v>
      </c>
    </row>
    <row r="159" spans="1:8" x14ac:dyDescent="0.3">
      <c r="A159" s="51">
        <v>45367</v>
      </c>
      <c r="B159" s="24">
        <v>2321782</v>
      </c>
      <c r="C159" s="24">
        <v>2472450</v>
      </c>
      <c r="H159" s="24">
        <v>39752056</v>
      </c>
    </row>
    <row r="160" spans="1:8" x14ac:dyDescent="0.3">
      <c r="A160" s="51">
        <v>45369</v>
      </c>
      <c r="B160" s="24">
        <v>20000</v>
      </c>
      <c r="H160" s="24">
        <v>39772056</v>
      </c>
    </row>
    <row r="161" spans="1:8" x14ac:dyDescent="0.3">
      <c r="A161" s="51">
        <v>45370</v>
      </c>
      <c r="B161" s="24">
        <v>1940000</v>
      </c>
      <c r="C161" s="24">
        <v>3212950</v>
      </c>
      <c r="H161" s="24">
        <v>38499106</v>
      </c>
    </row>
    <row r="162" spans="1:8" x14ac:dyDescent="0.3">
      <c r="A162" s="51">
        <v>45372</v>
      </c>
      <c r="B162" s="24">
        <v>6120000</v>
      </c>
      <c r="C162" s="24">
        <v>5527500</v>
      </c>
      <c r="H162" s="24">
        <v>39091606</v>
      </c>
    </row>
    <row r="163" spans="1:8" x14ac:dyDescent="0.3">
      <c r="A163" s="51">
        <v>45373</v>
      </c>
      <c r="B163" s="24">
        <v>400000</v>
      </c>
      <c r="H163" s="24">
        <v>39491606</v>
      </c>
    </row>
    <row r="164" spans="1:8" x14ac:dyDescent="0.3">
      <c r="A164" s="51">
        <v>45374</v>
      </c>
      <c r="B164" s="24">
        <v>63000</v>
      </c>
      <c r="H164" s="24">
        <v>39554606</v>
      </c>
    </row>
    <row r="165" spans="1:8" x14ac:dyDescent="0.3">
      <c r="A165" s="51">
        <v>45376</v>
      </c>
      <c r="B165" s="24">
        <v>317000</v>
      </c>
      <c r="H165" s="24">
        <v>39871606</v>
      </c>
    </row>
    <row r="166" spans="1:8" x14ac:dyDescent="0.3">
      <c r="A166" s="51">
        <v>45377</v>
      </c>
      <c r="B166" s="24">
        <v>180635</v>
      </c>
      <c r="C166" s="24">
        <v>180635</v>
      </c>
      <c r="D166" s="24">
        <v>180635</v>
      </c>
      <c r="H166" s="24">
        <v>39871606</v>
      </c>
    </row>
    <row r="167" spans="1:8" x14ac:dyDescent="0.3">
      <c r="A167" s="51">
        <v>45380</v>
      </c>
      <c r="B167" s="24">
        <v>313788041</v>
      </c>
      <c r="C167" s="24">
        <v>316000000</v>
      </c>
      <c r="D167" s="24">
        <v>730041</v>
      </c>
      <c r="H167" s="24">
        <v>37659647</v>
      </c>
    </row>
    <row r="168" spans="1:8" x14ac:dyDescent="0.3">
      <c r="A168" s="51">
        <v>45381</v>
      </c>
      <c r="B168" s="24">
        <v>291771</v>
      </c>
      <c r="H168" s="24">
        <v>37951418</v>
      </c>
    </row>
    <row r="169" spans="1:8" x14ac:dyDescent="0.3">
      <c r="A169" s="51">
        <v>45382</v>
      </c>
      <c r="B169" s="24">
        <v>315000</v>
      </c>
      <c r="H169" s="24">
        <v>38266418</v>
      </c>
    </row>
    <row r="170" spans="1:8" x14ac:dyDescent="0.3">
      <c r="A170" s="51">
        <v>45383</v>
      </c>
      <c r="B170" s="24">
        <v>7189000</v>
      </c>
      <c r="C170" s="24">
        <v>5975200</v>
      </c>
      <c r="H170" s="24">
        <v>39480218</v>
      </c>
    </row>
    <row r="171" spans="1:8" x14ac:dyDescent="0.3">
      <c r="A171" s="51">
        <v>45385</v>
      </c>
      <c r="B171" s="24">
        <v>950000</v>
      </c>
      <c r="C171" s="24">
        <v>1295350</v>
      </c>
      <c r="H171" s="24">
        <v>39134868</v>
      </c>
    </row>
    <row r="172" spans="1:8" x14ac:dyDescent="0.3">
      <c r="A172" s="51">
        <v>45386</v>
      </c>
      <c r="B172" s="24">
        <v>8129000</v>
      </c>
      <c r="C172" s="24">
        <v>7759100</v>
      </c>
      <c r="H172" s="24">
        <v>39504768</v>
      </c>
    </row>
    <row r="173" spans="1:8" x14ac:dyDescent="0.3">
      <c r="A173" s="51">
        <v>45387</v>
      </c>
      <c r="B173" s="24">
        <v>9620000</v>
      </c>
      <c r="C173" s="24">
        <v>9125458</v>
      </c>
      <c r="H173" s="24">
        <v>39999310</v>
      </c>
    </row>
    <row r="174" spans="1:8" x14ac:dyDescent="0.3">
      <c r="A174" s="51">
        <v>45388</v>
      </c>
      <c r="B174" s="24">
        <v>1120000</v>
      </c>
      <c r="C174" s="24">
        <v>1294500</v>
      </c>
      <c r="H174" s="24">
        <v>39824810</v>
      </c>
    </row>
    <row r="175" spans="1:8" x14ac:dyDescent="0.3">
      <c r="A175" s="51">
        <v>45390</v>
      </c>
      <c r="B175" s="24">
        <v>2190000</v>
      </c>
      <c r="C175" s="24">
        <v>3350320</v>
      </c>
      <c r="H175" s="24">
        <v>38664490</v>
      </c>
    </row>
    <row r="176" spans="1:8" x14ac:dyDescent="0.3">
      <c r="A176" s="51">
        <v>45391</v>
      </c>
      <c r="B176" s="24">
        <v>1955000</v>
      </c>
      <c r="C176" s="24">
        <v>3162800</v>
      </c>
      <c r="H176" s="24">
        <v>37456690</v>
      </c>
    </row>
    <row r="177" spans="1:8" x14ac:dyDescent="0.3">
      <c r="A177" s="51">
        <v>45392</v>
      </c>
      <c r="B177" s="24">
        <v>500000</v>
      </c>
      <c r="H177" s="24">
        <v>37956690</v>
      </c>
    </row>
    <row r="178" spans="1:8" x14ac:dyDescent="0.3">
      <c r="A178" s="51">
        <v>45393</v>
      </c>
      <c r="B178" s="24">
        <v>1503501</v>
      </c>
      <c r="H178" s="24">
        <v>39460191</v>
      </c>
    </row>
    <row r="179" spans="1:8" x14ac:dyDescent="0.3">
      <c r="A179" s="51">
        <v>45394</v>
      </c>
      <c r="B179" s="24">
        <v>420000</v>
      </c>
      <c r="H179" s="24">
        <v>39880191</v>
      </c>
    </row>
    <row r="180" spans="1:8" x14ac:dyDescent="0.3">
      <c r="A180" s="51">
        <v>45395</v>
      </c>
      <c r="B180" s="24">
        <v>135000</v>
      </c>
      <c r="C180" s="24">
        <v>60000</v>
      </c>
      <c r="H180" s="24">
        <v>39955191</v>
      </c>
    </row>
    <row r="181" spans="1:8" x14ac:dyDescent="0.3">
      <c r="A181" s="51">
        <v>45397</v>
      </c>
      <c r="B181" s="24">
        <v>6769568</v>
      </c>
      <c r="C181" s="24">
        <v>7493668</v>
      </c>
      <c r="H181" s="24">
        <v>39231091</v>
      </c>
    </row>
    <row r="182" spans="1:8" x14ac:dyDescent="0.3">
      <c r="A182" s="51">
        <v>45399</v>
      </c>
      <c r="B182" s="24">
        <v>200000</v>
      </c>
      <c r="H182" s="24">
        <v>39431091</v>
      </c>
    </row>
    <row r="183" spans="1:8" x14ac:dyDescent="0.3">
      <c r="A183" s="51">
        <v>45401</v>
      </c>
      <c r="B183" s="24">
        <v>627000</v>
      </c>
      <c r="C183" s="24">
        <v>66000</v>
      </c>
      <c r="H183" s="24">
        <v>39992091</v>
      </c>
    </row>
    <row r="184" spans="1:8" x14ac:dyDescent="0.3">
      <c r="A184" s="51">
        <v>45402</v>
      </c>
      <c r="B184" s="24">
        <v>430000</v>
      </c>
      <c r="C184" s="24">
        <v>3772250</v>
      </c>
      <c r="H184" s="24">
        <v>36649841</v>
      </c>
    </row>
    <row r="185" spans="1:8" x14ac:dyDescent="0.3">
      <c r="A185" s="51">
        <v>45404</v>
      </c>
      <c r="B185" s="24">
        <v>12790000</v>
      </c>
      <c r="C185" s="24">
        <v>9459284</v>
      </c>
      <c r="H185" s="24">
        <v>39980557</v>
      </c>
    </row>
    <row r="186" spans="1:8" x14ac:dyDescent="0.3">
      <c r="A186" s="51">
        <v>45405</v>
      </c>
      <c r="B186" s="24">
        <v>40000</v>
      </c>
      <c r="C186" s="24">
        <v>1368000</v>
      </c>
      <c r="H186" s="24">
        <v>38652557</v>
      </c>
    </row>
    <row r="187" spans="1:8" x14ac:dyDescent="0.3">
      <c r="A187" s="51">
        <v>45406</v>
      </c>
      <c r="B187" s="24">
        <v>1584000</v>
      </c>
      <c r="C187" s="24">
        <v>287411</v>
      </c>
      <c r="H187" s="24">
        <v>39949146</v>
      </c>
    </row>
    <row r="188" spans="1:8" x14ac:dyDescent="0.3">
      <c r="A188" s="51">
        <v>45407</v>
      </c>
      <c r="B188" s="24">
        <v>50000</v>
      </c>
      <c r="H188" s="24">
        <v>39999146</v>
      </c>
    </row>
    <row r="189" spans="1:8" x14ac:dyDescent="0.3">
      <c r="A189" s="51">
        <v>45409</v>
      </c>
      <c r="B189" s="24">
        <v>779440</v>
      </c>
      <c r="C189" s="24">
        <v>779440</v>
      </c>
      <c r="D189" s="24">
        <v>779440</v>
      </c>
      <c r="H189" s="24">
        <v>39999146</v>
      </c>
    </row>
    <row r="190" spans="1:8" x14ac:dyDescent="0.3">
      <c r="A190" s="51">
        <v>45413</v>
      </c>
      <c r="B190" s="24">
        <v>18607923</v>
      </c>
      <c r="C190" s="24">
        <v>20078976</v>
      </c>
      <c r="D190" s="24">
        <v>184523</v>
      </c>
      <c r="H190" s="24">
        <v>38528093</v>
      </c>
    </row>
    <row r="191" spans="1:8" x14ac:dyDescent="0.3">
      <c r="A191" s="51">
        <v>45414</v>
      </c>
      <c r="B191" s="24">
        <v>360000</v>
      </c>
      <c r="H191" s="24">
        <v>38888093</v>
      </c>
    </row>
    <row r="192" spans="1:8" x14ac:dyDescent="0.3">
      <c r="A192" s="51">
        <v>45416</v>
      </c>
      <c r="B192" s="24">
        <v>100000</v>
      </c>
      <c r="H192" s="24">
        <v>38988093</v>
      </c>
    </row>
    <row r="193" spans="1:8" x14ac:dyDescent="0.3">
      <c r="A193" s="51">
        <v>45418</v>
      </c>
      <c r="B193" s="24">
        <v>209000</v>
      </c>
      <c r="C193" s="24">
        <v>3064070</v>
      </c>
      <c r="H193" s="24">
        <v>36133023</v>
      </c>
    </row>
    <row r="194" spans="1:8" x14ac:dyDescent="0.3">
      <c r="A194" s="51">
        <v>45419</v>
      </c>
      <c r="B194" s="24">
        <v>143000</v>
      </c>
      <c r="H194" s="24">
        <v>36276023</v>
      </c>
    </row>
    <row r="195" spans="1:8" x14ac:dyDescent="0.3">
      <c r="A195" s="51">
        <v>45420</v>
      </c>
      <c r="B195" s="24">
        <v>4804000</v>
      </c>
      <c r="C195" s="24">
        <v>1140000</v>
      </c>
      <c r="H195" s="24">
        <v>39940023</v>
      </c>
    </row>
    <row r="196" spans="1:8" x14ac:dyDescent="0.3">
      <c r="A196" s="51">
        <v>45421</v>
      </c>
      <c r="C196" s="24">
        <v>195000</v>
      </c>
      <c r="H196" s="24">
        <v>39745023</v>
      </c>
    </row>
    <row r="197" spans="1:8" x14ac:dyDescent="0.3">
      <c r="A197" s="51">
        <v>45426</v>
      </c>
      <c r="B197" s="24">
        <v>3250000</v>
      </c>
      <c r="C197" s="24">
        <v>3000000</v>
      </c>
      <c r="H197" s="24">
        <v>39995023</v>
      </c>
    </row>
    <row r="198" spans="1:8" x14ac:dyDescent="0.3">
      <c r="A198" s="51">
        <v>45428</v>
      </c>
      <c r="B198" s="24">
        <v>1500000</v>
      </c>
      <c r="C198" s="24">
        <v>1500000</v>
      </c>
      <c r="H198" s="24">
        <v>39995023</v>
      </c>
    </row>
    <row r="199" spans="1:8" x14ac:dyDescent="0.3">
      <c r="A199" s="51">
        <v>45429</v>
      </c>
      <c r="B199" s="24">
        <v>303000</v>
      </c>
      <c r="C199" s="24">
        <v>300000</v>
      </c>
      <c r="H199" s="24">
        <v>39998023</v>
      </c>
    </row>
    <row r="200" spans="1:8" x14ac:dyDescent="0.3">
      <c r="A200" s="51">
        <v>45433</v>
      </c>
      <c r="B200" s="24">
        <v>12837850</v>
      </c>
      <c r="C200" s="24">
        <v>12835910</v>
      </c>
      <c r="H200" s="24">
        <v>39999963</v>
      </c>
    </row>
    <row r="201" spans="1:8" x14ac:dyDescent="0.3">
      <c r="A201" s="51">
        <v>45437</v>
      </c>
      <c r="B201" s="24">
        <v>1200000</v>
      </c>
      <c r="C201" s="24">
        <v>1251895</v>
      </c>
      <c r="H201" s="24">
        <v>39948068</v>
      </c>
    </row>
    <row r="202" spans="1:8" x14ac:dyDescent="0.3">
      <c r="A202" s="51">
        <v>45439</v>
      </c>
      <c r="B202" s="24">
        <v>5276726</v>
      </c>
      <c r="C202" s="24">
        <v>5325751</v>
      </c>
      <c r="D202" s="24">
        <v>941726</v>
      </c>
      <c r="H202" s="24">
        <v>39899043</v>
      </c>
    </row>
    <row r="203" spans="1:8" x14ac:dyDescent="0.3">
      <c r="A203" s="51">
        <v>45440</v>
      </c>
      <c r="B203" s="24">
        <v>100000</v>
      </c>
      <c r="H203" s="24">
        <v>39999043</v>
      </c>
    </row>
    <row r="204" spans="1:8" x14ac:dyDescent="0.3">
      <c r="A204" s="51">
        <v>45444</v>
      </c>
      <c r="B204" s="24">
        <v>100000</v>
      </c>
      <c r="C204" s="24">
        <v>153432</v>
      </c>
      <c r="H204" s="24">
        <v>39945611</v>
      </c>
    </row>
    <row r="205" spans="1:8" x14ac:dyDescent="0.3">
      <c r="A205" s="51">
        <v>45446</v>
      </c>
      <c r="B205" s="24">
        <v>515000</v>
      </c>
      <c r="C205" s="24">
        <v>497990</v>
      </c>
      <c r="H205" s="24">
        <v>39962621</v>
      </c>
    </row>
    <row r="206" spans="1:8" x14ac:dyDescent="0.3">
      <c r="A206" s="51">
        <v>45448</v>
      </c>
      <c r="B206" s="24">
        <v>2045673</v>
      </c>
      <c r="C206" s="24">
        <v>2140000</v>
      </c>
      <c r="H206" s="24">
        <v>39868294</v>
      </c>
    </row>
    <row r="207" spans="1:8" x14ac:dyDescent="0.3">
      <c r="A207" s="51">
        <v>45449</v>
      </c>
      <c r="B207" s="24">
        <v>120000</v>
      </c>
      <c r="H207" s="24">
        <v>39988294</v>
      </c>
    </row>
    <row r="208" spans="1:8" x14ac:dyDescent="0.3">
      <c r="A208" s="51">
        <v>45450</v>
      </c>
      <c r="C208" s="24">
        <v>1045076</v>
      </c>
      <c r="H208" s="24">
        <v>38943218</v>
      </c>
    </row>
    <row r="209" spans="1:8" x14ac:dyDescent="0.3">
      <c r="A209" s="51">
        <v>45451</v>
      </c>
      <c r="B209" s="24">
        <v>1056280</v>
      </c>
      <c r="H209" s="24">
        <v>39999498</v>
      </c>
    </row>
    <row r="210" spans="1:8" x14ac:dyDescent="0.3">
      <c r="A210" s="51">
        <v>45453</v>
      </c>
      <c r="B210" s="24">
        <v>170000</v>
      </c>
      <c r="C210" s="24">
        <v>180000</v>
      </c>
      <c r="H210" s="24">
        <v>39989498</v>
      </c>
    </row>
    <row r="211" spans="1:8" x14ac:dyDescent="0.3">
      <c r="A211" s="51">
        <v>45455</v>
      </c>
      <c r="B211" s="24">
        <v>258536</v>
      </c>
      <c r="C211" s="24">
        <v>284350</v>
      </c>
      <c r="H211" s="24">
        <v>39963684</v>
      </c>
    </row>
    <row r="212" spans="1:8" x14ac:dyDescent="0.3">
      <c r="A212" s="51">
        <v>45457</v>
      </c>
      <c r="B212" s="24">
        <v>48000</v>
      </c>
      <c r="C212" s="24">
        <v>16000</v>
      </c>
      <c r="H212" s="24">
        <v>39995684</v>
      </c>
    </row>
    <row r="213" spans="1:8" x14ac:dyDescent="0.3">
      <c r="A213" s="51">
        <v>45460</v>
      </c>
      <c r="B213" s="24">
        <v>2780000</v>
      </c>
      <c r="C213" s="24">
        <v>2843184</v>
      </c>
      <c r="H213" s="24">
        <v>39932500</v>
      </c>
    </row>
    <row r="214" spans="1:8" x14ac:dyDescent="0.3">
      <c r="A214" s="51">
        <v>45461</v>
      </c>
      <c r="B214" s="24">
        <v>65000</v>
      </c>
      <c r="H214" s="24">
        <v>39997500</v>
      </c>
    </row>
    <row r="215" spans="1:8" x14ac:dyDescent="0.3">
      <c r="A215" s="51">
        <v>45462</v>
      </c>
      <c r="B215" s="24">
        <v>523724</v>
      </c>
      <c r="C215" s="24">
        <v>570878</v>
      </c>
      <c r="H215" s="24">
        <v>39950346</v>
      </c>
    </row>
    <row r="216" spans="1:8" x14ac:dyDescent="0.3">
      <c r="A216" s="51">
        <v>45463</v>
      </c>
      <c r="B216" s="24">
        <v>1000000</v>
      </c>
      <c r="C216" s="24">
        <v>1000000</v>
      </c>
      <c r="H216" s="24">
        <v>39950346</v>
      </c>
    </row>
    <row r="217" spans="1:8" x14ac:dyDescent="0.3">
      <c r="A217" s="51">
        <v>45464</v>
      </c>
      <c r="B217" s="24">
        <v>24000</v>
      </c>
      <c r="H217" s="24">
        <v>39974346</v>
      </c>
    </row>
    <row r="218" spans="1:8" x14ac:dyDescent="0.3">
      <c r="A218" s="51">
        <v>45482</v>
      </c>
      <c r="B218" s="24">
        <v>18000</v>
      </c>
      <c r="H218" s="24">
        <v>39992346</v>
      </c>
    </row>
    <row r="219" spans="1:8" x14ac:dyDescent="0.3">
      <c r="A219" s="51">
        <v>45485</v>
      </c>
      <c r="B219" s="24">
        <v>127654</v>
      </c>
      <c r="C219" s="24">
        <v>120000</v>
      </c>
      <c r="D219" s="24">
        <v>37654</v>
      </c>
      <c r="H219" s="24">
        <v>40000000</v>
      </c>
    </row>
    <row r="220" spans="1:8" x14ac:dyDescent="0.3">
      <c r="A220" s="51">
        <v>45519</v>
      </c>
      <c r="H220" s="24">
        <v>40000000</v>
      </c>
    </row>
    <row r="221" spans="1:8" x14ac:dyDescent="0.3">
      <c r="A221" s="51">
        <v>45530</v>
      </c>
      <c r="B221" s="24">
        <v>188733</v>
      </c>
      <c r="C221" s="24">
        <v>188733</v>
      </c>
      <c r="H221" s="24">
        <v>40000000</v>
      </c>
    </row>
    <row r="222" spans="1:8" x14ac:dyDescent="0.3">
      <c r="A222" s="51">
        <v>45644</v>
      </c>
      <c r="B222" s="24">
        <v>8999999</v>
      </c>
      <c r="C222" s="24">
        <v>8999999</v>
      </c>
      <c r="H222" s="24">
        <v>40000000</v>
      </c>
    </row>
    <row r="223" spans="1:8" x14ac:dyDescent="0.3">
      <c r="A223" s="51">
        <v>45663</v>
      </c>
      <c r="C223" s="24">
        <v>9000000</v>
      </c>
      <c r="H223" s="24">
        <v>31000000</v>
      </c>
    </row>
    <row r="224" spans="1:8" x14ac:dyDescent="0.3">
      <c r="A224" s="51">
        <v>45670</v>
      </c>
      <c r="C224" s="24">
        <v>500000</v>
      </c>
      <c r="H224" s="24">
        <v>30500000</v>
      </c>
    </row>
    <row r="225" spans="1:8" x14ac:dyDescent="0.3">
      <c r="A225" s="51">
        <v>45675</v>
      </c>
      <c r="C225" s="24">
        <v>500000</v>
      </c>
      <c r="H225" s="24">
        <v>30000000</v>
      </c>
    </row>
    <row r="226" spans="1:8" x14ac:dyDescent="0.3">
      <c r="A226" s="51">
        <v>45688</v>
      </c>
      <c r="B226" s="24">
        <v>4095000</v>
      </c>
      <c r="C226" s="24">
        <v>4095039</v>
      </c>
      <c r="H226" s="24">
        <v>29999961</v>
      </c>
    </row>
  </sheetData>
  <sortState ref="A4:D226">
    <sortCondition ref="A4:A226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980"/>
  <sheetViews>
    <sheetView topLeftCell="C952" workbookViewId="0">
      <selection activeCell="D978" sqref="D978"/>
    </sheetView>
  </sheetViews>
  <sheetFormatPr defaultRowHeight="14.4" x14ac:dyDescent="0.3"/>
  <cols>
    <col min="1" max="1" width="31.5546875" customWidth="1"/>
    <col min="2" max="2" width="26.44140625" bestFit="1" customWidth="1"/>
    <col min="3" max="3" width="23.21875" customWidth="1"/>
    <col min="4" max="4" width="10" bestFit="1" customWidth="1"/>
    <col min="5" max="5" width="14.21875" bestFit="1" customWidth="1"/>
    <col min="6" max="6" width="15.33203125" bestFit="1" customWidth="1"/>
    <col min="7" max="7" width="19.44140625" customWidth="1"/>
    <col min="8" max="8" width="9.5546875" bestFit="1" customWidth="1"/>
    <col min="9" max="9" width="13.109375" bestFit="1" customWidth="1"/>
    <col min="10" max="10" width="12.33203125" bestFit="1" customWidth="1"/>
    <col min="11" max="11" width="80.88671875" bestFit="1" customWidth="1"/>
    <col min="12" max="12" width="11" bestFit="1" customWidth="1"/>
    <col min="13" max="13" width="12.109375" bestFit="1" customWidth="1"/>
    <col min="14" max="14" width="13.33203125" bestFit="1" customWidth="1"/>
    <col min="15" max="15" width="52.88671875" bestFit="1" customWidth="1"/>
    <col min="16" max="16" width="10.44140625" bestFit="1" customWidth="1"/>
    <col min="17" max="17" width="8.77734375" customWidth="1"/>
    <col min="18" max="18" width="36.44140625" bestFit="1" customWidth="1"/>
    <col min="19" max="19" width="11.6640625" bestFit="1" customWidth="1"/>
    <col min="20" max="20" width="16.21875" bestFit="1" customWidth="1"/>
    <col min="21" max="21" width="15.44140625" bestFit="1" customWidth="1"/>
    <col min="22" max="22" width="18.88671875" bestFit="1" customWidth="1"/>
    <col min="23" max="23" width="9.88671875" bestFit="1" customWidth="1"/>
    <col min="24" max="24" width="8.109375" customWidth="1"/>
  </cols>
  <sheetData>
    <row r="1" spans="1:24" x14ac:dyDescent="0.3">
      <c r="A1" t="s">
        <v>51</v>
      </c>
      <c r="B1" t="s">
        <v>52</v>
      </c>
      <c r="C1">
        <v>121793555</v>
      </c>
      <c r="G1" s="51"/>
    </row>
    <row r="2" spans="1:24" x14ac:dyDescent="0.3">
      <c r="A2" t="s">
        <v>53</v>
      </c>
      <c r="B2">
        <v>3595152</v>
      </c>
      <c r="C2" t="s">
        <v>131</v>
      </c>
      <c r="D2" t="s">
        <v>54</v>
      </c>
      <c r="E2" t="s">
        <v>55</v>
      </c>
      <c r="F2" t="s">
        <v>56</v>
      </c>
      <c r="G2" s="51" t="s">
        <v>132</v>
      </c>
    </row>
    <row r="3" spans="1:24" x14ac:dyDescent="0.3">
      <c r="A3" t="s">
        <v>57</v>
      </c>
      <c r="G3" s="51"/>
    </row>
    <row r="4" spans="1:24" x14ac:dyDescent="0.3">
      <c r="A4" t="s">
        <v>58</v>
      </c>
      <c r="B4" t="s">
        <v>59</v>
      </c>
      <c r="C4" t="s">
        <v>60</v>
      </c>
      <c r="D4" t="s">
        <v>61</v>
      </c>
      <c r="E4" t="s">
        <v>62</v>
      </c>
      <c r="F4" t="s">
        <v>63</v>
      </c>
      <c r="G4" s="51" t="s">
        <v>64</v>
      </c>
      <c r="H4" t="s">
        <v>65</v>
      </c>
      <c r="I4" t="s">
        <v>66</v>
      </c>
      <c r="J4" t="s">
        <v>67</v>
      </c>
      <c r="K4" t="s">
        <v>68</v>
      </c>
      <c r="L4" t="s">
        <v>69</v>
      </c>
      <c r="M4" t="s">
        <v>70</v>
      </c>
      <c r="N4" t="s">
        <v>71</v>
      </c>
      <c r="O4" t="s">
        <v>72</v>
      </c>
    </row>
    <row r="5" spans="1:24" x14ac:dyDescent="0.3">
      <c r="A5" t="s">
        <v>73</v>
      </c>
      <c r="B5" t="s">
        <v>133</v>
      </c>
      <c r="G5" s="51"/>
    </row>
    <row r="6" spans="1:24" x14ac:dyDescent="0.3">
      <c r="A6" t="s">
        <v>74</v>
      </c>
      <c r="B6" t="s">
        <v>75</v>
      </c>
      <c r="C6" t="s">
        <v>76</v>
      </c>
      <c r="G6" s="51" t="s">
        <v>77</v>
      </c>
      <c r="I6" t="s">
        <v>78</v>
      </c>
      <c r="J6" t="s">
        <v>79</v>
      </c>
      <c r="K6" t="s">
        <v>80</v>
      </c>
      <c r="L6" t="s">
        <v>65</v>
      </c>
      <c r="M6" t="s">
        <v>81</v>
      </c>
      <c r="N6" t="s">
        <v>82</v>
      </c>
      <c r="O6" t="s">
        <v>83</v>
      </c>
      <c r="P6" t="s">
        <v>69</v>
      </c>
      <c r="Q6" t="s">
        <v>70</v>
      </c>
      <c r="R6" t="s">
        <v>84</v>
      </c>
      <c r="S6" t="s">
        <v>72</v>
      </c>
      <c r="T6" t="s">
        <v>85</v>
      </c>
      <c r="U6" t="s">
        <v>86</v>
      </c>
      <c r="V6" t="s">
        <v>87</v>
      </c>
      <c r="W6" t="s">
        <v>88</v>
      </c>
      <c r="X6" t="s">
        <v>89</v>
      </c>
    </row>
    <row r="7" spans="1:24" x14ac:dyDescent="0.3">
      <c r="A7" s="36">
        <v>45146</v>
      </c>
      <c r="B7" t="s">
        <v>90</v>
      </c>
      <c r="C7" t="s">
        <v>134</v>
      </c>
      <c r="G7" s="51">
        <v>45146</v>
      </c>
      <c r="I7" s="24">
        <v>-1000000</v>
      </c>
      <c r="K7" t="s">
        <v>135</v>
      </c>
      <c r="L7">
        <v>2308080714</v>
      </c>
      <c r="M7" t="s">
        <v>91</v>
      </c>
      <c r="N7" t="s">
        <v>91</v>
      </c>
      <c r="O7" t="s">
        <v>136</v>
      </c>
      <c r="P7" t="s">
        <v>137</v>
      </c>
      <c r="R7" t="s">
        <v>138</v>
      </c>
      <c r="T7" s="24">
        <v>-39537329</v>
      </c>
      <c r="X7" t="s">
        <v>92</v>
      </c>
    </row>
    <row r="8" spans="1:24" x14ac:dyDescent="0.3">
      <c r="A8" s="36">
        <v>45147</v>
      </c>
      <c r="B8" t="s">
        <v>90</v>
      </c>
      <c r="C8" t="s">
        <v>139</v>
      </c>
      <c r="G8" s="51">
        <v>45147</v>
      </c>
      <c r="I8" s="24">
        <v>-240000</v>
      </c>
      <c r="K8" t="s">
        <v>135</v>
      </c>
      <c r="L8">
        <v>2308091753</v>
      </c>
      <c r="M8" t="s">
        <v>91</v>
      </c>
      <c r="N8" t="s">
        <v>91</v>
      </c>
      <c r="O8" t="s">
        <v>136</v>
      </c>
      <c r="P8" t="s">
        <v>137</v>
      </c>
      <c r="R8" t="s">
        <v>140</v>
      </c>
      <c r="T8" s="24">
        <v>-39777329</v>
      </c>
      <c r="X8" t="s">
        <v>92</v>
      </c>
    </row>
    <row r="9" spans="1:24" x14ac:dyDescent="0.3">
      <c r="A9" s="36">
        <v>45150</v>
      </c>
      <c r="B9" t="s">
        <v>90</v>
      </c>
      <c r="C9" t="s">
        <v>141</v>
      </c>
      <c r="G9" s="51">
        <v>45150</v>
      </c>
      <c r="J9" s="24">
        <v>125000000</v>
      </c>
      <c r="K9" t="s">
        <v>142</v>
      </c>
      <c r="L9">
        <v>2308120613</v>
      </c>
      <c r="M9" t="s">
        <v>91</v>
      </c>
      <c r="N9" t="s">
        <v>91</v>
      </c>
      <c r="O9" t="s">
        <v>143</v>
      </c>
      <c r="P9" t="s">
        <v>144</v>
      </c>
      <c r="R9" t="s">
        <v>145</v>
      </c>
      <c r="T9" s="24">
        <v>85222671</v>
      </c>
    </row>
    <row r="10" spans="1:24" x14ac:dyDescent="0.3">
      <c r="A10" s="36">
        <v>45150</v>
      </c>
      <c r="B10" t="s">
        <v>90</v>
      </c>
      <c r="C10" t="s">
        <v>146</v>
      </c>
      <c r="G10" s="51">
        <v>45150</v>
      </c>
      <c r="I10" s="24">
        <v>-47660000</v>
      </c>
      <c r="K10">
        <v>2.0523458503020999E+19</v>
      </c>
      <c r="L10">
        <v>2308120625</v>
      </c>
      <c r="M10" t="s">
        <v>91</v>
      </c>
      <c r="N10" t="s">
        <v>91</v>
      </c>
      <c r="O10" t="s">
        <v>136</v>
      </c>
      <c r="P10" t="s">
        <v>137</v>
      </c>
      <c r="R10" t="s">
        <v>147</v>
      </c>
      <c r="T10" s="24">
        <v>37562671</v>
      </c>
      <c r="X10" t="s">
        <v>92</v>
      </c>
    </row>
    <row r="11" spans="1:24" x14ac:dyDescent="0.3">
      <c r="A11" s="36">
        <v>45150</v>
      </c>
      <c r="B11" t="s">
        <v>90</v>
      </c>
      <c r="C11" t="s">
        <v>148</v>
      </c>
      <c r="G11" s="51">
        <v>45150</v>
      </c>
      <c r="I11" s="24">
        <v>-2650000</v>
      </c>
      <c r="K11" t="s">
        <v>135</v>
      </c>
      <c r="L11">
        <v>2308120628</v>
      </c>
      <c r="M11" t="s">
        <v>91</v>
      </c>
      <c r="N11" t="s">
        <v>91</v>
      </c>
      <c r="O11" t="s">
        <v>136</v>
      </c>
      <c r="P11" t="s">
        <v>137</v>
      </c>
      <c r="R11" t="s">
        <v>149</v>
      </c>
      <c r="T11" s="24">
        <v>34912671</v>
      </c>
      <c r="X11" t="s">
        <v>92</v>
      </c>
    </row>
    <row r="12" spans="1:24" x14ac:dyDescent="0.3">
      <c r="A12" s="36">
        <v>45150</v>
      </c>
      <c r="B12" t="s">
        <v>90</v>
      </c>
      <c r="C12" t="s">
        <v>150</v>
      </c>
      <c r="G12" s="51">
        <v>45150</v>
      </c>
      <c r="I12" s="24">
        <v>-2000000</v>
      </c>
      <c r="K12" t="s">
        <v>135</v>
      </c>
      <c r="L12">
        <v>2308120754</v>
      </c>
      <c r="M12" t="s">
        <v>91</v>
      </c>
      <c r="N12" t="s">
        <v>91</v>
      </c>
      <c r="O12" t="s">
        <v>136</v>
      </c>
      <c r="P12" t="s">
        <v>137</v>
      </c>
      <c r="R12" t="s">
        <v>151</v>
      </c>
      <c r="T12" s="24">
        <v>32912671</v>
      </c>
      <c r="X12" t="s">
        <v>92</v>
      </c>
    </row>
    <row r="13" spans="1:24" x14ac:dyDescent="0.3">
      <c r="A13" s="36">
        <v>45151</v>
      </c>
      <c r="B13" t="s">
        <v>152</v>
      </c>
      <c r="C13" t="s">
        <v>153</v>
      </c>
      <c r="G13" s="51">
        <v>45150</v>
      </c>
      <c r="I13" s="24">
        <v>-441625</v>
      </c>
      <c r="K13" t="s">
        <v>154</v>
      </c>
      <c r="L13">
        <v>2308122309</v>
      </c>
      <c r="M13" t="s">
        <v>96</v>
      </c>
      <c r="N13" t="s">
        <v>96</v>
      </c>
      <c r="T13" s="24">
        <v>32471046</v>
      </c>
    </row>
    <row r="14" spans="1:24" x14ac:dyDescent="0.3">
      <c r="A14" s="36">
        <v>45152</v>
      </c>
      <c r="B14" t="s">
        <v>90</v>
      </c>
      <c r="C14" t="s">
        <v>155</v>
      </c>
      <c r="G14" s="51">
        <v>45152</v>
      </c>
      <c r="I14" s="24">
        <v>-400000</v>
      </c>
      <c r="K14" t="s">
        <v>135</v>
      </c>
      <c r="L14">
        <v>2308130622</v>
      </c>
      <c r="M14" t="s">
        <v>91</v>
      </c>
      <c r="N14" t="s">
        <v>91</v>
      </c>
      <c r="O14" t="s">
        <v>136</v>
      </c>
      <c r="P14" t="s">
        <v>137</v>
      </c>
      <c r="R14" t="s">
        <v>156</v>
      </c>
      <c r="T14" s="24">
        <v>32071046</v>
      </c>
      <c r="X14" t="s">
        <v>92</v>
      </c>
    </row>
    <row r="15" spans="1:24" x14ac:dyDescent="0.3">
      <c r="A15" s="36">
        <v>45152</v>
      </c>
      <c r="B15" t="s">
        <v>90</v>
      </c>
      <c r="C15" t="s">
        <v>157</v>
      </c>
      <c r="G15" s="51">
        <v>45152</v>
      </c>
      <c r="J15" s="24">
        <v>10000000</v>
      </c>
      <c r="K15" t="s">
        <v>158</v>
      </c>
      <c r="L15">
        <v>2308131200</v>
      </c>
      <c r="M15" t="s">
        <v>91</v>
      </c>
      <c r="N15" t="s">
        <v>91</v>
      </c>
      <c r="P15" t="s">
        <v>137</v>
      </c>
      <c r="R15">
        <v>888899770941</v>
      </c>
      <c r="T15" s="24">
        <v>42071046</v>
      </c>
      <c r="X15" t="s">
        <v>92</v>
      </c>
    </row>
    <row r="16" spans="1:24" x14ac:dyDescent="0.3">
      <c r="A16" s="36">
        <v>45152</v>
      </c>
      <c r="B16" t="s">
        <v>90</v>
      </c>
      <c r="C16" t="s">
        <v>159</v>
      </c>
      <c r="G16" s="51">
        <v>45152</v>
      </c>
      <c r="I16" s="24">
        <v>-9000000</v>
      </c>
      <c r="K16" t="s">
        <v>135</v>
      </c>
      <c r="L16">
        <v>2308131204</v>
      </c>
      <c r="M16" t="s">
        <v>91</v>
      </c>
      <c r="N16" t="s">
        <v>91</v>
      </c>
      <c r="O16" t="s">
        <v>136</v>
      </c>
      <c r="P16" t="s">
        <v>137</v>
      </c>
      <c r="R16" t="s">
        <v>160</v>
      </c>
      <c r="T16" s="24">
        <v>33071046</v>
      </c>
    </row>
    <row r="17" spans="1:24" x14ac:dyDescent="0.3">
      <c r="A17" s="36">
        <v>45152</v>
      </c>
      <c r="B17" t="s">
        <v>90</v>
      </c>
      <c r="C17" t="s">
        <v>161</v>
      </c>
      <c r="G17" s="51">
        <v>45152</v>
      </c>
      <c r="I17" s="24">
        <v>-4869737</v>
      </c>
      <c r="K17" t="s">
        <v>162</v>
      </c>
      <c r="L17">
        <v>2308131205</v>
      </c>
      <c r="M17" t="s">
        <v>91</v>
      </c>
      <c r="N17" t="s">
        <v>91</v>
      </c>
      <c r="O17" t="s">
        <v>136</v>
      </c>
      <c r="P17" t="s">
        <v>137</v>
      </c>
      <c r="R17" t="s">
        <v>163</v>
      </c>
      <c r="T17" s="24">
        <v>28201309</v>
      </c>
    </row>
    <row r="18" spans="1:24" x14ac:dyDescent="0.3">
      <c r="A18" s="36">
        <v>45152</v>
      </c>
      <c r="B18" t="s">
        <v>90</v>
      </c>
      <c r="C18" t="s">
        <v>164</v>
      </c>
      <c r="G18" s="51">
        <v>45152</v>
      </c>
      <c r="I18" s="24">
        <v>-500000</v>
      </c>
      <c r="K18" t="s">
        <v>135</v>
      </c>
      <c r="L18">
        <v>2308131857</v>
      </c>
      <c r="M18" t="s">
        <v>91</v>
      </c>
      <c r="N18" t="s">
        <v>91</v>
      </c>
      <c r="O18" t="s">
        <v>136</v>
      </c>
      <c r="P18" t="s">
        <v>137</v>
      </c>
      <c r="R18" t="s">
        <v>165</v>
      </c>
      <c r="T18" s="24">
        <v>27701309</v>
      </c>
      <c r="X18" t="s">
        <v>92</v>
      </c>
    </row>
    <row r="19" spans="1:24" x14ac:dyDescent="0.3">
      <c r="A19" s="36">
        <v>45152</v>
      </c>
      <c r="B19" t="s">
        <v>90</v>
      </c>
      <c r="C19" t="s">
        <v>166</v>
      </c>
      <c r="G19" s="51">
        <v>45152</v>
      </c>
      <c r="I19" s="24">
        <v>-23827000</v>
      </c>
      <c r="K19">
        <v>103873405378</v>
      </c>
      <c r="L19">
        <v>2308140746</v>
      </c>
      <c r="M19" t="s">
        <v>91</v>
      </c>
      <c r="N19" t="s">
        <v>91</v>
      </c>
      <c r="O19" t="s">
        <v>136</v>
      </c>
      <c r="P19" t="s">
        <v>137</v>
      </c>
      <c r="R19" t="s">
        <v>167</v>
      </c>
      <c r="T19" s="24">
        <v>3874309</v>
      </c>
      <c r="X19" t="s">
        <v>92</v>
      </c>
    </row>
    <row r="20" spans="1:24" x14ac:dyDescent="0.3">
      <c r="A20" s="36">
        <v>45152</v>
      </c>
      <c r="B20" t="s">
        <v>90</v>
      </c>
      <c r="C20" t="s">
        <v>168</v>
      </c>
      <c r="G20" s="51">
        <v>45152</v>
      </c>
      <c r="I20" s="24">
        <v>-500000</v>
      </c>
      <c r="K20" t="s">
        <v>135</v>
      </c>
      <c r="L20">
        <v>2308141010</v>
      </c>
      <c r="M20" t="s">
        <v>91</v>
      </c>
      <c r="N20" t="s">
        <v>91</v>
      </c>
      <c r="O20" t="s">
        <v>136</v>
      </c>
      <c r="P20" t="s">
        <v>137</v>
      </c>
      <c r="R20" t="s">
        <v>169</v>
      </c>
      <c r="T20" s="24">
        <v>3374309</v>
      </c>
    </row>
    <row r="21" spans="1:24" x14ac:dyDescent="0.3">
      <c r="A21" s="36">
        <v>45153</v>
      </c>
      <c r="B21" t="s">
        <v>90</v>
      </c>
      <c r="C21" t="s">
        <v>170</v>
      </c>
      <c r="G21" s="51">
        <v>45153</v>
      </c>
      <c r="J21" s="24">
        <v>79835</v>
      </c>
      <c r="K21" t="s">
        <v>171</v>
      </c>
      <c r="L21">
        <v>2308150824</v>
      </c>
      <c r="M21" t="s">
        <v>91</v>
      </c>
      <c r="N21" t="s">
        <v>91</v>
      </c>
      <c r="O21" t="s">
        <v>136</v>
      </c>
      <c r="P21" t="s">
        <v>97</v>
      </c>
      <c r="R21">
        <v>43856501642</v>
      </c>
      <c r="T21" s="24">
        <v>3454144</v>
      </c>
    </row>
    <row r="22" spans="1:24" x14ac:dyDescent="0.3">
      <c r="A22" s="36">
        <v>45153</v>
      </c>
      <c r="B22" t="s">
        <v>90</v>
      </c>
      <c r="C22" t="s">
        <v>172</v>
      </c>
      <c r="G22" s="51">
        <v>45153</v>
      </c>
      <c r="I22" s="24">
        <v>-23872000</v>
      </c>
      <c r="K22">
        <v>2.0524681722514399E+19</v>
      </c>
      <c r="L22">
        <v>2308151527</v>
      </c>
      <c r="M22" t="s">
        <v>91</v>
      </c>
      <c r="N22" t="s">
        <v>91</v>
      </c>
      <c r="O22" t="s">
        <v>136</v>
      </c>
      <c r="P22" t="s">
        <v>137</v>
      </c>
      <c r="R22" t="s">
        <v>173</v>
      </c>
      <c r="T22" s="24">
        <v>-20417856</v>
      </c>
      <c r="X22" t="s">
        <v>92</v>
      </c>
    </row>
    <row r="23" spans="1:24" x14ac:dyDescent="0.3">
      <c r="A23" s="36">
        <v>45153</v>
      </c>
      <c r="B23" t="s">
        <v>90</v>
      </c>
      <c r="C23" t="s">
        <v>174</v>
      </c>
      <c r="G23" s="51">
        <v>45153</v>
      </c>
      <c r="I23" s="24">
        <v>-160000</v>
      </c>
      <c r="K23" t="s">
        <v>175</v>
      </c>
      <c r="L23">
        <v>2308151625</v>
      </c>
      <c r="M23" t="s">
        <v>91</v>
      </c>
      <c r="N23" t="s">
        <v>91</v>
      </c>
      <c r="O23" t="s">
        <v>136</v>
      </c>
      <c r="P23" t="s">
        <v>97</v>
      </c>
      <c r="R23">
        <v>43871155677</v>
      </c>
      <c r="T23" s="24">
        <v>-20577856</v>
      </c>
    </row>
    <row r="24" spans="1:24" x14ac:dyDescent="0.3">
      <c r="A24" s="36">
        <v>45154</v>
      </c>
      <c r="B24" t="s">
        <v>90</v>
      </c>
      <c r="C24" t="s">
        <v>176</v>
      </c>
      <c r="G24" s="51">
        <v>45154</v>
      </c>
      <c r="I24" s="24">
        <v>-1200000</v>
      </c>
      <c r="K24" t="s">
        <v>177</v>
      </c>
      <c r="L24">
        <v>2308160424</v>
      </c>
      <c r="M24" t="s">
        <v>91</v>
      </c>
      <c r="N24" t="s">
        <v>91</v>
      </c>
      <c r="O24" t="s">
        <v>136</v>
      </c>
      <c r="P24" t="s">
        <v>137</v>
      </c>
      <c r="R24" t="s">
        <v>178</v>
      </c>
      <c r="T24" s="24">
        <v>-21777856</v>
      </c>
      <c r="X24" t="s">
        <v>92</v>
      </c>
    </row>
    <row r="25" spans="1:24" x14ac:dyDescent="0.3">
      <c r="A25" s="36">
        <v>45154</v>
      </c>
      <c r="B25" t="s">
        <v>90</v>
      </c>
      <c r="C25" t="s">
        <v>179</v>
      </c>
      <c r="G25" s="51">
        <v>45154</v>
      </c>
      <c r="I25" s="24">
        <v>-160000</v>
      </c>
      <c r="K25" t="s">
        <v>180</v>
      </c>
      <c r="L25">
        <v>2308161934</v>
      </c>
      <c r="M25" t="s">
        <v>91</v>
      </c>
      <c r="N25" t="s">
        <v>91</v>
      </c>
      <c r="O25" t="s">
        <v>136</v>
      </c>
      <c r="P25" t="s">
        <v>97</v>
      </c>
      <c r="R25">
        <v>43930214019</v>
      </c>
      <c r="T25" s="24">
        <v>-21937856</v>
      </c>
    </row>
    <row r="26" spans="1:24" x14ac:dyDescent="0.3">
      <c r="A26" s="36">
        <v>45154</v>
      </c>
      <c r="B26" t="s">
        <v>90</v>
      </c>
      <c r="C26" t="s">
        <v>181</v>
      </c>
      <c r="G26" s="51">
        <v>45154</v>
      </c>
      <c r="J26" s="24">
        <v>160000</v>
      </c>
      <c r="K26" t="s">
        <v>182</v>
      </c>
      <c r="L26">
        <v>2308161939</v>
      </c>
      <c r="M26" t="s">
        <v>91</v>
      </c>
      <c r="N26" t="s">
        <v>91</v>
      </c>
      <c r="O26" t="s">
        <v>136</v>
      </c>
      <c r="P26" t="s">
        <v>97</v>
      </c>
      <c r="R26">
        <v>43934007481</v>
      </c>
      <c r="T26" s="24">
        <v>-21777856</v>
      </c>
    </row>
    <row r="27" spans="1:24" x14ac:dyDescent="0.3">
      <c r="A27" s="36">
        <v>45155</v>
      </c>
      <c r="B27" t="s">
        <v>90</v>
      </c>
      <c r="C27" t="s">
        <v>183</v>
      </c>
      <c r="G27" s="51">
        <v>45155</v>
      </c>
      <c r="I27" s="24">
        <v>-613000</v>
      </c>
      <c r="L27">
        <v>2308171923</v>
      </c>
      <c r="M27" t="s">
        <v>91</v>
      </c>
      <c r="N27" t="s">
        <v>91</v>
      </c>
      <c r="O27" t="s">
        <v>136</v>
      </c>
      <c r="P27" t="s">
        <v>137</v>
      </c>
      <c r="R27" t="s">
        <v>184</v>
      </c>
      <c r="T27" s="24">
        <v>-22390856</v>
      </c>
    </row>
    <row r="28" spans="1:24" x14ac:dyDescent="0.3">
      <c r="A28" s="36">
        <v>45156</v>
      </c>
      <c r="B28" t="s">
        <v>90</v>
      </c>
      <c r="C28" t="s">
        <v>185</v>
      </c>
      <c r="G28" s="51">
        <v>45156</v>
      </c>
      <c r="I28" s="24">
        <v>-1000000</v>
      </c>
      <c r="K28" t="s">
        <v>186</v>
      </c>
      <c r="L28">
        <v>2308181017</v>
      </c>
      <c r="M28" t="s">
        <v>91</v>
      </c>
      <c r="N28" t="s">
        <v>91</v>
      </c>
      <c r="O28" t="s">
        <v>136</v>
      </c>
      <c r="P28" t="s">
        <v>137</v>
      </c>
      <c r="R28" t="s">
        <v>187</v>
      </c>
      <c r="T28" s="24">
        <v>-23390856</v>
      </c>
      <c r="X28" t="s">
        <v>92</v>
      </c>
    </row>
    <row r="29" spans="1:24" x14ac:dyDescent="0.3">
      <c r="A29" s="36">
        <v>45157</v>
      </c>
      <c r="B29" t="s">
        <v>90</v>
      </c>
      <c r="C29" t="s">
        <v>188</v>
      </c>
      <c r="G29" s="51">
        <v>45157</v>
      </c>
      <c r="J29" s="24">
        <v>1000000</v>
      </c>
      <c r="K29" t="s">
        <v>189</v>
      </c>
      <c r="L29">
        <v>2308190806</v>
      </c>
      <c r="M29" t="s">
        <v>91</v>
      </c>
      <c r="N29" t="s">
        <v>91</v>
      </c>
      <c r="P29" t="s">
        <v>137</v>
      </c>
      <c r="R29">
        <v>686868097342</v>
      </c>
      <c r="T29" s="24">
        <v>-22390856</v>
      </c>
      <c r="X29" t="s">
        <v>92</v>
      </c>
    </row>
    <row r="30" spans="1:24" x14ac:dyDescent="0.3">
      <c r="A30" s="36">
        <v>45157</v>
      </c>
      <c r="B30" t="s">
        <v>90</v>
      </c>
      <c r="C30" t="s">
        <v>190</v>
      </c>
      <c r="G30" s="51">
        <v>45157</v>
      </c>
      <c r="I30" s="24">
        <v>-3880000</v>
      </c>
      <c r="K30" t="s">
        <v>191</v>
      </c>
      <c r="L30">
        <v>2308190811</v>
      </c>
      <c r="M30" t="s">
        <v>91</v>
      </c>
      <c r="N30" t="s">
        <v>91</v>
      </c>
      <c r="O30" t="s">
        <v>136</v>
      </c>
      <c r="P30" t="s">
        <v>137</v>
      </c>
      <c r="R30" t="s">
        <v>192</v>
      </c>
      <c r="T30" s="24">
        <v>-26270856</v>
      </c>
      <c r="X30" t="s">
        <v>92</v>
      </c>
    </row>
    <row r="31" spans="1:24" x14ac:dyDescent="0.3">
      <c r="A31" s="36">
        <v>45159</v>
      </c>
      <c r="B31" t="s">
        <v>90</v>
      </c>
      <c r="C31" t="s">
        <v>193</v>
      </c>
      <c r="G31" s="51">
        <v>45159</v>
      </c>
      <c r="I31" s="24">
        <v>-3300000</v>
      </c>
      <c r="K31" t="s">
        <v>135</v>
      </c>
      <c r="L31">
        <v>2308210720</v>
      </c>
      <c r="M31" t="s">
        <v>91</v>
      </c>
      <c r="N31" t="s">
        <v>91</v>
      </c>
      <c r="O31" t="s">
        <v>136</v>
      </c>
      <c r="P31" t="s">
        <v>137</v>
      </c>
      <c r="R31" t="s">
        <v>194</v>
      </c>
      <c r="T31" s="24">
        <v>-29570856</v>
      </c>
    </row>
    <row r="32" spans="1:24" x14ac:dyDescent="0.3">
      <c r="A32" s="36">
        <v>45159</v>
      </c>
      <c r="B32" t="s">
        <v>90</v>
      </c>
      <c r="C32" t="s">
        <v>195</v>
      </c>
      <c r="G32" s="51">
        <v>45159</v>
      </c>
      <c r="I32" s="24">
        <v>-100000</v>
      </c>
      <c r="K32" t="s">
        <v>135</v>
      </c>
      <c r="L32">
        <v>2308210819</v>
      </c>
      <c r="M32" t="s">
        <v>91</v>
      </c>
      <c r="N32" t="s">
        <v>91</v>
      </c>
      <c r="O32" t="s">
        <v>136</v>
      </c>
      <c r="P32" t="s">
        <v>137</v>
      </c>
      <c r="R32" t="s">
        <v>196</v>
      </c>
      <c r="T32" s="24">
        <v>-29670856</v>
      </c>
      <c r="X32" t="s">
        <v>92</v>
      </c>
    </row>
    <row r="33" spans="1:24" x14ac:dyDescent="0.3">
      <c r="A33" s="36">
        <v>45161</v>
      </c>
      <c r="B33" t="s">
        <v>90</v>
      </c>
      <c r="C33" t="s">
        <v>197</v>
      </c>
      <c r="G33" s="51">
        <v>45161</v>
      </c>
      <c r="I33" s="24">
        <v>-1000000</v>
      </c>
      <c r="K33" t="s">
        <v>135</v>
      </c>
      <c r="L33">
        <v>2308222139</v>
      </c>
      <c r="M33" t="s">
        <v>91</v>
      </c>
      <c r="N33" t="s">
        <v>91</v>
      </c>
      <c r="O33" t="s">
        <v>136</v>
      </c>
      <c r="P33" t="s">
        <v>137</v>
      </c>
      <c r="R33" t="s">
        <v>198</v>
      </c>
      <c r="T33" s="24">
        <v>-30670856</v>
      </c>
      <c r="X33" t="s">
        <v>92</v>
      </c>
    </row>
    <row r="34" spans="1:24" x14ac:dyDescent="0.3">
      <c r="A34" s="36">
        <v>45161</v>
      </c>
      <c r="B34" t="s">
        <v>90</v>
      </c>
      <c r="C34" t="s">
        <v>199</v>
      </c>
      <c r="G34" s="51">
        <v>45161</v>
      </c>
      <c r="I34" s="24">
        <v>-3000000</v>
      </c>
      <c r="K34" t="s">
        <v>135</v>
      </c>
      <c r="L34">
        <v>2308231427</v>
      </c>
      <c r="M34" t="s">
        <v>91</v>
      </c>
      <c r="N34" t="s">
        <v>91</v>
      </c>
      <c r="O34" t="s">
        <v>136</v>
      </c>
      <c r="P34" t="s">
        <v>137</v>
      </c>
      <c r="R34" t="s">
        <v>200</v>
      </c>
      <c r="T34" s="24">
        <v>-33670856</v>
      </c>
      <c r="X34" t="s">
        <v>92</v>
      </c>
    </row>
    <row r="35" spans="1:24" x14ac:dyDescent="0.3">
      <c r="A35" s="36">
        <v>45163</v>
      </c>
      <c r="B35" t="s">
        <v>90</v>
      </c>
      <c r="C35" t="s">
        <v>201</v>
      </c>
      <c r="G35" s="51">
        <v>45163</v>
      </c>
      <c r="I35" s="24">
        <v>-90000</v>
      </c>
      <c r="K35" t="s">
        <v>202</v>
      </c>
      <c r="L35">
        <v>2308251557</v>
      </c>
      <c r="M35" t="s">
        <v>91</v>
      </c>
      <c r="N35" t="s">
        <v>91</v>
      </c>
      <c r="O35" t="s">
        <v>136</v>
      </c>
      <c r="P35" t="s">
        <v>97</v>
      </c>
      <c r="R35" t="s">
        <v>203</v>
      </c>
      <c r="T35" s="24">
        <v>-33760856</v>
      </c>
    </row>
    <row r="36" spans="1:24" x14ac:dyDescent="0.3">
      <c r="A36" s="36">
        <v>45163</v>
      </c>
      <c r="B36" t="s">
        <v>90</v>
      </c>
      <c r="C36" t="s">
        <v>204</v>
      </c>
      <c r="G36" s="51">
        <v>45163</v>
      </c>
      <c r="I36" s="24">
        <v>-132000</v>
      </c>
      <c r="K36" t="s">
        <v>135</v>
      </c>
      <c r="L36">
        <v>2308251600</v>
      </c>
      <c r="M36" t="s">
        <v>91</v>
      </c>
      <c r="N36" t="s">
        <v>91</v>
      </c>
      <c r="O36" t="s">
        <v>136</v>
      </c>
      <c r="P36" t="s">
        <v>137</v>
      </c>
      <c r="R36" t="s">
        <v>205</v>
      </c>
      <c r="T36" s="24">
        <v>-33892856</v>
      </c>
      <c r="X36" t="s">
        <v>92</v>
      </c>
    </row>
    <row r="37" spans="1:24" x14ac:dyDescent="0.3">
      <c r="A37" s="36">
        <v>45163</v>
      </c>
      <c r="B37" t="s">
        <v>90</v>
      </c>
      <c r="C37" t="s">
        <v>206</v>
      </c>
      <c r="G37" s="51">
        <v>45163</v>
      </c>
      <c r="I37" s="24">
        <v>-64000</v>
      </c>
      <c r="K37" t="s">
        <v>135</v>
      </c>
      <c r="L37">
        <v>2308251913</v>
      </c>
      <c r="M37" t="s">
        <v>91</v>
      </c>
      <c r="N37" t="s">
        <v>91</v>
      </c>
      <c r="O37" t="s">
        <v>136</v>
      </c>
      <c r="P37" t="s">
        <v>137</v>
      </c>
      <c r="R37" t="s">
        <v>207</v>
      </c>
      <c r="T37" s="24">
        <v>-33956856</v>
      </c>
      <c r="X37" t="s">
        <v>92</v>
      </c>
    </row>
    <row r="38" spans="1:24" x14ac:dyDescent="0.3">
      <c r="A38" s="36">
        <v>45164</v>
      </c>
      <c r="B38" t="s">
        <v>90</v>
      </c>
      <c r="C38" t="s">
        <v>208</v>
      </c>
      <c r="G38" s="51">
        <v>45164</v>
      </c>
      <c r="I38" s="24">
        <v>-1000000</v>
      </c>
      <c r="K38" t="s">
        <v>135</v>
      </c>
      <c r="L38">
        <v>2308260714</v>
      </c>
      <c r="M38" t="s">
        <v>91</v>
      </c>
      <c r="N38" t="s">
        <v>91</v>
      </c>
      <c r="O38" t="s">
        <v>136</v>
      </c>
      <c r="P38" t="s">
        <v>137</v>
      </c>
      <c r="R38" t="s">
        <v>209</v>
      </c>
      <c r="T38" s="24">
        <v>-34956856</v>
      </c>
      <c r="X38" t="s">
        <v>92</v>
      </c>
    </row>
    <row r="39" spans="1:24" x14ac:dyDescent="0.3">
      <c r="A39" s="36">
        <v>45164</v>
      </c>
      <c r="B39" t="s">
        <v>90</v>
      </c>
      <c r="C39" t="s">
        <v>210</v>
      </c>
      <c r="G39" s="51">
        <v>45164</v>
      </c>
      <c r="I39" s="24">
        <v>-270000</v>
      </c>
      <c r="K39" t="s">
        <v>135</v>
      </c>
      <c r="L39">
        <v>2308261446</v>
      </c>
      <c r="M39" t="s">
        <v>91</v>
      </c>
      <c r="N39" t="s">
        <v>91</v>
      </c>
      <c r="O39" t="s">
        <v>136</v>
      </c>
      <c r="P39" t="s">
        <v>137</v>
      </c>
      <c r="R39" t="s">
        <v>211</v>
      </c>
      <c r="T39" s="24">
        <v>-35226856</v>
      </c>
      <c r="X39" t="s">
        <v>92</v>
      </c>
    </row>
    <row r="40" spans="1:24" x14ac:dyDescent="0.3">
      <c r="A40" s="36">
        <v>45164</v>
      </c>
      <c r="B40" t="s">
        <v>99</v>
      </c>
      <c r="C40" t="s">
        <v>212</v>
      </c>
      <c r="G40" s="51">
        <v>45164</v>
      </c>
      <c r="J40" s="24">
        <v>1000</v>
      </c>
      <c r="K40" t="s">
        <v>213</v>
      </c>
      <c r="L40">
        <v>2308261714</v>
      </c>
      <c r="M40" t="s">
        <v>66</v>
      </c>
      <c r="N40" t="s">
        <v>66</v>
      </c>
      <c r="O40" t="s">
        <v>136</v>
      </c>
      <c r="P40" t="s">
        <v>137</v>
      </c>
      <c r="T40" s="24">
        <v>-35225856</v>
      </c>
    </row>
    <row r="41" spans="1:24" x14ac:dyDescent="0.3">
      <c r="A41" s="36">
        <v>45164</v>
      </c>
      <c r="B41" t="s">
        <v>90</v>
      </c>
      <c r="C41" t="s">
        <v>214</v>
      </c>
      <c r="G41" s="51">
        <v>45164</v>
      </c>
      <c r="I41" s="24">
        <v>-1000</v>
      </c>
      <c r="K41" t="s">
        <v>94</v>
      </c>
      <c r="L41">
        <v>2308261841</v>
      </c>
      <c r="M41" t="s">
        <v>66</v>
      </c>
      <c r="N41" t="s">
        <v>66</v>
      </c>
      <c r="O41" t="s">
        <v>136</v>
      </c>
      <c r="P41" t="s">
        <v>137</v>
      </c>
      <c r="T41" s="24">
        <v>-35226856</v>
      </c>
    </row>
    <row r="42" spans="1:24" x14ac:dyDescent="0.3">
      <c r="A42" s="36">
        <v>45166</v>
      </c>
      <c r="B42" t="s">
        <v>90</v>
      </c>
      <c r="C42" t="s">
        <v>215</v>
      </c>
      <c r="G42" s="51">
        <v>45166</v>
      </c>
      <c r="I42" s="24">
        <v>-1000000</v>
      </c>
      <c r="K42" t="s">
        <v>135</v>
      </c>
      <c r="L42">
        <v>2308271728</v>
      </c>
      <c r="M42" t="s">
        <v>91</v>
      </c>
      <c r="N42" t="s">
        <v>91</v>
      </c>
      <c r="O42" t="s">
        <v>136</v>
      </c>
      <c r="P42" t="s">
        <v>137</v>
      </c>
      <c r="R42" t="s">
        <v>216</v>
      </c>
      <c r="T42" s="24">
        <v>-36226856</v>
      </c>
      <c r="X42" t="s">
        <v>92</v>
      </c>
    </row>
    <row r="43" spans="1:24" x14ac:dyDescent="0.3">
      <c r="A43" s="36">
        <v>45166</v>
      </c>
      <c r="B43" t="s">
        <v>90</v>
      </c>
      <c r="C43" t="s">
        <v>217</v>
      </c>
      <c r="G43" s="51">
        <v>45166</v>
      </c>
      <c r="J43" s="24">
        <v>1300000</v>
      </c>
      <c r="K43" t="s">
        <v>135</v>
      </c>
      <c r="L43">
        <v>2308280638</v>
      </c>
      <c r="M43" t="s">
        <v>91</v>
      </c>
      <c r="N43" t="s">
        <v>91</v>
      </c>
      <c r="O43" t="s">
        <v>136</v>
      </c>
      <c r="P43" t="s">
        <v>137</v>
      </c>
      <c r="R43" t="s">
        <v>218</v>
      </c>
      <c r="T43" s="24">
        <v>-34926856</v>
      </c>
    </row>
    <row r="44" spans="1:24" x14ac:dyDescent="0.3">
      <c r="A44" s="36">
        <v>45166</v>
      </c>
      <c r="B44" t="s">
        <v>90</v>
      </c>
      <c r="C44" t="s">
        <v>219</v>
      </c>
      <c r="G44" s="51">
        <v>45166</v>
      </c>
      <c r="J44" s="24">
        <v>7258268</v>
      </c>
      <c r="K44" t="s">
        <v>220</v>
      </c>
      <c r="L44">
        <v>2308280913</v>
      </c>
      <c r="M44" t="s">
        <v>91</v>
      </c>
      <c r="N44" t="s">
        <v>91</v>
      </c>
      <c r="P44" t="s">
        <v>137</v>
      </c>
      <c r="R44">
        <v>888899946191</v>
      </c>
      <c r="T44" s="24">
        <v>-27668588</v>
      </c>
      <c r="X44" t="s">
        <v>92</v>
      </c>
    </row>
    <row r="45" spans="1:24" x14ac:dyDescent="0.3">
      <c r="A45" s="36">
        <v>45166</v>
      </c>
      <c r="B45" t="s">
        <v>90</v>
      </c>
      <c r="C45" t="s">
        <v>221</v>
      </c>
      <c r="G45" s="51">
        <v>45166</v>
      </c>
      <c r="I45" s="24">
        <v>-7250000</v>
      </c>
      <c r="K45" t="s">
        <v>135</v>
      </c>
      <c r="L45">
        <v>2308280959</v>
      </c>
      <c r="M45" t="s">
        <v>91</v>
      </c>
      <c r="N45" t="s">
        <v>91</v>
      </c>
      <c r="O45" t="s">
        <v>136</v>
      </c>
      <c r="P45" t="s">
        <v>137</v>
      </c>
      <c r="R45" t="s">
        <v>222</v>
      </c>
      <c r="T45" s="24">
        <v>-34918588</v>
      </c>
    </row>
    <row r="46" spans="1:24" x14ac:dyDescent="0.3">
      <c r="A46" s="36">
        <v>45166</v>
      </c>
      <c r="B46" t="s">
        <v>90</v>
      </c>
      <c r="C46" t="s">
        <v>223</v>
      </c>
      <c r="G46" s="51">
        <v>45166</v>
      </c>
      <c r="J46" s="24">
        <v>200000</v>
      </c>
      <c r="K46" t="s">
        <v>224</v>
      </c>
      <c r="L46">
        <v>2308281039</v>
      </c>
      <c r="M46" t="s">
        <v>91</v>
      </c>
      <c r="N46" t="s">
        <v>91</v>
      </c>
      <c r="P46" t="s">
        <v>137</v>
      </c>
      <c r="R46">
        <v>970416759354</v>
      </c>
      <c r="T46" s="24">
        <v>-34718588</v>
      </c>
      <c r="X46" t="s">
        <v>92</v>
      </c>
    </row>
    <row r="47" spans="1:24" x14ac:dyDescent="0.3">
      <c r="A47" s="36">
        <v>45166</v>
      </c>
      <c r="B47" t="s">
        <v>90</v>
      </c>
      <c r="C47" t="s">
        <v>225</v>
      </c>
      <c r="G47" s="51">
        <v>45166</v>
      </c>
      <c r="I47" s="24">
        <v>-5250000</v>
      </c>
      <c r="K47" t="s">
        <v>135</v>
      </c>
      <c r="L47">
        <v>2308281042</v>
      </c>
      <c r="M47" t="s">
        <v>91</v>
      </c>
      <c r="N47" t="s">
        <v>91</v>
      </c>
      <c r="O47" t="s">
        <v>136</v>
      </c>
      <c r="P47" t="s">
        <v>137</v>
      </c>
      <c r="R47" t="s">
        <v>226</v>
      </c>
      <c r="T47" s="24">
        <v>-39968588</v>
      </c>
      <c r="X47" t="s">
        <v>92</v>
      </c>
    </row>
    <row r="48" spans="1:24" x14ac:dyDescent="0.3">
      <c r="A48" s="36">
        <v>45166</v>
      </c>
      <c r="B48" t="s">
        <v>90</v>
      </c>
      <c r="C48" t="s">
        <v>227</v>
      </c>
      <c r="G48" s="51">
        <v>45166</v>
      </c>
      <c r="I48" s="24">
        <v>-31412</v>
      </c>
      <c r="K48" t="s">
        <v>94</v>
      </c>
      <c r="L48">
        <v>2308281928</v>
      </c>
      <c r="M48" t="s">
        <v>66</v>
      </c>
      <c r="N48" t="s">
        <v>66</v>
      </c>
      <c r="O48" t="s">
        <v>136</v>
      </c>
      <c r="P48" t="s">
        <v>137</v>
      </c>
      <c r="T48" s="24">
        <v>-40000000</v>
      </c>
    </row>
    <row r="49" spans="1:24" x14ac:dyDescent="0.3">
      <c r="A49" s="36">
        <v>45167</v>
      </c>
      <c r="B49" t="s">
        <v>90</v>
      </c>
      <c r="C49" t="s">
        <v>228</v>
      </c>
      <c r="G49" s="51">
        <v>45167</v>
      </c>
      <c r="J49" s="24">
        <v>1212850</v>
      </c>
      <c r="K49" t="s">
        <v>229</v>
      </c>
      <c r="L49">
        <v>2308291550</v>
      </c>
      <c r="M49" t="s">
        <v>91</v>
      </c>
      <c r="N49" t="s">
        <v>91</v>
      </c>
      <c r="P49" t="s">
        <v>137</v>
      </c>
      <c r="R49">
        <v>970422920950</v>
      </c>
      <c r="T49" s="24">
        <v>-38787150</v>
      </c>
      <c r="X49" t="s">
        <v>92</v>
      </c>
    </row>
    <row r="50" spans="1:24" x14ac:dyDescent="0.3">
      <c r="A50" s="36">
        <v>45167</v>
      </c>
      <c r="B50" t="s">
        <v>90</v>
      </c>
      <c r="C50" t="s">
        <v>230</v>
      </c>
      <c r="G50" s="51">
        <v>45167</v>
      </c>
      <c r="I50" s="24">
        <v>-300000</v>
      </c>
      <c r="K50" t="s">
        <v>135</v>
      </c>
      <c r="L50">
        <v>2308291602</v>
      </c>
      <c r="M50" t="s">
        <v>91</v>
      </c>
      <c r="N50" t="s">
        <v>91</v>
      </c>
      <c r="O50" t="s">
        <v>136</v>
      </c>
      <c r="P50" t="s">
        <v>137</v>
      </c>
      <c r="R50" t="s">
        <v>231</v>
      </c>
      <c r="T50" s="24">
        <v>-39087150</v>
      </c>
      <c r="X50" t="s">
        <v>92</v>
      </c>
    </row>
    <row r="51" spans="1:24" x14ac:dyDescent="0.3">
      <c r="A51" s="36">
        <v>45167</v>
      </c>
      <c r="B51" t="s">
        <v>90</v>
      </c>
      <c r="C51" t="s">
        <v>232</v>
      </c>
      <c r="G51" s="51">
        <v>45167</v>
      </c>
      <c r="I51" s="24">
        <v>-206992</v>
      </c>
      <c r="K51" t="s">
        <v>94</v>
      </c>
      <c r="L51">
        <v>2308291922</v>
      </c>
      <c r="M51" t="s">
        <v>66</v>
      </c>
      <c r="N51" t="s">
        <v>66</v>
      </c>
      <c r="O51" t="s">
        <v>136</v>
      </c>
      <c r="P51" t="s">
        <v>137</v>
      </c>
      <c r="T51" s="24">
        <v>-39294142</v>
      </c>
    </row>
    <row r="52" spans="1:24" x14ac:dyDescent="0.3">
      <c r="A52" s="36">
        <v>45168</v>
      </c>
      <c r="B52" t="s">
        <v>90</v>
      </c>
      <c r="C52" t="s">
        <v>233</v>
      </c>
      <c r="G52" s="51">
        <v>45168</v>
      </c>
      <c r="I52" s="24">
        <v>-200000</v>
      </c>
      <c r="K52" t="s">
        <v>135</v>
      </c>
      <c r="L52">
        <v>2308301519</v>
      </c>
      <c r="M52" t="s">
        <v>91</v>
      </c>
      <c r="N52" t="s">
        <v>91</v>
      </c>
      <c r="O52" t="s">
        <v>136</v>
      </c>
      <c r="P52" t="s">
        <v>137</v>
      </c>
      <c r="R52" t="s">
        <v>234</v>
      </c>
      <c r="T52" s="24">
        <v>-39494142</v>
      </c>
      <c r="X52" t="s">
        <v>92</v>
      </c>
    </row>
    <row r="53" spans="1:24" x14ac:dyDescent="0.3">
      <c r="A53" s="36">
        <v>45169</v>
      </c>
      <c r="B53" t="s">
        <v>90</v>
      </c>
      <c r="C53" t="s">
        <v>235</v>
      </c>
      <c r="G53" s="51">
        <v>45169</v>
      </c>
      <c r="J53" s="24">
        <v>9695200</v>
      </c>
      <c r="K53" t="s">
        <v>236</v>
      </c>
      <c r="L53">
        <v>2308311942</v>
      </c>
      <c r="M53" t="s">
        <v>91</v>
      </c>
      <c r="N53" t="s">
        <v>91</v>
      </c>
      <c r="P53" t="s">
        <v>137</v>
      </c>
      <c r="R53">
        <v>970416870621</v>
      </c>
      <c r="T53" s="24">
        <v>-29798942</v>
      </c>
      <c r="X53" t="s">
        <v>92</v>
      </c>
    </row>
    <row r="54" spans="1:24" x14ac:dyDescent="0.3">
      <c r="A54" s="36">
        <v>45169</v>
      </c>
      <c r="B54" t="s">
        <v>90</v>
      </c>
      <c r="C54" t="s">
        <v>237</v>
      </c>
      <c r="G54" s="51">
        <v>45169</v>
      </c>
      <c r="I54" s="24">
        <v>-2000000</v>
      </c>
      <c r="K54" t="s">
        <v>238</v>
      </c>
      <c r="L54">
        <v>2308311946</v>
      </c>
      <c r="M54" t="s">
        <v>91</v>
      </c>
      <c r="N54" t="s">
        <v>91</v>
      </c>
      <c r="O54" t="s">
        <v>136</v>
      </c>
      <c r="P54" t="s">
        <v>137</v>
      </c>
      <c r="R54" t="s">
        <v>239</v>
      </c>
      <c r="T54" s="24">
        <v>-31798942</v>
      </c>
      <c r="X54" t="s">
        <v>92</v>
      </c>
    </row>
    <row r="55" spans="1:24" x14ac:dyDescent="0.3">
      <c r="A55" s="36">
        <v>45169</v>
      </c>
      <c r="B55" t="s">
        <v>90</v>
      </c>
      <c r="C55" t="s">
        <v>240</v>
      </c>
      <c r="G55" s="51">
        <v>45169</v>
      </c>
      <c r="I55" s="24">
        <v>-1335000</v>
      </c>
      <c r="L55">
        <v>2308311949</v>
      </c>
      <c r="M55" t="s">
        <v>91</v>
      </c>
      <c r="N55" t="s">
        <v>91</v>
      </c>
      <c r="O55" t="s">
        <v>136</v>
      </c>
      <c r="P55" t="s">
        <v>137</v>
      </c>
      <c r="R55" t="s">
        <v>241</v>
      </c>
      <c r="T55" s="24">
        <v>-33133942</v>
      </c>
    </row>
    <row r="56" spans="1:24" x14ac:dyDescent="0.3">
      <c r="A56" s="36">
        <v>45169</v>
      </c>
      <c r="B56" t="s">
        <v>90</v>
      </c>
      <c r="C56" t="s">
        <v>242</v>
      </c>
      <c r="G56" s="51">
        <v>45169</v>
      </c>
      <c r="I56" s="24">
        <v>-2000000</v>
      </c>
      <c r="K56" t="s">
        <v>135</v>
      </c>
      <c r="L56">
        <v>2308311956</v>
      </c>
      <c r="M56" t="s">
        <v>91</v>
      </c>
      <c r="N56" t="s">
        <v>91</v>
      </c>
      <c r="O56" t="s">
        <v>136</v>
      </c>
      <c r="P56" t="s">
        <v>137</v>
      </c>
      <c r="R56" t="s">
        <v>243</v>
      </c>
      <c r="T56" s="24">
        <v>-35133942</v>
      </c>
      <c r="X56" t="s">
        <v>92</v>
      </c>
    </row>
    <row r="57" spans="1:24" x14ac:dyDescent="0.3">
      <c r="A57" s="36">
        <v>45169</v>
      </c>
      <c r="B57" t="s">
        <v>90</v>
      </c>
      <c r="C57" t="s">
        <v>244</v>
      </c>
      <c r="G57" s="51">
        <v>45169</v>
      </c>
      <c r="I57" s="24">
        <v>-3000000</v>
      </c>
      <c r="K57" t="s">
        <v>135</v>
      </c>
      <c r="L57">
        <v>2308311958</v>
      </c>
      <c r="M57" t="s">
        <v>91</v>
      </c>
      <c r="N57" t="s">
        <v>91</v>
      </c>
      <c r="O57" t="s">
        <v>136</v>
      </c>
      <c r="P57" t="s">
        <v>137</v>
      </c>
      <c r="R57" t="s">
        <v>245</v>
      </c>
      <c r="T57" s="24">
        <v>-38133942</v>
      </c>
      <c r="X57" t="s">
        <v>92</v>
      </c>
    </row>
    <row r="58" spans="1:24" x14ac:dyDescent="0.3">
      <c r="A58" s="36">
        <v>45170</v>
      </c>
      <c r="B58" t="s">
        <v>95</v>
      </c>
      <c r="C58" t="s">
        <v>246</v>
      </c>
      <c r="G58" s="51">
        <v>45169</v>
      </c>
      <c r="J58">
        <v>188</v>
      </c>
      <c r="K58" t="s">
        <v>247</v>
      </c>
      <c r="L58">
        <v>2309010238</v>
      </c>
      <c r="M58" t="s">
        <v>96</v>
      </c>
      <c r="N58" t="s">
        <v>96</v>
      </c>
      <c r="T58" s="24">
        <v>-38133754</v>
      </c>
    </row>
    <row r="59" spans="1:24" x14ac:dyDescent="0.3">
      <c r="A59" s="36">
        <v>45170</v>
      </c>
      <c r="B59" t="s">
        <v>90</v>
      </c>
      <c r="C59" t="s">
        <v>248</v>
      </c>
      <c r="G59" s="51">
        <v>45170</v>
      </c>
      <c r="I59" s="24">
        <v>-500000</v>
      </c>
      <c r="K59" t="s">
        <v>135</v>
      </c>
      <c r="L59">
        <v>2309011634</v>
      </c>
      <c r="M59" t="s">
        <v>91</v>
      </c>
      <c r="N59" t="s">
        <v>91</v>
      </c>
      <c r="O59" t="s">
        <v>136</v>
      </c>
      <c r="P59" t="s">
        <v>137</v>
      </c>
      <c r="R59" t="s">
        <v>249</v>
      </c>
      <c r="T59" s="24">
        <v>-38633754</v>
      </c>
      <c r="X59" t="s">
        <v>92</v>
      </c>
    </row>
    <row r="60" spans="1:24" x14ac:dyDescent="0.3">
      <c r="A60" s="36">
        <v>45174</v>
      </c>
      <c r="B60" t="s">
        <v>90</v>
      </c>
      <c r="C60" t="s">
        <v>250</v>
      </c>
      <c r="G60" s="51">
        <v>45174</v>
      </c>
      <c r="I60" s="24">
        <v>-1000000</v>
      </c>
      <c r="K60" t="s">
        <v>135</v>
      </c>
      <c r="L60">
        <v>2309022232</v>
      </c>
      <c r="M60" t="s">
        <v>91</v>
      </c>
      <c r="N60" t="s">
        <v>91</v>
      </c>
      <c r="O60" t="s">
        <v>136</v>
      </c>
      <c r="P60" t="s">
        <v>137</v>
      </c>
      <c r="R60" t="s">
        <v>251</v>
      </c>
      <c r="T60" s="24">
        <v>-39633754</v>
      </c>
      <c r="X60" t="s">
        <v>92</v>
      </c>
    </row>
    <row r="61" spans="1:24" x14ac:dyDescent="0.3">
      <c r="A61" s="36">
        <v>45174</v>
      </c>
      <c r="B61" t="s">
        <v>90</v>
      </c>
      <c r="C61" t="s">
        <v>252</v>
      </c>
      <c r="G61" s="51">
        <v>45174</v>
      </c>
      <c r="I61" s="24">
        <v>-300000</v>
      </c>
      <c r="K61" t="s">
        <v>135</v>
      </c>
      <c r="L61">
        <v>2309030138</v>
      </c>
      <c r="M61" t="s">
        <v>91</v>
      </c>
      <c r="N61" t="s">
        <v>91</v>
      </c>
      <c r="O61" t="s">
        <v>136</v>
      </c>
      <c r="P61" t="s">
        <v>137</v>
      </c>
      <c r="R61" t="s">
        <v>253</v>
      </c>
      <c r="T61" s="24">
        <v>-39933754</v>
      </c>
      <c r="X61" t="s">
        <v>92</v>
      </c>
    </row>
    <row r="62" spans="1:24" x14ac:dyDescent="0.3">
      <c r="A62" s="36">
        <v>45174</v>
      </c>
      <c r="B62" t="s">
        <v>90</v>
      </c>
      <c r="C62" t="s">
        <v>254</v>
      </c>
      <c r="G62" s="51">
        <v>45174</v>
      </c>
      <c r="J62" s="24">
        <v>12813220</v>
      </c>
      <c r="K62" t="s">
        <v>255</v>
      </c>
      <c r="L62">
        <v>2309041039</v>
      </c>
      <c r="M62" t="s">
        <v>91</v>
      </c>
      <c r="N62" t="s">
        <v>91</v>
      </c>
      <c r="P62" t="s">
        <v>137</v>
      </c>
      <c r="R62">
        <v>888899391212</v>
      </c>
      <c r="T62" s="24">
        <v>-27120534</v>
      </c>
      <c r="X62" t="s">
        <v>92</v>
      </c>
    </row>
    <row r="63" spans="1:24" x14ac:dyDescent="0.3">
      <c r="A63" s="36">
        <v>45174</v>
      </c>
      <c r="B63" t="s">
        <v>90</v>
      </c>
      <c r="C63" t="s">
        <v>256</v>
      </c>
      <c r="G63" s="51">
        <v>45174</v>
      </c>
      <c r="I63" s="24">
        <v>-12810000</v>
      </c>
      <c r="K63" t="s">
        <v>135</v>
      </c>
      <c r="L63">
        <v>2309041046</v>
      </c>
      <c r="M63" t="s">
        <v>91</v>
      </c>
      <c r="N63" t="s">
        <v>91</v>
      </c>
      <c r="O63" t="s">
        <v>136</v>
      </c>
      <c r="P63" t="s">
        <v>137</v>
      </c>
      <c r="R63" t="s">
        <v>257</v>
      </c>
      <c r="T63" s="24">
        <v>-39930534</v>
      </c>
    </row>
    <row r="64" spans="1:24" x14ac:dyDescent="0.3">
      <c r="A64" s="36">
        <v>45174</v>
      </c>
      <c r="B64" t="s">
        <v>90</v>
      </c>
      <c r="C64" t="s">
        <v>258</v>
      </c>
      <c r="G64" s="51">
        <v>45174</v>
      </c>
      <c r="J64" s="24">
        <v>2000000</v>
      </c>
      <c r="K64" t="s">
        <v>142</v>
      </c>
      <c r="L64">
        <v>2309041835</v>
      </c>
      <c r="M64" t="s">
        <v>91</v>
      </c>
      <c r="N64" t="s">
        <v>91</v>
      </c>
      <c r="O64" t="s">
        <v>143</v>
      </c>
      <c r="P64" t="s">
        <v>144</v>
      </c>
      <c r="R64" t="s">
        <v>259</v>
      </c>
      <c r="T64" s="24">
        <v>-37930534</v>
      </c>
    </row>
    <row r="65" spans="1:24" x14ac:dyDescent="0.3">
      <c r="A65" s="36">
        <v>45174</v>
      </c>
      <c r="B65" t="s">
        <v>90</v>
      </c>
      <c r="C65" t="s">
        <v>260</v>
      </c>
      <c r="G65" s="51">
        <v>45174</v>
      </c>
      <c r="I65" s="24">
        <v>-700000</v>
      </c>
      <c r="K65" t="s">
        <v>135</v>
      </c>
      <c r="L65">
        <v>2309041856</v>
      </c>
      <c r="M65" t="s">
        <v>91</v>
      </c>
      <c r="N65" t="s">
        <v>91</v>
      </c>
      <c r="O65" t="s">
        <v>136</v>
      </c>
      <c r="P65" t="s">
        <v>137</v>
      </c>
      <c r="R65" t="s">
        <v>261</v>
      </c>
      <c r="T65" s="24">
        <v>-38630534</v>
      </c>
      <c r="X65" t="s">
        <v>92</v>
      </c>
    </row>
    <row r="66" spans="1:24" x14ac:dyDescent="0.3">
      <c r="A66" s="36">
        <v>45174</v>
      </c>
      <c r="B66" t="s">
        <v>90</v>
      </c>
      <c r="C66" t="s">
        <v>262</v>
      </c>
      <c r="G66" s="51">
        <v>45174</v>
      </c>
      <c r="I66" s="24">
        <v>-1000000</v>
      </c>
      <c r="K66" t="s">
        <v>135</v>
      </c>
      <c r="L66">
        <v>2309050817</v>
      </c>
      <c r="M66" t="s">
        <v>91</v>
      </c>
      <c r="N66" t="s">
        <v>91</v>
      </c>
      <c r="O66" t="s">
        <v>136</v>
      </c>
      <c r="P66" t="s">
        <v>137</v>
      </c>
      <c r="R66" t="s">
        <v>263</v>
      </c>
      <c r="T66" s="24">
        <v>-39630534</v>
      </c>
      <c r="X66" t="s">
        <v>92</v>
      </c>
    </row>
    <row r="67" spans="1:24" x14ac:dyDescent="0.3">
      <c r="A67" s="36">
        <v>45175</v>
      </c>
      <c r="B67" t="s">
        <v>90</v>
      </c>
      <c r="C67" t="s">
        <v>264</v>
      </c>
      <c r="G67" s="51">
        <v>45175</v>
      </c>
      <c r="J67" s="24">
        <v>7257300</v>
      </c>
      <c r="K67" t="s">
        <v>265</v>
      </c>
      <c r="L67">
        <v>2309061115</v>
      </c>
      <c r="M67" t="s">
        <v>91</v>
      </c>
      <c r="N67" t="s">
        <v>91</v>
      </c>
      <c r="P67" t="s">
        <v>137</v>
      </c>
      <c r="R67">
        <v>888899381596</v>
      </c>
      <c r="T67" s="24">
        <v>-32373234</v>
      </c>
      <c r="X67" t="s">
        <v>92</v>
      </c>
    </row>
    <row r="68" spans="1:24" x14ac:dyDescent="0.3">
      <c r="A68" s="36">
        <v>45175</v>
      </c>
      <c r="B68" t="s">
        <v>90</v>
      </c>
      <c r="C68" t="s">
        <v>266</v>
      </c>
      <c r="G68" s="51">
        <v>45175</v>
      </c>
      <c r="I68" s="24">
        <v>-2000000</v>
      </c>
      <c r="K68" t="s">
        <v>135</v>
      </c>
      <c r="L68">
        <v>2309061117</v>
      </c>
      <c r="M68" t="s">
        <v>91</v>
      </c>
      <c r="N68" t="s">
        <v>91</v>
      </c>
      <c r="O68" t="s">
        <v>136</v>
      </c>
      <c r="P68" t="s">
        <v>137</v>
      </c>
      <c r="R68" t="s">
        <v>267</v>
      </c>
      <c r="T68" s="24">
        <v>-34373234</v>
      </c>
    </row>
    <row r="69" spans="1:24" x14ac:dyDescent="0.3">
      <c r="A69" s="36">
        <v>45175</v>
      </c>
      <c r="B69" t="s">
        <v>90</v>
      </c>
      <c r="C69" t="s">
        <v>268</v>
      </c>
      <c r="G69" s="51">
        <v>45175</v>
      </c>
      <c r="I69" s="24">
        <v>-1000000</v>
      </c>
      <c r="K69" t="s">
        <v>135</v>
      </c>
      <c r="L69">
        <v>2309061303</v>
      </c>
      <c r="M69" t="s">
        <v>91</v>
      </c>
      <c r="N69" t="s">
        <v>91</v>
      </c>
      <c r="O69" t="s">
        <v>136</v>
      </c>
      <c r="P69" t="s">
        <v>137</v>
      </c>
      <c r="R69" t="s">
        <v>269</v>
      </c>
      <c r="T69" s="24">
        <v>-35373234</v>
      </c>
    </row>
    <row r="70" spans="1:24" x14ac:dyDescent="0.3">
      <c r="A70" s="36">
        <v>45175</v>
      </c>
      <c r="B70" t="s">
        <v>90</v>
      </c>
      <c r="C70" t="s">
        <v>270</v>
      </c>
      <c r="G70" s="51">
        <v>45175</v>
      </c>
      <c r="I70" s="24">
        <v>-136000</v>
      </c>
      <c r="K70" t="s">
        <v>135</v>
      </c>
      <c r="L70">
        <v>2309061638</v>
      </c>
      <c r="M70" t="s">
        <v>91</v>
      </c>
      <c r="N70" t="s">
        <v>91</v>
      </c>
      <c r="O70" t="s">
        <v>136</v>
      </c>
      <c r="P70" t="s">
        <v>137</v>
      </c>
      <c r="R70" t="s">
        <v>271</v>
      </c>
      <c r="T70" s="24">
        <v>-35509234</v>
      </c>
      <c r="X70" t="s">
        <v>92</v>
      </c>
    </row>
    <row r="71" spans="1:24" x14ac:dyDescent="0.3">
      <c r="A71" s="36">
        <v>45175</v>
      </c>
      <c r="B71" t="s">
        <v>90</v>
      </c>
      <c r="C71" t="s">
        <v>272</v>
      </c>
      <c r="G71" s="51">
        <v>45175</v>
      </c>
      <c r="I71" s="24">
        <v>-1000000</v>
      </c>
      <c r="K71" t="s">
        <v>135</v>
      </c>
      <c r="L71">
        <v>2309061751</v>
      </c>
      <c r="M71" t="s">
        <v>91</v>
      </c>
      <c r="N71" t="s">
        <v>91</v>
      </c>
      <c r="O71" t="s">
        <v>136</v>
      </c>
      <c r="P71" t="s">
        <v>137</v>
      </c>
      <c r="R71" t="s">
        <v>273</v>
      </c>
      <c r="T71" s="24">
        <v>-36509234</v>
      </c>
      <c r="X71" t="s">
        <v>92</v>
      </c>
    </row>
    <row r="72" spans="1:24" x14ac:dyDescent="0.3">
      <c r="A72" s="36">
        <v>45176</v>
      </c>
      <c r="B72" t="s">
        <v>90</v>
      </c>
      <c r="C72" t="s">
        <v>274</v>
      </c>
      <c r="G72" s="51">
        <v>45176</v>
      </c>
      <c r="I72" s="24">
        <v>-350000</v>
      </c>
      <c r="K72" t="s">
        <v>135</v>
      </c>
      <c r="L72">
        <v>2309071806</v>
      </c>
      <c r="M72" t="s">
        <v>91</v>
      </c>
      <c r="N72" t="s">
        <v>91</v>
      </c>
      <c r="O72" t="s">
        <v>136</v>
      </c>
      <c r="P72" t="s">
        <v>137</v>
      </c>
      <c r="R72" t="s">
        <v>275</v>
      </c>
      <c r="T72" s="24">
        <v>-36859234</v>
      </c>
      <c r="X72" t="s">
        <v>92</v>
      </c>
    </row>
    <row r="73" spans="1:24" x14ac:dyDescent="0.3">
      <c r="A73" s="36">
        <v>45177</v>
      </c>
      <c r="B73" t="s">
        <v>90</v>
      </c>
      <c r="C73" t="s">
        <v>276</v>
      </c>
      <c r="G73" s="51">
        <v>45177</v>
      </c>
      <c r="J73" s="24">
        <v>3635850</v>
      </c>
      <c r="K73" t="s">
        <v>277</v>
      </c>
      <c r="L73">
        <v>2309082101</v>
      </c>
      <c r="M73" t="s">
        <v>91</v>
      </c>
      <c r="N73" t="s">
        <v>91</v>
      </c>
      <c r="P73" t="s">
        <v>137</v>
      </c>
      <c r="R73">
        <v>970422483027</v>
      </c>
      <c r="T73" s="24">
        <v>-33223384</v>
      </c>
      <c r="X73" t="s">
        <v>92</v>
      </c>
    </row>
    <row r="74" spans="1:24" x14ac:dyDescent="0.3">
      <c r="A74" s="36">
        <v>45177</v>
      </c>
      <c r="B74" t="s">
        <v>90</v>
      </c>
      <c r="C74" t="s">
        <v>278</v>
      </c>
      <c r="G74" s="51">
        <v>45177</v>
      </c>
      <c r="I74" s="24">
        <v>-4983000</v>
      </c>
      <c r="L74">
        <v>2309082104</v>
      </c>
      <c r="M74" t="s">
        <v>91</v>
      </c>
      <c r="N74" t="s">
        <v>91</v>
      </c>
      <c r="O74" t="s">
        <v>136</v>
      </c>
      <c r="P74" t="s">
        <v>137</v>
      </c>
      <c r="R74" t="s">
        <v>279</v>
      </c>
      <c r="T74" s="24">
        <v>-38206384</v>
      </c>
    </row>
    <row r="75" spans="1:24" x14ac:dyDescent="0.3">
      <c r="A75" s="36">
        <v>45178</v>
      </c>
      <c r="B75" t="s">
        <v>90</v>
      </c>
      <c r="C75" t="s">
        <v>280</v>
      </c>
      <c r="G75" s="51">
        <v>45178</v>
      </c>
      <c r="J75" s="24">
        <v>31000000</v>
      </c>
      <c r="K75" t="s">
        <v>281</v>
      </c>
      <c r="L75">
        <v>2309090813</v>
      </c>
      <c r="M75" t="s">
        <v>91</v>
      </c>
      <c r="N75" t="s">
        <v>91</v>
      </c>
      <c r="P75" t="s">
        <v>137</v>
      </c>
      <c r="R75">
        <v>686868066348</v>
      </c>
      <c r="T75" s="24">
        <v>-7206384</v>
      </c>
      <c r="X75" t="s">
        <v>92</v>
      </c>
    </row>
    <row r="76" spans="1:24" x14ac:dyDescent="0.3">
      <c r="A76" s="36">
        <v>45178</v>
      </c>
      <c r="B76" t="s">
        <v>90</v>
      </c>
      <c r="C76" t="s">
        <v>282</v>
      </c>
      <c r="G76" s="51">
        <v>45178</v>
      </c>
      <c r="I76" s="24">
        <v>-30000000</v>
      </c>
      <c r="K76" t="s">
        <v>135</v>
      </c>
      <c r="L76">
        <v>2309090825</v>
      </c>
      <c r="M76" t="s">
        <v>91</v>
      </c>
      <c r="N76" t="s">
        <v>91</v>
      </c>
      <c r="O76" t="s">
        <v>136</v>
      </c>
      <c r="P76" t="s">
        <v>137</v>
      </c>
      <c r="R76" t="s">
        <v>283</v>
      </c>
      <c r="T76" s="24">
        <v>-37206384</v>
      </c>
      <c r="X76" t="s">
        <v>92</v>
      </c>
    </row>
    <row r="77" spans="1:24" x14ac:dyDescent="0.3">
      <c r="A77" s="36">
        <v>45178</v>
      </c>
      <c r="B77" t="s">
        <v>90</v>
      </c>
      <c r="C77" t="s">
        <v>284</v>
      </c>
      <c r="G77" s="51">
        <v>45178</v>
      </c>
      <c r="I77" s="24">
        <v>-269000</v>
      </c>
      <c r="L77">
        <v>2309090933</v>
      </c>
      <c r="M77" t="s">
        <v>91</v>
      </c>
      <c r="N77" t="s">
        <v>91</v>
      </c>
      <c r="O77" t="s">
        <v>136</v>
      </c>
      <c r="P77" t="s">
        <v>137</v>
      </c>
      <c r="R77" t="s">
        <v>285</v>
      </c>
      <c r="T77" s="24">
        <v>-37475384</v>
      </c>
    </row>
    <row r="78" spans="1:24" x14ac:dyDescent="0.3">
      <c r="A78" s="36">
        <v>45178</v>
      </c>
      <c r="B78" t="s">
        <v>90</v>
      </c>
      <c r="C78" t="s">
        <v>286</v>
      </c>
      <c r="G78" s="51">
        <v>45178</v>
      </c>
      <c r="I78" s="24">
        <v>-349000</v>
      </c>
      <c r="K78" t="s">
        <v>135</v>
      </c>
      <c r="L78">
        <v>2309091907</v>
      </c>
      <c r="M78" t="s">
        <v>91</v>
      </c>
      <c r="N78" t="s">
        <v>91</v>
      </c>
      <c r="O78" t="s">
        <v>136</v>
      </c>
      <c r="P78" t="s">
        <v>137</v>
      </c>
      <c r="R78" t="s">
        <v>287</v>
      </c>
      <c r="T78" s="24">
        <v>-37824384</v>
      </c>
      <c r="X78" t="s">
        <v>92</v>
      </c>
    </row>
    <row r="79" spans="1:24" x14ac:dyDescent="0.3">
      <c r="A79" s="36">
        <v>45180</v>
      </c>
      <c r="B79" t="s">
        <v>90</v>
      </c>
      <c r="C79" t="s">
        <v>288</v>
      </c>
      <c r="G79" s="51">
        <v>45180</v>
      </c>
      <c r="J79" s="24">
        <v>5666836</v>
      </c>
      <c r="K79" t="s">
        <v>289</v>
      </c>
      <c r="L79">
        <v>2309100102</v>
      </c>
      <c r="M79" t="s">
        <v>91</v>
      </c>
      <c r="N79" t="s">
        <v>91</v>
      </c>
      <c r="P79" t="s">
        <v>137</v>
      </c>
      <c r="R79">
        <v>970416573931</v>
      </c>
      <c r="T79" s="24">
        <v>-32157548</v>
      </c>
      <c r="X79" t="s">
        <v>92</v>
      </c>
    </row>
    <row r="80" spans="1:24" x14ac:dyDescent="0.3">
      <c r="A80" s="36">
        <v>45180</v>
      </c>
      <c r="B80" t="s">
        <v>90</v>
      </c>
      <c r="C80" t="s">
        <v>290</v>
      </c>
      <c r="G80" s="51">
        <v>45180</v>
      </c>
      <c r="I80" s="24">
        <v>-2000000</v>
      </c>
      <c r="K80" t="s">
        <v>135</v>
      </c>
      <c r="L80">
        <v>2309100110</v>
      </c>
      <c r="M80" t="s">
        <v>91</v>
      </c>
      <c r="N80" t="s">
        <v>91</v>
      </c>
      <c r="O80" t="s">
        <v>136</v>
      </c>
      <c r="P80" t="s">
        <v>137</v>
      </c>
      <c r="R80" t="s">
        <v>291</v>
      </c>
      <c r="T80" s="24">
        <v>-34157548</v>
      </c>
      <c r="X80" t="s">
        <v>92</v>
      </c>
    </row>
    <row r="81" spans="1:24" x14ac:dyDescent="0.3">
      <c r="A81" s="36">
        <v>45180</v>
      </c>
      <c r="B81" t="s">
        <v>90</v>
      </c>
      <c r="C81" t="s">
        <v>292</v>
      </c>
      <c r="G81" s="51">
        <v>45180</v>
      </c>
      <c r="I81" s="24">
        <v>-3026000</v>
      </c>
      <c r="K81" t="s">
        <v>135</v>
      </c>
      <c r="L81">
        <v>2309100111</v>
      </c>
      <c r="M81" t="s">
        <v>91</v>
      </c>
      <c r="N81" t="s">
        <v>91</v>
      </c>
      <c r="O81" t="s">
        <v>136</v>
      </c>
      <c r="P81" t="s">
        <v>137</v>
      </c>
      <c r="R81" t="s">
        <v>293</v>
      </c>
      <c r="T81" s="24">
        <v>-37183548</v>
      </c>
      <c r="X81" t="s">
        <v>92</v>
      </c>
    </row>
    <row r="82" spans="1:24" x14ac:dyDescent="0.3">
      <c r="A82" s="36">
        <v>45180</v>
      </c>
      <c r="B82" t="s">
        <v>90</v>
      </c>
      <c r="C82" t="s">
        <v>294</v>
      </c>
      <c r="G82" s="51">
        <v>45180</v>
      </c>
      <c r="J82" s="24">
        <v>2000000</v>
      </c>
      <c r="K82" t="s">
        <v>295</v>
      </c>
      <c r="L82">
        <v>2309101140</v>
      </c>
      <c r="M82" t="s">
        <v>91</v>
      </c>
      <c r="N82" t="s">
        <v>91</v>
      </c>
      <c r="P82" t="s">
        <v>137</v>
      </c>
      <c r="R82">
        <v>686868062709</v>
      </c>
      <c r="T82" s="24">
        <v>-35183548</v>
      </c>
      <c r="X82" t="s">
        <v>92</v>
      </c>
    </row>
    <row r="83" spans="1:24" x14ac:dyDescent="0.3">
      <c r="A83" s="36">
        <v>45180</v>
      </c>
      <c r="B83" t="s">
        <v>90</v>
      </c>
      <c r="C83" t="s">
        <v>296</v>
      </c>
      <c r="G83" s="51">
        <v>45180</v>
      </c>
      <c r="I83" s="24">
        <v>-2650000</v>
      </c>
      <c r="K83" t="s">
        <v>135</v>
      </c>
      <c r="L83">
        <v>2309111215</v>
      </c>
      <c r="M83" t="s">
        <v>91</v>
      </c>
      <c r="N83" t="s">
        <v>91</v>
      </c>
      <c r="O83" t="s">
        <v>136</v>
      </c>
      <c r="P83" t="s">
        <v>137</v>
      </c>
      <c r="R83" t="s">
        <v>297</v>
      </c>
      <c r="T83" s="24">
        <v>-37833548</v>
      </c>
      <c r="X83" t="s">
        <v>92</v>
      </c>
    </row>
    <row r="84" spans="1:24" x14ac:dyDescent="0.3">
      <c r="A84" s="36">
        <v>45181</v>
      </c>
      <c r="B84" t="s">
        <v>90</v>
      </c>
      <c r="C84" t="s">
        <v>298</v>
      </c>
      <c r="G84" s="51">
        <v>45181</v>
      </c>
      <c r="I84" s="24">
        <v>-420000</v>
      </c>
      <c r="K84" t="s">
        <v>135</v>
      </c>
      <c r="L84">
        <v>2309120658</v>
      </c>
      <c r="M84" t="s">
        <v>91</v>
      </c>
      <c r="N84" t="s">
        <v>91</v>
      </c>
      <c r="O84" t="s">
        <v>136</v>
      </c>
      <c r="P84" t="s">
        <v>137</v>
      </c>
      <c r="R84" t="s">
        <v>299</v>
      </c>
      <c r="T84" s="24">
        <v>-38253548</v>
      </c>
      <c r="X84" t="s">
        <v>92</v>
      </c>
    </row>
    <row r="85" spans="1:24" x14ac:dyDescent="0.3">
      <c r="A85" s="36">
        <v>45181</v>
      </c>
      <c r="B85" t="s">
        <v>90</v>
      </c>
      <c r="C85" t="s">
        <v>300</v>
      </c>
      <c r="G85" s="51">
        <v>45181</v>
      </c>
      <c r="I85" s="24">
        <v>-500000</v>
      </c>
      <c r="K85" t="s">
        <v>135</v>
      </c>
      <c r="L85">
        <v>2309121749</v>
      </c>
      <c r="M85" t="s">
        <v>91</v>
      </c>
      <c r="N85" t="s">
        <v>91</v>
      </c>
      <c r="O85" t="s">
        <v>136</v>
      </c>
      <c r="P85" t="s">
        <v>137</v>
      </c>
      <c r="R85" t="s">
        <v>301</v>
      </c>
      <c r="T85" s="24">
        <v>-38753548</v>
      </c>
      <c r="X85" t="s">
        <v>92</v>
      </c>
    </row>
    <row r="86" spans="1:24" x14ac:dyDescent="0.3">
      <c r="A86" s="36">
        <v>45182</v>
      </c>
      <c r="B86" t="s">
        <v>90</v>
      </c>
      <c r="C86" t="s">
        <v>302</v>
      </c>
      <c r="G86" s="51">
        <v>45182</v>
      </c>
      <c r="J86" s="24">
        <v>3006943</v>
      </c>
      <c r="K86" t="s">
        <v>303</v>
      </c>
      <c r="L86">
        <v>2309122115</v>
      </c>
      <c r="M86" t="s">
        <v>91</v>
      </c>
      <c r="N86" t="s">
        <v>91</v>
      </c>
      <c r="P86" t="s">
        <v>137</v>
      </c>
      <c r="R86">
        <v>970422253600</v>
      </c>
      <c r="T86" s="24">
        <v>-35746605</v>
      </c>
      <c r="X86" t="s">
        <v>92</v>
      </c>
    </row>
    <row r="87" spans="1:24" x14ac:dyDescent="0.3">
      <c r="A87" s="36">
        <v>45182</v>
      </c>
      <c r="B87" t="s">
        <v>90</v>
      </c>
      <c r="C87" t="s">
        <v>304</v>
      </c>
      <c r="G87" s="51">
        <v>45182</v>
      </c>
      <c r="I87" s="24">
        <v>-500000</v>
      </c>
      <c r="K87" t="s">
        <v>135</v>
      </c>
      <c r="L87">
        <v>2309130559</v>
      </c>
      <c r="M87" t="s">
        <v>91</v>
      </c>
      <c r="N87" t="s">
        <v>91</v>
      </c>
      <c r="O87" t="s">
        <v>136</v>
      </c>
      <c r="P87" t="s">
        <v>137</v>
      </c>
      <c r="R87" t="s">
        <v>305</v>
      </c>
      <c r="T87" s="24">
        <v>-36246605</v>
      </c>
      <c r="X87" t="s">
        <v>92</v>
      </c>
    </row>
    <row r="88" spans="1:24" x14ac:dyDescent="0.3">
      <c r="A88" s="36">
        <v>45182</v>
      </c>
      <c r="B88" t="s">
        <v>90</v>
      </c>
      <c r="C88" t="s">
        <v>306</v>
      </c>
      <c r="G88" s="51">
        <v>45182</v>
      </c>
      <c r="I88" s="24">
        <v>-3250000</v>
      </c>
      <c r="K88" t="s">
        <v>307</v>
      </c>
      <c r="L88">
        <v>2309130813</v>
      </c>
      <c r="M88" t="s">
        <v>91</v>
      </c>
      <c r="N88" t="s">
        <v>91</v>
      </c>
      <c r="O88" t="s">
        <v>136</v>
      </c>
      <c r="P88" t="s">
        <v>137</v>
      </c>
      <c r="R88" t="s">
        <v>308</v>
      </c>
      <c r="T88" s="24">
        <v>-39496605</v>
      </c>
      <c r="X88" t="s">
        <v>92</v>
      </c>
    </row>
    <row r="89" spans="1:24" x14ac:dyDescent="0.3">
      <c r="A89" s="36">
        <v>45182</v>
      </c>
      <c r="B89" t="s">
        <v>90</v>
      </c>
      <c r="C89" t="s">
        <v>309</v>
      </c>
      <c r="G89" s="51">
        <v>45182</v>
      </c>
      <c r="J89" s="24">
        <v>6053250</v>
      </c>
      <c r="K89" t="s">
        <v>310</v>
      </c>
      <c r="L89">
        <v>2309130815</v>
      </c>
      <c r="M89" t="s">
        <v>91</v>
      </c>
      <c r="N89" t="s">
        <v>91</v>
      </c>
      <c r="P89" t="s">
        <v>137</v>
      </c>
      <c r="R89">
        <v>686868037150</v>
      </c>
      <c r="T89" s="24">
        <v>-33443355</v>
      </c>
      <c r="X89" t="s">
        <v>92</v>
      </c>
    </row>
    <row r="90" spans="1:24" x14ac:dyDescent="0.3">
      <c r="A90" s="36">
        <v>45182</v>
      </c>
      <c r="B90" t="s">
        <v>90</v>
      </c>
      <c r="C90" t="s">
        <v>311</v>
      </c>
      <c r="G90" s="51">
        <v>45182</v>
      </c>
      <c r="I90" s="24">
        <v>-3000000</v>
      </c>
      <c r="K90" t="s">
        <v>135</v>
      </c>
      <c r="L90">
        <v>2309131000</v>
      </c>
      <c r="M90" t="s">
        <v>91</v>
      </c>
      <c r="N90" t="s">
        <v>91</v>
      </c>
      <c r="O90" t="s">
        <v>136</v>
      </c>
      <c r="P90" t="s">
        <v>137</v>
      </c>
      <c r="R90" t="s">
        <v>312</v>
      </c>
      <c r="T90" s="24">
        <v>-36443355</v>
      </c>
      <c r="X90" t="s">
        <v>92</v>
      </c>
    </row>
    <row r="91" spans="1:24" x14ac:dyDescent="0.3">
      <c r="A91" s="36">
        <v>45183</v>
      </c>
      <c r="B91" t="s">
        <v>90</v>
      </c>
      <c r="C91" t="s">
        <v>313</v>
      </c>
      <c r="G91" s="51">
        <v>45183</v>
      </c>
      <c r="I91" s="24">
        <v>-3000000</v>
      </c>
      <c r="K91" t="s">
        <v>135</v>
      </c>
      <c r="L91">
        <v>2309140615</v>
      </c>
      <c r="M91" t="s">
        <v>91</v>
      </c>
      <c r="N91" t="s">
        <v>91</v>
      </c>
      <c r="O91" t="s">
        <v>136</v>
      </c>
      <c r="P91" t="s">
        <v>137</v>
      </c>
      <c r="R91" t="s">
        <v>314</v>
      </c>
      <c r="T91" s="24">
        <v>-39443355</v>
      </c>
    </row>
    <row r="92" spans="1:24" x14ac:dyDescent="0.3">
      <c r="A92" s="36">
        <v>45183</v>
      </c>
      <c r="B92" t="s">
        <v>90</v>
      </c>
      <c r="C92" t="s">
        <v>315</v>
      </c>
      <c r="G92" s="51">
        <v>45183</v>
      </c>
      <c r="I92" s="24">
        <v>-500000</v>
      </c>
      <c r="K92" t="s">
        <v>135</v>
      </c>
      <c r="L92">
        <v>2309140616</v>
      </c>
      <c r="M92" t="s">
        <v>91</v>
      </c>
      <c r="N92" t="s">
        <v>91</v>
      </c>
      <c r="O92" t="s">
        <v>136</v>
      </c>
      <c r="P92" t="s">
        <v>137</v>
      </c>
      <c r="R92" t="s">
        <v>316</v>
      </c>
      <c r="T92" s="24">
        <v>-39943355</v>
      </c>
      <c r="X92" t="s">
        <v>92</v>
      </c>
    </row>
    <row r="93" spans="1:24" x14ac:dyDescent="0.3">
      <c r="A93" s="36">
        <v>45183</v>
      </c>
      <c r="B93" t="s">
        <v>90</v>
      </c>
      <c r="C93" t="s">
        <v>317</v>
      </c>
      <c r="G93" s="51">
        <v>45183</v>
      </c>
      <c r="J93" s="24">
        <v>4852600</v>
      </c>
      <c r="K93" t="s">
        <v>318</v>
      </c>
      <c r="L93">
        <v>2309141648</v>
      </c>
      <c r="M93" t="s">
        <v>91</v>
      </c>
      <c r="N93" t="s">
        <v>91</v>
      </c>
      <c r="P93" t="s">
        <v>137</v>
      </c>
      <c r="R93">
        <v>970488626232</v>
      </c>
      <c r="T93" s="24">
        <v>-35090755</v>
      </c>
      <c r="X93" t="s">
        <v>92</v>
      </c>
    </row>
    <row r="94" spans="1:24" x14ac:dyDescent="0.3">
      <c r="A94" s="36">
        <v>45183</v>
      </c>
      <c r="B94" t="s">
        <v>90</v>
      </c>
      <c r="C94" t="s">
        <v>319</v>
      </c>
      <c r="G94" s="51">
        <v>45183</v>
      </c>
      <c r="I94" s="24">
        <v>-1200000</v>
      </c>
      <c r="K94" t="s">
        <v>135</v>
      </c>
      <c r="L94">
        <v>2309141650</v>
      </c>
      <c r="M94" t="s">
        <v>91</v>
      </c>
      <c r="N94" t="s">
        <v>91</v>
      </c>
      <c r="O94" t="s">
        <v>136</v>
      </c>
      <c r="P94" t="s">
        <v>137</v>
      </c>
      <c r="R94" t="s">
        <v>320</v>
      </c>
      <c r="T94" s="24">
        <v>-36290755</v>
      </c>
    </row>
    <row r="95" spans="1:24" x14ac:dyDescent="0.3">
      <c r="A95" s="36">
        <v>45183</v>
      </c>
      <c r="B95" t="s">
        <v>90</v>
      </c>
      <c r="C95" t="s">
        <v>321</v>
      </c>
      <c r="G95" s="51">
        <v>45183</v>
      </c>
      <c r="I95" s="24">
        <v>-2000000</v>
      </c>
      <c r="K95" t="s">
        <v>135</v>
      </c>
      <c r="L95">
        <v>2309141650</v>
      </c>
      <c r="M95" t="s">
        <v>91</v>
      </c>
      <c r="N95" t="s">
        <v>91</v>
      </c>
      <c r="O95" t="s">
        <v>136</v>
      </c>
      <c r="P95" t="s">
        <v>137</v>
      </c>
      <c r="R95" t="s">
        <v>322</v>
      </c>
      <c r="T95" s="24">
        <v>-38290755</v>
      </c>
      <c r="X95" t="s">
        <v>92</v>
      </c>
    </row>
    <row r="96" spans="1:24" x14ac:dyDescent="0.3">
      <c r="A96" s="36">
        <v>45183</v>
      </c>
      <c r="B96" t="s">
        <v>90</v>
      </c>
      <c r="C96" t="s">
        <v>323</v>
      </c>
      <c r="G96" s="51">
        <v>45183</v>
      </c>
      <c r="I96" s="24">
        <v>-1200000</v>
      </c>
      <c r="K96" t="s">
        <v>324</v>
      </c>
      <c r="L96">
        <v>2309141652</v>
      </c>
      <c r="M96" t="s">
        <v>91</v>
      </c>
      <c r="N96" t="s">
        <v>91</v>
      </c>
      <c r="O96" t="s">
        <v>136</v>
      </c>
      <c r="P96" t="s">
        <v>137</v>
      </c>
      <c r="R96" t="s">
        <v>325</v>
      </c>
      <c r="T96" s="24">
        <v>-39490755</v>
      </c>
      <c r="X96" t="s">
        <v>92</v>
      </c>
    </row>
    <row r="97" spans="1:24" x14ac:dyDescent="0.3">
      <c r="A97" s="36">
        <v>45187</v>
      </c>
      <c r="B97" t="s">
        <v>90</v>
      </c>
      <c r="C97" t="s">
        <v>326</v>
      </c>
      <c r="G97" s="51">
        <v>45187</v>
      </c>
      <c r="J97" s="24">
        <v>4515522</v>
      </c>
      <c r="K97" t="s">
        <v>327</v>
      </c>
      <c r="L97">
        <v>2309180822</v>
      </c>
      <c r="M97" t="s">
        <v>91</v>
      </c>
      <c r="N97" t="s">
        <v>91</v>
      </c>
      <c r="P97" t="s">
        <v>137</v>
      </c>
      <c r="R97">
        <v>970422450271</v>
      </c>
      <c r="T97" s="24">
        <v>-34975233</v>
      </c>
      <c r="X97" t="s">
        <v>92</v>
      </c>
    </row>
    <row r="98" spans="1:24" x14ac:dyDescent="0.3">
      <c r="A98" s="36">
        <v>45187</v>
      </c>
      <c r="B98" t="s">
        <v>90</v>
      </c>
      <c r="C98" t="s">
        <v>328</v>
      </c>
      <c r="G98" s="51">
        <v>45187</v>
      </c>
      <c r="I98" s="24">
        <v>-4200000</v>
      </c>
      <c r="K98" t="s">
        <v>135</v>
      </c>
      <c r="L98">
        <v>2309180908</v>
      </c>
      <c r="M98" t="s">
        <v>91</v>
      </c>
      <c r="N98" t="s">
        <v>91</v>
      </c>
      <c r="O98" t="s">
        <v>136</v>
      </c>
      <c r="P98" t="s">
        <v>137</v>
      </c>
      <c r="R98" t="s">
        <v>329</v>
      </c>
      <c r="T98" s="24">
        <v>-39175233</v>
      </c>
    </row>
    <row r="99" spans="1:24" x14ac:dyDescent="0.3">
      <c r="A99" s="36">
        <v>45187</v>
      </c>
      <c r="B99" t="s">
        <v>90</v>
      </c>
      <c r="C99" t="s">
        <v>330</v>
      </c>
      <c r="G99" s="51">
        <v>45187</v>
      </c>
      <c r="I99" s="24">
        <v>-580000</v>
      </c>
      <c r="K99" t="s">
        <v>135</v>
      </c>
      <c r="L99">
        <v>2309180909</v>
      </c>
      <c r="M99" t="s">
        <v>91</v>
      </c>
      <c r="N99" t="s">
        <v>91</v>
      </c>
      <c r="O99" t="s">
        <v>136</v>
      </c>
      <c r="P99" t="s">
        <v>137</v>
      </c>
      <c r="R99" t="s">
        <v>331</v>
      </c>
      <c r="T99" s="24">
        <v>-39755233</v>
      </c>
    </row>
    <row r="100" spans="1:24" x14ac:dyDescent="0.3">
      <c r="A100" s="36">
        <v>45187</v>
      </c>
      <c r="B100" t="s">
        <v>90</v>
      </c>
      <c r="C100" t="s">
        <v>332</v>
      </c>
      <c r="G100" s="51">
        <v>45187</v>
      </c>
      <c r="I100" s="24">
        <v>-20000</v>
      </c>
      <c r="K100" t="s">
        <v>135</v>
      </c>
      <c r="L100">
        <v>2309180910</v>
      </c>
      <c r="M100" t="s">
        <v>91</v>
      </c>
      <c r="N100" t="s">
        <v>91</v>
      </c>
      <c r="O100" t="s">
        <v>136</v>
      </c>
      <c r="P100" t="s">
        <v>137</v>
      </c>
      <c r="R100" t="s">
        <v>333</v>
      </c>
      <c r="T100" s="24">
        <v>-39775233</v>
      </c>
    </row>
    <row r="101" spans="1:24" x14ac:dyDescent="0.3">
      <c r="A101" s="36">
        <v>45187</v>
      </c>
      <c r="B101" t="s">
        <v>90</v>
      </c>
      <c r="C101" t="s">
        <v>334</v>
      </c>
      <c r="G101" s="51">
        <v>45187</v>
      </c>
      <c r="J101" s="24">
        <v>3712545</v>
      </c>
      <c r="K101" t="s">
        <v>335</v>
      </c>
      <c r="L101">
        <v>2309180948</v>
      </c>
      <c r="M101" t="s">
        <v>91</v>
      </c>
      <c r="N101" t="s">
        <v>91</v>
      </c>
      <c r="P101" t="s">
        <v>137</v>
      </c>
      <c r="R101">
        <v>888899963785</v>
      </c>
      <c r="T101" s="24">
        <v>-36062688</v>
      </c>
      <c r="X101" t="s">
        <v>92</v>
      </c>
    </row>
    <row r="102" spans="1:24" x14ac:dyDescent="0.3">
      <c r="A102" s="36">
        <v>45187</v>
      </c>
      <c r="B102" t="s">
        <v>90</v>
      </c>
      <c r="C102" t="s">
        <v>336</v>
      </c>
      <c r="G102" s="51">
        <v>45187</v>
      </c>
      <c r="I102" s="24">
        <v>-3712000</v>
      </c>
      <c r="K102" t="s">
        <v>135</v>
      </c>
      <c r="L102">
        <v>2309181140</v>
      </c>
      <c r="M102" t="s">
        <v>91</v>
      </c>
      <c r="N102" t="s">
        <v>91</v>
      </c>
      <c r="O102" t="s">
        <v>136</v>
      </c>
      <c r="P102" t="s">
        <v>137</v>
      </c>
      <c r="R102" t="s">
        <v>337</v>
      </c>
      <c r="T102" s="24">
        <v>-39774688</v>
      </c>
    </row>
    <row r="103" spans="1:24" x14ac:dyDescent="0.3">
      <c r="A103" s="36">
        <v>45188</v>
      </c>
      <c r="B103" t="s">
        <v>90</v>
      </c>
      <c r="C103" t="s">
        <v>338</v>
      </c>
      <c r="G103" s="51">
        <v>45188</v>
      </c>
      <c r="I103" s="24">
        <v>-200000</v>
      </c>
      <c r="K103" t="s">
        <v>135</v>
      </c>
      <c r="L103">
        <v>2309190752</v>
      </c>
      <c r="M103" t="s">
        <v>91</v>
      </c>
      <c r="N103" t="s">
        <v>91</v>
      </c>
      <c r="O103" t="s">
        <v>136</v>
      </c>
      <c r="P103" t="s">
        <v>137</v>
      </c>
      <c r="R103" t="s">
        <v>339</v>
      </c>
      <c r="T103" s="24">
        <v>-39974688</v>
      </c>
      <c r="X103" t="s">
        <v>92</v>
      </c>
    </row>
    <row r="104" spans="1:24" x14ac:dyDescent="0.3">
      <c r="A104" s="36">
        <v>45188</v>
      </c>
      <c r="B104" t="s">
        <v>90</v>
      </c>
      <c r="C104" t="s">
        <v>340</v>
      </c>
      <c r="G104" s="51">
        <v>45188</v>
      </c>
      <c r="J104" s="24">
        <v>1500000</v>
      </c>
      <c r="K104" t="s">
        <v>142</v>
      </c>
      <c r="L104">
        <v>2309192121</v>
      </c>
      <c r="M104" t="s">
        <v>91</v>
      </c>
      <c r="N104" t="s">
        <v>91</v>
      </c>
      <c r="O104" t="s">
        <v>143</v>
      </c>
      <c r="P104" t="s">
        <v>144</v>
      </c>
      <c r="R104" t="s">
        <v>341</v>
      </c>
      <c r="T104" s="24">
        <v>-38474688</v>
      </c>
    </row>
    <row r="105" spans="1:24" x14ac:dyDescent="0.3">
      <c r="A105" s="36">
        <v>45188</v>
      </c>
      <c r="B105" t="s">
        <v>90</v>
      </c>
      <c r="C105" t="s">
        <v>342</v>
      </c>
      <c r="G105" s="51">
        <v>45188</v>
      </c>
      <c r="I105" s="24">
        <v>-1500000</v>
      </c>
      <c r="K105" t="s">
        <v>343</v>
      </c>
      <c r="L105">
        <v>2309192122</v>
      </c>
      <c r="M105" t="s">
        <v>91</v>
      </c>
      <c r="N105" t="s">
        <v>91</v>
      </c>
      <c r="O105" t="s">
        <v>136</v>
      </c>
      <c r="P105" t="s">
        <v>137</v>
      </c>
      <c r="R105" t="s">
        <v>344</v>
      </c>
      <c r="T105" s="24">
        <v>-39974688</v>
      </c>
      <c r="X105" t="s">
        <v>92</v>
      </c>
    </row>
    <row r="106" spans="1:24" x14ac:dyDescent="0.3">
      <c r="A106" s="36">
        <v>45189</v>
      </c>
      <c r="B106" t="s">
        <v>90</v>
      </c>
      <c r="C106" t="s">
        <v>345</v>
      </c>
      <c r="G106" s="51">
        <v>45189</v>
      </c>
      <c r="J106" s="24">
        <v>160000</v>
      </c>
      <c r="K106" t="s">
        <v>346</v>
      </c>
      <c r="L106">
        <v>2309200907</v>
      </c>
      <c r="M106" t="s">
        <v>91</v>
      </c>
      <c r="N106" t="s">
        <v>91</v>
      </c>
      <c r="O106" t="s">
        <v>347</v>
      </c>
      <c r="P106" t="s">
        <v>348</v>
      </c>
      <c r="R106" t="s">
        <v>349</v>
      </c>
      <c r="T106" s="24">
        <v>-39814688</v>
      </c>
    </row>
    <row r="107" spans="1:24" x14ac:dyDescent="0.3">
      <c r="A107" s="36">
        <v>45189</v>
      </c>
      <c r="B107" t="s">
        <v>90</v>
      </c>
      <c r="C107" t="s">
        <v>350</v>
      </c>
      <c r="G107" s="51">
        <v>45189</v>
      </c>
      <c r="J107" s="24">
        <v>1026522</v>
      </c>
      <c r="K107" t="s">
        <v>351</v>
      </c>
      <c r="L107">
        <v>2309200915</v>
      </c>
      <c r="M107" t="s">
        <v>91</v>
      </c>
      <c r="N107" t="s">
        <v>91</v>
      </c>
      <c r="P107" t="s">
        <v>137</v>
      </c>
      <c r="R107">
        <v>970416608327</v>
      </c>
      <c r="T107" s="24">
        <v>-38788166</v>
      </c>
      <c r="X107" t="s">
        <v>92</v>
      </c>
    </row>
    <row r="108" spans="1:24" x14ac:dyDescent="0.3">
      <c r="A108" s="36">
        <v>45189</v>
      </c>
      <c r="B108" t="s">
        <v>90</v>
      </c>
      <c r="C108" t="s">
        <v>352</v>
      </c>
      <c r="G108" s="51">
        <v>45189</v>
      </c>
      <c r="J108" s="24">
        <v>500000</v>
      </c>
      <c r="K108" t="s">
        <v>142</v>
      </c>
      <c r="L108">
        <v>2309201716</v>
      </c>
      <c r="M108" t="s">
        <v>91</v>
      </c>
      <c r="N108" t="s">
        <v>91</v>
      </c>
      <c r="O108" t="s">
        <v>143</v>
      </c>
      <c r="P108" t="s">
        <v>144</v>
      </c>
      <c r="R108" t="s">
        <v>353</v>
      </c>
      <c r="T108" s="24">
        <v>-38288166</v>
      </c>
    </row>
    <row r="109" spans="1:24" x14ac:dyDescent="0.3">
      <c r="A109" s="36">
        <v>45189</v>
      </c>
      <c r="B109" t="s">
        <v>90</v>
      </c>
      <c r="C109" t="s">
        <v>354</v>
      </c>
      <c r="G109" s="51">
        <v>45189</v>
      </c>
      <c r="I109" s="24">
        <v>-1500000</v>
      </c>
      <c r="K109" t="s">
        <v>135</v>
      </c>
      <c r="L109">
        <v>2309201927</v>
      </c>
      <c r="M109" t="s">
        <v>91</v>
      </c>
      <c r="N109" t="s">
        <v>91</v>
      </c>
      <c r="O109" t="s">
        <v>136</v>
      </c>
      <c r="P109" t="s">
        <v>137</v>
      </c>
      <c r="R109" t="s">
        <v>355</v>
      </c>
      <c r="T109" s="24">
        <v>-39788166</v>
      </c>
      <c r="X109" t="s">
        <v>92</v>
      </c>
    </row>
    <row r="110" spans="1:24" x14ac:dyDescent="0.3">
      <c r="A110" s="36">
        <v>45190</v>
      </c>
      <c r="B110" t="s">
        <v>90</v>
      </c>
      <c r="C110" t="s">
        <v>356</v>
      </c>
      <c r="G110" s="51">
        <v>45190</v>
      </c>
      <c r="I110" s="24">
        <v>-200000</v>
      </c>
      <c r="K110" t="s">
        <v>135</v>
      </c>
      <c r="L110">
        <v>2309210825</v>
      </c>
      <c r="M110" t="s">
        <v>91</v>
      </c>
      <c r="N110" t="s">
        <v>91</v>
      </c>
      <c r="O110" t="s">
        <v>136</v>
      </c>
      <c r="P110" t="s">
        <v>137</v>
      </c>
      <c r="R110" t="s">
        <v>357</v>
      </c>
      <c r="T110" s="24">
        <v>-39988166</v>
      </c>
      <c r="X110" t="s">
        <v>92</v>
      </c>
    </row>
    <row r="111" spans="1:24" x14ac:dyDescent="0.3">
      <c r="A111" s="36">
        <v>45190</v>
      </c>
      <c r="B111" t="s">
        <v>90</v>
      </c>
      <c r="C111" t="s">
        <v>358</v>
      </c>
      <c r="G111" s="51">
        <v>45190</v>
      </c>
      <c r="J111" s="24">
        <v>8725</v>
      </c>
      <c r="K111" t="s">
        <v>135</v>
      </c>
      <c r="L111">
        <v>2309211123</v>
      </c>
      <c r="M111" t="s">
        <v>91</v>
      </c>
      <c r="N111" t="s">
        <v>91</v>
      </c>
      <c r="O111" t="s">
        <v>136</v>
      </c>
      <c r="P111" t="s">
        <v>137</v>
      </c>
      <c r="R111" t="s">
        <v>359</v>
      </c>
      <c r="T111" s="24">
        <v>-39979441</v>
      </c>
    </row>
    <row r="112" spans="1:24" x14ac:dyDescent="0.3">
      <c r="A112" s="36">
        <v>45190</v>
      </c>
      <c r="B112" t="s">
        <v>90</v>
      </c>
      <c r="C112" t="s">
        <v>360</v>
      </c>
      <c r="G112" s="51">
        <v>45190</v>
      </c>
      <c r="I112" s="24">
        <v>-10000</v>
      </c>
      <c r="K112" t="s">
        <v>361</v>
      </c>
      <c r="L112">
        <v>2309211123</v>
      </c>
      <c r="M112" t="s">
        <v>91</v>
      </c>
      <c r="N112" t="s">
        <v>91</v>
      </c>
      <c r="O112" t="s">
        <v>136</v>
      </c>
      <c r="P112" t="s">
        <v>97</v>
      </c>
      <c r="R112" t="s">
        <v>362</v>
      </c>
      <c r="T112" s="24">
        <v>-39989441</v>
      </c>
    </row>
    <row r="113" spans="1:24" x14ac:dyDescent="0.3">
      <c r="A113" s="36">
        <v>45190</v>
      </c>
      <c r="B113" t="s">
        <v>90</v>
      </c>
      <c r="C113" t="s">
        <v>363</v>
      </c>
      <c r="G113" s="51">
        <v>45190</v>
      </c>
      <c r="I113" s="24">
        <v>-10000</v>
      </c>
      <c r="K113" t="s">
        <v>364</v>
      </c>
      <c r="L113">
        <v>2309211127</v>
      </c>
      <c r="M113" t="s">
        <v>91</v>
      </c>
      <c r="N113" t="s">
        <v>91</v>
      </c>
      <c r="O113" t="s">
        <v>136</v>
      </c>
      <c r="P113" t="s">
        <v>97</v>
      </c>
      <c r="R113" t="s">
        <v>365</v>
      </c>
      <c r="T113" s="24">
        <v>-39999441</v>
      </c>
    </row>
    <row r="114" spans="1:24" x14ac:dyDescent="0.3">
      <c r="A114" s="36">
        <v>45190</v>
      </c>
      <c r="B114" t="s">
        <v>90</v>
      </c>
      <c r="C114" t="s">
        <v>366</v>
      </c>
      <c r="G114" s="51">
        <v>45190</v>
      </c>
      <c r="J114" s="24">
        <v>1728582</v>
      </c>
      <c r="K114" t="s">
        <v>367</v>
      </c>
      <c r="L114">
        <v>2309211255</v>
      </c>
      <c r="M114" t="s">
        <v>91</v>
      </c>
      <c r="N114" t="s">
        <v>91</v>
      </c>
      <c r="P114" t="s">
        <v>137</v>
      </c>
      <c r="R114">
        <v>686868083303</v>
      </c>
      <c r="T114" s="24">
        <v>-38270859</v>
      </c>
      <c r="X114" t="s">
        <v>92</v>
      </c>
    </row>
    <row r="115" spans="1:24" x14ac:dyDescent="0.3">
      <c r="A115" s="36">
        <v>45190</v>
      </c>
      <c r="B115" t="s">
        <v>90</v>
      </c>
      <c r="C115" t="s">
        <v>368</v>
      </c>
      <c r="G115" s="51">
        <v>45190</v>
      </c>
      <c r="I115" s="24">
        <v>-500000</v>
      </c>
      <c r="K115" t="s">
        <v>135</v>
      </c>
      <c r="L115">
        <v>2309211256</v>
      </c>
      <c r="M115" t="s">
        <v>91</v>
      </c>
      <c r="N115" t="s">
        <v>91</v>
      </c>
      <c r="O115" t="s">
        <v>136</v>
      </c>
      <c r="P115" t="s">
        <v>137</v>
      </c>
      <c r="R115" t="s">
        <v>369</v>
      </c>
      <c r="T115" s="24">
        <v>-38770859</v>
      </c>
      <c r="X115" t="s">
        <v>92</v>
      </c>
    </row>
    <row r="116" spans="1:24" x14ac:dyDescent="0.3">
      <c r="A116" s="36">
        <v>45190</v>
      </c>
      <c r="B116" t="s">
        <v>90</v>
      </c>
      <c r="C116" t="s">
        <v>370</v>
      </c>
      <c r="G116" s="51">
        <v>45190</v>
      </c>
      <c r="I116" s="24">
        <v>-1000000</v>
      </c>
      <c r="K116" t="s">
        <v>135</v>
      </c>
      <c r="L116">
        <v>2309211258</v>
      </c>
      <c r="M116" t="s">
        <v>91</v>
      </c>
      <c r="N116" t="s">
        <v>91</v>
      </c>
      <c r="O116" t="s">
        <v>136</v>
      </c>
      <c r="P116" t="s">
        <v>137</v>
      </c>
      <c r="R116" t="s">
        <v>371</v>
      </c>
      <c r="T116" s="24">
        <v>-39770859</v>
      </c>
    </row>
    <row r="117" spans="1:24" x14ac:dyDescent="0.3">
      <c r="A117" s="36">
        <v>45192</v>
      </c>
      <c r="B117" t="s">
        <v>90</v>
      </c>
      <c r="C117" t="s">
        <v>372</v>
      </c>
      <c r="G117" s="51">
        <v>45192</v>
      </c>
      <c r="J117" s="24">
        <v>4860000</v>
      </c>
      <c r="K117" t="s">
        <v>373</v>
      </c>
      <c r="L117">
        <v>2309231257</v>
      </c>
      <c r="M117" t="s">
        <v>91</v>
      </c>
      <c r="N117" t="s">
        <v>91</v>
      </c>
      <c r="P117" t="s">
        <v>137</v>
      </c>
      <c r="R117">
        <v>686868077198</v>
      </c>
      <c r="T117" s="24">
        <v>-34910859</v>
      </c>
      <c r="X117" t="s">
        <v>92</v>
      </c>
    </row>
    <row r="118" spans="1:24" x14ac:dyDescent="0.3">
      <c r="A118" s="36">
        <v>45192</v>
      </c>
      <c r="B118" t="s">
        <v>90</v>
      </c>
      <c r="C118" t="s">
        <v>374</v>
      </c>
      <c r="G118" s="51">
        <v>45192</v>
      </c>
      <c r="I118" s="24">
        <v>-500000</v>
      </c>
      <c r="K118" t="s">
        <v>135</v>
      </c>
      <c r="L118">
        <v>2309231345</v>
      </c>
      <c r="M118" t="s">
        <v>91</v>
      </c>
      <c r="N118" t="s">
        <v>91</v>
      </c>
      <c r="O118" t="s">
        <v>136</v>
      </c>
      <c r="P118" t="s">
        <v>137</v>
      </c>
      <c r="R118" t="s">
        <v>375</v>
      </c>
      <c r="T118" s="24">
        <v>-35410859</v>
      </c>
    </row>
    <row r="119" spans="1:24" x14ac:dyDescent="0.3">
      <c r="A119" s="36">
        <v>45192</v>
      </c>
      <c r="B119" t="s">
        <v>90</v>
      </c>
      <c r="C119" t="s">
        <v>376</v>
      </c>
      <c r="G119" s="51">
        <v>45192</v>
      </c>
      <c r="I119" s="24">
        <v>-4570000</v>
      </c>
      <c r="K119" t="s">
        <v>135</v>
      </c>
      <c r="L119">
        <v>2309231714</v>
      </c>
      <c r="M119" t="s">
        <v>91</v>
      </c>
      <c r="N119" t="s">
        <v>91</v>
      </c>
      <c r="O119" t="s">
        <v>136</v>
      </c>
      <c r="P119" t="s">
        <v>137</v>
      </c>
      <c r="R119" t="s">
        <v>377</v>
      </c>
      <c r="T119" s="24">
        <v>-39980859</v>
      </c>
      <c r="X119" t="s">
        <v>92</v>
      </c>
    </row>
    <row r="120" spans="1:24" x14ac:dyDescent="0.3">
      <c r="A120" s="36">
        <v>45194</v>
      </c>
      <c r="B120" t="s">
        <v>90</v>
      </c>
      <c r="C120" t="s">
        <v>378</v>
      </c>
      <c r="G120" s="51">
        <v>45194</v>
      </c>
      <c r="J120" s="24">
        <v>6986736</v>
      </c>
      <c r="K120" t="s">
        <v>379</v>
      </c>
      <c r="L120">
        <v>2309251119</v>
      </c>
      <c r="M120" t="s">
        <v>91</v>
      </c>
      <c r="N120" t="s">
        <v>91</v>
      </c>
      <c r="P120" t="s">
        <v>137</v>
      </c>
      <c r="R120">
        <v>970406550070</v>
      </c>
      <c r="T120" s="24">
        <v>-32994123</v>
      </c>
      <c r="X120" t="s">
        <v>92</v>
      </c>
    </row>
    <row r="121" spans="1:24" x14ac:dyDescent="0.3">
      <c r="A121" s="36">
        <v>45194</v>
      </c>
      <c r="B121" t="s">
        <v>90</v>
      </c>
      <c r="C121" t="s">
        <v>380</v>
      </c>
      <c r="G121" s="51">
        <v>45194</v>
      </c>
      <c r="I121" s="24">
        <v>-6986000</v>
      </c>
      <c r="K121" t="s">
        <v>135</v>
      </c>
      <c r="L121">
        <v>2309251121</v>
      </c>
      <c r="M121" t="s">
        <v>91</v>
      </c>
      <c r="N121" t="s">
        <v>91</v>
      </c>
      <c r="O121" t="s">
        <v>136</v>
      </c>
      <c r="P121" t="s">
        <v>137</v>
      </c>
      <c r="R121" t="s">
        <v>381</v>
      </c>
      <c r="T121" s="24">
        <v>-39980123</v>
      </c>
    </row>
    <row r="122" spans="1:24" x14ac:dyDescent="0.3">
      <c r="A122" s="36">
        <v>45195</v>
      </c>
      <c r="B122" t="s">
        <v>99</v>
      </c>
      <c r="C122" t="s">
        <v>382</v>
      </c>
      <c r="G122" s="51">
        <v>45195</v>
      </c>
      <c r="J122" s="24">
        <v>1000</v>
      </c>
      <c r="K122" t="s">
        <v>213</v>
      </c>
      <c r="L122">
        <v>2309261810</v>
      </c>
      <c r="M122" t="s">
        <v>66</v>
      </c>
      <c r="N122" t="s">
        <v>66</v>
      </c>
      <c r="O122" t="s">
        <v>136</v>
      </c>
      <c r="P122" t="s">
        <v>137</v>
      </c>
      <c r="T122" s="24">
        <v>-39979123</v>
      </c>
    </row>
    <row r="123" spans="1:24" x14ac:dyDescent="0.3">
      <c r="A123" s="36">
        <v>45195</v>
      </c>
      <c r="B123" t="s">
        <v>90</v>
      </c>
      <c r="C123" t="s">
        <v>383</v>
      </c>
      <c r="G123" s="51">
        <v>45195</v>
      </c>
      <c r="I123" s="24">
        <v>-1000</v>
      </c>
      <c r="K123" t="s">
        <v>94</v>
      </c>
      <c r="L123">
        <v>2309261941</v>
      </c>
      <c r="M123" t="s">
        <v>66</v>
      </c>
      <c r="N123" t="s">
        <v>66</v>
      </c>
      <c r="O123" t="s">
        <v>136</v>
      </c>
      <c r="P123" t="s">
        <v>137</v>
      </c>
      <c r="T123" s="24">
        <v>-39980123</v>
      </c>
    </row>
    <row r="124" spans="1:24" x14ac:dyDescent="0.3">
      <c r="A124" s="36">
        <v>45197</v>
      </c>
      <c r="B124" t="s">
        <v>90</v>
      </c>
      <c r="C124" t="s">
        <v>384</v>
      </c>
      <c r="G124" s="51">
        <v>45197</v>
      </c>
      <c r="J124" s="24">
        <v>2476086</v>
      </c>
      <c r="K124" t="s">
        <v>385</v>
      </c>
      <c r="L124">
        <v>2309272305</v>
      </c>
      <c r="M124" t="s">
        <v>91</v>
      </c>
      <c r="N124" t="s">
        <v>91</v>
      </c>
      <c r="P124" t="s">
        <v>137</v>
      </c>
      <c r="R124">
        <v>686868035892</v>
      </c>
      <c r="T124" s="24">
        <v>-37504037</v>
      </c>
      <c r="X124" t="s">
        <v>92</v>
      </c>
    </row>
    <row r="125" spans="1:24" x14ac:dyDescent="0.3">
      <c r="A125" s="36">
        <v>45197</v>
      </c>
      <c r="B125" t="s">
        <v>90</v>
      </c>
      <c r="C125" t="s">
        <v>386</v>
      </c>
      <c r="G125" s="51">
        <v>45197</v>
      </c>
      <c r="I125" s="24">
        <v>-951456</v>
      </c>
      <c r="K125" t="s">
        <v>94</v>
      </c>
      <c r="L125">
        <v>2309281926</v>
      </c>
      <c r="M125" t="s">
        <v>66</v>
      </c>
      <c r="N125" t="s">
        <v>66</v>
      </c>
      <c r="O125" t="s">
        <v>136</v>
      </c>
      <c r="P125" t="s">
        <v>137</v>
      </c>
      <c r="T125" s="24">
        <v>-38455493</v>
      </c>
    </row>
    <row r="126" spans="1:24" x14ac:dyDescent="0.3">
      <c r="A126" s="36">
        <v>45198</v>
      </c>
      <c r="B126" t="s">
        <v>90</v>
      </c>
      <c r="C126" t="s">
        <v>387</v>
      </c>
      <c r="G126" s="51">
        <v>45198</v>
      </c>
      <c r="I126" s="24">
        <v>-500000</v>
      </c>
      <c r="K126" t="s">
        <v>135</v>
      </c>
      <c r="L126">
        <v>2309291025</v>
      </c>
      <c r="M126" t="s">
        <v>91</v>
      </c>
      <c r="N126" t="s">
        <v>91</v>
      </c>
      <c r="O126" t="s">
        <v>136</v>
      </c>
      <c r="P126" t="s">
        <v>137</v>
      </c>
      <c r="R126" t="s">
        <v>388</v>
      </c>
      <c r="T126" s="24">
        <v>-38955493</v>
      </c>
      <c r="X126" t="s">
        <v>92</v>
      </c>
    </row>
    <row r="127" spans="1:24" x14ac:dyDescent="0.3">
      <c r="A127" s="36">
        <v>45198</v>
      </c>
      <c r="B127" t="s">
        <v>90</v>
      </c>
      <c r="C127" t="s">
        <v>389</v>
      </c>
      <c r="G127" s="51">
        <v>45198</v>
      </c>
      <c r="J127" s="24">
        <v>2874339</v>
      </c>
      <c r="K127" t="s">
        <v>390</v>
      </c>
      <c r="L127">
        <v>2309291546</v>
      </c>
      <c r="M127" t="s">
        <v>91</v>
      </c>
      <c r="N127" t="s">
        <v>91</v>
      </c>
      <c r="P127" t="s">
        <v>137</v>
      </c>
      <c r="R127">
        <v>970422212862</v>
      </c>
      <c r="T127" s="24">
        <v>-36081154</v>
      </c>
      <c r="X127" t="s">
        <v>92</v>
      </c>
    </row>
    <row r="128" spans="1:24" x14ac:dyDescent="0.3">
      <c r="A128" s="36">
        <v>45198</v>
      </c>
      <c r="B128" t="s">
        <v>90</v>
      </c>
      <c r="C128" t="s">
        <v>391</v>
      </c>
      <c r="G128" s="51">
        <v>45198</v>
      </c>
      <c r="J128" s="24">
        <v>10600000</v>
      </c>
      <c r="K128" t="s">
        <v>392</v>
      </c>
      <c r="L128">
        <v>2309291838</v>
      </c>
      <c r="M128" t="s">
        <v>91</v>
      </c>
      <c r="N128" t="s">
        <v>91</v>
      </c>
      <c r="P128" t="s">
        <v>137</v>
      </c>
      <c r="R128">
        <v>686868051231</v>
      </c>
      <c r="T128" s="24">
        <v>-25481154</v>
      </c>
      <c r="X128" t="s">
        <v>92</v>
      </c>
    </row>
    <row r="129" spans="1:24" x14ac:dyDescent="0.3">
      <c r="A129" s="36">
        <v>45198</v>
      </c>
      <c r="B129" t="s">
        <v>90</v>
      </c>
      <c r="C129" t="s">
        <v>393</v>
      </c>
      <c r="G129" s="51">
        <v>45198</v>
      </c>
      <c r="I129" s="24">
        <v>-10350000</v>
      </c>
      <c r="K129" t="s">
        <v>135</v>
      </c>
      <c r="L129">
        <v>2309291849</v>
      </c>
      <c r="M129" t="s">
        <v>91</v>
      </c>
      <c r="N129" t="s">
        <v>91</v>
      </c>
      <c r="O129" t="s">
        <v>136</v>
      </c>
      <c r="P129" t="s">
        <v>137</v>
      </c>
      <c r="R129" t="s">
        <v>394</v>
      </c>
      <c r="T129" s="24">
        <v>-35831154</v>
      </c>
      <c r="X129" t="s">
        <v>92</v>
      </c>
    </row>
    <row r="130" spans="1:24" x14ac:dyDescent="0.3">
      <c r="A130" s="36">
        <v>45199</v>
      </c>
      <c r="B130" t="s">
        <v>90</v>
      </c>
      <c r="C130" t="s">
        <v>395</v>
      </c>
      <c r="G130" s="51">
        <v>45199</v>
      </c>
      <c r="I130" s="24">
        <v>-90000</v>
      </c>
      <c r="K130" t="s">
        <v>202</v>
      </c>
      <c r="L130">
        <v>2309300648</v>
      </c>
      <c r="M130" t="s">
        <v>91</v>
      </c>
      <c r="N130" t="s">
        <v>91</v>
      </c>
      <c r="O130" t="s">
        <v>136</v>
      </c>
      <c r="P130" t="s">
        <v>97</v>
      </c>
      <c r="R130" t="s">
        <v>396</v>
      </c>
      <c r="T130" s="24">
        <v>-35921154</v>
      </c>
    </row>
    <row r="131" spans="1:24" x14ac:dyDescent="0.3">
      <c r="A131" s="36">
        <v>45199</v>
      </c>
      <c r="B131" t="s">
        <v>90</v>
      </c>
      <c r="C131" t="s">
        <v>397</v>
      </c>
      <c r="G131" s="51">
        <v>45199</v>
      </c>
      <c r="I131" s="24">
        <v>-30000</v>
      </c>
      <c r="K131" t="s">
        <v>398</v>
      </c>
      <c r="L131">
        <v>2309300650</v>
      </c>
      <c r="M131" t="s">
        <v>91</v>
      </c>
      <c r="N131" t="s">
        <v>91</v>
      </c>
      <c r="O131" t="s">
        <v>136</v>
      </c>
      <c r="P131" t="s">
        <v>97</v>
      </c>
      <c r="R131" t="s">
        <v>399</v>
      </c>
      <c r="T131" s="24">
        <v>-35951154</v>
      </c>
    </row>
    <row r="132" spans="1:24" x14ac:dyDescent="0.3">
      <c r="A132" s="36">
        <v>45199</v>
      </c>
      <c r="B132" t="s">
        <v>90</v>
      </c>
      <c r="C132" t="s">
        <v>400</v>
      </c>
      <c r="G132" s="51">
        <v>45199</v>
      </c>
      <c r="I132" s="24">
        <v>-555000</v>
      </c>
      <c r="K132" t="s">
        <v>401</v>
      </c>
      <c r="L132">
        <v>2309301344</v>
      </c>
      <c r="M132" t="s">
        <v>91</v>
      </c>
      <c r="N132" t="s">
        <v>91</v>
      </c>
      <c r="O132" t="s">
        <v>136</v>
      </c>
      <c r="P132" t="s">
        <v>137</v>
      </c>
      <c r="R132" t="s">
        <v>402</v>
      </c>
      <c r="T132" s="24">
        <v>-36506154</v>
      </c>
      <c r="X132" t="s">
        <v>92</v>
      </c>
    </row>
    <row r="133" spans="1:24" x14ac:dyDescent="0.3">
      <c r="A133" s="36">
        <v>45199</v>
      </c>
      <c r="B133" t="s">
        <v>90</v>
      </c>
      <c r="C133" t="s">
        <v>403</v>
      </c>
      <c r="G133" s="51">
        <v>45199</v>
      </c>
      <c r="I133" s="24">
        <v>-80000</v>
      </c>
      <c r="K133" t="s">
        <v>135</v>
      </c>
      <c r="L133">
        <v>2309301500</v>
      </c>
      <c r="M133" t="s">
        <v>91</v>
      </c>
      <c r="N133" t="s">
        <v>91</v>
      </c>
      <c r="O133" t="s">
        <v>136</v>
      </c>
      <c r="P133" t="s">
        <v>137</v>
      </c>
      <c r="R133" t="s">
        <v>404</v>
      </c>
      <c r="T133" s="24">
        <v>-36586154</v>
      </c>
      <c r="X133" t="s">
        <v>92</v>
      </c>
    </row>
    <row r="134" spans="1:24" x14ac:dyDescent="0.3">
      <c r="A134" s="36">
        <v>45199</v>
      </c>
      <c r="B134" t="s">
        <v>90</v>
      </c>
      <c r="C134" t="s">
        <v>405</v>
      </c>
      <c r="G134" s="51">
        <v>45199</v>
      </c>
      <c r="I134" s="24">
        <v>-1000000</v>
      </c>
      <c r="K134" t="s">
        <v>135</v>
      </c>
      <c r="L134">
        <v>2309301506</v>
      </c>
      <c r="M134" t="s">
        <v>91</v>
      </c>
      <c r="N134" t="s">
        <v>91</v>
      </c>
      <c r="O134" t="s">
        <v>136</v>
      </c>
      <c r="P134" t="s">
        <v>137</v>
      </c>
      <c r="R134" t="s">
        <v>406</v>
      </c>
      <c r="T134" s="24">
        <v>-37586154</v>
      </c>
      <c r="X134" t="s">
        <v>92</v>
      </c>
    </row>
    <row r="135" spans="1:24" x14ac:dyDescent="0.3">
      <c r="A135" s="36">
        <v>45201</v>
      </c>
      <c r="B135" t="s">
        <v>90</v>
      </c>
      <c r="C135" t="s">
        <v>407</v>
      </c>
      <c r="G135" s="51">
        <v>45201</v>
      </c>
      <c r="J135" s="24">
        <v>2916600</v>
      </c>
      <c r="K135" t="s">
        <v>408</v>
      </c>
      <c r="L135">
        <v>2310020918</v>
      </c>
      <c r="M135" t="s">
        <v>91</v>
      </c>
      <c r="N135" t="s">
        <v>91</v>
      </c>
      <c r="P135" t="s">
        <v>137</v>
      </c>
      <c r="R135">
        <v>888899841745</v>
      </c>
      <c r="T135" s="24">
        <v>-34669554</v>
      </c>
      <c r="X135" t="s">
        <v>92</v>
      </c>
    </row>
    <row r="136" spans="1:24" x14ac:dyDescent="0.3">
      <c r="A136" s="36">
        <v>45201</v>
      </c>
      <c r="B136" t="s">
        <v>90</v>
      </c>
      <c r="C136" t="s">
        <v>409</v>
      </c>
      <c r="G136" s="51">
        <v>45201</v>
      </c>
      <c r="I136" s="24">
        <v>-1500000</v>
      </c>
      <c r="K136" t="s">
        <v>135</v>
      </c>
      <c r="L136">
        <v>2310021013</v>
      </c>
      <c r="M136" t="s">
        <v>91</v>
      </c>
      <c r="N136" t="s">
        <v>91</v>
      </c>
      <c r="O136" t="s">
        <v>136</v>
      </c>
      <c r="P136" t="s">
        <v>137</v>
      </c>
      <c r="R136" t="s">
        <v>410</v>
      </c>
      <c r="T136" s="24">
        <v>-36169554</v>
      </c>
      <c r="X136" t="s">
        <v>92</v>
      </c>
    </row>
    <row r="137" spans="1:24" x14ac:dyDescent="0.3">
      <c r="A137" s="36">
        <v>45201</v>
      </c>
      <c r="B137" t="s">
        <v>90</v>
      </c>
      <c r="C137" t="s">
        <v>411</v>
      </c>
      <c r="G137" s="51">
        <v>45201</v>
      </c>
      <c r="I137" s="24">
        <v>-30000</v>
      </c>
      <c r="K137" t="s">
        <v>135</v>
      </c>
      <c r="L137">
        <v>2310021338</v>
      </c>
      <c r="M137" t="s">
        <v>91</v>
      </c>
      <c r="N137" t="s">
        <v>91</v>
      </c>
      <c r="O137" t="s">
        <v>136</v>
      </c>
      <c r="P137" t="s">
        <v>137</v>
      </c>
      <c r="R137" t="s">
        <v>412</v>
      </c>
      <c r="T137" s="24">
        <v>-36199554</v>
      </c>
      <c r="X137" t="s">
        <v>92</v>
      </c>
    </row>
    <row r="138" spans="1:24" x14ac:dyDescent="0.3">
      <c r="A138" s="36">
        <v>45201</v>
      </c>
      <c r="B138" t="s">
        <v>90</v>
      </c>
      <c r="C138" t="s">
        <v>413</v>
      </c>
      <c r="G138" s="51">
        <v>45201</v>
      </c>
      <c r="I138" s="24">
        <v>-400000</v>
      </c>
      <c r="K138" t="s">
        <v>135</v>
      </c>
      <c r="L138">
        <v>2310021346</v>
      </c>
      <c r="M138" t="s">
        <v>91</v>
      </c>
      <c r="N138" t="s">
        <v>91</v>
      </c>
      <c r="O138" t="s">
        <v>136</v>
      </c>
      <c r="P138" t="s">
        <v>137</v>
      </c>
      <c r="R138" t="s">
        <v>414</v>
      </c>
      <c r="T138" s="24">
        <v>-36599554</v>
      </c>
      <c r="X138" t="s">
        <v>92</v>
      </c>
    </row>
    <row r="139" spans="1:24" x14ac:dyDescent="0.3">
      <c r="A139" s="36">
        <v>45201</v>
      </c>
      <c r="B139" t="s">
        <v>90</v>
      </c>
      <c r="C139" t="s">
        <v>415</v>
      </c>
      <c r="G139" s="51">
        <v>45201</v>
      </c>
      <c r="I139" s="24">
        <v>-2916000</v>
      </c>
      <c r="K139" t="s">
        <v>135</v>
      </c>
      <c r="L139">
        <v>2310021347</v>
      </c>
      <c r="M139" t="s">
        <v>91</v>
      </c>
      <c r="N139" t="s">
        <v>91</v>
      </c>
      <c r="O139" t="s">
        <v>136</v>
      </c>
      <c r="P139" t="s">
        <v>137</v>
      </c>
      <c r="R139" t="s">
        <v>416</v>
      </c>
      <c r="T139" s="24">
        <v>-39515554</v>
      </c>
    </row>
    <row r="140" spans="1:24" x14ac:dyDescent="0.3">
      <c r="A140" s="36">
        <v>45201</v>
      </c>
      <c r="B140" t="s">
        <v>90</v>
      </c>
      <c r="C140" t="s">
        <v>417</v>
      </c>
      <c r="G140" s="51">
        <v>45201</v>
      </c>
      <c r="J140" s="24">
        <v>14760000</v>
      </c>
      <c r="K140" t="s">
        <v>418</v>
      </c>
      <c r="L140">
        <v>2310021442</v>
      </c>
      <c r="M140" t="s">
        <v>91</v>
      </c>
      <c r="N140" t="s">
        <v>91</v>
      </c>
      <c r="P140" t="s">
        <v>137</v>
      </c>
      <c r="R140">
        <v>686868060406</v>
      </c>
      <c r="T140" s="24">
        <v>-24755554</v>
      </c>
      <c r="X140" t="s">
        <v>92</v>
      </c>
    </row>
    <row r="141" spans="1:24" x14ac:dyDescent="0.3">
      <c r="A141" s="36">
        <v>45201</v>
      </c>
      <c r="B141" t="s">
        <v>90</v>
      </c>
      <c r="C141" t="s">
        <v>419</v>
      </c>
      <c r="G141" s="51">
        <v>45201</v>
      </c>
      <c r="I141" s="24">
        <v>-14759400</v>
      </c>
      <c r="K141">
        <v>2.0542065989797802E+19</v>
      </c>
      <c r="L141">
        <v>2310021444</v>
      </c>
      <c r="M141" t="s">
        <v>91</v>
      </c>
      <c r="N141" t="s">
        <v>91</v>
      </c>
      <c r="O141" t="s">
        <v>136</v>
      </c>
      <c r="P141" t="s">
        <v>137</v>
      </c>
      <c r="R141" t="s">
        <v>420</v>
      </c>
      <c r="T141" s="24">
        <v>-39514954</v>
      </c>
      <c r="X141" t="s">
        <v>92</v>
      </c>
    </row>
    <row r="142" spans="1:24" x14ac:dyDescent="0.3">
      <c r="A142" s="36">
        <v>45201</v>
      </c>
      <c r="B142" t="s">
        <v>90</v>
      </c>
      <c r="C142" t="s">
        <v>421</v>
      </c>
      <c r="G142" s="51">
        <v>45201</v>
      </c>
      <c r="J142" s="24">
        <v>4912800</v>
      </c>
      <c r="K142" t="s">
        <v>422</v>
      </c>
      <c r="L142">
        <v>2310021505</v>
      </c>
      <c r="M142" t="s">
        <v>91</v>
      </c>
      <c r="N142" t="s">
        <v>91</v>
      </c>
      <c r="P142" t="s">
        <v>137</v>
      </c>
      <c r="R142">
        <v>970422153299</v>
      </c>
      <c r="T142" s="24">
        <v>-34602154</v>
      </c>
      <c r="X142" t="s">
        <v>92</v>
      </c>
    </row>
    <row r="143" spans="1:24" x14ac:dyDescent="0.3">
      <c r="A143" s="36">
        <v>45201</v>
      </c>
      <c r="B143" t="s">
        <v>90</v>
      </c>
      <c r="C143" t="s">
        <v>423</v>
      </c>
      <c r="G143" s="51">
        <v>45201</v>
      </c>
      <c r="I143" s="24">
        <v>-1335000</v>
      </c>
      <c r="L143">
        <v>2310021511</v>
      </c>
      <c r="M143" t="s">
        <v>91</v>
      </c>
      <c r="N143" t="s">
        <v>91</v>
      </c>
      <c r="O143" t="s">
        <v>136</v>
      </c>
      <c r="P143" t="s">
        <v>137</v>
      </c>
      <c r="R143" t="s">
        <v>424</v>
      </c>
      <c r="T143" s="24">
        <v>-35937154</v>
      </c>
    </row>
    <row r="144" spans="1:24" x14ac:dyDescent="0.3">
      <c r="A144" s="36">
        <v>45201</v>
      </c>
      <c r="B144" t="s">
        <v>90</v>
      </c>
      <c r="C144" t="s">
        <v>425</v>
      </c>
      <c r="G144" s="51">
        <v>45201</v>
      </c>
      <c r="I144" s="24">
        <v>-3000000</v>
      </c>
      <c r="K144" t="s">
        <v>135</v>
      </c>
      <c r="L144">
        <v>2310021512</v>
      </c>
      <c r="M144" t="s">
        <v>91</v>
      </c>
      <c r="N144" t="s">
        <v>91</v>
      </c>
      <c r="O144" t="s">
        <v>136</v>
      </c>
      <c r="P144" t="s">
        <v>137</v>
      </c>
      <c r="R144" t="s">
        <v>426</v>
      </c>
      <c r="T144" s="24">
        <v>-38937154</v>
      </c>
      <c r="X144" t="s">
        <v>92</v>
      </c>
    </row>
    <row r="145" spans="1:24" x14ac:dyDescent="0.3">
      <c r="A145" s="36">
        <v>45201</v>
      </c>
      <c r="B145" t="s">
        <v>90</v>
      </c>
      <c r="C145" t="s">
        <v>427</v>
      </c>
      <c r="G145" s="51">
        <v>45201</v>
      </c>
      <c r="I145" s="24">
        <v>-500000</v>
      </c>
      <c r="K145" t="s">
        <v>135</v>
      </c>
      <c r="L145">
        <v>2310021715</v>
      </c>
      <c r="M145" t="s">
        <v>91</v>
      </c>
      <c r="N145" t="s">
        <v>91</v>
      </c>
      <c r="O145" t="s">
        <v>136</v>
      </c>
      <c r="P145" t="s">
        <v>137</v>
      </c>
      <c r="R145" t="s">
        <v>428</v>
      </c>
      <c r="T145" s="24">
        <v>-39437154</v>
      </c>
      <c r="X145" t="s">
        <v>92</v>
      </c>
    </row>
    <row r="146" spans="1:24" x14ac:dyDescent="0.3">
      <c r="A146" s="36">
        <v>45201</v>
      </c>
      <c r="B146" t="s">
        <v>90</v>
      </c>
      <c r="C146" t="s">
        <v>429</v>
      </c>
      <c r="G146" s="51">
        <v>45201</v>
      </c>
      <c r="J146" s="24">
        <v>1718850</v>
      </c>
      <c r="K146" t="s">
        <v>430</v>
      </c>
      <c r="L146">
        <v>2310021744</v>
      </c>
      <c r="M146" t="s">
        <v>91</v>
      </c>
      <c r="N146" t="s">
        <v>91</v>
      </c>
      <c r="P146" t="s">
        <v>137</v>
      </c>
      <c r="R146">
        <v>970488780028</v>
      </c>
      <c r="T146" s="24">
        <v>-37718304</v>
      </c>
      <c r="X146" t="s">
        <v>92</v>
      </c>
    </row>
    <row r="147" spans="1:24" x14ac:dyDescent="0.3">
      <c r="A147" s="36">
        <v>45201</v>
      </c>
      <c r="B147" t="s">
        <v>90</v>
      </c>
      <c r="C147" t="s">
        <v>431</v>
      </c>
      <c r="G147" s="51">
        <v>45201</v>
      </c>
      <c r="J147" s="24">
        <v>2947200</v>
      </c>
      <c r="K147" t="s">
        <v>432</v>
      </c>
      <c r="L147">
        <v>2310021801</v>
      </c>
      <c r="M147" t="s">
        <v>91</v>
      </c>
      <c r="N147" t="s">
        <v>91</v>
      </c>
      <c r="P147" t="s">
        <v>137</v>
      </c>
      <c r="R147">
        <v>970488884172</v>
      </c>
      <c r="T147" s="24">
        <v>-34771104</v>
      </c>
      <c r="X147" t="s">
        <v>92</v>
      </c>
    </row>
    <row r="148" spans="1:24" x14ac:dyDescent="0.3">
      <c r="A148" s="36">
        <v>45201</v>
      </c>
      <c r="B148" t="s">
        <v>90</v>
      </c>
      <c r="C148" t="s">
        <v>433</v>
      </c>
      <c r="G148" s="51">
        <v>45201</v>
      </c>
      <c r="I148" s="24">
        <v>-5000000</v>
      </c>
      <c r="K148" t="s">
        <v>135</v>
      </c>
      <c r="L148">
        <v>2310021803</v>
      </c>
      <c r="M148" t="s">
        <v>91</v>
      </c>
      <c r="N148" t="s">
        <v>91</v>
      </c>
      <c r="O148" t="s">
        <v>136</v>
      </c>
      <c r="P148" t="s">
        <v>137</v>
      </c>
      <c r="R148" t="s">
        <v>434</v>
      </c>
      <c r="T148" s="24">
        <v>-39771104</v>
      </c>
    </row>
    <row r="149" spans="1:24" x14ac:dyDescent="0.3">
      <c r="A149" s="36">
        <v>45202</v>
      </c>
      <c r="B149" t="s">
        <v>90</v>
      </c>
      <c r="C149" t="s">
        <v>435</v>
      </c>
      <c r="G149" s="51">
        <v>45202</v>
      </c>
      <c r="I149" s="24">
        <v>-30000</v>
      </c>
      <c r="K149" t="s">
        <v>135</v>
      </c>
      <c r="L149">
        <v>2310030915</v>
      </c>
      <c r="M149" t="s">
        <v>91</v>
      </c>
      <c r="N149" t="s">
        <v>91</v>
      </c>
      <c r="O149" t="s">
        <v>136</v>
      </c>
      <c r="P149" t="s">
        <v>137</v>
      </c>
      <c r="R149" t="s">
        <v>436</v>
      </c>
      <c r="T149" s="24">
        <v>-39801104</v>
      </c>
      <c r="X149" t="s">
        <v>92</v>
      </c>
    </row>
    <row r="150" spans="1:24" x14ac:dyDescent="0.3">
      <c r="A150" s="36">
        <v>45202</v>
      </c>
      <c r="B150" t="s">
        <v>90</v>
      </c>
      <c r="C150" t="s">
        <v>437</v>
      </c>
      <c r="G150" s="51">
        <v>45202</v>
      </c>
      <c r="J150" s="24">
        <v>1500000</v>
      </c>
      <c r="K150" t="s">
        <v>438</v>
      </c>
      <c r="L150">
        <v>2310031207</v>
      </c>
      <c r="M150" t="s">
        <v>91</v>
      </c>
      <c r="N150" t="s">
        <v>91</v>
      </c>
      <c r="P150" t="s">
        <v>137</v>
      </c>
      <c r="R150">
        <v>686868098066</v>
      </c>
      <c r="T150" s="24">
        <v>-38301104</v>
      </c>
      <c r="X150" t="s">
        <v>92</v>
      </c>
    </row>
    <row r="151" spans="1:24" x14ac:dyDescent="0.3">
      <c r="A151" s="36">
        <v>45205</v>
      </c>
      <c r="B151" t="s">
        <v>90</v>
      </c>
      <c r="C151" t="s">
        <v>439</v>
      </c>
      <c r="G151" s="51">
        <v>45205</v>
      </c>
      <c r="I151" s="24">
        <v>-500000</v>
      </c>
      <c r="K151" t="s">
        <v>135</v>
      </c>
      <c r="L151">
        <v>2310060708</v>
      </c>
      <c r="M151" t="s">
        <v>91</v>
      </c>
      <c r="N151" t="s">
        <v>91</v>
      </c>
      <c r="O151" t="s">
        <v>136</v>
      </c>
      <c r="P151" t="s">
        <v>137</v>
      </c>
      <c r="R151" t="s">
        <v>440</v>
      </c>
      <c r="T151" s="24">
        <v>-38801104</v>
      </c>
      <c r="X151" t="s">
        <v>92</v>
      </c>
    </row>
    <row r="152" spans="1:24" x14ac:dyDescent="0.3">
      <c r="A152" s="36">
        <v>45205</v>
      </c>
      <c r="B152" t="s">
        <v>90</v>
      </c>
      <c r="C152" t="s">
        <v>441</v>
      </c>
      <c r="G152" s="51">
        <v>45205</v>
      </c>
      <c r="J152" s="24">
        <v>10600000</v>
      </c>
      <c r="K152" t="s">
        <v>442</v>
      </c>
      <c r="L152">
        <v>2310061302</v>
      </c>
      <c r="M152" t="s">
        <v>91</v>
      </c>
      <c r="N152" t="s">
        <v>91</v>
      </c>
      <c r="P152" t="s">
        <v>137</v>
      </c>
      <c r="R152">
        <v>686868042871</v>
      </c>
      <c r="T152" s="24">
        <v>-28201104</v>
      </c>
      <c r="X152" t="s">
        <v>92</v>
      </c>
    </row>
    <row r="153" spans="1:24" x14ac:dyDescent="0.3">
      <c r="A153" s="36">
        <v>45205</v>
      </c>
      <c r="B153" t="s">
        <v>90</v>
      </c>
      <c r="C153" t="s">
        <v>443</v>
      </c>
      <c r="G153" s="51">
        <v>45205</v>
      </c>
      <c r="I153" s="24">
        <v>-1000000</v>
      </c>
      <c r="K153" t="s">
        <v>135</v>
      </c>
      <c r="L153">
        <v>2310061344</v>
      </c>
      <c r="M153" t="s">
        <v>91</v>
      </c>
      <c r="N153" t="s">
        <v>91</v>
      </c>
      <c r="O153" t="s">
        <v>136</v>
      </c>
      <c r="P153" t="s">
        <v>137</v>
      </c>
      <c r="R153" t="s">
        <v>444</v>
      </c>
      <c r="T153" s="24">
        <v>-29201104</v>
      </c>
      <c r="X153" t="s">
        <v>92</v>
      </c>
    </row>
    <row r="154" spans="1:24" x14ac:dyDescent="0.3">
      <c r="A154" s="36">
        <v>45205</v>
      </c>
      <c r="B154" t="s">
        <v>90</v>
      </c>
      <c r="C154" t="s">
        <v>445</v>
      </c>
      <c r="G154" s="51">
        <v>45205</v>
      </c>
      <c r="I154" s="24">
        <v>-10345000</v>
      </c>
      <c r="K154" t="s">
        <v>135</v>
      </c>
      <c r="L154">
        <v>2310061348</v>
      </c>
      <c r="M154" t="s">
        <v>91</v>
      </c>
      <c r="N154" t="s">
        <v>91</v>
      </c>
      <c r="O154" t="s">
        <v>136</v>
      </c>
      <c r="P154" t="s">
        <v>137</v>
      </c>
      <c r="R154" t="s">
        <v>446</v>
      </c>
      <c r="T154" s="24">
        <v>-39546104</v>
      </c>
      <c r="X154" t="s">
        <v>92</v>
      </c>
    </row>
    <row r="155" spans="1:24" x14ac:dyDescent="0.3">
      <c r="A155" s="36">
        <v>45205</v>
      </c>
      <c r="B155" t="s">
        <v>90</v>
      </c>
      <c r="C155" t="s">
        <v>447</v>
      </c>
      <c r="G155" s="51">
        <v>45205</v>
      </c>
      <c r="I155" s="24">
        <v>-300000</v>
      </c>
      <c r="K155" t="s">
        <v>135</v>
      </c>
      <c r="L155">
        <v>2310061508</v>
      </c>
      <c r="M155" t="s">
        <v>91</v>
      </c>
      <c r="N155" t="s">
        <v>91</v>
      </c>
      <c r="O155" t="s">
        <v>136</v>
      </c>
      <c r="P155" t="s">
        <v>137</v>
      </c>
      <c r="R155" t="s">
        <v>448</v>
      </c>
      <c r="T155" s="24">
        <v>-39846104</v>
      </c>
      <c r="X155" t="s">
        <v>92</v>
      </c>
    </row>
    <row r="156" spans="1:24" x14ac:dyDescent="0.3">
      <c r="A156" s="36">
        <v>45206</v>
      </c>
      <c r="B156" t="s">
        <v>90</v>
      </c>
      <c r="C156" t="s">
        <v>449</v>
      </c>
      <c r="G156" s="51">
        <v>45206</v>
      </c>
      <c r="J156" s="24">
        <v>1724030</v>
      </c>
      <c r="K156" t="s">
        <v>450</v>
      </c>
      <c r="L156">
        <v>2310071820</v>
      </c>
      <c r="M156" t="s">
        <v>91</v>
      </c>
      <c r="N156" t="s">
        <v>91</v>
      </c>
      <c r="P156" t="s">
        <v>137</v>
      </c>
      <c r="R156">
        <v>970416018031</v>
      </c>
      <c r="T156" s="24">
        <v>-38122074</v>
      </c>
      <c r="X156" t="s">
        <v>92</v>
      </c>
    </row>
    <row r="157" spans="1:24" x14ac:dyDescent="0.3">
      <c r="A157" s="36">
        <v>45208</v>
      </c>
      <c r="B157" t="s">
        <v>90</v>
      </c>
      <c r="C157" t="s">
        <v>451</v>
      </c>
      <c r="G157" s="51">
        <v>45208</v>
      </c>
      <c r="I157" s="24">
        <v>-400000</v>
      </c>
      <c r="K157" t="s">
        <v>135</v>
      </c>
      <c r="L157">
        <v>2310072106</v>
      </c>
      <c r="M157" t="s">
        <v>91</v>
      </c>
      <c r="N157" t="s">
        <v>91</v>
      </c>
      <c r="O157" t="s">
        <v>136</v>
      </c>
      <c r="P157" t="s">
        <v>137</v>
      </c>
      <c r="R157" t="s">
        <v>452</v>
      </c>
      <c r="T157" s="24">
        <v>-38522074</v>
      </c>
      <c r="X157" t="s">
        <v>92</v>
      </c>
    </row>
    <row r="158" spans="1:24" x14ac:dyDescent="0.3">
      <c r="A158" s="36">
        <v>45208</v>
      </c>
      <c r="B158" t="s">
        <v>90</v>
      </c>
      <c r="C158" t="s">
        <v>453</v>
      </c>
      <c r="G158" s="51">
        <v>45208</v>
      </c>
      <c r="J158" s="24">
        <v>12400000</v>
      </c>
      <c r="K158" t="s">
        <v>454</v>
      </c>
      <c r="L158">
        <v>2310081736</v>
      </c>
      <c r="M158" t="s">
        <v>91</v>
      </c>
      <c r="N158" t="s">
        <v>91</v>
      </c>
      <c r="P158" t="s">
        <v>137</v>
      </c>
      <c r="R158">
        <v>686868068990</v>
      </c>
      <c r="T158" s="24">
        <v>-26122074</v>
      </c>
      <c r="X158" t="s">
        <v>92</v>
      </c>
    </row>
    <row r="159" spans="1:24" x14ac:dyDescent="0.3">
      <c r="A159" s="36">
        <v>45208</v>
      </c>
      <c r="B159" t="s">
        <v>90</v>
      </c>
      <c r="C159" t="s">
        <v>455</v>
      </c>
      <c r="G159" s="51">
        <v>45208</v>
      </c>
      <c r="I159" s="24">
        <v>-4629000</v>
      </c>
      <c r="L159">
        <v>2310082130</v>
      </c>
      <c r="M159" t="s">
        <v>91</v>
      </c>
      <c r="N159" t="s">
        <v>91</v>
      </c>
      <c r="O159" t="s">
        <v>136</v>
      </c>
      <c r="P159" t="s">
        <v>137</v>
      </c>
      <c r="R159" t="s">
        <v>456</v>
      </c>
      <c r="T159" s="24">
        <v>-30751074</v>
      </c>
    </row>
    <row r="160" spans="1:24" x14ac:dyDescent="0.3">
      <c r="A160" s="36">
        <v>45208</v>
      </c>
      <c r="B160" t="s">
        <v>90</v>
      </c>
      <c r="C160" t="s">
        <v>457</v>
      </c>
      <c r="G160" s="51">
        <v>45208</v>
      </c>
      <c r="I160" s="24">
        <v>-9040000</v>
      </c>
      <c r="K160" t="s">
        <v>135</v>
      </c>
      <c r="L160">
        <v>2310082143</v>
      </c>
      <c r="M160" t="s">
        <v>91</v>
      </c>
      <c r="N160" t="s">
        <v>91</v>
      </c>
      <c r="O160" t="s">
        <v>136</v>
      </c>
      <c r="P160" t="s">
        <v>137</v>
      </c>
      <c r="R160" t="s">
        <v>458</v>
      </c>
      <c r="T160" s="24">
        <v>-39791074</v>
      </c>
      <c r="X160" t="s">
        <v>92</v>
      </c>
    </row>
    <row r="161" spans="1:24" x14ac:dyDescent="0.3">
      <c r="A161" s="36">
        <v>45208</v>
      </c>
      <c r="B161" t="s">
        <v>90</v>
      </c>
      <c r="C161" t="s">
        <v>459</v>
      </c>
      <c r="G161" s="51">
        <v>45208</v>
      </c>
      <c r="J161" s="24">
        <v>2511655</v>
      </c>
      <c r="K161" t="s">
        <v>460</v>
      </c>
      <c r="L161">
        <v>2310092021</v>
      </c>
      <c r="M161" t="s">
        <v>91</v>
      </c>
      <c r="N161" t="s">
        <v>91</v>
      </c>
      <c r="P161" t="s">
        <v>137</v>
      </c>
      <c r="R161" t="s">
        <v>461</v>
      </c>
      <c r="T161" s="24">
        <v>-37279419</v>
      </c>
    </row>
    <row r="162" spans="1:24" x14ac:dyDescent="0.3">
      <c r="A162" s="36">
        <v>45208</v>
      </c>
      <c r="B162" t="s">
        <v>90</v>
      </c>
      <c r="C162" t="s">
        <v>462</v>
      </c>
      <c r="G162" s="51">
        <v>45208</v>
      </c>
      <c r="I162" s="24">
        <v>-2511000</v>
      </c>
      <c r="K162" t="s">
        <v>135</v>
      </c>
      <c r="L162">
        <v>2310092109</v>
      </c>
      <c r="M162" t="s">
        <v>91</v>
      </c>
      <c r="N162" t="s">
        <v>91</v>
      </c>
      <c r="O162" t="s">
        <v>136</v>
      </c>
      <c r="P162" t="s">
        <v>137</v>
      </c>
      <c r="R162" t="s">
        <v>463</v>
      </c>
      <c r="T162" s="24">
        <v>-39790419</v>
      </c>
    </row>
    <row r="163" spans="1:24" x14ac:dyDescent="0.3">
      <c r="A163" s="36">
        <v>45209</v>
      </c>
      <c r="B163" t="s">
        <v>90</v>
      </c>
      <c r="C163" t="s">
        <v>464</v>
      </c>
      <c r="G163" s="51">
        <v>45209</v>
      </c>
      <c r="I163" s="24">
        <v>-30000</v>
      </c>
      <c r="K163" t="s">
        <v>465</v>
      </c>
      <c r="L163">
        <v>2310100946</v>
      </c>
      <c r="M163" t="s">
        <v>91</v>
      </c>
      <c r="N163" t="s">
        <v>91</v>
      </c>
      <c r="O163" t="s">
        <v>136</v>
      </c>
      <c r="P163" t="s">
        <v>97</v>
      </c>
      <c r="R163" t="s">
        <v>466</v>
      </c>
      <c r="T163" s="24">
        <v>-39820419</v>
      </c>
    </row>
    <row r="164" spans="1:24" x14ac:dyDescent="0.3">
      <c r="A164" s="36">
        <v>45209</v>
      </c>
      <c r="B164" t="s">
        <v>90</v>
      </c>
      <c r="C164" t="s">
        <v>467</v>
      </c>
      <c r="G164" s="51">
        <v>45209</v>
      </c>
      <c r="I164" s="24">
        <v>-10000</v>
      </c>
      <c r="K164" t="s">
        <v>468</v>
      </c>
      <c r="L164">
        <v>2310100948</v>
      </c>
      <c r="M164" t="s">
        <v>91</v>
      </c>
      <c r="N164" t="s">
        <v>91</v>
      </c>
      <c r="O164" t="s">
        <v>136</v>
      </c>
      <c r="P164" t="s">
        <v>97</v>
      </c>
      <c r="R164" t="s">
        <v>469</v>
      </c>
      <c r="T164" s="24">
        <v>-39830419</v>
      </c>
    </row>
    <row r="165" spans="1:24" x14ac:dyDescent="0.3">
      <c r="A165" s="36">
        <v>45211</v>
      </c>
      <c r="B165" t="s">
        <v>90</v>
      </c>
      <c r="C165" t="s">
        <v>470</v>
      </c>
      <c r="G165" s="51">
        <v>45211</v>
      </c>
      <c r="J165" s="24">
        <v>3203945</v>
      </c>
      <c r="K165" t="s">
        <v>471</v>
      </c>
      <c r="L165">
        <v>2310121251</v>
      </c>
      <c r="M165" t="s">
        <v>91</v>
      </c>
      <c r="N165" t="s">
        <v>91</v>
      </c>
      <c r="P165" t="s">
        <v>137</v>
      </c>
      <c r="R165">
        <v>970422227648</v>
      </c>
      <c r="T165" s="24">
        <v>-36626474</v>
      </c>
      <c r="X165" t="s">
        <v>92</v>
      </c>
    </row>
    <row r="166" spans="1:24" x14ac:dyDescent="0.3">
      <c r="A166" s="36">
        <v>45211</v>
      </c>
      <c r="B166" t="s">
        <v>90</v>
      </c>
      <c r="C166" t="s">
        <v>472</v>
      </c>
      <c r="G166" s="51">
        <v>45211</v>
      </c>
      <c r="J166" s="24">
        <v>6590000</v>
      </c>
      <c r="K166" t="s">
        <v>135</v>
      </c>
      <c r="L166">
        <v>2310121302</v>
      </c>
      <c r="M166" t="s">
        <v>91</v>
      </c>
      <c r="N166" t="s">
        <v>91</v>
      </c>
      <c r="O166" t="s">
        <v>136</v>
      </c>
      <c r="P166" t="s">
        <v>137</v>
      </c>
      <c r="R166" t="s">
        <v>473</v>
      </c>
      <c r="T166" s="24">
        <v>-30036474</v>
      </c>
    </row>
    <row r="167" spans="1:24" x14ac:dyDescent="0.3">
      <c r="A167" s="36">
        <v>45211</v>
      </c>
      <c r="B167" t="s">
        <v>90</v>
      </c>
      <c r="C167" t="s">
        <v>474</v>
      </c>
      <c r="G167" s="51">
        <v>45211</v>
      </c>
      <c r="J167" s="24">
        <v>249994</v>
      </c>
      <c r="K167" t="s">
        <v>475</v>
      </c>
      <c r="L167">
        <v>2310121312</v>
      </c>
      <c r="M167" t="s">
        <v>91</v>
      </c>
      <c r="N167" t="s">
        <v>91</v>
      </c>
      <c r="P167" t="s">
        <v>137</v>
      </c>
      <c r="R167">
        <v>686868090416</v>
      </c>
      <c r="T167" s="24">
        <v>-29786480</v>
      </c>
      <c r="X167" t="s">
        <v>92</v>
      </c>
    </row>
    <row r="168" spans="1:24" x14ac:dyDescent="0.3">
      <c r="A168" s="36">
        <v>45211</v>
      </c>
      <c r="B168" t="s">
        <v>90</v>
      </c>
      <c r="C168" t="s">
        <v>476</v>
      </c>
      <c r="G168" s="51">
        <v>45211</v>
      </c>
      <c r="I168" s="24">
        <v>-10000000</v>
      </c>
      <c r="K168" t="s">
        <v>477</v>
      </c>
      <c r="L168">
        <v>2310121326</v>
      </c>
      <c r="M168" t="s">
        <v>91</v>
      </c>
      <c r="N168" t="s">
        <v>91</v>
      </c>
      <c r="O168" t="s">
        <v>136</v>
      </c>
      <c r="P168" t="s">
        <v>137</v>
      </c>
      <c r="R168" t="s">
        <v>478</v>
      </c>
      <c r="T168" s="24">
        <v>-39786480</v>
      </c>
      <c r="X168" t="s">
        <v>92</v>
      </c>
    </row>
    <row r="169" spans="1:24" x14ac:dyDescent="0.3">
      <c r="A169" s="36">
        <v>45213</v>
      </c>
      <c r="B169" t="s">
        <v>90</v>
      </c>
      <c r="C169" t="s">
        <v>479</v>
      </c>
      <c r="G169" s="51">
        <v>45213</v>
      </c>
      <c r="J169" s="24">
        <v>1976240</v>
      </c>
      <c r="K169" t="s">
        <v>480</v>
      </c>
      <c r="L169">
        <v>2310141033</v>
      </c>
      <c r="M169" t="s">
        <v>91</v>
      </c>
      <c r="N169" t="s">
        <v>91</v>
      </c>
      <c r="P169" t="s">
        <v>137</v>
      </c>
      <c r="R169">
        <v>686868099485</v>
      </c>
      <c r="T169" s="24">
        <v>-37810240</v>
      </c>
      <c r="X169" t="s">
        <v>92</v>
      </c>
    </row>
    <row r="170" spans="1:24" x14ac:dyDescent="0.3">
      <c r="A170" s="36">
        <v>45213</v>
      </c>
      <c r="B170" t="s">
        <v>90</v>
      </c>
      <c r="C170" t="s">
        <v>481</v>
      </c>
      <c r="G170" s="51">
        <v>45213</v>
      </c>
      <c r="I170" s="24">
        <v>-1900000</v>
      </c>
      <c r="K170" t="s">
        <v>135</v>
      </c>
      <c r="L170">
        <v>2310141036</v>
      </c>
      <c r="M170" t="s">
        <v>91</v>
      </c>
      <c r="N170" t="s">
        <v>91</v>
      </c>
      <c r="O170" t="s">
        <v>136</v>
      </c>
      <c r="P170" t="s">
        <v>137</v>
      </c>
      <c r="R170" t="s">
        <v>482</v>
      </c>
      <c r="T170" s="24">
        <v>-39710240</v>
      </c>
      <c r="X170" t="s">
        <v>92</v>
      </c>
    </row>
    <row r="171" spans="1:24" x14ac:dyDescent="0.3">
      <c r="A171" s="36">
        <v>45215</v>
      </c>
      <c r="B171" t="s">
        <v>90</v>
      </c>
      <c r="C171" t="s">
        <v>483</v>
      </c>
      <c r="G171" s="51">
        <v>45215</v>
      </c>
      <c r="J171" s="24">
        <v>3500000</v>
      </c>
      <c r="K171" t="s">
        <v>484</v>
      </c>
      <c r="L171">
        <v>2310161417</v>
      </c>
      <c r="M171" t="s">
        <v>91</v>
      </c>
      <c r="N171" t="s">
        <v>91</v>
      </c>
      <c r="P171" t="s">
        <v>137</v>
      </c>
      <c r="R171">
        <v>970403493928</v>
      </c>
      <c r="T171" s="24">
        <v>-36210240</v>
      </c>
      <c r="X171" t="s">
        <v>92</v>
      </c>
    </row>
    <row r="172" spans="1:24" x14ac:dyDescent="0.3">
      <c r="A172" s="36">
        <v>45215</v>
      </c>
      <c r="B172" t="s">
        <v>90</v>
      </c>
      <c r="C172" t="s">
        <v>485</v>
      </c>
      <c r="G172" s="51">
        <v>45215</v>
      </c>
      <c r="J172" s="24">
        <v>1168642</v>
      </c>
      <c r="K172" t="s">
        <v>486</v>
      </c>
      <c r="L172">
        <v>2310161420</v>
      </c>
      <c r="M172" t="s">
        <v>91</v>
      </c>
      <c r="N172" t="s">
        <v>91</v>
      </c>
      <c r="P172" t="s">
        <v>137</v>
      </c>
      <c r="R172">
        <v>970416922498</v>
      </c>
      <c r="T172" s="24">
        <v>-35041598</v>
      </c>
      <c r="X172" t="s">
        <v>92</v>
      </c>
    </row>
    <row r="173" spans="1:24" x14ac:dyDescent="0.3">
      <c r="A173" s="36">
        <v>45215</v>
      </c>
      <c r="B173" t="s">
        <v>90</v>
      </c>
      <c r="C173" t="s">
        <v>487</v>
      </c>
      <c r="G173" s="51">
        <v>45215</v>
      </c>
      <c r="I173" s="24">
        <v>-4700000</v>
      </c>
      <c r="K173" t="s">
        <v>135</v>
      </c>
      <c r="L173">
        <v>2310161421</v>
      </c>
      <c r="M173" t="s">
        <v>91</v>
      </c>
      <c r="N173" t="s">
        <v>91</v>
      </c>
      <c r="O173" t="s">
        <v>136</v>
      </c>
      <c r="P173" t="s">
        <v>137</v>
      </c>
      <c r="R173" t="s">
        <v>488</v>
      </c>
      <c r="T173" s="24">
        <v>-39741598</v>
      </c>
    </row>
    <row r="174" spans="1:24" x14ac:dyDescent="0.3">
      <c r="A174" s="36">
        <v>45215</v>
      </c>
      <c r="B174" t="s">
        <v>90</v>
      </c>
      <c r="C174" t="s">
        <v>489</v>
      </c>
      <c r="G174" s="51">
        <v>45215</v>
      </c>
      <c r="J174" s="24">
        <v>2152040</v>
      </c>
      <c r="K174" t="s">
        <v>490</v>
      </c>
      <c r="L174">
        <v>2310161424</v>
      </c>
      <c r="M174" t="s">
        <v>91</v>
      </c>
      <c r="N174" t="s">
        <v>91</v>
      </c>
      <c r="P174" t="s">
        <v>137</v>
      </c>
      <c r="R174">
        <v>970406086365</v>
      </c>
      <c r="T174" s="24">
        <v>-37589558</v>
      </c>
      <c r="X174" t="s">
        <v>92</v>
      </c>
    </row>
    <row r="175" spans="1:24" x14ac:dyDescent="0.3">
      <c r="A175" s="36">
        <v>45216</v>
      </c>
      <c r="B175" t="s">
        <v>90</v>
      </c>
      <c r="C175" t="s">
        <v>491</v>
      </c>
      <c r="G175" s="51">
        <v>45216</v>
      </c>
      <c r="I175" s="24">
        <v>-1200000</v>
      </c>
      <c r="K175" t="s">
        <v>492</v>
      </c>
      <c r="L175">
        <v>2310170832</v>
      </c>
      <c r="M175" t="s">
        <v>91</v>
      </c>
      <c r="N175" t="s">
        <v>91</v>
      </c>
      <c r="O175" t="s">
        <v>136</v>
      </c>
      <c r="P175" t="s">
        <v>137</v>
      </c>
      <c r="R175" t="s">
        <v>493</v>
      </c>
      <c r="T175" s="24">
        <v>-38789558</v>
      </c>
      <c r="X175" t="s">
        <v>92</v>
      </c>
    </row>
    <row r="176" spans="1:24" x14ac:dyDescent="0.3">
      <c r="A176" s="36">
        <v>45216</v>
      </c>
      <c r="B176" t="s">
        <v>90</v>
      </c>
      <c r="C176" t="s">
        <v>494</v>
      </c>
      <c r="G176" s="51">
        <v>45216</v>
      </c>
      <c r="J176" s="24">
        <v>445000</v>
      </c>
      <c r="K176" t="s">
        <v>135</v>
      </c>
      <c r="L176">
        <v>2310170833</v>
      </c>
      <c r="M176" t="s">
        <v>91</v>
      </c>
      <c r="N176" t="s">
        <v>91</v>
      </c>
      <c r="O176" t="s">
        <v>136</v>
      </c>
      <c r="P176" t="s">
        <v>137</v>
      </c>
      <c r="R176" t="s">
        <v>495</v>
      </c>
      <c r="T176" s="24">
        <v>-38344558</v>
      </c>
    </row>
    <row r="177" spans="1:24" x14ac:dyDescent="0.3">
      <c r="A177" s="36">
        <v>45217</v>
      </c>
      <c r="B177" t="s">
        <v>90</v>
      </c>
      <c r="C177" t="s">
        <v>496</v>
      </c>
      <c r="G177" s="51">
        <v>45217</v>
      </c>
      <c r="I177" s="24">
        <v>-763000</v>
      </c>
      <c r="K177" t="s">
        <v>135</v>
      </c>
      <c r="L177">
        <v>2310172242</v>
      </c>
      <c r="M177" t="s">
        <v>91</v>
      </c>
      <c r="N177" t="s">
        <v>91</v>
      </c>
      <c r="O177" t="s">
        <v>136</v>
      </c>
      <c r="P177" t="s">
        <v>137</v>
      </c>
      <c r="R177" t="s">
        <v>497</v>
      </c>
      <c r="T177" s="24">
        <v>-39107558</v>
      </c>
      <c r="X177" t="s">
        <v>92</v>
      </c>
    </row>
    <row r="178" spans="1:24" x14ac:dyDescent="0.3">
      <c r="A178" s="36">
        <v>45217</v>
      </c>
      <c r="B178" t="s">
        <v>90</v>
      </c>
      <c r="C178" t="s">
        <v>498</v>
      </c>
      <c r="G178" s="51">
        <v>45217</v>
      </c>
      <c r="I178" s="24">
        <v>-50000</v>
      </c>
      <c r="K178" t="s">
        <v>135</v>
      </c>
      <c r="L178">
        <v>2310181110</v>
      </c>
      <c r="M178" t="s">
        <v>91</v>
      </c>
      <c r="N178" t="s">
        <v>91</v>
      </c>
      <c r="O178" t="s">
        <v>136</v>
      </c>
      <c r="P178" t="s">
        <v>137</v>
      </c>
      <c r="R178" t="s">
        <v>499</v>
      </c>
      <c r="T178" s="24">
        <v>-39157558</v>
      </c>
      <c r="X178" t="s">
        <v>92</v>
      </c>
    </row>
    <row r="179" spans="1:24" x14ac:dyDescent="0.3">
      <c r="A179" s="36">
        <v>45217</v>
      </c>
      <c r="B179" t="s">
        <v>90</v>
      </c>
      <c r="C179" t="s">
        <v>500</v>
      </c>
      <c r="G179" s="51">
        <v>45217</v>
      </c>
      <c r="J179" s="24">
        <v>10000000</v>
      </c>
      <c r="K179" t="s">
        <v>501</v>
      </c>
      <c r="L179">
        <v>2310182020</v>
      </c>
      <c r="M179" t="s">
        <v>91</v>
      </c>
      <c r="N179" t="s">
        <v>91</v>
      </c>
      <c r="P179" t="s">
        <v>137</v>
      </c>
      <c r="R179">
        <v>686868022817</v>
      </c>
      <c r="T179" s="24">
        <v>-29157558</v>
      </c>
      <c r="X179" t="s">
        <v>92</v>
      </c>
    </row>
    <row r="180" spans="1:24" x14ac:dyDescent="0.3">
      <c r="A180" s="36">
        <v>45217</v>
      </c>
      <c r="B180" t="s">
        <v>90</v>
      </c>
      <c r="C180" t="s">
        <v>502</v>
      </c>
      <c r="G180" s="51">
        <v>45217</v>
      </c>
      <c r="I180" s="24">
        <v>-4850000</v>
      </c>
      <c r="K180" t="s">
        <v>135</v>
      </c>
      <c r="L180">
        <v>2310182027</v>
      </c>
      <c r="M180" t="s">
        <v>91</v>
      </c>
      <c r="N180" t="s">
        <v>91</v>
      </c>
      <c r="O180" t="s">
        <v>136</v>
      </c>
      <c r="P180" t="s">
        <v>137</v>
      </c>
      <c r="R180" t="s">
        <v>503</v>
      </c>
      <c r="T180" s="24">
        <v>-34007558</v>
      </c>
    </row>
    <row r="181" spans="1:24" x14ac:dyDescent="0.3">
      <c r="A181" s="36">
        <v>45217</v>
      </c>
      <c r="B181" t="s">
        <v>90</v>
      </c>
      <c r="C181" t="s">
        <v>504</v>
      </c>
      <c r="G181" s="51">
        <v>45217</v>
      </c>
      <c r="I181" s="24">
        <v>-25000</v>
      </c>
      <c r="K181" t="s">
        <v>135</v>
      </c>
      <c r="L181">
        <v>2310182029</v>
      </c>
      <c r="M181" t="s">
        <v>91</v>
      </c>
      <c r="N181" t="s">
        <v>91</v>
      </c>
      <c r="O181" t="s">
        <v>136</v>
      </c>
      <c r="P181" t="s">
        <v>137</v>
      </c>
      <c r="R181" t="s">
        <v>505</v>
      </c>
      <c r="T181" s="24">
        <v>-34032558</v>
      </c>
    </row>
    <row r="182" spans="1:24" x14ac:dyDescent="0.3">
      <c r="A182" s="36">
        <v>45217</v>
      </c>
      <c r="B182" t="s">
        <v>90</v>
      </c>
      <c r="C182" t="s">
        <v>506</v>
      </c>
      <c r="G182" s="51">
        <v>45217</v>
      </c>
      <c r="I182" s="24">
        <v>-2960760</v>
      </c>
      <c r="K182">
        <v>2.0547951601190699E+19</v>
      </c>
      <c r="L182">
        <v>2310182032</v>
      </c>
      <c r="M182" t="s">
        <v>91</v>
      </c>
      <c r="N182" t="s">
        <v>91</v>
      </c>
      <c r="O182" t="s">
        <v>136</v>
      </c>
      <c r="P182" t="s">
        <v>137</v>
      </c>
      <c r="R182" t="s">
        <v>507</v>
      </c>
      <c r="T182" s="24">
        <v>-36993318</v>
      </c>
      <c r="X182" t="s">
        <v>92</v>
      </c>
    </row>
    <row r="183" spans="1:24" x14ac:dyDescent="0.3">
      <c r="A183" s="36">
        <v>45217</v>
      </c>
      <c r="B183" t="s">
        <v>90</v>
      </c>
      <c r="C183" t="s">
        <v>508</v>
      </c>
      <c r="G183" s="51">
        <v>45217</v>
      </c>
      <c r="I183" s="24">
        <v>-2152000</v>
      </c>
      <c r="K183" t="s">
        <v>135</v>
      </c>
      <c r="L183">
        <v>2310182034</v>
      </c>
      <c r="M183" t="s">
        <v>91</v>
      </c>
      <c r="N183" t="s">
        <v>91</v>
      </c>
      <c r="O183" t="s">
        <v>136</v>
      </c>
      <c r="P183" t="s">
        <v>137</v>
      </c>
      <c r="R183" t="s">
        <v>509</v>
      </c>
      <c r="T183" s="24">
        <v>-39145318</v>
      </c>
    </row>
    <row r="184" spans="1:24" x14ac:dyDescent="0.3">
      <c r="A184" s="36">
        <v>45218</v>
      </c>
      <c r="B184" t="s">
        <v>90</v>
      </c>
      <c r="C184" t="s">
        <v>510</v>
      </c>
      <c r="G184" s="51">
        <v>45218</v>
      </c>
      <c r="I184" s="24">
        <v>-300000</v>
      </c>
      <c r="K184" t="s">
        <v>135</v>
      </c>
      <c r="L184">
        <v>2310190928</v>
      </c>
      <c r="M184" t="s">
        <v>91</v>
      </c>
      <c r="N184" t="s">
        <v>91</v>
      </c>
      <c r="O184" t="s">
        <v>136</v>
      </c>
      <c r="P184" t="s">
        <v>137</v>
      </c>
      <c r="R184" t="s">
        <v>511</v>
      </c>
      <c r="T184" s="24">
        <v>-39445318</v>
      </c>
      <c r="X184" t="s">
        <v>92</v>
      </c>
    </row>
    <row r="185" spans="1:24" x14ac:dyDescent="0.3">
      <c r="A185" s="36">
        <v>45218</v>
      </c>
      <c r="B185" t="s">
        <v>90</v>
      </c>
      <c r="C185" t="s">
        <v>512</v>
      </c>
      <c r="G185" s="51">
        <v>45218</v>
      </c>
      <c r="J185" s="24">
        <v>3750000</v>
      </c>
      <c r="K185" t="s">
        <v>513</v>
      </c>
      <c r="L185">
        <v>2310191138</v>
      </c>
      <c r="M185" t="s">
        <v>91</v>
      </c>
      <c r="N185" t="s">
        <v>91</v>
      </c>
      <c r="P185" t="s">
        <v>137</v>
      </c>
      <c r="R185">
        <v>686868062257</v>
      </c>
      <c r="T185" s="24">
        <v>-35695318</v>
      </c>
      <c r="X185" t="s">
        <v>92</v>
      </c>
    </row>
    <row r="186" spans="1:24" x14ac:dyDescent="0.3">
      <c r="A186" s="36">
        <v>45219</v>
      </c>
      <c r="B186" t="s">
        <v>90</v>
      </c>
      <c r="C186" t="s">
        <v>514</v>
      </c>
      <c r="G186" s="51">
        <v>45219</v>
      </c>
      <c r="J186" s="24">
        <v>10440000</v>
      </c>
      <c r="K186" t="s">
        <v>515</v>
      </c>
      <c r="L186">
        <v>2310201607</v>
      </c>
      <c r="M186" t="s">
        <v>91</v>
      </c>
      <c r="N186" t="s">
        <v>91</v>
      </c>
      <c r="P186" t="s">
        <v>137</v>
      </c>
      <c r="R186">
        <v>888899909474</v>
      </c>
      <c r="T186" s="24">
        <v>-25255318</v>
      </c>
      <c r="X186" t="s">
        <v>92</v>
      </c>
    </row>
    <row r="187" spans="1:24" x14ac:dyDescent="0.3">
      <c r="A187" s="36">
        <v>45219</v>
      </c>
      <c r="B187" t="s">
        <v>90</v>
      </c>
      <c r="C187" t="s">
        <v>516</v>
      </c>
      <c r="G187" s="51">
        <v>45219</v>
      </c>
      <c r="I187" s="24">
        <v>-10440000</v>
      </c>
      <c r="K187" t="s">
        <v>135</v>
      </c>
      <c r="L187">
        <v>2310201609</v>
      </c>
      <c r="M187" t="s">
        <v>91</v>
      </c>
      <c r="N187" t="s">
        <v>91</v>
      </c>
      <c r="O187" t="s">
        <v>136</v>
      </c>
      <c r="P187" t="s">
        <v>137</v>
      </c>
      <c r="R187" t="s">
        <v>517</v>
      </c>
      <c r="T187" s="24">
        <v>-35695318</v>
      </c>
      <c r="X187" t="s">
        <v>92</v>
      </c>
    </row>
    <row r="188" spans="1:24" x14ac:dyDescent="0.3">
      <c r="A188" s="36">
        <v>45219</v>
      </c>
      <c r="B188" t="s">
        <v>90</v>
      </c>
      <c r="C188" t="s">
        <v>518</v>
      </c>
      <c r="G188" s="51">
        <v>45219</v>
      </c>
      <c r="J188" s="24">
        <v>2500000</v>
      </c>
      <c r="K188" t="s">
        <v>519</v>
      </c>
      <c r="L188">
        <v>2310201807</v>
      </c>
      <c r="M188" t="s">
        <v>91</v>
      </c>
      <c r="N188" t="s">
        <v>91</v>
      </c>
      <c r="P188" t="s">
        <v>137</v>
      </c>
      <c r="R188">
        <v>970416994903</v>
      </c>
      <c r="T188" s="24">
        <v>-33195318</v>
      </c>
      <c r="X188" t="s">
        <v>92</v>
      </c>
    </row>
    <row r="189" spans="1:24" x14ac:dyDescent="0.3">
      <c r="A189" s="36">
        <v>45219</v>
      </c>
      <c r="B189" t="s">
        <v>90</v>
      </c>
      <c r="C189" t="s">
        <v>520</v>
      </c>
      <c r="G189" s="51">
        <v>45219</v>
      </c>
      <c r="I189" s="24">
        <v>-350000</v>
      </c>
      <c r="K189" t="s">
        <v>135</v>
      </c>
      <c r="L189">
        <v>2310202001</v>
      </c>
      <c r="M189" t="s">
        <v>91</v>
      </c>
      <c r="N189" t="s">
        <v>91</v>
      </c>
      <c r="O189" t="s">
        <v>136</v>
      </c>
      <c r="P189" t="s">
        <v>137</v>
      </c>
      <c r="R189" t="s">
        <v>521</v>
      </c>
      <c r="T189" s="24">
        <v>-33545318</v>
      </c>
      <c r="X189" t="s">
        <v>92</v>
      </c>
    </row>
    <row r="190" spans="1:24" x14ac:dyDescent="0.3">
      <c r="A190" s="36">
        <v>45222</v>
      </c>
      <c r="B190" t="s">
        <v>90</v>
      </c>
      <c r="C190" t="s">
        <v>522</v>
      </c>
      <c r="G190" s="51">
        <v>45222</v>
      </c>
      <c r="J190" s="24">
        <v>4500000</v>
      </c>
      <c r="K190" t="s">
        <v>523</v>
      </c>
      <c r="L190">
        <v>2310220902</v>
      </c>
      <c r="M190" t="s">
        <v>91</v>
      </c>
      <c r="N190" t="s">
        <v>91</v>
      </c>
      <c r="P190" t="s">
        <v>137</v>
      </c>
      <c r="R190">
        <v>686868057132</v>
      </c>
      <c r="T190" s="24">
        <v>-29045318</v>
      </c>
      <c r="X190" t="s">
        <v>92</v>
      </c>
    </row>
    <row r="191" spans="1:24" x14ac:dyDescent="0.3">
      <c r="A191" s="36">
        <v>45222</v>
      </c>
      <c r="B191" t="s">
        <v>90</v>
      </c>
      <c r="C191" t="s">
        <v>524</v>
      </c>
      <c r="G191" s="51">
        <v>45222</v>
      </c>
      <c r="J191" s="24">
        <v>3000000</v>
      </c>
      <c r="K191" t="s">
        <v>142</v>
      </c>
      <c r="L191">
        <v>2310220945</v>
      </c>
      <c r="M191" t="s">
        <v>91</v>
      </c>
      <c r="N191" t="s">
        <v>91</v>
      </c>
      <c r="O191" t="s">
        <v>143</v>
      </c>
      <c r="P191" t="s">
        <v>525</v>
      </c>
      <c r="R191" t="s">
        <v>526</v>
      </c>
      <c r="T191" s="24">
        <v>-26045318</v>
      </c>
    </row>
    <row r="192" spans="1:24" x14ac:dyDescent="0.3">
      <c r="A192" s="36">
        <v>45222</v>
      </c>
      <c r="B192" t="s">
        <v>90</v>
      </c>
      <c r="C192" t="s">
        <v>527</v>
      </c>
      <c r="G192" s="51">
        <v>45222</v>
      </c>
      <c r="I192" s="24">
        <v>-13500000</v>
      </c>
      <c r="K192" t="s">
        <v>135</v>
      </c>
      <c r="L192">
        <v>2310221053</v>
      </c>
      <c r="M192" t="s">
        <v>91</v>
      </c>
      <c r="N192" t="s">
        <v>91</v>
      </c>
      <c r="O192" t="s">
        <v>136</v>
      </c>
      <c r="P192" t="s">
        <v>137</v>
      </c>
      <c r="R192" t="s">
        <v>528</v>
      </c>
      <c r="T192" s="24">
        <v>-39545318</v>
      </c>
      <c r="X192" t="s">
        <v>92</v>
      </c>
    </row>
    <row r="193" spans="1:24" x14ac:dyDescent="0.3">
      <c r="A193" s="36">
        <v>45222</v>
      </c>
      <c r="B193" t="s">
        <v>90</v>
      </c>
      <c r="C193" t="s">
        <v>529</v>
      </c>
      <c r="G193" s="51">
        <v>45222</v>
      </c>
      <c r="I193" s="24">
        <v>-25000</v>
      </c>
      <c r="K193" t="s">
        <v>530</v>
      </c>
      <c r="L193">
        <v>2310230812</v>
      </c>
      <c r="M193" t="s">
        <v>91</v>
      </c>
      <c r="N193" t="s">
        <v>91</v>
      </c>
      <c r="O193" t="s">
        <v>136</v>
      </c>
      <c r="P193" t="s">
        <v>137</v>
      </c>
      <c r="R193" t="s">
        <v>531</v>
      </c>
      <c r="T193" s="24">
        <v>-39570318</v>
      </c>
      <c r="X193" t="s">
        <v>92</v>
      </c>
    </row>
    <row r="194" spans="1:24" x14ac:dyDescent="0.3">
      <c r="A194" s="36">
        <v>45222</v>
      </c>
      <c r="B194" t="s">
        <v>90</v>
      </c>
      <c r="C194" t="s">
        <v>532</v>
      </c>
      <c r="G194" s="51">
        <v>45222</v>
      </c>
      <c r="J194" s="24">
        <v>4870344</v>
      </c>
      <c r="K194" t="s">
        <v>533</v>
      </c>
      <c r="L194">
        <v>2310230831</v>
      </c>
      <c r="M194" t="s">
        <v>91</v>
      </c>
      <c r="N194" t="s">
        <v>91</v>
      </c>
      <c r="P194" t="s">
        <v>137</v>
      </c>
      <c r="R194">
        <v>970416960201</v>
      </c>
      <c r="T194" s="24">
        <v>-34699974</v>
      </c>
      <c r="X194" t="s">
        <v>92</v>
      </c>
    </row>
    <row r="195" spans="1:24" x14ac:dyDescent="0.3">
      <c r="A195" s="36">
        <v>45222</v>
      </c>
      <c r="B195" t="s">
        <v>90</v>
      </c>
      <c r="C195" t="s">
        <v>534</v>
      </c>
      <c r="G195" s="51">
        <v>45222</v>
      </c>
      <c r="I195" s="24">
        <v>-3000000</v>
      </c>
      <c r="K195" t="s">
        <v>135</v>
      </c>
      <c r="L195">
        <v>2310230835</v>
      </c>
      <c r="M195" t="s">
        <v>91</v>
      </c>
      <c r="N195" t="s">
        <v>91</v>
      </c>
      <c r="O195" t="s">
        <v>136</v>
      </c>
      <c r="P195" t="s">
        <v>137</v>
      </c>
      <c r="R195" t="s">
        <v>535</v>
      </c>
      <c r="T195" s="24">
        <v>-37699974</v>
      </c>
    </row>
    <row r="196" spans="1:24" x14ac:dyDescent="0.3">
      <c r="A196" s="36">
        <v>45222</v>
      </c>
      <c r="B196" t="s">
        <v>90</v>
      </c>
      <c r="C196" t="s">
        <v>536</v>
      </c>
      <c r="G196" s="51">
        <v>45222</v>
      </c>
      <c r="I196" s="24">
        <v>-300000</v>
      </c>
      <c r="K196" t="s">
        <v>135</v>
      </c>
      <c r="L196">
        <v>2310231027</v>
      </c>
      <c r="M196" t="s">
        <v>91</v>
      </c>
      <c r="N196" t="s">
        <v>91</v>
      </c>
      <c r="O196" t="s">
        <v>136</v>
      </c>
      <c r="P196" t="s">
        <v>137</v>
      </c>
      <c r="R196" t="s">
        <v>537</v>
      </c>
      <c r="T196" s="24">
        <v>-37999974</v>
      </c>
      <c r="X196" t="s">
        <v>92</v>
      </c>
    </row>
    <row r="197" spans="1:24" x14ac:dyDescent="0.3">
      <c r="A197" s="36">
        <v>45222</v>
      </c>
      <c r="B197" t="s">
        <v>90</v>
      </c>
      <c r="C197" t="s">
        <v>538</v>
      </c>
      <c r="G197" s="51">
        <v>45222</v>
      </c>
      <c r="I197" s="24">
        <v>-30000</v>
      </c>
      <c r="K197" t="s">
        <v>135</v>
      </c>
      <c r="L197">
        <v>2310231051</v>
      </c>
      <c r="M197" t="s">
        <v>91</v>
      </c>
      <c r="N197" t="s">
        <v>91</v>
      </c>
      <c r="O197" t="s">
        <v>136</v>
      </c>
      <c r="P197" t="s">
        <v>137</v>
      </c>
      <c r="R197" t="s">
        <v>539</v>
      </c>
      <c r="T197" s="24">
        <v>-38029974</v>
      </c>
      <c r="X197" t="s">
        <v>92</v>
      </c>
    </row>
    <row r="198" spans="1:24" x14ac:dyDescent="0.3">
      <c r="A198" s="36">
        <v>45222</v>
      </c>
      <c r="B198" t="s">
        <v>90</v>
      </c>
      <c r="C198" t="s">
        <v>540</v>
      </c>
      <c r="G198" s="51">
        <v>45222</v>
      </c>
      <c r="J198" s="24">
        <v>1437165</v>
      </c>
      <c r="K198" t="s">
        <v>541</v>
      </c>
      <c r="L198">
        <v>2310231113</v>
      </c>
      <c r="M198" t="s">
        <v>91</v>
      </c>
      <c r="N198" t="s">
        <v>91</v>
      </c>
      <c r="P198" t="s">
        <v>137</v>
      </c>
      <c r="R198">
        <v>970406866433</v>
      </c>
      <c r="T198" s="24">
        <v>-36592809</v>
      </c>
      <c r="X198" t="s">
        <v>92</v>
      </c>
    </row>
    <row r="199" spans="1:24" x14ac:dyDescent="0.3">
      <c r="A199" s="36">
        <v>45222</v>
      </c>
      <c r="B199" t="s">
        <v>90</v>
      </c>
      <c r="C199" t="s">
        <v>542</v>
      </c>
      <c r="G199" s="51">
        <v>45222</v>
      </c>
      <c r="I199" s="24">
        <v>-1437000</v>
      </c>
      <c r="K199" t="s">
        <v>135</v>
      </c>
      <c r="L199">
        <v>2310231211</v>
      </c>
      <c r="M199" t="s">
        <v>91</v>
      </c>
      <c r="N199" t="s">
        <v>91</v>
      </c>
      <c r="O199" t="s">
        <v>136</v>
      </c>
      <c r="P199" t="s">
        <v>137</v>
      </c>
      <c r="R199" t="s">
        <v>543</v>
      </c>
      <c r="T199" s="24">
        <v>-38029809</v>
      </c>
    </row>
    <row r="200" spans="1:24" x14ac:dyDescent="0.3">
      <c r="A200" s="36">
        <v>45222</v>
      </c>
      <c r="B200" t="s">
        <v>90</v>
      </c>
      <c r="C200" t="s">
        <v>544</v>
      </c>
      <c r="G200" s="51">
        <v>45222</v>
      </c>
      <c r="I200" s="24">
        <v>-1806000</v>
      </c>
      <c r="K200" t="s">
        <v>135</v>
      </c>
      <c r="L200">
        <v>2310231212</v>
      </c>
      <c r="M200" t="s">
        <v>91</v>
      </c>
      <c r="N200" t="s">
        <v>91</v>
      </c>
      <c r="O200" t="s">
        <v>136</v>
      </c>
      <c r="P200" t="s">
        <v>137</v>
      </c>
      <c r="R200" t="s">
        <v>545</v>
      </c>
      <c r="T200" s="24">
        <v>-39835809</v>
      </c>
      <c r="X200" t="s">
        <v>92</v>
      </c>
    </row>
    <row r="201" spans="1:24" x14ac:dyDescent="0.3">
      <c r="A201" s="36">
        <v>45222</v>
      </c>
      <c r="B201" t="s">
        <v>90</v>
      </c>
      <c r="C201" t="s">
        <v>546</v>
      </c>
      <c r="G201" s="51">
        <v>45222</v>
      </c>
      <c r="J201" s="24">
        <v>2000000</v>
      </c>
      <c r="K201" t="s">
        <v>547</v>
      </c>
      <c r="L201">
        <v>2310231334</v>
      </c>
      <c r="M201" t="s">
        <v>91</v>
      </c>
      <c r="N201" t="s">
        <v>91</v>
      </c>
      <c r="P201" t="s">
        <v>137</v>
      </c>
      <c r="R201">
        <v>888899646174</v>
      </c>
      <c r="T201" s="24">
        <v>-37835809</v>
      </c>
      <c r="X201" t="s">
        <v>92</v>
      </c>
    </row>
    <row r="202" spans="1:24" x14ac:dyDescent="0.3">
      <c r="A202" s="36">
        <v>45223</v>
      </c>
      <c r="B202" t="s">
        <v>90</v>
      </c>
      <c r="C202" t="s">
        <v>548</v>
      </c>
      <c r="G202" s="51">
        <v>45223</v>
      </c>
      <c r="I202" s="24">
        <v>-500000</v>
      </c>
      <c r="K202" t="s">
        <v>135</v>
      </c>
      <c r="L202">
        <v>2310240729</v>
      </c>
      <c r="M202" t="s">
        <v>91</v>
      </c>
      <c r="N202" t="s">
        <v>91</v>
      </c>
      <c r="O202" t="s">
        <v>136</v>
      </c>
      <c r="P202" t="s">
        <v>137</v>
      </c>
      <c r="R202" t="s">
        <v>549</v>
      </c>
      <c r="T202" s="24">
        <v>-38335809</v>
      </c>
      <c r="X202" t="s">
        <v>92</v>
      </c>
    </row>
    <row r="203" spans="1:24" x14ac:dyDescent="0.3">
      <c r="A203" s="36">
        <v>45223</v>
      </c>
      <c r="B203" t="s">
        <v>90</v>
      </c>
      <c r="C203" t="s">
        <v>550</v>
      </c>
      <c r="G203" s="51">
        <v>45223</v>
      </c>
      <c r="I203" s="24">
        <v>-500000</v>
      </c>
      <c r="K203" t="s">
        <v>135</v>
      </c>
      <c r="L203">
        <v>2310241757</v>
      </c>
      <c r="M203" t="s">
        <v>91</v>
      </c>
      <c r="N203" t="s">
        <v>91</v>
      </c>
      <c r="O203" t="s">
        <v>136</v>
      </c>
      <c r="P203" t="s">
        <v>137</v>
      </c>
      <c r="R203" t="s">
        <v>551</v>
      </c>
      <c r="T203" s="24">
        <v>-38835809</v>
      </c>
      <c r="X203" t="s">
        <v>92</v>
      </c>
    </row>
    <row r="204" spans="1:24" x14ac:dyDescent="0.3">
      <c r="A204" s="36">
        <v>45224</v>
      </c>
      <c r="B204" t="s">
        <v>90</v>
      </c>
      <c r="C204" t="s">
        <v>552</v>
      </c>
      <c r="G204" s="51">
        <v>45224</v>
      </c>
      <c r="I204" s="24">
        <v>-50000</v>
      </c>
      <c r="K204" t="s">
        <v>135</v>
      </c>
      <c r="L204">
        <v>2310251313</v>
      </c>
      <c r="M204" t="s">
        <v>91</v>
      </c>
      <c r="N204" t="s">
        <v>91</v>
      </c>
      <c r="O204" t="s">
        <v>136</v>
      </c>
      <c r="P204" t="s">
        <v>137</v>
      </c>
      <c r="R204" t="s">
        <v>553</v>
      </c>
      <c r="T204" s="24">
        <v>-38885809</v>
      </c>
      <c r="X204" t="s">
        <v>92</v>
      </c>
    </row>
    <row r="205" spans="1:24" x14ac:dyDescent="0.3">
      <c r="A205" s="36">
        <v>45224</v>
      </c>
      <c r="B205" t="s">
        <v>90</v>
      </c>
      <c r="C205" t="s">
        <v>554</v>
      </c>
      <c r="G205" s="51">
        <v>45224</v>
      </c>
      <c r="J205" s="24">
        <v>7750000</v>
      </c>
      <c r="K205" t="s">
        <v>555</v>
      </c>
      <c r="L205">
        <v>2310252021</v>
      </c>
      <c r="M205" t="s">
        <v>91</v>
      </c>
      <c r="N205" t="s">
        <v>91</v>
      </c>
      <c r="P205" t="s">
        <v>137</v>
      </c>
      <c r="R205">
        <v>888899573355</v>
      </c>
      <c r="T205" s="24">
        <v>-31135809</v>
      </c>
      <c r="X205" t="s">
        <v>92</v>
      </c>
    </row>
    <row r="206" spans="1:24" x14ac:dyDescent="0.3">
      <c r="A206" s="36">
        <v>45225</v>
      </c>
      <c r="B206" t="s">
        <v>90</v>
      </c>
      <c r="C206" t="s">
        <v>556</v>
      </c>
      <c r="G206" s="51">
        <v>45225</v>
      </c>
      <c r="I206" s="24">
        <v>-500000</v>
      </c>
      <c r="K206" t="s">
        <v>135</v>
      </c>
      <c r="L206">
        <v>2310260832</v>
      </c>
      <c r="M206" t="s">
        <v>91</v>
      </c>
      <c r="N206" t="s">
        <v>91</v>
      </c>
      <c r="O206" t="s">
        <v>136</v>
      </c>
      <c r="P206" t="s">
        <v>137</v>
      </c>
      <c r="R206" t="s">
        <v>557</v>
      </c>
      <c r="T206" s="24">
        <v>-31635809</v>
      </c>
      <c r="X206" t="s">
        <v>92</v>
      </c>
    </row>
    <row r="207" spans="1:24" x14ac:dyDescent="0.3">
      <c r="A207" s="36">
        <v>45225</v>
      </c>
      <c r="B207" t="s">
        <v>90</v>
      </c>
      <c r="C207" t="s">
        <v>558</v>
      </c>
      <c r="G207" s="51">
        <v>45225</v>
      </c>
      <c r="I207" s="24">
        <v>-854000</v>
      </c>
      <c r="L207">
        <v>2310261522</v>
      </c>
      <c r="M207" t="s">
        <v>91</v>
      </c>
      <c r="N207" t="s">
        <v>91</v>
      </c>
      <c r="O207" t="s">
        <v>136</v>
      </c>
      <c r="P207" t="s">
        <v>137</v>
      </c>
      <c r="R207" t="s">
        <v>559</v>
      </c>
      <c r="T207" s="24">
        <v>-32489809</v>
      </c>
    </row>
    <row r="208" spans="1:24" x14ac:dyDescent="0.3">
      <c r="A208" s="36">
        <v>45226</v>
      </c>
      <c r="B208" t="s">
        <v>90</v>
      </c>
      <c r="C208" t="s">
        <v>560</v>
      </c>
      <c r="G208" s="51">
        <v>45226</v>
      </c>
      <c r="I208" s="24">
        <v>-600000</v>
      </c>
      <c r="K208" t="s">
        <v>135</v>
      </c>
      <c r="L208">
        <v>2310262303</v>
      </c>
      <c r="M208" t="s">
        <v>91</v>
      </c>
      <c r="N208" t="s">
        <v>91</v>
      </c>
      <c r="O208" t="s">
        <v>136</v>
      </c>
      <c r="P208" t="s">
        <v>137</v>
      </c>
      <c r="R208" t="s">
        <v>561</v>
      </c>
      <c r="T208" s="24">
        <v>-33089809</v>
      </c>
      <c r="X208" t="s">
        <v>92</v>
      </c>
    </row>
    <row r="209" spans="1:24" x14ac:dyDescent="0.3">
      <c r="A209" s="36">
        <v>45227</v>
      </c>
      <c r="B209" t="s">
        <v>90</v>
      </c>
      <c r="C209" t="s">
        <v>562</v>
      </c>
      <c r="G209" s="51">
        <v>45227</v>
      </c>
      <c r="I209" s="24">
        <v>-225800</v>
      </c>
      <c r="K209" t="s">
        <v>563</v>
      </c>
      <c r="L209">
        <v>2310281437</v>
      </c>
      <c r="M209" t="s">
        <v>91</v>
      </c>
      <c r="N209" t="s">
        <v>91</v>
      </c>
      <c r="O209" t="s">
        <v>136</v>
      </c>
      <c r="P209" t="s">
        <v>137</v>
      </c>
      <c r="R209" t="s">
        <v>564</v>
      </c>
      <c r="T209" s="24">
        <v>-33315609</v>
      </c>
      <c r="X209" t="s">
        <v>92</v>
      </c>
    </row>
    <row r="210" spans="1:24" x14ac:dyDescent="0.3">
      <c r="A210" s="36">
        <v>45229</v>
      </c>
      <c r="B210" t="s">
        <v>90</v>
      </c>
      <c r="C210" t="s">
        <v>565</v>
      </c>
      <c r="G210" s="51">
        <v>45229</v>
      </c>
      <c r="J210" s="24">
        <v>5600000</v>
      </c>
      <c r="K210" t="s">
        <v>566</v>
      </c>
      <c r="L210">
        <v>2310291530</v>
      </c>
      <c r="M210" t="s">
        <v>91</v>
      </c>
      <c r="N210" t="s">
        <v>91</v>
      </c>
      <c r="P210" t="s">
        <v>137</v>
      </c>
      <c r="R210">
        <v>888899606517</v>
      </c>
      <c r="T210" s="24">
        <v>-27715609</v>
      </c>
      <c r="X210" t="s">
        <v>92</v>
      </c>
    </row>
    <row r="211" spans="1:24" x14ac:dyDescent="0.3">
      <c r="A211" s="36">
        <v>45229</v>
      </c>
      <c r="B211" t="s">
        <v>90</v>
      </c>
      <c r="C211" t="s">
        <v>567</v>
      </c>
      <c r="G211" s="51">
        <v>45229</v>
      </c>
      <c r="J211" s="24">
        <v>2826700</v>
      </c>
      <c r="K211" t="s">
        <v>568</v>
      </c>
      <c r="L211">
        <v>2310300739</v>
      </c>
      <c r="M211" t="s">
        <v>91</v>
      </c>
      <c r="N211" t="s">
        <v>91</v>
      </c>
      <c r="P211" t="s">
        <v>137</v>
      </c>
      <c r="R211">
        <v>970406586318</v>
      </c>
      <c r="T211" s="24">
        <v>-24888909</v>
      </c>
      <c r="X211" t="s">
        <v>92</v>
      </c>
    </row>
    <row r="212" spans="1:24" x14ac:dyDescent="0.3">
      <c r="A212" s="36">
        <v>45229</v>
      </c>
      <c r="B212" t="s">
        <v>90</v>
      </c>
      <c r="C212" t="s">
        <v>569</v>
      </c>
      <c r="G212" s="51">
        <v>45229</v>
      </c>
      <c r="I212" s="24">
        <v>-2826000</v>
      </c>
      <c r="K212" t="s">
        <v>135</v>
      </c>
      <c r="L212">
        <v>2310300741</v>
      </c>
      <c r="M212" t="s">
        <v>91</v>
      </c>
      <c r="N212" t="s">
        <v>91</v>
      </c>
      <c r="O212" t="s">
        <v>136</v>
      </c>
      <c r="P212" t="s">
        <v>137</v>
      </c>
      <c r="R212" t="s">
        <v>570</v>
      </c>
      <c r="T212" s="24">
        <v>-27714909</v>
      </c>
    </row>
    <row r="213" spans="1:24" x14ac:dyDescent="0.3">
      <c r="A213" s="36">
        <v>45229</v>
      </c>
      <c r="B213" t="s">
        <v>90</v>
      </c>
      <c r="C213" t="s">
        <v>571</v>
      </c>
      <c r="G213" s="51">
        <v>45229</v>
      </c>
      <c r="I213" s="24">
        <v>-50000</v>
      </c>
      <c r="K213" t="s">
        <v>572</v>
      </c>
      <c r="L213">
        <v>2310301115</v>
      </c>
      <c r="M213" t="s">
        <v>91</v>
      </c>
      <c r="N213" t="s">
        <v>91</v>
      </c>
      <c r="O213" t="s">
        <v>136</v>
      </c>
      <c r="P213" t="s">
        <v>97</v>
      </c>
      <c r="R213" t="s">
        <v>573</v>
      </c>
      <c r="T213" s="24">
        <v>-27764909</v>
      </c>
    </row>
    <row r="214" spans="1:24" x14ac:dyDescent="0.3">
      <c r="A214" s="36">
        <v>45229</v>
      </c>
      <c r="B214" t="s">
        <v>90</v>
      </c>
      <c r="C214" t="s">
        <v>574</v>
      </c>
      <c r="G214" s="51">
        <v>45229</v>
      </c>
      <c r="I214" s="24">
        <v>-2000000</v>
      </c>
      <c r="K214" t="s">
        <v>135</v>
      </c>
      <c r="L214">
        <v>2310301357</v>
      </c>
      <c r="M214" t="s">
        <v>91</v>
      </c>
      <c r="N214" t="s">
        <v>91</v>
      </c>
      <c r="O214" t="s">
        <v>136</v>
      </c>
      <c r="P214" t="s">
        <v>137</v>
      </c>
      <c r="R214" t="s">
        <v>575</v>
      </c>
      <c r="T214" s="24">
        <v>-29764909</v>
      </c>
      <c r="X214" t="s">
        <v>92</v>
      </c>
    </row>
    <row r="215" spans="1:24" x14ac:dyDescent="0.3">
      <c r="A215" s="36">
        <v>45229</v>
      </c>
      <c r="B215" t="s">
        <v>90</v>
      </c>
      <c r="C215" t="s">
        <v>576</v>
      </c>
      <c r="G215" s="51">
        <v>45229</v>
      </c>
      <c r="I215" s="24">
        <v>-30000</v>
      </c>
      <c r="K215" t="s">
        <v>577</v>
      </c>
      <c r="L215">
        <v>2310301443</v>
      </c>
      <c r="M215" t="s">
        <v>91</v>
      </c>
      <c r="N215" t="s">
        <v>91</v>
      </c>
      <c r="O215" t="s">
        <v>136</v>
      </c>
      <c r="P215" t="s">
        <v>97</v>
      </c>
      <c r="R215" t="s">
        <v>578</v>
      </c>
      <c r="T215" s="24">
        <v>-29794909</v>
      </c>
    </row>
    <row r="216" spans="1:24" x14ac:dyDescent="0.3">
      <c r="A216" s="36">
        <v>45229</v>
      </c>
      <c r="B216" t="s">
        <v>90</v>
      </c>
      <c r="C216" t="s">
        <v>579</v>
      </c>
      <c r="G216" s="51">
        <v>45229</v>
      </c>
      <c r="I216" s="24">
        <v>-90000</v>
      </c>
      <c r="K216" t="s">
        <v>202</v>
      </c>
      <c r="L216">
        <v>2310301808</v>
      </c>
      <c r="M216" t="s">
        <v>91</v>
      </c>
      <c r="N216" t="s">
        <v>91</v>
      </c>
      <c r="O216" t="s">
        <v>136</v>
      </c>
      <c r="P216" t="s">
        <v>97</v>
      </c>
      <c r="R216" t="s">
        <v>580</v>
      </c>
      <c r="T216" s="24">
        <v>-29884909</v>
      </c>
    </row>
    <row r="217" spans="1:24" x14ac:dyDescent="0.3">
      <c r="A217" s="36">
        <v>45229</v>
      </c>
      <c r="B217" t="s">
        <v>90</v>
      </c>
      <c r="C217" t="s">
        <v>581</v>
      </c>
      <c r="G217" s="51">
        <v>45229</v>
      </c>
      <c r="I217" s="24">
        <v>-904044</v>
      </c>
      <c r="K217" t="s">
        <v>94</v>
      </c>
      <c r="L217">
        <v>2310301940</v>
      </c>
      <c r="M217" t="s">
        <v>66</v>
      </c>
      <c r="N217" t="s">
        <v>66</v>
      </c>
      <c r="O217" t="s">
        <v>136</v>
      </c>
      <c r="P217" t="s">
        <v>137</v>
      </c>
      <c r="T217" s="24">
        <v>-30788953</v>
      </c>
    </row>
    <row r="218" spans="1:24" x14ac:dyDescent="0.3">
      <c r="A218" s="36">
        <v>45230</v>
      </c>
      <c r="B218" t="s">
        <v>90</v>
      </c>
      <c r="C218" t="s">
        <v>582</v>
      </c>
      <c r="G218" s="51">
        <v>45230</v>
      </c>
      <c r="I218" s="24">
        <v>-1335000</v>
      </c>
      <c r="L218">
        <v>2310310800</v>
      </c>
      <c r="M218" t="s">
        <v>91</v>
      </c>
      <c r="N218" t="s">
        <v>91</v>
      </c>
      <c r="O218" t="s">
        <v>136</v>
      </c>
      <c r="P218" t="s">
        <v>137</v>
      </c>
      <c r="R218" t="s">
        <v>583</v>
      </c>
      <c r="T218" s="24">
        <v>-32123953</v>
      </c>
    </row>
    <row r="219" spans="1:24" x14ac:dyDescent="0.3">
      <c r="A219" s="36">
        <v>45230</v>
      </c>
      <c r="B219" t="s">
        <v>90</v>
      </c>
      <c r="C219" t="s">
        <v>584</v>
      </c>
      <c r="G219" s="51">
        <v>45230</v>
      </c>
      <c r="I219" s="24">
        <v>-650000</v>
      </c>
      <c r="K219" t="s">
        <v>135</v>
      </c>
      <c r="L219">
        <v>2310310803</v>
      </c>
      <c r="M219" t="s">
        <v>91</v>
      </c>
      <c r="N219" t="s">
        <v>91</v>
      </c>
      <c r="O219" t="s">
        <v>136</v>
      </c>
      <c r="P219" t="s">
        <v>137</v>
      </c>
      <c r="R219" t="s">
        <v>585</v>
      </c>
      <c r="T219" s="24">
        <v>-32773953</v>
      </c>
      <c r="X219" t="s">
        <v>92</v>
      </c>
    </row>
    <row r="220" spans="1:24" x14ac:dyDescent="0.3">
      <c r="A220" s="36">
        <v>45230</v>
      </c>
      <c r="B220" t="s">
        <v>90</v>
      </c>
      <c r="C220" t="s">
        <v>586</v>
      </c>
      <c r="G220" s="51">
        <v>45230</v>
      </c>
      <c r="J220" s="24">
        <v>1329000</v>
      </c>
      <c r="K220" t="s">
        <v>587</v>
      </c>
      <c r="L220">
        <v>2310311034</v>
      </c>
      <c r="M220" t="s">
        <v>91</v>
      </c>
      <c r="N220" t="s">
        <v>91</v>
      </c>
      <c r="P220" t="s">
        <v>588</v>
      </c>
      <c r="R220" t="s">
        <v>589</v>
      </c>
      <c r="T220" s="24">
        <v>-31444953</v>
      </c>
    </row>
    <row r="221" spans="1:24" x14ac:dyDescent="0.3">
      <c r="A221" s="36">
        <v>45230</v>
      </c>
      <c r="B221" t="s">
        <v>90</v>
      </c>
      <c r="C221" t="s">
        <v>590</v>
      </c>
      <c r="G221" s="51">
        <v>45230</v>
      </c>
      <c r="J221" s="24">
        <v>1000000</v>
      </c>
      <c r="K221" t="s">
        <v>591</v>
      </c>
      <c r="L221">
        <v>2310311113</v>
      </c>
      <c r="M221" t="s">
        <v>91</v>
      </c>
      <c r="N221" t="s">
        <v>91</v>
      </c>
      <c r="P221" t="s">
        <v>137</v>
      </c>
      <c r="R221">
        <v>970454412359</v>
      </c>
      <c r="T221" s="24">
        <v>-30444953</v>
      </c>
      <c r="X221" t="s">
        <v>92</v>
      </c>
    </row>
    <row r="222" spans="1:24" x14ac:dyDescent="0.3">
      <c r="A222" s="36">
        <v>45230</v>
      </c>
      <c r="B222" t="s">
        <v>90</v>
      </c>
      <c r="C222" t="s">
        <v>592</v>
      </c>
      <c r="G222" s="51">
        <v>45230</v>
      </c>
      <c r="I222" s="24">
        <v>-3000000</v>
      </c>
      <c r="K222" t="s">
        <v>135</v>
      </c>
      <c r="L222">
        <v>2310311121</v>
      </c>
      <c r="M222" t="s">
        <v>91</v>
      </c>
      <c r="N222" t="s">
        <v>91</v>
      </c>
      <c r="O222" t="s">
        <v>136</v>
      </c>
      <c r="P222" t="s">
        <v>137</v>
      </c>
      <c r="R222" t="s">
        <v>593</v>
      </c>
      <c r="T222" s="24">
        <v>-33444953</v>
      </c>
      <c r="X222" t="s">
        <v>92</v>
      </c>
    </row>
    <row r="223" spans="1:24" x14ac:dyDescent="0.3">
      <c r="A223" s="36">
        <v>45231</v>
      </c>
      <c r="B223" t="s">
        <v>90</v>
      </c>
      <c r="C223" t="s">
        <v>594</v>
      </c>
      <c r="G223" s="51">
        <v>45231</v>
      </c>
      <c r="I223" s="24">
        <v>-500000</v>
      </c>
      <c r="K223" t="s">
        <v>135</v>
      </c>
      <c r="L223">
        <v>2311011415</v>
      </c>
      <c r="M223" t="s">
        <v>91</v>
      </c>
      <c r="N223" t="s">
        <v>91</v>
      </c>
      <c r="O223" t="s">
        <v>136</v>
      </c>
      <c r="P223" t="s">
        <v>137</v>
      </c>
      <c r="R223" t="s">
        <v>595</v>
      </c>
      <c r="T223" s="24">
        <v>-33944953</v>
      </c>
      <c r="X223" t="s">
        <v>92</v>
      </c>
    </row>
    <row r="224" spans="1:24" x14ac:dyDescent="0.3">
      <c r="A224" s="36">
        <v>45231</v>
      </c>
      <c r="B224" t="s">
        <v>90</v>
      </c>
      <c r="C224" t="s">
        <v>596</v>
      </c>
      <c r="G224" s="51">
        <v>45231</v>
      </c>
      <c r="I224" s="24">
        <v>-5000000</v>
      </c>
      <c r="K224" t="s">
        <v>135</v>
      </c>
      <c r="L224">
        <v>2311011428</v>
      </c>
      <c r="M224" t="s">
        <v>91</v>
      </c>
      <c r="N224" t="s">
        <v>91</v>
      </c>
      <c r="O224" t="s">
        <v>136</v>
      </c>
      <c r="P224" t="s">
        <v>137</v>
      </c>
      <c r="R224" t="s">
        <v>597</v>
      </c>
      <c r="T224" s="24">
        <v>-38944953</v>
      </c>
    </row>
    <row r="225" spans="1:24" x14ac:dyDescent="0.3">
      <c r="A225" s="36">
        <v>45231</v>
      </c>
      <c r="B225" t="s">
        <v>90</v>
      </c>
      <c r="C225" t="s">
        <v>598</v>
      </c>
      <c r="G225" s="51">
        <v>45231</v>
      </c>
      <c r="J225" s="24">
        <v>5739734</v>
      </c>
      <c r="K225" t="s">
        <v>599</v>
      </c>
      <c r="L225">
        <v>2311011559</v>
      </c>
      <c r="M225" t="s">
        <v>91</v>
      </c>
      <c r="N225" t="s">
        <v>91</v>
      </c>
      <c r="P225" t="s">
        <v>137</v>
      </c>
      <c r="R225">
        <v>888899552746</v>
      </c>
      <c r="T225" s="24">
        <v>-33205219</v>
      </c>
      <c r="X225" t="s">
        <v>92</v>
      </c>
    </row>
    <row r="226" spans="1:24" x14ac:dyDescent="0.3">
      <c r="A226" s="36">
        <v>45231</v>
      </c>
      <c r="B226" t="s">
        <v>90</v>
      </c>
      <c r="C226" t="s">
        <v>600</v>
      </c>
      <c r="G226" s="51">
        <v>45231</v>
      </c>
      <c r="I226" s="24">
        <v>-5739734</v>
      </c>
      <c r="K226" t="s">
        <v>135</v>
      </c>
      <c r="L226">
        <v>2311011601</v>
      </c>
      <c r="M226" t="s">
        <v>91</v>
      </c>
      <c r="N226" t="s">
        <v>91</v>
      </c>
      <c r="O226" t="s">
        <v>136</v>
      </c>
      <c r="P226" t="s">
        <v>137</v>
      </c>
      <c r="R226" t="s">
        <v>601</v>
      </c>
      <c r="T226" s="24">
        <v>-38944953</v>
      </c>
      <c r="X226" t="s">
        <v>92</v>
      </c>
    </row>
    <row r="227" spans="1:24" x14ac:dyDescent="0.3">
      <c r="A227" s="36">
        <v>45231</v>
      </c>
      <c r="B227" t="s">
        <v>90</v>
      </c>
      <c r="C227" t="s">
        <v>602</v>
      </c>
      <c r="G227" s="51">
        <v>45231</v>
      </c>
      <c r="J227" s="24">
        <v>414000</v>
      </c>
      <c r="K227" t="s">
        <v>603</v>
      </c>
      <c r="L227">
        <v>2311011939</v>
      </c>
      <c r="M227" t="s">
        <v>91</v>
      </c>
      <c r="N227" t="s">
        <v>91</v>
      </c>
      <c r="P227" t="s">
        <v>137</v>
      </c>
      <c r="R227">
        <v>970422449409</v>
      </c>
      <c r="T227" s="24">
        <v>-38530953</v>
      </c>
      <c r="X227" t="s">
        <v>92</v>
      </c>
    </row>
    <row r="228" spans="1:24" x14ac:dyDescent="0.3">
      <c r="A228" s="36">
        <v>45232</v>
      </c>
      <c r="B228" t="s">
        <v>90</v>
      </c>
      <c r="C228" t="s">
        <v>604</v>
      </c>
      <c r="G228" s="51">
        <v>45232</v>
      </c>
      <c r="J228" s="24">
        <v>900000</v>
      </c>
      <c r="K228" t="s">
        <v>587</v>
      </c>
      <c r="L228">
        <v>2311020855</v>
      </c>
      <c r="M228" t="s">
        <v>91</v>
      </c>
      <c r="N228" t="s">
        <v>91</v>
      </c>
      <c r="P228" t="s">
        <v>588</v>
      </c>
      <c r="R228" t="s">
        <v>605</v>
      </c>
      <c r="T228" s="24">
        <v>-37630953</v>
      </c>
    </row>
    <row r="229" spans="1:24" x14ac:dyDescent="0.3">
      <c r="A229" s="36">
        <v>45232</v>
      </c>
      <c r="B229" t="s">
        <v>90</v>
      </c>
      <c r="C229" t="s">
        <v>606</v>
      </c>
      <c r="G229" s="51">
        <v>45232</v>
      </c>
      <c r="J229" s="24">
        <v>280000</v>
      </c>
      <c r="K229" t="s">
        <v>607</v>
      </c>
      <c r="L229">
        <v>2311021222</v>
      </c>
      <c r="M229" t="s">
        <v>91</v>
      </c>
      <c r="N229" t="s">
        <v>91</v>
      </c>
      <c r="P229" t="s">
        <v>137</v>
      </c>
      <c r="R229">
        <v>970422999091</v>
      </c>
      <c r="T229" s="24">
        <v>-37350953</v>
      </c>
      <c r="X229" t="s">
        <v>92</v>
      </c>
    </row>
    <row r="230" spans="1:24" x14ac:dyDescent="0.3">
      <c r="A230" s="36">
        <v>45232</v>
      </c>
      <c r="B230" t="s">
        <v>90</v>
      </c>
      <c r="C230" t="s">
        <v>608</v>
      </c>
      <c r="G230" s="51">
        <v>45232</v>
      </c>
      <c r="I230" s="24">
        <v>-900000</v>
      </c>
      <c r="K230" t="s">
        <v>135</v>
      </c>
      <c r="L230">
        <v>2311021239</v>
      </c>
      <c r="M230" t="s">
        <v>91</v>
      </c>
      <c r="N230" t="s">
        <v>91</v>
      </c>
      <c r="O230" t="s">
        <v>136</v>
      </c>
      <c r="P230" t="s">
        <v>137</v>
      </c>
      <c r="R230" t="s">
        <v>609</v>
      </c>
      <c r="T230" s="24">
        <v>-38250953</v>
      </c>
      <c r="X230" t="s">
        <v>92</v>
      </c>
    </row>
    <row r="231" spans="1:24" x14ac:dyDescent="0.3">
      <c r="A231" s="36">
        <v>45232</v>
      </c>
      <c r="B231" t="s">
        <v>90</v>
      </c>
      <c r="C231" t="s">
        <v>610</v>
      </c>
      <c r="G231" s="51">
        <v>45232</v>
      </c>
      <c r="J231" s="24">
        <v>487500</v>
      </c>
      <c r="K231" t="s">
        <v>611</v>
      </c>
      <c r="L231">
        <v>2311021633</v>
      </c>
      <c r="M231" t="s">
        <v>91</v>
      </c>
      <c r="N231" t="s">
        <v>91</v>
      </c>
      <c r="P231" t="s">
        <v>137</v>
      </c>
      <c r="R231">
        <v>970422581781</v>
      </c>
      <c r="T231" s="24">
        <v>-37763453</v>
      </c>
      <c r="X231" t="s">
        <v>92</v>
      </c>
    </row>
    <row r="232" spans="1:24" x14ac:dyDescent="0.3">
      <c r="A232" s="36">
        <v>45232</v>
      </c>
      <c r="B232" t="s">
        <v>90</v>
      </c>
      <c r="C232" t="s">
        <v>612</v>
      </c>
      <c r="G232" s="51">
        <v>45232</v>
      </c>
      <c r="I232" s="24">
        <v>-35000</v>
      </c>
      <c r="K232" t="s">
        <v>613</v>
      </c>
      <c r="L232">
        <v>2311021841</v>
      </c>
      <c r="M232" t="s">
        <v>91</v>
      </c>
      <c r="N232" t="s">
        <v>91</v>
      </c>
      <c r="O232" t="s">
        <v>136</v>
      </c>
      <c r="P232" t="s">
        <v>137</v>
      </c>
      <c r="R232" t="s">
        <v>614</v>
      </c>
      <c r="T232" s="24">
        <v>-37798453</v>
      </c>
      <c r="X232" t="s">
        <v>92</v>
      </c>
    </row>
    <row r="233" spans="1:24" x14ac:dyDescent="0.3">
      <c r="A233" s="36">
        <v>45232</v>
      </c>
      <c r="B233" t="s">
        <v>90</v>
      </c>
      <c r="C233" t="s">
        <v>615</v>
      </c>
      <c r="G233" s="51">
        <v>45232</v>
      </c>
      <c r="J233" s="24">
        <v>272000</v>
      </c>
      <c r="K233" t="s">
        <v>616</v>
      </c>
      <c r="L233">
        <v>2311021946</v>
      </c>
      <c r="M233" t="s">
        <v>91</v>
      </c>
      <c r="N233" t="s">
        <v>91</v>
      </c>
      <c r="P233" t="s">
        <v>137</v>
      </c>
      <c r="R233">
        <v>970422539067</v>
      </c>
      <c r="T233" s="24">
        <v>-37526453</v>
      </c>
      <c r="X233" t="s">
        <v>92</v>
      </c>
    </row>
    <row r="234" spans="1:24" x14ac:dyDescent="0.3">
      <c r="A234" s="36">
        <v>45232</v>
      </c>
      <c r="B234" t="s">
        <v>90</v>
      </c>
      <c r="C234" t="s">
        <v>617</v>
      </c>
      <c r="G234" s="51">
        <v>45232</v>
      </c>
      <c r="I234" s="24">
        <v>-400000</v>
      </c>
      <c r="K234" t="s">
        <v>135</v>
      </c>
      <c r="L234">
        <v>2311022021</v>
      </c>
      <c r="M234" t="s">
        <v>91</v>
      </c>
      <c r="N234" t="s">
        <v>91</v>
      </c>
      <c r="O234" t="s">
        <v>136</v>
      </c>
      <c r="P234" t="s">
        <v>137</v>
      </c>
      <c r="R234" t="s">
        <v>618</v>
      </c>
      <c r="T234" s="24">
        <v>-37926453</v>
      </c>
      <c r="X234" t="s">
        <v>92</v>
      </c>
    </row>
    <row r="235" spans="1:24" x14ac:dyDescent="0.3">
      <c r="A235" s="36">
        <v>45233</v>
      </c>
      <c r="B235" t="s">
        <v>90</v>
      </c>
      <c r="C235" t="s">
        <v>619</v>
      </c>
      <c r="G235" s="51">
        <v>45233</v>
      </c>
      <c r="I235" s="24">
        <v>-277601</v>
      </c>
      <c r="K235" t="s">
        <v>620</v>
      </c>
      <c r="L235">
        <v>2311031055</v>
      </c>
      <c r="M235" t="s">
        <v>91</v>
      </c>
      <c r="N235" t="s">
        <v>91</v>
      </c>
      <c r="O235" t="s">
        <v>136</v>
      </c>
      <c r="P235" t="s">
        <v>137</v>
      </c>
      <c r="R235" t="s">
        <v>621</v>
      </c>
      <c r="T235" s="24">
        <v>-38204054</v>
      </c>
      <c r="X235" t="s">
        <v>92</v>
      </c>
    </row>
    <row r="236" spans="1:24" x14ac:dyDescent="0.3">
      <c r="A236" s="36">
        <v>45233</v>
      </c>
      <c r="B236" t="s">
        <v>90</v>
      </c>
      <c r="C236" t="s">
        <v>622</v>
      </c>
      <c r="G236" s="51">
        <v>45233</v>
      </c>
      <c r="J236" s="24">
        <v>10000000</v>
      </c>
      <c r="K236" t="s">
        <v>623</v>
      </c>
      <c r="L236">
        <v>2311031541</v>
      </c>
      <c r="M236" t="s">
        <v>91</v>
      </c>
      <c r="N236" t="s">
        <v>91</v>
      </c>
      <c r="P236" t="s">
        <v>137</v>
      </c>
      <c r="R236">
        <v>686868083559</v>
      </c>
      <c r="T236" s="24">
        <v>-28204054</v>
      </c>
      <c r="X236" t="s">
        <v>92</v>
      </c>
    </row>
    <row r="237" spans="1:24" x14ac:dyDescent="0.3">
      <c r="A237" s="36">
        <v>45233</v>
      </c>
      <c r="B237" t="s">
        <v>90</v>
      </c>
      <c r="C237" t="s">
        <v>624</v>
      </c>
      <c r="G237" s="51">
        <v>45233</v>
      </c>
      <c r="I237" s="24">
        <v>-1000000</v>
      </c>
      <c r="K237" t="s">
        <v>625</v>
      </c>
      <c r="L237">
        <v>2311031549</v>
      </c>
      <c r="M237" t="s">
        <v>91</v>
      </c>
      <c r="N237" t="s">
        <v>91</v>
      </c>
      <c r="O237" t="s">
        <v>136</v>
      </c>
      <c r="P237" t="s">
        <v>137</v>
      </c>
      <c r="R237" t="s">
        <v>626</v>
      </c>
      <c r="T237" s="24">
        <v>-29204054</v>
      </c>
      <c r="X237" t="s">
        <v>92</v>
      </c>
    </row>
    <row r="238" spans="1:24" x14ac:dyDescent="0.3">
      <c r="A238" s="36">
        <v>45233</v>
      </c>
      <c r="B238" t="s">
        <v>90</v>
      </c>
      <c r="C238" t="s">
        <v>627</v>
      </c>
      <c r="G238" s="51">
        <v>45233</v>
      </c>
      <c r="I238" s="24">
        <v>-4629000</v>
      </c>
      <c r="L238">
        <v>2311031605</v>
      </c>
      <c r="M238" t="s">
        <v>91</v>
      </c>
      <c r="N238" t="s">
        <v>91</v>
      </c>
      <c r="O238" t="s">
        <v>136</v>
      </c>
      <c r="P238" t="s">
        <v>137</v>
      </c>
      <c r="R238" t="s">
        <v>628</v>
      </c>
      <c r="T238" s="24">
        <v>-33833054</v>
      </c>
    </row>
    <row r="239" spans="1:24" x14ac:dyDescent="0.3">
      <c r="A239" s="36">
        <v>45233</v>
      </c>
      <c r="B239" t="s">
        <v>90</v>
      </c>
      <c r="C239" t="s">
        <v>629</v>
      </c>
      <c r="G239" s="51">
        <v>45233</v>
      </c>
      <c r="I239" s="24">
        <v>-1000000</v>
      </c>
      <c r="K239" t="s">
        <v>135</v>
      </c>
      <c r="L239">
        <v>2311031608</v>
      </c>
      <c r="M239" t="s">
        <v>91</v>
      </c>
      <c r="N239" t="s">
        <v>91</v>
      </c>
      <c r="O239" t="s">
        <v>136</v>
      </c>
      <c r="P239" t="s">
        <v>137</v>
      </c>
      <c r="R239" t="s">
        <v>630</v>
      </c>
      <c r="T239" s="24">
        <v>-34833054</v>
      </c>
      <c r="X239" t="s">
        <v>92</v>
      </c>
    </row>
    <row r="240" spans="1:24" x14ac:dyDescent="0.3">
      <c r="A240" s="36">
        <v>45233</v>
      </c>
      <c r="B240" t="s">
        <v>90</v>
      </c>
      <c r="C240" t="s">
        <v>631</v>
      </c>
      <c r="G240" s="51">
        <v>45233</v>
      </c>
      <c r="I240" s="24">
        <v>-3200000</v>
      </c>
      <c r="K240" t="s">
        <v>632</v>
      </c>
      <c r="L240">
        <v>2311031610</v>
      </c>
      <c r="M240" t="s">
        <v>91</v>
      </c>
      <c r="N240" t="s">
        <v>91</v>
      </c>
      <c r="O240" t="s">
        <v>136</v>
      </c>
      <c r="P240" t="s">
        <v>137</v>
      </c>
      <c r="R240" t="s">
        <v>633</v>
      </c>
      <c r="T240" s="24">
        <v>-38033054</v>
      </c>
      <c r="X240" t="s">
        <v>92</v>
      </c>
    </row>
    <row r="241" spans="1:24" x14ac:dyDescent="0.3">
      <c r="A241" s="36">
        <v>45233</v>
      </c>
      <c r="B241" t="s">
        <v>90</v>
      </c>
      <c r="C241" t="s">
        <v>634</v>
      </c>
      <c r="G241" s="51">
        <v>45233</v>
      </c>
      <c r="I241" s="24">
        <v>-50000</v>
      </c>
      <c r="K241" t="s">
        <v>635</v>
      </c>
      <c r="L241">
        <v>2311031915</v>
      </c>
      <c r="M241" t="s">
        <v>91</v>
      </c>
      <c r="N241" t="s">
        <v>91</v>
      </c>
      <c r="O241" t="s">
        <v>136</v>
      </c>
      <c r="P241" t="s">
        <v>97</v>
      </c>
      <c r="R241" t="s">
        <v>636</v>
      </c>
      <c r="T241" s="24">
        <v>-38083054</v>
      </c>
    </row>
    <row r="242" spans="1:24" x14ac:dyDescent="0.3">
      <c r="A242" s="36">
        <v>45233</v>
      </c>
      <c r="B242" t="s">
        <v>90</v>
      </c>
      <c r="C242" t="s">
        <v>637</v>
      </c>
      <c r="G242" s="51">
        <v>45233</v>
      </c>
      <c r="I242" s="24">
        <v>-331380</v>
      </c>
      <c r="K242" t="s">
        <v>638</v>
      </c>
      <c r="L242">
        <v>2311031947</v>
      </c>
      <c r="M242" t="s">
        <v>91</v>
      </c>
      <c r="N242" t="s">
        <v>91</v>
      </c>
      <c r="O242" t="s">
        <v>136</v>
      </c>
      <c r="P242" t="s">
        <v>137</v>
      </c>
      <c r="R242" t="s">
        <v>639</v>
      </c>
      <c r="T242" s="24">
        <v>-38414434</v>
      </c>
      <c r="X242" t="s">
        <v>92</v>
      </c>
    </row>
    <row r="243" spans="1:24" x14ac:dyDescent="0.3">
      <c r="A243" s="36">
        <v>45234</v>
      </c>
      <c r="B243" t="s">
        <v>90</v>
      </c>
      <c r="C243" t="s">
        <v>640</v>
      </c>
      <c r="G243" s="51">
        <v>45234</v>
      </c>
      <c r="J243" s="24">
        <v>98000</v>
      </c>
      <c r="K243" t="s">
        <v>641</v>
      </c>
      <c r="L243">
        <v>2311032205</v>
      </c>
      <c r="M243" t="s">
        <v>91</v>
      </c>
      <c r="N243" t="s">
        <v>91</v>
      </c>
      <c r="P243" t="s">
        <v>137</v>
      </c>
      <c r="R243">
        <v>970422200505</v>
      </c>
      <c r="T243" s="24">
        <v>-38316434</v>
      </c>
      <c r="X243" t="s">
        <v>92</v>
      </c>
    </row>
    <row r="244" spans="1:24" x14ac:dyDescent="0.3">
      <c r="A244" s="36">
        <v>45234</v>
      </c>
      <c r="B244" t="s">
        <v>90</v>
      </c>
      <c r="C244" t="s">
        <v>642</v>
      </c>
      <c r="G244" s="51">
        <v>45234</v>
      </c>
      <c r="I244" s="24">
        <v>-100000</v>
      </c>
      <c r="K244" t="s">
        <v>135</v>
      </c>
      <c r="L244">
        <v>2311041036</v>
      </c>
      <c r="M244" t="s">
        <v>91</v>
      </c>
      <c r="N244" t="s">
        <v>91</v>
      </c>
      <c r="O244" t="s">
        <v>136</v>
      </c>
      <c r="P244" t="s">
        <v>137</v>
      </c>
      <c r="R244" t="s">
        <v>643</v>
      </c>
      <c r="T244" s="24">
        <v>-38416434</v>
      </c>
      <c r="X244" t="s">
        <v>92</v>
      </c>
    </row>
    <row r="245" spans="1:24" x14ac:dyDescent="0.3">
      <c r="A245" s="36">
        <v>45234</v>
      </c>
      <c r="B245" t="s">
        <v>90</v>
      </c>
      <c r="C245" t="s">
        <v>644</v>
      </c>
      <c r="G245" s="51">
        <v>45234</v>
      </c>
      <c r="J245" s="24">
        <v>2965000</v>
      </c>
      <c r="K245" t="s">
        <v>645</v>
      </c>
      <c r="L245">
        <v>2311041053</v>
      </c>
      <c r="M245" t="s">
        <v>91</v>
      </c>
      <c r="N245" t="s">
        <v>91</v>
      </c>
      <c r="P245" t="s">
        <v>137</v>
      </c>
      <c r="R245">
        <v>970422001953</v>
      </c>
      <c r="T245" s="24">
        <v>-35451434</v>
      </c>
      <c r="X245" t="s">
        <v>92</v>
      </c>
    </row>
    <row r="246" spans="1:24" x14ac:dyDescent="0.3">
      <c r="A246" s="36">
        <v>45234</v>
      </c>
      <c r="B246" t="s">
        <v>90</v>
      </c>
      <c r="C246" t="s">
        <v>646</v>
      </c>
      <c r="G246" s="51">
        <v>45234</v>
      </c>
      <c r="J246" s="24">
        <v>2965000</v>
      </c>
      <c r="K246" t="s">
        <v>647</v>
      </c>
      <c r="L246">
        <v>2311041154</v>
      </c>
      <c r="M246" t="s">
        <v>91</v>
      </c>
      <c r="N246" t="s">
        <v>91</v>
      </c>
      <c r="P246" t="s">
        <v>137</v>
      </c>
      <c r="R246">
        <v>970422298948</v>
      </c>
      <c r="T246" s="24">
        <v>-32486434</v>
      </c>
      <c r="X246" t="s">
        <v>92</v>
      </c>
    </row>
    <row r="247" spans="1:24" x14ac:dyDescent="0.3">
      <c r="A247" s="36">
        <v>45234</v>
      </c>
      <c r="B247" t="s">
        <v>90</v>
      </c>
      <c r="C247" t="s">
        <v>648</v>
      </c>
      <c r="G247" s="51">
        <v>45234</v>
      </c>
      <c r="I247" s="24">
        <v>-265000</v>
      </c>
      <c r="K247" t="s">
        <v>135</v>
      </c>
      <c r="L247">
        <v>2311041159</v>
      </c>
      <c r="M247" t="s">
        <v>91</v>
      </c>
      <c r="N247" t="s">
        <v>91</v>
      </c>
      <c r="O247" t="s">
        <v>136</v>
      </c>
      <c r="P247" t="s">
        <v>137</v>
      </c>
      <c r="R247" t="s">
        <v>649</v>
      </c>
      <c r="T247" s="24">
        <v>-32751434</v>
      </c>
      <c r="X247" t="s">
        <v>92</v>
      </c>
    </row>
    <row r="248" spans="1:24" x14ac:dyDescent="0.3">
      <c r="A248" s="36">
        <v>45234</v>
      </c>
      <c r="B248" t="s">
        <v>90</v>
      </c>
      <c r="C248" t="s">
        <v>650</v>
      </c>
      <c r="G248" s="51">
        <v>45234</v>
      </c>
      <c r="J248" s="24">
        <v>100000</v>
      </c>
      <c r="K248" t="s">
        <v>651</v>
      </c>
      <c r="L248">
        <v>2311041201</v>
      </c>
      <c r="M248" t="s">
        <v>91</v>
      </c>
      <c r="N248" t="s">
        <v>91</v>
      </c>
      <c r="P248" t="s">
        <v>137</v>
      </c>
      <c r="R248">
        <v>970422703101</v>
      </c>
      <c r="T248" s="24">
        <v>-32651434</v>
      </c>
      <c r="X248" t="s">
        <v>92</v>
      </c>
    </row>
    <row r="249" spans="1:24" x14ac:dyDescent="0.3">
      <c r="A249" s="36">
        <v>45234</v>
      </c>
      <c r="B249" t="s">
        <v>90</v>
      </c>
      <c r="C249" t="s">
        <v>652</v>
      </c>
      <c r="G249" s="51">
        <v>45234</v>
      </c>
      <c r="J249" s="24">
        <v>150000</v>
      </c>
      <c r="K249" t="s">
        <v>653</v>
      </c>
      <c r="L249">
        <v>2311041210</v>
      </c>
      <c r="M249" t="s">
        <v>91</v>
      </c>
      <c r="N249" t="s">
        <v>91</v>
      </c>
      <c r="P249" t="s">
        <v>137</v>
      </c>
      <c r="R249">
        <v>970422741672</v>
      </c>
      <c r="T249" s="24">
        <v>-32501434</v>
      </c>
      <c r="X249" t="s">
        <v>92</v>
      </c>
    </row>
    <row r="250" spans="1:24" x14ac:dyDescent="0.3">
      <c r="A250" s="36">
        <v>45234</v>
      </c>
      <c r="B250" t="s">
        <v>90</v>
      </c>
      <c r="C250" t="s">
        <v>654</v>
      </c>
      <c r="G250" s="51">
        <v>45234</v>
      </c>
      <c r="I250" s="24">
        <v>-5000000</v>
      </c>
      <c r="K250" t="s">
        <v>135</v>
      </c>
      <c r="L250">
        <v>2311041244</v>
      </c>
      <c r="M250" t="s">
        <v>91</v>
      </c>
      <c r="N250" t="s">
        <v>91</v>
      </c>
      <c r="O250" t="s">
        <v>136</v>
      </c>
      <c r="P250" t="s">
        <v>137</v>
      </c>
      <c r="R250" t="s">
        <v>655</v>
      </c>
      <c r="T250" s="24">
        <v>-37501434</v>
      </c>
      <c r="X250" t="s">
        <v>92</v>
      </c>
    </row>
    <row r="251" spans="1:24" x14ac:dyDescent="0.3">
      <c r="A251" s="36">
        <v>45234</v>
      </c>
      <c r="B251" t="s">
        <v>90</v>
      </c>
      <c r="C251" t="s">
        <v>656</v>
      </c>
      <c r="G251" s="51">
        <v>45234</v>
      </c>
      <c r="I251" s="24">
        <v>-80000</v>
      </c>
      <c r="K251" t="s">
        <v>135</v>
      </c>
      <c r="L251">
        <v>2311042006</v>
      </c>
      <c r="M251" t="s">
        <v>91</v>
      </c>
      <c r="N251" t="s">
        <v>91</v>
      </c>
      <c r="O251" t="s">
        <v>136</v>
      </c>
      <c r="P251" t="s">
        <v>137</v>
      </c>
      <c r="R251" t="s">
        <v>657</v>
      </c>
      <c r="T251" s="24">
        <v>-37581434</v>
      </c>
      <c r="X251" t="s">
        <v>92</v>
      </c>
    </row>
    <row r="252" spans="1:24" x14ac:dyDescent="0.3">
      <c r="A252" s="36">
        <v>45236</v>
      </c>
      <c r="B252" t="s">
        <v>90</v>
      </c>
      <c r="C252" t="s">
        <v>658</v>
      </c>
      <c r="G252" s="51">
        <v>45236</v>
      </c>
      <c r="J252" s="24">
        <v>2850000</v>
      </c>
      <c r="K252" t="s">
        <v>659</v>
      </c>
      <c r="L252">
        <v>2311042330</v>
      </c>
      <c r="M252" t="s">
        <v>91</v>
      </c>
      <c r="N252" t="s">
        <v>91</v>
      </c>
      <c r="P252" t="s">
        <v>137</v>
      </c>
      <c r="R252">
        <v>970422269297</v>
      </c>
      <c r="T252" s="24">
        <v>-34731434</v>
      </c>
      <c r="X252" t="s">
        <v>92</v>
      </c>
    </row>
    <row r="253" spans="1:24" x14ac:dyDescent="0.3">
      <c r="A253" s="36">
        <v>45236</v>
      </c>
      <c r="B253" t="s">
        <v>90</v>
      </c>
      <c r="C253" t="s">
        <v>660</v>
      </c>
      <c r="G253" s="51">
        <v>45236</v>
      </c>
      <c r="I253" s="24">
        <v>-5000000</v>
      </c>
      <c r="K253" t="s">
        <v>135</v>
      </c>
      <c r="L253">
        <v>2311042336</v>
      </c>
      <c r="M253" t="s">
        <v>91</v>
      </c>
      <c r="N253" t="s">
        <v>91</v>
      </c>
      <c r="O253" t="s">
        <v>136</v>
      </c>
      <c r="P253" t="s">
        <v>137</v>
      </c>
      <c r="R253" t="s">
        <v>661</v>
      </c>
      <c r="T253" s="24">
        <v>-39731434</v>
      </c>
      <c r="X253" t="s">
        <v>92</v>
      </c>
    </row>
    <row r="254" spans="1:24" x14ac:dyDescent="0.3">
      <c r="A254" s="36">
        <v>45236</v>
      </c>
      <c r="B254" t="s">
        <v>90</v>
      </c>
      <c r="C254" t="s">
        <v>662</v>
      </c>
      <c r="G254" s="51">
        <v>45236</v>
      </c>
      <c r="J254" s="24">
        <v>6759500</v>
      </c>
      <c r="K254" t="s">
        <v>663</v>
      </c>
      <c r="L254">
        <v>2311051742</v>
      </c>
      <c r="M254" t="s">
        <v>91</v>
      </c>
      <c r="N254" t="s">
        <v>91</v>
      </c>
      <c r="P254" t="s">
        <v>137</v>
      </c>
      <c r="R254">
        <v>970416209760</v>
      </c>
      <c r="T254" s="24">
        <v>-32971934</v>
      </c>
      <c r="X254" t="s">
        <v>92</v>
      </c>
    </row>
    <row r="255" spans="1:24" x14ac:dyDescent="0.3">
      <c r="A255" s="36">
        <v>45236</v>
      </c>
      <c r="B255" t="s">
        <v>90</v>
      </c>
      <c r="C255" t="s">
        <v>664</v>
      </c>
      <c r="G255" s="51">
        <v>45236</v>
      </c>
      <c r="I255" s="24">
        <v>-436000</v>
      </c>
      <c r="K255" t="s">
        <v>135</v>
      </c>
      <c r="L255">
        <v>2311051743</v>
      </c>
      <c r="M255" t="s">
        <v>91</v>
      </c>
      <c r="N255" t="s">
        <v>91</v>
      </c>
      <c r="O255" t="s">
        <v>136</v>
      </c>
      <c r="P255" t="s">
        <v>137</v>
      </c>
      <c r="R255" t="s">
        <v>665</v>
      </c>
      <c r="T255" s="24">
        <v>-33407934</v>
      </c>
      <c r="X255" t="s">
        <v>92</v>
      </c>
    </row>
    <row r="256" spans="1:24" x14ac:dyDescent="0.3">
      <c r="A256" s="36">
        <v>45236</v>
      </c>
      <c r="B256" t="s">
        <v>90</v>
      </c>
      <c r="C256" t="s">
        <v>666</v>
      </c>
      <c r="G256" s="51">
        <v>45236</v>
      </c>
      <c r="I256" s="24">
        <v>-150000</v>
      </c>
      <c r="K256" t="s">
        <v>135</v>
      </c>
      <c r="L256">
        <v>2311051825</v>
      </c>
      <c r="M256" t="s">
        <v>91</v>
      </c>
      <c r="N256" t="s">
        <v>91</v>
      </c>
      <c r="O256" t="s">
        <v>136</v>
      </c>
      <c r="P256" t="s">
        <v>137</v>
      </c>
      <c r="R256" t="s">
        <v>667</v>
      </c>
      <c r="T256" s="24">
        <v>-33557934</v>
      </c>
    </row>
    <row r="257" spans="1:24" x14ac:dyDescent="0.3">
      <c r="A257" s="36">
        <v>45236</v>
      </c>
      <c r="B257" t="s">
        <v>90</v>
      </c>
      <c r="C257" t="s">
        <v>668</v>
      </c>
      <c r="G257" s="51">
        <v>45236</v>
      </c>
      <c r="I257" s="24">
        <v>-119600</v>
      </c>
      <c r="K257" t="s">
        <v>135</v>
      </c>
      <c r="L257">
        <v>2311051932</v>
      </c>
      <c r="M257" t="s">
        <v>91</v>
      </c>
      <c r="N257" t="s">
        <v>91</v>
      </c>
      <c r="O257" t="s">
        <v>136</v>
      </c>
      <c r="P257" t="s">
        <v>137</v>
      </c>
      <c r="R257" t="s">
        <v>669</v>
      </c>
      <c r="T257" s="24">
        <v>-33677534</v>
      </c>
      <c r="X257" t="s">
        <v>92</v>
      </c>
    </row>
    <row r="258" spans="1:24" x14ac:dyDescent="0.3">
      <c r="A258" s="36">
        <v>45236</v>
      </c>
      <c r="B258" t="s">
        <v>90</v>
      </c>
      <c r="C258" t="s">
        <v>670</v>
      </c>
      <c r="G258" s="51">
        <v>45236</v>
      </c>
      <c r="I258" s="24">
        <v>-5500000</v>
      </c>
      <c r="K258" t="s">
        <v>135</v>
      </c>
      <c r="L258">
        <v>2311060823</v>
      </c>
      <c r="M258" t="s">
        <v>91</v>
      </c>
      <c r="N258" t="s">
        <v>91</v>
      </c>
      <c r="O258" t="s">
        <v>136</v>
      </c>
      <c r="P258" t="s">
        <v>137</v>
      </c>
      <c r="R258" t="s">
        <v>671</v>
      </c>
      <c r="T258" s="24">
        <v>-39177534</v>
      </c>
    </row>
    <row r="259" spans="1:24" x14ac:dyDescent="0.3">
      <c r="A259" s="36">
        <v>45236</v>
      </c>
      <c r="B259" t="s">
        <v>90</v>
      </c>
      <c r="C259" t="s">
        <v>672</v>
      </c>
      <c r="G259" s="51">
        <v>45236</v>
      </c>
      <c r="I259" s="24">
        <v>-500000</v>
      </c>
      <c r="K259" t="s">
        <v>135</v>
      </c>
      <c r="L259">
        <v>2311060824</v>
      </c>
      <c r="M259" t="s">
        <v>91</v>
      </c>
      <c r="N259" t="s">
        <v>91</v>
      </c>
      <c r="O259" t="s">
        <v>136</v>
      </c>
      <c r="P259" t="s">
        <v>137</v>
      </c>
      <c r="R259" t="s">
        <v>673</v>
      </c>
      <c r="T259" s="24">
        <v>-39677534</v>
      </c>
      <c r="X259" t="s">
        <v>92</v>
      </c>
    </row>
    <row r="260" spans="1:24" x14ac:dyDescent="0.3">
      <c r="A260" s="36">
        <v>45236</v>
      </c>
      <c r="B260" t="s">
        <v>90</v>
      </c>
      <c r="C260" t="s">
        <v>674</v>
      </c>
      <c r="G260" s="51">
        <v>45236</v>
      </c>
      <c r="J260" s="24">
        <v>2948000</v>
      </c>
      <c r="K260" t="s">
        <v>675</v>
      </c>
      <c r="L260">
        <v>2311060939</v>
      </c>
      <c r="M260" t="s">
        <v>91</v>
      </c>
      <c r="N260" t="s">
        <v>91</v>
      </c>
      <c r="P260" t="s">
        <v>137</v>
      </c>
      <c r="R260">
        <v>970422493891</v>
      </c>
      <c r="T260" s="24">
        <v>-36729534</v>
      </c>
      <c r="X260" t="s">
        <v>92</v>
      </c>
    </row>
    <row r="261" spans="1:24" x14ac:dyDescent="0.3">
      <c r="A261" s="36">
        <v>45236</v>
      </c>
      <c r="B261" t="s">
        <v>90</v>
      </c>
      <c r="C261" t="s">
        <v>676</v>
      </c>
      <c r="G261" s="51">
        <v>45236</v>
      </c>
      <c r="J261" s="24">
        <v>3666000</v>
      </c>
      <c r="K261" t="s">
        <v>677</v>
      </c>
      <c r="L261">
        <v>2311061017</v>
      </c>
      <c r="M261" t="s">
        <v>91</v>
      </c>
      <c r="N261" t="s">
        <v>91</v>
      </c>
      <c r="P261" t="s">
        <v>137</v>
      </c>
      <c r="R261">
        <v>970454156921</v>
      </c>
      <c r="T261" s="24">
        <v>-33063534</v>
      </c>
      <c r="X261" t="s">
        <v>92</v>
      </c>
    </row>
    <row r="262" spans="1:24" x14ac:dyDescent="0.3">
      <c r="A262" s="36">
        <v>45236</v>
      </c>
      <c r="B262" t="s">
        <v>90</v>
      </c>
      <c r="C262" t="s">
        <v>678</v>
      </c>
      <c r="G262" s="51">
        <v>45236</v>
      </c>
      <c r="I262" s="24">
        <v>-3666000</v>
      </c>
      <c r="K262" t="s">
        <v>135</v>
      </c>
      <c r="L262">
        <v>2311061020</v>
      </c>
      <c r="M262" t="s">
        <v>91</v>
      </c>
      <c r="N262" t="s">
        <v>91</v>
      </c>
      <c r="O262" t="s">
        <v>136</v>
      </c>
      <c r="P262" t="s">
        <v>137</v>
      </c>
      <c r="R262" t="s">
        <v>679</v>
      </c>
      <c r="T262" s="24">
        <v>-36729534</v>
      </c>
    </row>
    <row r="263" spans="1:24" x14ac:dyDescent="0.3">
      <c r="A263" s="36">
        <v>45237</v>
      </c>
      <c r="B263" t="s">
        <v>90</v>
      </c>
      <c r="C263" t="s">
        <v>680</v>
      </c>
      <c r="G263" s="51">
        <v>45237</v>
      </c>
      <c r="I263" s="24">
        <v>-770000</v>
      </c>
      <c r="K263" t="s">
        <v>135</v>
      </c>
      <c r="L263">
        <v>2311070014</v>
      </c>
      <c r="M263" t="s">
        <v>91</v>
      </c>
      <c r="N263" t="s">
        <v>91</v>
      </c>
      <c r="O263" t="s">
        <v>136</v>
      </c>
      <c r="P263" t="s">
        <v>137</v>
      </c>
      <c r="R263" t="s">
        <v>681</v>
      </c>
      <c r="T263" s="24">
        <v>-37499534</v>
      </c>
      <c r="X263" t="s">
        <v>92</v>
      </c>
    </row>
    <row r="264" spans="1:24" x14ac:dyDescent="0.3">
      <c r="A264" s="36">
        <v>45237</v>
      </c>
      <c r="B264" t="s">
        <v>90</v>
      </c>
      <c r="C264" t="s">
        <v>682</v>
      </c>
      <c r="G264" s="51">
        <v>45237</v>
      </c>
      <c r="I264" s="24">
        <v>-500000</v>
      </c>
      <c r="K264" t="s">
        <v>683</v>
      </c>
      <c r="L264">
        <v>2311071508</v>
      </c>
      <c r="M264" t="s">
        <v>91</v>
      </c>
      <c r="N264" t="s">
        <v>91</v>
      </c>
      <c r="O264" t="s">
        <v>136</v>
      </c>
      <c r="P264" t="s">
        <v>137</v>
      </c>
      <c r="R264" t="s">
        <v>684</v>
      </c>
      <c r="T264" s="24">
        <v>-37999534</v>
      </c>
      <c r="X264" t="s">
        <v>92</v>
      </c>
    </row>
    <row r="265" spans="1:24" x14ac:dyDescent="0.3">
      <c r="A265" s="36">
        <v>45237</v>
      </c>
      <c r="B265" t="s">
        <v>90</v>
      </c>
      <c r="C265" t="s">
        <v>685</v>
      </c>
      <c r="G265" s="51">
        <v>45237</v>
      </c>
      <c r="I265" s="24">
        <v>-441000</v>
      </c>
      <c r="K265" t="s">
        <v>135</v>
      </c>
      <c r="L265">
        <v>2311071711</v>
      </c>
      <c r="M265" t="s">
        <v>91</v>
      </c>
      <c r="N265" t="s">
        <v>91</v>
      </c>
      <c r="O265" t="s">
        <v>136</v>
      </c>
      <c r="P265" t="s">
        <v>137</v>
      </c>
      <c r="R265" t="s">
        <v>686</v>
      </c>
      <c r="T265" s="24">
        <v>-38440534</v>
      </c>
      <c r="X265" t="s">
        <v>92</v>
      </c>
    </row>
    <row r="266" spans="1:24" x14ac:dyDescent="0.3">
      <c r="A266" s="36">
        <v>45237</v>
      </c>
      <c r="B266" t="s">
        <v>90</v>
      </c>
      <c r="C266" t="s">
        <v>687</v>
      </c>
      <c r="G266" s="51">
        <v>45237</v>
      </c>
      <c r="I266" s="24">
        <v>-45000</v>
      </c>
      <c r="K266" t="s">
        <v>135</v>
      </c>
      <c r="L266">
        <v>2311072010</v>
      </c>
      <c r="M266" t="s">
        <v>91</v>
      </c>
      <c r="N266" t="s">
        <v>91</v>
      </c>
      <c r="O266" t="s">
        <v>136</v>
      </c>
      <c r="P266" t="s">
        <v>137</v>
      </c>
      <c r="R266" t="s">
        <v>688</v>
      </c>
      <c r="T266" s="24">
        <v>-38485534</v>
      </c>
      <c r="X266" t="s">
        <v>92</v>
      </c>
    </row>
    <row r="267" spans="1:24" x14ac:dyDescent="0.3">
      <c r="A267" s="36">
        <v>45237</v>
      </c>
      <c r="B267" t="s">
        <v>90</v>
      </c>
      <c r="C267" t="s">
        <v>689</v>
      </c>
      <c r="G267" s="51">
        <v>45237</v>
      </c>
      <c r="J267" s="24">
        <v>477000</v>
      </c>
      <c r="K267" t="s">
        <v>690</v>
      </c>
      <c r="L267">
        <v>2311072056</v>
      </c>
      <c r="M267" t="s">
        <v>91</v>
      </c>
      <c r="N267" t="s">
        <v>91</v>
      </c>
      <c r="P267" t="s">
        <v>137</v>
      </c>
      <c r="R267">
        <v>970454620671</v>
      </c>
      <c r="T267" s="24">
        <v>-38008534</v>
      </c>
      <c r="X267" t="s">
        <v>92</v>
      </c>
    </row>
    <row r="268" spans="1:24" x14ac:dyDescent="0.3">
      <c r="A268" s="36">
        <v>45238</v>
      </c>
      <c r="B268" t="s">
        <v>90</v>
      </c>
      <c r="C268" t="s">
        <v>691</v>
      </c>
      <c r="G268" s="51">
        <v>45238</v>
      </c>
      <c r="I268" s="24">
        <v>-100000</v>
      </c>
      <c r="K268" t="s">
        <v>135</v>
      </c>
      <c r="L268">
        <v>2311080747</v>
      </c>
      <c r="M268" t="s">
        <v>91</v>
      </c>
      <c r="N268" t="s">
        <v>91</v>
      </c>
      <c r="O268" t="s">
        <v>136</v>
      </c>
      <c r="P268" t="s">
        <v>137</v>
      </c>
      <c r="R268" t="s">
        <v>692</v>
      </c>
      <c r="T268" s="24">
        <v>-38108534</v>
      </c>
      <c r="X268" t="s">
        <v>92</v>
      </c>
    </row>
    <row r="269" spans="1:24" x14ac:dyDescent="0.3">
      <c r="A269" s="36">
        <v>45238</v>
      </c>
      <c r="B269" t="s">
        <v>90</v>
      </c>
      <c r="C269" t="s">
        <v>693</v>
      </c>
      <c r="G269" s="51">
        <v>45238</v>
      </c>
      <c r="I269" s="24">
        <v>-500000</v>
      </c>
      <c r="K269" t="s">
        <v>135</v>
      </c>
      <c r="L269">
        <v>2311081816</v>
      </c>
      <c r="M269" t="s">
        <v>91</v>
      </c>
      <c r="N269" t="s">
        <v>91</v>
      </c>
      <c r="O269" t="s">
        <v>136</v>
      </c>
      <c r="P269" t="s">
        <v>137</v>
      </c>
      <c r="R269" t="s">
        <v>694</v>
      </c>
      <c r="T269" s="24">
        <v>-38608534</v>
      </c>
      <c r="X269" t="s">
        <v>92</v>
      </c>
    </row>
    <row r="270" spans="1:24" x14ac:dyDescent="0.3">
      <c r="A270" s="36">
        <v>45239</v>
      </c>
      <c r="B270" t="s">
        <v>90</v>
      </c>
      <c r="C270" t="s">
        <v>695</v>
      </c>
      <c r="G270" s="51">
        <v>45239</v>
      </c>
      <c r="J270" s="24">
        <v>4550000</v>
      </c>
      <c r="K270" t="s">
        <v>696</v>
      </c>
      <c r="L270">
        <v>2311090805</v>
      </c>
      <c r="M270" t="s">
        <v>91</v>
      </c>
      <c r="N270" t="s">
        <v>91</v>
      </c>
      <c r="P270" t="s">
        <v>137</v>
      </c>
      <c r="R270">
        <v>970422388210</v>
      </c>
      <c r="T270" s="24">
        <v>-34058534</v>
      </c>
      <c r="X270" t="s">
        <v>92</v>
      </c>
    </row>
    <row r="271" spans="1:24" x14ac:dyDescent="0.3">
      <c r="A271" s="36">
        <v>45239</v>
      </c>
      <c r="B271" t="s">
        <v>90</v>
      </c>
      <c r="C271" t="s">
        <v>697</v>
      </c>
      <c r="G271" s="51">
        <v>45239</v>
      </c>
      <c r="J271" s="24">
        <v>1856000</v>
      </c>
      <c r="K271" t="s">
        <v>698</v>
      </c>
      <c r="L271">
        <v>2311090945</v>
      </c>
      <c r="M271" t="s">
        <v>91</v>
      </c>
      <c r="N271" t="s">
        <v>91</v>
      </c>
      <c r="P271" t="s">
        <v>137</v>
      </c>
      <c r="R271">
        <v>970422710035</v>
      </c>
      <c r="T271" s="24">
        <v>-32202534</v>
      </c>
      <c r="X271" t="s">
        <v>92</v>
      </c>
    </row>
    <row r="272" spans="1:24" x14ac:dyDescent="0.3">
      <c r="A272" s="36">
        <v>45239</v>
      </c>
      <c r="B272" t="s">
        <v>90</v>
      </c>
      <c r="C272" t="s">
        <v>699</v>
      </c>
      <c r="G272" s="51">
        <v>45239</v>
      </c>
      <c r="I272" s="24">
        <v>-7000000</v>
      </c>
      <c r="K272" t="s">
        <v>135</v>
      </c>
      <c r="L272">
        <v>2311090948</v>
      </c>
      <c r="M272" t="s">
        <v>91</v>
      </c>
      <c r="N272" t="s">
        <v>91</v>
      </c>
      <c r="O272" t="s">
        <v>136</v>
      </c>
      <c r="P272" t="s">
        <v>137</v>
      </c>
      <c r="R272" t="s">
        <v>700</v>
      </c>
      <c r="T272" s="24">
        <v>-39202534</v>
      </c>
      <c r="X272" t="s">
        <v>92</v>
      </c>
    </row>
    <row r="273" spans="1:24" x14ac:dyDescent="0.3">
      <c r="A273" s="36">
        <v>45239</v>
      </c>
      <c r="B273" t="s">
        <v>90</v>
      </c>
      <c r="C273" t="s">
        <v>701</v>
      </c>
      <c r="G273" s="51">
        <v>45239</v>
      </c>
      <c r="I273" s="24">
        <v>-9000</v>
      </c>
      <c r="K273" t="s">
        <v>702</v>
      </c>
      <c r="L273">
        <v>2311092110</v>
      </c>
      <c r="M273" t="s">
        <v>91</v>
      </c>
      <c r="N273" t="s">
        <v>91</v>
      </c>
      <c r="O273" t="s">
        <v>136</v>
      </c>
      <c r="P273" t="s">
        <v>97</v>
      </c>
      <c r="R273" t="s">
        <v>703</v>
      </c>
      <c r="T273" s="24">
        <v>-39211534</v>
      </c>
    </row>
    <row r="274" spans="1:24" x14ac:dyDescent="0.3">
      <c r="A274" s="36">
        <v>45240</v>
      </c>
      <c r="B274" t="s">
        <v>90</v>
      </c>
      <c r="C274" t="s">
        <v>704</v>
      </c>
      <c r="G274" s="51">
        <v>45240</v>
      </c>
      <c r="J274" s="24">
        <v>3600000</v>
      </c>
      <c r="K274" t="s">
        <v>705</v>
      </c>
      <c r="L274">
        <v>2311092314</v>
      </c>
      <c r="M274" t="s">
        <v>91</v>
      </c>
      <c r="N274" t="s">
        <v>91</v>
      </c>
      <c r="P274" t="s">
        <v>137</v>
      </c>
      <c r="R274">
        <v>970422857149</v>
      </c>
      <c r="T274" s="24">
        <v>-35611534</v>
      </c>
      <c r="X274" t="s">
        <v>92</v>
      </c>
    </row>
    <row r="275" spans="1:24" x14ac:dyDescent="0.3">
      <c r="A275" s="36">
        <v>45240</v>
      </c>
      <c r="B275" t="s">
        <v>90</v>
      </c>
      <c r="C275" t="s">
        <v>706</v>
      </c>
      <c r="G275" s="51">
        <v>45240</v>
      </c>
      <c r="J275" s="24">
        <v>900000</v>
      </c>
      <c r="K275" t="s">
        <v>707</v>
      </c>
      <c r="L275">
        <v>2311092320</v>
      </c>
      <c r="M275" t="s">
        <v>91</v>
      </c>
      <c r="N275" t="s">
        <v>91</v>
      </c>
      <c r="P275" t="s">
        <v>137</v>
      </c>
      <c r="R275">
        <v>970422196146</v>
      </c>
      <c r="T275" s="24">
        <v>-34711534</v>
      </c>
      <c r="X275" t="s">
        <v>92</v>
      </c>
    </row>
    <row r="276" spans="1:24" x14ac:dyDescent="0.3">
      <c r="A276" s="36">
        <v>45240</v>
      </c>
      <c r="B276" t="s">
        <v>90</v>
      </c>
      <c r="C276" t="s">
        <v>708</v>
      </c>
      <c r="G276" s="51">
        <v>45240</v>
      </c>
      <c r="I276" s="24">
        <v>-3000000</v>
      </c>
      <c r="K276" t="s">
        <v>135</v>
      </c>
      <c r="L276">
        <v>2311092353</v>
      </c>
      <c r="M276" t="s">
        <v>91</v>
      </c>
      <c r="N276" t="s">
        <v>91</v>
      </c>
      <c r="O276" t="s">
        <v>136</v>
      </c>
      <c r="P276" t="s">
        <v>137</v>
      </c>
      <c r="R276" t="s">
        <v>709</v>
      </c>
      <c r="T276" s="24">
        <v>-37711534</v>
      </c>
      <c r="X276" t="s">
        <v>92</v>
      </c>
    </row>
    <row r="277" spans="1:24" x14ac:dyDescent="0.3">
      <c r="A277" s="36">
        <v>45240</v>
      </c>
      <c r="B277" t="s">
        <v>90</v>
      </c>
      <c r="C277" t="s">
        <v>710</v>
      </c>
      <c r="G277" s="51">
        <v>45240</v>
      </c>
      <c r="J277" s="24">
        <v>5911200</v>
      </c>
      <c r="K277" t="s">
        <v>711</v>
      </c>
      <c r="L277">
        <v>2311101441</v>
      </c>
      <c r="M277" t="s">
        <v>91</v>
      </c>
      <c r="N277" t="s">
        <v>91</v>
      </c>
      <c r="P277" t="s">
        <v>137</v>
      </c>
      <c r="R277">
        <v>970422509553</v>
      </c>
      <c r="T277" s="24">
        <v>-31800334</v>
      </c>
      <c r="X277" t="s">
        <v>92</v>
      </c>
    </row>
    <row r="278" spans="1:24" x14ac:dyDescent="0.3">
      <c r="A278" s="36">
        <v>45240</v>
      </c>
      <c r="B278" t="s">
        <v>90</v>
      </c>
      <c r="C278" t="s">
        <v>712</v>
      </c>
      <c r="G278" s="51">
        <v>45240</v>
      </c>
      <c r="I278" s="24">
        <v>-4200000</v>
      </c>
      <c r="K278" t="s">
        <v>135</v>
      </c>
      <c r="L278">
        <v>2311101444</v>
      </c>
      <c r="M278" t="s">
        <v>91</v>
      </c>
      <c r="N278" t="s">
        <v>91</v>
      </c>
      <c r="O278" t="s">
        <v>136</v>
      </c>
      <c r="P278" t="s">
        <v>137</v>
      </c>
      <c r="R278" t="s">
        <v>713</v>
      </c>
      <c r="T278" s="24">
        <v>-36000334</v>
      </c>
    </row>
    <row r="279" spans="1:24" x14ac:dyDescent="0.3">
      <c r="A279" s="36">
        <v>45240</v>
      </c>
      <c r="B279" t="s">
        <v>90</v>
      </c>
      <c r="C279" t="s">
        <v>714</v>
      </c>
      <c r="G279" s="51">
        <v>45240</v>
      </c>
      <c r="I279" s="24">
        <v>-3500000</v>
      </c>
      <c r="K279" t="s">
        <v>135</v>
      </c>
      <c r="L279">
        <v>2311101448</v>
      </c>
      <c r="M279" t="s">
        <v>91</v>
      </c>
      <c r="N279" t="s">
        <v>91</v>
      </c>
      <c r="O279" t="s">
        <v>136</v>
      </c>
      <c r="P279" t="s">
        <v>137</v>
      </c>
      <c r="R279" t="s">
        <v>715</v>
      </c>
      <c r="T279" s="24">
        <v>-39500334</v>
      </c>
      <c r="X279" t="s">
        <v>92</v>
      </c>
    </row>
    <row r="280" spans="1:24" x14ac:dyDescent="0.3">
      <c r="A280" s="36">
        <v>45240</v>
      </c>
      <c r="B280" t="s">
        <v>90</v>
      </c>
      <c r="C280" t="s">
        <v>716</v>
      </c>
      <c r="G280" s="51">
        <v>45240</v>
      </c>
      <c r="I280" s="24">
        <v>-400000</v>
      </c>
      <c r="K280" t="s">
        <v>135</v>
      </c>
      <c r="L280">
        <v>2311101450</v>
      </c>
      <c r="M280" t="s">
        <v>91</v>
      </c>
      <c r="N280" t="s">
        <v>91</v>
      </c>
      <c r="O280" t="s">
        <v>136</v>
      </c>
      <c r="P280" t="s">
        <v>137</v>
      </c>
      <c r="R280" t="s">
        <v>717</v>
      </c>
      <c r="T280" s="24">
        <v>-39900334</v>
      </c>
      <c r="X280" t="s">
        <v>92</v>
      </c>
    </row>
    <row r="281" spans="1:24" x14ac:dyDescent="0.3">
      <c r="A281" s="36">
        <v>45240</v>
      </c>
      <c r="B281" t="s">
        <v>90</v>
      </c>
      <c r="C281" t="s">
        <v>718</v>
      </c>
      <c r="G281" s="51">
        <v>45240</v>
      </c>
      <c r="J281" s="24">
        <v>13100000</v>
      </c>
      <c r="K281" t="s">
        <v>719</v>
      </c>
      <c r="L281">
        <v>2311101901</v>
      </c>
      <c r="M281" t="s">
        <v>91</v>
      </c>
      <c r="N281" t="s">
        <v>91</v>
      </c>
      <c r="P281" t="s">
        <v>137</v>
      </c>
      <c r="R281">
        <v>686868033305</v>
      </c>
      <c r="T281" s="24">
        <v>-26800334</v>
      </c>
      <c r="X281" t="s">
        <v>92</v>
      </c>
    </row>
    <row r="282" spans="1:24" x14ac:dyDescent="0.3">
      <c r="A282" s="36">
        <v>45240</v>
      </c>
      <c r="B282" t="s">
        <v>90</v>
      </c>
      <c r="C282" t="s">
        <v>720</v>
      </c>
      <c r="G282" s="51">
        <v>45240</v>
      </c>
      <c r="J282" s="24">
        <v>3000000</v>
      </c>
      <c r="K282" t="s">
        <v>721</v>
      </c>
      <c r="L282">
        <v>2311102001</v>
      </c>
      <c r="M282" t="s">
        <v>91</v>
      </c>
      <c r="N282" t="s">
        <v>91</v>
      </c>
      <c r="P282" t="s">
        <v>137</v>
      </c>
      <c r="R282">
        <v>686868086927</v>
      </c>
      <c r="T282" s="24">
        <v>-23800334</v>
      </c>
      <c r="X282" t="s">
        <v>92</v>
      </c>
    </row>
    <row r="283" spans="1:24" x14ac:dyDescent="0.3">
      <c r="A283" s="36">
        <v>45240</v>
      </c>
      <c r="B283" t="s">
        <v>90</v>
      </c>
      <c r="C283" t="s">
        <v>722</v>
      </c>
      <c r="G283" s="51">
        <v>45240</v>
      </c>
      <c r="I283" s="24">
        <v>-794000</v>
      </c>
      <c r="K283" t="s">
        <v>135</v>
      </c>
      <c r="L283">
        <v>2311102029</v>
      </c>
      <c r="M283" t="s">
        <v>91</v>
      </c>
      <c r="N283" t="s">
        <v>91</v>
      </c>
      <c r="O283" t="s">
        <v>136</v>
      </c>
      <c r="P283" t="s">
        <v>137</v>
      </c>
      <c r="R283" t="s">
        <v>723</v>
      </c>
      <c r="T283" s="24">
        <v>-24594334</v>
      </c>
      <c r="X283" t="s">
        <v>92</v>
      </c>
    </row>
    <row r="284" spans="1:24" x14ac:dyDescent="0.3">
      <c r="A284" s="36">
        <v>45241</v>
      </c>
      <c r="B284" t="s">
        <v>90</v>
      </c>
      <c r="C284" t="s">
        <v>724</v>
      </c>
      <c r="G284" s="51">
        <v>45241</v>
      </c>
      <c r="I284" s="24">
        <v>-1000000</v>
      </c>
      <c r="K284" t="s">
        <v>135</v>
      </c>
      <c r="L284">
        <v>2311111059</v>
      </c>
      <c r="M284" t="s">
        <v>91</v>
      </c>
      <c r="N284" t="s">
        <v>91</v>
      </c>
      <c r="O284" t="s">
        <v>136</v>
      </c>
      <c r="P284" t="s">
        <v>137</v>
      </c>
      <c r="R284" t="s">
        <v>725</v>
      </c>
      <c r="T284" s="24">
        <v>-25594334</v>
      </c>
    </row>
    <row r="285" spans="1:24" x14ac:dyDescent="0.3">
      <c r="A285" s="36">
        <v>45241</v>
      </c>
      <c r="B285" t="s">
        <v>90</v>
      </c>
      <c r="C285" t="s">
        <v>726</v>
      </c>
      <c r="G285" s="51">
        <v>45241</v>
      </c>
      <c r="I285" s="24">
        <v>-3000000</v>
      </c>
      <c r="K285" t="s">
        <v>135</v>
      </c>
      <c r="L285">
        <v>2311111714</v>
      </c>
      <c r="M285" t="s">
        <v>91</v>
      </c>
      <c r="N285" t="s">
        <v>91</v>
      </c>
      <c r="O285" t="s">
        <v>136</v>
      </c>
      <c r="P285" t="s">
        <v>137</v>
      </c>
      <c r="R285" t="s">
        <v>727</v>
      </c>
      <c r="T285" s="24">
        <v>-28594334</v>
      </c>
      <c r="X285" t="s">
        <v>92</v>
      </c>
    </row>
    <row r="286" spans="1:24" x14ac:dyDescent="0.3">
      <c r="A286" s="36">
        <v>45241</v>
      </c>
      <c r="B286" t="s">
        <v>90</v>
      </c>
      <c r="C286" t="s">
        <v>728</v>
      </c>
      <c r="G286" s="51">
        <v>45241</v>
      </c>
      <c r="I286" s="24">
        <v>-11000000</v>
      </c>
      <c r="K286" t="s">
        <v>135</v>
      </c>
      <c r="L286">
        <v>2311111812</v>
      </c>
      <c r="M286" t="s">
        <v>91</v>
      </c>
      <c r="N286" t="s">
        <v>91</v>
      </c>
      <c r="O286" t="s">
        <v>136</v>
      </c>
      <c r="P286" t="s">
        <v>137</v>
      </c>
      <c r="R286" t="s">
        <v>729</v>
      </c>
      <c r="T286" s="24">
        <v>-39594334</v>
      </c>
      <c r="X286" t="s">
        <v>92</v>
      </c>
    </row>
    <row r="287" spans="1:24" x14ac:dyDescent="0.3">
      <c r="A287" s="36">
        <v>45243</v>
      </c>
      <c r="B287" t="s">
        <v>90</v>
      </c>
      <c r="C287" t="s">
        <v>730</v>
      </c>
      <c r="G287" s="51">
        <v>45243</v>
      </c>
      <c r="J287" s="24">
        <v>1010732</v>
      </c>
      <c r="K287" t="s">
        <v>731</v>
      </c>
      <c r="L287">
        <v>2311112345</v>
      </c>
      <c r="M287" t="s">
        <v>91</v>
      </c>
      <c r="N287" t="s">
        <v>91</v>
      </c>
      <c r="P287" t="s">
        <v>137</v>
      </c>
      <c r="R287">
        <v>970468716407</v>
      </c>
      <c r="T287" s="24">
        <v>-38583602</v>
      </c>
      <c r="X287" t="s">
        <v>92</v>
      </c>
    </row>
    <row r="288" spans="1:24" x14ac:dyDescent="0.3">
      <c r="A288" s="36">
        <v>45243</v>
      </c>
      <c r="B288" t="s">
        <v>90</v>
      </c>
      <c r="C288" t="s">
        <v>732</v>
      </c>
      <c r="G288" s="51">
        <v>45243</v>
      </c>
      <c r="J288" s="24">
        <v>2850000</v>
      </c>
      <c r="K288" t="s">
        <v>733</v>
      </c>
      <c r="L288">
        <v>2311121124</v>
      </c>
      <c r="M288" t="s">
        <v>91</v>
      </c>
      <c r="N288" t="s">
        <v>91</v>
      </c>
      <c r="P288" t="s">
        <v>137</v>
      </c>
      <c r="R288">
        <v>970422391414</v>
      </c>
      <c r="T288" s="24">
        <v>-35733602</v>
      </c>
      <c r="X288" t="s">
        <v>92</v>
      </c>
    </row>
    <row r="289" spans="1:24" x14ac:dyDescent="0.3">
      <c r="A289" s="36">
        <v>45243</v>
      </c>
      <c r="B289" t="s">
        <v>90</v>
      </c>
      <c r="C289" t="s">
        <v>734</v>
      </c>
      <c r="G289" s="51">
        <v>45243</v>
      </c>
      <c r="I289" s="24">
        <v>-1200000</v>
      </c>
      <c r="K289" t="s">
        <v>735</v>
      </c>
      <c r="L289">
        <v>2311121600</v>
      </c>
      <c r="M289" t="s">
        <v>91</v>
      </c>
      <c r="N289" t="s">
        <v>91</v>
      </c>
      <c r="O289" t="s">
        <v>136</v>
      </c>
      <c r="P289" t="s">
        <v>137</v>
      </c>
      <c r="R289" t="s">
        <v>736</v>
      </c>
      <c r="T289" s="24">
        <v>-36933602</v>
      </c>
      <c r="X289" t="s">
        <v>92</v>
      </c>
    </row>
    <row r="290" spans="1:24" x14ac:dyDescent="0.3">
      <c r="A290" s="36">
        <v>45243</v>
      </c>
      <c r="B290" t="s">
        <v>90</v>
      </c>
      <c r="C290" t="s">
        <v>737</v>
      </c>
      <c r="G290" s="51">
        <v>45243</v>
      </c>
      <c r="J290" s="24">
        <v>950000</v>
      </c>
      <c r="K290" t="s">
        <v>738</v>
      </c>
      <c r="L290">
        <v>2311122055</v>
      </c>
      <c r="M290" t="s">
        <v>91</v>
      </c>
      <c r="N290" t="s">
        <v>91</v>
      </c>
      <c r="P290" t="s">
        <v>137</v>
      </c>
      <c r="R290">
        <v>970422964525</v>
      </c>
      <c r="T290" s="24">
        <v>-35983602</v>
      </c>
      <c r="X290" t="s">
        <v>92</v>
      </c>
    </row>
    <row r="291" spans="1:24" x14ac:dyDescent="0.3">
      <c r="A291" s="36">
        <v>45243</v>
      </c>
      <c r="B291" t="s">
        <v>90</v>
      </c>
      <c r="C291" t="s">
        <v>739</v>
      </c>
      <c r="G291" s="51">
        <v>45243</v>
      </c>
      <c r="J291" s="24">
        <v>2183567</v>
      </c>
      <c r="K291" t="s">
        <v>740</v>
      </c>
      <c r="L291">
        <v>2311131433</v>
      </c>
      <c r="M291" t="s">
        <v>91</v>
      </c>
      <c r="N291" t="s">
        <v>91</v>
      </c>
      <c r="P291" t="s">
        <v>137</v>
      </c>
      <c r="R291">
        <v>888899645635</v>
      </c>
      <c r="T291" s="24">
        <v>-33800035</v>
      </c>
      <c r="X291" t="s">
        <v>92</v>
      </c>
    </row>
    <row r="292" spans="1:24" x14ac:dyDescent="0.3">
      <c r="A292" s="36">
        <v>45243</v>
      </c>
      <c r="B292" t="s">
        <v>90</v>
      </c>
      <c r="C292" t="s">
        <v>741</v>
      </c>
      <c r="G292" s="51">
        <v>45243</v>
      </c>
      <c r="J292" s="24">
        <v>10484000</v>
      </c>
      <c r="K292" t="s">
        <v>742</v>
      </c>
      <c r="L292">
        <v>2311131711</v>
      </c>
      <c r="M292" t="s">
        <v>91</v>
      </c>
      <c r="N292" t="s">
        <v>91</v>
      </c>
      <c r="P292" t="s">
        <v>137</v>
      </c>
      <c r="R292">
        <v>970422412159</v>
      </c>
      <c r="T292" s="24">
        <v>-23316035</v>
      </c>
      <c r="X292" t="s">
        <v>92</v>
      </c>
    </row>
    <row r="293" spans="1:24" x14ac:dyDescent="0.3">
      <c r="A293" s="36">
        <v>45243</v>
      </c>
      <c r="B293" t="s">
        <v>90</v>
      </c>
      <c r="C293" t="s">
        <v>743</v>
      </c>
      <c r="G293" s="51">
        <v>45243</v>
      </c>
      <c r="I293" s="24">
        <v>-10500000</v>
      </c>
      <c r="K293" t="s">
        <v>744</v>
      </c>
      <c r="L293">
        <v>2311131712</v>
      </c>
      <c r="M293" t="s">
        <v>91</v>
      </c>
      <c r="N293" t="s">
        <v>91</v>
      </c>
      <c r="O293" t="s">
        <v>136</v>
      </c>
      <c r="P293" t="s">
        <v>137</v>
      </c>
      <c r="R293" t="s">
        <v>745</v>
      </c>
      <c r="T293" s="24">
        <v>-33816035</v>
      </c>
      <c r="X293" t="s">
        <v>92</v>
      </c>
    </row>
    <row r="294" spans="1:24" x14ac:dyDescent="0.3">
      <c r="A294" s="36">
        <v>45244</v>
      </c>
      <c r="B294" t="s">
        <v>90</v>
      </c>
      <c r="C294" t="s">
        <v>746</v>
      </c>
      <c r="G294" s="51">
        <v>45244</v>
      </c>
      <c r="I294" s="24">
        <v>-2183500</v>
      </c>
      <c r="K294" t="s">
        <v>135</v>
      </c>
      <c r="L294">
        <v>2311140652</v>
      </c>
      <c r="M294" t="s">
        <v>91</v>
      </c>
      <c r="N294" t="s">
        <v>91</v>
      </c>
      <c r="O294" t="s">
        <v>136</v>
      </c>
      <c r="P294" t="s">
        <v>137</v>
      </c>
      <c r="R294" t="s">
        <v>747</v>
      </c>
      <c r="T294" s="24">
        <v>-35999535</v>
      </c>
      <c r="X294" t="s">
        <v>92</v>
      </c>
    </row>
    <row r="295" spans="1:24" x14ac:dyDescent="0.3">
      <c r="A295" s="36">
        <v>45244</v>
      </c>
      <c r="B295" t="s">
        <v>90</v>
      </c>
      <c r="C295" t="s">
        <v>748</v>
      </c>
      <c r="G295" s="51">
        <v>45244</v>
      </c>
      <c r="I295" s="24">
        <v>-2300000</v>
      </c>
      <c r="K295" t="s">
        <v>135</v>
      </c>
      <c r="L295">
        <v>2311141009</v>
      </c>
      <c r="M295" t="s">
        <v>91</v>
      </c>
      <c r="N295" t="s">
        <v>91</v>
      </c>
      <c r="O295" t="s">
        <v>136</v>
      </c>
      <c r="P295" t="s">
        <v>137</v>
      </c>
      <c r="R295" t="s">
        <v>749</v>
      </c>
      <c r="T295" s="24">
        <v>-38299535</v>
      </c>
      <c r="X295" t="s">
        <v>92</v>
      </c>
    </row>
    <row r="296" spans="1:24" x14ac:dyDescent="0.3">
      <c r="A296" s="36">
        <v>45244</v>
      </c>
      <c r="B296" t="s">
        <v>90</v>
      </c>
      <c r="C296" t="s">
        <v>750</v>
      </c>
      <c r="G296" s="51">
        <v>45244</v>
      </c>
      <c r="J296" s="24">
        <v>10000000</v>
      </c>
      <c r="K296" t="s">
        <v>751</v>
      </c>
      <c r="L296">
        <v>2311141800</v>
      </c>
      <c r="M296" t="s">
        <v>91</v>
      </c>
      <c r="N296" t="s">
        <v>91</v>
      </c>
      <c r="P296" t="s">
        <v>137</v>
      </c>
      <c r="R296">
        <v>970416820859</v>
      </c>
      <c r="T296" s="24">
        <v>-28299535</v>
      </c>
      <c r="X296" t="s">
        <v>92</v>
      </c>
    </row>
    <row r="297" spans="1:24" x14ac:dyDescent="0.3">
      <c r="A297" s="36">
        <v>45244</v>
      </c>
      <c r="B297" t="s">
        <v>90</v>
      </c>
      <c r="C297" t="s">
        <v>752</v>
      </c>
      <c r="G297" s="51">
        <v>45244</v>
      </c>
      <c r="I297" s="24">
        <v>-3378400</v>
      </c>
      <c r="K297" t="s">
        <v>753</v>
      </c>
      <c r="L297">
        <v>2311141929</v>
      </c>
      <c r="M297" t="s">
        <v>91</v>
      </c>
      <c r="N297" t="s">
        <v>91</v>
      </c>
      <c r="O297" t="s">
        <v>136</v>
      </c>
      <c r="P297" t="s">
        <v>137</v>
      </c>
      <c r="R297" t="s">
        <v>754</v>
      </c>
      <c r="T297" s="24">
        <v>-31677935</v>
      </c>
      <c r="X297" t="s">
        <v>92</v>
      </c>
    </row>
    <row r="298" spans="1:24" x14ac:dyDescent="0.3">
      <c r="A298" s="36">
        <v>45245</v>
      </c>
      <c r="B298" t="s">
        <v>90</v>
      </c>
      <c r="C298" t="s">
        <v>755</v>
      </c>
      <c r="G298" s="51">
        <v>45245</v>
      </c>
      <c r="I298" s="24">
        <v>-3000000</v>
      </c>
      <c r="K298" t="s">
        <v>135</v>
      </c>
      <c r="L298">
        <v>2311142130</v>
      </c>
      <c r="M298" t="s">
        <v>91</v>
      </c>
      <c r="N298" t="s">
        <v>91</v>
      </c>
      <c r="O298" t="s">
        <v>136</v>
      </c>
      <c r="P298" t="s">
        <v>137</v>
      </c>
      <c r="R298" t="s">
        <v>756</v>
      </c>
      <c r="T298" s="24">
        <v>-34677935</v>
      </c>
      <c r="X298" t="s">
        <v>92</v>
      </c>
    </row>
    <row r="299" spans="1:24" x14ac:dyDescent="0.3">
      <c r="A299" s="36">
        <v>45245</v>
      </c>
      <c r="B299" t="s">
        <v>90</v>
      </c>
      <c r="C299" t="s">
        <v>757</v>
      </c>
      <c r="G299" s="51">
        <v>45245</v>
      </c>
      <c r="I299" s="24">
        <v>-1511193</v>
      </c>
      <c r="K299" t="s">
        <v>758</v>
      </c>
      <c r="L299">
        <v>2311151100</v>
      </c>
      <c r="M299" t="s">
        <v>91</v>
      </c>
      <c r="N299" t="s">
        <v>91</v>
      </c>
      <c r="O299" t="s">
        <v>136</v>
      </c>
      <c r="P299" t="s">
        <v>137</v>
      </c>
      <c r="R299" t="s">
        <v>759</v>
      </c>
      <c r="T299" s="24">
        <v>-36189128</v>
      </c>
    </row>
    <row r="300" spans="1:24" x14ac:dyDescent="0.3">
      <c r="A300" s="36">
        <v>45247</v>
      </c>
      <c r="B300" t="s">
        <v>90</v>
      </c>
      <c r="C300" t="s">
        <v>760</v>
      </c>
      <c r="G300" s="51">
        <v>45247</v>
      </c>
      <c r="I300" s="24">
        <v>-240364</v>
      </c>
      <c r="K300" t="s">
        <v>761</v>
      </c>
      <c r="L300">
        <v>2311171808</v>
      </c>
      <c r="M300" t="s">
        <v>91</v>
      </c>
      <c r="N300" t="s">
        <v>91</v>
      </c>
      <c r="O300" t="s">
        <v>136</v>
      </c>
      <c r="P300" t="s">
        <v>137</v>
      </c>
      <c r="R300" t="s">
        <v>762</v>
      </c>
      <c r="T300" s="24">
        <v>-36429492</v>
      </c>
      <c r="X300" t="s">
        <v>92</v>
      </c>
    </row>
    <row r="301" spans="1:24" x14ac:dyDescent="0.3">
      <c r="A301" s="36">
        <v>45248</v>
      </c>
      <c r="B301" t="s">
        <v>90</v>
      </c>
      <c r="C301" t="s">
        <v>763</v>
      </c>
      <c r="G301" s="51">
        <v>45248</v>
      </c>
      <c r="I301" s="24">
        <v>-2473500</v>
      </c>
      <c r="K301">
        <v>2.0559070570161201E+19</v>
      </c>
      <c r="L301">
        <v>2311181254</v>
      </c>
      <c r="M301" t="s">
        <v>91</v>
      </c>
      <c r="N301" t="s">
        <v>91</v>
      </c>
      <c r="O301" t="s">
        <v>136</v>
      </c>
      <c r="P301" t="s">
        <v>137</v>
      </c>
      <c r="R301" t="s">
        <v>764</v>
      </c>
      <c r="T301" s="24">
        <v>-38902992</v>
      </c>
      <c r="X301" t="s">
        <v>92</v>
      </c>
    </row>
    <row r="302" spans="1:24" x14ac:dyDescent="0.3">
      <c r="A302" s="36">
        <v>45250</v>
      </c>
      <c r="B302" t="s">
        <v>90</v>
      </c>
      <c r="C302" t="s">
        <v>765</v>
      </c>
      <c r="G302" s="51">
        <v>45250</v>
      </c>
      <c r="J302" s="24">
        <v>4000000</v>
      </c>
      <c r="K302" t="s">
        <v>766</v>
      </c>
      <c r="L302">
        <v>2311182046</v>
      </c>
      <c r="M302" t="s">
        <v>91</v>
      </c>
      <c r="N302" t="s">
        <v>91</v>
      </c>
      <c r="P302" t="s">
        <v>137</v>
      </c>
      <c r="R302">
        <v>970415983098</v>
      </c>
      <c r="T302" s="24">
        <v>-34902992</v>
      </c>
      <c r="X302" t="s">
        <v>92</v>
      </c>
    </row>
    <row r="303" spans="1:24" x14ac:dyDescent="0.3">
      <c r="A303" s="36">
        <v>45250</v>
      </c>
      <c r="B303" t="s">
        <v>90</v>
      </c>
      <c r="C303" t="s">
        <v>767</v>
      </c>
      <c r="G303" s="51">
        <v>45250</v>
      </c>
      <c r="I303" s="24">
        <v>-4944000</v>
      </c>
      <c r="K303">
        <v>2.0559190086985998E+19</v>
      </c>
      <c r="L303">
        <v>2311182050</v>
      </c>
      <c r="M303" t="s">
        <v>91</v>
      </c>
      <c r="N303" t="s">
        <v>91</v>
      </c>
      <c r="O303" t="s">
        <v>136</v>
      </c>
      <c r="P303" t="s">
        <v>137</v>
      </c>
      <c r="R303" t="s">
        <v>768</v>
      </c>
      <c r="T303" s="24">
        <v>-39846992</v>
      </c>
      <c r="X303" t="s">
        <v>92</v>
      </c>
    </row>
    <row r="304" spans="1:24" x14ac:dyDescent="0.3">
      <c r="A304" s="36">
        <v>45251</v>
      </c>
      <c r="B304" t="s">
        <v>90</v>
      </c>
      <c r="C304" t="s">
        <v>769</v>
      </c>
      <c r="G304" s="51">
        <v>45251</v>
      </c>
      <c r="J304" s="24">
        <v>68000</v>
      </c>
      <c r="K304" t="s">
        <v>135</v>
      </c>
      <c r="L304">
        <v>2311211841</v>
      </c>
      <c r="M304" t="s">
        <v>91</v>
      </c>
      <c r="N304" t="s">
        <v>91</v>
      </c>
      <c r="O304" t="s">
        <v>136</v>
      </c>
      <c r="P304" t="s">
        <v>137</v>
      </c>
      <c r="R304" t="s">
        <v>770</v>
      </c>
      <c r="T304" s="24">
        <v>-39778992</v>
      </c>
    </row>
    <row r="305" spans="1:24" x14ac:dyDescent="0.3">
      <c r="A305" s="36">
        <v>45251</v>
      </c>
      <c r="B305" t="s">
        <v>90</v>
      </c>
      <c r="C305" t="s">
        <v>771</v>
      </c>
      <c r="G305" s="51">
        <v>45251</v>
      </c>
      <c r="I305" s="24">
        <v>-200000</v>
      </c>
      <c r="K305" t="s">
        <v>135</v>
      </c>
      <c r="L305">
        <v>2311211842</v>
      </c>
      <c r="M305" t="s">
        <v>91</v>
      </c>
      <c r="N305" t="s">
        <v>91</v>
      </c>
      <c r="O305" t="s">
        <v>136</v>
      </c>
      <c r="P305" t="s">
        <v>137</v>
      </c>
      <c r="R305" t="s">
        <v>772</v>
      </c>
      <c r="T305" s="24">
        <v>-39978992</v>
      </c>
      <c r="X305" t="s">
        <v>92</v>
      </c>
    </row>
    <row r="306" spans="1:24" x14ac:dyDescent="0.3">
      <c r="A306" s="36">
        <v>45255</v>
      </c>
      <c r="B306" t="s">
        <v>90</v>
      </c>
      <c r="C306" t="s">
        <v>773</v>
      </c>
      <c r="G306" s="51">
        <v>45255</v>
      </c>
      <c r="J306" s="24">
        <v>918799</v>
      </c>
      <c r="K306" t="s">
        <v>774</v>
      </c>
      <c r="L306">
        <v>2311250809</v>
      </c>
      <c r="M306" t="s">
        <v>91</v>
      </c>
      <c r="N306" t="s">
        <v>91</v>
      </c>
      <c r="P306" t="s">
        <v>137</v>
      </c>
      <c r="R306">
        <v>970416658571</v>
      </c>
      <c r="T306" s="24">
        <v>-39060193</v>
      </c>
      <c r="X306" t="s">
        <v>92</v>
      </c>
    </row>
    <row r="307" spans="1:24" x14ac:dyDescent="0.3">
      <c r="A307" s="36">
        <v>45255</v>
      </c>
      <c r="B307" t="s">
        <v>90</v>
      </c>
      <c r="C307" t="s">
        <v>775</v>
      </c>
      <c r="G307" s="51">
        <v>45255</v>
      </c>
      <c r="I307" s="24">
        <v>-900000</v>
      </c>
      <c r="K307" t="s">
        <v>135</v>
      </c>
      <c r="L307">
        <v>2311250810</v>
      </c>
      <c r="M307" t="s">
        <v>91</v>
      </c>
      <c r="N307" t="s">
        <v>91</v>
      </c>
      <c r="O307" t="s">
        <v>136</v>
      </c>
      <c r="P307" t="s">
        <v>137</v>
      </c>
      <c r="R307" t="s">
        <v>776</v>
      </c>
      <c r="T307" s="24">
        <v>-39960193</v>
      </c>
      <c r="X307" t="s">
        <v>92</v>
      </c>
    </row>
    <row r="308" spans="1:24" x14ac:dyDescent="0.3">
      <c r="A308" s="36">
        <v>45257</v>
      </c>
      <c r="B308" t="s">
        <v>90</v>
      </c>
      <c r="C308" t="s">
        <v>777</v>
      </c>
      <c r="G308" s="51">
        <v>45257</v>
      </c>
      <c r="J308" s="24">
        <v>3491231</v>
      </c>
      <c r="K308" t="s">
        <v>778</v>
      </c>
      <c r="L308">
        <v>2311270914</v>
      </c>
      <c r="M308" t="s">
        <v>91</v>
      </c>
      <c r="N308" t="s">
        <v>91</v>
      </c>
      <c r="P308" t="s">
        <v>137</v>
      </c>
      <c r="R308">
        <v>888899969947</v>
      </c>
      <c r="T308" s="24">
        <v>-36468962</v>
      </c>
      <c r="X308" t="s">
        <v>92</v>
      </c>
    </row>
    <row r="309" spans="1:24" x14ac:dyDescent="0.3">
      <c r="A309" s="36">
        <v>45257</v>
      </c>
      <c r="B309" t="s">
        <v>90</v>
      </c>
      <c r="C309" t="s">
        <v>779</v>
      </c>
      <c r="G309" s="51">
        <v>45257</v>
      </c>
      <c r="I309" s="24">
        <v>-3491000</v>
      </c>
      <c r="K309" t="s">
        <v>780</v>
      </c>
      <c r="L309">
        <v>2311270944</v>
      </c>
      <c r="M309" t="s">
        <v>91</v>
      </c>
      <c r="N309" t="s">
        <v>91</v>
      </c>
      <c r="O309" t="s">
        <v>136</v>
      </c>
      <c r="P309" t="s">
        <v>137</v>
      </c>
      <c r="R309" t="s">
        <v>781</v>
      </c>
      <c r="T309" s="24">
        <v>-39959962</v>
      </c>
      <c r="X309" t="s">
        <v>92</v>
      </c>
    </row>
    <row r="310" spans="1:24" x14ac:dyDescent="0.3">
      <c r="A310" s="36">
        <v>45257</v>
      </c>
      <c r="B310" t="s">
        <v>90</v>
      </c>
      <c r="C310" t="s">
        <v>782</v>
      </c>
      <c r="G310" s="51">
        <v>45257</v>
      </c>
      <c r="J310" s="24">
        <v>2200000</v>
      </c>
      <c r="K310" t="s">
        <v>783</v>
      </c>
      <c r="L310">
        <v>2311271405</v>
      </c>
      <c r="M310" t="s">
        <v>91</v>
      </c>
      <c r="N310" t="s">
        <v>91</v>
      </c>
      <c r="P310" t="s">
        <v>137</v>
      </c>
      <c r="R310">
        <v>970422167558</v>
      </c>
      <c r="T310" s="24">
        <v>-37759962</v>
      </c>
      <c r="X310" t="s">
        <v>92</v>
      </c>
    </row>
    <row r="311" spans="1:24" x14ac:dyDescent="0.3">
      <c r="A311" s="36">
        <v>45257</v>
      </c>
      <c r="B311" t="s">
        <v>90</v>
      </c>
      <c r="C311" t="s">
        <v>784</v>
      </c>
      <c r="G311" s="51">
        <v>45257</v>
      </c>
      <c r="J311" s="24">
        <v>200000</v>
      </c>
      <c r="K311" t="s">
        <v>785</v>
      </c>
      <c r="L311">
        <v>2311271408</v>
      </c>
      <c r="M311" t="s">
        <v>91</v>
      </c>
      <c r="N311" t="s">
        <v>91</v>
      </c>
      <c r="P311" t="s">
        <v>137</v>
      </c>
      <c r="R311">
        <v>970422175922</v>
      </c>
      <c r="T311" s="24">
        <v>-37559962</v>
      </c>
      <c r="X311" t="s">
        <v>92</v>
      </c>
    </row>
    <row r="312" spans="1:24" x14ac:dyDescent="0.3">
      <c r="A312" s="36">
        <v>45257</v>
      </c>
      <c r="B312" t="s">
        <v>90</v>
      </c>
      <c r="C312" t="s">
        <v>786</v>
      </c>
      <c r="G312" s="51">
        <v>45257</v>
      </c>
      <c r="I312" s="24">
        <v>-2000000</v>
      </c>
      <c r="K312">
        <v>2.0562367381565399E+19</v>
      </c>
      <c r="L312">
        <v>2311271515</v>
      </c>
      <c r="M312" t="s">
        <v>91</v>
      </c>
      <c r="N312" t="s">
        <v>91</v>
      </c>
      <c r="O312" t="s">
        <v>136</v>
      </c>
      <c r="P312" t="s">
        <v>137</v>
      </c>
      <c r="R312" t="s">
        <v>787</v>
      </c>
      <c r="T312" s="24">
        <v>-39559962</v>
      </c>
      <c r="X312" t="s">
        <v>92</v>
      </c>
    </row>
    <row r="313" spans="1:24" x14ac:dyDescent="0.3">
      <c r="A313" s="36">
        <v>45257</v>
      </c>
      <c r="B313" t="s">
        <v>90</v>
      </c>
      <c r="C313" t="s">
        <v>788</v>
      </c>
      <c r="G313" s="51">
        <v>45257</v>
      </c>
      <c r="I313" s="24">
        <v>-440038</v>
      </c>
      <c r="K313" t="s">
        <v>94</v>
      </c>
      <c r="L313">
        <v>2311271954</v>
      </c>
      <c r="M313" t="s">
        <v>66</v>
      </c>
      <c r="N313" t="s">
        <v>66</v>
      </c>
      <c r="O313" t="s">
        <v>136</v>
      </c>
      <c r="P313" t="s">
        <v>137</v>
      </c>
      <c r="T313" s="24">
        <v>-40000000</v>
      </c>
    </row>
    <row r="314" spans="1:24" x14ac:dyDescent="0.3">
      <c r="A314" s="36">
        <v>45257</v>
      </c>
      <c r="B314" t="s">
        <v>90</v>
      </c>
      <c r="C314" t="s">
        <v>789</v>
      </c>
      <c r="G314" s="51">
        <v>45257</v>
      </c>
      <c r="J314" s="24">
        <v>1600000</v>
      </c>
      <c r="K314" t="s">
        <v>790</v>
      </c>
      <c r="L314">
        <v>2311272040</v>
      </c>
      <c r="M314" t="s">
        <v>91</v>
      </c>
      <c r="N314" t="s">
        <v>91</v>
      </c>
      <c r="P314" t="s">
        <v>137</v>
      </c>
      <c r="R314">
        <v>970454610033</v>
      </c>
      <c r="T314" s="24">
        <v>-38400000</v>
      </c>
      <c r="X314" t="s">
        <v>92</v>
      </c>
    </row>
    <row r="315" spans="1:24" x14ac:dyDescent="0.3">
      <c r="A315" s="36">
        <v>45258</v>
      </c>
      <c r="B315" t="s">
        <v>90</v>
      </c>
      <c r="C315" t="s">
        <v>791</v>
      </c>
      <c r="G315" s="51">
        <v>45258</v>
      </c>
      <c r="J315" s="24">
        <v>2000000</v>
      </c>
      <c r="K315" t="s">
        <v>792</v>
      </c>
      <c r="L315">
        <v>2311272329</v>
      </c>
      <c r="M315" t="s">
        <v>91</v>
      </c>
      <c r="N315" t="s">
        <v>91</v>
      </c>
      <c r="P315" t="s">
        <v>137</v>
      </c>
      <c r="R315">
        <v>970422749344</v>
      </c>
      <c r="T315" s="24">
        <v>-36400000</v>
      </c>
      <c r="X315" t="s">
        <v>92</v>
      </c>
    </row>
    <row r="316" spans="1:24" x14ac:dyDescent="0.3">
      <c r="A316" s="36">
        <v>45258</v>
      </c>
      <c r="B316" t="s">
        <v>90</v>
      </c>
      <c r="C316" t="s">
        <v>793</v>
      </c>
      <c r="G316" s="51">
        <v>45258</v>
      </c>
      <c r="I316" s="24">
        <v>-2000000</v>
      </c>
      <c r="K316" t="s">
        <v>135</v>
      </c>
      <c r="L316">
        <v>2311280838</v>
      </c>
      <c r="M316" t="s">
        <v>91</v>
      </c>
      <c r="N316" t="s">
        <v>91</v>
      </c>
      <c r="O316" t="s">
        <v>136</v>
      </c>
      <c r="P316" t="s">
        <v>137</v>
      </c>
      <c r="R316" t="s">
        <v>794</v>
      </c>
      <c r="T316" s="24">
        <v>-38400000</v>
      </c>
      <c r="X316" t="s">
        <v>92</v>
      </c>
    </row>
    <row r="317" spans="1:24" x14ac:dyDescent="0.3">
      <c r="A317" s="36">
        <v>45258</v>
      </c>
      <c r="B317" t="s">
        <v>90</v>
      </c>
      <c r="C317" t="s">
        <v>795</v>
      </c>
      <c r="G317" s="51">
        <v>45258</v>
      </c>
      <c r="I317" s="24">
        <v>-137000</v>
      </c>
      <c r="K317" t="s">
        <v>620</v>
      </c>
      <c r="L317">
        <v>2311281106</v>
      </c>
      <c r="M317" t="s">
        <v>91</v>
      </c>
      <c r="N317" t="s">
        <v>91</v>
      </c>
      <c r="O317" t="s">
        <v>136</v>
      </c>
      <c r="P317" t="s">
        <v>137</v>
      </c>
      <c r="R317" t="s">
        <v>796</v>
      </c>
      <c r="T317" s="24">
        <v>-38537000</v>
      </c>
      <c r="X317" t="s">
        <v>92</v>
      </c>
    </row>
    <row r="318" spans="1:24" x14ac:dyDescent="0.3">
      <c r="A318" s="36">
        <v>45258</v>
      </c>
      <c r="B318" t="s">
        <v>90</v>
      </c>
      <c r="C318" t="s">
        <v>797</v>
      </c>
      <c r="G318" s="51">
        <v>45258</v>
      </c>
      <c r="I318" s="24">
        <v>-461466</v>
      </c>
      <c r="K318" t="s">
        <v>94</v>
      </c>
      <c r="L318">
        <v>2311281933</v>
      </c>
      <c r="M318" t="s">
        <v>66</v>
      </c>
      <c r="N318" t="s">
        <v>66</v>
      </c>
      <c r="O318" t="s">
        <v>136</v>
      </c>
      <c r="P318" t="s">
        <v>137</v>
      </c>
      <c r="T318" s="24">
        <v>-38998466</v>
      </c>
    </row>
    <row r="319" spans="1:24" x14ac:dyDescent="0.3">
      <c r="A319" s="36">
        <v>45258</v>
      </c>
      <c r="B319" t="s">
        <v>90</v>
      </c>
      <c r="C319" t="s">
        <v>798</v>
      </c>
      <c r="G319" s="51">
        <v>45258</v>
      </c>
      <c r="J319" s="24">
        <v>3850000</v>
      </c>
      <c r="K319" t="s">
        <v>799</v>
      </c>
      <c r="L319">
        <v>2311282042</v>
      </c>
      <c r="M319" t="s">
        <v>91</v>
      </c>
      <c r="N319" t="s">
        <v>91</v>
      </c>
      <c r="P319" t="s">
        <v>137</v>
      </c>
      <c r="R319">
        <v>970422701672</v>
      </c>
      <c r="T319" s="24">
        <v>-35148466</v>
      </c>
      <c r="X319" t="s">
        <v>92</v>
      </c>
    </row>
    <row r="320" spans="1:24" x14ac:dyDescent="0.3">
      <c r="A320" s="36">
        <v>45259</v>
      </c>
      <c r="B320" t="s">
        <v>90</v>
      </c>
      <c r="C320" t="s">
        <v>800</v>
      </c>
      <c r="G320" s="51">
        <v>45259</v>
      </c>
      <c r="I320" s="24">
        <v>-3000000</v>
      </c>
      <c r="K320">
        <v>2.0563076074748899E+19</v>
      </c>
      <c r="L320">
        <v>2311291410</v>
      </c>
      <c r="M320" t="s">
        <v>91</v>
      </c>
      <c r="N320" t="s">
        <v>91</v>
      </c>
      <c r="O320" t="s">
        <v>136</v>
      </c>
      <c r="P320" t="s">
        <v>137</v>
      </c>
      <c r="R320" t="s">
        <v>801</v>
      </c>
      <c r="T320" s="24">
        <v>-38148466</v>
      </c>
      <c r="X320" t="s">
        <v>92</v>
      </c>
    </row>
    <row r="321" spans="1:24" x14ac:dyDescent="0.3">
      <c r="A321" s="36">
        <v>45259</v>
      </c>
      <c r="B321" t="s">
        <v>90</v>
      </c>
      <c r="C321" t="s">
        <v>802</v>
      </c>
      <c r="G321" s="51">
        <v>45259</v>
      </c>
      <c r="J321" s="24">
        <v>1000000</v>
      </c>
      <c r="K321" t="s">
        <v>803</v>
      </c>
      <c r="L321">
        <v>2311291443</v>
      </c>
      <c r="M321" t="s">
        <v>91</v>
      </c>
      <c r="N321" t="s">
        <v>91</v>
      </c>
      <c r="P321" t="s">
        <v>137</v>
      </c>
      <c r="R321">
        <v>970422399788</v>
      </c>
      <c r="T321" s="24">
        <v>-37148466</v>
      </c>
      <c r="X321" t="s">
        <v>92</v>
      </c>
    </row>
    <row r="322" spans="1:24" x14ac:dyDescent="0.3">
      <c r="A322" s="36">
        <v>45259</v>
      </c>
      <c r="B322" t="s">
        <v>90</v>
      </c>
      <c r="C322" t="s">
        <v>804</v>
      </c>
      <c r="G322" s="51">
        <v>45259</v>
      </c>
      <c r="I322" s="24">
        <v>-2000000</v>
      </c>
      <c r="K322" t="s">
        <v>805</v>
      </c>
      <c r="L322">
        <v>2311291513</v>
      </c>
      <c r="M322" t="s">
        <v>91</v>
      </c>
      <c r="N322" t="s">
        <v>91</v>
      </c>
      <c r="O322" t="s">
        <v>136</v>
      </c>
      <c r="P322" t="s">
        <v>137</v>
      </c>
      <c r="R322" t="s">
        <v>806</v>
      </c>
      <c r="T322" s="24">
        <v>-39148466</v>
      </c>
      <c r="X322" t="s">
        <v>92</v>
      </c>
    </row>
    <row r="323" spans="1:24" x14ac:dyDescent="0.3">
      <c r="A323" s="36">
        <v>45259</v>
      </c>
      <c r="B323" t="s">
        <v>90</v>
      </c>
      <c r="C323" t="s">
        <v>807</v>
      </c>
      <c r="G323" s="51">
        <v>45259</v>
      </c>
      <c r="I323" s="24">
        <v>-120000</v>
      </c>
      <c r="K323" t="s">
        <v>808</v>
      </c>
      <c r="L323">
        <v>2311291635</v>
      </c>
      <c r="M323" t="s">
        <v>91</v>
      </c>
      <c r="N323" t="s">
        <v>91</v>
      </c>
      <c r="O323" t="s">
        <v>136</v>
      </c>
      <c r="P323" t="s">
        <v>97</v>
      </c>
      <c r="R323" t="s">
        <v>809</v>
      </c>
      <c r="T323" s="24">
        <v>-39268466</v>
      </c>
    </row>
    <row r="324" spans="1:24" x14ac:dyDescent="0.3">
      <c r="A324" s="36">
        <v>45259</v>
      </c>
      <c r="B324" t="s">
        <v>90</v>
      </c>
      <c r="C324" t="s">
        <v>810</v>
      </c>
      <c r="G324" s="51">
        <v>45259</v>
      </c>
      <c r="I324" s="24">
        <v>-350000</v>
      </c>
      <c r="K324" t="s">
        <v>135</v>
      </c>
      <c r="L324">
        <v>2311291649</v>
      </c>
      <c r="M324" t="s">
        <v>91</v>
      </c>
      <c r="N324" t="s">
        <v>91</v>
      </c>
      <c r="O324" t="s">
        <v>136</v>
      </c>
      <c r="P324" t="s">
        <v>137</v>
      </c>
      <c r="R324" t="s">
        <v>811</v>
      </c>
      <c r="T324" s="24">
        <v>-39618466</v>
      </c>
      <c r="X324" t="s">
        <v>92</v>
      </c>
    </row>
    <row r="325" spans="1:24" x14ac:dyDescent="0.3">
      <c r="A325" s="36">
        <v>45259</v>
      </c>
      <c r="B325" t="s">
        <v>90</v>
      </c>
      <c r="C325" t="s">
        <v>812</v>
      </c>
      <c r="G325" s="51">
        <v>45259</v>
      </c>
      <c r="I325" s="24">
        <v>-80000</v>
      </c>
      <c r="K325" t="s">
        <v>135</v>
      </c>
      <c r="L325">
        <v>2311291705</v>
      </c>
      <c r="M325" t="s">
        <v>91</v>
      </c>
      <c r="N325" t="s">
        <v>91</v>
      </c>
      <c r="O325" t="s">
        <v>136</v>
      </c>
      <c r="P325" t="s">
        <v>137</v>
      </c>
      <c r="R325" t="s">
        <v>813</v>
      </c>
      <c r="T325" s="24">
        <v>-39698466</v>
      </c>
      <c r="X325" t="s">
        <v>92</v>
      </c>
    </row>
    <row r="326" spans="1:24" x14ac:dyDescent="0.3">
      <c r="A326" s="36">
        <v>45259</v>
      </c>
      <c r="B326" t="s">
        <v>90</v>
      </c>
      <c r="C326" t="s">
        <v>814</v>
      </c>
      <c r="G326" s="51">
        <v>45259</v>
      </c>
      <c r="J326" s="24">
        <v>3444000</v>
      </c>
      <c r="K326" t="s">
        <v>815</v>
      </c>
      <c r="L326">
        <v>2311292057</v>
      </c>
      <c r="M326" t="s">
        <v>91</v>
      </c>
      <c r="N326" t="s">
        <v>91</v>
      </c>
      <c r="P326" t="s">
        <v>137</v>
      </c>
      <c r="R326">
        <v>970422304243</v>
      </c>
      <c r="T326" s="24">
        <v>-36254466</v>
      </c>
      <c r="X326" t="s">
        <v>92</v>
      </c>
    </row>
    <row r="327" spans="1:24" x14ac:dyDescent="0.3">
      <c r="A327" s="36">
        <v>45260</v>
      </c>
      <c r="B327" t="s">
        <v>90</v>
      </c>
      <c r="C327" t="s">
        <v>816</v>
      </c>
      <c r="G327" s="51">
        <v>45260</v>
      </c>
      <c r="I327" s="24">
        <v>-307000</v>
      </c>
      <c r="K327" t="s">
        <v>135</v>
      </c>
      <c r="L327">
        <v>2311300855</v>
      </c>
      <c r="M327" t="s">
        <v>91</v>
      </c>
      <c r="N327" t="s">
        <v>91</v>
      </c>
      <c r="O327" t="s">
        <v>136</v>
      </c>
      <c r="P327" t="s">
        <v>137</v>
      </c>
      <c r="R327" t="s">
        <v>817</v>
      </c>
      <c r="T327" s="24">
        <v>-36561466</v>
      </c>
      <c r="X327" t="s">
        <v>92</v>
      </c>
    </row>
    <row r="328" spans="1:24" x14ac:dyDescent="0.3">
      <c r="A328" s="36">
        <v>45260</v>
      </c>
      <c r="B328" t="s">
        <v>90</v>
      </c>
      <c r="C328" t="s">
        <v>818</v>
      </c>
      <c r="G328" s="51">
        <v>45260</v>
      </c>
      <c r="I328" s="24">
        <v>-1000000</v>
      </c>
      <c r="K328" t="s">
        <v>135</v>
      </c>
      <c r="L328">
        <v>2311301015</v>
      </c>
      <c r="M328" t="s">
        <v>91</v>
      </c>
      <c r="N328" t="s">
        <v>91</v>
      </c>
      <c r="O328" t="s">
        <v>136</v>
      </c>
      <c r="P328" t="s">
        <v>137</v>
      </c>
      <c r="R328" t="s">
        <v>819</v>
      </c>
      <c r="T328" s="24">
        <v>-37561466</v>
      </c>
      <c r="X328" t="s">
        <v>92</v>
      </c>
    </row>
    <row r="329" spans="1:24" x14ac:dyDescent="0.3">
      <c r="A329" s="36">
        <v>45260</v>
      </c>
      <c r="B329" t="s">
        <v>90</v>
      </c>
      <c r="C329" t="s">
        <v>820</v>
      </c>
      <c r="G329" s="51">
        <v>45260</v>
      </c>
      <c r="I329" s="24">
        <v>-1000000</v>
      </c>
      <c r="K329" t="s">
        <v>135</v>
      </c>
      <c r="L329">
        <v>2311301104</v>
      </c>
      <c r="M329" t="s">
        <v>91</v>
      </c>
      <c r="N329" t="s">
        <v>91</v>
      </c>
      <c r="O329" t="s">
        <v>136</v>
      </c>
      <c r="P329" t="s">
        <v>137</v>
      </c>
      <c r="R329" t="s">
        <v>821</v>
      </c>
      <c r="T329" s="24">
        <v>-38561466</v>
      </c>
      <c r="X329" t="s">
        <v>92</v>
      </c>
    </row>
    <row r="330" spans="1:24" x14ac:dyDescent="0.3">
      <c r="A330" s="36">
        <v>45260</v>
      </c>
      <c r="B330" t="s">
        <v>90</v>
      </c>
      <c r="C330" t="s">
        <v>822</v>
      </c>
      <c r="G330" s="51">
        <v>45260</v>
      </c>
      <c r="J330" s="24">
        <v>500000</v>
      </c>
      <c r="K330" t="s">
        <v>823</v>
      </c>
      <c r="L330">
        <v>2311301105</v>
      </c>
      <c r="M330" t="s">
        <v>91</v>
      </c>
      <c r="N330" t="s">
        <v>91</v>
      </c>
      <c r="P330" t="s">
        <v>137</v>
      </c>
      <c r="R330">
        <v>970415087555</v>
      </c>
      <c r="T330" s="24">
        <v>-38061466</v>
      </c>
      <c r="X330" t="s">
        <v>92</v>
      </c>
    </row>
    <row r="331" spans="1:24" x14ac:dyDescent="0.3">
      <c r="A331" s="36">
        <v>45261</v>
      </c>
      <c r="B331" t="s">
        <v>90</v>
      </c>
      <c r="C331" t="s">
        <v>824</v>
      </c>
      <c r="G331" s="51">
        <v>45261</v>
      </c>
      <c r="I331" s="24">
        <v>-983000</v>
      </c>
      <c r="K331" t="s">
        <v>135</v>
      </c>
      <c r="L331">
        <v>2312010039</v>
      </c>
      <c r="M331" t="s">
        <v>91</v>
      </c>
      <c r="N331" t="s">
        <v>91</v>
      </c>
      <c r="O331" t="s">
        <v>136</v>
      </c>
      <c r="P331" t="s">
        <v>137</v>
      </c>
      <c r="R331" t="s">
        <v>825</v>
      </c>
      <c r="T331" s="24">
        <v>-39044466</v>
      </c>
      <c r="X331" t="s">
        <v>92</v>
      </c>
    </row>
    <row r="332" spans="1:24" x14ac:dyDescent="0.3">
      <c r="A332" s="36">
        <v>45261</v>
      </c>
      <c r="B332" t="s">
        <v>90</v>
      </c>
      <c r="C332" t="s">
        <v>826</v>
      </c>
      <c r="G332" s="51">
        <v>45261</v>
      </c>
      <c r="J332" s="24">
        <v>968504</v>
      </c>
      <c r="K332" t="s">
        <v>827</v>
      </c>
      <c r="L332">
        <v>2312010103</v>
      </c>
      <c r="M332" t="s">
        <v>91</v>
      </c>
      <c r="N332" t="s">
        <v>91</v>
      </c>
      <c r="P332" t="s">
        <v>137</v>
      </c>
      <c r="R332">
        <v>970416035382</v>
      </c>
      <c r="T332" s="24">
        <v>-38075962</v>
      </c>
      <c r="X332" t="s">
        <v>92</v>
      </c>
    </row>
    <row r="333" spans="1:24" x14ac:dyDescent="0.3">
      <c r="A333" s="36">
        <v>45261</v>
      </c>
      <c r="B333" t="s">
        <v>90</v>
      </c>
      <c r="C333" t="s">
        <v>828</v>
      </c>
      <c r="G333" s="51">
        <v>45261</v>
      </c>
      <c r="I333" s="24">
        <v>-1900000</v>
      </c>
      <c r="K333" t="s">
        <v>135</v>
      </c>
      <c r="L333">
        <v>2312010329</v>
      </c>
      <c r="M333" t="s">
        <v>91</v>
      </c>
      <c r="N333" t="s">
        <v>91</v>
      </c>
      <c r="O333" t="s">
        <v>136</v>
      </c>
      <c r="P333" t="s">
        <v>137</v>
      </c>
      <c r="R333" t="s">
        <v>829</v>
      </c>
      <c r="T333" s="24">
        <v>-39975962</v>
      </c>
      <c r="X333" t="s">
        <v>92</v>
      </c>
    </row>
    <row r="334" spans="1:24" x14ac:dyDescent="0.3">
      <c r="A334" s="36">
        <v>45261</v>
      </c>
      <c r="B334" t="s">
        <v>90</v>
      </c>
      <c r="C334" t="s">
        <v>830</v>
      </c>
      <c r="G334" s="51">
        <v>45261</v>
      </c>
      <c r="J334" s="24">
        <v>973567</v>
      </c>
      <c r="K334" t="s">
        <v>831</v>
      </c>
      <c r="L334">
        <v>2312010804</v>
      </c>
      <c r="M334" t="s">
        <v>91</v>
      </c>
      <c r="N334" t="s">
        <v>91</v>
      </c>
      <c r="P334" t="s">
        <v>137</v>
      </c>
      <c r="R334">
        <v>970416113999</v>
      </c>
      <c r="T334" s="24">
        <v>-39002395</v>
      </c>
      <c r="X334" t="s">
        <v>92</v>
      </c>
    </row>
    <row r="335" spans="1:24" x14ac:dyDescent="0.3">
      <c r="A335" s="36">
        <v>45261</v>
      </c>
      <c r="B335" t="s">
        <v>90</v>
      </c>
      <c r="C335" t="s">
        <v>832</v>
      </c>
      <c r="G335" s="51">
        <v>45261</v>
      </c>
      <c r="I335" s="24">
        <v>-500000</v>
      </c>
      <c r="K335" t="s">
        <v>135</v>
      </c>
      <c r="L335">
        <v>2312010809</v>
      </c>
      <c r="M335" t="s">
        <v>91</v>
      </c>
      <c r="N335" t="s">
        <v>91</v>
      </c>
      <c r="O335" t="s">
        <v>136</v>
      </c>
      <c r="P335" t="s">
        <v>137</v>
      </c>
      <c r="R335" t="s">
        <v>833</v>
      </c>
      <c r="T335" s="24">
        <v>-39502395</v>
      </c>
      <c r="X335" t="s">
        <v>92</v>
      </c>
    </row>
    <row r="336" spans="1:24" x14ac:dyDescent="0.3">
      <c r="A336" s="36">
        <v>45261</v>
      </c>
      <c r="B336" t="s">
        <v>90</v>
      </c>
      <c r="C336" t="s">
        <v>834</v>
      </c>
      <c r="G336" s="51">
        <v>45261</v>
      </c>
      <c r="J336" s="24">
        <v>5000000</v>
      </c>
      <c r="K336" t="s">
        <v>142</v>
      </c>
      <c r="L336">
        <v>2312010820</v>
      </c>
      <c r="M336" t="s">
        <v>91</v>
      </c>
      <c r="N336" t="s">
        <v>91</v>
      </c>
      <c r="O336" t="s">
        <v>143</v>
      </c>
      <c r="P336" t="s">
        <v>144</v>
      </c>
      <c r="R336" t="s">
        <v>835</v>
      </c>
      <c r="T336" s="24">
        <v>-34502395</v>
      </c>
    </row>
    <row r="337" spans="1:24" x14ac:dyDescent="0.3">
      <c r="A337" s="36">
        <v>45261</v>
      </c>
      <c r="B337" t="s">
        <v>90</v>
      </c>
      <c r="C337" t="s">
        <v>836</v>
      </c>
      <c r="G337" s="51">
        <v>45261</v>
      </c>
      <c r="I337" s="24">
        <v>-3000000</v>
      </c>
      <c r="K337" t="s">
        <v>135</v>
      </c>
      <c r="L337">
        <v>2312010824</v>
      </c>
      <c r="M337" t="s">
        <v>91</v>
      </c>
      <c r="N337" t="s">
        <v>91</v>
      </c>
      <c r="O337" t="s">
        <v>136</v>
      </c>
      <c r="P337" t="s">
        <v>137</v>
      </c>
      <c r="R337" t="s">
        <v>837</v>
      </c>
      <c r="T337" s="24">
        <v>-37502395</v>
      </c>
      <c r="X337" t="s">
        <v>92</v>
      </c>
    </row>
    <row r="338" spans="1:24" x14ac:dyDescent="0.3">
      <c r="A338" s="36">
        <v>45261</v>
      </c>
      <c r="B338" t="s">
        <v>90</v>
      </c>
      <c r="C338" t="s">
        <v>838</v>
      </c>
      <c r="G338" s="51">
        <v>45261</v>
      </c>
      <c r="I338" s="24">
        <v>-59000</v>
      </c>
      <c r="K338" t="s">
        <v>135</v>
      </c>
      <c r="L338">
        <v>2312011249</v>
      </c>
      <c r="M338" t="s">
        <v>91</v>
      </c>
      <c r="N338" t="s">
        <v>91</v>
      </c>
      <c r="O338" t="s">
        <v>136</v>
      </c>
      <c r="P338" t="s">
        <v>137</v>
      </c>
      <c r="R338" t="s">
        <v>839</v>
      </c>
      <c r="T338" s="24">
        <v>-37561395</v>
      </c>
      <c r="X338" t="s">
        <v>92</v>
      </c>
    </row>
    <row r="339" spans="1:24" x14ac:dyDescent="0.3">
      <c r="A339" s="36">
        <v>45261</v>
      </c>
      <c r="B339" t="s">
        <v>90</v>
      </c>
      <c r="C339" t="s">
        <v>840</v>
      </c>
      <c r="G339" s="51">
        <v>45261</v>
      </c>
      <c r="I339" s="24">
        <v>-70000</v>
      </c>
      <c r="K339" t="s">
        <v>135</v>
      </c>
      <c r="L339">
        <v>2312012117</v>
      </c>
      <c r="M339" t="s">
        <v>91</v>
      </c>
      <c r="N339" t="s">
        <v>91</v>
      </c>
      <c r="O339" t="s">
        <v>136</v>
      </c>
      <c r="P339" t="s">
        <v>137</v>
      </c>
      <c r="R339" t="s">
        <v>841</v>
      </c>
      <c r="T339" s="24">
        <v>-37631395</v>
      </c>
      <c r="X339" t="s">
        <v>92</v>
      </c>
    </row>
    <row r="340" spans="1:24" x14ac:dyDescent="0.3">
      <c r="A340" s="36">
        <v>45262</v>
      </c>
      <c r="B340" t="s">
        <v>90</v>
      </c>
      <c r="C340" t="s">
        <v>842</v>
      </c>
      <c r="G340" s="51">
        <v>45262</v>
      </c>
      <c r="J340" s="24">
        <v>1000000</v>
      </c>
      <c r="K340" t="s">
        <v>843</v>
      </c>
      <c r="L340">
        <v>2312021234</v>
      </c>
      <c r="M340" t="s">
        <v>91</v>
      </c>
      <c r="N340" t="s">
        <v>91</v>
      </c>
      <c r="P340" t="s">
        <v>137</v>
      </c>
      <c r="R340">
        <v>970415867168</v>
      </c>
      <c r="T340" s="24">
        <v>-36631395</v>
      </c>
      <c r="X340" t="s">
        <v>92</v>
      </c>
    </row>
    <row r="341" spans="1:24" x14ac:dyDescent="0.3">
      <c r="A341" s="36">
        <v>45262</v>
      </c>
      <c r="B341" t="s">
        <v>90</v>
      </c>
      <c r="C341" t="s">
        <v>844</v>
      </c>
      <c r="G341" s="51">
        <v>45262</v>
      </c>
      <c r="J341" s="24">
        <v>1800000</v>
      </c>
      <c r="K341" t="s">
        <v>845</v>
      </c>
      <c r="L341">
        <v>2312021241</v>
      </c>
      <c r="M341" t="s">
        <v>91</v>
      </c>
      <c r="N341" t="s">
        <v>91</v>
      </c>
      <c r="P341" t="s">
        <v>137</v>
      </c>
      <c r="R341">
        <v>970422948066</v>
      </c>
      <c r="T341" s="24">
        <v>-34831395</v>
      </c>
      <c r="X341" t="s">
        <v>92</v>
      </c>
    </row>
    <row r="342" spans="1:24" x14ac:dyDescent="0.3">
      <c r="A342" s="36">
        <v>45262</v>
      </c>
      <c r="B342" t="s">
        <v>90</v>
      </c>
      <c r="C342" t="s">
        <v>846</v>
      </c>
      <c r="G342" s="51">
        <v>45262</v>
      </c>
      <c r="I342" s="24">
        <v>-3100000</v>
      </c>
      <c r="K342" t="s">
        <v>135</v>
      </c>
      <c r="L342">
        <v>2312021241</v>
      </c>
      <c r="M342" t="s">
        <v>91</v>
      </c>
      <c r="N342" t="s">
        <v>91</v>
      </c>
      <c r="O342" t="s">
        <v>136</v>
      </c>
      <c r="P342" t="s">
        <v>137</v>
      </c>
      <c r="R342" t="s">
        <v>847</v>
      </c>
      <c r="T342" s="24">
        <v>-37931395</v>
      </c>
      <c r="X342" t="s">
        <v>92</v>
      </c>
    </row>
    <row r="343" spans="1:24" x14ac:dyDescent="0.3">
      <c r="A343" s="36">
        <v>45262</v>
      </c>
      <c r="B343" t="s">
        <v>90</v>
      </c>
      <c r="C343" t="s">
        <v>848</v>
      </c>
      <c r="G343" s="51">
        <v>45262</v>
      </c>
      <c r="I343" s="24">
        <v>-1000000</v>
      </c>
      <c r="K343" t="s">
        <v>135</v>
      </c>
      <c r="L343">
        <v>2312021242</v>
      </c>
      <c r="M343" t="s">
        <v>91</v>
      </c>
      <c r="N343" t="s">
        <v>91</v>
      </c>
      <c r="O343" t="s">
        <v>136</v>
      </c>
      <c r="P343" t="s">
        <v>137</v>
      </c>
      <c r="R343" t="s">
        <v>849</v>
      </c>
      <c r="T343" s="24">
        <v>-38931395</v>
      </c>
      <c r="X343" t="s">
        <v>92</v>
      </c>
    </row>
    <row r="344" spans="1:24" x14ac:dyDescent="0.3">
      <c r="A344" s="36">
        <v>45262</v>
      </c>
      <c r="B344" t="s">
        <v>90</v>
      </c>
      <c r="C344" t="s">
        <v>850</v>
      </c>
      <c r="G344" s="51">
        <v>45262</v>
      </c>
      <c r="I344" s="24">
        <v>-100000</v>
      </c>
      <c r="K344" t="s">
        <v>135</v>
      </c>
      <c r="L344">
        <v>2312021359</v>
      </c>
      <c r="M344" t="s">
        <v>91</v>
      </c>
      <c r="N344" t="s">
        <v>91</v>
      </c>
      <c r="O344" t="s">
        <v>136</v>
      </c>
      <c r="P344" t="s">
        <v>137</v>
      </c>
      <c r="R344" t="s">
        <v>851</v>
      </c>
      <c r="T344" s="24">
        <v>-39031395</v>
      </c>
      <c r="X344" t="s">
        <v>92</v>
      </c>
    </row>
    <row r="345" spans="1:24" x14ac:dyDescent="0.3">
      <c r="A345" s="36">
        <v>45262</v>
      </c>
      <c r="B345" t="s">
        <v>90</v>
      </c>
      <c r="C345" t="s">
        <v>852</v>
      </c>
      <c r="G345" s="51">
        <v>45262</v>
      </c>
      <c r="I345" s="24">
        <v>-115000</v>
      </c>
      <c r="K345" t="s">
        <v>135</v>
      </c>
      <c r="L345">
        <v>2312021651</v>
      </c>
      <c r="M345" t="s">
        <v>91</v>
      </c>
      <c r="N345" t="s">
        <v>91</v>
      </c>
      <c r="O345" t="s">
        <v>136</v>
      </c>
      <c r="P345" t="s">
        <v>137</v>
      </c>
      <c r="R345" t="s">
        <v>853</v>
      </c>
      <c r="T345" s="24">
        <v>-39146395</v>
      </c>
      <c r="X345" t="s">
        <v>92</v>
      </c>
    </row>
    <row r="346" spans="1:24" x14ac:dyDescent="0.3">
      <c r="A346" s="36">
        <v>45262</v>
      </c>
      <c r="B346" t="s">
        <v>90</v>
      </c>
      <c r="C346" t="s">
        <v>854</v>
      </c>
      <c r="G346" s="51">
        <v>45262</v>
      </c>
      <c r="I346" s="24">
        <v>-99666</v>
      </c>
      <c r="K346" t="s">
        <v>855</v>
      </c>
      <c r="L346">
        <v>2312021704</v>
      </c>
      <c r="M346" t="s">
        <v>91</v>
      </c>
      <c r="N346" t="s">
        <v>91</v>
      </c>
      <c r="O346" t="s">
        <v>136</v>
      </c>
      <c r="P346" t="s">
        <v>137</v>
      </c>
      <c r="R346" t="s">
        <v>856</v>
      </c>
      <c r="T346" s="24">
        <v>-39246061</v>
      </c>
      <c r="X346" t="s">
        <v>92</v>
      </c>
    </row>
    <row r="347" spans="1:24" x14ac:dyDescent="0.3">
      <c r="A347" s="36">
        <v>45264</v>
      </c>
      <c r="B347" t="s">
        <v>90</v>
      </c>
      <c r="C347" t="s">
        <v>857</v>
      </c>
      <c r="G347" s="51">
        <v>45264</v>
      </c>
      <c r="I347" s="24">
        <v>-300000</v>
      </c>
      <c r="K347" t="s">
        <v>135</v>
      </c>
      <c r="L347">
        <v>2312022225</v>
      </c>
      <c r="M347" t="s">
        <v>91</v>
      </c>
      <c r="N347" t="s">
        <v>91</v>
      </c>
      <c r="O347" t="s">
        <v>136</v>
      </c>
      <c r="P347" t="s">
        <v>137</v>
      </c>
      <c r="R347" t="s">
        <v>858</v>
      </c>
      <c r="T347" s="24">
        <v>-39546061</v>
      </c>
      <c r="X347" t="s">
        <v>92</v>
      </c>
    </row>
    <row r="348" spans="1:24" x14ac:dyDescent="0.3">
      <c r="A348" s="36">
        <v>45264</v>
      </c>
      <c r="B348" t="s">
        <v>90</v>
      </c>
      <c r="C348" t="s">
        <v>859</v>
      </c>
      <c r="G348" s="51">
        <v>45264</v>
      </c>
      <c r="J348" s="24">
        <v>1978000</v>
      </c>
      <c r="K348" t="s">
        <v>860</v>
      </c>
      <c r="L348">
        <v>2312031039</v>
      </c>
      <c r="M348" t="s">
        <v>91</v>
      </c>
      <c r="N348" t="s">
        <v>91</v>
      </c>
      <c r="P348" t="s">
        <v>137</v>
      </c>
      <c r="R348">
        <v>970422123306</v>
      </c>
      <c r="T348" s="24">
        <v>-37568061</v>
      </c>
      <c r="X348" t="s">
        <v>92</v>
      </c>
    </row>
    <row r="349" spans="1:24" x14ac:dyDescent="0.3">
      <c r="A349" s="36">
        <v>45264</v>
      </c>
      <c r="B349" t="s">
        <v>90</v>
      </c>
      <c r="C349" t="s">
        <v>861</v>
      </c>
      <c r="G349" s="51">
        <v>45264</v>
      </c>
      <c r="J349" s="24">
        <v>910000</v>
      </c>
      <c r="K349" t="s">
        <v>862</v>
      </c>
      <c r="L349">
        <v>2312031209</v>
      </c>
      <c r="M349" t="s">
        <v>91</v>
      </c>
      <c r="N349" t="s">
        <v>91</v>
      </c>
      <c r="P349" t="s">
        <v>137</v>
      </c>
      <c r="R349">
        <v>686868055221</v>
      </c>
      <c r="T349" s="24">
        <v>-36658061</v>
      </c>
      <c r="X349" t="s">
        <v>92</v>
      </c>
    </row>
    <row r="350" spans="1:24" x14ac:dyDescent="0.3">
      <c r="A350" s="36">
        <v>45264</v>
      </c>
      <c r="B350" t="s">
        <v>90</v>
      </c>
      <c r="C350" t="s">
        <v>863</v>
      </c>
      <c r="G350" s="51">
        <v>45264</v>
      </c>
      <c r="I350" s="24">
        <v>-500000</v>
      </c>
      <c r="K350" t="s">
        <v>135</v>
      </c>
      <c r="L350">
        <v>2312031739</v>
      </c>
      <c r="M350" t="s">
        <v>91</v>
      </c>
      <c r="N350" t="s">
        <v>91</v>
      </c>
      <c r="O350" t="s">
        <v>136</v>
      </c>
      <c r="P350" t="s">
        <v>137</v>
      </c>
      <c r="R350" t="s">
        <v>864</v>
      </c>
      <c r="T350" s="24">
        <v>-37158061</v>
      </c>
      <c r="X350" t="s">
        <v>92</v>
      </c>
    </row>
    <row r="351" spans="1:24" x14ac:dyDescent="0.3">
      <c r="A351" s="36">
        <v>45264</v>
      </c>
      <c r="B351" t="s">
        <v>90</v>
      </c>
      <c r="C351" t="s">
        <v>865</v>
      </c>
      <c r="G351" s="51">
        <v>45264</v>
      </c>
      <c r="J351" s="24">
        <v>2000000</v>
      </c>
      <c r="K351" t="s">
        <v>866</v>
      </c>
      <c r="L351">
        <v>2312032258</v>
      </c>
      <c r="M351" t="s">
        <v>91</v>
      </c>
      <c r="N351" t="s">
        <v>91</v>
      </c>
      <c r="P351" t="s">
        <v>137</v>
      </c>
      <c r="R351">
        <v>970422237652</v>
      </c>
      <c r="T351" s="24">
        <v>-35158061</v>
      </c>
      <c r="X351" t="s">
        <v>92</v>
      </c>
    </row>
    <row r="352" spans="1:24" x14ac:dyDescent="0.3">
      <c r="A352" s="36">
        <v>45264</v>
      </c>
      <c r="B352" t="s">
        <v>90</v>
      </c>
      <c r="C352" t="s">
        <v>867</v>
      </c>
      <c r="G352" s="51">
        <v>45264</v>
      </c>
      <c r="J352" s="24">
        <v>800000</v>
      </c>
      <c r="K352" t="s">
        <v>868</v>
      </c>
      <c r="L352">
        <v>2312040708</v>
      </c>
      <c r="M352" t="s">
        <v>91</v>
      </c>
      <c r="N352" t="s">
        <v>91</v>
      </c>
      <c r="P352" t="s">
        <v>137</v>
      </c>
      <c r="R352">
        <v>970422620141</v>
      </c>
      <c r="T352" s="24">
        <v>-34358061</v>
      </c>
      <c r="X352" t="s">
        <v>92</v>
      </c>
    </row>
    <row r="353" spans="1:24" x14ac:dyDescent="0.3">
      <c r="A353" s="36">
        <v>45264</v>
      </c>
      <c r="B353" t="s">
        <v>90</v>
      </c>
      <c r="C353" t="s">
        <v>869</v>
      </c>
      <c r="G353" s="51">
        <v>45264</v>
      </c>
      <c r="I353" s="24">
        <v>-500000</v>
      </c>
      <c r="K353" t="s">
        <v>135</v>
      </c>
      <c r="L353">
        <v>2312041531</v>
      </c>
      <c r="M353" t="s">
        <v>91</v>
      </c>
      <c r="N353" t="s">
        <v>91</v>
      </c>
      <c r="O353" t="s">
        <v>136</v>
      </c>
      <c r="P353" t="s">
        <v>137</v>
      </c>
      <c r="R353" t="s">
        <v>870</v>
      </c>
      <c r="T353" s="24">
        <v>-34858061</v>
      </c>
      <c r="X353" t="s">
        <v>92</v>
      </c>
    </row>
    <row r="354" spans="1:24" x14ac:dyDescent="0.3">
      <c r="A354" s="36">
        <v>45264</v>
      </c>
      <c r="B354" t="s">
        <v>90</v>
      </c>
      <c r="C354" t="s">
        <v>871</v>
      </c>
      <c r="G354" s="51">
        <v>45264</v>
      </c>
      <c r="J354" s="24">
        <v>2000000</v>
      </c>
      <c r="K354" t="s">
        <v>872</v>
      </c>
      <c r="L354">
        <v>2312041602</v>
      </c>
      <c r="M354" t="s">
        <v>91</v>
      </c>
      <c r="N354" t="s">
        <v>91</v>
      </c>
      <c r="P354" t="s">
        <v>137</v>
      </c>
      <c r="R354">
        <v>970422059037</v>
      </c>
      <c r="T354" s="24">
        <v>-32858061</v>
      </c>
      <c r="X354" t="s">
        <v>92</v>
      </c>
    </row>
    <row r="355" spans="1:24" x14ac:dyDescent="0.3">
      <c r="A355" s="36">
        <v>45264</v>
      </c>
      <c r="B355" t="s">
        <v>90</v>
      </c>
      <c r="C355" t="s">
        <v>873</v>
      </c>
      <c r="G355" s="51">
        <v>45264</v>
      </c>
      <c r="J355" s="24">
        <v>8500000</v>
      </c>
      <c r="K355" t="s">
        <v>135</v>
      </c>
      <c r="L355">
        <v>2312041815</v>
      </c>
      <c r="M355" t="s">
        <v>91</v>
      </c>
      <c r="N355" t="s">
        <v>91</v>
      </c>
      <c r="O355" t="s">
        <v>136</v>
      </c>
      <c r="P355" t="s">
        <v>137</v>
      </c>
      <c r="R355" t="s">
        <v>874</v>
      </c>
      <c r="T355" s="24">
        <v>-24358061</v>
      </c>
    </row>
    <row r="356" spans="1:24" x14ac:dyDescent="0.3">
      <c r="A356" s="36">
        <v>45264</v>
      </c>
      <c r="B356" t="s">
        <v>90</v>
      </c>
      <c r="C356" t="s">
        <v>875</v>
      </c>
      <c r="G356" s="51">
        <v>45264</v>
      </c>
      <c r="I356" s="24">
        <v>-15000000</v>
      </c>
      <c r="K356" t="s">
        <v>876</v>
      </c>
      <c r="L356">
        <v>2312041819</v>
      </c>
      <c r="M356" t="s">
        <v>91</v>
      </c>
      <c r="N356" t="s">
        <v>91</v>
      </c>
      <c r="O356" t="s">
        <v>136</v>
      </c>
      <c r="P356" t="s">
        <v>137</v>
      </c>
      <c r="R356" t="s">
        <v>877</v>
      </c>
      <c r="T356" s="24">
        <v>-39358061</v>
      </c>
      <c r="X356" t="s">
        <v>92</v>
      </c>
    </row>
    <row r="357" spans="1:24" x14ac:dyDescent="0.3">
      <c r="A357" s="36">
        <v>45264</v>
      </c>
      <c r="B357" t="s">
        <v>90</v>
      </c>
      <c r="C357" t="s">
        <v>878</v>
      </c>
      <c r="G357" s="51">
        <v>45264</v>
      </c>
      <c r="J357" s="24">
        <v>10000000</v>
      </c>
      <c r="K357" t="s">
        <v>879</v>
      </c>
      <c r="L357">
        <v>2312042040</v>
      </c>
      <c r="M357" t="s">
        <v>91</v>
      </c>
      <c r="N357" t="s">
        <v>91</v>
      </c>
      <c r="P357" t="s">
        <v>137</v>
      </c>
      <c r="R357">
        <v>970422693682</v>
      </c>
      <c r="T357" s="24">
        <v>-29358061</v>
      </c>
      <c r="X357" t="s">
        <v>92</v>
      </c>
    </row>
    <row r="358" spans="1:24" x14ac:dyDescent="0.3">
      <c r="A358" s="36">
        <v>45264</v>
      </c>
      <c r="B358" t="s">
        <v>90</v>
      </c>
      <c r="C358" t="s">
        <v>880</v>
      </c>
      <c r="G358" s="51">
        <v>45264</v>
      </c>
      <c r="J358" s="24">
        <v>1330000</v>
      </c>
      <c r="K358" t="s">
        <v>881</v>
      </c>
      <c r="L358">
        <v>2312042125</v>
      </c>
      <c r="M358" t="s">
        <v>91</v>
      </c>
      <c r="N358" t="s">
        <v>91</v>
      </c>
      <c r="P358" t="s">
        <v>137</v>
      </c>
      <c r="R358">
        <v>970422884382</v>
      </c>
      <c r="T358" s="24">
        <v>-28028061</v>
      </c>
      <c r="X358" t="s">
        <v>92</v>
      </c>
    </row>
    <row r="359" spans="1:24" x14ac:dyDescent="0.3">
      <c r="A359" s="36">
        <v>45264</v>
      </c>
      <c r="B359" t="s">
        <v>90</v>
      </c>
      <c r="C359" t="s">
        <v>882</v>
      </c>
      <c r="G359" s="51">
        <v>45264</v>
      </c>
      <c r="I359" s="24">
        <v>-10000000</v>
      </c>
      <c r="K359" t="s">
        <v>135</v>
      </c>
      <c r="L359">
        <v>2312042140</v>
      </c>
      <c r="M359" t="s">
        <v>91</v>
      </c>
      <c r="N359" t="s">
        <v>91</v>
      </c>
      <c r="O359" t="s">
        <v>136</v>
      </c>
      <c r="P359" t="s">
        <v>137</v>
      </c>
      <c r="R359" t="s">
        <v>883</v>
      </c>
      <c r="T359" s="24">
        <v>-38028061</v>
      </c>
      <c r="X359" t="s">
        <v>92</v>
      </c>
    </row>
    <row r="360" spans="1:24" x14ac:dyDescent="0.3">
      <c r="A360" s="36">
        <v>45265</v>
      </c>
      <c r="B360" t="s">
        <v>90</v>
      </c>
      <c r="C360" t="s">
        <v>884</v>
      </c>
      <c r="G360" s="51">
        <v>45265</v>
      </c>
      <c r="J360" s="24">
        <v>4889000</v>
      </c>
      <c r="K360" t="s">
        <v>885</v>
      </c>
      <c r="L360">
        <v>2312051907</v>
      </c>
      <c r="M360" t="s">
        <v>91</v>
      </c>
      <c r="N360" t="s">
        <v>91</v>
      </c>
      <c r="P360" t="s">
        <v>137</v>
      </c>
      <c r="R360">
        <v>970454869763</v>
      </c>
      <c r="T360" s="24">
        <v>-33139061</v>
      </c>
      <c r="X360" t="s">
        <v>92</v>
      </c>
    </row>
    <row r="361" spans="1:24" x14ac:dyDescent="0.3">
      <c r="A361" s="36">
        <v>45265</v>
      </c>
      <c r="B361" t="s">
        <v>90</v>
      </c>
      <c r="C361" t="s">
        <v>886</v>
      </c>
      <c r="G361" s="51">
        <v>45265</v>
      </c>
      <c r="I361" s="24">
        <v>-1000000</v>
      </c>
      <c r="K361" t="s">
        <v>135</v>
      </c>
      <c r="L361">
        <v>2312052005</v>
      </c>
      <c r="M361" t="s">
        <v>91</v>
      </c>
      <c r="N361" t="s">
        <v>91</v>
      </c>
      <c r="O361" t="s">
        <v>136</v>
      </c>
      <c r="P361" t="s">
        <v>137</v>
      </c>
      <c r="R361" t="s">
        <v>887</v>
      </c>
      <c r="T361" s="24">
        <v>-34139061</v>
      </c>
      <c r="X361" t="s">
        <v>92</v>
      </c>
    </row>
    <row r="362" spans="1:24" x14ac:dyDescent="0.3">
      <c r="A362" s="36">
        <v>45265</v>
      </c>
      <c r="B362" t="s">
        <v>90</v>
      </c>
      <c r="C362" t="s">
        <v>888</v>
      </c>
      <c r="G362" s="51">
        <v>45265</v>
      </c>
      <c r="J362" s="24">
        <v>2000000</v>
      </c>
      <c r="K362" t="s">
        <v>889</v>
      </c>
      <c r="L362">
        <v>2312052130</v>
      </c>
      <c r="M362" t="s">
        <v>91</v>
      </c>
      <c r="N362" t="s">
        <v>91</v>
      </c>
      <c r="P362" t="s">
        <v>137</v>
      </c>
      <c r="R362">
        <v>970454908774</v>
      </c>
      <c r="T362" s="24">
        <v>-32139061</v>
      </c>
      <c r="X362" t="s">
        <v>92</v>
      </c>
    </row>
    <row r="363" spans="1:24" x14ac:dyDescent="0.3">
      <c r="A363" s="36">
        <v>45265</v>
      </c>
      <c r="B363" t="s">
        <v>90</v>
      </c>
      <c r="C363" t="s">
        <v>890</v>
      </c>
      <c r="G363" s="51">
        <v>45265</v>
      </c>
      <c r="J363" s="24">
        <v>1000000</v>
      </c>
      <c r="K363" t="s">
        <v>891</v>
      </c>
      <c r="L363">
        <v>2312052136</v>
      </c>
      <c r="M363" t="s">
        <v>91</v>
      </c>
      <c r="N363" t="s">
        <v>91</v>
      </c>
      <c r="P363" t="s">
        <v>137</v>
      </c>
      <c r="R363">
        <v>970454910301</v>
      </c>
      <c r="T363" s="24">
        <v>-31139061</v>
      </c>
      <c r="X363" t="s">
        <v>92</v>
      </c>
    </row>
    <row r="364" spans="1:24" x14ac:dyDescent="0.3">
      <c r="A364" s="36">
        <v>45266</v>
      </c>
      <c r="B364" t="s">
        <v>90</v>
      </c>
      <c r="C364" t="s">
        <v>892</v>
      </c>
      <c r="G364" s="51">
        <v>45266</v>
      </c>
      <c r="J364" s="24">
        <v>1410000</v>
      </c>
      <c r="K364" t="s">
        <v>893</v>
      </c>
      <c r="L364">
        <v>2312052304</v>
      </c>
      <c r="M364" t="s">
        <v>91</v>
      </c>
      <c r="N364" t="s">
        <v>91</v>
      </c>
      <c r="P364" t="s">
        <v>137</v>
      </c>
      <c r="R364">
        <v>970415605225</v>
      </c>
      <c r="T364" s="24">
        <v>-29729061</v>
      </c>
      <c r="X364" t="s">
        <v>92</v>
      </c>
    </row>
    <row r="365" spans="1:24" x14ac:dyDescent="0.3">
      <c r="A365" s="36">
        <v>45266</v>
      </c>
      <c r="B365" t="s">
        <v>90</v>
      </c>
      <c r="C365" t="s">
        <v>894</v>
      </c>
      <c r="G365" s="51">
        <v>45266</v>
      </c>
      <c r="I365" s="24">
        <v>-10000000</v>
      </c>
      <c r="K365">
        <v>2.0565572567197098E+19</v>
      </c>
      <c r="L365">
        <v>2312061132</v>
      </c>
      <c r="M365" t="s">
        <v>91</v>
      </c>
      <c r="N365" t="s">
        <v>91</v>
      </c>
      <c r="O365" t="s">
        <v>136</v>
      </c>
      <c r="P365" t="s">
        <v>137</v>
      </c>
      <c r="R365" t="s">
        <v>895</v>
      </c>
      <c r="T365" s="24">
        <v>-39729061</v>
      </c>
      <c r="X365" t="s">
        <v>92</v>
      </c>
    </row>
    <row r="366" spans="1:24" x14ac:dyDescent="0.3">
      <c r="A366" s="36">
        <v>45266</v>
      </c>
      <c r="B366" t="s">
        <v>90</v>
      </c>
      <c r="C366" t="s">
        <v>896</v>
      </c>
      <c r="G366" s="51">
        <v>45266</v>
      </c>
      <c r="J366" s="24">
        <v>2000000</v>
      </c>
      <c r="K366" t="s">
        <v>897</v>
      </c>
      <c r="L366">
        <v>2312061308</v>
      </c>
      <c r="M366" t="s">
        <v>91</v>
      </c>
      <c r="N366" t="s">
        <v>91</v>
      </c>
      <c r="P366" t="s">
        <v>137</v>
      </c>
      <c r="R366">
        <v>970422331518</v>
      </c>
      <c r="T366" s="24">
        <v>-37729061</v>
      </c>
      <c r="X366" t="s">
        <v>92</v>
      </c>
    </row>
    <row r="367" spans="1:24" x14ac:dyDescent="0.3">
      <c r="A367" s="36">
        <v>45266</v>
      </c>
      <c r="B367" t="s">
        <v>90</v>
      </c>
      <c r="C367" t="s">
        <v>898</v>
      </c>
      <c r="G367" s="51">
        <v>45266</v>
      </c>
      <c r="I367" s="24">
        <v>-2000000</v>
      </c>
      <c r="K367">
        <v>2.0565703653725401E+19</v>
      </c>
      <c r="L367">
        <v>2312062012</v>
      </c>
      <c r="M367" t="s">
        <v>91</v>
      </c>
      <c r="N367" t="s">
        <v>91</v>
      </c>
      <c r="O367" t="s">
        <v>136</v>
      </c>
      <c r="P367" t="s">
        <v>137</v>
      </c>
      <c r="R367" t="s">
        <v>899</v>
      </c>
      <c r="T367" s="24">
        <v>-39729061</v>
      </c>
      <c r="X367" t="s">
        <v>92</v>
      </c>
    </row>
    <row r="368" spans="1:24" x14ac:dyDescent="0.3">
      <c r="A368" s="36">
        <v>45266</v>
      </c>
      <c r="B368" t="s">
        <v>90</v>
      </c>
      <c r="C368" t="s">
        <v>900</v>
      </c>
      <c r="G368" s="51">
        <v>45266</v>
      </c>
      <c r="J368" s="24">
        <v>560000</v>
      </c>
      <c r="K368" t="s">
        <v>901</v>
      </c>
      <c r="L368">
        <v>2312062203</v>
      </c>
      <c r="M368" t="s">
        <v>91</v>
      </c>
      <c r="N368" t="s">
        <v>91</v>
      </c>
      <c r="P368" t="s">
        <v>137</v>
      </c>
      <c r="R368">
        <v>970422669610</v>
      </c>
      <c r="T368" s="24">
        <v>-39169061</v>
      </c>
      <c r="X368" t="s">
        <v>92</v>
      </c>
    </row>
    <row r="369" spans="1:24" x14ac:dyDescent="0.3">
      <c r="A369" s="36">
        <v>45267</v>
      </c>
      <c r="B369" t="s">
        <v>90</v>
      </c>
      <c r="C369" t="s">
        <v>902</v>
      </c>
      <c r="G369" s="51">
        <v>45267</v>
      </c>
      <c r="I369" s="24">
        <v>-466248</v>
      </c>
      <c r="K369" t="s">
        <v>638</v>
      </c>
      <c r="L369">
        <v>2312071114</v>
      </c>
      <c r="M369" t="s">
        <v>91</v>
      </c>
      <c r="N369" t="s">
        <v>91</v>
      </c>
      <c r="O369" t="s">
        <v>136</v>
      </c>
      <c r="P369" t="s">
        <v>137</v>
      </c>
      <c r="R369" t="s">
        <v>903</v>
      </c>
      <c r="T369" s="24">
        <v>-39635309</v>
      </c>
      <c r="X369" t="s">
        <v>92</v>
      </c>
    </row>
    <row r="370" spans="1:24" x14ac:dyDescent="0.3">
      <c r="A370" s="36">
        <v>45267</v>
      </c>
      <c r="B370" t="s">
        <v>90</v>
      </c>
      <c r="C370" t="s">
        <v>904</v>
      </c>
      <c r="G370" s="51">
        <v>45267</v>
      </c>
      <c r="J370" s="24">
        <v>4700000</v>
      </c>
      <c r="K370" t="s">
        <v>905</v>
      </c>
      <c r="L370">
        <v>2312071358</v>
      </c>
      <c r="M370" t="s">
        <v>91</v>
      </c>
      <c r="N370" t="s">
        <v>91</v>
      </c>
      <c r="P370" t="s">
        <v>137</v>
      </c>
      <c r="R370">
        <v>970415652358</v>
      </c>
      <c r="T370" s="24">
        <v>-34935309</v>
      </c>
      <c r="X370" t="s">
        <v>92</v>
      </c>
    </row>
    <row r="371" spans="1:24" x14ac:dyDescent="0.3">
      <c r="A371" s="36">
        <v>45267</v>
      </c>
      <c r="B371" t="s">
        <v>90</v>
      </c>
      <c r="C371" t="s">
        <v>906</v>
      </c>
      <c r="G371" s="51">
        <v>45267</v>
      </c>
      <c r="I371" s="24">
        <v>-4949400</v>
      </c>
      <c r="K371">
        <v>2.0565973728873099E+19</v>
      </c>
      <c r="L371">
        <v>2312071405</v>
      </c>
      <c r="M371" t="s">
        <v>91</v>
      </c>
      <c r="N371" t="s">
        <v>91</v>
      </c>
      <c r="O371" t="s">
        <v>136</v>
      </c>
      <c r="P371" t="s">
        <v>137</v>
      </c>
      <c r="R371" t="s">
        <v>907</v>
      </c>
      <c r="T371" s="24">
        <v>-39884709</v>
      </c>
      <c r="X371" t="s">
        <v>92</v>
      </c>
    </row>
    <row r="372" spans="1:24" x14ac:dyDescent="0.3">
      <c r="A372" s="36">
        <v>45267</v>
      </c>
      <c r="B372" t="s">
        <v>90</v>
      </c>
      <c r="C372" t="s">
        <v>908</v>
      </c>
      <c r="G372" s="51">
        <v>45267</v>
      </c>
      <c r="J372" s="24">
        <v>429000</v>
      </c>
      <c r="K372" t="s">
        <v>909</v>
      </c>
      <c r="L372">
        <v>2312071432</v>
      </c>
      <c r="M372" t="s">
        <v>91</v>
      </c>
      <c r="N372" t="s">
        <v>91</v>
      </c>
      <c r="P372" t="s">
        <v>137</v>
      </c>
      <c r="R372">
        <v>970415692997</v>
      </c>
      <c r="T372" s="24">
        <v>-39455709</v>
      </c>
      <c r="X372" t="s">
        <v>92</v>
      </c>
    </row>
    <row r="373" spans="1:24" x14ac:dyDescent="0.3">
      <c r="A373" s="36">
        <v>45267</v>
      </c>
      <c r="B373" t="s">
        <v>90</v>
      </c>
      <c r="C373" t="s">
        <v>910</v>
      </c>
      <c r="G373" s="51">
        <v>45267</v>
      </c>
      <c r="I373" s="24">
        <v>-229537</v>
      </c>
      <c r="K373" t="s">
        <v>911</v>
      </c>
      <c r="L373">
        <v>2312071712</v>
      </c>
      <c r="M373" t="s">
        <v>91</v>
      </c>
      <c r="N373" t="s">
        <v>91</v>
      </c>
      <c r="O373" t="s">
        <v>136</v>
      </c>
      <c r="P373" t="s">
        <v>912</v>
      </c>
      <c r="R373" t="s">
        <v>913</v>
      </c>
      <c r="T373" s="24">
        <v>-39685246</v>
      </c>
    </row>
    <row r="374" spans="1:24" x14ac:dyDescent="0.3">
      <c r="A374" s="36">
        <v>45267</v>
      </c>
      <c r="B374" t="s">
        <v>90</v>
      </c>
      <c r="C374" t="s">
        <v>914</v>
      </c>
      <c r="G374" s="51">
        <v>45267</v>
      </c>
      <c r="I374" s="24">
        <v>-120000</v>
      </c>
      <c r="K374" t="s">
        <v>808</v>
      </c>
      <c r="L374">
        <v>2312072012</v>
      </c>
      <c r="M374" t="s">
        <v>91</v>
      </c>
      <c r="N374" t="s">
        <v>91</v>
      </c>
      <c r="O374" t="s">
        <v>136</v>
      </c>
      <c r="P374" t="s">
        <v>97</v>
      </c>
      <c r="R374" t="s">
        <v>915</v>
      </c>
      <c r="T374" s="24">
        <v>-39805246</v>
      </c>
    </row>
    <row r="375" spans="1:24" x14ac:dyDescent="0.3">
      <c r="A375" s="36">
        <v>45269</v>
      </c>
      <c r="B375" t="s">
        <v>90</v>
      </c>
      <c r="C375" t="s">
        <v>916</v>
      </c>
      <c r="G375" s="51">
        <v>45269</v>
      </c>
      <c r="J375" s="24">
        <v>10000000</v>
      </c>
      <c r="K375" t="s">
        <v>917</v>
      </c>
      <c r="L375">
        <v>2312091608</v>
      </c>
      <c r="M375" t="s">
        <v>91</v>
      </c>
      <c r="N375" t="s">
        <v>91</v>
      </c>
      <c r="P375" t="s">
        <v>137</v>
      </c>
      <c r="R375">
        <v>970415559503</v>
      </c>
      <c r="T375" s="24">
        <v>-29805246</v>
      </c>
      <c r="X375" t="s">
        <v>92</v>
      </c>
    </row>
    <row r="376" spans="1:24" x14ac:dyDescent="0.3">
      <c r="A376" s="36">
        <v>45269</v>
      </c>
      <c r="B376" t="s">
        <v>90</v>
      </c>
      <c r="C376" t="s">
        <v>918</v>
      </c>
      <c r="G376" s="51">
        <v>45269</v>
      </c>
      <c r="J376" s="24">
        <v>1793020</v>
      </c>
      <c r="K376" t="s">
        <v>919</v>
      </c>
      <c r="L376">
        <v>2312091653</v>
      </c>
      <c r="M376" t="s">
        <v>91</v>
      </c>
      <c r="N376" t="s">
        <v>91</v>
      </c>
      <c r="P376" t="s">
        <v>137</v>
      </c>
      <c r="R376">
        <v>970406351647</v>
      </c>
      <c r="T376" s="24">
        <v>-28012226</v>
      </c>
      <c r="X376" t="s">
        <v>92</v>
      </c>
    </row>
    <row r="377" spans="1:24" x14ac:dyDescent="0.3">
      <c r="A377" s="36">
        <v>45269</v>
      </c>
      <c r="B377" t="s">
        <v>90</v>
      </c>
      <c r="C377" t="s">
        <v>920</v>
      </c>
      <c r="G377" s="51">
        <v>45269</v>
      </c>
      <c r="I377" s="24">
        <v>-4629000</v>
      </c>
      <c r="L377">
        <v>2312091824</v>
      </c>
      <c r="M377" t="s">
        <v>91</v>
      </c>
      <c r="N377" t="s">
        <v>91</v>
      </c>
      <c r="O377" t="s">
        <v>136</v>
      </c>
      <c r="P377" t="s">
        <v>137</v>
      </c>
      <c r="R377" t="s">
        <v>921</v>
      </c>
      <c r="T377" s="24">
        <v>-32641226</v>
      </c>
    </row>
    <row r="378" spans="1:24" x14ac:dyDescent="0.3">
      <c r="A378" s="36">
        <v>45271</v>
      </c>
      <c r="B378" t="s">
        <v>90</v>
      </c>
      <c r="C378" t="s">
        <v>922</v>
      </c>
      <c r="G378" s="51">
        <v>45271</v>
      </c>
      <c r="I378" s="24">
        <v>-2352700</v>
      </c>
      <c r="K378">
        <v>2.05670377677667E+19</v>
      </c>
      <c r="L378">
        <v>2312101233</v>
      </c>
      <c r="M378" t="s">
        <v>91</v>
      </c>
      <c r="N378" t="s">
        <v>91</v>
      </c>
      <c r="O378" t="s">
        <v>136</v>
      </c>
      <c r="P378" t="s">
        <v>137</v>
      </c>
      <c r="R378" t="s">
        <v>923</v>
      </c>
      <c r="T378" s="24">
        <v>-34993926</v>
      </c>
      <c r="X378" t="s">
        <v>92</v>
      </c>
    </row>
    <row r="379" spans="1:24" x14ac:dyDescent="0.3">
      <c r="A379" s="36">
        <v>45271</v>
      </c>
      <c r="B379" t="s">
        <v>90</v>
      </c>
      <c r="C379" t="s">
        <v>924</v>
      </c>
      <c r="G379" s="51">
        <v>45271</v>
      </c>
      <c r="I379" s="24">
        <v>-200000</v>
      </c>
      <c r="K379" t="s">
        <v>925</v>
      </c>
      <c r="L379">
        <v>2312111809</v>
      </c>
      <c r="M379" t="s">
        <v>91</v>
      </c>
      <c r="N379" t="s">
        <v>91</v>
      </c>
      <c r="O379" t="s">
        <v>136</v>
      </c>
      <c r="P379" t="s">
        <v>97</v>
      </c>
      <c r="R379">
        <v>49863369671</v>
      </c>
      <c r="T379" s="24">
        <v>-35193926</v>
      </c>
    </row>
    <row r="380" spans="1:24" x14ac:dyDescent="0.3">
      <c r="A380" s="36">
        <v>45272</v>
      </c>
      <c r="B380" t="s">
        <v>90</v>
      </c>
      <c r="C380" t="s">
        <v>926</v>
      </c>
      <c r="G380" s="51">
        <v>45272</v>
      </c>
      <c r="J380" s="24">
        <v>15000000</v>
      </c>
      <c r="K380" t="s">
        <v>927</v>
      </c>
      <c r="L380">
        <v>2312120829</v>
      </c>
      <c r="M380" t="s">
        <v>91</v>
      </c>
      <c r="N380" t="s">
        <v>91</v>
      </c>
      <c r="P380" t="s">
        <v>137</v>
      </c>
      <c r="R380">
        <v>970415249947</v>
      </c>
      <c r="T380" s="24">
        <v>-20193926</v>
      </c>
      <c r="X380" t="s">
        <v>92</v>
      </c>
    </row>
    <row r="381" spans="1:24" x14ac:dyDescent="0.3">
      <c r="A381" s="36">
        <v>45272</v>
      </c>
      <c r="B381" t="s">
        <v>90</v>
      </c>
      <c r="C381" t="s">
        <v>928</v>
      </c>
      <c r="G381" s="51">
        <v>45272</v>
      </c>
      <c r="I381" s="24">
        <v>-6000000</v>
      </c>
      <c r="K381" t="s">
        <v>135</v>
      </c>
      <c r="L381">
        <v>2312120941</v>
      </c>
      <c r="M381" t="s">
        <v>91</v>
      </c>
      <c r="N381" t="s">
        <v>91</v>
      </c>
      <c r="O381" t="s">
        <v>136</v>
      </c>
      <c r="P381" t="s">
        <v>137</v>
      </c>
      <c r="R381" t="s">
        <v>929</v>
      </c>
      <c r="T381" s="24">
        <v>-26193926</v>
      </c>
    </row>
    <row r="382" spans="1:24" x14ac:dyDescent="0.3">
      <c r="A382" s="36">
        <v>45272</v>
      </c>
      <c r="B382" t="s">
        <v>90</v>
      </c>
      <c r="C382" t="s">
        <v>930</v>
      </c>
      <c r="G382" s="51">
        <v>45272</v>
      </c>
      <c r="I382" s="24">
        <v>-3200000</v>
      </c>
      <c r="K382" t="s">
        <v>135</v>
      </c>
      <c r="L382">
        <v>2312121049</v>
      </c>
      <c r="M382" t="s">
        <v>91</v>
      </c>
      <c r="N382" t="s">
        <v>91</v>
      </c>
      <c r="O382" t="s">
        <v>136</v>
      </c>
      <c r="P382" t="s">
        <v>137</v>
      </c>
      <c r="R382" t="s">
        <v>931</v>
      </c>
      <c r="T382" s="24">
        <v>-29393926</v>
      </c>
      <c r="X382" t="s">
        <v>92</v>
      </c>
    </row>
    <row r="383" spans="1:24" x14ac:dyDescent="0.3">
      <c r="A383" s="36">
        <v>45272</v>
      </c>
      <c r="B383" t="s">
        <v>90</v>
      </c>
      <c r="C383" t="s">
        <v>932</v>
      </c>
      <c r="G383" s="51">
        <v>45272</v>
      </c>
      <c r="J383" s="24">
        <v>1500000</v>
      </c>
      <c r="K383" t="s">
        <v>933</v>
      </c>
      <c r="L383">
        <v>2312121234</v>
      </c>
      <c r="M383" t="s">
        <v>91</v>
      </c>
      <c r="N383" t="s">
        <v>91</v>
      </c>
      <c r="P383" t="s">
        <v>137</v>
      </c>
      <c r="R383">
        <v>970422257057</v>
      </c>
      <c r="T383" s="24">
        <v>-27893926</v>
      </c>
      <c r="X383" t="s">
        <v>92</v>
      </c>
    </row>
    <row r="384" spans="1:24" x14ac:dyDescent="0.3">
      <c r="A384" s="36">
        <v>45272</v>
      </c>
      <c r="B384" t="s">
        <v>90</v>
      </c>
      <c r="C384" t="s">
        <v>934</v>
      </c>
      <c r="G384" s="51">
        <v>45272</v>
      </c>
      <c r="J384" s="24">
        <v>80000000</v>
      </c>
      <c r="K384" t="s">
        <v>935</v>
      </c>
      <c r="L384">
        <v>2312121707</v>
      </c>
      <c r="M384" t="s">
        <v>91</v>
      </c>
      <c r="N384" t="s">
        <v>91</v>
      </c>
      <c r="P384" t="s">
        <v>137</v>
      </c>
      <c r="R384">
        <v>686868042369</v>
      </c>
      <c r="T384" s="24">
        <v>52106074</v>
      </c>
      <c r="X384" t="s">
        <v>92</v>
      </c>
    </row>
    <row r="385" spans="1:24" x14ac:dyDescent="0.3">
      <c r="A385" s="36">
        <v>45272</v>
      </c>
      <c r="B385" t="s">
        <v>90</v>
      </c>
      <c r="C385" t="s">
        <v>936</v>
      </c>
      <c r="G385" s="51">
        <v>45272</v>
      </c>
      <c r="I385" s="24">
        <v>-49654000</v>
      </c>
      <c r="K385" t="s">
        <v>135</v>
      </c>
      <c r="L385">
        <v>2312121730</v>
      </c>
      <c r="M385" t="s">
        <v>91</v>
      </c>
      <c r="N385" t="s">
        <v>91</v>
      </c>
      <c r="O385" t="s">
        <v>136</v>
      </c>
      <c r="P385" t="s">
        <v>137</v>
      </c>
      <c r="R385" t="s">
        <v>937</v>
      </c>
      <c r="T385" s="24">
        <v>2452074</v>
      </c>
      <c r="X385" t="s">
        <v>92</v>
      </c>
    </row>
    <row r="386" spans="1:24" x14ac:dyDescent="0.3">
      <c r="A386" s="36">
        <v>45272</v>
      </c>
      <c r="B386" t="s">
        <v>90</v>
      </c>
      <c r="C386" t="s">
        <v>938</v>
      </c>
      <c r="G386" s="51">
        <v>45272</v>
      </c>
      <c r="I386" s="24">
        <v>-26820000</v>
      </c>
      <c r="K386">
        <v>2.0567838742036398E+19</v>
      </c>
      <c r="L386">
        <v>2312121736</v>
      </c>
      <c r="M386" t="s">
        <v>91</v>
      </c>
      <c r="N386" t="s">
        <v>91</v>
      </c>
      <c r="O386" t="s">
        <v>136</v>
      </c>
      <c r="P386" t="s">
        <v>137</v>
      </c>
      <c r="R386" t="s">
        <v>939</v>
      </c>
      <c r="T386" s="24">
        <v>-24367926</v>
      </c>
      <c r="X386" t="s">
        <v>92</v>
      </c>
    </row>
    <row r="387" spans="1:24" x14ac:dyDescent="0.3">
      <c r="A387" s="36">
        <v>45272</v>
      </c>
      <c r="B387" t="s">
        <v>90</v>
      </c>
      <c r="C387" t="s">
        <v>940</v>
      </c>
      <c r="G387" s="51">
        <v>45272</v>
      </c>
      <c r="I387" s="24">
        <v>-600000</v>
      </c>
      <c r="K387" t="s">
        <v>941</v>
      </c>
      <c r="L387">
        <v>2312121914</v>
      </c>
      <c r="M387" t="s">
        <v>91</v>
      </c>
      <c r="N387" t="s">
        <v>91</v>
      </c>
      <c r="O387" t="s">
        <v>136</v>
      </c>
      <c r="P387" t="s">
        <v>137</v>
      </c>
      <c r="R387" t="s">
        <v>942</v>
      </c>
      <c r="T387" s="24">
        <v>-24967926</v>
      </c>
      <c r="X387" t="s">
        <v>92</v>
      </c>
    </row>
    <row r="388" spans="1:24" x14ac:dyDescent="0.3">
      <c r="A388" s="36">
        <v>45273</v>
      </c>
      <c r="B388" t="s">
        <v>90</v>
      </c>
      <c r="C388" t="s">
        <v>943</v>
      </c>
      <c r="G388" s="51">
        <v>45273</v>
      </c>
      <c r="I388" s="24">
        <v>-10000000</v>
      </c>
      <c r="K388" t="s">
        <v>135</v>
      </c>
      <c r="L388">
        <v>2312130929</v>
      </c>
      <c r="M388" t="s">
        <v>91</v>
      </c>
      <c r="N388" t="s">
        <v>91</v>
      </c>
      <c r="O388" t="s">
        <v>136</v>
      </c>
      <c r="P388" t="s">
        <v>137</v>
      </c>
      <c r="R388" t="s">
        <v>944</v>
      </c>
      <c r="T388" s="24">
        <v>-34967926</v>
      </c>
      <c r="X388" t="s">
        <v>92</v>
      </c>
    </row>
    <row r="389" spans="1:24" x14ac:dyDescent="0.3">
      <c r="A389" s="36">
        <v>45273</v>
      </c>
      <c r="B389" t="s">
        <v>90</v>
      </c>
      <c r="C389" t="s">
        <v>945</v>
      </c>
      <c r="G389" s="51">
        <v>45273</v>
      </c>
      <c r="I389" s="24">
        <v>-800000</v>
      </c>
      <c r="K389" t="s">
        <v>135</v>
      </c>
      <c r="L389">
        <v>2312131045</v>
      </c>
      <c r="M389" t="s">
        <v>91</v>
      </c>
      <c r="N389" t="s">
        <v>91</v>
      </c>
      <c r="O389" t="s">
        <v>136</v>
      </c>
      <c r="P389" t="s">
        <v>137</v>
      </c>
      <c r="R389" t="s">
        <v>946</v>
      </c>
      <c r="T389" s="24">
        <v>-35767926</v>
      </c>
      <c r="X389" t="s">
        <v>92</v>
      </c>
    </row>
    <row r="390" spans="1:24" x14ac:dyDescent="0.3">
      <c r="A390" s="36">
        <v>45273</v>
      </c>
      <c r="B390" t="s">
        <v>90</v>
      </c>
      <c r="C390" t="s">
        <v>947</v>
      </c>
      <c r="G390" s="51">
        <v>45273</v>
      </c>
      <c r="J390" s="24">
        <v>3000000</v>
      </c>
      <c r="K390" t="s">
        <v>948</v>
      </c>
      <c r="L390">
        <v>2312131112</v>
      </c>
      <c r="M390" t="s">
        <v>91</v>
      </c>
      <c r="N390" t="s">
        <v>91</v>
      </c>
      <c r="P390" t="s">
        <v>137</v>
      </c>
      <c r="R390">
        <v>888899259389</v>
      </c>
      <c r="T390" s="24">
        <v>-32767926</v>
      </c>
      <c r="X390" t="s">
        <v>92</v>
      </c>
    </row>
    <row r="391" spans="1:24" x14ac:dyDescent="0.3">
      <c r="A391" s="36">
        <v>45273</v>
      </c>
      <c r="B391" t="s">
        <v>90</v>
      </c>
      <c r="C391" t="s">
        <v>949</v>
      </c>
      <c r="G391" s="51">
        <v>45273</v>
      </c>
      <c r="J391" s="24">
        <v>3721650</v>
      </c>
      <c r="K391" t="s">
        <v>950</v>
      </c>
      <c r="L391">
        <v>2312131143</v>
      </c>
      <c r="M391" t="s">
        <v>91</v>
      </c>
      <c r="N391" t="s">
        <v>91</v>
      </c>
      <c r="P391" t="s">
        <v>137</v>
      </c>
      <c r="R391">
        <v>686868076286</v>
      </c>
      <c r="T391" s="24">
        <v>-29046276</v>
      </c>
      <c r="X391" t="s">
        <v>92</v>
      </c>
    </row>
    <row r="392" spans="1:24" x14ac:dyDescent="0.3">
      <c r="A392" s="36">
        <v>45273</v>
      </c>
      <c r="B392" t="s">
        <v>90</v>
      </c>
      <c r="C392" t="s">
        <v>951</v>
      </c>
      <c r="G392" s="51">
        <v>45273</v>
      </c>
      <c r="I392" s="24">
        <v>-10000000</v>
      </c>
      <c r="K392" t="s">
        <v>135</v>
      </c>
      <c r="L392">
        <v>2312131340</v>
      </c>
      <c r="M392" t="s">
        <v>91</v>
      </c>
      <c r="N392" t="s">
        <v>91</v>
      </c>
      <c r="O392" t="s">
        <v>136</v>
      </c>
      <c r="P392" t="s">
        <v>137</v>
      </c>
      <c r="R392" t="s">
        <v>952</v>
      </c>
      <c r="T392" s="24">
        <v>-39046276</v>
      </c>
      <c r="X392" t="s">
        <v>92</v>
      </c>
    </row>
    <row r="393" spans="1:24" x14ac:dyDescent="0.3">
      <c r="A393" s="36">
        <v>45273</v>
      </c>
      <c r="B393" t="s">
        <v>90</v>
      </c>
      <c r="C393" t="s">
        <v>953</v>
      </c>
      <c r="G393" s="51">
        <v>45273</v>
      </c>
      <c r="J393" s="24">
        <v>1632000</v>
      </c>
      <c r="K393" t="s">
        <v>954</v>
      </c>
      <c r="L393">
        <v>2312131442</v>
      </c>
      <c r="M393" t="s">
        <v>91</v>
      </c>
      <c r="N393" t="s">
        <v>91</v>
      </c>
      <c r="O393" t="s">
        <v>136</v>
      </c>
      <c r="P393" t="s">
        <v>97</v>
      </c>
      <c r="R393">
        <v>49964109464</v>
      </c>
      <c r="T393" s="24">
        <v>-37414276</v>
      </c>
    </row>
    <row r="394" spans="1:24" x14ac:dyDescent="0.3">
      <c r="A394" s="36">
        <v>45273</v>
      </c>
      <c r="B394" t="s">
        <v>90</v>
      </c>
      <c r="C394" t="s">
        <v>955</v>
      </c>
      <c r="G394" s="51">
        <v>45273</v>
      </c>
      <c r="J394" s="24">
        <v>469000</v>
      </c>
      <c r="K394" t="s">
        <v>135</v>
      </c>
      <c r="L394">
        <v>2312131442</v>
      </c>
      <c r="M394" t="s">
        <v>91</v>
      </c>
      <c r="N394" t="s">
        <v>91</v>
      </c>
      <c r="O394" t="s">
        <v>136</v>
      </c>
      <c r="P394" t="s">
        <v>137</v>
      </c>
      <c r="R394" t="s">
        <v>956</v>
      </c>
      <c r="T394" s="24">
        <v>-36945276</v>
      </c>
    </row>
    <row r="395" spans="1:24" x14ac:dyDescent="0.3">
      <c r="A395" s="36">
        <v>45273</v>
      </c>
      <c r="B395" t="s">
        <v>90</v>
      </c>
      <c r="C395" t="s">
        <v>957</v>
      </c>
      <c r="G395" s="51">
        <v>45273</v>
      </c>
      <c r="J395" s="24">
        <v>480000</v>
      </c>
      <c r="K395" t="s">
        <v>958</v>
      </c>
      <c r="L395">
        <v>2312132053</v>
      </c>
      <c r="M395" t="s">
        <v>91</v>
      </c>
      <c r="N395" t="s">
        <v>91</v>
      </c>
      <c r="P395" t="s">
        <v>137</v>
      </c>
      <c r="R395">
        <v>970422672308</v>
      </c>
      <c r="T395" s="24">
        <v>-36465276</v>
      </c>
      <c r="X395" t="s">
        <v>92</v>
      </c>
    </row>
    <row r="396" spans="1:24" x14ac:dyDescent="0.3">
      <c r="A396" s="36">
        <v>45274</v>
      </c>
      <c r="B396" t="s">
        <v>90</v>
      </c>
      <c r="C396" t="s">
        <v>959</v>
      </c>
      <c r="G396" s="51">
        <v>45274</v>
      </c>
      <c r="I396" s="24">
        <v>-3200000</v>
      </c>
      <c r="K396" t="s">
        <v>135</v>
      </c>
      <c r="L396">
        <v>2312132154</v>
      </c>
      <c r="M396" t="s">
        <v>91</v>
      </c>
      <c r="N396" t="s">
        <v>91</v>
      </c>
      <c r="O396" t="s">
        <v>136</v>
      </c>
      <c r="P396" t="s">
        <v>137</v>
      </c>
      <c r="R396" t="s">
        <v>960</v>
      </c>
      <c r="T396" s="24">
        <v>-39665276</v>
      </c>
      <c r="X396" t="s">
        <v>92</v>
      </c>
    </row>
    <row r="397" spans="1:24" x14ac:dyDescent="0.3">
      <c r="A397" s="36">
        <v>45274</v>
      </c>
      <c r="B397" t="s">
        <v>90</v>
      </c>
      <c r="C397" t="s">
        <v>961</v>
      </c>
      <c r="G397" s="51">
        <v>45274</v>
      </c>
      <c r="I397" s="24">
        <v>-200000</v>
      </c>
      <c r="K397" t="s">
        <v>962</v>
      </c>
      <c r="L397">
        <v>2312141055</v>
      </c>
      <c r="M397" t="s">
        <v>91</v>
      </c>
      <c r="N397" t="s">
        <v>91</v>
      </c>
      <c r="O397" t="s">
        <v>136</v>
      </c>
      <c r="P397" t="s">
        <v>137</v>
      </c>
      <c r="R397" t="s">
        <v>963</v>
      </c>
      <c r="T397" s="24">
        <v>-39865276</v>
      </c>
      <c r="X397" t="s">
        <v>92</v>
      </c>
    </row>
    <row r="398" spans="1:24" x14ac:dyDescent="0.3">
      <c r="A398" s="36">
        <v>45274</v>
      </c>
      <c r="B398" t="s">
        <v>90</v>
      </c>
      <c r="C398" t="s">
        <v>964</v>
      </c>
      <c r="G398" s="51">
        <v>45274</v>
      </c>
      <c r="I398" s="24">
        <v>-20000</v>
      </c>
      <c r="K398" t="s">
        <v>965</v>
      </c>
      <c r="L398">
        <v>2312142010</v>
      </c>
      <c r="M398" t="s">
        <v>91</v>
      </c>
      <c r="N398" t="s">
        <v>91</v>
      </c>
      <c r="O398" t="s">
        <v>136</v>
      </c>
      <c r="P398" t="s">
        <v>97</v>
      </c>
      <c r="R398" t="s">
        <v>966</v>
      </c>
      <c r="T398" s="24">
        <v>-39885276</v>
      </c>
    </row>
    <row r="399" spans="1:24" x14ac:dyDescent="0.3">
      <c r="A399" s="36">
        <v>45274</v>
      </c>
      <c r="B399" t="s">
        <v>90</v>
      </c>
      <c r="C399" t="s">
        <v>967</v>
      </c>
      <c r="G399" s="51">
        <v>45274</v>
      </c>
      <c r="J399" s="24">
        <v>50000</v>
      </c>
      <c r="K399" t="s">
        <v>968</v>
      </c>
      <c r="L399">
        <v>2312142017</v>
      </c>
      <c r="M399" t="s">
        <v>91</v>
      </c>
      <c r="N399" t="s">
        <v>91</v>
      </c>
      <c r="P399" t="s">
        <v>137</v>
      </c>
      <c r="R399">
        <v>970415178219</v>
      </c>
      <c r="T399" s="24">
        <v>-39835276</v>
      </c>
      <c r="X399" t="s">
        <v>92</v>
      </c>
    </row>
    <row r="400" spans="1:24" x14ac:dyDescent="0.3">
      <c r="A400" s="36">
        <v>45274</v>
      </c>
      <c r="B400" t="s">
        <v>90</v>
      </c>
      <c r="C400" t="s">
        <v>969</v>
      </c>
      <c r="G400" s="51">
        <v>45274</v>
      </c>
      <c r="I400" s="24">
        <v>-100000</v>
      </c>
      <c r="K400" t="s">
        <v>970</v>
      </c>
      <c r="L400">
        <v>2312142020</v>
      </c>
      <c r="M400" t="s">
        <v>91</v>
      </c>
      <c r="N400" t="s">
        <v>91</v>
      </c>
      <c r="O400" t="s">
        <v>136</v>
      </c>
      <c r="P400" t="s">
        <v>137</v>
      </c>
      <c r="R400" t="s">
        <v>971</v>
      </c>
      <c r="T400" s="24">
        <v>-39935276</v>
      </c>
      <c r="X400" t="s">
        <v>92</v>
      </c>
    </row>
    <row r="401" spans="1:24" x14ac:dyDescent="0.3">
      <c r="A401" s="36">
        <v>45275</v>
      </c>
      <c r="B401" t="s">
        <v>90</v>
      </c>
      <c r="C401" t="s">
        <v>972</v>
      </c>
      <c r="G401" s="51">
        <v>45275</v>
      </c>
      <c r="J401" s="24">
        <v>12377000</v>
      </c>
      <c r="K401" t="s">
        <v>973</v>
      </c>
      <c r="L401">
        <v>2312142148</v>
      </c>
      <c r="M401" t="s">
        <v>91</v>
      </c>
      <c r="N401" t="s">
        <v>91</v>
      </c>
      <c r="P401" t="s">
        <v>137</v>
      </c>
      <c r="R401">
        <v>686868066980</v>
      </c>
      <c r="T401" s="24">
        <v>-27558276</v>
      </c>
      <c r="X401" t="s">
        <v>92</v>
      </c>
    </row>
    <row r="402" spans="1:24" x14ac:dyDescent="0.3">
      <c r="A402" s="36">
        <v>45275</v>
      </c>
      <c r="B402" t="s">
        <v>90</v>
      </c>
      <c r="C402" t="s">
        <v>974</v>
      </c>
      <c r="G402" s="51">
        <v>45275</v>
      </c>
      <c r="I402" s="24">
        <v>-250000</v>
      </c>
      <c r="K402" t="s">
        <v>135</v>
      </c>
      <c r="L402">
        <v>2312142157</v>
      </c>
      <c r="M402" t="s">
        <v>91</v>
      </c>
      <c r="N402" t="s">
        <v>91</v>
      </c>
      <c r="O402" t="s">
        <v>136</v>
      </c>
      <c r="P402" t="s">
        <v>137</v>
      </c>
      <c r="R402" t="s">
        <v>975</v>
      </c>
      <c r="T402" s="24">
        <v>-27808276</v>
      </c>
      <c r="X402" t="s">
        <v>92</v>
      </c>
    </row>
    <row r="403" spans="1:24" x14ac:dyDescent="0.3">
      <c r="A403" s="36">
        <v>45275</v>
      </c>
      <c r="B403" t="s">
        <v>90</v>
      </c>
      <c r="C403" t="s">
        <v>976</v>
      </c>
      <c r="G403" s="51">
        <v>45275</v>
      </c>
      <c r="I403" s="24">
        <v>-123000</v>
      </c>
      <c r="K403" t="s">
        <v>135</v>
      </c>
      <c r="L403">
        <v>2312142219</v>
      </c>
      <c r="M403" t="s">
        <v>91</v>
      </c>
      <c r="N403" t="s">
        <v>91</v>
      </c>
      <c r="O403" t="s">
        <v>136</v>
      </c>
      <c r="P403" t="s">
        <v>137</v>
      </c>
      <c r="R403" t="s">
        <v>977</v>
      </c>
      <c r="T403" s="24">
        <v>-27931276</v>
      </c>
      <c r="X403" t="s">
        <v>92</v>
      </c>
    </row>
    <row r="404" spans="1:24" x14ac:dyDescent="0.3">
      <c r="A404" s="36">
        <v>45275</v>
      </c>
      <c r="B404" t="s">
        <v>90</v>
      </c>
      <c r="C404" t="s">
        <v>978</v>
      </c>
      <c r="G404" s="51">
        <v>45275</v>
      </c>
      <c r="I404" s="24">
        <v>-5000000</v>
      </c>
      <c r="K404" t="s">
        <v>135</v>
      </c>
      <c r="L404">
        <v>2312151241</v>
      </c>
      <c r="M404" t="s">
        <v>91</v>
      </c>
      <c r="N404" t="s">
        <v>91</v>
      </c>
      <c r="O404" t="s">
        <v>136</v>
      </c>
      <c r="P404" t="s">
        <v>137</v>
      </c>
      <c r="R404" t="s">
        <v>979</v>
      </c>
      <c r="T404" s="24">
        <v>-32931276</v>
      </c>
    </row>
    <row r="405" spans="1:24" x14ac:dyDescent="0.3">
      <c r="A405" s="36">
        <v>45275</v>
      </c>
      <c r="B405" t="s">
        <v>90</v>
      </c>
      <c r="C405" t="s">
        <v>980</v>
      </c>
      <c r="G405" s="51">
        <v>45275</v>
      </c>
      <c r="J405" s="24">
        <v>1370893</v>
      </c>
      <c r="K405" t="s">
        <v>981</v>
      </c>
      <c r="L405">
        <v>2312151534</v>
      </c>
      <c r="M405" t="s">
        <v>91</v>
      </c>
      <c r="N405" t="s">
        <v>91</v>
      </c>
      <c r="P405" t="s">
        <v>137</v>
      </c>
      <c r="R405">
        <v>970406108893</v>
      </c>
      <c r="T405" s="24">
        <v>-31560383</v>
      </c>
      <c r="X405" t="s">
        <v>92</v>
      </c>
    </row>
    <row r="406" spans="1:24" x14ac:dyDescent="0.3">
      <c r="A406" s="36">
        <v>45275</v>
      </c>
      <c r="B406" t="s">
        <v>90</v>
      </c>
      <c r="C406" t="s">
        <v>982</v>
      </c>
      <c r="G406" s="51">
        <v>45275</v>
      </c>
      <c r="I406" s="24">
        <v>-3211000</v>
      </c>
      <c r="K406" t="s">
        <v>970</v>
      </c>
      <c r="L406">
        <v>2312151537</v>
      </c>
      <c r="M406" t="s">
        <v>91</v>
      </c>
      <c r="N406" t="s">
        <v>91</v>
      </c>
      <c r="O406" t="s">
        <v>136</v>
      </c>
      <c r="P406" t="s">
        <v>137</v>
      </c>
      <c r="R406" t="s">
        <v>983</v>
      </c>
      <c r="T406" s="24">
        <v>-34771383</v>
      </c>
      <c r="X406" t="s">
        <v>92</v>
      </c>
    </row>
    <row r="407" spans="1:24" x14ac:dyDescent="0.3">
      <c r="A407" s="36">
        <v>45275</v>
      </c>
      <c r="B407" t="s">
        <v>90</v>
      </c>
      <c r="C407" t="s">
        <v>984</v>
      </c>
      <c r="G407" s="51">
        <v>45275</v>
      </c>
      <c r="I407" s="24">
        <v>-700000</v>
      </c>
      <c r="K407" t="s">
        <v>135</v>
      </c>
      <c r="L407">
        <v>2312151652</v>
      </c>
      <c r="M407" t="s">
        <v>91</v>
      </c>
      <c r="N407" t="s">
        <v>91</v>
      </c>
      <c r="O407" t="s">
        <v>136</v>
      </c>
      <c r="P407" t="s">
        <v>137</v>
      </c>
      <c r="R407" t="s">
        <v>985</v>
      </c>
      <c r="T407" s="24">
        <v>-35471383</v>
      </c>
      <c r="X407" t="s">
        <v>92</v>
      </c>
    </row>
    <row r="408" spans="1:24" x14ac:dyDescent="0.3">
      <c r="A408" s="36">
        <v>45275</v>
      </c>
      <c r="B408" t="s">
        <v>90</v>
      </c>
      <c r="C408" t="s">
        <v>986</v>
      </c>
      <c r="G408" s="51">
        <v>45275</v>
      </c>
      <c r="J408" s="24">
        <v>600000</v>
      </c>
      <c r="K408" t="s">
        <v>987</v>
      </c>
      <c r="L408">
        <v>2312151829</v>
      </c>
      <c r="M408" t="s">
        <v>91</v>
      </c>
      <c r="N408" t="s">
        <v>91</v>
      </c>
      <c r="P408" t="s">
        <v>137</v>
      </c>
      <c r="R408">
        <v>686868038478</v>
      </c>
      <c r="T408" s="24">
        <v>-34871383</v>
      </c>
      <c r="X408" t="s">
        <v>92</v>
      </c>
    </row>
    <row r="409" spans="1:24" x14ac:dyDescent="0.3">
      <c r="A409" s="36">
        <v>45276</v>
      </c>
      <c r="B409" t="s">
        <v>90</v>
      </c>
      <c r="C409" t="s">
        <v>988</v>
      </c>
      <c r="G409" s="51">
        <v>45276</v>
      </c>
      <c r="J409" s="24">
        <v>19808000</v>
      </c>
      <c r="K409" t="s">
        <v>989</v>
      </c>
      <c r="L409">
        <v>2312160720</v>
      </c>
      <c r="M409" t="s">
        <v>91</v>
      </c>
      <c r="N409" t="s">
        <v>91</v>
      </c>
      <c r="P409" t="s">
        <v>137</v>
      </c>
      <c r="R409">
        <v>970416853018</v>
      </c>
      <c r="T409" s="24">
        <v>-15063383</v>
      </c>
      <c r="X409" t="s">
        <v>92</v>
      </c>
    </row>
    <row r="410" spans="1:24" x14ac:dyDescent="0.3">
      <c r="A410" s="36">
        <v>45276</v>
      </c>
      <c r="B410" t="s">
        <v>90</v>
      </c>
      <c r="C410" t="s">
        <v>990</v>
      </c>
      <c r="G410" s="51">
        <v>45276</v>
      </c>
      <c r="I410" s="24">
        <v>-20000000</v>
      </c>
      <c r="K410" t="s">
        <v>135</v>
      </c>
      <c r="L410">
        <v>2312160722</v>
      </c>
      <c r="M410" t="s">
        <v>91</v>
      </c>
      <c r="N410" t="s">
        <v>91</v>
      </c>
      <c r="O410" t="s">
        <v>136</v>
      </c>
      <c r="P410" t="s">
        <v>137</v>
      </c>
      <c r="R410" t="s">
        <v>991</v>
      </c>
      <c r="T410" s="24">
        <v>-35063383</v>
      </c>
      <c r="X410" t="s">
        <v>92</v>
      </c>
    </row>
    <row r="411" spans="1:24" x14ac:dyDescent="0.3">
      <c r="A411" s="36">
        <v>45276</v>
      </c>
      <c r="B411" t="s">
        <v>90</v>
      </c>
      <c r="C411" t="s">
        <v>992</v>
      </c>
      <c r="G411" s="51">
        <v>45276</v>
      </c>
      <c r="I411" s="24">
        <v>-55000</v>
      </c>
      <c r="K411" t="s">
        <v>135</v>
      </c>
      <c r="L411">
        <v>2312160844</v>
      </c>
      <c r="M411" t="s">
        <v>91</v>
      </c>
      <c r="N411" t="s">
        <v>91</v>
      </c>
      <c r="O411" t="s">
        <v>136</v>
      </c>
      <c r="P411" t="s">
        <v>137</v>
      </c>
      <c r="R411" t="s">
        <v>993</v>
      </c>
      <c r="T411" s="24">
        <v>-35118383</v>
      </c>
      <c r="X411" t="s">
        <v>92</v>
      </c>
    </row>
    <row r="412" spans="1:24" x14ac:dyDescent="0.3">
      <c r="A412" s="36">
        <v>45276</v>
      </c>
      <c r="B412" t="s">
        <v>90</v>
      </c>
      <c r="C412" t="s">
        <v>994</v>
      </c>
      <c r="G412" s="51">
        <v>45276</v>
      </c>
      <c r="I412" s="24">
        <v>-1000000</v>
      </c>
      <c r="K412" t="s">
        <v>135</v>
      </c>
      <c r="L412">
        <v>2312161652</v>
      </c>
      <c r="M412" t="s">
        <v>91</v>
      </c>
      <c r="N412" t="s">
        <v>91</v>
      </c>
      <c r="O412" t="s">
        <v>136</v>
      </c>
      <c r="P412" t="s">
        <v>137</v>
      </c>
      <c r="R412" t="s">
        <v>995</v>
      </c>
      <c r="T412" s="24">
        <v>-36118383</v>
      </c>
      <c r="X412" t="s">
        <v>92</v>
      </c>
    </row>
    <row r="413" spans="1:24" x14ac:dyDescent="0.3">
      <c r="A413" s="36">
        <v>45276</v>
      </c>
      <c r="B413" t="s">
        <v>90</v>
      </c>
      <c r="C413" t="s">
        <v>996</v>
      </c>
      <c r="G413" s="51">
        <v>45276</v>
      </c>
      <c r="J413" s="24">
        <v>7413600</v>
      </c>
      <c r="K413" t="s">
        <v>997</v>
      </c>
      <c r="L413">
        <v>2312161815</v>
      </c>
      <c r="M413" t="s">
        <v>91</v>
      </c>
      <c r="N413" t="s">
        <v>91</v>
      </c>
      <c r="P413" t="s">
        <v>137</v>
      </c>
      <c r="R413">
        <v>970416468526</v>
      </c>
      <c r="T413" s="24">
        <v>-28704783</v>
      </c>
      <c r="X413" t="s">
        <v>92</v>
      </c>
    </row>
    <row r="414" spans="1:24" x14ac:dyDescent="0.3">
      <c r="A414" s="36">
        <v>45276</v>
      </c>
      <c r="B414" t="s">
        <v>90</v>
      </c>
      <c r="C414" t="s">
        <v>998</v>
      </c>
      <c r="G414" s="51">
        <v>45276</v>
      </c>
      <c r="I414" s="24">
        <v>-10000000</v>
      </c>
      <c r="K414" t="s">
        <v>135</v>
      </c>
      <c r="L414">
        <v>2312161818</v>
      </c>
      <c r="M414" t="s">
        <v>91</v>
      </c>
      <c r="N414" t="s">
        <v>91</v>
      </c>
      <c r="O414" t="s">
        <v>136</v>
      </c>
      <c r="P414" t="s">
        <v>137</v>
      </c>
      <c r="R414" t="s">
        <v>999</v>
      </c>
      <c r="T414" s="24">
        <v>-38704783</v>
      </c>
      <c r="X414" t="s">
        <v>92</v>
      </c>
    </row>
    <row r="415" spans="1:24" x14ac:dyDescent="0.3">
      <c r="A415" s="36">
        <v>45276</v>
      </c>
      <c r="B415" t="s">
        <v>90</v>
      </c>
      <c r="C415" t="s">
        <v>1000</v>
      </c>
      <c r="G415" s="51">
        <v>45276</v>
      </c>
      <c r="I415" s="24">
        <v>-1200000</v>
      </c>
      <c r="K415" t="s">
        <v>1001</v>
      </c>
      <c r="L415">
        <v>2312161819</v>
      </c>
      <c r="M415" t="s">
        <v>91</v>
      </c>
      <c r="N415" t="s">
        <v>91</v>
      </c>
      <c r="O415" t="s">
        <v>136</v>
      </c>
      <c r="P415" t="s">
        <v>137</v>
      </c>
      <c r="R415" t="s">
        <v>1002</v>
      </c>
      <c r="T415" s="24">
        <v>-39904783</v>
      </c>
      <c r="X415" t="s">
        <v>92</v>
      </c>
    </row>
    <row r="416" spans="1:24" x14ac:dyDescent="0.3">
      <c r="A416" s="36">
        <v>45276</v>
      </c>
      <c r="B416" t="s">
        <v>90</v>
      </c>
      <c r="C416" t="s">
        <v>1003</v>
      </c>
      <c r="G416" s="51">
        <v>45276</v>
      </c>
      <c r="J416" s="24">
        <v>74175000</v>
      </c>
      <c r="K416" t="s">
        <v>1004</v>
      </c>
      <c r="L416">
        <v>2312161842</v>
      </c>
      <c r="M416" t="s">
        <v>91</v>
      </c>
      <c r="N416" t="s">
        <v>91</v>
      </c>
      <c r="P416" t="s">
        <v>137</v>
      </c>
      <c r="R416">
        <v>970416496373</v>
      </c>
      <c r="T416" s="24">
        <v>34270217</v>
      </c>
      <c r="X416" t="s">
        <v>92</v>
      </c>
    </row>
    <row r="417" spans="1:24" x14ac:dyDescent="0.3">
      <c r="A417" s="36">
        <v>45278</v>
      </c>
      <c r="B417" t="s">
        <v>90</v>
      </c>
      <c r="C417" t="s">
        <v>1005</v>
      </c>
      <c r="G417" s="51">
        <v>45278</v>
      </c>
      <c r="I417" s="24">
        <v>-1300000</v>
      </c>
      <c r="K417" t="s">
        <v>970</v>
      </c>
      <c r="L417">
        <v>2312171818</v>
      </c>
      <c r="M417" t="s">
        <v>91</v>
      </c>
      <c r="N417" t="s">
        <v>91</v>
      </c>
      <c r="O417" t="s">
        <v>136</v>
      </c>
      <c r="P417" t="s">
        <v>137</v>
      </c>
      <c r="R417" t="s">
        <v>1006</v>
      </c>
      <c r="T417" s="24">
        <v>32970217</v>
      </c>
      <c r="X417" t="s">
        <v>92</v>
      </c>
    </row>
    <row r="418" spans="1:24" x14ac:dyDescent="0.3">
      <c r="A418" s="36">
        <v>45278</v>
      </c>
      <c r="B418" t="s">
        <v>90</v>
      </c>
      <c r="C418" t="s">
        <v>1007</v>
      </c>
      <c r="G418" s="51">
        <v>45278</v>
      </c>
      <c r="I418" s="24">
        <v>-237000</v>
      </c>
      <c r="K418" t="s">
        <v>135</v>
      </c>
      <c r="L418">
        <v>2312172046</v>
      </c>
      <c r="M418" t="s">
        <v>91</v>
      </c>
      <c r="N418" t="s">
        <v>91</v>
      </c>
      <c r="O418" t="s">
        <v>136</v>
      </c>
      <c r="P418" t="s">
        <v>137</v>
      </c>
      <c r="R418" t="s">
        <v>1008</v>
      </c>
      <c r="T418" s="24">
        <v>32733217</v>
      </c>
      <c r="X418" t="s">
        <v>92</v>
      </c>
    </row>
    <row r="419" spans="1:24" x14ac:dyDescent="0.3">
      <c r="A419" s="36">
        <v>45278</v>
      </c>
      <c r="B419" t="s">
        <v>90</v>
      </c>
      <c r="C419" t="s">
        <v>1009</v>
      </c>
      <c r="G419" s="51">
        <v>45278</v>
      </c>
      <c r="I419" s="24">
        <v>-66954600</v>
      </c>
      <c r="K419">
        <v>2.05699343177513E+19</v>
      </c>
      <c r="L419">
        <v>2312181223</v>
      </c>
      <c r="M419" t="s">
        <v>91</v>
      </c>
      <c r="N419" t="s">
        <v>91</v>
      </c>
      <c r="O419" t="s">
        <v>136</v>
      </c>
      <c r="P419" t="s">
        <v>137</v>
      </c>
      <c r="R419" t="s">
        <v>1010</v>
      </c>
      <c r="T419" s="24">
        <v>-34221383</v>
      </c>
      <c r="X419" t="s">
        <v>92</v>
      </c>
    </row>
    <row r="420" spans="1:24" x14ac:dyDescent="0.3">
      <c r="A420" s="36">
        <v>45278</v>
      </c>
      <c r="B420" t="s">
        <v>90</v>
      </c>
      <c r="C420" t="s">
        <v>1011</v>
      </c>
      <c r="G420" s="51">
        <v>45278</v>
      </c>
      <c r="J420" s="24">
        <v>17360700</v>
      </c>
      <c r="K420" t="s">
        <v>1012</v>
      </c>
      <c r="L420">
        <v>2312182034</v>
      </c>
      <c r="M420" t="s">
        <v>91</v>
      </c>
      <c r="N420" t="s">
        <v>91</v>
      </c>
      <c r="P420" t="s">
        <v>137</v>
      </c>
      <c r="R420">
        <v>686868080743</v>
      </c>
      <c r="T420" s="24">
        <v>-16860683</v>
      </c>
      <c r="X420" t="s">
        <v>92</v>
      </c>
    </row>
    <row r="421" spans="1:24" x14ac:dyDescent="0.3">
      <c r="A421" s="36">
        <v>45278</v>
      </c>
      <c r="B421" t="s">
        <v>90</v>
      </c>
      <c r="C421" t="s">
        <v>1013</v>
      </c>
      <c r="G421" s="51">
        <v>45278</v>
      </c>
      <c r="I421" s="24">
        <v>-10000000</v>
      </c>
      <c r="K421" t="s">
        <v>135</v>
      </c>
      <c r="L421">
        <v>2312182036</v>
      </c>
      <c r="M421" t="s">
        <v>91</v>
      </c>
      <c r="N421" t="s">
        <v>91</v>
      </c>
      <c r="O421" t="s">
        <v>136</v>
      </c>
      <c r="P421" t="s">
        <v>137</v>
      </c>
      <c r="R421" t="s">
        <v>1014</v>
      </c>
      <c r="T421" s="24">
        <v>-26860683</v>
      </c>
      <c r="X421" t="s">
        <v>92</v>
      </c>
    </row>
    <row r="422" spans="1:24" x14ac:dyDescent="0.3">
      <c r="A422" s="36">
        <v>45279</v>
      </c>
      <c r="B422" t="s">
        <v>90</v>
      </c>
      <c r="C422" t="s">
        <v>1015</v>
      </c>
      <c r="G422" s="51">
        <v>45279</v>
      </c>
      <c r="I422" s="24">
        <v>-10000000</v>
      </c>
      <c r="K422" t="s">
        <v>135</v>
      </c>
      <c r="L422">
        <v>2312191107</v>
      </c>
      <c r="M422" t="s">
        <v>91</v>
      </c>
      <c r="N422" t="s">
        <v>91</v>
      </c>
      <c r="O422" t="s">
        <v>136</v>
      </c>
      <c r="P422" t="s">
        <v>137</v>
      </c>
      <c r="R422" t="s">
        <v>1016</v>
      </c>
      <c r="T422" s="24">
        <v>-36860683</v>
      </c>
      <c r="X422" t="s">
        <v>92</v>
      </c>
    </row>
    <row r="423" spans="1:24" x14ac:dyDescent="0.3">
      <c r="A423" s="36">
        <v>45280</v>
      </c>
      <c r="B423" t="s">
        <v>90</v>
      </c>
      <c r="C423" t="s">
        <v>1017</v>
      </c>
      <c r="G423" s="51">
        <v>45280</v>
      </c>
      <c r="I423" s="24">
        <v>-2483700</v>
      </c>
      <c r="K423">
        <v>2.05706900071972E+19</v>
      </c>
      <c r="L423">
        <v>2312201426</v>
      </c>
      <c r="M423" t="s">
        <v>91</v>
      </c>
      <c r="N423" t="s">
        <v>91</v>
      </c>
      <c r="O423" t="s">
        <v>136</v>
      </c>
      <c r="P423" t="s">
        <v>137</v>
      </c>
      <c r="R423" t="s">
        <v>1018</v>
      </c>
      <c r="T423" s="24">
        <v>-39344383</v>
      </c>
      <c r="X423" t="s">
        <v>92</v>
      </c>
    </row>
    <row r="424" spans="1:24" x14ac:dyDescent="0.3">
      <c r="A424" s="36">
        <v>45280</v>
      </c>
      <c r="B424" t="s">
        <v>90</v>
      </c>
      <c r="C424" t="s">
        <v>1019</v>
      </c>
      <c r="G424" s="51">
        <v>45280</v>
      </c>
      <c r="I424" s="24">
        <v>-500000</v>
      </c>
      <c r="K424" t="s">
        <v>135</v>
      </c>
      <c r="L424">
        <v>2312201508</v>
      </c>
      <c r="M424" t="s">
        <v>91</v>
      </c>
      <c r="N424" t="s">
        <v>91</v>
      </c>
      <c r="O424" t="s">
        <v>136</v>
      </c>
      <c r="P424" t="s">
        <v>137</v>
      </c>
      <c r="R424" t="s">
        <v>1020</v>
      </c>
      <c r="T424" s="24">
        <v>-39844383</v>
      </c>
      <c r="X424" t="s">
        <v>92</v>
      </c>
    </row>
    <row r="425" spans="1:24" x14ac:dyDescent="0.3">
      <c r="A425" s="36">
        <v>45280</v>
      </c>
      <c r="B425" t="s">
        <v>90</v>
      </c>
      <c r="C425" t="s">
        <v>1021</v>
      </c>
      <c r="G425" s="51">
        <v>45280</v>
      </c>
      <c r="J425" s="24">
        <v>746705</v>
      </c>
      <c r="K425" t="s">
        <v>135</v>
      </c>
      <c r="L425">
        <v>2312201729</v>
      </c>
      <c r="M425" t="s">
        <v>91</v>
      </c>
      <c r="N425" t="s">
        <v>91</v>
      </c>
      <c r="O425" t="s">
        <v>136</v>
      </c>
      <c r="P425" t="s">
        <v>137</v>
      </c>
      <c r="R425" t="s">
        <v>1022</v>
      </c>
      <c r="T425" s="24">
        <v>-39097678</v>
      </c>
    </row>
    <row r="426" spans="1:24" x14ac:dyDescent="0.3">
      <c r="A426" s="36">
        <v>45280</v>
      </c>
      <c r="B426" t="s">
        <v>90</v>
      </c>
      <c r="C426" t="s">
        <v>1023</v>
      </c>
      <c r="G426" s="51">
        <v>45280</v>
      </c>
      <c r="I426" s="24">
        <v>-900000</v>
      </c>
      <c r="K426" t="s">
        <v>135</v>
      </c>
      <c r="L426">
        <v>2312201730</v>
      </c>
      <c r="M426" t="s">
        <v>91</v>
      </c>
      <c r="N426" t="s">
        <v>91</v>
      </c>
      <c r="O426" t="s">
        <v>136</v>
      </c>
      <c r="P426" t="s">
        <v>137</v>
      </c>
      <c r="R426" t="s">
        <v>1024</v>
      </c>
      <c r="T426" s="24">
        <v>-39997678</v>
      </c>
      <c r="X426" t="s">
        <v>92</v>
      </c>
    </row>
    <row r="427" spans="1:24" x14ac:dyDescent="0.3">
      <c r="A427" s="36">
        <v>45282</v>
      </c>
      <c r="B427" t="s">
        <v>90</v>
      </c>
      <c r="C427" t="s">
        <v>1025</v>
      </c>
      <c r="G427" s="51">
        <v>45282</v>
      </c>
      <c r="J427" s="24">
        <v>9930800</v>
      </c>
      <c r="K427" t="s">
        <v>1026</v>
      </c>
      <c r="L427">
        <v>2312222109</v>
      </c>
      <c r="M427" t="s">
        <v>91</v>
      </c>
      <c r="N427" t="s">
        <v>91</v>
      </c>
      <c r="P427" t="s">
        <v>137</v>
      </c>
      <c r="R427">
        <v>970422490165</v>
      </c>
      <c r="T427" s="24">
        <v>-30066878</v>
      </c>
      <c r="X427" t="s">
        <v>92</v>
      </c>
    </row>
    <row r="428" spans="1:24" x14ac:dyDescent="0.3">
      <c r="A428" s="36">
        <v>45282</v>
      </c>
      <c r="B428" t="s">
        <v>90</v>
      </c>
      <c r="C428" t="s">
        <v>1027</v>
      </c>
      <c r="G428" s="51">
        <v>45282</v>
      </c>
      <c r="I428" s="24">
        <v>-9000000</v>
      </c>
      <c r="K428" t="s">
        <v>1028</v>
      </c>
      <c r="L428">
        <v>2312222118</v>
      </c>
      <c r="M428" t="s">
        <v>91</v>
      </c>
      <c r="N428" t="s">
        <v>91</v>
      </c>
      <c r="O428" t="s">
        <v>136</v>
      </c>
      <c r="P428" t="s">
        <v>137</v>
      </c>
      <c r="R428" t="s">
        <v>1029</v>
      </c>
      <c r="T428" s="24">
        <v>-39066878</v>
      </c>
      <c r="X428" t="s">
        <v>92</v>
      </c>
    </row>
    <row r="429" spans="1:24" x14ac:dyDescent="0.3">
      <c r="A429" s="36">
        <v>45283</v>
      </c>
      <c r="B429" t="s">
        <v>90</v>
      </c>
      <c r="C429" t="s">
        <v>1030</v>
      </c>
      <c r="G429" s="51">
        <v>45283</v>
      </c>
      <c r="J429" s="24">
        <v>4965400</v>
      </c>
      <c r="K429" t="s">
        <v>1031</v>
      </c>
      <c r="L429">
        <v>2312231739</v>
      </c>
      <c r="M429" t="s">
        <v>91</v>
      </c>
      <c r="N429" t="s">
        <v>91</v>
      </c>
      <c r="P429" t="s">
        <v>137</v>
      </c>
      <c r="R429">
        <v>970415163081</v>
      </c>
      <c r="T429" s="24">
        <v>-34101478</v>
      </c>
      <c r="X429" t="s">
        <v>92</v>
      </c>
    </row>
    <row r="430" spans="1:24" x14ac:dyDescent="0.3">
      <c r="A430" s="36">
        <v>45283</v>
      </c>
      <c r="B430" t="s">
        <v>90</v>
      </c>
      <c r="C430" t="s">
        <v>1032</v>
      </c>
      <c r="G430" s="51">
        <v>45283</v>
      </c>
      <c r="I430" s="24">
        <v>-5000000</v>
      </c>
      <c r="K430" t="s">
        <v>135</v>
      </c>
      <c r="L430">
        <v>2312231741</v>
      </c>
      <c r="M430" t="s">
        <v>91</v>
      </c>
      <c r="N430" t="s">
        <v>91</v>
      </c>
      <c r="O430" t="s">
        <v>136</v>
      </c>
      <c r="P430" t="s">
        <v>137</v>
      </c>
      <c r="R430" t="s">
        <v>1033</v>
      </c>
      <c r="T430" s="24">
        <v>-39101478</v>
      </c>
      <c r="X430" t="s">
        <v>92</v>
      </c>
    </row>
    <row r="431" spans="1:24" x14ac:dyDescent="0.3">
      <c r="A431" s="36">
        <v>45283</v>
      </c>
      <c r="B431" t="s">
        <v>90</v>
      </c>
      <c r="C431" t="s">
        <v>1034</v>
      </c>
      <c r="G431" s="51">
        <v>45283</v>
      </c>
      <c r="I431" s="24">
        <v>-242000</v>
      </c>
      <c r="K431" t="s">
        <v>135</v>
      </c>
      <c r="L431">
        <v>2312231848</v>
      </c>
      <c r="M431" t="s">
        <v>91</v>
      </c>
      <c r="N431" t="s">
        <v>91</v>
      </c>
      <c r="O431" t="s">
        <v>136</v>
      </c>
      <c r="P431" t="s">
        <v>137</v>
      </c>
      <c r="R431" t="s">
        <v>1035</v>
      </c>
      <c r="T431" s="24">
        <v>-39343478</v>
      </c>
      <c r="X431" t="s">
        <v>92</v>
      </c>
    </row>
    <row r="432" spans="1:24" x14ac:dyDescent="0.3">
      <c r="A432" s="36">
        <v>45285</v>
      </c>
      <c r="B432" t="s">
        <v>90</v>
      </c>
      <c r="C432" t="s">
        <v>1036</v>
      </c>
      <c r="G432" s="51">
        <v>45285</v>
      </c>
      <c r="I432" s="24">
        <v>-650000</v>
      </c>
      <c r="K432" t="s">
        <v>135</v>
      </c>
      <c r="L432">
        <v>2312241117</v>
      </c>
      <c r="M432" t="s">
        <v>91</v>
      </c>
      <c r="N432" t="s">
        <v>91</v>
      </c>
      <c r="O432" t="s">
        <v>136</v>
      </c>
      <c r="P432" t="s">
        <v>137</v>
      </c>
      <c r="R432" t="s">
        <v>1037</v>
      </c>
      <c r="T432" s="24">
        <v>-39993478</v>
      </c>
      <c r="X432" t="s">
        <v>92</v>
      </c>
    </row>
    <row r="433" spans="1:24" x14ac:dyDescent="0.3">
      <c r="A433" s="36">
        <v>45285</v>
      </c>
      <c r="B433" t="s">
        <v>90</v>
      </c>
      <c r="C433" t="s">
        <v>1038</v>
      </c>
      <c r="G433" s="51">
        <v>45285</v>
      </c>
      <c r="J433" s="24">
        <v>2981520</v>
      </c>
      <c r="K433" t="s">
        <v>1039</v>
      </c>
      <c r="L433">
        <v>2312251210</v>
      </c>
      <c r="M433" t="s">
        <v>91</v>
      </c>
      <c r="N433" t="s">
        <v>91</v>
      </c>
      <c r="P433" t="s">
        <v>137</v>
      </c>
      <c r="R433">
        <v>970415154617</v>
      </c>
      <c r="T433" s="24">
        <v>-37011958</v>
      </c>
      <c r="X433" t="s">
        <v>92</v>
      </c>
    </row>
    <row r="434" spans="1:24" x14ac:dyDescent="0.3">
      <c r="A434" s="36">
        <v>45285</v>
      </c>
      <c r="B434" t="s">
        <v>90</v>
      </c>
      <c r="C434" t="s">
        <v>1040</v>
      </c>
      <c r="G434" s="51">
        <v>45285</v>
      </c>
      <c r="I434" s="24">
        <v>-1750000</v>
      </c>
      <c r="K434" t="s">
        <v>135</v>
      </c>
      <c r="L434">
        <v>2312251658</v>
      </c>
      <c r="M434" t="s">
        <v>91</v>
      </c>
      <c r="N434" t="s">
        <v>91</v>
      </c>
      <c r="O434" t="s">
        <v>136</v>
      </c>
      <c r="P434" t="s">
        <v>137</v>
      </c>
      <c r="R434" t="s">
        <v>1041</v>
      </c>
      <c r="T434" s="24">
        <v>-38761958</v>
      </c>
      <c r="X434" t="s">
        <v>92</v>
      </c>
    </row>
    <row r="435" spans="1:24" x14ac:dyDescent="0.3">
      <c r="A435" s="36">
        <v>45285</v>
      </c>
      <c r="B435" t="s">
        <v>90</v>
      </c>
      <c r="C435" t="s">
        <v>1042</v>
      </c>
      <c r="G435" s="51">
        <v>45285</v>
      </c>
      <c r="I435" s="24">
        <v>-300000</v>
      </c>
      <c r="L435">
        <v>2312252130</v>
      </c>
      <c r="M435" t="s">
        <v>91</v>
      </c>
      <c r="N435" t="s">
        <v>91</v>
      </c>
      <c r="O435" t="s">
        <v>136</v>
      </c>
      <c r="P435" t="s">
        <v>137</v>
      </c>
      <c r="R435" t="s">
        <v>1043</v>
      </c>
      <c r="T435" s="24">
        <v>-39061958</v>
      </c>
    </row>
    <row r="436" spans="1:24" x14ac:dyDescent="0.3">
      <c r="A436" s="36">
        <v>45287</v>
      </c>
      <c r="B436" t="s">
        <v>90</v>
      </c>
      <c r="C436" t="s">
        <v>1044</v>
      </c>
      <c r="G436" s="51">
        <v>45287</v>
      </c>
      <c r="J436" s="24">
        <v>7443900</v>
      </c>
      <c r="K436" t="s">
        <v>1045</v>
      </c>
      <c r="L436">
        <v>2312270519</v>
      </c>
      <c r="M436" t="s">
        <v>91</v>
      </c>
      <c r="N436" t="s">
        <v>91</v>
      </c>
      <c r="P436" t="s">
        <v>137</v>
      </c>
      <c r="R436">
        <v>970416209370</v>
      </c>
      <c r="T436" s="24">
        <v>-31618058</v>
      </c>
      <c r="X436" t="s">
        <v>92</v>
      </c>
    </row>
    <row r="437" spans="1:24" x14ac:dyDescent="0.3">
      <c r="A437" s="36">
        <v>45287</v>
      </c>
      <c r="B437" t="s">
        <v>90</v>
      </c>
      <c r="C437" t="s">
        <v>1046</v>
      </c>
      <c r="G437" s="51">
        <v>45287</v>
      </c>
      <c r="I437" s="24">
        <v>-1000000</v>
      </c>
      <c r="K437" t="s">
        <v>135</v>
      </c>
      <c r="L437">
        <v>2312270523</v>
      </c>
      <c r="M437" t="s">
        <v>91</v>
      </c>
      <c r="N437" t="s">
        <v>91</v>
      </c>
      <c r="O437" t="s">
        <v>136</v>
      </c>
      <c r="P437" t="s">
        <v>137</v>
      </c>
      <c r="R437" t="s">
        <v>1047</v>
      </c>
      <c r="T437" s="24">
        <v>-32618058</v>
      </c>
      <c r="X437" t="s">
        <v>92</v>
      </c>
    </row>
    <row r="438" spans="1:24" x14ac:dyDescent="0.3">
      <c r="A438" s="36">
        <v>45287</v>
      </c>
      <c r="B438" t="s">
        <v>90</v>
      </c>
      <c r="C438" t="s">
        <v>1048</v>
      </c>
      <c r="G438" s="51">
        <v>45287</v>
      </c>
      <c r="I438" s="24">
        <v>-1000000</v>
      </c>
      <c r="K438" t="s">
        <v>135</v>
      </c>
      <c r="L438">
        <v>2312270723</v>
      </c>
      <c r="M438" t="s">
        <v>91</v>
      </c>
      <c r="N438" t="s">
        <v>91</v>
      </c>
      <c r="O438" t="s">
        <v>136</v>
      </c>
      <c r="P438" t="s">
        <v>137</v>
      </c>
      <c r="R438" t="s">
        <v>1049</v>
      </c>
      <c r="T438" s="24">
        <v>-33618058</v>
      </c>
      <c r="X438" t="s">
        <v>92</v>
      </c>
    </row>
    <row r="439" spans="1:24" x14ac:dyDescent="0.3">
      <c r="A439" s="36">
        <v>45287</v>
      </c>
      <c r="B439" t="s">
        <v>90</v>
      </c>
      <c r="C439" t="s">
        <v>1050</v>
      </c>
      <c r="G439" s="51">
        <v>45287</v>
      </c>
      <c r="I439" s="24">
        <v>-5400000</v>
      </c>
      <c r="K439" t="s">
        <v>135</v>
      </c>
      <c r="L439">
        <v>2312271443</v>
      </c>
      <c r="M439" t="s">
        <v>91</v>
      </c>
      <c r="N439" t="s">
        <v>91</v>
      </c>
      <c r="O439" t="s">
        <v>136</v>
      </c>
      <c r="P439" t="s">
        <v>137</v>
      </c>
      <c r="R439" t="s">
        <v>1051</v>
      </c>
      <c r="T439" s="24">
        <v>-39018058</v>
      </c>
      <c r="X439" t="s">
        <v>92</v>
      </c>
    </row>
    <row r="440" spans="1:24" x14ac:dyDescent="0.3">
      <c r="A440" s="36">
        <v>45287</v>
      </c>
      <c r="B440" t="s">
        <v>90</v>
      </c>
      <c r="C440" t="s">
        <v>1052</v>
      </c>
      <c r="G440" s="51">
        <v>45287</v>
      </c>
      <c r="J440" s="24">
        <v>42263700</v>
      </c>
      <c r="K440" t="s">
        <v>1053</v>
      </c>
      <c r="L440">
        <v>2312271749</v>
      </c>
      <c r="M440" t="s">
        <v>91</v>
      </c>
      <c r="N440" t="s">
        <v>91</v>
      </c>
      <c r="P440" t="s">
        <v>137</v>
      </c>
      <c r="R440">
        <v>970415295129</v>
      </c>
      <c r="T440" s="24">
        <v>3245642</v>
      </c>
      <c r="X440" t="s">
        <v>92</v>
      </c>
    </row>
    <row r="441" spans="1:24" x14ac:dyDescent="0.3">
      <c r="A441" s="36">
        <v>45287</v>
      </c>
      <c r="B441" t="s">
        <v>90</v>
      </c>
      <c r="C441" t="s">
        <v>1054</v>
      </c>
      <c r="G441" s="51">
        <v>45287</v>
      </c>
      <c r="I441" s="24">
        <v>-40000000</v>
      </c>
      <c r="K441" t="s">
        <v>780</v>
      </c>
      <c r="L441">
        <v>2312271750</v>
      </c>
      <c r="M441" t="s">
        <v>91</v>
      </c>
      <c r="N441" t="s">
        <v>91</v>
      </c>
      <c r="O441" t="s">
        <v>136</v>
      </c>
      <c r="P441" t="s">
        <v>137</v>
      </c>
      <c r="R441" t="s">
        <v>1055</v>
      </c>
      <c r="T441" s="24">
        <v>-36754358</v>
      </c>
      <c r="X441" t="s">
        <v>92</v>
      </c>
    </row>
    <row r="442" spans="1:24" x14ac:dyDescent="0.3">
      <c r="A442" s="36">
        <v>45287</v>
      </c>
      <c r="B442" t="s">
        <v>90</v>
      </c>
      <c r="C442" t="s">
        <v>1056</v>
      </c>
      <c r="G442" s="51">
        <v>45287</v>
      </c>
      <c r="I442" s="24">
        <v>-500000</v>
      </c>
      <c r="K442" t="s">
        <v>135</v>
      </c>
      <c r="L442">
        <v>2312271809</v>
      </c>
      <c r="M442" t="s">
        <v>91</v>
      </c>
      <c r="N442" t="s">
        <v>91</v>
      </c>
      <c r="O442" t="s">
        <v>136</v>
      </c>
      <c r="P442" t="s">
        <v>137</v>
      </c>
      <c r="R442" t="s">
        <v>1057</v>
      </c>
      <c r="T442" s="24">
        <v>-37254358</v>
      </c>
      <c r="X442" t="s">
        <v>92</v>
      </c>
    </row>
    <row r="443" spans="1:24" x14ac:dyDescent="0.3">
      <c r="A443" s="36">
        <v>45287</v>
      </c>
      <c r="B443" t="s">
        <v>90</v>
      </c>
      <c r="C443" t="s">
        <v>1058</v>
      </c>
      <c r="G443" s="51">
        <v>45287</v>
      </c>
      <c r="J443" s="24">
        <v>3118080</v>
      </c>
      <c r="K443" t="s">
        <v>1059</v>
      </c>
      <c r="L443">
        <v>2312271833</v>
      </c>
      <c r="M443" t="s">
        <v>91</v>
      </c>
      <c r="N443" t="s">
        <v>91</v>
      </c>
      <c r="P443" t="s">
        <v>137</v>
      </c>
      <c r="R443">
        <v>888899882226</v>
      </c>
      <c r="T443" s="24">
        <v>-34136278</v>
      </c>
      <c r="X443" t="s">
        <v>92</v>
      </c>
    </row>
    <row r="444" spans="1:24" x14ac:dyDescent="0.3">
      <c r="A444" s="36">
        <v>45287</v>
      </c>
      <c r="B444" t="s">
        <v>90</v>
      </c>
      <c r="C444" t="s">
        <v>1060</v>
      </c>
      <c r="G444" s="51">
        <v>45287</v>
      </c>
      <c r="I444" s="24">
        <v>-817676</v>
      </c>
      <c r="K444" t="s">
        <v>94</v>
      </c>
      <c r="L444">
        <v>2312271913</v>
      </c>
      <c r="M444" t="s">
        <v>66</v>
      </c>
      <c r="N444" t="s">
        <v>66</v>
      </c>
      <c r="O444" t="s">
        <v>136</v>
      </c>
      <c r="P444" t="s">
        <v>137</v>
      </c>
      <c r="T444" s="24">
        <v>-34953954</v>
      </c>
    </row>
    <row r="445" spans="1:24" x14ac:dyDescent="0.3">
      <c r="A445" s="36">
        <v>45287</v>
      </c>
      <c r="B445" t="s">
        <v>90</v>
      </c>
      <c r="C445" t="s">
        <v>1061</v>
      </c>
      <c r="G445" s="51">
        <v>45287</v>
      </c>
      <c r="I445" s="24">
        <v>-3118080</v>
      </c>
      <c r="K445" t="s">
        <v>135</v>
      </c>
      <c r="L445">
        <v>2312271933</v>
      </c>
      <c r="M445" t="s">
        <v>91</v>
      </c>
      <c r="N445" t="s">
        <v>91</v>
      </c>
      <c r="O445" t="s">
        <v>136</v>
      </c>
      <c r="P445" t="s">
        <v>137</v>
      </c>
      <c r="R445" t="s">
        <v>1062</v>
      </c>
      <c r="T445" s="24">
        <v>-38072034</v>
      </c>
      <c r="X445" t="s">
        <v>92</v>
      </c>
    </row>
    <row r="446" spans="1:24" x14ac:dyDescent="0.3">
      <c r="A446" s="36">
        <v>45288</v>
      </c>
      <c r="B446" t="s">
        <v>90</v>
      </c>
      <c r="C446" t="s">
        <v>1063</v>
      </c>
      <c r="G446" s="51">
        <v>45288</v>
      </c>
      <c r="I446" s="24">
        <v>-300000</v>
      </c>
      <c r="K446" t="s">
        <v>135</v>
      </c>
      <c r="L446">
        <v>2312281853</v>
      </c>
      <c r="M446" t="s">
        <v>91</v>
      </c>
      <c r="N446" t="s">
        <v>91</v>
      </c>
      <c r="O446" t="s">
        <v>136</v>
      </c>
      <c r="P446" t="s">
        <v>137</v>
      </c>
      <c r="R446" t="s">
        <v>1064</v>
      </c>
      <c r="T446" s="24">
        <v>-38372034</v>
      </c>
      <c r="X446" t="s">
        <v>92</v>
      </c>
    </row>
    <row r="447" spans="1:24" x14ac:dyDescent="0.3">
      <c r="A447" s="36">
        <v>45288</v>
      </c>
      <c r="B447" t="s">
        <v>90</v>
      </c>
      <c r="C447" t="s">
        <v>1065</v>
      </c>
      <c r="G447" s="51">
        <v>45288</v>
      </c>
      <c r="I447" s="24">
        <v>-500000</v>
      </c>
      <c r="K447" t="s">
        <v>135</v>
      </c>
      <c r="L447">
        <v>2312281859</v>
      </c>
      <c r="M447" t="s">
        <v>91</v>
      </c>
      <c r="N447" t="s">
        <v>91</v>
      </c>
      <c r="O447" t="s">
        <v>136</v>
      </c>
      <c r="P447" t="s">
        <v>137</v>
      </c>
      <c r="R447" t="s">
        <v>1066</v>
      </c>
      <c r="T447" s="24">
        <v>-38872034</v>
      </c>
    </row>
    <row r="448" spans="1:24" x14ac:dyDescent="0.3">
      <c r="A448" s="36">
        <v>45289</v>
      </c>
      <c r="B448" t="s">
        <v>90</v>
      </c>
      <c r="C448" t="s">
        <v>1067</v>
      </c>
      <c r="G448" s="51">
        <v>45289</v>
      </c>
      <c r="I448" s="24">
        <v>-800000</v>
      </c>
      <c r="K448" t="s">
        <v>1068</v>
      </c>
      <c r="L448">
        <v>2312291234</v>
      </c>
      <c r="M448" t="s">
        <v>91</v>
      </c>
      <c r="N448" t="s">
        <v>91</v>
      </c>
      <c r="O448" t="s">
        <v>136</v>
      </c>
      <c r="P448" t="s">
        <v>137</v>
      </c>
      <c r="R448" t="s">
        <v>1069</v>
      </c>
      <c r="T448" s="24">
        <v>-39672034</v>
      </c>
      <c r="X448" t="s">
        <v>92</v>
      </c>
    </row>
    <row r="449" spans="1:24" x14ac:dyDescent="0.3">
      <c r="A449" s="36">
        <v>45289</v>
      </c>
      <c r="B449" t="s">
        <v>90</v>
      </c>
      <c r="C449" t="s">
        <v>1070</v>
      </c>
      <c r="G449" s="51">
        <v>45289</v>
      </c>
      <c r="J449" s="24">
        <v>1460486</v>
      </c>
      <c r="K449" t="s">
        <v>1071</v>
      </c>
      <c r="L449">
        <v>2312291731</v>
      </c>
      <c r="M449" t="s">
        <v>91</v>
      </c>
      <c r="N449" t="s">
        <v>91</v>
      </c>
      <c r="P449" t="s">
        <v>137</v>
      </c>
      <c r="R449">
        <v>970416920680</v>
      </c>
      <c r="T449" s="24">
        <v>-38211548</v>
      </c>
      <c r="X449" t="s">
        <v>92</v>
      </c>
    </row>
    <row r="450" spans="1:24" x14ac:dyDescent="0.3">
      <c r="A450" s="36">
        <v>45289</v>
      </c>
      <c r="B450" t="s">
        <v>90</v>
      </c>
      <c r="C450" t="s">
        <v>1072</v>
      </c>
      <c r="G450" s="51">
        <v>45289</v>
      </c>
      <c r="I450" s="24">
        <v>-570000</v>
      </c>
      <c r="K450" t="s">
        <v>135</v>
      </c>
      <c r="L450">
        <v>2312291839</v>
      </c>
      <c r="M450" t="s">
        <v>91</v>
      </c>
      <c r="N450" t="s">
        <v>91</v>
      </c>
      <c r="O450" t="s">
        <v>136</v>
      </c>
      <c r="P450" t="s">
        <v>137</v>
      </c>
      <c r="R450" t="s">
        <v>1073</v>
      </c>
      <c r="T450" s="24">
        <v>-38781548</v>
      </c>
      <c r="X450" t="s">
        <v>92</v>
      </c>
    </row>
    <row r="451" spans="1:24" x14ac:dyDescent="0.3">
      <c r="A451" s="36">
        <v>45289</v>
      </c>
      <c r="B451" t="s">
        <v>90</v>
      </c>
      <c r="C451" t="s">
        <v>1074</v>
      </c>
      <c r="G451" s="51">
        <v>45289</v>
      </c>
      <c r="I451" s="24">
        <v>-1000000</v>
      </c>
      <c r="K451" t="s">
        <v>135</v>
      </c>
      <c r="L451">
        <v>2312291902</v>
      </c>
      <c r="M451" t="s">
        <v>91</v>
      </c>
      <c r="N451" t="s">
        <v>91</v>
      </c>
      <c r="O451" t="s">
        <v>136</v>
      </c>
      <c r="P451" t="s">
        <v>137</v>
      </c>
      <c r="R451" t="s">
        <v>1075</v>
      </c>
      <c r="T451" s="24">
        <v>-39781548</v>
      </c>
      <c r="X451" t="s">
        <v>92</v>
      </c>
    </row>
    <row r="452" spans="1:24" x14ac:dyDescent="0.3">
      <c r="A452" s="36">
        <v>45290</v>
      </c>
      <c r="B452" t="s">
        <v>90</v>
      </c>
      <c r="C452" t="s">
        <v>1076</v>
      </c>
      <c r="G452" s="51">
        <v>45290</v>
      </c>
      <c r="J452" s="24">
        <v>1935368</v>
      </c>
      <c r="K452" t="s">
        <v>1077</v>
      </c>
      <c r="L452">
        <v>2312301819</v>
      </c>
      <c r="M452" t="s">
        <v>91</v>
      </c>
      <c r="N452" t="s">
        <v>91</v>
      </c>
      <c r="P452" t="s">
        <v>137</v>
      </c>
      <c r="R452">
        <v>970416035860</v>
      </c>
      <c r="T452" s="24">
        <v>-37846180</v>
      </c>
      <c r="X452" t="s">
        <v>92</v>
      </c>
    </row>
    <row r="453" spans="1:24" x14ac:dyDescent="0.3">
      <c r="A453" s="36">
        <v>45290</v>
      </c>
      <c r="B453" t="s">
        <v>90</v>
      </c>
      <c r="C453" t="s">
        <v>1078</v>
      </c>
      <c r="G453" s="51">
        <v>45290</v>
      </c>
      <c r="I453" s="24">
        <v>-1000000</v>
      </c>
      <c r="K453" t="s">
        <v>135</v>
      </c>
      <c r="L453">
        <v>2312301821</v>
      </c>
      <c r="M453" t="s">
        <v>91</v>
      </c>
      <c r="N453" t="s">
        <v>91</v>
      </c>
      <c r="O453" t="s">
        <v>136</v>
      </c>
      <c r="P453" t="s">
        <v>137</v>
      </c>
      <c r="R453" t="s">
        <v>1079</v>
      </c>
      <c r="T453" s="24">
        <v>-38846180</v>
      </c>
      <c r="X453" t="s">
        <v>92</v>
      </c>
    </row>
    <row r="454" spans="1:24" x14ac:dyDescent="0.3">
      <c r="A454" s="36">
        <v>45290</v>
      </c>
      <c r="B454" t="s">
        <v>90</v>
      </c>
      <c r="C454" t="s">
        <v>1080</v>
      </c>
      <c r="G454" s="51">
        <v>45290</v>
      </c>
      <c r="I454" s="24">
        <v>-109000</v>
      </c>
      <c r="K454" t="s">
        <v>135</v>
      </c>
      <c r="L454">
        <v>2312302032</v>
      </c>
      <c r="M454" t="s">
        <v>91</v>
      </c>
      <c r="N454" t="s">
        <v>91</v>
      </c>
      <c r="O454" t="s">
        <v>136</v>
      </c>
      <c r="P454" t="s">
        <v>137</v>
      </c>
      <c r="R454" t="s">
        <v>1081</v>
      </c>
      <c r="T454" s="24">
        <v>-38955180</v>
      </c>
      <c r="X454" t="s">
        <v>92</v>
      </c>
    </row>
    <row r="455" spans="1:24" x14ac:dyDescent="0.3">
      <c r="A455" s="36">
        <v>45291</v>
      </c>
      <c r="B455" t="s">
        <v>90</v>
      </c>
      <c r="C455" t="s">
        <v>1082</v>
      </c>
      <c r="G455" s="51">
        <v>45291</v>
      </c>
      <c r="I455" s="24">
        <v>-51000</v>
      </c>
      <c r="K455" t="s">
        <v>135</v>
      </c>
      <c r="L455">
        <v>2312311712</v>
      </c>
      <c r="M455" t="s">
        <v>91</v>
      </c>
      <c r="N455" t="s">
        <v>91</v>
      </c>
      <c r="O455" t="s">
        <v>136</v>
      </c>
      <c r="P455" t="s">
        <v>137</v>
      </c>
      <c r="R455" t="s">
        <v>1083</v>
      </c>
      <c r="T455" s="24">
        <v>-39006180</v>
      </c>
      <c r="X455" t="s">
        <v>92</v>
      </c>
    </row>
    <row r="456" spans="1:24" x14ac:dyDescent="0.3">
      <c r="A456" s="36">
        <v>45291</v>
      </c>
      <c r="B456" t="s">
        <v>90</v>
      </c>
      <c r="C456" t="s">
        <v>1084</v>
      </c>
      <c r="G456" s="51">
        <v>45291</v>
      </c>
      <c r="I456" s="24">
        <v>-900000</v>
      </c>
      <c r="K456" t="s">
        <v>135</v>
      </c>
      <c r="L456">
        <v>2312311730</v>
      </c>
      <c r="M456" t="s">
        <v>91</v>
      </c>
      <c r="N456" t="s">
        <v>91</v>
      </c>
      <c r="O456" t="s">
        <v>136</v>
      </c>
      <c r="P456" t="s">
        <v>137</v>
      </c>
      <c r="R456" t="s">
        <v>1085</v>
      </c>
      <c r="T456" s="24">
        <v>-39906180</v>
      </c>
      <c r="X456" t="s">
        <v>92</v>
      </c>
    </row>
    <row r="457" spans="1:24" x14ac:dyDescent="0.3">
      <c r="A457" s="36">
        <v>45292</v>
      </c>
      <c r="B457" t="s">
        <v>95</v>
      </c>
      <c r="C457" t="s">
        <v>1086</v>
      </c>
      <c r="G457" s="51">
        <v>45291</v>
      </c>
      <c r="J457">
        <v>188</v>
      </c>
      <c r="K457" t="s">
        <v>1087</v>
      </c>
      <c r="L457">
        <v>2401010414</v>
      </c>
      <c r="M457" t="s">
        <v>96</v>
      </c>
      <c r="N457" t="s">
        <v>96</v>
      </c>
      <c r="T457" s="24">
        <v>-39905992</v>
      </c>
    </row>
    <row r="458" spans="1:24" x14ac:dyDescent="0.3">
      <c r="A458" s="36">
        <v>45292</v>
      </c>
      <c r="B458" t="s">
        <v>90</v>
      </c>
      <c r="C458" t="s">
        <v>1088</v>
      </c>
      <c r="G458" s="51">
        <v>45292</v>
      </c>
      <c r="J458" s="24">
        <v>24700000</v>
      </c>
      <c r="K458" t="s">
        <v>1089</v>
      </c>
      <c r="L458">
        <v>2401011401</v>
      </c>
      <c r="M458" t="s">
        <v>91</v>
      </c>
      <c r="N458" t="s">
        <v>91</v>
      </c>
      <c r="P458" t="s">
        <v>137</v>
      </c>
      <c r="R458">
        <v>686868060249</v>
      </c>
      <c r="T458" s="24">
        <v>-15205992</v>
      </c>
      <c r="X458" t="s">
        <v>92</v>
      </c>
    </row>
    <row r="459" spans="1:24" x14ac:dyDescent="0.3">
      <c r="A459" s="36">
        <v>45292</v>
      </c>
      <c r="B459" t="s">
        <v>90</v>
      </c>
      <c r="C459" t="s">
        <v>1090</v>
      </c>
      <c r="G459" s="51">
        <v>45292</v>
      </c>
      <c r="I459" s="24">
        <v>-100000</v>
      </c>
      <c r="K459" t="s">
        <v>135</v>
      </c>
      <c r="L459">
        <v>2401011502</v>
      </c>
      <c r="M459" t="s">
        <v>91</v>
      </c>
      <c r="N459" t="s">
        <v>91</v>
      </c>
      <c r="O459" t="s">
        <v>136</v>
      </c>
      <c r="P459" t="s">
        <v>137</v>
      </c>
      <c r="R459" t="s">
        <v>1091</v>
      </c>
      <c r="T459" s="24">
        <v>-15305992</v>
      </c>
      <c r="X459" t="s">
        <v>92</v>
      </c>
    </row>
    <row r="460" spans="1:24" x14ac:dyDescent="0.3">
      <c r="A460" s="36">
        <v>45292</v>
      </c>
      <c r="B460" t="s">
        <v>90</v>
      </c>
      <c r="C460" t="s">
        <v>1092</v>
      </c>
      <c r="G460" s="51">
        <v>45292</v>
      </c>
      <c r="I460" s="24">
        <v>-24500000</v>
      </c>
      <c r="K460">
        <v>2.05750515334871E+19</v>
      </c>
      <c r="L460">
        <v>2401011517</v>
      </c>
      <c r="M460" t="s">
        <v>91</v>
      </c>
      <c r="N460" t="s">
        <v>91</v>
      </c>
      <c r="O460" t="s">
        <v>136</v>
      </c>
      <c r="P460" t="s">
        <v>137</v>
      </c>
      <c r="R460" t="s">
        <v>1093</v>
      </c>
      <c r="T460" s="24">
        <v>-39805992</v>
      </c>
      <c r="X460" t="s">
        <v>92</v>
      </c>
    </row>
    <row r="461" spans="1:24" x14ac:dyDescent="0.3">
      <c r="A461" s="36">
        <v>45292</v>
      </c>
      <c r="B461" t="s">
        <v>90</v>
      </c>
      <c r="C461" t="s">
        <v>1094</v>
      </c>
      <c r="G461" s="51">
        <v>45292</v>
      </c>
      <c r="I461" s="24">
        <v>-59000</v>
      </c>
      <c r="K461" t="s">
        <v>135</v>
      </c>
      <c r="L461">
        <v>2401011617</v>
      </c>
      <c r="M461" t="s">
        <v>91</v>
      </c>
      <c r="N461" t="s">
        <v>91</v>
      </c>
      <c r="O461" t="s">
        <v>136</v>
      </c>
      <c r="P461" t="s">
        <v>137</v>
      </c>
      <c r="R461" t="s">
        <v>1095</v>
      </c>
      <c r="T461" s="24">
        <v>-39864992</v>
      </c>
      <c r="X461" t="s">
        <v>92</v>
      </c>
    </row>
    <row r="462" spans="1:24" x14ac:dyDescent="0.3">
      <c r="A462" s="36">
        <v>45293</v>
      </c>
      <c r="B462" t="s">
        <v>90</v>
      </c>
      <c r="C462" t="s">
        <v>1096</v>
      </c>
      <c r="G462" s="51">
        <v>45293</v>
      </c>
      <c r="J462" s="24">
        <v>3973280</v>
      </c>
      <c r="K462" t="s">
        <v>1097</v>
      </c>
      <c r="L462">
        <v>2401020831</v>
      </c>
      <c r="M462" t="s">
        <v>91</v>
      </c>
      <c r="N462" t="s">
        <v>91</v>
      </c>
      <c r="P462" t="s">
        <v>137</v>
      </c>
      <c r="R462">
        <v>970468810286</v>
      </c>
      <c r="T462" s="24">
        <v>-35891712</v>
      </c>
      <c r="X462" t="s">
        <v>92</v>
      </c>
    </row>
    <row r="463" spans="1:24" x14ac:dyDescent="0.3">
      <c r="A463" s="36">
        <v>45293</v>
      </c>
      <c r="B463" t="s">
        <v>90</v>
      </c>
      <c r="C463" t="s">
        <v>1098</v>
      </c>
      <c r="G463" s="51">
        <v>45293</v>
      </c>
      <c r="I463" s="24">
        <v>-75000</v>
      </c>
      <c r="K463" t="s">
        <v>135</v>
      </c>
      <c r="L463">
        <v>2401020859</v>
      </c>
      <c r="M463" t="s">
        <v>91</v>
      </c>
      <c r="N463" t="s">
        <v>91</v>
      </c>
      <c r="O463" t="s">
        <v>136</v>
      </c>
      <c r="P463" t="s">
        <v>137</v>
      </c>
      <c r="R463" t="s">
        <v>1099</v>
      </c>
      <c r="T463" s="24">
        <v>-35966712</v>
      </c>
      <c r="X463" t="s">
        <v>92</v>
      </c>
    </row>
    <row r="464" spans="1:24" x14ac:dyDescent="0.3">
      <c r="A464" s="36">
        <v>45293</v>
      </c>
      <c r="B464" t="s">
        <v>90</v>
      </c>
      <c r="C464" t="s">
        <v>1100</v>
      </c>
      <c r="G464" s="51">
        <v>45293</v>
      </c>
      <c r="I464" s="24">
        <v>-3000000</v>
      </c>
      <c r="K464" t="s">
        <v>135</v>
      </c>
      <c r="L464">
        <v>2401020907</v>
      </c>
      <c r="M464" t="s">
        <v>91</v>
      </c>
      <c r="N464" t="s">
        <v>91</v>
      </c>
      <c r="O464" t="s">
        <v>136</v>
      </c>
      <c r="P464" t="s">
        <v>137</v>
      </c>
      <c r="R464" t="s">
        <v>1101</v>
      </c>
      <c r="T464" s="24">
        <v>-38966712</v>
      </c>
      <c r="X464" t="s">
        <v>92</v>
      </c>
    </row>
    <row r="465" spans="1:24" x14ac:dyDescent="0.3">
      <c r="A465" s="36">
        <v>45293</v>
      </c>
      <c r="B465" t="s">
        <v>90</v>
      </c>
      <c r="C465" t="s">
        <v>1102</v>
      </c>
      <c r="G465" s="51">
        <v>45293</v>
      </c>
      <c r="I465" s="24">
        <v>-130000</v>
      </c>
      <c r="K465" t="s">
        <v>135</v>
      </c>
      <c r="L465">
        <v>2401020939</v>
      </c>
      <c r="M465" t="s">
        <v>91</v>
      </c>
      <c r="N465" t="s">
        <v>91</v>
      </c>
      <c r="O465" t="s">
        <v>136</v>
      </c>
      <c r="P465" t="s">
        <v>137</v>
      </c>
      <c r="R465" t="s">
        <v>1103</v>
      </c>
      <c r="T465" s="24">
        <v>-39096712</v>
      </c>
      <c r="X465" t="s">
        <v>92</v>
      </c>
    </row>
    <row r="466" spans="1:24" x14ac:dyDescent="0.3">
      <c r="A466" s="36">
        <v>45293</v>
      </c>
      <c r="B466" t="s">
        <v>90</v>
      </c>
      <c r="C466" t="s">
        <v>1104</v>
      </c>
      <c r="G466" s="51">
        <v>45293</v>
      </c>
      <c r="J466" s="24">
        <v>1090408</v>
      </c>
      <c r="K466" t="s">
        <v>1105</v>
      </c>
      <c r="L466">
        <v>2401021215</v>
      </c>
      <c r="M466" t="s">
        <v>91</v>
      </c>
      <c r="N466" t="s">
        <v>91</v>
      </c>
      <c r="P466" t="s">
        <v>137</v>
      </c>
      <c r="R466">
        <v>970416342948</v>
      </c>
      <c r="T466" s="24">
        <v>-38006304</v>
      </c>
      <c r="X466" t="s">
        <v>92</v>
      </c>
    </row>
    <row r="467" spans="1:24" x14ac:dyDescent="0.3">
      <c r="A467" s="36">
        <v>45293</v>
      </c>
      <c r="B467" t="s">
        <v>90</v>
      </c>
      <c r="C467" t="s">
        <v>1106</v>
      </c>
      <c r="G467" s="51">
        <v>45293</v>
      </c>
      <c r="I467" s="24">
        <v>-1000000</v>
      </c>
      <c r="K467" t="s">
        <v>135</v>
      </c>
      <c r="L467">
        <v>2401021217</v>
      </c>
      <c r="M467" t="s">
        <v>91</v>
      </c>
      <c r="N467" t="s">
        <v>91</v>
      </c>
      <c r="O467" t="s">
        <v>136</v>
      </c>
      <c r="P467" t="s">
        <v>137</v>
      </c>
      <c r="R467" t="s">
        <v>1107</v>
      </c>
      <c r="T467" s="24">
        <v>-39006304</v>
      </c>
      <c r="X467" t="s">
        <v>92</v>
      </c>
    </row>
    <row r="468" spans="1:24" x14ac:dyDescent="0.3">
      <c r="A468" s="36">
        <v>45293</v>
      </c>
      <c r="B468" t="s">
        <v>90</v>
      </c>
      <c r="C468" t="s">
        <v>1108</v>
      </c>
      <c r="G468" s="51">
        <v>45293</v>
      </c>
      <c r="I468" s="24">
        <v>-50000</v>
      </c>
      <c r="K468" t="s">
        <v>135</v>
      </c>
      <c r="L468">
        <v>2401021252</v>
      </c>
      <c r="M468" t="s">
        <v>91</v>
      </c>
      <c r="N468" t="s">
        <v>91</v>
      </c>
      <c r="O468" t="s">
        <v>136</v>
      </c>
      <c r="P468" t="s">
        <v>137</v>
      </c>
      <c r="R468" t="s">
        <v>1109</v>
      </c>
      <c r="T468" s="24">
        <v>-39056304</v>
      </c>
      <c r="X468" t="s">
        <v>92</v>
      </c>
    </row>
    <row r="469" spans="1:24" x14ac:dyDescent="0.3">
      <c r="A469" s="36">
        <v>45293</v>
      </c>
      <c r="B469" t="s">
        <v>90</v>
      </c>
      <c r="C469" t="s">
        <v>1110</v>
      </c>
      <c r="G469" s="51">
        <v>45293</v>
      </c>
      <c r="J469" s="24">
        <v>1115685</v>
      </c>
      <c r="K469" t="s">
        <v>1111</v>
      </c>
      <c r="L469">
        <v>2401021405</v>
      </c>
      <c r="M469" t="s">
        <v>91</v>
      </c>
      <c r="N469" t="s">
        <v>91</v>
      </c>
      <c r="P469" t="s">
        <v>137</v>
      </c>
      <c r="R469">
        <v>970468884633</v>
      </c>
      <c r="T469" s="24">
        <v>-37940619</v>
      </c>
      <c r="X469" t="s">
        <v>92</v>
      </c>
    </row>
    <row r="470" spans="1:24" x14ac:dyDescent="0.3">
      <c r="A470" s="36">
        <v>45293</v>
      </c>
      <c r="B470" t="s">
        <v>90</v>
      </c>
      <c r="C470" t="s">
        <v>1112</v>
      </c>
      <c r="G470" s="51">
        <v>45293</v>
      </c>
      <c r="I470" s="24">
        <v>-1850000</v>
      </c>
      <c r="K470" t="s">
        <v>135</v>
      </c>
      <c r="L470">
        <v>2401021629</v>
      </c>
      <c r="M470" t="s">
        <v>91</v>
      </c>
      <c r="N470" t="s">
        <v>91</v>
      </c>
      <c r="O470" t="s">
        <v>136</v>
      </c>
      <c r="P470" t="s">
        <v>137</v>
      </c>
      <c r="R470" t="s">
        <v>1113</v>
      </c>
      <c r="T470" s="24">
        <v>-39790619</v>
      </c>
      <c r="X470" t="s">
        <v>92</v>
      </c>
    </row>
    <row r="471" spans="1:24" x14ac:dyDescent="0.3">
      <c r="A471" s="36">
        <v>45293</v>
      </c>
      <c r="B471" t="s">
        <v>90</v>
      </c>
      <c r="C471" t="s">
        <v>1114</v>
      </c>
      <c r="G471" s="51">
        <v>45293</v>
      </c>
      <c r="J471" s="24">
        <v>1238600</v>
      </c>
      <c r="K471" t="s">
        <v>1115</v>
      </c>
      <c r="L471">
        <v>2401021652</v>
      </c>
      <c r="M471" t="s">
        <v>91</v>
      </c>
      <c r="N471" t="s">
        <v>91</v>
      </c>
      <c r="P471" t="s">
        <v>137</v>
      </c>
      <c r="R471">
        <v>970416650892</v>
      </c>
      <c r="T471" s="24">
        <v>-38552019</v>
      </c>
      <c r="X471" t="s">
        <v>92</v>
      </c>
    </row>
    <row r="472" spans="1:24" x14ac:dyDescent="0.3">
      <c r="A472" s="36">
        <v>45293</v>
      </c>
      <c r="B472" t="s">
        <v>90</v>
      </c>
      <c r="C472" t="s">
        <v>1116</v>
      </c>
      <c r="G472" s="51">
        <v>45293</v>
      </c>
      <c r="I472" s="24">
        <v>-560000</v>
      </c>
      <c r="K472" t="s">
        <v>135</v>
      </c>
      <c r="L472">
        <v>2401021711</v>
      </c>
      <c r="M472" t="s">
        <v>91</v>
      </c>
      <c r="N472" t="s">
        <v>91</v>
      </c>
      <c r="O472" t="s">
        <v>136</v>
      </c>
      <c r="P472" t="s">
        <v>137</v>
      </c>
      <c r="R472" t="s">
        <v>1117</v>
      </c>
      <c r="T472" s="24">
        <v>-39112019</v>
      </c>
      <c r="X472" t="s">
        <v>92</v>
      </c>
    </row>
    <row r="473" spans="1:24" x14ac:dyDescent="0.3">
      <c r="A473" s="36">
        <v>45293</v>
      </c>
      <c r="B473" t="s">
        <v>90</v>
      </c>
      <c r="C473" t="s">
        <v>1118</v>
      </c>
      <c r="G473" s="51">
        <v>45293</v>
      </c>
      <c r="I473" s="24">
        <v>-120000</v>
      </c>
      <c r="K473" t="s">
        <v>135</v>
      </c>
      <c r="L473">
        <v>2401021926</v>
      </c>
      <c r="M473" t="s">
        <v>91</v>
      </c>
      <c r="N473" t="s">
        <v>91</v>
      </c>
      <c r="O473" t="s">
        <v>136</v>
      </c>
      <c r="P473" t="s">
        <v>137</v>
      </c>
      <c r="R473" t="s">
        <v>1119</v>
      </c>
      <c r="T473" s="24">
        <v>-39232019</v>
      </c>
      <c r="X473" t="s">
        <v>92</v>
      </c>
    </row>
    <row r="474" spans="1:24" x14ac:dyDescent="0.3">
      <c r="A474" s="36">
        <v>45293</v>
      </c>
      <c r="B474" t="s">
        <v>90</v>
      </c>
      <c r="C474" t="s">
        <v>1120</v>
      </c>
      <c r="G474" s="51">
        <v>45293</v>
      </c>
      <c r="I474" s="24">
        <v>-58000</v>
      </c>
      <c r="K474" t="s">
        <v>135</v>
      </c>
      <c r="L474">
        <v>2401022013</v>
      </c>
      <c r="M474" t="s">
        <v>91</v>
      </c>
      <c r="N474" t="s">
        <v>91</v>
      </c>
      <c r="O474" t="s">
        <v>136</v>
      </c>
      <c r="P474" t="s">
        <v>137</v>
      </c>
      <c r="R474" t="s">
        <v>1121</v>
      </c>
      <c r="T474" s="24">
        <v>-39290019</v>
      </c>
      <c r="X474" t="s">
        <v>92</v>
      </c>
    </row>
    <row r="475" spans="1:24" x14ac:dyDescent="0.3">
      <c r="A475" s="36">
        <v>45293</v>
      </c>
      <c r="B475" t="s">
        <v>90</v>
      </c>
      <c r="C475" t="s">
        <v>1122</v>
      </c>
      <c r="G475" s="51">
        <v>45293</v>
      </c>
      <c r="J475" s="24">
        <v>1835126</v>
      </c>
      <c r="K475" t="s">
        <v>1123</v>
      </c>
      <c r="L475">
        <v>2401022101</v>
      </c>
      <c r="M475" t="s">
        <v>91</v>
      </c>
      <c r="N475" t="s">
        <v>91</v>
      </c>
      <c r="P475" t="s">
        <v>137</v>
      </c>
      <c r="R475">
        <v>970416920139</v>
      </c>
      <c r="T475" s="24">
        <v>-37454893</v>
      </c>
      <c r="X475" t="s">
        <v>92</v>
      </c>
    </row>
    <row r="476" spans="1:24" x14ac:dyDescent="0.3">
      <c r="A476" s="36">
        <v>45294</v>
      </c>
      <c r="B476" t="s">
        <v>90</v>
      </c>
      <c r="C476" t="s">
        <v>1124</v>
      </c>
      <c r="G476" s="51">
        <v>45294</v>
      </c>
      <c r="I476" s="24">
        <v>-60000</v>
      </c>
      <c r="K476" t="s">
        <v>135</v>
      </c>
      <c r="L476">
        <v>2401030830</v>
      </c>
      <c r="M476" t="s">
        <v>91</v>
      </c>
      <c r="N476" t="s">
        <v>91</v>
      </c>
      <c r="O476" t="s">
        <v>136</v>
      </c>
      <c r="P476" t="s">
        <v>137</v>
      </c>
      <c r="R476" t="s">
        <v>1125</v>
      </c>
      <c r="T476" s="24">
        <v>-37514893</v>
      </c>
      <c r="X476" t="s">
        <v>92</v>
      </c>
    </row>
    <row r="477" spans="1:24" x14ac:dyDescent="0.3">
      <c r="A477" s="36">
        <v>45294</v>
      </c>
      <c r="B477" t="s">
        <v>90</v>
      </c>
      <c r="C477" t="s">
        <v>1126</v>
      </c>
      <c r="G477" s="51">
        <v>45294</v>
      </c>
      <c r="I477" s="24">
        <v>-61000</v>
      </c>
      <c r="K477" t="s">
        <v>135</v>
      </c>
      <c r="L477">
        <v>2401030919</v>
      </c>
      <c r="M477" t="s">
        <v>91</v>
      </c>
      <c r="N477" t="s">
        <v>91</v>
      </c>
      <c r="O477" t="s">
        <v>136</v>
      </c>
      <c r="P477" t="s">
        <v>137</v>
      </c>
      <c r="R477" t="s">
        <v>1127</v>
      </c>
      <c r="T477" s="24">
        <v>-37575893</v>
      </c>
      <c r="X477" t="s">
        <v>92</v>
      </c>
    </row>
    <row r="478" spans="1:24" x14ac:dyDescent="0.3">
      <c r="A478" s="36">
        <v>45294</v>
      </c>
      <c r="B478" t="s">
        <v>90</v>
      </c>
      <c r="C478" t="s">
        <v>1128</v>
      </c>
      <c r="G478" s="51">
        <v>45294</v>
      </c>
      <c r="J478" s="24">
        <v>3170816</v>
      </c>
      <c r="K478" t="s">
        <v>1129</v>
      </c>
      <c r="L478">
        <v>2401031139</v>
      </c>
      <c r="M478" t="s">
        <v>91</v>
      </c>
      <c r="N478" t="s">
        <v>91</v>
      </c>
      <c r="P478" t="s">
        <v>137</v>
      </c>
      <c r="R478">
        <v>970416338057</v>
      </c>
      <c r="T478" s="24">
        <v>-34405077</v>
      </c>
      <c r="X478" t="s">
        <v>92</v>
      </c>
    </row>
    <row r="479" spans="1:24" x14ac:dyDescent="0.3">
      <c r="A479" s="36">
        <v>45294</v>
      </c>
      <c r="B479" t="s">
        <v>90</v>
      </c>
      <c r="C479" t="s">
        <v>1130</v>
      </c>
      <c r="G479" s="51">
        <v>45294</v>
      </c>
      <c r="I479" s="24">
        <v>-4629000</v>
      </c>
      <c r="L479">
        <v>2401031156</v>
      </c>
      <c r="M479" t="s">
        <v>91</v>
      </c>
      <c r="N479" t="s">
        <v>91</v>
      </c>
      <c r="O479" t="s">
        <v>136</v>
      </c>
      <c r="P479" t="s">
        <v>137</v>
      </c>
      <c r="R479" t="s">
        <v>1131</v>
      </c>
      <c r="T479" s="24">
        <v>-39034077</v>
      </c>
    </row>
    <row r="480" spans="1:24" x14ac:dyDescent="0.3">
      <c r="A480" s="36">
        <v>45294</v>
      </c>
      <c r="B480" t="s">
        <v>90</v>
      </c>
      <c r="C480" t="s">
        <v>1132</v>
      </c>
      <c r="G480" s="51">
        <v>45294</v>
      </c>
      <c r="I480" s="24">
        <v>-185000</v>
      </c>
      <c r="K480" t="s">
        <v>135</v>
      </c>
      <c r="L480">
        <v>2401031529</v>
      </c>
      <c r="M480" t="s">
        <v>91</v>
      </c>
      <c r="N480" t="s">
        <v>91</v>
      </c>
      <c r="O480" t="s">
        <v>136</v>
      </c>
      <c r="P480" t="s">
        <v>137</v>
      </c>
      <c r="R480" t="s">
        <v>1133</v>
      </c>
      <c r="T480" s="24">
        <v>-39219077</v>
      </c>
      <c r="X480" t="s">
        <v>92</v>
      </c>
    </row>
    <row r="481" spans="1:24" x14ac:dyDescent="0.3">
      <c r="A481" s="36">
        <v>45294</v>
      </c>
      <c r="B481" t="s">
        <v>90</v>
      </c>
      <c r="C481" t="s">
        <v>1134</v>
      </c>
      <c r="G481" s="51">
        <v>45294</v>
      </c>
      <c r="J481" s="24">
        <v>4834635</v>
      </c>
      <c r="K481" t="s">
        <v>1135</v>
      </c>
      <c r="L481">
        <v>2401031711</v>
      </c>
      <c r="M481" t="s">
        <v>91</v>
      </c>
      <c r="N481" t="s">
        <v>91</v>
      </c>
      <c r="P481" t="s">
        <v>137</v>
      </c>
      <c r="R481">
        <v>970416701712</v>
      </c>
      <c r="T481" s="24">
        <v>-34384442</v>
      </c>
      <c r="X481" t="s">
        <v>92</v>
      </c>
    </row>
    <row r="482" spans="1:24" x14ac:dyDescent="0.3">
      <c r="A482" s="36">
        <v>45294</v>
      </c>
      <c r="B482" t="s">
        <v>90</v>
      </c>
      <c r="C482" t="s">
        <v>1136</v>
      </c>
      <c r="G482" s="51">
        <v>45294</v>
      </c>
      <c r="I482" s="24">
        <v>-3500000</v>
      </c>
      <c r="K482" t="s">
        <v>135</v>
      </c>
      <c r="L482">
        <v>2401031712</v>
      </c>
      <c r="M482" t="s">
        <v>91</v>
      </c>
      <c r="N482" t="s">
        <v>91</v>
      </c>
      <c r="O482" t="s">
        <v>136</v>
      </c>
      <c r="P482" t="s">
        <v>137</v>
      </c>
      <c r="R482" t="s">
        <v>1137</v>
      </c>
      <c r="T482" s="24">
        <v>-37884442</v>
      </c>
      <c r="X482" t="s">
        <v>92</v>
      </c>
    </row>
    <row r="483" spans="1:24" x14ac:dyDescent="0.3">
      <c r="A483" s="36">
        <v>45294</v>
      </c>
      <c r="B483" t="s">
        <v>90</v>
      </c>
      <c r="C483" t="s">
        <v>1138</v>
      </c>
      <c r="G483" s="51">
        <v>45294</v>
      </c>
      <c r="I483" s="24">
        <v>-1000000</v>
      </c>
      <c r="K483" t="s">
        <v>135</v>
      </c>
      <c r="L483">
        <v>2401031721</v>
      </c>
      <c r="M483" t="s">
        <v>91</v>
      </c>
      <c r="N483" t="s">
        <v>91</v>
      </c>
      <c r="O483" t="s">
        <v>136</v>
      </c>
      <c r="P483" t="s">
        <v>137</v>
      </c>
      <c r="R483" t="s">
        <v>1139</v>
      </c>
      <c r="T483" s="24">
        <v>-38884442</v>
      </c>
    </row>
    <row r="484" spans="1:24" x14ac:dyDescent="0.3">
      <c r="A484" s="36">
        <v>45294</v>
      </c>
      <c r="B484" t="s">
        <v>90</v>
      </c>
      <c r="C484" t="s">
        <v>1140</v>
      </c>
      <c r="G484" s="51">
        <v>45294</v>
      </c>
      <c r="I484" s="24">
        <v>-60000</v>
      </c>
      <c r="K484" t="s">
        <v>135</v>
      </c>
      <c r="L484">
        <v>2401031908</v>
      </c>
      <c r="M484" t="s">
        <v>91</v>
      </c>
      <c r="N484" t="s">
        <v>91</v>
      </c>
      <c r="O484" t="s">
        <v>136</v>
      </c>
      <c r="P484" t="s">
        <v>137</v>
      </c>
      <c r="R484" t="s">
        <v>1141</v>
      </c>
      <c r="T484" s="24">
        <v>-38944442</v>
      </c>
      <c r="X484" t="s">
        <v>92</v>
      </c>
    </row>
    <row r="485" spans="1:24" x14ac:dyDescent="0.3">
      <c r="A485" s="36">
        <v>45294</v>
      </c>
      <c r="B485" t="s">
        <v>90</v>
      </c>
      <c r="C485" t="s">
        <v>1142</v>
      </c>
      <c r="G485" s="51">
        <v>45294</v>
      </c>
      <c r="I485" s="24">
        <v>-300000</v>
      </c>
      <c r="K485" t="s">
        <v>135</v>
      </c>
      <c r="L485">
        <v>2401032037</v>
      </c>
      <c r="M485" t="s">
        <v>91</v>
      </c>
      <c r="N485" t="s">
        <v>91</v>
      </c>
      <c r="O485" t="s">
        <v>136</v>
      </c>
      <c r="P485" t="s">
        <v>137</v>
      </c>
      <c r="R485" t="s">
        <v>1143</v>
      </c>
      <c r="T485" s="24">
        <v>-39244442</v>
      </c>
      <c r="X485" t="s">
        <v>92</v>
      </c>
    </row>
    <row r="486" spans="1:24" x14ac:dyDescent="0.3">
      <c r="A486" s="36">
        <v>45295</v>
      </c>
      <c r="B486" t="s">
        <v>90</v>
      </c>
      <c r="C486" t="s">
        <v>1144</v>
      </c>
      <c r="G486" s="51">
        <v>45295</v>
      </c>
      <c r="I486" s="24">
        <v>-219351</v>
      </c>
      <c r="K486" t="s">
        <v>1145</v>
      </c>
      <c r="L486">
        <v>2401041258</v>
      </c>
      <c r="M486" t="s">
        <v>91</v>
      </c>
      <c r="N486" t="s">
        <v>91</v>
      </c>
      <c r="O486" t="s">
        <v>136</v>
      </c>
      <c r="P486" t="s">
        <v>912</v>
      </c>
      <c r="R486" t="s">
        <v>1146</v>
      </c>
      <c r="T486" s="24">
        <v>-39463793</v>
      </c>
    </row>
    <row r="487" spans="1:24" x14ac:dyDescent="0.3">
      <c r="A487" s="36">
        <v>45296</v>
      </c>
      <c r="B487" t="s">
        <v>90</v>
      </c>
      <c r="C487" t="s">
        <v>1147</v>
      </c>
      <c r="G487" s="51">
        <v>45296</v>
      </c>
      <c r="I487" s="24">
        <v>-90000</v>
      </c>
      <c r="K487" t="s">
        <v>135</v>
      </c>
      <c r="L487">
        <v>2401051214</v>
      </c>
      <c r="M487" t="s">
        <v>91</v>
      </c>
      <c r="N487" t="s">
        <v>91</v>
      </c>
      <c r="O487" t="s">
        <v>136</v>
      </c>
      <c r="P487" t="s">
        <v>137</v>
      </c>
      <c r="R487" t="s">
        <v>1148</v>
      </c>
      <c r="T487" s="24">
        <v>-39553793</v>
      </c>
      <c r="X487" t="s">
        <v>92</v>
      </c>
    </row>
    <row r="488" spans="1:24" x14ac:dyDescent="0.3">
      <c r="A488" s="36">
        <v>45296</v>
      </c>
      <c r="B488" t="s">
        <v>90</v>
      </c>
      <c r="C488" t="s">
        <v>1149</v>
      </c>
      <c r="G488" s="51">
        <v>45296</v>
      </c>
      <c r="I488" s="24">
        <v>-73000</v>
      </c>
      <c r="K488" t="s">
        <v>135</v>
      </c>
      <c r="L488">
        <v>2401051715</v>
      </c>
      <c r="M488" t="s">
        <v>91</v>
      </c>
      <c r="N488" t="s">
        <v>91</v>
      </c>
      <c r="O488" t="s">
        <v>136</v>
      </c>
      <c r="P488" t="s">
        <v>137</v>
      </c>
      <c r="R488" t="s">
        <v>1150</v>
      </c>
      <c r="T488" s="24">
        <v>-39626793</v>
      </c>
      <c r="X488" t="s">
        <v>92</v>
      </c>
    </row>
    <row r="489" spans="1:24" x14ac:dyDescent="0.3">
      <c r="A489" s="36">
        <v>45296</v>
      </c>
      <c r="B489" t="s">
        <v>90</v>
      </c>
      <c r="C489" t="s">
        <v>1151</v>
      </c>
      <c r="G489" s="51">
        <v>45296</v>
      </c>
      <c r="I489" s="24">
        <v>-40000</v>
      </c>
      <c r="K489" t="s">
        <v>135</v>
      </c>
      <c r="L489">
        <v>2401051820</v>
      </c>
      <c r="M489" t="s">
        <v>91</v>
      </c>
      <c r="N489" t="s">
        <v>91</v>
      </c>
      <c r="O489" t="s">
        <v>136</v>
      </c>
      <c r="P489" t="s">
        <v>137</v>
      </c>
      <c r="R489" t="s">
        <v>1152</v>
      </c>
      <c r="T489" s="24">
        <v>-39666793</v>
      </c>
      <c r="X489" t="s">
        <v>92</v>
      </c>
    </row>
    <row r="490" spans="1:24" x14ac:dyDescent="0.3">
      <c r="A490" s="36">
        <v>45297</v>
      </c>
      <c r="B490" t="s">
        <v>90</v>
      </c>
      <c r="C490" t="s">
        <v>1153</v>
      </c>
      <c r="G490" s="51">
        <v>45297</v>
      </c>
      <c r="I490" s="24">
        <v>-50000</v>
      </c>
      <c r="K490" t="s">
        <v>135</v>
      </c>
      <c r="L490">
        <v>2401060943</v>
      </c>
      <c r="M490" t="s">
        <v>91</v>
      </c>
      <c r="N490" t="s">
        <v>91</v>
      </c>
      <c r="O490" t="s">
        <v>136</v>
      </c>
      <c r="P490" t="s">
        <v>137</v>
      </c>
      <c r="R490" t="s">
        <v>1154</v>
      </c>
      <c r="T490" s="24">
        <v>-39716793</v>
      </c>
      <c r="X490" t="s">
        <v>92</v>
      </c>
    </row>
    <row r="491" spans="1:24" x14ac:dyDescent="0.3">
      <c r="A491" s="36">
        <v>45297</v>
      </c>
      <c r="B491" t="s">
        <v>90</v>
      </c>
      <c r="C491" t="s">
        <v>1155</v>
      </c>
      <c r="G491" s="51">
        <v>45297</v>
      </c>
      <c r="I491" s="24">
        <v>-29000</v>
      </c>
      <c r="K491" t="s">
        <v>135</v>
      </c>
      <c r="L491">
        <v>2401060947</v>
      </c>
      <c r="M491" t="s">
        <v>91</v>
      </c>
      <c r="N491" t="s">
        <v>91</v>
      </c>
      <c r="O491" t="s">
        <v>136</v>
      </c>
      <c r="P491" t="s">
        <v>137</v>
      </c>
      <c r="R491" t="s">
        <v>1156</v>
      </c>
      <c r="T491" s="24">
        <v>-39745793</v>
      </c>
      <c r="X491" t="s">
        <v>92</v>
      </c>
    </row>
    <row r="492" spans="1:24" x14ac:dyDescent="0.3">
      <c r="A492" s="36">
        <v>45297</v>
      </c>
      <c r="B492" t="s">
        <v>90</v>
      </c>
      <c r="C492" t="s">
        <v>1157</v>
      </c>
      <c r="G492" s="51">
        <v>45297</v>
      </c>
      <c r="J492" s="24">
        <v>500000</v>
      </c>
      <c r="K492" t="s">
        <v>1158</v>
      </c>
      <c r="L492">
        <v>2401061222</v>
      </c>
      <c r="M492" t="s">
        <v>91</v>
      </c>
      <c r="N492" t="s">
        <v>91</v>
      </c>
      <c r="P492" t="s">
        <v>137</v>
      </c>
      <c r="R492">
        <v>686868073742</v>
      </c>
      <c r="T492" s="24">
        <v>-39245793</v>
      </c>
      <c r="X492" t="s">
        <v>92</v>
      </c>
    </row>
    <row r="493" spans="1:24" x14ac:dyDescent="0.3">
      <c r="A493" s="36">
        <v>45297</v>
      </c>
      <c r="B493" t="s">
        <v>90</v>
      </c>
      <c r="C493" t="s">
        <v>1159</v>
      </c>
      <c r="G493" s="51">
        <v>45297</v>
      </c>
      <c r="I493" s="24">
        <v>-492388</v>
      </c>
      <c r="K493" t="s">
        <v>1160</v>
      </c>
      <c r="L493">
        <v>2401061737</v>
      </c>
      <c r="M493" t="s">
        <v>91</v>
      </c>
      <c r="N493" t="s">
        <v>91</v>
      </c>
      <c r="O493" t="s">
        <v>136</v>
      </c>
      <c r="P493" t="s">
        <v>137</v>
      </c>
      <c r="R493" t="s">
        <v>1161</v>
      </c>
      <c r="T493" s="24">
        <v>-39738181</v>
      </c>
      <c r="X493" t="s">
        <v>92</v>
      </c>
    </row>
    <row r="494" spans="1:24" x14ac:dyDescent="0.3">
      <c r="A494" s="36">
        <v>45297</v>
      </c>
      <c r="B494" t="s">
        <v>90</v>
      </c>
      <c r="C494" t="s">
        <v>1162</v>
      </c>
      <c r="G494" s="51">
        <v>45297</v>
      </c>
      <c r="I494" s="24">
        <v>-75000</v>
      </c>
      <c r="K494" t="s">
        <v>135</v>
      </c>
      <c r="L494">
        <v>2401061857</v>
      </c>
      <c r="M494" t="s">
        <v>91</v>
      </c>
      <c r="N494" t="s">
        <v>91</v>
      </c>
      <c r="O494" t="s">
        <v>136</v>
      </c>
      <c r="P494" t="s">
        <v>137</v>
      </c>
      <c r="R494" t="s">
        <v>1163</v>
      </c>
      <c r="T494" s="24">
        <v>-39813181</v>
      </c>
      <c r="X494" t="s">
        <v>92</v>
      </c>
    </row>
    <row r="495" spans="1:24" x14ac:dyDescent="0.3">
      <c r="A495" s="36">
        <v>45299</v>
      </c>
      <c r="B495" t="s">
        <v>90</v>
      </c>
      <c r="C495" t="s">
        <v>1164</v>
      </c>
      <c r="G495" s="51">
        <v>45299</v>
      </c>
      <c r="I495" s="24">
        <v>-65000</v>
      </c>
      <c r="K495" t="s">
        <v>135</v>
      </c>
      <c r="L495">
        <v>2401071500</v>
      </c>
      <c r="M495" t="s">
        <v>91</v>
      </c>
      <c r="N495" t="s">
        <v>91</v>
      </c>
      <c r="O495" t="s">
        <v>136</v>
      </c>
      <c r="P495" t="s">
        <v>137</v>
      </c>
      <c r="R495" t="s">
        <v>1165</v>
      </c>
      <c r="T495" s="24">
        <v>-39878181</v>
      </c>
      <c r="X495" t="s">
        <v>92</v>
      </c>
    </row>
    <row r="496" spans="1:24" x14ac:dyDescent="0.3">
      <c r="A496" s="36">
        <v>45299</v>
      </c>
      <c r="B496" t="s">
        <v>90</v>
      </c>
      <c r="C496" t="s">
        <v>1166</v>
      </c>
      <c r="G496" s="51">
        <v>45299</v>
      </c>
      <c r="I496" s="24">
        <v>-50000</v>
      </c>
      <c r="K496" t="s">
        <v>135</v>
      </c>
      <c r="L496">
        <v>2401071557</v>
      </c>
      <c r="M496" t="s">
        <v>91</v>
      </c>
      <c r="N496" t="s">
        <v>91</v>
      </c>
      <c r="O496" t="s">
        <v>136</v>
      </c>
      <c r="P496" t="s">
        <v>137</v>
      </c>
      <c r="R496" t="s">
        <v>1167</v>
      </c>
      <c r="T496" s="24">
        <v>-39928181</v>
      </c>
      <c r="X496" t="s">
        <v>92</v>
      </c>
    </row>
    <row r="497" spans="1:24" x14ac:dyDescent="0.3">
      <c r="A497" s="36">
        <v>45299</v>
      </c>
      <c r="B497" t="s">
        <v>90</v>
      </c>
      <c r="C497" t="s">
        <v>1168</v>
      </c>
      <c r="G497" s="51">
        <v>45299</v>
      </c>
      <c r="I497" s="24">
        <v>-25000</v>
      </c>
      <c r="K497" t="s">
        <v>135</v>
      </c>
      <c r="L497">
        <v>2401071603</v>
      </c>
      <c r="M497" t="s">
        <v>91</v>
      </c>
      <c r="N497" t="s">
        <v>91</v>
      </c>
      <c r="O497" t="s">
        <v>136</v>
      </c>
      <c r="P497" t="s">
        <v>137</v>
      </c>
      <c r="R497" t="s">
        <v>1169</v>
      </c>
      <c r="T497" s="24">
        <v>-39953181</v>
      </c>
      <c r="X497" t="s">
        <v>92</v>
      </c>
    </row>
    <row r="498" spans="1:24" x14ac:dyDescent="0.3">
      <c r="A498" s="36">
        <v>45299</v>
      </c>
      <c r="B498" t="s">
        <v>90</v>
      </c>
      <c r="C498" t="s">
        <v>1170</v>
      </c>
      <c r="G498" s="51">
        <v>45299</v>
      </c>
      <c r="J498" s="24">
        <v>500000</v>
      </c>
      <c r="K498" t="s">
        <v>135</v>
      </c>
      <c r="L498">
        <v>2401072012</v>
      </c>
      <c r="M498" t="s">
        <v>91</v>
      </c>
      <c r="N498" t="s">
        <v>91</v>
      </c>
      <c r="O498" t="s">
        <v>136</v>
      </c>
      <c r="P498" t="s">
        <v>137</v>
      </c>
      <c r="R498" t="s">
        <v>1171</v>
      </c>
      <c r="T498" s="24">
        <v>-39453181</v>
      </c>
    </row>
    <row r="499" spans="1:24" x14ac:dyDescent="0.3">
      <c r="A499" s="36">
        <v>45299</v>
      </c>
      <c r="B499" t="s">
        <v>90</v>
      </c>
      <c r="C499" t="s">
        <v>1172</v>
      </c>
      <c r="G499" s="51">
        <v>45299</v>
      </c>
      <c r="I499" s="24">
        <v>-120000</v>
      </c>
      <c r="K499" t="s">
        <v>808</v>
      </c>
      <c r="L499">
        <v>2401072014</v>
      </c>
      <c r="M499" t="s">
        <v>91</v>
      </c>
      <c r="N499" t="s">
        <v>91</v>
      </c>
      <c r="O499" t="s">
        <v>136</v>
      </c>
      <c r="P499" t="s">
        <v>97</v>
      </c>
      <c r="R499" t="s">
        <v>1173</v>
      </c>
      <c r="T499" s="24">
        <v>-39573181</v>
      </c>
    </row>
    <row r="500" spans="1:24" x14ac:dyDescent="0.3">
      <c r="A500" s="36">
        <v>45299</v>
      </c>
      <c r="B500" t="s">
        <v>90</v>
      </c>
      <c r="C500" t="s">
        <v>1174</v>
      </c>
      <c r="G500" s="51">
        <v>45299</v>
      </c>
      <c r="I500" s="24">
        <v>-40000</v>
      </c>
      <c r="K500" t="s">
        <v>135</v>
      </c>
      <c r="L500">
        <v>2401072048</v>
      </c>
      <c r="M500" t="s">
        <v>91</v>
      </c>
      <c r="N500" t="s">
        <v>91</v>
      </c>
      <c r="O500" t="s">
        <v>136</v>
      </c>
      <c r="P500" t="s">
        <v>137</v>
      </c>
      <c r="R500" t="s">
        <v>1175</v>
      </c>
      <c r="T500" s="24">
        <v>-39613181</v>
      </c>
      <c r="X500" t="s">
        <v>92</v>
      </c>
    </row>
    <row r="501" spans="1:24" x14ac:dyDescent="0.3">
      <c r="A501" s="36">
        <v>45299</v>
      </c>
      <c r="B501" t="s">
        <v>90</v>
      </c>
      <c r="C501" t="s">
        <v>1176</v>
      </c>
      <c r="G501" s="51">
        <v>45299</v>
      </c>
      <c r="J501" s="24">
        <v>1200000</v>
      </c>
      <c r="K501" t="s">
        <v>1177</v>
      </c>
      <c r="L501">
        <v>2401072149</v>
      </c>
      <c r="M501" t="s">
        <v>91</v>
      </c>
      <c r="N501" t="s">
        <v>91</v>
      </c>
      <c r="P501" t="s">
        <v>137</v>
      </c>
      <c r="R501">
        <v>970422678226</v>
      </c>
      <c r="T501" s="24">
        <v>-38413181</v>
      </c>
      <c r="X501" t="s">
        <v>92</v>
      </c>
    </row>
    <row r="502" spans="1:24" x14ac:dyDescent="0.3">
      <c r="A502" s="36">
        <v>45299</v>
      </c>
      <c r="B502" t="s">
        <v>90</v>
      </c>
      <c r="C502" t="s">
        <v>1178</v>
      </c>
      <c r="G502" s="51">
        <v>45299</v>
      </c>
      <c r="I502" s="24">
        <v>-1000000</v>
      </c>
      <c r="K502" t="s">
        <v>135</v>
      </c>
      <c r="L502">
        <v>2401081019</v>
      </c>
      <c r="M502" t="s">
        <v>91</v>
      </c>
      <c r="N502" t="s">
        <v>91</v>
      </c>
      <c r="O502" t="s">
        <v>136</v>
      </c>
      <c r="P502" t="s">
        <v>137</v>
      </c>
      <c r="R502" t="s">
        <v>1179</v>
      </c>
      <c r="T502" s="24">
        <v>-39413181</v>
      </c>
      <c r="X502" t="s">
        <v>92</v>
      </c>
    </row>
    <row r="503" spans="1:24" x14ac:dyDescent="0.3">
      <c r="A503" s="36">
        <v>45299</v>
      </c>
      <c r="B503" t="s">
        <v>90</v>
      </c>
      <c r="C503" t="s">
        <v>1180</v>
      </c>
      <c r="G503" s="51">
        <v>45299</v>
      </c>
      <c r="I503" s="24">
        <v>-121000</v>
      </c>
      <c r="K503" t="s">
        <v>135</v>
      </c>
      <c r="L503">
        <v>2401081223</v>
      </c>
      <c r="M503" t="s">
        <v>91</v>
      </c>
      <c r="N503" t="s">
        <v>91</v>
      </c>
      <c r="O503" t="s">
        <v>136</v>
      </c>
      <c r="P503" t="s">
        <v>137</v>
      </c>
      <c r="R503" t="s">
        <v>1181</v>
      </c>
      <c r="T503" s="24">
        <v>-39534181</v>
      </c>
      <c r="X503" t="s">
        <v>92</v>
      </c>
    </row>
    <row r="504" spans="1:24" x14ac:dyDescent="0.3">
      <c r="A504" s="36">
        <v>45299</v>
      </c>
      <c r="B504" t="s">
        <v>90</v>
      </c>
      <c r="C504" t="s">
        <v>1182</v>
      </c>
      <c r="G504" s="51">
        <v>45299</v>
      </c>
      <c r="I504" s="24">
        <v>-143000</v>
      </c>
      <c r="K504" t="s">
        <v>1183</v>
      </c>
      <c r="L504">
        <v>2401081539</v>
      </c>
      <c r="M504" t="s">
        <v>91</v>
      </c>
      <c r="N504" t="s">
        <v>91</v>
      </c>
      <c r="O504" t="s">
        <v>136</v>
      </c>
      <c r="P504" t="s">
        <v>137</v>
      </c>
      <c r="R504" t="s">
        <v>1184</v>
      </c>
      <c r="T504" s="24">
        <v>-39677181</v>
      </c>
      <c r="X504" t="s">
        <v>92</v>
      </c>
    </row>
    <row r="505" spans="1:24" x14ac:dyDescent="0.3">
      <c r="A505" s="36">
        <v>45299</v>
      </c>
      <c r="B505" t="s">
        <v>90</v>
      </c>
      <c r="C505" t="s">
        <v>1185</v>
      </c>
      <c r="G505" s="51">
        <v>45299</v>
      </c>
      <c r="J505" s="24">
        <v>182000</v>
      </c>
      <c r="K505" t="s">
        <v>135</v>
      </c>
      <c r="L505">
        <v>2401081949</v>
      </c>
      <c r="M505" t="s">
        <v>91</v>
      </c>
      <c r="N505" t="s">
        <v>91</v>
      </c>
      <c r="O505" t="s">
        <v>136</v>
      </c>
      <c r="P505" t="s">
        <v>137</v>
      </c>
      <c r="R505" t="s">
        <v>1186</v>
      </c>
      <c r="T505" s="24">
        <v>-39495181</v>
      </c>
    </row>
    <row r="506" spans="1:24" x14ac:dyDescent="0.3">
      <c r="A506" s="36">
        <v>45300</v>
      </c>
      <c r="B506" t="s">
        <v>90</v>
      </c>
      <c r="C506" t="s">
        <v>1187</v>
      </c>
      <c r="G506" s="51">
        <v>45300</v>
      </c>
      <c r="I506" s="24">
        <v>-40000</v>
      </c>
      <c r="K506" t="s">
        <v>135</v>
      </c>
      <c r="L506">
        <v>2401091151</v>
      </c>
      <c r="M506" t="s">
        <v>91</v>
      </c>
      <c r="N506" t="s">
        <v>91</v>
      </c>
      <c r="O506" t="s">
        <v>136</v>
      </c>
      <c r="P506" t="s">
        <v>137</v>
      </c>
      <c r="R506" t="s">
        <v>1188</v>
      </c>
      <c r="T506" s="24">
        <v>-39535181</v>
      </c>
      <c r="X506" t="s">
        <v>92</v>
      </c>
    </row>
    <row r="507" spans="1:24" x14ac:dyDescent="0.3">
      <c r="A507" s="36">
        <v>45300</v>
      </c>
      <c r="B507" t="s">
        <v>90</v>
      </c>
      <c r="C507" t="s">
        <v>1189</v>
      </c>
      <c r="G507" s="51">
        <v>45300</v>
      </c>
      <c r="I507" s="24">
        <v>-173000</v>
      </c>
      <c r="K507" t="s">
        <v>135</v>
      </c>
      <c r="L507">
        <v>2401091745</v>
      </c>
      <c r="M507" t="s">
        <v>91</v>
      </c>
      <c r="N507" t="s">
        <v>91</v>
      </c>
      <c r="O507" t="s">
        <v>136</v>
      </c>
      <c r="P507" t="s">
        <v>137</v>
      </c>
      <c r="R507" t="s">
        <v>1190</v>
      </c>
      <c r="T507" s="24">
        <v>-39708181</v>
      </c>
      <c r="X507" t="s">
        <v>92</v>
      </c>
    </row>
    <row r="508" spans="1:24" x14ac:dyDescent="0.3">
      <c r="A508" s="36">
        <v>45300</v>
      </c>
      <c r="B508" t="s">
        <v>90</v>
      </c>
      <c r="C508" t="s">
        <v>1191</v>
      </c>
      <c r="G508" s="51">
        <v>45300</v>
      </c>
      <c r="J508" s="24">
        <v>980000</v>
      </c>
      <c r="K508" t="s">
        <v>1192</v>
      </c>
      <c r="L508">
        <v>2401091813</v>
      </c>
      <c r="M508" t="s">
        <v>91</v>
      </c>
      <c r="N508" t="s">
        <v>91</v>
      </c>
      <c r="O508" t="s">
        <v>136</v>
      </c>
      <c r="P508" t="s">
        <v>97</v>
      </c>
      <c r="R508">
        <v>51352235514</v>
      </c>
      <c r="T508" s="24">
        <v>-38728181</v>
      </c>
    </row>
    <row r="509" spans="1:24" x14ac:dyDescent="0.3">
      <c r="A509" s="36">
        <v>45300</v>
      </c>
      <c r="B509" t="s">
        <v>90</v>
      </c>
      <c r="C509" t="s">
        <v>1193</v>
      </c>
      <c r="G509" s="51">
        <v>45300</v>
      </c>
      <c r="I509" s="24">
        <v>-251000</v>
      </c>
      <c r="K509" t="s">
        <v>135</v>
      </c>
      <c r="L509">
        <v>2401091918</v>
      </c>
      <c r="M509" t="s">
        <v>91</v>
      </c>
      <c r="N509" t="s">
        <v>91</v>
      </c>
      <c r="O509" t="s">
        <v>136</v>
      </c>
      <c r="P509" t="s">
        <v>137</v>
      </c>
      <c r="R509" t="s">
        <v>1194</v>
      </c>
      <c r="T509" s="24">
        <v>-38979181</v>
      </c>
      <c r="X509" t="s">
        <v>92</v>
      </c>
    </row>
    <row r="510" spans="1:24" x14ac:dyDescent="0.3">
      <c r="A510" s="36">
        <v>45300</v>
      </c>
      <c r="B510" t="s">
        <v>90</v>
      </c>
      <c r="C510" t="s">
        <v>1195</v>
      </c>
      <c r="G510" s="51">
        <v>45300</v>
      </c>
      <c r="I510" s="24">
        <v>-360000</v>
      </c>
      <c r="K510" t="s">
        <v>135</v>
      </c>
      <c r="L510">
        <v>2401092039</v>
      </c>
      <c r="M510" t="s">
        <v>91</v>
      </c>
      <c r="N510" t="s">
        <v>91</v>
      </c>
      <c r="O510" t="s">
        <v>136</v>
      </c>
      <c r="P510" t="s">
        <v>137</v>
      </c>
      <c r="R510" t="s">
        <v>1196</v>
      </c>
      <c r="T510" s="24">
        <v>-39339181</v>
      </c>
      <c r="X510" t="s">
        <v>92</v>
      </c>
    </row>
    <row r="511" spans="1:24" x14ac:dyDescent="0.3">
      <c r="A511" s="36">
        <v>45301</v>
      </c>
      <c r="B511" t="s">
        <v>90</v>
      </c>
      <c r="C511" t="s">
        <v>1197</v>
      </c>
      <c r="G511" s="51">
        <v>45301</v>
      </c>
      <c r="I511" s="24">
        <v>-150000</v>
      </c>
      <c r="K511" t="s">
        <v>1198</v>
      </c>
      <c r="L511">
        <v>2401092152</v>
      </c>
      <c r="M511" t="s">
        <v>91</v>
      </c>
      <c r="N511" t="s">
        <v>91</v>
      </c>
      <c r="O511" t="s">
        <v>136</v>
      </c>
      <c r="P511" t="s">
        <v>137</v>
      </c>
      <c r="R511" t="s">
        <v>1199</v>
      </c>
      <c r="T511" s="24">
        <v>-39489181</v>
      </c>
      <c r="X511" t="s">
        <v>92</v>
      </c>
    </row>
    <row r="512" spans="1:24" x14ac:dyDescent="0.3">
      <c r="A512" s="36">
        <v>45302</v>
      </c>
      <c r="B512" t="s">
        <v>90</v>
      </c>
      <c r="C512" t="s">
        <v>1200</v>
      </c>
      <c r="G512" s="51">
        <v>45302</v>
      </c>
      <c r="I512" s="24">
        <v>-10000</v>
      </c>
      <c r="K512" t="s">
        <v>1201</v>
      </c>
      <c r="L512">
        <v>2401111259</v>
      </c>
      <c r="M512" t="s">
        <v>91</v>
      </c>
      <c r="N512" t="s">
        <v>91</v>
      </c>
      <c r="O512" t="s">
        <v>136</v>
      </c>
      <c r="P512" t="s">
        <v>97</v>
      </c>
      <c r="R512" t="s">
        <v>1202</v>
      </c>
      <c r="T512" s="24">
        <v>-39499181</v>
      </c>
    </row>
    <row r="513" spans="1:24" x14ac:dyDescent="0.3">
      <c r="A513" s="36">
        <v>45302</v>
      </c>
      <c r="B513" t="s">
        <v>90</v>
      </c>
      <c r="C513" t="s">
        <v>1203</v>
      </c>
      <c r="G513" s="51">
        <v>45302</v>
      </c>
      <c r="I513" s="24">
        <v>-250000</v>
      </c>
      <c r="K513" t="s">
        <v>135</v>
      </c>
      <c r="L513">
        <v>2401112054</v>
      </c>
      <c r="M513" t="s">
        <v>91</v>
      </c>
      <c r="N513" t="s">
        <v>91</v>
      </c>
      <c r="O513" t="s">
        <v>136</v>
      </c>
      <c r="P513" t="s">
        <v>137</v>
      </c>
      <c r="R513" t="s">
        <v>1204</v>
      </c>
      <c r="T513" s="24">
        <v>-39749181</v>
      </c>
      <c r="X513" t="s">
        <v>92</v>
      </c>
    </row>
    <row r="514" spans="1:24" x14ac:dyDescent="0.3">
      <c r="A514" s="36">
        <v>45303</v>
      </c>
      <c r="B514" t="s">
        <v>90</v>
      </c>
      <c r="C514" t="s">
        <v>1205</v>
      </c>
      <c r="G514" s="51">
        <v>45303</v>
      </c>
      <c r="J514" s="24">
        <v>18250000</v>
      </c>
      <c r="K514" t="s">
        <v>1206</v>
      </c>
      <c r="L514">
        <v>2401121025</v>
      </c>
      <c r="M514" t="s">
        <v>91</v>
      </c>
      <c r="N514" t="s">
        <v>91</v>
      </c>
      <c r="P514" t="s">
        <v>137</v>
      </c>
      <c r="R514">
        <v>970422904752</v>
      </c>
      <c r="T514" s="24">
        <v>-21499181</v>
      </c>
      <c r="X514" t="s">
        <v>92</v>
      </c>
    </row>
    <row r="515" spans="1:24" x14ac:dyDescent="0.3">
      <c r="A515" s="36">
        <v>45303</v>
      </c>
      <c r="B515" t="s">
        <v>90</v>
      </c>
      <c r="C515" t="s">
        <v>1207</v>
      </c>
      <c r="G515" s="51">
        <v>45303</v>
      </c>
      <c r="I515" s="24">
        <v>-18000000</v>
      </c>
      <c r="K515">
        <v>2.05789651894784E+19</v>
      </c>
      <c r="L515">
        <v>2401121028</v>
      </c>
      <c r="M515" t="s">
        <v>91</v>
      </c>
      <c r="N515" t="s">
        <v>91</v>
      </c>
      <c r="O515" t="s">
        <v>136</v>
      </c>
      <c r="P515" t="s">
        <v>137</v>
      </c>
      <c r="R515" t="s">
        <v>1208</v>
      </c>
      <c r="T515" s="24">
        <v>-39499181</v>
      </c>
      <c r="X515" t="s">
        <v>92</v>
      </c>
    </row>
    <row r="516" spans="1:24" x14ac:dyDescent="0.3">
      <c r="A516" s="36">
        <v>45303</v>
      </c>
      <c r="B516" t="s">
        <v>90</v>
      </c>
      <c r="C516" t="s">
        <v>1209</v>
      </c>
      <c r="G516" s="51">
        <v>45303</v>
      </c>
      <c r="I516" s="24">
        <v>-35000</v>
      </c>
      <c r="K516" t="s">
        <v>135</v>
      </c>
      <c r="L516">
        <v>2401121134</v>
      </c>
      <c r="M516" t="s">
        <v>91</v>
      </c>
      <c r="N516" t="s">
        <v>91</v>
      </c>
      <c r="O516" t="s">
        <v>136</v>
      </c>
      <c r="P516" t="s">
        <v>137</v>
      </c>
      <c r="R516" t="s">
        <v>1210</v>
      </c>
      <c r="T516" s="24">
        <v>-39534181</v>
      </c>
      <c r="X516" t="s">
        <v>92</v>
      </c>
    </row>
    <row r="517" spans="1:24" x14ac:dyDescent="0.3">
      <c r="A517" s="36">
        <v>45303</v>
      </c>
      <c r="B517" t="s">
        <v>90</v>
      </c>
      <c r="C517" t="s">
        <v>1211</v>
      </c>
      <c r="G517" s="51">
        <v>45303</v>
      </c>
      <c r="I517" s="24">
        <v>-25000</v>
      </c>
      <c r="K517" t="s">
        <v>135</v>
      </c>
      <c r="L517">
        <v>2401121138</v>
      </c>
      <c r="M517" t="s">
        <v>91</v>
      </c>
      <c r="N517" t="s">
        <v>91</v>
      </c>
      <c r="O517" t="s">
        <v>136</v>
      </c>
      <c r="P517" t="s">
        <v>137</v>
      </c>
      <c r="R517" t="s">
        <v>1212</v>
      </c>
      <c r="T517" s="24">
        <v>-39559181</v>
      </c>
      <c r="X517" t="s">
        <v>92</v>
      </c>
    </row>
    <row r="518" spans="1:24" x14ac:dyDescent="0.3">
      <c r="A518" s="36">
        <v>45303</v>
      </c>
      <c r="B518" t="s">
        <v>90</v>
      </c>
      <c r="C518" t="s">
        <v>1213</v>
      </c>
      <c r="G518" s="51">
        <v>45303</v>
      </c>
      <c r="J518" s="24">
        <v>4231300</v>
      </c>
      <c r="K518" t="s">
        <v>1214</v>
      </c>
      <c r="L518">
        <v>2401121249</v>
      </c>
      <c r="M518" t="s">
        <v>91</v>
      </c>
      <c r="N518" t="s">
        <v>91</v>
      </c>
      <c r="P518" t="s">
        <v>137</v>
      </c>
      <c r="R518">
        <v>970416801512</v>
      </c>
      <c r="T518" s="24">
        <v>-35327881</v>
      </c>
      <c r="X518" t="s">
        <v>92</v>
      </c>
    </row>
    <row r="519" spans="1:24" x14ac:dyDescent="0.3">
      <c r="A519" s="36">
        <v>45303</v>
      </c>
      <c r="B519" t="s">
        <v>90</v>
      </c>
      <c r="C519" t="s">
        <v>1215</v>
      </c>
      <c r="G519" s="51">
        <v>45303</v>
      </c>
      <c r="J519" s="24">
        <v>1000000</v>
      </c>
      <c r="K519" t="s">
        <v>1216</v>
      </c>
      <c r="L519">
        <v>2401121254</v>
      </c>
      <c r="M519" t="s">
        <v>91</v>
      </c>
      <c r="N519" t="s">
        <v>91</v>
      </c>
      <c r="O519" t="s">
        <v>136</v>
      </c>
      <c r="P519" t="s">
        <v>97</v>
      </c>
      <c r="R519">
        <v>51508752371</v>
      </c>
      <c r="T519" s="24">
        <v>-34327881</v>
      </c>
    </row>
    <row r="520" spans="1:24" x14ac:dyDescent="0.3">
      <c r="A520" s="36">
        <v>45303</v>
      </c>
      <c r="B520" t="s">
        <v>90</v>
      </c>
      <c r="C520" t="s">
        <v>1217</v>
      </c>
      <c r="G520" s="51">
        <v>45303</v>
      </c>
      <c r="I520" s="24">
        <v>-5000000</v>
      </c>
      <c r="K520" t="s">
        <v>970</v>
      </c>
      <c r="L520">
        <v>2401121254</v>
      </c>
      <c r="M520" t="s">
        <v>91</v>
      </c>
      <c r="N520" t="s">
        <v>91</v>
      </c>
      <c r="O520" t="s">
        <v>136</v>
      </c>
      <c r="P520" t="s">
        <v>137</v>
      </c>
      <c r="R520" t="s">
        <v>1218</v>
      </c>
      <c r="T520" s="24">
        <v>-39327881</v>
      </c>
      <c r="X520" t="s">
        <v>92</v>
      </c>
    </row>
    <row r="521" spans="1:24" x14ac:dyDescent="0.3">
      <c r="A521" s="36">
        <v>45303</v>
      </c>
      <c r="B521" t="s">
        <v>90</v>
      </c>
      <c r="C521" t="s">
        <v>1219</v>
      </c>
      <c r="G521" s="51">
        <v>45303</v>
      </c>
      <c r="I521" s="24">
        <v>-275000</v>
      </c>
      <c r="K521" t="s">
        <v>135</v>
      </c>
      <c r="L521">
        <v>2401121745</v>
      </c>
      <c r="M521" t="s">
        <v>91</v>
      </c>
      <c r="N521" t="s">
        <v>91</v>
      </c>
      <c r="O521" t="s">
        <v>136</v>
      </c>
      <c r="P521" t="s">
        <v>137</v>
      </c>
      <c r="R521" t="s">
        <v>1220</v>
      </c>
      <c r="T521" s="24">
        <v>-39602881</v>
      </c>
      <c r="X521" t="s">
        <v>92</v>
      </c>
    </row>
    <row r="522" spans="1:24" x14ac:dyDescent="0.3">
      <c r="A522" s="36">
        <v>45303</v>
      </c>
      <c r="B522" t="s">
        <v>90</v>
      </c>
      <c r="C522" t="s">
        <v>1221</v>
      </c>
      <c r="G522" s="51">
        <v>45303</v>
      </c>
      <c r="I522" s="24">
        <v>-160000</v>
      </c>
      <c r="K522" t="s">
        <v>135</v>
      </c>
      <c r="L522">
        <v>2401121938</v>
      </c>
      <c r="M522" t="s">
        <v>91</v>
      </c>
      <c r="N522" t="s">
        <v>91</v>
      </c>
      <c r="O522" t="s">
        <v>136</v>
      </c>
      <c r="P522" t="s">
        <v>137</v>
      </c>
      <c r="R522" t="s">
        <v>1222</v>
      </c>
      <c r="T522" s="24">
        <v>-39762881</v>
      </c>
      <c r="X522" t="s">
        <v>92</v>
      </c>
    </row>
    <row r="523" spans="1:24" x14ac:dyDescent="0.3">
      <c r="A523" s="36">
        <v>45303</v>
      </c>
      <c r="B523" t="s">
        <v>90</v>
      </c>
      <c r="C523" t="s">
        <v>1223</v>
      </c>
      <c r="G523" s="51">
        <v>45303</v>
      </c>
      <c r="I523" s="24">
        <v>-40000</v>
      </c>
      <c r="K523" t="s">
        <v>135</v>
      </c>
      <c r="L523">
        <v>2401122024</v>
      </c>
      <c r="M523" t="s">
        <v>91</v>
      </c>
      <c r="N523" t="s">
        <v>91</v>
      </c>
      <c r="O523" t="s">
        <v>136</v>
      </c>
      <c r="P523" t="s">
        <v>137</v>
      </c>
      <c r="R523" t="s">
        <v>1224</v>
      </c>
      <c r="T523" s="24">
        <v>-39802881</v>
      </c>
      <c r="X523" t="s">
        <v>92</v>
      </c>
    </row>
    <row r="524" spans="1:24" x14ac:dyDescent="0.3">
      <c r="A524" s="36">
        <v>45304</v>
      </c>
      <c r="B524" t="s">
        <v>90</v>
      </c>
      <c r="C524" t="s">
        <v>1225</v>
      </c>
      <c r="G524" s="51">
        <v>45304</v>
      </c>
      <c r="J524" s="24">
        <v>5200000</v>
      </c>
      <c r="K524" t="s">
        <v>142</v>
      </c>
      <c r="L524">
        <v>2401131154</v>
      </c>
      <c r="M524" t="s">
        <v>91</v>
      </c>
      <c r="N524" t="s">
        <v>91</v>
      </c>
      <c r="O524" t="s">
        <v>143</v>
      </c>
      <c r="P524" t="s">
        <v>144</v>
      </c>
      <c r="R524" t="s">
        <v>1226</v>
      </c>
      <c r="T524" s="24">
        <v>-34602881</v>
      </c>
    </row>
    <row r="525" spans="1:24" x14ac:dyDescent="0.3">
      <c r="A525" s="36">
        <v>45304</v>
      </c>
      <c r="B525" t="s">
        <v>90</v>
      </c>
      <c r="C525" t="s">
        <v>1227</v>
      </c>
      <c r="G525" s="51">
        <v>45304</v>
      </c>
      <c r="I525" s="24">
        <v>-5200000</v>
      </c>
      <c r="K525" t="s">
        <v>135</v>
      </c>
      <c r="L525">
        <v>2401131155</v>
      </c>
      <c r="M525" t="s">
        <v>91</v>
      </c>
      <c r="N525" t="s">
        <v>91</v>
      </c>
      <c r="O525" t="s">
        <v>136</v>
      </c>
      <c r="P525" t="s">
        <v>137</v>
      </c>
      <c r="R525" t="s">
        <v>1228</v>
      </c>
      <c r="T525" s="24">
        <v>-39802881</v>
      </c>
    </row>
    <row r="526" spans="1:24" x14ac:dyDescent="0.3">
      <c r="A526" s="36">
        <v>45304</v>
      </c>
      <c r="B526" t="s">
        <v>90</v>
      </c>
      <c r="C526" t="s">
        <v>1229</v>
      </c>
      <c r="G526" s="51">
        <v>45304</v>
      </c>
      <c r="I526" s="24">
        <v>-100000</v>
      </c>
      <c r="K526" t="s">
        <v>135</v>
      </c>
      <c r="L526">
        <v>2401131156</v>
      </c>
      <c r="M526" t="s">
        <v>91</v>
      </c>
      <c r="N526" t="s">
        <v>91</v>
      </c>
      <c r="O526" t="s">
        <v>136</v>
      </c>
      <c r="P526" t="s">
        <v>137</v>
      </c>
      <c r="R526" t="s">
        <v>1230</v>
      </c>
      <c r="T526" s="24">
        <v>-39902881</v>
      </c>
    </row>
    <row r="527" spans="1:24" x14ac:dyDescent="0.3">
      <c r="A527" s="36">
        <v>45304</v>
      </c>
      <c r="B527" t="s">
        <v>90</v>
      </c>
      <c r="C527" t="s">
        <v>1231</v>
      </c>
      <c r="G527" s="51">
        <v>45304</v>
      </c>
      <c r="I527" s="24">
        <v>-50000</v>
      </c>
      <c r="K527" t="s">
        <v>135</v>
      </c>
      <c r="L527">
        <v>2401131240</v>
      </c>
      <c r="M527" t="s">
        <v>91</v>
      </c>
      <c r="N527" t="s">
        <v>91</v>
      </c>
      <c r="O527" t="s">
        <v>136</v>
      </c>
      <c r="P527" t="s">
        <v>137</v>
      </c>
      <c r="R527" t="s">
        <v>1232</v>
      </c>
      <c r="T527" s="24">
        <v>-39952881</v>
      </c>
      <c r="X527" t="s">
        <v>92</v>
      </c>
    </row>
    <row r="528" spans="1:24" x14ac:dyDescent="0.3">
      <c r="A528" s="36">
        <v>45304</v>
      </c>
      <c r="B528" t="s">
        <v>90</v>
      </c>
      <c r="C528" t="s">
        <v>1233</v>
      </c>
      <c r="G528" s="51">
        <v>45304</v>
      </c>
      <c r="I528" s="24">
        <v>-25000</v>
      </c>
      <c r="K528" t="s">
        <v>135</v>
      </c>
      <c r="L528">
        <v>2401131247</v>
      </c>
      <c r="M528" t="s">
        <v>91</v>
      </c>
      <c r="N528" t="s">
        <v>91</v>
      </c>
      <c r="O528" t="s">
        <v>136</v>
      </c>
      <c r="P528" t="s">
        <v>137</v>
      </c>
      <c r="R528" t="s">
        <v>1234</v>
      </c>
      <c r="T528" s="24">
        <v>-39977881</v>
      </c>
      <c r="X528" t="s">
        <v>92</v>
      </c>
    </row>
    <row r="529" spans="1:24" x14ac:dyDescent="0.3">
      <c r="A529" s="36">
        <v>45304</v>
      </c>
      <c r="B529" t="s">
        <v>90</v>
      </c>
      <c r="C529" t="s">
        <v>1235</v>
      </c>
      <c r="G529" s="51">
        <v>45304</v>
      </c>
      <c r="J529" s="24">
        <v>900000</v>
      </c>
      <c r="K529" t="s">
        <v>1236</v>
      </c>
      <c r="L529">
        <v>2401131609</v>
      </c>
      <c r="M529" t="s">
        <v>91</v>
      </c>
      <c r="N529" t="s">
        <v>91</v>
      </c>
      <c r="P529" t="s">
        <v>137</v>
      </c>
      <c r="R529">
        <v>970416012303</v>
      </c>
      <c r="T529" s="24">
        <v>-39077881</v>
      </c>
      <c r="X529" t="s">
        <v>92</v>
      </c>
    </row>
    <row r="530" spans="1:24" x14ac:dyDescent="0.3">
      <c r="A530" s="36">
        <v>45304</v>
      </c>
      <c r="B530" t="s">
        <v>90</v>
      </c>
      <c r="C530" t="s">
        <v>1237</v>
      </c>
      <c r="G530" s="51">
        <v>45304</v>
      </c>
      <c r="I530" s="24">
        <v>-150000</v>
      </c>
      <c r="K530" t="s">
        <v>970</v>
      </c>
      <c r="L530">
        <v>2401131638</v>
      </c>
      <c r="M530" t="s">
        <v>91</v>
      </c>
      <c r="N530" t="s">
        <v>91</v>
      </c>
      <c r="O530" t="s">
        <v>136</v>
      </c>
      <c r="P530" t="s">
        <v>137</v>
      </c>
      <c r="R530" t="s">
        <v>1238</v>
      </c>
      <c r="T530" s="24">
        <v>-39227881</v>
      </c>
      <c r="X530" t="s">
        <v>92</v>
      </c>
    </row>
    <row r="531" spans="1:24" x14ac:dyDescent="0.3">
      <c r="A531" s="36">
        <v>45306</v>
      </c>
      <c r="B531" t="s">
        <v>90</v>
      </c>
      <c r="C531" t="s">
        <v>1239</v>
      </c>
      <c r="G531" s="51">
        <v>45306</v>
      </c>
      <c r="I531" s="24">
        <v>-40000</v>
      </c>
      <c r="K531" t="s">
        <v>135</v>
      </c>
      <c r="L531">
        <v>2401140749</v>
      </c>
      <c r="M531" t="s">
        <v>91</v>
      </c>
      <c r="N531" t="s">
        <v>91</v>
      </c>
      <c r="O531" t="s">
        <v>136</v>
      </c>
      <c r="P531" t="s">
        <v>137</v>
      </c>
      <c r="R531" t="s">
        <v>1240</v>
      </c>
      <c r="T531" s="24">
        <v>-39267881</v>
      </c>
      <c r="X531" t="s">
        <v>92</v>
      </c>
    </row>
    <row r="532" spans="1:24" x14ac:dyDescent="0.3">
      <c r="A532" s="36">
        <v>45306</v>
      </c>
      <c r="B532" t="s">
        <v>90</v>
      </c>
      <c r="C532" t="s">
        <v>1241</v>
      </c>
      <c r="G532" s="51">
        <v>45306</v>
      </c>
      <c r="I532" s="24">
        <v>-500000</v>
      </c>
      <c r="K532" t="s">
        <v>135</v>
      </c>
      <c r="L532">
        <v>2401141420</v>
      </c>
      <c r="M532" t="s">
        <v>91</v>
      </c>
      <c r="N532" t="s">
        <v>91</v>
      </c>
      <c r="O532" t="s">
        <v>136</v>
      </c>
      <c r="P532" t="s">
        <v>137</v>
      </c>
      <c r="R532" t="s">
        <v>1242</v>
      </c>
      <c r="T532" s="24">
        <v>-39767881</v>
      </c>
      <c r="X532" t="s">
        <v>92</v>
      </c>
    </row>
    <row r="533" spans="1:24" x14ac:dyDescent="0.3">
      <c r="A533" s="36">
        <v>45306</v>
      </c>
      <c r="B533" t="s">
        <v>90</v>
      </c>
      <c r="C533" t="s">
        <v>1243</v>
      </c>
      <c r="G533" s="51">
        <v>45306</v>
      </c>
      <c r="J533" s="24">
        <v>300000</v>
      </c>
      <c r="K533" t="s">
        <v>135</v>
      </c>
      <c r="L533">
        <v>2401151653</v>
      </c>
      <c r="M533" t="s">
        <v>91</v>
      </c>
      <c r="N533" t="s">
        <v>91</v>
      </c>
      <c r="O533" t="s">
        <v>136</v>
      </c>
      <c r="P533" t="s">
        <v>137</v>
      </c>
      <c r="R533" t="s">
        <v>1244</v>
      </c>
      <c r="T533" s="24">
        <v>-39467881</v>
      </c>
    </row>
    <row r="534" spans="1:24" x14ac:dyDescent="0.3">
      <c r="A534" s="36">
        <v>45306</v>
      </c>
      <c r="B534" t="s">
        <v>90</v>
      </c>
      <c r="C534" t="s">
        <v>1245</v>
      </c>
      <c r="G534" s="51">
        <v>45306</v>
      </c>
      <c r="J534" s="24">
        <v>819637</v>
      </c>
      <c r="K534" t="s">
        <v>1246</v>
      </c>
      <c r="L534">
        <v>2401151711</v>
      </c>
      <c r="M534" t="s">
        <v>91</v>
      </c>
      <c r="N534" t="s">
        <v>91</v>
      </c>
      <c r="P534" t="s">
        <v>137</v>
      </c>
      <c r="R534">
        <v>970416082566</v>
      </c>
      <c r="T534" s="24">
        <v>-38648244</v>
      </c>
      <c r="X534" t="s">
        <v>92</v>
      </c>
    </row>
    <row r="535" spans="1:24" x14ac:dyDescent="0.3">
      <c r="A535" s="36">
        <v>45306</v>
      </c>
      <c r="B535" t="s">
        <v>90</v>
      </c>
      <c r="C535" t="s">
        <v>1247</v>
      </c>
      <c r="G535" s="51">
        <v>45306</v>
      </c>
      <c r="I535" s="24">
        <v>-1000000</v>
      </c>
      <c r="K535" t="s">
        <v>135</v>
      </c>
      <c r="L535">
        <v>2401151713</v>
      </c>
      <c r="M535" t="s">
        <v>91</v>
      </c>
      <c r="N535" t="s">
        <v>91</v>
      </c>
      <c r="O535" t="s">
        <v>136</v>
      </c>
      <c r="P535" t="s">
        <v>137</v>
      </c>
      <c r="R535" t="s">
        <v>1248</v>
      </c>
      <c r="T535" s="24">
        <v>-39648244</v>
      </c>
    </row>
    <row r="536" spans="1:24" x14ac:dyDescent="0.3">
      <c r="A536" s="36">
        <v>45306</v>
      </c>
      <c r="B536" t="s">
        <v>90</v>
      </c>
      <c r="C536" t="s">
        <v>1249</v>
      </c>
      <c r="G536" s="51">
        <v>45306</v>
      </c>
      <c r="J536" s="24">
        <v>3161145</v>
      </c>
      <c r="K536" t="s">
        <v>1250</v>
      </c>
      <c r="L536">
        <v>2401151823</v>
      </c>
      <c r="M536" t="s">
        <v>91</v>
      </c>
      <c r="N536" t="s">
        <v>91</v>
      </c>
      <c r="P536" t="s">
        <v>137</v>
      </c>
      <c r="R536">
        <v>888899070503</v>
      </c>
      <c r="T536" s="24">
        <v>-36487099</v>
      </c>
      <c r="X536" t="s">
        <v>92</v>
      </c>
    </row>
    <row r="537" spans="1:24" x14ac:dyDescent="0.3">
      <c r="A537" s="36">
        <v>45306</v>
      </c>
      <c r="B537" t="s">
        <v>90</v>
      </c>
      <c r="C537" t="s">
        <v>1251</v>
      </c>
      <c r="G537" s="51">
        <v>45306</v>
      </c>
      <c r="I537" s="24">
        <v>-3161145</v>
      </c>
      <c r="K537" t="s">
        <v>135</v>
      </c>
      <c r="L537">
        <v>2401152014</v>
      </c>
      <c r="M537" t="s">
        <v>91</v>
      </c>
      <c r="N537" t="s">
        <v>91</v>
      </c>
      <c r="O537" t="s">
        <v>136</v>
      </c>
      <c r="P537" t="s">
        <v>137</v>
      </c>
      <c r="R537" t="s">
        <v>1252</v>
      </c>
      <c r="T537" s="24">
        <v>-39648244</v>
      </c>
    </row>
    <row r="538" spans="1:24" x14ac:dyDescent="0.3">
      <c r="A538" s="36">
        <v>45307</v>
      </c>
      <c r="B538" t="s">
        <v>90</v>
      </c>
      <c r="C538" t="s">
        <v>1253</v>
      </c>
      <c r="G538" s="51">
        <v>45307</v>
      </c>
      <c r="I538" s="24">
        <v>-65000</v>
      </c>
      <c r="K538" t="s">
        <v>135</v>
      </c>
      <c r="L538">
        <v>2401161217</v>
      </c>
      <c r="M538" t="s">
        <v>91</v>
      </c>
      <c r="N538" t="s">
        <v>91</v>
      </c>
      <c r="O538" t="s">
        <v>136</v>
      </c>
      <c r="P538" t="s">
        <v>137</v>
      </c>
      <c r="R538" t="s">
        <v>1254</v>
      </c>
      <c r="T538" s="24">
        <v>-39713244</v>
      </c>
      <c r="X538" t="s">
        <v>92</v>
      </c>
    </row>
    <row r="539" spans="1:24" x14ac:dyDescent="0.3">
      <c r="A539" s="36">
        <v>45307</v>
      </c>
      <c r="B539" t="s">
        <v>90</v>
      </c>
      <c r="C539" t="s">
        <v>1255</v>
      </c>
      <c r="G539" s="51">
        <v>45307</v>
      </c>
      <c r="I539" s="24">
        <v>-100000</v>
      </c>
      <c r="K539" t="s">
        <v>135</v>
      </c>
      <c r="L539">
        <v>2401161625</v>
      </c>
      <c r="M539" t="s">
        <v>91</v>
      </c>
      <c r="N539" t="s">
        <v>91</v>
      </c>
      <c r="O539" t="s">
        <v>136</v>
      </c>
      <c r="P539" t="s">
        <v>137</v>
      </c>
      <c r="R539" t="s">
        <v>1256</v>
      </c>
      <c r="T539" s="24">
        <v>-39813244</v>
      </c>
      <c r="X539" t="s">
        <v>92</v>
      </c>
    </row>
    <row r="540" spans="1:24" x14ac:dyDescent="0.3">
      <c r="A540" s="36">
        <v>45307</v>
      </c>
      <c r="B540" t="s">
        <v>90</v>
      </c>
      <c r="C540" t="s">
        <v>1257</v>
      </c>
      <c r="G540" s="51">
        <v>45307</v>
      </c>
      <c r="J540" s="24">
        <v>7500000</v>
      </c>
      <c r="K540" t="s">
        <v>1258</v>
      </c>
      <c r="L540">
        <v>2401161804</v>
      </c>
      <c r="M540" t="s">
        <v>91</v>
      </c>
      <c r="N540" t="s">
        <v>91</v>
      </c>
      <c r="P540" t="s">
        <v>137</v>
      </c>
      <c r="R540">
        <v>970422920365</v>
      </c>
      <c r="T540" s="24">
        <v>-32313244</v>
      </c>
      <c r="X540" t="s">
        <v>92</v>
      </c>
    </row>
    <row r="541" spans="1:24" x14ac:dyDescent="0.3">
      <c r="A541" s="36">
        <v>45307</v>
      </c>
      <c r="B541" t="s">
        <v>90</v>
      </c>
      <c r="C541" t="s">
        <v>1259</v>
      </c>
      <c r="G541" s="51">
        <v>45307</v>
      </c>
      <c r="I541" s="24">
        <v>-6000000</v>
      </c>
      <c r="K541" t="s">
        <v>135</v>
      </c>
      <c r="L541">
        <v>2401161805</v>
      </c>
      <c r="M541" t="s">
        <v>91</v>
      </c>
      <c r="N541" t="s">
        <v>91</v>
      </c>
      <c r="O541" t="s">
        <v>136</v>
      </c>
      <c r="P541" t="s">
        <v>137</v>
      </c>
      <c r="R541" t="s">
        <v>1260</v>
      </c>
      <c r="T541" s="24">
        <v>-38313244</v>
      </c>
    </row>
    <row r="542" spans="1:24" x14ac:dyDescent="0.3">
      <c r="A542" s="36">
        <v>45307</v>
      </c>
      <c r="B542" t="s">
        <v>90</v>
      </c>
      <c r="C542" t="s">
        <v>1261</v>
      </c>
      <c r="G542" s="51">
        <v>45307</v>
      </c>
      <c r="I542" s="24">
        <v>-1200000</v>
      </c>
      <c r="K542" t="s">
        <v>1262</v>
      </c>
      <c r="L542">
        <v>2401161806</v>
      </c>
      <c r="M542" t="s">
        <v>91</v>
      </c>
      <c r="N542" t="s">
        <v>91</v>
      </c>
      <c r="O542" t="s">
        <v>136</v>
      </c>
      <c r="P542" t="s">
        <v>137</v>
      </c>
      <c r="R542" t="s">
        <v>1263</v>
      </c>
      <c r="T542" s="24">
        <v>-39513244</v>
      </c>
      <c r="X542" t="s">
        <v>92</v>
      </c>
    </row>
    <row r="543" spans="1:24" x14ac:dyDescent="0.3">
      <c r="A543" s="36">
        <v>45307</v>
      </c>
      <c r="B543" t="s">
        <v>90</v>
      </c>
      <c r="C543" t="s">
        <v>1264</v>
      </c>
      <c r="G543" s="51">
        <v>45307</v>
      </c>
      <c r="J543" s="24">
        <v>3000000</v>
      </c>
      <c r="K543" t="s">
        <v>1265</v>
      </c>
      <c r="L543">
        <v>2401162004</v>
      </c>
      <c r="M543" t="s">
        <v>91</v>
      </c>
      <c r="N543" t="s">
        <v>91</v>
      </c>
      <c r="P543" t="s">
        <v>137</v>
      </c>
      <c r="R543">
        <v>970448149024</v>
      </c>
      <c r="T543" s="24">
        <v>-36513244</v>
      </c>
      <c r="X543" t="s">
        <v>92</v>
      </c>
    </row>
    <row r="544" spans="1:24" x14ac:dyDescent="0.3">
      <c r="A544" s="36">
        <v>45307</v>
      </c>
      <c r="B544" t="s">
        <v>90</v>
      </c>
      <c r="C544" t="s">
        <v>1266</v>
      </c>
      <c r="G544" s="51">
        <v>45307</v>
      </c>
      <c r="I544" s="24">
        <v>-1000000</v>
      </c>
      <c r="K544" t="s">
        <v>135</v>
      </c>
      <c r="L544">
        <v>2401162110</v>
      </c>
      <c r="M544" t="s">
        <v>91</v>
      </c>
      <c r="N544" t="s">
        <v>91</v>
      </c>
      <c r="O544" t="s">
        <v>136</v>
      </c>
      <c r="P544" t="s">
        <v>137</v>
      </c>
      <c r="R544" t="s">
        <v>1267</v>
      </c>
      <c r="T544" s="24">
        <v>-37513244</v>
      </c>
      <c r="X544" t="s">
        <v>92</v>
      </c>
    </row>
    <row r="545" spans="1:24" x14ac:dyDescent="0.3">
      <c r="A545" s="36">
        <v>45308</v>
      </c>
      <c r="B545" t="s">
        <v>90</v>
      </c>
      <c r="C545" t="s">
        <v>1268</v>
      </c>
      <c r="G545" s="51">
        <v>45308</v>
      </c>
      <c r="I545" s="24">
        <v>-80000</v>
      </c>
      <c r="K545" t="s">
        <v>135</v>
      </c>
      <c r="L545">
        <v>2401171353</v>
      </c>
      <c r="M545" t="s">
        <v>91</v>
      </c>
      <c r="N545" t="s">
        <v>91</v>
      </c>
      <c r="O545" t="s">
        <v>136</v>
      </c>
      <c r="P545" t="s">
        <v>137</v>
      </c>
      <c r="R545" t="s">
        <v>1269</v>
      </c>
      <c r="T545" s="24">
        <v>-37593244</v>
      </c>
      <c r="X545" t="s">
        <v>92</v>
      </c>
    </row>
    <row r="546" spans="1:24" x14ac:dyDescent="0.3">
      <c r="A546" s="36">
        <v>45308</v>
      </c>
      <c r="B546" t="s">
        <v>90</v>
      </c>
      <c r="C546" t="s">
        <v>1270</v>
      </c>
      <c r="G546" s="51">
        <v>45308</v>
      </c>
      <c r="I546" s="24">
        <v>-861547</v>
      </c>
      <c r="K546" t="s">
        <v>1271</v>
      </c>
      <c r="L546">
        <v>2401171828</v>
      </c>
      <c r="M546" t="s">
        <v>91</v>
      </c>
      <c r="N546" t="s">
        <v>91</v>
      </c>
      <c r="O546" t="s">
        <v>136</v>
      </c>
      <c r="P546" t="s">
        <v>137</v>
      </c>
      <c r="R546" t="s">
        <v>1272</v>
      </c>
      <c r="T546" s="24">
        <v>-38454791</v>
      </c>
      <c r="X546" t="s">
        <v>92</v>
      </c>
    </row>
    <row r="547" spans="1:24" x14ac:dyDescent="0.3">
      <c r="A547" s="36">
        <v>45308</v>
      </c>
      <c r="B547" t="s">
        <v>90</v>
      </c>
      <c r="C547" t="s">
        <v>1273</v>
      </c>
      <c r="G547" s="51">
        <v>45308</v>
      </c>
      <c r="I547" s="24">
        <v>-80000</v>
      </c>
      <c r="K547" t="s">
        <v>135</v>
      </c>
      <c r="L547">
        <v>2401171853</v>
      </c>
      <c r="M547" t="s">
        <v>91</v>
      </c>
      <c r="N547" t="s">
        <v>91</v>
      </c>
      <c r="O547" t="s">
        <v>136</v>
      </c>
      <c r="P547" t="s">
        <v>137</v>
      </c>
      <c r="R547" t="s">
        <v>1274</v>
      </c>
      <c r="T547" s="24">
        <v>-38534791</v>
      </c>
      <c r="X547" t="s">
        <v>92</v>
      </c>
    </row>
    <row r="548" spans="1:24" x14ac:dyDescent="0.3">
      <c r="A548" s="36">
        <v>45308</v>
      </c>
      <c r="B548" t="s">
        <v>90</v>
      </c>
      <c r="C548" t="s">
        <v>1275</v>
      </c>
      <c r="G548" s="51">
        <v>45308</v>
      </c>
      <c r="I548" s="24">
        <v>-280000</v>
      </c>
      <c r="K548" t="s">
        <v>135</v>
      </c>
      <c r="L548">
        <v>2401171900</v>
      </c>
      <c r="M548" t="s">
        <v>91</v>
      </c>
      <c r="N548" t="s">
        <v>91</v>
      </c>
      <c r="O548" t="s">
        <v>136</v>
      </c>
      <c r="P548" t="s">
        <v>137</v>
      </c>
      <c r="R548" t="s">
        <v>1276</v>
      </c>
      <c r="T548" s="24">
        <v>-38814791</v>
      </c>
      <c r="X548" t="s">
        <v>92</v>
      </c>
    </row>
    <row r="549" spans="1:24" x14ac:dyDescent="0.3">
      <c r="A549" s="36">
        <v>45309</v>
      </c>
      <c r="B549" t="s">
        <v>90</v>
      </c>
      <c r="C549" t="s">
        <v>1277</v>
      </c>
      <c r="G549" s="51">
        <v>45309</v>
      </c>
      <c r="I549" s="24">
        <v>-500000</v>
      </c>
      <c r="K549" t="s">
        <v>135</v>
      </c>
      <c r="L549">
        <v>2401172235</v>
      </c>
      <c r="M549" t="s">
        <v>91</v>
      </c>
      <c r="N549" t="s">
        <v>91</v>
      </c>
      <c r="O549" t="s">
        <v>136</v>
      </c>
      <c r="P549" t="s">
        <v>137</v>
      </c>
      <c r="R549" t="s">
        <v>1278</v>
      </c>
      <c r="T549" s="24">
        <v>-39314791</v>
      </c>
      <c r="X549" t="s">
        <v>92</v>
      </c>
    </row>
    <row r="550" spans="1:24" x14ac:dyDescent="0.3">
      <c r="A550" s="36">
        <v>45309</v>
      </c>
      <c r="B550" t="s">
        <v>90</v>
      </c>
      <c r="C550" t="s">
        <v>1279</v>
      </c>
      <c r="G550" s="51">
        <v>45309</v>
      </c>
      <c r="I550" s="24">
        <v>-75000</v>
      </c>
      <c r="K550" t="s">
        <v>620</v>
      </c>
      <c r="L550">
        <v>2401181249</v>
      </c>
      <c r="M550" t="s">
        <v>91</v>
      </c>
      <c r="N550" t="s">
        <v>91</v>
      </c>
      <c r="O550" t="s">
        <v>136</v>
      </c>
      <c r="P550" t="s">
        <v>137</v>
      </c>
      <c r="R550" t="s">
        <v>1280</v>
      </c>
      <c r="T550" s="24">
        <v>-39389791</v>
      </c>
      <c r="X550" t="s">
        <v>92</v>
      </c>
    </row>
    <row r="551" spans="1:24" x14ac:dyDescent="0.3">
      <c r="A551" s="36">
        <v>45309</v>
      </c>
      <c r="B551" t="s">
        <v>90</v>
      </c>
      <c r="C551" t="s">
        <v>1281</v>
      </c>
      <c r="G551" s="51">
        <v>45309</v>
      </c>
      <c r="I551" s="24">
        <v>-243000</v>
      </c>
      <c r="L551">
        <v>2401181320</v>
      </c>
      <c r="M551" t="s">
        <v>91</v>
      </c>
      <c r="N551" t="s">
        <v>91</v>
      </c>
      <c r="O551" t="s">
        <v>136</v>
      </c>
      <c r="P551" t="s">
        <v>137</v>
      </c>
      <c r="R551" t="s">
        <v>1282</v>
      </c>
      <c r="T551" s="24">
        <v>-39632791</v>
      </c>
    </row>
    <row r="552" spans="1:24" x14ac:dyDescent="0.3">
      <c r="A552" s="36">
        <v>45309</v>
      </c>
      <c r="B552" t="s">
        <v>90</v>
      </c>
      <c r="C552" t="s">
        <v>1283</v>
      </c>
      <c r="G552" s="51">
        <v>45309</v>
      </c>
      <c r="I552" s="24">
        <v>-38000</v>
      </c>
      <c r="K552" t="s">
        <v>135</v>
      </c>
      <c r="L552">
        <v>2401181414</v>
      </c>
      <c r="M552" t="s">
        <v>91</v>
      </c>
      <c r="N552" t="s">
        <v>91</v>
      </c>
      <c r="O552" t="s">
        <v>136</v>
      </c>
      <c r="P552" t="s">
        <v>137</v>
      </c>
      <c r="R552" t="s">
        <v>1284</v>
      </c>
      <c r="T552" s="24">
        <v>-39670791</v>
      </c>
      <c r="X552" t="s">
        <v>92</v>
      </c>
    </row>
    <row r="553" spans="1:24" x14ac:dyDescent="0.3">
      <c r="A553" s="36">
        <v>45309</v>
      </c>
      <c r="B553" t="s">
        <v>90</v>
      </c>
      <c r="C553" t="s">
        <v>1285</v>
      </c>
      <c r="G553" s="51">
        <v>45309</v>
      </c>
      <c r="I553" s="24">
        <v>-120000</v>
      </c>
      <c r="K553" t="s">
        <v>135</v>
      </c>
      <c r="L553">
        <v>2401181802</v>
      </c>
      <c r="M553" t="s">
        <v>91</v>
      </c>
      <c r="N553" t="s">
        <v>91</v>
      </c>
      <c r="O553" t="s">
        <v>136</v>
      </c>
      <c r="P553" t="s">
        <v>137</v>
      </c>
      <c r="R553" t="s">
        <v>1286</v>
      </c>
      <c r="T553" s="24">
        <v>-39790791</v>
      </c>
      <c r="X553" t="s">
        <v>92</v>
      </c>
    </row>
    <row r="554" spans="1:24" x14ac:dyDescent="0.3">
      <c r="A554" s="36">
        <v>45310</v>
      </c>
      <c r="B554" t="s">
        <v>90</v>
      </c>
      <c r="C554" t="s">
        <v>1287</v>
      </c>
      <c r="G554" s="51">
        <v>45310</v>
      </c>
      <c r="I554" s="24">
        <v>-37000</v>
      </c>
      <c r="K554" t="s">
        <v>1288</v>
      </c>
      <c r="L554">
        <v>2401191219</v>
      </c>
      <c r="M554" t="s">
        <v>91</v>
      </c>
      <c r="N554" t="s">
        <v>91</v>
      </c>
      <c r="O554" t="s">
        <v>136</v>
      </c>
      <c r="P554" t="s">
        <v>137</v>
      </c>
      <c r="R554" t="s">
        <v>1289</v>
      </c>
      <c r="T554" s="24">
        <v>-39827791</v>
      </c>
      <c r="X554" t="s">
        <v>92</v>
      </c>
    </row>
    <row r="555" spans="1:24" x14ac:dyDescent="0.3">
      <c r="A555" s="36">
        <v>45310</v>
      </c>
      <c r="B555" t="s">
        <v>90</v>
      </c>
      <c r="C555" t="s">
        <v>1290</v>
      </c>
      <c r="G555" s="51">
        <v>45310</v>
      </c>
      <c r="I555" s="24">
        <v>-60000</v>
      </c>
      <c r="K555" t="s">
        <v>135</v>
      </c>
      <c r="L555">
        <v>2401191954</v>
      </c>
      <c r="M555" t="s">
        <v>91</v>
      </c>
      <c r="N555" t="s">
        <v>91</v>
      </c>
      <c r="O555" t="s">
        <v>136</v>
      </c>
      <c r="P555" t="s">
        <v>137</v>
      </c>
      <c r="R555" t="s">
        <v>1291</v>
      </c>
      <c r="T555" s="24">
        <v>-39887791</v>
      </c>
      <c r="X555" t="s">
        <v>92</v>
      </c>
    </row>
    <row r="556" spans="1:24" x14ac:dyDescent="0.3">
      <c r="A556" s="36">
        <v>45313</v>
      </c>
      <c r="B556" t="s">
        <v>90</v>
      </c>
      <c r="C556" t="s">
        <v>1292</v>
      </c>
      <c r="G556" s="51">
        <v>45313</v>
      </c>
      <c r="I556" s="24">
        <v>-105000</v>
      </c>
      <c r="K556" t="s">
        <v>135</v>
      </c>
      <c r="L556">
        <v>2401202008</v>
      </c>
      <c r="M556" t="s">
        <v>91</v>
      </c>
      <c r="N556" t="s">
        <v>91</v>
      </c>
      <c r="O556" t="s">
        <v>136</v>
      </c>
      <c r="P556" t="s">
        <v>137</v>
      </c>
      <c r="R556" t="s">
        <v>1293</v>
      </c>
      <c r="T556" s="24">
        <v>-39992791</v>
      </c>
      <c r="X556" t="s">
        <v>92</v>
      </c>
    </row>
    <row r="557" spans="1:24" x14ac:dyDescent="0.3">
      <c r="A557" s="36">
        <v>45313</v>
      </c>
      <c r="B557" t="s">
        <v>90</v>
      </c>
      <c r="C557" t="s">
        <v>1294</v>
      </c>
      <c r="G557" s="51">
        <v>45313</v>
      </c>
      <c r="J557" s="24">
        <v>850000</v>
      </c>
      <c r="K557" t="s">
        <v>1295</v>
      </c>
      <c r="L557">
        <v>2401212057</v>
      </c>
      <c r="M557" t="s">
        <v>91</v>
      </c>
      <c r="N557" t="s">
        <v>91</v>
      </c>
      <c r="O557" t="s">
        <v>136</v>
      </c>
      <c r="P557" t="s">
        <v>97</v>
      </c>
      <c r="R557">
        <v>52013302214</v>
      </c>
      <c r="T557" s="24">
        <v>-39142791</v>
      </c>
    </row>
    <row r="558" spans="1:24" x14ac:dyDescent="0.3">
      <c r="A558" s="36">
        <v>45313</v>
      </c>
      <c r="B558" t="s">
        <v>90</v>
      </c>
      <c r="C558" t="s">
        <v>1296</v>
      </c>
      <c r="G558" s="51">
        <v>45313</v>
      </c>
      <c r="J558" s="24">
        <v>150000</v>
      </c>
      <c r="K558" t="s">
        <v>135</v>
      </c>
      <c r="L558">
        <v>2401212059</v>
      </c>
      <c r="M558" t="s">
        <v>91</v>
      </c>
      <c r="N558" t="s">
        <v>91</v>
      </c>
      <c r="O558" t="s">
        <v>136</v>
      </c>
      <c r="P558" t="s">
        <v>137</v>
      </c>
      <c r="R558" t="s">
        <v>1297</v>
      </c>
      <c r="T558" s="24">
        <v>-38992791</v>
      </c>
    </row>
    <row r="559" spans="1:24" x14ac:dyDescent="0.3">
      <c r="A559" s="36">
        <v>45313</v>
      </c>
      <c r="B559" t="s">
        <v>90</v>
      </c>
      <c r="C559" t="s">
        <v>1298</v>
      </c>
      <c r="G559" s="51">
        <v>45313</v>
      </c>
      <c r="I559" s="24">
        <v>-1000000</v>
      </c>
      <c r="K559" t="s">
        <v>135</v>
      </c>
      <c r="L559">
        <v>2401212059</v>
      </c>
      <c r="M559" t="s">
        <v>91</v>
      </c>
      <c r="N559" t="s">
        <v>91</v>
      </c>
      <c r="O559" t="s">
        <v>136</v>
      </c>
      <c r="P559" t="s">
        <v>137</v>
      </c>
      <c r="R559" t="s">
        <v>1299</v>
      </c>
      <c r="T559" s="24">
        <v>-39992791</v>
      </c>
      <c r="X559" t="s">
        <v>92</v>
      </c>
    </row>
    <row r="560" spans="1:24" x14ac:dyDescent="0.3">
      <c r="A560" s="36">
        <v>45317</v>
      </c>
      <c r="B560" t="s">
        <v>90</v>
      </c>
      <c r="C560" t="s">
        <v>1300</v>
      </c>
      <c r="G560" s="51">
        <v>45317</v>
      </c>
      <c r="J560" s="24">
        <v>1230625</v>
      </c>
      <c r="K560" t="s">
        <v>1301</v>
      </c>
      <c r="L560">
        <v>2401260850</v>
      </c>
      <c r="M560" t="s">
        <v>91</v>
      </c>
      <c r="N560" t="s">
        <v>91</v>
      </c>
      <c r="P560" t="s">
        <v>137</v>
      </c>
      <c r="R560">
        <v>888899731747</v>
      </c>
      <c r="T560" s="24">
        <v>-38762166</v>
      </c>
      <c r="X560" t="s">
        <v>92</v>
      </c>
    </row>
    <row r="561" spans="1:24" x14ac:dyDescent="0.3">
      <c r="A561" s="36">
        <v>45317</v>
      </c>
      <c r="B561" t="s">
        <v>90</v>
      </c>
      <c r="C561" t="s">
        <v>1302</v>
      </c>
      <c r="G561" s="51">
        <v>45317</v>
      </c>
      <c r="I561" s="24">
        <v>-60000</v>
      </c>
      <c r="K561" t="s">
        <v>135</v>
      </c>
      <c r="L561">
        <v>2401260905</v>
      </c>
      <c r="M561" t="s">
        <v>91</v>
      </c>
      <c r="N561" t="s">
        <v>91</v>
      </c>
      <c r="O561" t="s">
        <v>136</v>
      </c>
      <c r="P561" t="s">
        <v>137</v>
      </c>
      <c r="R561" t="s">
        <v>1303</v>
      </c>
      <c r="T561" s="24">
        <v>-38822166</v>
      </c>
      <c r="X561" t="s">
        <v>92</v>
      </c>
    </row>
    <row r="562" spans="1:24" x14ac:dyDescent="0.3">
      <c r="A562" s="36">
        <v>45317</v>
      </c>
      <c r="B562" t="s">
        <v>90</v>
      </c>
      <c r="C562" t="s">
        <v>1304</v>
      </c>
      <c r="G562" s="51">
        <v>45317</v>
      </c>
      <c r="I562" s="24">
        <v>-200000</v>
      </c>
      <c r="K562" t="s">
        <v>135</v>
      </c>
      <c r="L562">
        <v>2401261804</v>
      </c>
      <c r="M562" t="s">
        <v>91</v>
      </c>
      <c r="N562" t="s">
        <v>91</v>
      </c>
      <c r="O562" t="s">
        <v>136</v>
      </c>
      <c r="P562" t="s">
        <v>137</v>
      </c>
      <c r="R562" t="s">
        <v>1305</v>
      </c>
      <c r="T562" s="24">
        <v>-39022166</v>
      </c>
      <c r="X562" t="s">
        <v>92</v>
      </c>
    </row>
    <row r="563" spans="1:24" x14ac:dyDescent="0.3">
      <c r="A563" s="36">
        <v>45317</v>
      </c>
      <c r="B563" t="s">
        <v>90</v>
      </c>
      <c r="C563" t="s">
        <v>1306</v>
      </c>
      <c r="G563" s="51">
        <v>45317</v>
      </c>
      <c r="I563" s="24">
        <v>-970671</v>
      </c>
      <c r="K563" t="s">
        <v>94</v>
      </c>
      <c r="L563">
        <v>2401261944</v>
      </c>
      <c r="M563" t="s">
        <v>66</v>
      </c>
      <c r="N563" t="s">
        <v>66</v>
      </c>
      <c r="O563" t="s">
        <v>136</v>
      </c>
      <c r="P563" t="s">
        <v>137</v>
      </c>
      <c r="T563" s="24">
        <v>-39992837</v>
      </c>
    </row>
    <row r="564" spans="1:24" x14ac:dyDescent="0.3">
      <c r="A564" s="36">
        <v>45320</v>
      </c>
      <c r="B564" t="s">
        <v>90</v>
      </c>
      <c r="C564" t="s">
        <v>1307</v>
      </c>
      <c r="G564" s="51">
        <v>45320</v>
      </c>
      <c r="J564" s="24">
        <v>14979</v>
      </c>
      <c r="K564" t="s">
        <v>135</v>
      </c>
      <c r="L564">
        <v>2401291753</v>
      </c>
      <c r="M564" t="s">
        <v>91</v>
      </c>
      <c r="N564" t="s">
        <v>91</v>
      </c>
      <c r="O564" t="s">
        <v>136</v>
      </c>
      <c r="P564" t="s">
        <v>137</v>
      </c>
      <c r="R564" t="s">
        <v>1308</v>
      </c>
      <c r="T564" s="24">
        <v>-39977858</v>
      </c>
    </row>
    <row r="565" spans="1:24" x14ac:dyDescent="0.3">
      <c r="A565" s="36">
        <v>45320</v>
      </c>
      <c r="B565" t="s">
        <v>90</v>
      </c>
      <c r="C565" t="s">
        <v>1309</v>
      </c>
      <c r="G565" s="51">
        <v>45320</v>
      </c>
      <c r="I565" s="24">
        <v>-20000</v>
      </c>
      <c r="K565" t="s">
        <v>135</v>
      </c>
      <c r="L565">
        <v>2401291753</v>
      </c>
      <c r="M565" t="s">
        <v>91</v>
      </c>
      <c r="N565" t="s">
        <v>91</v>
      </c>
      <c r="O565" t="s">
        <v>136</v>
      </c>
      <c r="P565" t="s">
        <v>137</v>
      </c>
      <c r="R565" t="s">
        <v>1310</v>
      </c>
      <c r="T565" s="24">
        <v>-39997858</v>
      </c>
      <c r="X565" t="s">
        <v>92</v>
      </c>
    </row>
    <row r="566" spans="1:24" x14ac:dyDescent="0.3">
      <c r="A566" s="36">
        <v>45320</v>
      </c>
      <c r="B566" t="s">
        <v>90</v>
      </c>
      <c r="C566" t="s">
        <v>1311</v>
      </c>
      <c r="G566" s="51">
        <v>45320</v>
      </c>
      <c r="J566" s="24">
        <v>60000</v>
      </c>
      <c r="K566" t="s">
        <v>1312</v>
      </c>
      <c r="L566">
        <v>2401291754</v>
      </c>
      <c r="M566" t="s">
        <v>91</v>
      </c>
      <c r="N566" t="s">
        <v>91</v>
      </c>
      <c r="P566" t="s">
        <v>137</v>
      </c>
      <c r="R566">
        <v>970416470634</v>
      </c>
      <c r="T566" s="24">
        <v>-39937858</v>
      </c>
      <c r="X566" t="s">
        <v>92</v>
      </c>
    </row>
    <row r="567" spans="1:24" x14ac:dyDescent="0.3">
      <c r="A567" s="36">
        <v>45320</v>
      </c>
      <c r="B567" t="s">
        <v>90</v>
      </c>
      <c r="C567" t="s">
        <v>1313</v>
      </c>
      <c r="G567" s="51">
        <v>45320</v>
      </c>
      <c r="I567" s="24">
        <v>-40000</v>
      </c>
      <c r="K567" t="s">
        <v>135</v>
      </c>
      <c r="L567">
        <v>2401291824</v>
      </c>
      <c r="M567" t="s">
        <v>91</v>
      </c>
      <c r="N567" t="s">
        <v>91</v>
      </c>
      <c r="O567" t="s">
        <v>136</v>
      </c>
      <c r="P567" t="s">
        <v>137</v>
      </c>
      <c r="R567" t="s">
        <v>1314</v>
      </c>
      <c r="T567" s="24">
        <v>-39977858</v>
      </c>
      <c r="X567" t="s">
        <v>92</v>
      </c>
    </row>
    <row r="568" spans="1:24" x14ac:dyDescent="0.3">
      <c r="A568" s="36">
        <v>45321</v>
      </c>
      <c r="B568" t="s">
        <v>90</v>
      </c>
      <c r="C568" t="s">
        <v>1315</v>
      </c>
      <c r="G568" s="51">
        <v>45321</v>
      </c>
      <c r="I568" s="24">
        <v>-20000</v>
      </c>
      <c r="K568" t="s">
        <v>135</v>
      </c>
      <c r="L568">
        <v>2401301127</v>
      </c>
      <c r="M568" t="s">
        <v>91</v>
      </c>
      <c r="N568" t="s">
        <v>91</v>
      </c>
      <c r="O568" t="s">
        <v>136</v>
      </c>
      <c r="P568" t="s">
        <v>137</v>
      </c>
      <c r="R568" t="s">
        <v>1316</v>
      </c>
      <c r="T568" s="24">
        <v>-39997858</v>
      </c>
      <c r="X568" t="s">
        <v>92</v>
      </c>
    </row>
    <row r="569" spans="1:24" x14ac:dyDescent="0.3">
      <c r="A569" s="36">
        <v>45321</v>
      </c>
      <c r="B569" t="s">
        <v>90</v>
      </c>
      <c r="C569" t="s">
        <v>1317</v>
      </c>
      <c r="G569" s="51">
        <v>45321</v>
      </c>
      <c r="J569" s="24">
        <v>1243850</v>
      </c>
      <c r="K569" t="s">
        <v>1318</v>
      </c>
      <c r="L569">
        <v>2401301402</v>
      </c>
      <c r="M569" t="s">
        <v>91</v>
      </c>
      <c r="N569" t="s">
        <v>91</v>
      </c>
      <c r="P569" t="s">
        <v>137</v>
      </c>
      <c r="R569">
        <v>970422898729</v>
      </c>
      <c r="T569" s="24">
        <v>-38754008</v>
      </c>
      <c r="X569" t="s">
        <v>92</v>
      </c>
    </row>
    <row r="570" spans="1:24" x14ac:dyDescent="0.3">
      <c r="A570" s="36">
        <v>45321</v>
      </c>
      <c r="B570" t="s">
        <v>90</v>
      </c>
      <c r="C570" t="s">
        <v>1319</v>
      </c>
      <c r="G570" s="51">
        <v>45321</v>
      </c>
      <c r="I570" s="24">
        <v>-100000</v>
      </c>
      <c r="K570" t="s">
        <v>135</v>
      </c>
      <c r="L570">
        <v>2401301603</v>
      </c>
      <c r="M570" t="s">
        <v>91</v>
      </c>
      <c r="N570" t="s">
        <v>91</v>
      </c>
      <c r="O570" t="s">
        <v>136</v>
      </c>
      <c r="P570" t="s">
        <v>137</v>
      </c>
      <c r="R570" t="s">
        <v>1320</v>
      </c>
      <c r="T570" s="24">
        <v>-38854008</v>
      </c>
    </row>
    <row r="571" spans="1:24" x14ac:dyDescent="0.3">
      <c r="A571" s="36">
        <v>45321</v>
      </c>
      <c r="B571" t="s">
        <v>90</v>
      </c>
      <c r="C571" t="s">
        <v>1321</v>
      </c>
      <c r="G571" s="51">
        <v>45321</v>
      </c>
      <c r="I571" s="24">
        <v>-30000</v>
      </c>
      <c r="K571" t="s">
        <v>135</v>
      </c>
      <c r="L571">
        <v>2401301708</v>
      </c>
      <c r="M571" t="s">
        <v>91</v>
      </c>
      <c r="N571" t="s">
        <v>91</v>
      </c>
      <c r="O571" t="s">
        <v>136</v>
      </c>
      <c r="P571" t="s">
        <v>137</v>
      </c>
      <c r="R571" t="s">
        <v>1322</v>
      </c>
      <c r="T571" s="24">
        <v>-38884008</v>
      </c>
      <c r="X571" t="s">
        <v>92</v>
      </c>
    </row>
    <row r="572" spans="1:24" x14ac:dyDescent="0.3">
      <c r="A572" s="36">
        <v>45321</v>
      </c>
      <c r="B572" t="s">
        <v>90</v>
      </c>
      <c r="C572" t="s">
        <v>1323</v>
      </c>
      <c r="G572" s="51">
        <v>45321</v>
      </c>
      <c r="I572" s="24">
        <v>-314778</v>
      </c>
      <c r="K572" t="s">
        <v>1324</v>
      </c>
      <c r="L572">
        <v>2401301943</v>
      </c>
      <c r="M572" t="s">
        <v>91</v>
      </c>
      <c r="N572" t="s">
        <v>91</v>
      </c>
      <c r="O572" t="s">
        <v>136</v>
      </c>
      <c r="P572" t="s">
        <v>137</v>
      </c>
      <c r="R572" t="s">
        <v>1325</v>
      </c>
      <c r="T572" s="24">
        <v>-39198786</v>
      </c>
      <c r="X572" t="s">
        <v>92</v>
      </c>
    </row>
    <row r="573" spans="1:24" x14ac:dyDescent="0.3">
      <c r="A573" s="36">
        <v>45322</v>
      </c>
      <c r="B573" t="s">
        <v>90</v>
      </c>
      <c r="C573" t="s">
        <v>1326</v>
      </c>
      <c r="G573" s="51">
        <v>45322</v>
      </c>
      <c r="J573" s="24">
        <v>1326308</v>
      </c>
      <c r="K573" t="s">
        <v>1327</v>
      </c>
      <c r="L573">
        <v>2401311339</v>
      </c>
      <c r="M573" t="s">
        <v>91</v>
      </c>
      <c r="N573" t="s">
        <v>91</v>
      </c>
      <c r="P573" t="s">
        <v>137</v>
      </c>
      <c r="R573">
        <v>970468334613</v>
      </c>
      <c r="T573" s="24">
        <v>-37872478</v>
      </c>
      <c r="X573" t="s">
        <v>92</v>
      </c>
    </row>
    <row r="574" spans="1:24" x14ac:dyDescent="0.3">
      <c r="A574" s="36">
        <v>45322</v>
      </c>
      <c r="B574" t="s">
        <v>90</v>
      </c>
      <c r="C574" t="s">
        <v>1328</v>
      </c>
      <c r="G574" s="51">
        <v>45322</v>
      </c>
      <c r="I574" s="24">
        <v>-550000</v>
      </c>
      <c r="K574" t="s">
        <v>135</v>
      </c>
      <c r="L574">
        <v>2401311417</v>
      </c>
      <c r="M574" t="s">
        <v>91</v>
      </c>
      <c r="N574" t="s">
        <v>91</v>
      </c>
      <c r="O574" t="s">
        <v>136</v>
      </c>
      <c r="P574" t="s">
        <v>137</v>
      </c>
      <c r="R574" t="s">
        <v>1329</v>
      </c>
      <c r="T574" s="24">
        <v>-38422478</v>
      </c>
      <c r="X574" t="s">
        <v>92</v>
      </c>
    </row>
    <row r="575" spans="1:24" x14ac:dyDescent="0.3">
      <c r="A575" s="36">
        <v>45322</v>
      </c>
      <c r="B575" t="s">
        <v>90</v>
      </c>
      <c r="C575" t="s">
        <v>1330</v>
      </c>
      <c r="G575" s="51">
        <v>45322</v>
      </c>
      <c r="J575" s="24">
        <v>850893</v>
      </c>
      <c r="K575" t="s">
        <v>1331</v>
      </c>
      <c r="L575">
        <v>2401311444</v>
      </c>
      <c r="M575" t="s">
        <v>91</v>
      </c>
      <c r="N575" t="s">
        <v>91</v>
      </c>
      <c r="O575" t="s">
        <v>143</v>
      </c>
      <c r="P575" t="s">
        <v>144</v>
      </c>
      <c r="R575" t="s">
        <v>1332</v>
      </c>
      <c r="T575" s="24">
        <v>-37571585</v>
      </c>
    </row>
    <row r="576" spans="1:24" x14ac:dyDescent="0.3">
      <c r="A576" s="36">
        <v>45322</v>
      </c>
      <c r="B576" t="s">
        <v>90</v>
      </c>
      <c r="C576" t="s">
        <v>1333</v>
      </c>
      <c r="G576" s="51">
        <v>45322</v>
      </c>
      <c r="I576" s="24">
        <v>-50000</v>
      </c>
      <c r="K576" t="s">
        <v>1334</v>
      </c>
      <c r="L576">
        <v>2401311723</v>
      </c>
      <c r="M576" t="s">
        <v>91</v>
      </c>
      <c r="N576" t="s">
        <v>91</v>
      </c>
      <c r="O576" t="s">
        <v>136</v>
      </c>
      <c r="P576" t="s">
        <v>97</v>
      </c>
      <c r="R576" t="s">
        <v>1335</v>
      </c>
      <c r="T576" s="24">
        <v>-37621585</v>
      </c>
    </row>
    <row r="577" spans="1:24" x14ac:dyDescent="0.3">
      <c r="A577" s="36">
        <v>45322</v>
      </c>
      <c r="B577" t="s">
        <v>90</v>
      </c>
      <c r="C577" t="s">
        <v>1336</v>
      </c>
      <c r="G577" s="51">
        <v>45322</v>
      </c>
      <c r="I577" s="24">
        <v>-15000</v>
      </c>
      <c r="K577" t="s">
        <v>1337</v>
      </c>
      <c r="L577">
        <v>2401311723</v>
      </c>
      <c r="M577" t="s">
        <v>91</v>
      </c>
      <c r="N577" t="s">
        <v>91</v>
      </c>
      <c r="O577" t="s">
        <v>136</v>
      </c>
      <c r="P577" t="s">
        <v>97</v>
      </c>
      <c r="R577">
        <v>240131139176</v>
      </c>
      <c r="T577" s="24">
        <v>-37636585</v>
      </c>
    </row>
    <row r="578" spans="1:24" x14ac:dyDescent="0.3">
      <c r="A578" s="36">
        <v>45322</v>
      </c>
      <c r="B578" t="s">
        <v>90</v>
      </c>
      <c r="C578" t="s">
        <v>1338</v>
      </c>
      <c r="G578" s="51">
        <v>45322</v>
      </c>
      <c r="I578" s="24">
        <v>-1000000</v>
      </c>
      <c r="K578" t="s">
        <v>135</v>
      </c>
      <c r="L578">
        <v>2401311809</v>
      </c>
      <c r="M578" t="s">
        <v>91</v>
      </c>
      <c r="N578" t="s">
        <v>91</v>
      </c>
      <c r="O578" t="s">
        <v>136</v>
      </c>
      <c r="P578" t="s">
        <v>137</v>
      </c>
      <c r="R578" t="s">
        <v>1339</v>
      </c>
      <c r="T578" s="24">
        <v>-38636585</v>
      </c>
      <c r="X578" t="s">
        <v>92</v>
      </c>
    </row>
    <row r="579" spans="1:24" x14ac:dyDescent="0.3">
      <c r="A579" s="36">
        <v>45323</v>
      </c>
      <c r="B579" t="s">
        <v>90</v>
      </c>
      <c r="C579" t="s">
        <v>1340</v>
      </c>
      <c r="G579" s="51">
        <v>45323</v>
      </c>
      <c r="I579" s="24">
        <v>-125000</v>
      </c>
      <c r="K579" t="s">
        <v>135</v>
      </c>
      <c r="L579">
        <v>2402011651</v>
      </c>
      <c r="M579" t="s">
        <v>91</v>
      </c>
      <c r="N579" t="s">
        <v>91</v>
      </c>
      <c r="O579" t="s">
        <v>136</v>
      </c>
      <c r="P579" t="s">
        <v>137</v>
      </c>
      <c r="R579" t="s">
        <v>1341</v>
      </c>
      <c r="T579" s="24">
        <v>-38761585</v>
      </c>
    </row>
    <row r="580" spans="1:24" x14ac:dyDescent="0.3">
      <c r="A580" s="36">
        <v>45324</v>
      </c>
      <c r="B580" t="s">
        <v>90</v>
      </c>
      <c r="C580" t="s">
        <v>1342</v>
      </c>
      <c r="G580" s="51">
        <v>45324</v>
      </c>
      <c r="I580" s="24">
        <v>-500000</v>
      </c>
      <c r="K580" t="s">
        <v>135</v>
      </c>
      <c r="L580">
        <v>2402021818</v>
      </c>
      <c r="M580" t="s">
        <v>91</v>
      </c>
      <c r="N580" t="s">
        <v>91</v>
      </c>
      <c r="O580" t="s">
        <v>136</v>
      </c>
      <c r="P580" t="s">
        <v>137</v>
      </c>
      <c r="R580" t="s">
        <v>1343</v>
      </c>
      <c r="T580" s="24">
        <v>-39261585</v>
      </c>
      <c r="X580" t="s">
        <v>92</v>
      </c>
    </row>
    <row r="581" spans="1:24" x14ac:dyDescent="0.3">
      <c r="A581" s="36">
        <v>45327</v>
      </c>
      <c r="B581" t="s">
        <v>90</v>
      </c>
      <c r="C581" t="s">
        <v>1344</v>
      </c>
      <c r="G581" s="51">
        <v>45327</v>
      </c>
      <c r="I581" s="24">
        <v>-200000</v>
      </c>
      <c r="K581" t="s">
        <v>135</v>
      </c>
      <c r="L581">
        <v>2402051321</v>
      </c>
      <c r="M581" t="s">
        <v>91</v>
      </c>
      <c r="N581" t="s">
        <v>91</v>
      </c>
      <c r="O581" t="s">
        <v>136</v>
      </c>
      <c r="P581" t="s">
        <v>137</v>
      </c>
      <c r="R581" t="s">
        <v>1345</v>
      </c>
      <c r="T581" s="24">
        <v>-39461585</v>
      </c>
      <c r="X581" t="s">
        <v>92</v>
      </c>
    </row>
    <row r="582" spans="1:24" x14ac:dyDescent="0.3">
      <c r="A582" s="36">
        <v>45327</v>
      </c>
      <c r="B582" t="s">
        <v>90</v>
      </c>
      <c r="C582" t="s">
        <v>1346</v>
      </c>
      <c r="G582" s="51">
        <v>45327</v>
      </c>
      <c r="I582" s="24">
        <v>-150000</v>
      </c>
      <c r="K582" t="s">
        <v>135</v>
      </c>
      <c r="L582">
        <v>2402051854</v>
      </c>
      <c r="M582" t="s">
        <v>91</v>
      </c>
      <c r="N582" t="s">
        <v>91</v>
      </c>
      <c r="O582" t="s">
        <v>136</v>
      </c>
      <c r="P582" t="s">
        <v>137</v>
      </c>
      <c r="R582" t="s">
        <v>1347</v>
      </c>
      <c r="T582" s="24">
        <v>-39611585</v>
      </c>
      <c r="X582" t="s">
        <v>92</v>
      </c>
    </row>
    <row r="583" spans="1:24" x14ac:dyDescent="0.3">
      <c r="A583" s="36">
        <v>45328</v>
      </c>
      <c r="B583" t="s">
        <v>90</v>
      </c>
      <c r="C583" t="s">
        <v>1348</v>
      </c>
      <c r="G583" s="51">
        <v>45328</v>
      </c>
      <c r="J583" s="24">
        <v>3000000</v>
      </c>
      <c r="K583" t="s">
        <v>1349</v>
      </c>
      <c r="L583">
        <v>2402062019</v>
      </c>
      <c r="M583" t="s">
        <v>91</v>
      </c>
      <c r="N583" t="s">
        <v>91</v>
      </c>
      <c r="P583" t="s">
        <v>137</v>
      </c>
      <c r="R583">
        <v>686868053596</v>
      </c>
      <c r="T583" s="24">
        <v>-36611585</v>
      </c>
      <c r="X583" t="s">
        <v>92</v>
      </c>
    </row>
    <row r="584" spans="1:24" x14ac:dyDescent="0.3">
      <c r="A584" s="36">
        <v>45328</v>
      </c>
      <c r="B584" t="s">
        <v>90</v>
      </c>
      <c r="C584" t="s">
        <v>1350</v>
      </c>
      <c r="G584" s="51">
        <v>45328</v>
      </c>
      <c r="I584" s="24">
        <v>-1000000</v>
      </c>
      <c r="K584" t="s">
        <v>1351</v>
      </c>
      <c r="L584">
        <v>2402062020</v>
      </c>
      <c r="M584" t="s">
        <v>91</v>
      </c>
      <c r="N584" t="s">
        <v>91</v>
      </c>
      <c r="O584" t="s">
        <v>136</v>
      </c>
      <c r="P584" t="s">
        <v>137</v>
      </c>
      <c r="R584" t="s">
        <v>1352</v>
      </c>
      <c r="T584" s="24">
        <v>-37611585</v>
      </c>
      <c r="X584" t="s">
        <v>92</v>
      </c>
    </row>
    <row r="585" spans="1:24" x14ac:dyDescent="0.3">
      <c r="A585" s="36">
        <v>45329</v>
      </c>
      <c r="B585" t="s">
        <v>90</v>
      </c>
      <c r="C585" t="s">
        <v>1353</v>
      </c>
      <c r="G585" s="51">
        <v>45329</v>
      </c>
      <c r="J585" s="24">
        <v>16000000</v>
      </c>
      <c r="K585" t="s">
        <v>1354</v>
      </c>
      <c r="L585">
        <v>2402071657</v>
      </c>
      <c r="M585" t="s">
        <v>91</v>
      </c>
      <c r="N585" t="s">
        <v>91</v>
      </c>
      <c r="P585" t="s">
        <v>137</v>
      </c>
      <c r="R585">
        <v>970422575810</v>
      </c>
      <c r="T585" s="24">
        <v>-21611585</v>
      </c>
      <c r="X585" t="s">
        <v>92</v>
      </c>
    </row>
    <row r="586" spans="1:24" x14ac:dyDescent="0.3">
      <c r="A586" s="36">
        <v>45329</v>
      </c>
      <c r="B586" t="s">
        <v>90</v>
      </c>
      <c r="C586" t="s">
        <v>1355</v>
      </c>
      <c r="G586" s="51">
        <v>45329</v>
      </c>
      <c r="I586" s="24">
        <v>-5000000</v>
      </c>
      <c r="K586" t="s">
        <v>1356</v>
      </c>
      <c r="L586">
        <v>2402071659</v>
      </c>
      <c r="M586" t="s">
        <v>91</v>
      </c>
      <c r="N586" t="s">
        <v>91</v>
      </c>
      <c r="O586" t="s">
        <v>136</v>
      </c>
      <c r="P586" t="s">
        <v>93</v>
      </c>
      <c r="R586">
        <v>52955917401</v>
      </c>
      <c r="T586" s="24">
        <v>-26611585</v>
      </c>
    </row>
    <row r="587" spans="1:24" x14ac:dyDescent="0.3">
      <c r="A587" s="36">
        <v>45329</v>
      </c>
      <c r="B587" t="s">
        <v>90</v>
      </c>
      <c r="C587" t="s">
        <v>1357</v>
      </c>
      <c r="G587" s="51">
        <v>45329</v>
      </c>
      <c r="I587" s="24">
        <v>-3500000</v>
      </c>
      <c r="K587" t="s">
        <v>135</v>
      </c>
      <c r="L587">
        <v>2402071700</v>
      </c>
      <c r="M587" t="s">
        <v>91</v>
      </c>
      <c r="N587" t="s">
        <v>91</v>
      </c>
      <c r="O587" t="s">
        <v>136</v>
      </c>
      <c r="P587" t="s">
        <v>137</v>
      </c>
      <c r="R587" t="s">
        <v>1358</v>
      </c>
      <c r="T587" s="24">
        <v>-30111585</v>
      </c>
    </row>
    <row r="588" spans="1:24" x14ac:dyDescent="0.3">
      <c r="A588" s="36">
        <v>45329</v>
      </c>
      <c r="B588" t="s">
        <v>90</v>
      </c>
      <c r="C588" t="s">
        <v>1359</v>
      </c>
      <c r="G588" s="51">
        <v>45329</v>
      </c>
      <c r="I588" s="24">
        <v>-4000000</v>
      </c>
      <c r="K588" t="s">
        <v>135</v>
      </c>
      <c r="L588">
        <v>2402071702</v>
      </c>
      <c r="M588" t="s">
        <v>91</v>
      </c>
      <c r="N588" t="s">
        <v>91</v>
      </c>
      <c r="O588" t="s">
        <v>136</v>
      </c>
      <c r="P588" t="s">
        <v>137</v>
      </c>
      <c r="R588" t="s">
        <v>1360</v>
      </c>
      <c r="T588" s="24">
        <v>-34111585</v>
      </c>
    </row>
    <row r="589" spans="1:24" x14ac:dyDescent="0.3">
      <c r="A589" s="36">
        <v>45329</v>
      </c>
      <c r="B589" t="s">
        <v>90</v>
      </c>
      <c r="C589" t="s">
        <v>1361</v>
      </c>
      <c r="G589" s="51">
        <v>45329</v>
      </c>
      <c r="I589" s="24">
        <v>-2000000</v>
      </c>
      <c r="K589" t="s">
        <v>135</v>
      </c>
      <c r="L589">
        <v>2402071703</v>
      </c>
      <c r="M589" t="s">
        <v>91</v>
      </c>
      <c r="N589" t="s">
        <v>91</v>
      </c>
      <c r="O589" t="s">
        <v>136</v>
      </c>
      <c r="P589" t="s">
        <v>137</v>
      </c>
      <c r="R589" t="s">
        <v>1362</v>
      </c>
      <c r="T589" s="24">
        <v>-36111585</v>
      </c>
      <c r="X589" t="s">
        <v>92</v>
      </c>
    </row>
    <row r="590" spans="1:24" x14ac:dyDescent="0.3">
      <c r="A590" s="36">
        <v>45329</v>
      </c>
      <c r="B590" t="s">
        <v>90</v>
      </c>
      <c r="C590" t="s">
        <v>1363</v>
      </c>
      <c r="G590" s="51">
        <v>45329</v>
      </c>
      <c r="I590" s="24">
        <v>-500000</v>
      </c>
      <c r="K590" t="s">
        <v>135</v>
      </c>
      <c r="L590">
        <v>2402071856</v>
      </c>
      <c r="M590" t="s">
        <v>91</v>
      </c>
      <c r="N590" t="s">
        <v>91</v>
      </c>
      <c r="O590" t="s">
        <v>136</v>
      </c>
      <c r="P590" t="s">
        <v>137</v>
      </c>
      <c r="R590" t="s">
        <v>1364</v>
      </c>
      <c r="T590" s="24">
        <v>-36611585</v>
      </c>
      <c r="X590" t="s">
        <v>92</v>
      </c>
    </row>
    <row r="591" spans="1:24" x14ac:dyDescent="0.3">
      <c r="A591" s="36">
        <v>45336</v>
      </c>
      <c r="B591" t="s">
        <v>90</v>
      </c>
      <c r="C591" t="s">
        <v>1365</v>
      </c>
      <c r="G591" s="51">
        <v>45336</v>
      </c>
      <c r="I591" s="24">
        <v>-312550</v>
      </c>
      <c r="K591" t="s">
        <v>1366</v>
      </c>
      <c r="L591">
        <v>2402091424</v>
      </c>
      <c r="M591" t="s">
        <v>91</v>
      </c>
      <c r="N591" t="s">
        <v>91</v>
      </c>
      <c r="O591" t="s">
        <v>136</v>
      </c>
      <c r="P591" t="s">
        <v>137</v>
      </c>
      <c r="R591" t="s">
        <v>1367</v>
      </c>
      <c r="T591" s="24">
        <v>-36924135</v>
      </c>
      <c r="X591" t="s">
        <v>92</v>
      </c>
    </row>
    <row r="592" spans="1:24" x14ac:dyDescent="0.3">
      <c r="A592" s="36">
        <v>45336</v>
      </c>
      <c r="B592" t="s">
        <v>90</v>
      </c>
      <c r="C592" t="s">
        <v>1368</v>
      </c>
      <c r="G592" s="51">
        <v>45336</v>
      </c>
      <c r="I592" s="24">
        <v>-750000</v>
      </c>
      <c r="K592" t="s">
        <v>135</v>
      </c>
      <c r="L592">
        <v>2402091449</v>
      </c>
      <c r="M592" t="s">
        <v>91</v>
      </c>
      <c r="N592" t="s">
        <v>91</v>
      </c>
      <c r="O592" t="s">
        <v>136</v>
      </c>
      <c r="P592" t="s">
        <v>137</v>
      </c>
      <c r="R592" t="s">
        <v>1369</v>
      </c>
      <c r="T592" s="24">
        <v>-37674135</v>
      </c>
    </row>
    <row r="593" spans="1:24" x14ac:dyDescent="0.3">
      <c r="A593" s="36">
        <v>45336</v>
      </c>
      <c r="B593" t="s">
        <v>90</v>
      </c>
      <c r="C593" t="s">
        <v>1370</v>
      </c>
      <c r="G593" s="51">
        <v>45336</v>
      </c>
      <c r="I593" s="24">
        <v>-90000</v>
      </c>
      <c r="K593" t="s">
        <v>202</v>
      </c>
      <c r="L593">
        <v>2402092113</v>
      </c>
      <c r="M593" t="s">
        <v>91</v>
      </c>
      <c r="N593" t="s">
        <v>91</v>
      </c>
      <c r="O593" t="s">
        <v>136</v>
      </c>
      <c r="P593" t="s">
        <v>97</v>
      </c>
      <c r="R593" t="s">
        <v>1371</v>
      </c>
      <c r="T593" s="24">
        <v>-37764135</v>
      </c>
    </row>
    <row r="594" spans="1:24" x14ac:dyDescent="0.3">
      <c r="A594" s="36">
        <v>45336</v>
      </c>
      <c r="B594" t="s">
        <v>90</v>
      </c>
      <c r="C594" t="s">
        <v>1372</v>
      </c>
      <c r="G594" s="51">
        <v>45336</v>
      </c>
      <c r="I594" s="24">
        <v>-1500000</v>
      </c>
      <c r="K594" t="s">
        <v>135</v>
      </c>
      <c r="L594">
        <v>2402101623</v>
      </c>
      <c r="M594" t="s">
        <v>91</v>
      </c>
      <c r="N594" t="s">
        <v>91</v>
      </c>
      <c r="O594" t="s">
        <v>136</v>
      </c>
      <c r="P594" t="s">
        <v>137</v>
      </c>
      <c r="R594" t="s">
        <v>1373</v>
      </c>
      <c r="T594" s="24">
        <v>-39264135</v>
      </c>
    </row>
    <row r="595" spans="1:24" x14ac:dyDescent="0.3">
      <c r="A595" s="36">
        <v>45336</v>
      </c>
      <c r="B595" t="s">
        <v>90</v>
      </c>
      <c r="C595" t="s">
        <v>1374</v>
      </c>
      <c r="G595" s="51">
        <v>45336</v>
      </c>
      <c r="J595" s="24">
        <v>232789</v>
      </c>
      <c r="K595" t="s">
        <v>135</v>
      </c>
      <c r="L595">
        <v>2402101625</v>
      </c>
      <c r="M595" t="s">
        <v>91</v>
      </c>
      <c r="N595" t="s">
        <v>91</v>
      </c>
      <c r="O595" t="s">
        <v>136</v>
      </c>
      <c r="P595" t="s">
        <v>137</v>
      </c>
      <c r="R595" t="s">
        <v>1375</v>
      </c>
      <c r="T595" s="24">
        <v>-39031346</v>
      </c>
    </row>
    <row r="596" spans="1:24" x14ac:dyDescent="0.3">
      <c r="A596" s="36">
        <v>45336</v>
      </c>
      <c r="B596" t="s">
        <v>90</v>
      </c>
      <c r="C596" t="s">
        <v>1376</v>
      </c>
      <c r="G596" s="51">
        <v>45336</v>
      </c>
      <c r="J596" s="24">
        <v>300000</v>
      </c>
      <c r="K596" t="s">
        <v>1377</v>
      </c>
      <c r="L596">
        <v>2402101627</v>
      </c>
      <c r="M596" t="s">
        <v>91</v>
      </c>
      <c r="N596" t="s">
        <v>91</v>
      </c>
      <c r="O596" t="s">
        <v>136</v>
      </c>
      <c r="P596" t="s">
        <v>97</v>
      </c>
      <c r="R596">
        <v>53118122272</v>
      </c>
      <c r="T596" s="24">
        <v>-38731346</v>
      </c>
    </row>
    <row r="597" spans="1:24" x14ac:dyDescent="0.3">
      <c r="A597" s="36">
        <v>45336</v>
      </c>
      <c r="B597" t="s">
        <v>90</v>
      </c>
      <c r="C597" t="s">
        <v>1378</v>
      </c>
      <c r="G597" s="51">
        <v>45336</v>
      </c>
      <c r="I597" s="24">
        <v>-1200000</v>
      </c>
      <c r="K597" t="s">
        <v>135</v>
      </c>
      <c r="L597">
        <v>2402101627</v>
      </c>
      <c r="M597" t="s">
        <v>91</v>
      </c>
      <c r="N597" t="s">
        <v>91</v>
      </c>
      <c r="O597" t="s">
        <v>136</v>
      </c>
      <c r="P597" t="s">
        <v>137</v>
      </c>
      <c r="R597" t="s">
        <v>1379</v>
      </c>
      <c r="T597" s="24">
        <v>-39931346</v>
      </c>
    </row>
    <row r="598" spans="1:24" x14ac:dyDescent="0.3">
      <c r="A598" s="36">
        <v>45336</v>
      </c>
      <c r="B598" t="s">
        <v>90</v>
      </c>
      <c r="C598" t="s">
        <v>1380</v>
      </c>
      <c r="G598" s="51">
        <v>45336</v>
      </c>
      <c r="J598" s="24">
        <v>70000</v>
      </c>
      <c r="K598" t="s">
        <v>1381</v>
      </c>
      <c r="L598">
        <v>2402131607</v>
      </c>
      <c r="M598" t="s">
        <v>91</v>
      </c>
      <c r="N598" t="s">
        <v>91</v>
      </c>
      <c r="O598" t="s">
        <v>136</v>
      </c>
      <c r="P598" t="s">
        <v>97</v>
      </c>
      <c r="R598">
        <v>53239488228</v>
      </c>
      <c r="T598" s="24">
        <v>-39861346</v>
      </c>
    </row>
    <row r="599" spans="1:24" x14ac:dyDescent="0.3">
      <c r="A599" s="36">
        <v>45336</v>
      </c>
      <c r="B599" t="s">
        <v>90</v>
      </c>
      <c r="C599" t="s">
        <v>1382</v>
      </c>
      <c r="G599" s="51">
        <v>45336</v>
      </c>
      <c r="J599" s="24">
        <v>1221250</v>
      </c>
      <c r="K599" t="s">
        <v>1383</v>
      </c>
      <c r="L599">
        <v>2402141149</v>
      </c>
      <c r="M599" t="s">
        <v>91</v>
      </c>
      <c r="N599" t="s">
        <v>91</v>
      </c>
      <c r="P599" t="s">
        <v>137</v>
      </c>
      <c r="R599">
        <v>970454219682</v>
      </c>
      <c r="T599" s="24">
        <v>-38640096</v>
      </c>
      <c r="X599" t="s">
        <v>92</v>
      </c>
    </row>
    <row r="600" spans="1:24" x14ac:dyDescent="0.3">
      <c r="A600" s="36">
        <v>45336</v>
      </c>
      <c r="B600" t="s">
        <v>90</v>
      </c>
      <c r="C600" t="s">
        <v>1384</v>
      </c>
      <c r="G600" s="51">
        <v>45336</v>
      </c>
      <c r="I600" s="24">
        <v>-1000000</v>
      </c>
      <c r="K600" t="s">
        <v>135</v>
      </c>
      <c r="L600">
        <v>2402141328</v>
      </c>
      <c r="M600" t="s">
        <v>91</v>
      </c>
      <c r="N600" t="s">
        <v>91</v>
      </c>
      <c r="O600" t="s">
        <v>136</v>
      </c>
      <c r="P600" t="s">
        <v>137</v>
      </c>
      <c r="R600" t="s">
        <v>1385</v>
      </c>
      <c r="T600" s="24">
        <v>-39640096</v>
      </c>
    </row>
    <row r="601" spans="1:24" x14ac:dyDescent="0.3">
      <c r="A601" s="36">
        <v>45337</v>
      </c>
      <c r="B601" t="s">
        <v>90</v>
      </c>
      <c r="C601" t="s">
        <v>1386</v>
      </c>
      <c r="G601" s="51">
        <v>45337</v>
      </c>
      <c r="I601" s="24">
        <v>-50000</v>
      </c>
      <c r="K601" t="s">
        <v>135</v>
      </c>
      <c r="L601">
        <v>2402141734</v>
      </c>
      <c r="M601" t="s">
        <v>91</v>
      </c>
      <c r="N601" t="s">
        <v>91</v>
      </c>
      <c r="O601" t="s">
        <v>136</v>
      </c>
      <c r="P601" t="s">
        <v>137</v>
      </c>
      <c r="R601" t="s">
        <v>1387</v>
      </c>
      <c r="T601" s="24">
        <v>-39690096</v>
      </c>
    </row>
    <row r="602" spans="1:24" x14ac:dyDescent="0.3">
      <c r="A602" s="36">
        <v>45337</v>
      </c>
      <c r="B602" t="s">
        <v>90</v>
      </c>
      <c r="C602" t="s">
        <v>1388</v>
      </c>
      <c r="G602" s="51">
        <v>45337</v>
      </c>
      <c r="J602" s="24">
        <v>200000</v>
      </c>
      <c r="K602" t="s">
        <v>1389</v>
      </c>
      <c r="L602">
        <v>2402150302</v>
      </c>
      <c r="M602" t="s">
        <v>91</v>
      </c>
      <c r="N602" t="s">
        <v>91</v>
      </c>
      <c r="P602" t="s">
        <v>137</v>
      </c>
      <c r="R602">
        <v>970416738923</v>
      </c>
      <c r="T602" s="24">
        <v>-39490096</v>
      </c>
      <c r="X602" t="s">
        <v>92</v>
      </c>
    </row>
    <row r="603" spans="1:24" x14ac:dyDescent="0.3">
      <c r="A603" s="36">
        <v>45337</v>
      </c>
      <c r="B603" t="s">
        <v>90</v>
      </c>
      <c r="C603" t="s">
        <v>1390</v>
      </c>
      <c r="G603" s="51">
        <v>45337</v>
      </c>
      <c r="I603" s="24">
        <v>-483668</v>
      </c>
      <c r="K603" t="s">
        <v>1391</v>
      </c>
      <c r="L603">
        <v>2402150308</v>
      </c>
      <c r="M603" t="s">
        <v>91</v>
      </c>
      <c r="N603" t="s">
        <v>91</v>
      </c>
      <c r="O603" t="s">
        <v>136</v>
      </c>
      <c r="P603" t="s">
        <v>137</v>
      </c>
      <c r="R603" t="s">
        <v>1392</v>
      </c>
      <c r="T603" s="24">
        <v>-39973764</v>
      </c>
      <c r="X603" t="s">
        <v>92</v>
      </c>
    </row>
    <row r="604" spans="1:24" x14ac:dyDescent="0.3">
      <c r="A604" s="36">
        <v>45337</v>
      </c>
      <c r="B604" t="s">
        <v>90</v>
      </c>
      <c r="C604" t="s">
        <v>1393</v>
      </c>
      <c r="G604" s="51">
        <v>45337</v>
      </c>
      <c r="I604" s="24">
        <v>-25000</v>
      </c>
      <c r="K604" t="s">
        <v>135</v>
      </c>
      <c r="L604">
        <v>2402151927</v>
      </c>
      <c r="M604" t="s">
        <v>91</v>
      </c>
      <c r="N604" t="s">
        <v>91</v>
      </c>
      <c r="O604" t="s">
        <v>136</v>
      </c>
      <c r="P604" t="s">
        <v>137</v>
      </c>
      <c r="R604" t="s">
        <v>1394</v>
      </c>
      <c r="T604" s="24">
        <v>-39998764</v>
      </c>
    </row>
    <row r="605" spans="1:24" x14ac:dyDescent="0.3">
      <c r="A605" s="36">
        <v>45337</v>
      </c>
      <c r="B605" t="s">
        <v>90</v>
      </c>
      <c r="C605" t="s">
        <v>1395</v>
      </c>
      <c r="G605" s="51">
        <v>45337</v>
      </c>
      <c r="J605" s="24">
        <v>179846</v>
      </c>
      <c r="K605" t="s">
        <v>1396</v>
      </c>
      <c r="L605">
        <v>2402151933</v>
      </c>
      <c r="M605" t="s">
        <v>91</v>
      </c>
      <c r="N605" t="s">
        <v>91</v>
      </c>
      <c r="P605" t="s">
        <v>137</v>
      </c>
      <c r="R605">
        <v>970468983036</v>
      </c>
      <c r="T605" s="24">
        <v>-39818918</v>
      </c>
      <c r="X605" t="s">
        <v>92</v>
      </c>
    </row>
    <row r="606" spans="1:24" x14ac:dyDescent="0.3">
      <c r="A606" s="36">
        <v>45337</v>
      </c>
      <c r="B606" t="s">
        <v>90</v>
      </c>
      <c r="C606" t="s">
        <v>1397</v>
      </c>
      <c r="G606" s="51">
        <v>45337</v>
      </c>
      <c r="I606" s="24">
        <v>-180000</v>
      </c>
      <c r="K606" t="s">
        <v>135</v>
      </c>
      <c r="L606">
        <v>2402151936</v>
      </c>
      <c r="M606" t="s">
        <v>91</v>
      </c>
      <c r="N606" t="s">
        <v>91</v>
      </c>
      <c r="O606" t="s">
        <v>136</v>
      </c>
      <c r="P606" t="s">
        <v>137</v>
      </c>
      <c r="R606" t="s">
        <v>1398</v>
      </c>
      <c r="T606" s="24">
        <v>-39998918</v>
      </c>
      <c r="X606" t="s">
        <v>92</v>
      </c>
    </row>
    <row r="607" spans="1:24" x14ac:dyDescent="0.3">
      <c r="A607" s="36">
        <v>45338</v>
      </c>
      <c r="B607" t="s">
        <v>90</v>
      </c>
      <c r="C607" t="s">
        <v>1399</v>
      </c>
      <c r="G607" s="51">
        <v>45338</v>
      </c>
      <c r="J607" s="24">
        <v>500000</v>
      </c>
      <c r="K607" t="s">
        <v>1400</v>
      </c>
      <c r="L607">
        <v>2402160847</v>
      </c>
      <c r="M607" t="s">
        <v>91</v>
      </c>
      <c r="N607" t="s">
        <v>91</v>
      </c>
      <c r="P607" t="s">
        <v>137</v>
      </c>
      <c r="R607">
        <v>970422364719</v>
      </c>
      <c r="T607" s="24">
        <v>-39498918</v>
      </c>
      <c r="X607" t="s">
        <v>92</v>
      </c>
    </row>
    <row r="608" spans="1:24" x14ac:dyDescent="0.3">
      <c r="A608" s="36">
        <v>45338</v>
      </c>
      <c r="B608" t="s">
        <v>90</v>
      </c>
      <c r="C608" t="s">
        <v>1401</v>
      </c>
      <c r="G608" s="51">
        <v>45338</v>
      </c>
      <c r="J608" s="24">
        <v>500000</v>
      </c>
      <c r="K608" t="s">
        <v>1402</v>
      </c>
      <c r="L608">
        <v>2402160946</v>
      </c>
      <c r="M608" t="s">
        <v>91</v>
      </c>
      <c r="N608" t="s">
        <v>91</v>
      </c>
      <c r="P608" t="s">
        <v>137</v>
      </c>
      <c r="R608">
        <v>686868069733</v>
      </c>
      <c r="T608" s="24">
        <v>-38998918</v>
      </c>
      <c r="X608" t="s">
        <v>92</v>
      </c>
    </row>
    <row r="609" spans="1:24" x14ac:dyDescent="0.3">
      <c r="A609" s="36">
        <v>45338</v>
      </c>
      <c r="B609" t="s">
        <v>90</v>
      </c>
      <c r="C609" t="s">
        <v>1403</v>
      </c>
      <c r="G609" s="51">
        <v>45338</v>
      </c>
      <c r="I609" s="24">
        <v>-611550</v>
      </c>
      <c r="K609" t="s">
        <v>1404</v>
      </c>
      <c r="L609">
        <v>2402161029</v>
      </c>
      <c r="M609" t="s">
        <v>91</v>
      </c>
      <c r="N609" t="s">
        <v>91</v>
      </c>
      <c r="O609" t="s">
        <v>136</v>
      </c>
      <c r="P609" t="s">
        <v>137</v>
      </c>
      <c r="R609" t="s">
        <v>1405</v>
      </c>
      <c r="T609" s="24">
        <v>-39610468</v>
      </c>
      <c r="X609" t="s">
        <v>92</v>
      </c>
    </row>
    <row r="610" spans="1:24" x14ac:dyDescent="0.3">
      <c r="A610" s="36">
        <v>45338</v>
      </c>
      <c r="B610" t="s">
        <v>90</v>
      </c>
      <c r="C610" t="s">
        <v>1406</v>
      </c>
      <c r="G610" s="51">
        <v>45338</v>
      </c>
      <c r="I610" s="24">
        <v>-101660</v>
      </c>
      <c r="K610" t="s">
        <v>1407</v>
      </c>
      <c r="L610">
        <v>2402161259</v>
      </c>
      <c r="M610" t="s">
        <v>91</v>
      </c>
      <c r="N610" t="s">
        <v>91</v>
      </c>
      <c r="O610" t="s">
        <v>136</v>
      </c>
      <c r="P610" t="s">
        <v>137</v>
      </c>
      <c r="R610" t="s">
        <v>1408</v>
      </c>
      <c r="T610" s="24">
        <v>-39712128</v>
      </c>
      <c r="X610" t="s">
        <v>92</v>
      </c>
    </row>
    <row r="611" spans="1:24" x14ac:dyDescent="0.3">
      <c r="A611" s="36">
        <v>45341</v>
      </c>
      <c r="B611" t="s">
        <v>90</v>
      </c>
      <c r="C611" t="s">
        <v>1409</v>
      </c>
      <c r="G611" s="51">
        <v>45341</v>
      </c>
      <c r="I611" s="24">
        <v>-40000</v>
      </c>
      <c r="K611" t="s">
        <v>135</v>
      </c>
      <c r="L611">
        <v>2402182007</v>
      </c>
      <c r="M611" t="s">
        <v>91</v>
      </c>
      <c r="N611" t="s">
        <v>91</v>
      </c>
      <c r="O611" t="s">
        <v>136</v>
      </c>
      <c r="P611" t="s">
        <v>137</v>
      </c>
      <c r="R611" t="s">
        <v>1410</v>
      </c>
      <c r="T611" s="24">
        <v>-39752128</v>
      </c>
      <c r="X611" t="s">
        <v>92</v>
      </c>
    </row>
    <row r="612" spans="1:24" x14ac:dyDescent="0.3">
      <c r="A612" s="36">
        <v>45341</v>
      </c>
      <c r="B612" t="s">
        <v>90</v>
      </c>
      <c r="C612" t="s">
        <v>1411</v>
      </c>
      <c r="G612" s="51">
        <v>45341</v>
      </c>
      <c r="J612" s="24">
        <v>140000</v>
      </c>
      <c r="K612" t="s">
        <v>1412</v>
      </c>
      <c r="L612">
        <v>2402182155</v>
      </c>
      <c r="M612" t="s">
        <v>91</v>
      </c>
      <c r="N612" t="s">
        <v>91</v>
      </c>
      <c r="P612" t="s">
        <v>137</v>
      </c>
      <c r="R612">
        <v>970422356725</v>
      </c>
      <c r="T612" s="24">
        <v>-39612128</v>
      </c>
      <c r="X612" t="s">
        <v>92</v>
      </c>
    </row>
    <row r="613" spans="1:24" x14ac:dyDescent="0.3">
      <c r="A613" s="36">
        <v>45341</v>
      </c>
      <c r="B613" t="s">
        <v>90</v>
      </c>
      <c r="C613" t="s">
        <v>1413</v>
      </c>
      <c r="G613" s="51">
        <v>45341</v>
      </c>
      <c r="I613" s="24">
        <v>-300000</v>
      </c>
      <c r="K613" t="s">
        <v>135</v>
      </c>
      <c r="L613">
        <v>2402182206</v>
      </c>
      <c r="M613" t="s">
        <v>91</v>
      </c>
      <c r="N613" t="s">
        <v>91</v>
      </c>
      <c r="O613" t="s">
        <v>136</v>
      </c>
      <c r="P613" t="s">
        <v>137</v>
      </c>
      <c r="R613" t="s">
        <v>1414</v>
      </c>
      <c r="T613" s="24">
        <v>-39912128</v>
      </c>
    </row>
    <row r="614" spans="1:24" x14ac:dyDescent="0.3">
      <c r="A614" s="36">
        <v>45341</v>
      </c>
      <c r="B614" t="s">
        <v>90</v>
      </c>
      <c r="C614" t="s">
        <v>1415</v>
      </c>
      <c r="G614" s="51">
        <v>45341</v>
      </c>
      <c r="I614" s="24">
        <v>-20000</v>
      </c>
      <c r="K614" t="s">
        <v>135</v>
      </c>
      <c r="L614">
        <v>2402190900</v>
      </c>
      <c r="M614" t="s">
        <v>91</v>
      </c>
      <c r="N614" t="s">
        <v>91</v>
      </c>
      <c r="O614" t="s">
        <v>136</v>
      </c>
      <c r="P614" t="s">
        <v>137</v>
      </c>
      <c r="R614" t="s">
        <v>1416</v>
      </c>
      <c r="T614" s="24">
        <v>-39932128</v>
      </c>
      <c r="X614" t="s">
        <v>92</v>
      </c>
    </row>
    <row r="615" spans="1:24" x14ac:dyDescent="0.3">
      <c r="A615" s="36">
        <v>45341</v>
      </c>
      <c r="B615" t="s">
        <v>90</v>
      </c>
      <c r="C615" t="s">
        <v>1417</v>
      </c>
      <c r="G615" s="51">
        <v>45341</v>
      </c>
      <c r="J615" s="24">
        <v>2455943</v>
      </c>
      <c r="K615" t="s">
        <v>1418</v>
      </c>
      <c r="L615">
        <v>2402191021</v>
      </c>
      <c r="M615" t="s">
        <v>91</v>
      </c>
      <c r="N615" t="s">
        <v>91</v>
      </c>
      <c r="P615" t="s">
        <v>137</v>
      </c>
      <c r="R615">
        <v>970416796877</v>
      </c>
      <c r="T615" s="24">
        <v>-37476185</v>
      </c>
      <c r="X615" t="s">
        <v>92</v>
      </c>
    </row>
    <row r="616" spans="1:24" x14ac:dyDescent="0.3">
      <c r="A616" s="36">
        <v>45341</v>
      </c>
      <c r="B616" t="s">
        <v>90</v>
      </c>
      <c r="C616" t="s">
        <v>1419</v>
      </c>
      <c r="G616" s="51">
        <v>45341</v>
      </c>
      <c r="I616" s="24">
        <v>-1200000</v>
      </c>
      <c r="K616" t="s">
        <v>1420</v>
      </c>
      <c r="L616">
        <v>2402191022</v>
      </c>
      <c r="M616" t="s">
        <v>91</v>
      </c>
      <c r="N616" t="s">
        <v>91</v>
      </c>
      <c r="O616" t="s">
        <v>136</v>
      </c>
      <c r="P616" t="s">
        <v>137</v>
      </c>
      <c r="R616" t="s">
        <v>1421</v>
      </c>
      <c r="T616" s="24">
        <v>-38676185</v>
      </c>
      <c r="X616" t="s">
        <v>92</v>
      </c>
    </row>
    <row r="617" spans="1:24" x14ac:dyDescent="0.3">
      <c r="A617" s="36">
        <v>45341</v>
      </c>
      <c r="B617" t="s">
        <v>90</v>
      </c>
      <c r="C617" t="s">
        <v>1422</v>
      </c>
      <c r="G617" s="51">
        <v>45341</v>
      </c>
      <c r="I617" s="24">
        <v>-30000</v>
      </c>
      <c r="K617" t="s">
        <v>135</v>
      </c>
      <c r="L617">
        <v>2402191209</v>
      </c>
      <c r="M617" t="s">
        <v>91</v>
      </c>
      <c r="N617" t="s">
        <v>91</v>
      </c>
      <c r="O617" t="s">
        <v>136</v>
      </c>
      <c r="P617" t="s">
        <v>137</v>
      </c>
      <c r="R617" t="s">
        <v>1423</v>
      </c>
      <c r="T617" s="24">
        <v>-38706185</v>
      </c>
      <c r="X617" t="s">
        <v>92</v>
      </c>
    </row>
    <row r="618" spans="1:24" x14ac:dyDescent="0.3">
      <c r="A618" s="36">
        <v>45341</v>
      </c>
      <c r="B618" t="s">
        <v>90</v>
      </c>
      <c r="C618" t="s">
        <v>1424</v>
      </c>
      <c r="G618" s="51">
        <v>45341</v>
      </c>
      <c r="I618" s="24">
        <v>-50000</v>
      </c>
      <c r="K618" t="s">
        <v>135</v>
      </c>
      <c r="L618">
        <v>2402191511</v>
      </c>
      <c r="M618" t="s">
        <v>91</v>
      </c>
      <c r="N618" t="s">
        <v>91</v>
      </c>
      <c r="O618" t="s">
        <v>136</v>
      </c>
      <c r="P618" t="s">
        <v>137</v>
      </c>
      <c r="R618" t="s">
        <v>1425</v>
      </c>
      <c r="T618" s="24">
        <v>-38756185</v>
      </c>
      <c r="X618" t="s">
        <v>92</v>
      </c>
    </row>
    <row r="619" spans="1:24" x14ac:dyDescent="0.3">
      <c r="A619" s="36">
        <v>45341</v>
      </c>
      <c r="B619" t="s">
        <v>90</v>
      </c>
      <c r="C619" t="s">
        <v>1426</v>
      </c>
      <c r="G619" s="51">
        <v>45341</v>
      </c>
      <c r="I619" s="24">
        <v>-500000</v>
      </c>
      <c r="K619" t="s">
        <v>135</v>
      </c>
      <c r="L619">
        <v>2402191514</v>
      </c>
      <c r="M619" t="s">
        <v>91</v>
      </c>
      <c r="N619" t="s">
        <v>91</v>
      </c>
      <c r="O619" t="s">
        <v>136</v>
      </c>
      <c r="P619" t="s">
        <v>137</v>
      </c>
      <c r="R619" t="s">
        <v>1427</v>
      </c>
      <c r="T619" s="24">
        <v>-39256185</v>
      </c>
      <c r="X619" t="s">
        <v>92</v>
      </c>
    </row>
    <row r="620" spans="1:24" x14ac:dyDescent="0.3">
      <c r="A620" s="36">
        <v>45341</v>
      </c>
      <c r="B620" t="s">
        <v>90</v>
      </c>
      <c r="C620" t="s">
        <v>1428</v>
      </c>
      <c r="G620" s="51">
        <v>45341</v>
      </c>
      <c r="I620" s="24">
        <v>-157982</v>
      </c>
      <c r="K620" t="s">
        <v>1429</v>
      </c>
      <c r="L620">
        <v>2402191717</v>
      </c>
      <c r="M620" t="s">
        <v>91</v>
      </c>
      <c r="N620" t="s">
        <v>91</v>
      </c>
      <c r="O620" t="s">
        <v>136</v>
      </c>
      <c r="P620" t="s">
        <v>912</v>
      </c>
      <c r="R620" t="s">
        <v>1430</v>
      </c>
      <c r="T620" s="24">
        <v>-39414167</v>
      </c>
    </row>
    <row r="621" spans="1:24" x14ac:dyDescent="0.3">
      <c r="A621" s="36">
        <v>45341</v>
      </c>
      <c r="B621" t="s">
        <v>90</v>
      </c>
      <c r="C621" t="s">
        <v>1431</v>
      </c>
      <c r="G621" s="51">
        <v>45341</v>
      </c>
      <c r="J621" s="24">
        <v>500000</v>
      </c>
      <c r="K621" t="s">
        <v>142</v>
      </c>
      <c r="L621">
        <v>2402192042</v>
      </c>
      <c r="M621" t="s">
        <v>91</v>
      </c>
      <c r="N621" t="s">
        <v>91</v>
      </c>
      <c r="O621" t="s">
        <v>143</v>
      </c>
      <c r="P621" t="s">
        <v>144</v>
      </c>
      <c r="R621" t="s">
        <v>1432</v>
      </c>
      <c r="T621" s="24">
        <v>-38914167</v>
      </c>
    </row>
    <row r="622" spans="1:24" x14ac:dyDescent="0.3">
      <c r="A622" s="36">
        <v>45341</v>
      </c>
      <c r="B622" t="s">
        <v>90</v>
      </c>
      <c r="C622" t="s">
        <v>1433</v>
      </c>
      <c r="G622" s="51">
        <v>45341</v>
      </c>
      <c r="I622" s="24">
        <v>-1000000</v>
      </c>
      <c r="K622" t="s">
        <v>135</v>
      </c>
      <c r="L622">
        <v>2402192044</v>
      </c>
      <c r="M622" t="s">
        <v>91</v>
      </c>
      <c r="N622" t="s">
        <v>91</v>
      </c>
      <c r="O622" t="s">
        <v>136</v>
      </c>
      <c r="P622" t="s">
        <v>137</v>
      </c>
      <c r="R622" t="s">
        <v>1434</v>
      </c>
      <c r="T622" s="24">
        <v>-39914167</v>
      </c>
      <c r="X622" t="s">
        <v>92</v>
      </c>
    </row>
    <row r="623" spans="1:24" x14ac:dyDescent="0.3">
      <c r="A623" s="36">
        <v>45342</v>
      </c>
      <c r="B623" t="s">
        <v>90</v>
      </c>
      <c r="C623" t="s">
        <v>1435</v>
      </c>
      <c r="G623" s="51">
        <v>45342</v>
      </c>
      <c r="I623" s="24">
        <v>-64000</v>
      </c>
      <c r="K623" t="s">
        <v>135</v>
      </c>
      <c r="L623">
        <v>2402200853</v>
      </c>
      <c r="M623" t="s">
        <v>91</v>
      </c>
      <c r="N623" t="s">
        <v>91</v>
      </c>
      <c r="O623" t="s">
        <v>136</v>
      </c>
      <c r="P623" t="s">
        <v>137</v>
      </c>
      <c r="R623" t="s">
        <v>1436</v>
      </c>
      <c r="T623" s="24">
        <v>-39978167</v>
      </c>
      <c r="X623" t="s">
        <v>92</v>
      </c>
    </row>
    <row r="624" spans="1:24" x14ac:dyDescent="0.3">
      <c r="A624" s="36">
        <v>45343</v>
      </c>
      <c r="B624" t="s">
        <v>90</v>
      </c>
      <c r="C624" t="s">
        <v>1437</v>
      </c>
      <c r="G624" s="51">
        <v>45343</v>
      </c>
      <c r="J624" s="24">
        <v>24000000</v>
      </c>
      <c r="K624" t="s">
        <v>1438</v>
      </c>
      <c r="L624">
        <v>2402211718</v>
      </c>
      <c r="M624" t="s">
        <v>91</v>
      </c>
      <c r="N624" t="s">
        <v>91</v>
      </c>
      <c r="P624" t="s">
        <v>137</v>
      </c>
      <c r="R624">
        <v>970422456873</v>
      </c>
      <c r="T624" s="24">
        <v>-15978167</v>
      </c>
      <c r="X624" t="s">
        <v>92</v>
      </c>
    </row>
    <row r="625" spans="1:24" x14ac:dyDescent="0.3">
      <c r="A625" s="36">
        <v>45343</v>
      </c>
      <c r="B625" t="s">
        <v>90</v>
      </c>
      <c r="C625" t="s">
        <v>1439</v>
      </c>
      <c r="G625" s="51">
        <v>45343</v>
      </c>
      <c r="I625" s="24">
        <v>-22736700</v>
      </c>
      <c r="K625">
        <v>2.0593565250140099E+19</v>
      </c>
      <c r="L625">
        <v>2402211724</v>
      </c>
      <c r="M625" t="s">
        <v>91</v>
      </c>
      <c r="N625" t="s">
        <v>91</v>
      </c>
      <c r="O625" t="s">
        <v>136</v>
      </c>
      <c r="P625" t="s">
        <v>137</v>
      </c>
      <c r="R625" t="s">
        <v>1440</v>
      </c>
      <c r="T625" s="24">
        <v>-38714867</v>
      </c>
      <c r="X625" t="s">
        <v>92</v>
      </c>
    </row>
    <row r="626" spans="1:24" x14ac:dyDescent="0.3">
      <c r="A626" s="36">
        <v>45344</v>
      </c>
      <c r="B626" t="s">
        <v>90</v>
      </c>
      <c r="C626" t="s">
        <v>1441</v>
      </c>
      <c r="G626" s="51">
        <v>45344</v>
      </c>
      <c r="I626" s="24">
        <v>-1001000</v>
      </c>
      <c r="K626" t="s">
        <v>135</v>
      </c>
      <c r="L626">
        <v>2402220106</v>
      </c>
      <c r="M626" t="s">
        <v>91</v>
      </c>
      <c r="N626" t="s">
        <v>91</v>
      </c>
      <c r="O626" t="s">
        <v>136</v>
      </c>
      <c r="P626" t="s">
        <v>137</v>
      </c>
      <c r="R626" t="s">
        <v>1442</v>
      </c>
      <c r="T626" s="24">
        <v>-39715867</v>
      </c>
      <c r="X626" t="s">
        <v>92</v>
      </c>
    </row>
    <row r="627" spans="1:24" x14ac:dyDescent="0.3">
      <c r="A627" s="36">
        <v>45345</v>
      </c>
      <c r="B627" t="s">
        <v>90</v>
      </c>
      <c r="C627" t="s">
        <v>1443</v>
      </c>
      <c r="G627" s="51">
        <v>45345</v>
      </c>
      <c r="I627" s="24">
        <v>-245000</v>
      </c>
      <c r="K627" t="s">
        <v>135</v>
      </c>
      <c r="L627">
        <v>2402222144</v>
      </c>
      <c r="M627" t="s">
        <v>91</v>
      </c>
      <c r="N627" t="s">
        <v>91</v>
      </c>
      <c r="O627" t="s">
        <v>136</v>
      </c>
      <c r="P627" t="s">
        <v>137</v>
      </c>
      <c r="R627" t="s">
        <v>1444</v>
      </c>
      <c r="T627" s="24">
        <v>-39960867</v>
      </c>
    </row>
    <row r="628" spans="1:24" x14ac:dyDescent="0.3">
      <c r="A628" s="36">
        <v>45345</v>
      </c>
      <c r="B628" t="s">
        <v>90</v>
      </c>
      <c r="C628" t="s">
        <v>1445</v>
      </c>
      <c r="G628" s="51">
        <v>45345</v>
      </c>
      <c r="J628" s="24">
        <v>19500000</v>
      </c>
      <c r="K628" t="s">
        <v>1446</v>
      </c>
      <c r="L628">
        <v>2402231048</v>
      </c>
      <c r="M628" t="s">
        <v>91</v>
      </c>
      <c r="N628" t="s">
        <v>91</v>
      </c>
      <c r="P628" t="s">
        <v>137</v>
      </c>
      <c r="R628">
        <v>970488583781</v>
      </c>
      <c r="T628" s="24">
        <v>-20460867</v>
      </c>
      <c r="X628" t="s">
        <v>92</v>
      </c>
    </row>
    <row r="629" spans="1:24" x14ac:dyDescent="0.3">
      <c r="A629" s="36">
        <v>45345</v>
      </c>
      <c r="B629" t="s">
        <v>90</v>
      </c>
      <c r="C629" t="s">
        <v>1447</v>
      </c>
      <c r="G629" s="51">
        <v>45345</v>
      </c>
      <c r="I629" s="24">
        <v>-4000000</v>
      </c>
      <c r="K629" t="s">
        <v>135</v>
      </c>
      <c r="L629">
        <v>2402231059</v>
      </c>
      <c r="M629" t="s">
        <v>91</v>
      </c>
      <c r="N629" t="s">
        <v>91</v>
      </c>
      <c r="O629" t="s">
        <v>136</v>
      </c>
      <c r="P629" t="s">
        <v>137</v>
      </c>
      <c r="R629" t="s">
        <v>1448</v>
      </c>
      <c r="T629" s="24">
        <v>-24460867</v>
      </c>
    </row>
    <row r="630" spans="1:24" x14ac:dyDescent="0.3">
      <c r="A630" s="36">
        <v>45345</v>
      </c>
      <c r="B630" t="s">
        <v>90</v>
      </c>
      <c r="C630" t="s">
        <v>1449</v>
      </c>
      <c r="G630" s="51">
        <v>45345</v>
      </c>
      <c r="I630" s="24">
        <v>-9000000</v>
      </c>
      <c r="K630" t="s">
        <v>135</v>
      </c>
      <c r="L630">
        <v>2402231103</v>
      </c>
      <c r="M630" t="s">
        <v>91</v>
      </c>
      <c r="N630" t="s">
        <v>91</v>
      </c>
      <c r="O630" t="s">
        <v>136</v>
      </c>
      <c r="P630" t="s">
        <v>137</v>
      </c>
      <c r="R630" t="s">
        <v>1450</v>
      </c>
      <c r="T630" s="24">
        <v>-33460867</v>
      </c>
      <c r="X630" t="s">
        <v>92</v>
      </c>
    </row>
    <row r="631" spans="1:24" x14ac:dyDescent="0.3">
      <c r="A631" s="36">
        <v>45345</v>
      </c>
      <c r="B631" t="s">
        <v>90</v>
      </c>
      <c r="C631" t="s">
        <v>1451</v>
      </c>
      <c r="G631" s="51">
        <v>45345</v>
      </c>
      <c r="I631" s="24">
        <v>-4500000</v>
      </c>
      <c r="K631" t="s">
        <v>135</v>
      </c>
      <c r="L631">
        <v>2402231104</v>
      </c>
      <c r="M631" t="s">
        <v>91</v>
      </c>
      <c r="N631" t="s">
        <v>91</v>
      </c>
      <c r="O631" t="s">
        <v>136</v>
      </c>
      <c r="P631" t="s">
        <v>137</v>
      </c>
      <c r="R631" t="s">
        <v>1452</v>
      </c>
      <c r="T631" s="24">
        <v>-37960867</v>
      </c>
    </row>
    <row r="632" spans="1:24" x14ac:dyDescent="0.3">
      <c r="A632" s="36">
        <v>45345</v>
      </c>
      <c r="B632" t="s">
        <v>90</v>
      </c>
      <c r="C632" t="s">
        <v>1453</v>
      </c>
      <c r="G632" s="51">
        <v>45345</v>
      </c>
      <c r="I632" s="24">
        <v>-500000</v>
      </c>
      <c r="K632" t="s">
        <v>135</v>
      </c>
      <c r="L632">
        <v>2402231901</v>
      </c>
      <c r="M632" t="s">
        <v>91</v>
      </c>
      <c r="N632" t="s">
        <v>91</v>
      </c>
      <c r="O632" t="s">
        <v>136</v>
      </c>
      <c r="P632" t="s">
        <v>137</v>
      </c>
      <c r="R632" t="s">
        <v>1454</v>
      </c>
      <c r="T632" s="24">
        <v>-38460867</v>
      </c>
      <c r="X632" t="s">
        <v>92</v>
      </c>
    </row>
    <row r="633" spans="1:24" x14ac:dyDescent="0.3">
      <c r="A633" s="36">
        <v>45348</v>
      </c>
      <c r="B633" t="s">
        <v>90</v>
      </c>
      <c r="C633" t="s">
        <v>1455</v>
      </c>
      <c r="G633" s="51">
        <v>45348</v>
      </c>
      <c r="I633" s="24">
        <v>-148000</v>
      </c>
      <c r="K633" t="s">
        <v>135</v>
      </c>
      <c r="L633">
        <v>2402242137</v>
      </c>
      <c r="M633" t="s">
        <v>91</v>
      </c>
      <c r="N633" t="s">
        <v>91</v>
      </c>
      <c r="O633" t="s">
        <v>136</v>
      </c>
      <c r="P633" t="s">
        <v>137</v>
      </c>
      <c r="R633" t="s">
        <v>1456</v>
      </c>
      <c r="T633" s="24">
        <v>-38608867</v>
      </c>
    </row>
    <row r="634" spans="1:24" x14ac:dyDescent="0.3">
      <c r="A634" s="36">
        <v>45348</v>
      </c>
      <c r="B634" t="s">
        <v>90</v>
      </c>
      <c r="C634" t="s">
        <v>1457</v>
      </c>
      <c r="G634" s="51">
        <v>45348</v>
      </c>
      <c r="I634" s="24">
        <v>-40000</v>
      </c>
      <c r="K634" t="s">
        <v>135</v>
      </c>
      <c r="L634">
        <v>2402251215</v>
      </c>
      <c r="M634" t="s">
        <v>91</v>
      </c>
      <c r="N634" t="s">
        <v>91</v>
      </c>
      <c r="O634" t="s">
        <v>136</v>
      </c>
      <c r="P634" t="s">
        <v>137</v>
      </c>
      <c r="R634" t="s">
        <v>1458</v>
      </c>
      <c r="T634" s="24">
        <v>-38648867</v>
      </c>
      <c r="X634" t="s">
        <v>92</v>
      </c>
    </row>
    <row r="635" spans="1:24" x14ac:dyDescent="0.3">
      <c r="A635" s="36">
        <v>45348</v>
      </c>
      <c r="B635" t="s">
        <v>90</v>
      </c>
      <c r="C635" t="s">
        <v>1459</v>
      </c>
      <c r="G635" s="51">
        <v>45348</v>
      </c>
      <c r="J635" s="24">
        <v>225000</v>
      </c>
      <c r="K635" t="s">
        <v>135</v>
      </c>
      <c r="L635">
        <v>2402251434</v>
      </c>
      <c r="M635" t="s">
        <v>91</v>
      </c>
      <c r="N635" t="s">
        <v>91</v>
      </c>
      <c r="O635" t="s">
        <v>136</v>
      </c>
      <c r="P635" t="s">
        <v>137</v>
      </c>
      <c r="R635" t="s">
        <v>1460</v>
      </c>
      <c r="T635" s="24">
        <v>-38423867</v>
      </c>
    </row>
    <row r="636" spans="1:24" x14ac:dyDescent="0.3">
      <c r="A636" s="36">
        <v>45348</v>
      </c>
      <c r="B636" t="s">
        <v>90</v>
      </c>
      <c r="C636" t="s">
        <v>1461</v>
      </c>
      <c r="G636" s="51">
        <v>45348</v>
      </c>
      <c r="I636" s="24">
        <v>-30000</v>
      </c>
      <c r="K636" t="s">
        <v>135</v>
      </c>
      <c r="L636">
        <v>2402251645</v>
      </c>
      <c r="M636" t="s">
        <v>91</v>
      </c>
      <c r="N636" t="s">
        <v>91</v>
      </c>
      <c r="O636" t="s">
        <v>136</v>
      </c>
      <c r="P636" t="s">
        <v>137</v>
      </c>
      <c r="R636" t="s">
        <v>1462</v>
      </c>
      <c r="T636" s="24">
        <v>-38453867</v>
      </c>
      <c r="X636" t="s">
        <v>92</v>
      </c>
    </row>
    <row r="637" spans="1:24" x14ac:dyDescent="0.3">
      <c r="A637" s="36">
        <v>45348</v>
      </c>
      <c r="B637" t="s">
        <v>90</v>
      </c>
      <c r="C637" t="s">
        <v>1463</v>
      </c>
      <c r="G637" s="51">
        <v>45348</v>
      </c>
      <c r="I637" s="24">
        <v>-125000</v>
      </c>
      <c r="K637" t="s">
        <v>135</v>
      </c>
      <c r="L637">
        <v>2402251649</v>
      </c>
      <c r="M637" t="s">
        <v>91</v>
      </c>
      <c r="N637" t="s">
        <v>91</v>
      </c>
      <c r="O637" t="s">
        <v>136</v>
      </c>
      <c r="P637" t="s">
        <v>137</v>
      </c>
      <c r="R637" t="s">
        <v>1464</v>
      </c>
      <c r="T637" s="24">
        <v>-38578867</v>
      </c>
    </row>
    <row r="638" spans="1:24" x14ac:dyDescent="0.3">
      <c r="A638" s="36">
        <v>45348</v>
      </c>
      <c r="B638" t="s">
        <v>90</v>
      </c>
      <c r="C638" t="s">
        <v>1465</v>
      </c>
      <c r="G638" s="51">
        <v>45348</v>
      </c>
      <c r="I638" s="24">
        <v>-114600</v>
      </c>
      <c r="K638" t="s">
        <v>1466</v>
      </c>
      <c r="L638">
        <v>2402251822</v>
      </c>
      <c r="M638" t="s">
        <v>91</v>
      </c>
      <c r="N638" t="s">
        <v>91</v>
      </c>
      <c r="O638" t="s">
        <v>136</v>
      </c>
      <c r="P638" t="s">
        <v>137</v>
      </c>
      <c r="R638" t="s">
        <v>1467</v>
      </c>
      <c r="T638" s="24">
        <v>-38693467</v>
      </c>
      <c r="X638" t="s">
        <v>92</v>
      </c>
    </row>
    <row r="639" spans="1:24" x14ac:dyDescent="0.3">
      <c r="A639" s="36">
        <v>45348</v>
      </c>
      <c r="B639" t="s">
        <v>90</v>
      </c>
      <c r="C639" t="s">
        <v>1468</v>
      </c>
      <c r="G639" s="51">
        <v>45348</v>
      </c>
      <c r="J639" s="24">
        <v>272895</v>
      </c>
      <c r="K639" t="s">
        <v>1469</v>
      </c>
      <c r="L639">
        <v>2402260926</v>
      </c>
      <c r="M639" t="s">
        <v>91</v>
      </c>
      <c r="N639" t="s">
        <v>91</v>
      </c>
      <c r="P639" t="s">
        <v>137</v>
      </c>
      <c r="R639">
        <v>970422884928</v>
      </c>
      <c r="T639" s="24">
        <v>-38420572</v>
      </c>
      <c r="X639" t="s">
        <v>92</v>
      </c>
    </row>
    <row r="640" spans="1:24" x14ac:dyDescent="0.3">
      <c r="A640" s="36">
        <v>45348</v>
      </c>
      <c r="B640" t="s">
        <v>90</v>
      </c>
      <c r="C640" t="s">
        <v>1470</v>
      </c>
      <c r="G640" s="51">
        <v>45348</v>
      </c>
      <c r="I640" s="24">
        <v>-600000</v>
      </c>
      <c r="K640" t="s">
        <v>135</v>
      </c>
      <c r="L640">
        <v>2402260927</v>
      </c>
      <c r="M640" t="s">
        <v>91</v>
      </c>
      <c r="N640" t="s">
        <v>91</v>
      </c>
      <c r="O640" t="s">
        <v>136</v>
      </c>
      <c r="P640" t="s">
        <v>137</v>
      </c>
      <c r="R640" t="s">
        <v>1471</v>
      </c>
      <c r="T640" s="24">
        <v>-39020572</v>
      </c>
      <c r="X640" t="s">
        <v>92</v>
      </c>
    </row>
    <row r="641" spans="1:24" x14ac:dyDescent="0.3">
      <c r="A641" s="36">
        <v>45348</v>
      </c>
      <c r="B641" t="s">
        <v>90</v>
      </c>
      <c r="C641" t="s">
        <v>1472</v>
      </c>
      <c r="G641" s="51">
        <v>45348</v>
      </c>
      <c r="J641" s="24">
        <v>1235125</v>
      </c>
      <c r="K641" t="s">
        <v>1473</v>
      </c>
      <c r="L641">
        <v>2402261324</v>
      </c>
      <c r="M641" t="s">
        <v>91</v>
      </c>
      <c r="N641" t="s">
        <v>91</v>
      </c>
      <c r="P641" t="s">
        <v>137</v>
      </c>
      <c r="R641">
        <v>970454232237</v>
      </c>
      <c r="T641" s="24">
        <v>-37785447</v>
      </c>
      <c r="X641" t="s">
        <v>92</v>
      </c>
    </row>
    <row r="642" spans="1:24" x14ac:dyDescent="0.3">
      <c r="A642" s="36">
        <v>45348</v>
      </c>
      <c r="B642" t="s">
        <v>90</v>
      </c>
      <c r="C642" t="s">
        <v>1474</v>
      </c>
      <c r="G642" s="51">
        <v>45348</v>
      </c>
      <c r="I642" s="24">
        <v>-600000</v>
      </c>
      <c r="K642" t="s">
        <v>135</v>
      </c>
      <c r="L642">
        <v>2402261427</v>
      </c>
      <c r="M642" t="s">
        <v>91</v>
      </c>
      <c r="N642" t="s">
        <v>91</v>
      </c>
      <c r="O642" t="s">
        <v>136</v>
      </c>
      <c r="P642" t="s">
        <v>137</v>
      </c>
      <c r="R642" t="s">
        <v>1475</v>
      </c>
      <c r="T642" s="24">
        <v>-38385447</v>
      </c>
    </row>
    <row r="643" spans="1:24" x14ac:dyDescent="0.3">
      <c r="A643" s="36">
        <v>45348</v>
      </c>
      <c r="B643" t="s">
        <v>90</v>
      </c>
      <c r="C643" t="s">
        <v>1476</v>
      </c>
      <c r="G643" s="51">
        <v>45348</v>
      </c>
      <c r="I643" s="24">
        <v>-620000</v>
      </c>
      <c r="K643" t="s">
        <v>135</v>
      </c>
      <c r="L643">
        <v>2402261704</v>
      </c>
      <c r="M643" t="s">
        <v>91</v>
      </c>
      <c r="N643" t="s">
        <v>91</v>
      </c>
      <c r="O643" t="s">
        <v>136</v>
      </c>
      <c r="P643" t="s">
        <v>137</v>
      </c>
      <c r="R643" t="s">
        <v>1477</v>
      </c>
      <c r="T643" s="24">
        <v>-39005447</v>
      </c>
    </row>
    <row r="644" spans="1:24" x14ac:dyDescent="0.3">
      <c r="A644" s="36">
        <v>45348</v>
      </c>
      <c r="B644" t="s">
        <v>90</v>
      </c>
      <c r="C644" t="s">
        <v>1478</v>
      </c>
      <c r="G644" s="51">
        <v>45348</v>
      </c>
      <c r="J644" s="24">
        <v>370000</v>
      </c>
      <c r="K644" t="s">
        <v>1479</v>
      </c>
      <c r="L644">
        <v>2402261813</v>
      </c>
      <c r="M644" t="s">
        <v>91</v>
      </c>
      <c r="N644" t="s">
        <v>91</v>
      </c>
      <c r="P644" t="s">
        <v>137</v>
      </c>
      <c r="R644">
        <v>970416407008</v>
      </c>
      <c r="T644" s="24">
        <v>-38635447</v>
      </c>
      <c r="X644" t="s">
        <v>92</v>
      </c>
    </row>
    <row r="645" spans="1:24" x14ac:dyDescent="0.3">
      <c r="A645" s="36">
        <v>45348</v>
      </c>
      <c r="B645" t="s">
        <v>90</v>
      </c>
      <c r="C645" t="s">
        <v>1480</v>
      </c>
      <c r="G645" s="51">
        <v>45348</v>
      </c>
      <c r="I645" s="24">
        <v>-953681</v>
      </c>
      <c r="K645" t="s">
        <v>94</v>
      </c>
      <c r="L645">
        <v>2402262005</v>
      </c>
      <c r="M645" t="s">
        <v>66</v>
      </c>
      <c r="N645" t="s">
        <v>66</v>
      </c>
      <c r="O645" t="s">
        <v>136</v>
      </c>
      <c r="P645" t="s">
        <v>137</v>
      </c>
      <c r="T645" s="24">
        <v>-39589128</v>
      </c>
    </row>
    <row r="646" spans="1:24" x14ac:dyDescent="0.3">
      <c r="A646" s="36">
        <v>45349</v>
      </c>
      <c r="B646" t="s">
        <v>90</v>
      </c>
      <c r="C646" t="s">
        <v>1481</v>
      </c>
      <c r="G646" s="51">
        <v>45349</v>
      </c>
      <c r="I646" s="24">
        <v>-400000</v>
      </c>
      <c r="K646" t="s">
        <v>135</v>
      </c>
      <c r="L646">
        <v>2402270713</v>
      </c>
      <c r="M646" t="s">
        <v>91</v>
      </c>
      <c r="N646" t="s">
        <v>91</v>
      </c>
      <c r="O646" t="s">
        <v>136</v>
      </c>
      <c r="P646" t="s">
        <v>137</v>
      </c>
      <c r="R646" t="s">
        <v>1482</v>
      </c>
      <c r="T646" s="24">
        <v>-39989128</v>
      </c>
      <c r="X646" t="s">
        <v>92</v>
      </c>
    </row>
    <row r="647" spans="1:24" x14ac:dyDescent="0.3">
      <c r="A647" s="36">
        <v>45349</v>
      </c>
      <c r="B647" t="s">
        <v>90</v>
      </c>
      <c r="C647" t="s">
        <v>1483</v>
      </c>
      <c r="G647" s="51">
        <v>45349</v>
      </c>
      <c r="J647" s="24">
        <v>584869</v>
      </c>
      <c r="K647" t="s">
        <v>1484</v>
      </c>
      <c r="L647">
        <v>2402271815</v>
      </c>
      <c r="M647" t="s">
        <v>91</v>
      </c>
      <c r="N647" t="s">
        <v>91</v>
      </c>
      <c r="P647" t="s">
        <v>137</v>
      </c>
      <c r="R647">
        <v>970468694040</v>
      </c>
      <c r="T647" s="24">
        <v>-39404259</v>
      </c>
      <c r="X647" t="s">
        <v>92</v>
      </c>
    </row>
    <row r="648" spans="1:24" x14ac:dyDescent="0.3">
      <c r="A648" s="36">
        <v>45349</v>
      </c>
      <c r="B648" t="s">
        <v>90</v>
      </c>
      <c r="C648" t="s">
        <v>1485</v>
      </c>
      <c r="G648" s="51">
        <v>45349</v>
      </c>
      <c r="I648" s="24">
        <v>-40000</v>
      </c>
      <c r="K648" t="s">
        <v>135</v>
      </c>
      <c r="L648">
        <v>2402271824</v>
      </c>
      <c r="M648" t="s">
        <v>91</v>
      </c>
      <c r="N648" t="s">
        <v>91</v>
      </c>
      <c r="O648" t="s">
        <v>136</v>
      </c>
      <c r="P648" t="s">
        <v>137</v>
      </c>
      <c r="R648" t="s">
        <v>1486</v>
      </c>
      <c r="T648" s="24">
        <v>-39444259</v>
      </c>
      <c r="X648" t="s">
        <v>92</v>
      </c>
    </row>
    <row r="649" spans="1:24" x14ac:dyDescent="0.3">
      <c r="A649" s="36">
        <v>45349</v>
      </c>
      <c r="B649" t="s">
        <v>90</v>
      </c>
      <c r="C649" t="s">
        <v>1487</v>
      </c>
      <c r="G649" s="51">
        <v>45349</v>
      </c>
      <c r="I649" s="24">
        <v>-114600</v>
      </c>
      <c r="K649" t="s">
        <v>1488</v>
      </c>
      <c r="L649">
        <v>2402271830</v>
      </c>
      <c r="M649" t="s">
        <v>91</v>
      </c>
      <c r="N649" t="s">
        <v>91</v>
      </c>
      <c r="O649" t="s">
        <v>136</v>
      </c>
      <c r="P649" t="s">
        <v>137</v>
      </c>
      <c r="R649" t="s">
        <v>1489</v>
      </c>
      <c r="T649" s="24">
        <v>-39558859</v>
      </c>
      <c r="X649" t="s">
        <v>92</v>
      </c>
    </row>
    <row r="650" spans="1:24" x14ac:dyDescent="0.3">
      <c r="A650" s="36">
        <v>45350</v>
      </c>
      <c r="B650" t="s">
        <v>90</v>
      </c>
      <c r="C650" t="s">
        <v>1490</v>
      </c>
      <c r="G650" s="51">
        <v>45350</v>
      </c>
      <c r="I650" s="24">
        <v>-62000</v>
      </c>
      <c r="K650" t="s">
        <v>135</v>
      </c>
      <c r="L650">
        <v>2402281645</v>
      </c>
      <c r="M650" t="s">
        <v>91</v>
      </c>
      <c r="N650" t="s">
        <v>91</v>
      </c>
      <c r="O650" t="s">
        <v>136</v>
      </c>
      <c r="P650" t="s">
        <v>137</v>
      </c>
      <c r="R650" t="s">
        <v>1491</v>
      </c>
      <c r="T650" s="24">
        <v>-39620859</v>
      </c>
    </row>
    <row r="651" spans="1:24" x14ac:dyDescent="0.3">
      <c r="A651" s="36">
        <v>45350</v>
      </c>
      <c r="B651" t="s">
        <v>90</v>
      </c>
      <c r="C651" t="s">
        <v>1492</v>
      </c>
      <c r="G651" s="51">
        <v>45350</v>
      </c>
      <c r="I651" s="24">
        <v>-370000</v>
      </c>
      <c r="K651" t="s">
        <v>135</v>
      </c>
      <c r="L651">
        <v>2402281829</v>
      </c>
      <c r="M651" t="s">
        <v>91</v>
      </c>
      <c r="N651" t="s">
        <v>91</v>
      </c>
      <c r="O651" t="s">
        <v>136</v>
      </c>
      <c r="P651" t="s">
        <v>137</v>
      </c>
      <c r="R651" t="s">
        <v>1493</v>
      </c>
      <c r="T651" s="24">
        <v>-39990859</v>
      </c>
      <c r="X651" t="s">
        <v>92</v>
      </c>
    </row>
    <row r="652" spans="1:24" x14ac:dyDescent="0.3">
      <c r="A652" s="36">
        <v>45351</v>
      </c>
      <c r="B652" t="s">
        <v>90</v>
      </c>
      <c r="C652" t="s">
        <v>1494</v>
      </c>
      <c r="G652" s="51">
        <v>45351</v>
      </c>
      <c r="J652" s="24">
        <v>357924</v>
      </c>
      <c r="K652" t="s">
        <v>1495</v>
      </c>
      <c r="L652">
        <v>2402291009</v>
      </c>
      <c r="M652" t="s">
        <v>91</v>
      </c>
      <c r="N652" t="s">
        <v>91</v>
      </c>
      <c r="O652" t="s">
        <v>143</v>
      </c>
      <c r="P652" t="s">
        <v>144</v>
      </c>
      <c r="R652" t="s">
        <v>1496</v>
      </c>
      <c r="T652" s="24">
        <v>-39632935</v>
      </c>
    </row>
    <row r="653" spans="1:24" x14ac:dyDescent="0.3">
      <c r="A653" s="36">
        <v>45351</v>
      </c>
      <c r="B653" t="s">
        <v>90</v>
      </c>
      <c r="C653" t="s">
        <v>1497</v>
      </c>
      <c r="G653" s="51">
        <v>45351</v>
      </c>
      <c r="I653" s="24">
        <v>-360000</v>
      </c>
      <c r="K653" t="s">
        <v>135</v>
      </c>
      <c r="L653">
        <v>2402291922</v>
      </c>
      <c r="M653" t="s">
        <v>91</v>
      </c>
      <c r="N653" t="s">
        <v>91</v>
      </c>
      <c r="O653" t="s">
        <v>136</v>
      </c>
      <c r="P653" t="s">
        <v>137</v>
      </c>
      <c r="R653" t="s">
        <v>1498</v>
      </c>
      <c r="T653" s="24">
        <v>-39992935</v>
      </c>
      <c r="X653" t="s">
        <v>92</v>
      </c>
    </row>
    <row r="654" spans="1:24" x14ac:dyDescent="0.3">
      <c r="A654" s="36">
        <v>45353</v>
      </c>
      <c r="B654" t="s">
        <v>90</v>
      </c>
      <c r="C654" t="s">
        <v>1499</v>
      </c>
      <c r="G654" s="51">
        <v>45353</v>
      </c>
      <c r="J654" s="24">
        <v>678305</v>
      </c>
      <c r="K654" t="s">
        <v>1500</v>
      </c>
      <c r="L654">
        <v>2403021207</v>
      </c>
      <c r="M654" t="s">
        <v>91</v>
      </c>
      <c r="N654" t="s">
        <v>91</v>
      </c>
      <c r="P654" t="s">
        <v>137</v>
      </c>
      <c r="R654">
        <v>970416844952</v>
      </c>
      <c r="T654" s="24">
        <v>-39314630</v>
      </c>
      <c r="X654" t="s">
        <v>92</v>
      </c>
    </row>
    <row r="655" spans="1:24" x14ac:dyDescent="0.3">
      <c r="A655" s="36">
        <v>45353</v>
      </c>
      <c r="B655" t="s">
        <v>90</v>
      </c>
      <c r="C655" t="s">
        <v>1501</v>
      </c>
      <c r="G655" s="51">
        <v>45353</v>
      </c>
      <c r="I655" s="24">
        <v>-285000</v>
      </c>
      <c r="K655" t="s">
        <v>135</v>
      </c>
      <c r="L655">
        <v>2403021214</v>
      </c>
      <c r="M655" t="s">
        <v>91</v>
      </c>
      <c r="N655" t="s">
        <v>91</v>
      </c>
      <c r="O655" t="s">
        <v>136</v>
      </c>
      <c r="P655" t="s">
        <v>137</v>
      </c>
      <c r="R655" t="s">
        <v>1502</v>
      </c>
      <c r="T655" s="24">
        <v>-39599630</v>
      </c>
      <c r="X655" t="s">
        <v>92</v>
      </c>
    </row>
    <row r="656" spans="1:24" x14ac:dyDescent="0.3">
      <c r="A656" s="36">
        <v>45353</v>
      </c>
      <c r="B656" t="s">
        <v>90</v>
      </c>
      <c r="C656" t="s">
        <v>1503</v>
      </c>
      <c r="G656" s="51">
        <v>45353</v>
      </c>
      <c r="I656" s="24">
        <v>-40000</v>
      </c>
      <c r="K656" t="s">
        <v>135</v>
      </c>
      <c r="L656">
        <v>2403021217</v>
      </c>
      <c r="M656" t="s">
        <v>91</v>
      </c>
      <c r="N656" t="s">
        <v>91</v>
      </c>
      <c r="O656" t="s">
        <v>136</v>
      </c>
      <c r="P656" t="s">
        <v>137</v>
      </c>
      <c r="R656" t="s">
        <v>1504</v>
      </c>
      <c r="T656" s="24">
        <v>-39639630</v>
      </c>
      <c r="X656" t="s">
        <v>92</v>
      </c>
    </row>
    <row r="657" spans="1:24" x14ac:dyDescent="0.3">
      <c r="A657" s="36">
        <v>45353</v>
      </c>
      <c r="B657" t="s">
        <v>90</v>
      </c>
      <c r="C657" t="s">
        <v>1505</v>
      </c>
      <c r="G657" s="51">
        <v>45353</v>
      </c>
      <c r="I657" s="24">
        <v>-75000</v>
      </c>
      <c r="K657" t="s">
        <v>135</v>
      </c>
      <c r="L657">
        <v>2403021755</v>
      </c>
      <c r="M657" t="s">
        <v>91</v>
      </c>
      <c r="N657" t="s">
        <v>91</v>
      </c>
      <c r="O657" t="s">
        <v>136</v>
      </c>
      <c r="P657" t="s">
        <v>137</v>
      </c>
      <c r="R657" t="s">
        <v>1506</v>
      </c>
      <c r="T657" s="24">
        <v>-39714630</v>
      </c>
      <c r="X657" t="s">
        <v>92</v>
      </c>
    </row>
    <row r="658" spans="1:24" x14ac:dyDescent="0.3">
      <c r="A658" s="36">
        <v>45355</v>
      </c>
      <c r="B658" t="s">
        <v>90</v>
      </c>
      <c r="C658" t="s">
        <v>1507</v>
      </c>
      <c r="G658" s="51">
        <v>45355</v>
      </c>
      <c r="I658" s="24">
        <v>-178000</v>
      </c>
      <c r="K658" t="s">
        <v>1508</v>
      </c>
      <c r="L658">
        <v>2403030933</v>
      </c>
      <c r="M658" t="s">
        <v>91</v>
      </c>
      <c r="N658" t="s">
        <v>91</v>
      </c>
      <c r="O658" t="s">
        <v>136</v>
      </c>
      <c r="P658" t="s">
        <v>93</v>
      </c>
      <c r="R658">
        <v>54222260721</v>
      </c>
      <c r="T658" s="24">
        <v>-39892630</v>
      </c>
    </row>
    <row r="659" spans="1:24" x14ac:dyDescent="0.3">
      <c r="A659" s="36">
        <v>45355</v>
      </c>
      <c r="B659" t="s">
        <v>90</v>
      </c>
      <c r="C659" t="s">
        <v>1509</v>
      </c>
      <c r="G659" s="51">
        <v>45355</v>
      </c>
      <c r="I659" s="24">
        <v>-100000</v>
      </c>
      <c r="K659" t="s">
        <v>135</v>
      </c>
      <c r="L659">
        <v>2403031641</v>
      </c>
      <c r="M659" t="s">
        <v>91</v>
      </c>
      <c r="N659" t="s">
        <v>91</v>
      </c>
      <c r="O659" t="s">
        <v>136</v>
      </c>
      <c r="P659" t="s">
        <v>137</v>
      </c>
      <c r="R659" t="s">
        <v>1510</v>
      </c>
      <c r="T659" s="24">
        <v>-39992630</v>
      </c>
      <c r="X659" t="s">
        <v>92</v>
      </c>
    </row>
    <row r="660" spans="1:24" x14ac:dyDescent="0.3">
      <c r="A660" s="36">
        <v>45356</v>
      </c>
      <c r="B660" t="s">
        <v>90</v>
      </c>
      <c r="C660" t="s">
        <v>1511</v>
      </c>
      <c r="G660" s="51">
        <v>45356</v>
      </c>
      <c r="J660" s="24">
        <v>110000</v>
      </c>
      <c r="K660" t="s">
        <v>1512</v>
      </c>
      <c r="L660">
        <v>2403050906</v>
      </c>
      <c r="M660" t="s">
        <v>91</v>
      </c>
      <c r="N660" t="s">
        <v>91</v>
      </c>
      <c r="P660" t="s">
        <v>137</v>
      </c>
      <c r="R660">
        <v>970415069883</v>
      </c>
      <c r="T660" s="24">
        <v>-39882630</v>
      </c>
      <c r="X660" t="s">
        <v>92</v>
      </c>
    </row>
    <row r="661" spans="1:24" x14ac:dyDescent="0.3">
      <c r="A661" s="36">
        <v>45356</v>
      </c>
      <c r="B661" t="s">
        <v>90</v>
      </c>
      <c r="C661" t="s">
        <v>1513</v>
      </c>
      <c r="G661" s="51">
        <v>45356</v>
      </c>
      <c r="I661" s="24">
        <v>-110000</v>
      </c>
      <c r="K661" t="s">
        <v>1514</v>
      </c>
      <c r="L661">
        <v>2403051139</v>
      </c>
      <c r="M661" t="s">
        <v>91</v>
      </c>
      <c r="N661" t="s">
        <v>91</v>
      </c>
      <c r="O661" t="s">
        <v>136</v>
      </c>
      <c r="P661" t="s">
        <v>93</v>
      </c>
      <c r="R661">
        <v>54345340900</v>
      </c>
      <c r="T661" s="24">
        <v>-39992630</v>
      </c>
    </row>
    <row r="662" spans="1:24" x14ac:dyDescent="0.3">
      <c r="A662" s="36">
        <v>45356</v>
      </c>
      <c r="B662" t="s">
        <v>90</v>
      </c>
      <c r="C662" t="s">
        <v>1515</v>
      </c>
      <c r="G662" s="51">
        <v>45356</v>
      </c>
      <c r="J662" s="24">
        <v>1487891</v>
      </c>
      <c r="K662" t="s">
        <v>1516</v>
      </c>
      <c r="L662">
        <v>2403052019</v>
      </c>
      <c r="M662" t="s">
        <v>91</v>
      </c>
      <c r="N662" t="s">
        <v>91</v>
      </c>
      <c r="P662" t="s">
        <v>137</v>
      </c>
      <c r="R662">
        <v>970416344108</v>
      </c>
      <c r="T662" s="24">
        <v>-38504739</v>
      </c>
      <c r="X662" t="s">
        <v>92</v>
      </c>
    </row>
    <row r="663" spans="1:24" x14ac:dyDescent="0.3">
      <c r="A663" s="36">
        <v>45356</v>
      </c>
      <c r="B663" t="s">
        <v>90</v>
      </c>
      <c r="C663" t="s">
        <v>1517</v>
      </c>
      <c r="G663" s="51">
        <v>45356</v>
      </c>
      <c r="I663" s="24">
        <v>-495000</v>
      </c>
      <c r="K663" t="s">
        <v>135</v>
      </c>
      <c r="L663">
        <v>2403052034</v>
      </c>
      <c r="M663" t="s">
        <v>91</v>
      </c>
      <c r="N663" t="s">
        <v>91</v>
      </c>
      <c r="O663" t="s">
        <v>136</v>
      </c>
      <c r="P663" t="s">
        <v>137</v>
      </c>
      <c r="R663" t="s">
        <v>1518</v>
      </c>
      <c r="T663" s="24">
        <v>-38999739</v>
      </c>
      <c r="X663" t="s">
        <v>92</v>
      </c>
    </row>
    <row r="664" spans="1:24" x14ac:dyDescent="0.3">
      <c r="A664" s="36">
        <v>45357</v>
      </c>
      <c r="B664" t="s">
        <v>90</v>
      </c>
      <c r="C664" t="s">
        <v>1519</v>
      </c>
      <c r="G664" s="51">
        <v>45357</v>
      </c>
      <c r="I664" s="24">
        <v>-40000</v>
      </c>
      <c r="K664" t="s">
        <v>135</v>
      </c>
      <c r="L664">
        <v>2403061945</v>
      </c>
      <c r="M664" t="s">
        <v>91</v>
      </c>
      <c r="N664" t="s">
        <v>91</v>
      </c>
      <c r="O664" t="s">
        <v>136</v>
      </c>
      <c r="P664" t="s">
        <v>137</v>
      </c>
      <c r="R664" t="s">
        <v>1520</v>
      </c>
      <c r="T664" s="24">
        <v>-39039739</v>
      </c>
      <c r="X664" t="s">
        <v>92</v>
      </c>
    </row>
    <row r="665" spans="1:24" x14ac:dyDescent="0.3">
      <c r="A665" s="36">
        <v>45357</v>
      </c>
      <c r="B665" t="s">
        <v>90</v>
      </c>
      <c r="C665" t="s">
        <v>1521</v>
      </c>
      <c r="G665" s="51">
        <v>45357</v>
      </c>
      <c r="I665" s="24">
        <v>-331447</v>
      </c>
      <c r="K665" t="s">
        <v>1522</v>
      </c>
      <c r="L665">
        <v>2403062002</v>
      </c>
      <c r="M665" t="s">
        <v>91</v>
      </c>
      <c r="N665" t="s">
        <v>91</v>
      </c>
      <c r="O665" t="s">
        <v>136</v>
      </c>
      <c r="P665" t="s">
        <v>137</v>
      </c>
      <c r="R665" t="s">
        <v>1523</v>
      </c>
      <c r="T665" s="24">
        <v>-39371186</v>
      </c>
      <c r="X665" t="s">
        <v>92</v>
      </c>
    </row>
    <row r="666" spans="1:24" x14ac:dyDescent="0.3">
      <c r="A666" s="36">
        <v>45357</v>
      </c>
      <c r="B666" t="s">
        <v>90</v>
      </c>
      <c r="C666" t="s">
        <v>1524</v>
      </c>
      <c r="G666" s="51">
        <v>45357</v>
      </c>
      <c r="I666" s="24">
        <v>-300000</v>
      </c>
      <c r="K666" t="s">
        <v>135</v>
      </c>
      <c r="L666">
        <v>2403062205</v>
      </c>
      <c r="M666" t="s">
        <v>91</v>
      </c>
      <c r="N666" t="s">
        <v>91</v>
      </c>
      <c r="O666" t="s">
        <v>136</v>
      </c>
      <c r="P666" t="s">
        <v>137</v>
      </c>
      <c r="R666" t="s">
        <v>1525</v>
      </c>
      <c r="T666" s="24">
        <v>-39671186</v>
      </c>
    </row>
    <row r="667" spans="1:24" x14ac:dyDescent="0.3">
      <c r="A667" s="36">
        <v>45358</v>
      </c>
      <c r="B667" t="s">
        <v>90</v>
      </c>
      <c r="C667" t="s">
        <v>1526</v>
      </c>
      <c r="G667" s="51">
        <v>45358</v>
      </c>
      <c r="I667" s="24">
        <v>-328000</v>
      </c>
      <c r="K667" t="s">
        <v>135</v>
      </c>
      <c r="L667">
        <v>2403071849</v>
      </c>
      <c r="M667" t="s">
        <v>91</v>
      </c>
      <c r="N667" t="s">
        <v>91</v>
      </c>
      <c r="O667" t="s">
        <v>136</v>
      </c>
      <c r="P667" t="s">
        <v>137</v>
      </c>
      <c r="R667" t="s">
        <v>1527</v>
      </c>
      <c r="T667" s="24">
        <v>-39999186</v>
      </c>
      <c r="X667" t="s">
        <v>92</v>
      </c>
    </row>
    <row r="668" spans="1:24" x14ac:dyDescent="0.3">
      <c r="A668" s="36">
        <v>45359</v>
      </c>
      <c r="B668" t="s">
        <v>90</v>
      </c>
      <c r="C668" t="s">
        <v>1528</v>
      </c>
      <c r="G668" s="51">
        <v>45359</v>
      </c>
      <c r="J668" s="24">
        <v>20000000</v>
      </c>
      <c r="K668" t="s">
        <v>1529</v>
      </c>
      <c r="L668">
        <v>2403081500</v>
      </c>
      <c r="M668" t="s">
        <v>91</v>
      </c>
      <c r="N668" t="s">
        <v>91</v>
      </c>
      <c r="P668" t="s">
        <v>137</v>
      </c>
      <c r="R668">
        <v>970488804761</v>
      </c>
      <c r="T668" s="24">
        <v>-19999186</v>
      </c>
      <c r="X668" t="s">
        <v>92</v>
      </c>
    </row>
    <row r="669" spans="1:24" x14ac:dyDescent="0.3">
      <c r="A669" s="36">
        <v>45359</v>
      </c>
      <c r="B669" t="s">
        <v>90</v>
      </c>
      <c r="C669" t="s">
        <v>1530</v>
      </c>
      <c r="G669" s="51">
        <v>45359</v>
      </c>
      <c r="I669" s="24">
        <v>-5000000</v>
      </c>
      <c r="K669" t="s">
        <v>1531</v>
      </c>
      <c r="L669">
        <v>2403081502</v>
      </c>
      <c r="M669" t="s">
        <v>91</v>
      </c>
      <c r="N669" t="s">
        <v>91</v>
      </c>
      <c r="O669" t="s">
        <v>136</v>
      </c>
      <c r="P669" t="s">
        <v>93</v>
      </c>
      <c r="R669">
        <v>54537768554</v>
      </c>
      <c r="T669" s="24">
        <v>-24999186</v>
      </c>
    </row>
    <row r="670" spans="1:24" x14ac:dyDescent="0.3">
      <c r="A670" s="36">
        <v>45359</v>
      </c>
      <c r="B670" t="s">
        <v>90</v>
      </c>
      <c r="C670" t="s">
        <v>1532</v>
      </c>
      <c r="G670" s="51">
        <v>45359</v>
      </c>
      <c r="I670" s="24">
        <v>-4629000</v>
      </c>
      <c r="L670">
        <v>2403081505</v>
      </c>
      <c r="M670" t="s">
        <v>91</v>
      </c>
      <c r="N670" t="s">
        <v>91</v>
      </c>
      <c r="O670" t="s">
        <v>136</v>
      </c>
      <c r="P670" t="s">
        <v>137</v>
      </c>
      <c r="R670" t="s">
        <v>1533</v>
      </c>
      <c r="T670" s="24">
        <v>-29628186</v>
      </c>
    </row>
    <row r="671" spans="1:24" x14ac:dyDescent="0.3">
      <c r="A671" s="36">
        <v>45359</v>
      </c>
      <c r="B671" t="s">
        <v>90</v>
      </c>
      <c r="C671" t="s">
        <v>1534</v>
      </c>
      <c r="G671" s="51">
        <v>45359</v>
      </c>
      <c r="J671" s="24">
        <v>5000000</v>
      </c>
      <c r="K671" t="s">
        <v>1535</v>
      </c>
      <c r="L671">
        <v>2403081508</v>
      </c>
      <c r="M671" t="s">
        <v>91</v>
      </c>
      <c r="N671" t="s">
        <v>91</v>
      </c>
      <c r="O671" t="s">
        <v>136</v>
      </c>
      <c r="P671" t="s">
        <v>97</v>
      </c>
      <c r="R671">
        <v>54537462950</v>
      </c>
      <c r="T671" s="24">
        <v>-24628186</v>
      </c>
    </row>
    <row r="672" spans="1:24" x14ac:dyDescent="0.3">
      <c r="A672" s="36">
        <v>45359</v>
      </c>
      <c r="B672" t="s">
        <v>90</v>
      </c>
      <c r="C672" t="s">
        <v>1536</v>
      </c>
      <c r="G672" s="51">
        <v>45359</v>
      </c>
      <c r="I672" s="24">
        <v>-12842500</v>
      </c>
      <c r="K672">
        <v>2.0599329997609599E+19</v>
      </c>
      <c r="L672">
        <v>2403081511</v>
      </c>
      <c r="M672" t="s">
        <v>91</v>
      </c>
      <c r="N672" t="s">
        <v>91</v>
      </c>
      <c r="O672" t="s">
        <v>136</v>
      </c>
      <c r="P672" t="s">
        <v>137</v>
      </c>
      <c r="R672" t="s">
        <v>1537</v>
      </c>
      <c r="T672" s="24">
        <v>-37470686</v>
      </c>
      <c r="X672" t="s">
        <v>92</v>
      </c>
    </row>
    <row r="673" spans="1:24" x14ac:dyDescent="0.3">
      <c r="A673" s="36">
        <v>45359</v>
      </c>
      <c r="B673" t="s">
        <v>90</v>
      </c>
      <c r="C673" t="s">
        <v>1538</v>
      </c>
      <c r="G673" s="51">
        <v>45359</v>
      </c>
      <c r="I673" s="24">
        <v>-225000</v>
      </c>
      <c r="K673" t="s">
        <v>135</v>
      </c>
      <c r="L673">
        <v>2403081911</v>
      </c>
      <c r="M673" t="s">
        <v>91</v>
      </c>
      <c r="N673" t="s">
        <v>91</v>
      </c>
      <c r="O673" t="s">
        <v>136</v>
      </c>
      <c r="P673" t="s">
        <v>137</v>
      </c>
      <c r="R673" t="s">
        <v>1539</v>
      </c>
      <c r="T673" s="24">
        <v>-37695686</v>
      </c>
      <c r="X673" t="s">
        <v>92</v>
      </c>
    </row>
    <row r="674" spans="1:24" x14ac:dyDescent="0.3">
      <c r="A674" s="36">
        <v>45360</v>
      </c>
      <c r="B674" t="s">
        <v>90</v>
      </c>
      <c r="C674" t="s">
        <v>1540</v>
      </c>
      <c r="G674" s="51">
        <v>45360</v>
      </c>
      <c r="I674" s="24">
        <v>-130000</v>
      </c>
      <c r="K674" t="s">
        <v>135</v>
      </c>
      <c r="L674">
        <v>2403082134</v>
      </c>
      <c r="M674" t="s">
        <v>91</v>
      </c>
      <c r="N674" t="s">
        <v>91</v>
      </c>
      <c r="O674" t="s">
        <v>136</v>
      </c>
      <c r="P674" t="s">
        <v>137</v>
      </c>
      <c r="R674" t="s">
        <v>1541</v>
      </c>
      <c r="T674" s="24">
        <v>-37825686</v>
      </c>
    </row>
    <row r="675" spans="1:24" x14ac:dyDescent="0.3">
      <c r="A675" s="36">
        <v>45360</v>
      </c>
      <c r="B675" t="s">
        <v>90</v>
      </c>
      <c r="C675" t="s">
        <v>1542</v>
      </c>
      <c r="G675" s="51">
        <v>45360</v>
      </c>
      <c r="I675" s="24">
        <v>-75000</v>
      </c>
      <c r="K675" t="s">
        <v>135</v>
      </c>
      <c r="L675">
        <v>2403090838</v>
      </c>
      <c r="M675" t="s">
        <v>91</v>
      </c>
      <c r="N675" t="s">
        <v>91</v>
      </c>
      <c r="O675" t="s">
        <v>136</v>
      </c>
      <c r="P675" t="s">
        <v>137</v>
      </c>
      <c r="R675" t="s">
        <v>1543</v>
      </c>
      <c r="T675" s="24">
        <v>-37900686</v>
      </c>
      <c r="X675" t="s">
        <v>92</v>
      </c>
    </row>
    <row r="676" spans="1:24" x14ac:dyDescent="0.3">
      <c r="A676" s="36">
        <v>45360</v>
      </c>
      <c r="B676" t="s">
        <v>90</v>
      </c>
      <c r="C676" t="s">
        <v>1544</v>
      </c>
      <c r="G676" s="51">
        <v>45360</v>
      </c>
      <c r="I676" s="24">
        <v>-700000</v>
      </c>
      <c r="K676" t="s">
        <v>135</v>
      </c>
      <c r="L676">
        <v>2403090938</v>
      </c>
      <c r="M676" t="s">
        <v>91</v>
      </c>
      <c r="N676" t="s">
        <v>91</v>
      </c>
      <c r="O676" t="s">
        <v>136</v>
      </c>
      <c r="P676" t="s">
        <v>137</v>
      </c>
      <c r="R676" t="s">
        <v>1545</v>
      </c>
      <c r="T676" s="24">
        <v>-38600686</v>
      </c>
      <c r="X676" t="s">
        <v>92</v>
      </c>
    </row>
    <row r="677" spans="1:24" x14ac:dyDescent="0.3">
      <c r="A677" s="36">
        <v>45360</v>
      </c>
      <c r="B677" t="s">
        <v>90</v>
      </c>
      <c r="C677" t="s">
        <v>1546</v>
      </c>
      <c r="G677" s="51">
        <v>45360</v>
      </c>
      <c r="J677" s="24">
        <v>1929150</v>
      </c>
      <c r="K677" t="s">
        <v>1547</v>
      </c>
      <c r="L677">
        <v>2403091208</v>
      </c>
      <c r="M677" t="s">
        <v>91</v>
      </c>
      <c r="N677" t="s">
        <v>91</v>
      </c>
      <c r="P677" t="s">
        <v>137</v>
      </c>
      <c r="R677">
        <v>970416129450</v>
      </c>
      <c r="T677" s="24">
        <v>-36671536</v>
      </c>
      <c r="X677" t="s">
        <v>92</v>
      </c>
    </row>
    <row r="678" spans="1:24" x14ac:dyDescent="0.3">
      <c r="A678" s="36">
        <v>45360</v>
      </c>
      <c r="B678" t="s">
        <v>90</v>
      </c>
      <c r="C678" t="s">
        <v>1548</v>
      </c>
      <c r="G678" s="51">
        <v>45360</v>
      </c>
      <c r="I678" s="24">
        <v>-2500000</v>
      </c>
      <c r="K678" t="s">
        <v>135</v>
      </c>
      <c r="L678">
        <v>2403091212</v>
      </c>
      <c r="M678" t="s">
        <v>91</v>
      </c>
      <c r="N678" t="s">
        <v>91</v>
      </c>
      <c r="O678" t="s">
        <v>136</v>
      </c>
      <c r="P678" t="s">
        <v>137</v>
      </c>
      <c r="R678" t="s">
        <v>1549</v>
      </c>
      <c r="T678" s="24">
        <v>-39171536</v>
      </c>
      <c r="X678" t="s">
        <v>92</v>
      </c>
    </row>
    <row r="679" spans="1:24" x14ac:dyDescent="0.3">
      <c r="A679" s="36">
        <v>45362</v>
      </c>
      <c r="B679" t="s">
        <v>90</v>
      </c>
      <c r="C679" t="s">
        <v>1550</v>
      </c>
      <c r="G679" s="51">
        <v>45362</v>
      </c>
      <c r="J679" s="24">
        <v>1182476</v>
      </c>
      <c r="K679" t="s">
        <v>1551</v>
      </c>
      <c r="L679">
        <v>2403092218</v>
      </c>
      <c r="M679" t="s">
        <v>91</v>
      </c>
      <c r="N679" t="s">
        <v>91</v>
      </c>
      <c r="P679" t="s">
        <v>137</v>
      </c>
      <c r="R679">
        <v>963388191864</v>
      </c>
      <c r="T679" s="24">
        <v>-37989060</v>
      </c>
      <c r="X679" t="s">
        <v>92</v>
      </c>
    </row>
    <row r="680" spans="1:24" x14ac:dyDescent="0.3">
      <c r="A680" s="36">
        <v>45362</v>
      </c>
      <c r="B680" t="s">
        <v>90</v>
      </c>
      <c r="C680" t="s">
        <v>1552</v>
      </c>
      <c r="G680" s="51">
        <v>45362</v>
      </c>
      <c r="I680" s="24">
        <v>-90000</v>
      </c>
      <c r="K680" t="s">
        <v>202</v>
      </c>
      <c r="L680">
        <v>2403100945</v>
      </c>
      <c r="M680" t="s">
        <v>91</v>
      </c>
      <c r="N680" t="s">
        <v>91</v>
      </c>
      <c r="O680" t="s">
        <v>136</v>
      </c>
      <c r="P680" t="s">
        <v>97</v>
      </c>
      <c r="R680" t="s">
        <v>1553</v>
      </c>
      <c r="T680" s="24">
        <v>-38079060</v>
      </c>
    </row>
    <row r="681" spans="1:24" x14ac:dyDescent="0.3">
      <c r="A681" s="36">
        <v>45362</v>
      </c>
      <c r="B681" t="s">
        <v>90</v>
      </c>
      <c r="C681" t="s">
        <v>1554</v>
      </c>
      <c r="G681" s="51">
        <v>45362</v>
      </c>
      <c r="I681" s="24">
        <v>-300000</v>
      </c>
      <c r="K681" t="s">
        <v>135</v>
      </c>
      <c r="L681">
        <v>2403101005</v>
      </c>
      <c r="M681" t="s">
        <v>91</v>
      </c>
      <c r="N681" t="s">
        <v>91</v>
      </c>
      <c r="O681" t="s">
        <v>136</v>
      </c>
      <c r="P681" t="s">
        <v>137</v>
      </c>
      <c r="R681" t="s">
        <v>1555</v>
      </c>
      <c r="T681" s="24">
        <v>-38379060</v>
      </c>
      <c r="X681" t="s">
        <v>92</v>
      </c>
    </row>
    <row r="682" spans="1:24" x14ac:dyDescent="0.3">
      <c r="A682" s="36">
        <v>45362</v>
      </c>
      <c r="B682" t="s">
        <v>90</v>
      </c>
      <c r="C682" t="s">
        <v>1556</v>
      </c>
      <c r="G682" s="51">
        <v>45362</v>
      </c>
      <c r="I682" s="24">
        <v>-1500000</v>
      </c>
      <c r="K682" t="s">
        <v>135</v>
      </c>
      <c r="L682">
        <v>2403101924</v>
      </c>
      <c r="M682" t="s">
        <v>91</v>
      </c>
      <c r="N682" t="s">
        <v>91</v>
      </c>
      <c r="O682" t="s">
        <v>136</v>
      </c>
      <c r="P682" t="s">
        <v>137</v>
      </c>
      <c r="R682" t="s">
        <v>1557</v>
      </c>
      <c r="T682" s="24">
        <v>-39879060</v>
      </c>
      <c r="X682" t="s">
        <v>92</v>
      </c>
    </row>
    <row r="683" spans="1:24" x14ac:dyDescent="0.3">
      <c r="A683" s="36">
        <v>45362</v>
      </c>
      <c r="B683" t="s">
        <v>90</v>
      </c>
      <c r="C683" t="s">
        <v>1558</v>
      </c>
      <c r="G683" s="51">
        <v>45362</v>
      </c>
      <c r="I683" s="24">
        <v>-70000</v>
      </c>
      <c r="K683" t="s">
        <v>135</v>
      </c>
      <c r="L683">
        <v>2403110829</v>
      </c>
      <c r="M683" t="s">
        <v>91</v>
      </c>
      <c r="N683" t="s">
        <v>91</v>
      </c>
      <c r="O683" t="s">
        <v>136</v>
      </c>
      <c r="P683" t="s">
        <v>137</v>
      </c>
      <c r="R683" t="s">
        <v>1559</v>
      </c>
      <c r="T683" s="24">
        <v>-39949060</v>
      </c>
      <c r="X683" t="s">
        <v>92</v>
      </c>
    </row>
    <row r="684" spans="1:24" x14ac:dyDescent="0.3">
      <c r="A684" s="36">
        <v>45362</v>
      </c>
      <c r="B684" t="s">
        <v>90</v>
      </c>
      <c r="C684" t="s">
        <v>1560</v>
      </c>
      <c r="G684" s="51">
        <v>45362</v>
      </c>
      <c r="J684" s="24">
        <v>1029520</v>
      </c>
      <c r="K684" t="s">
        <v>1561</v>
      </c>
      <c r="L684">
        <v>2403110843</v>
      </c>
      <c r="M684" t="s">
        <v>91</v>
      </c>
      <c r="N684" t="s">
        <v>91</v>
      </c>
      <c r="P684" t="s">
        <v>137</v>
      </c>
      <c r="R684">
        <v>970422066835</v>
      </c>
      <c r="T684" s="24">
        <v>-38919540</v>
      </c>
      <c r="X684" t="s">
        <v>92</v>
      </c>
    </row>
    <row r="685" spans="1:24" x14ac:dyDescent="0.3">
      <c r="A685" s="36">
        <v>45362</v>
      </c>
      <c r="B685" t="s">
        <v>90</v>
      </c>
      <c r="C685" t="s">
        <v>1562</v>
      </c>
      <c r="G685" s="51">
        <v>45362</v>
      </c>
      <c r="I685" s="24">
        <v>-82000</v>
      </c>
      <c r="K685" t="s">
        <v>135</v>
      </c>
      <c r="L685">
        <v>2403110905</v>
      </c>
      <c r="M685" t="s">
        <v>91</v>
      </c>
      <c r="N685" t="s">
        <v>91</v>
      </c>
      <c r="O685" t="s">
        <v>136</v>
      </c>
      <c r="P685" t="s">
        <v>137</v>
      </c>
      <c r="R685" t="s">
        <v>1563</v>
      </c>
      <c r="T685" s="24">
        <v>-39001540</v>
      </c>
      <c r="X685" t="s">
        <v>92</v>
      </c>
    </row>
    <row r="686" spans="1:24" x14ac:dyDescent="0.3">
      <c r="A686" s="36">
        <v>45362</v>
      </c>
      <c r="B686" t="s">
        <v>90</v>
      </c>
      <c r="C686" t="s">
        <v>1564</v>
      </c>
      <c r="G686" s="51">
        <v>45362</v>
      </c>
      <c r="I686" s="24">
        <v>-70000</v>
      </c>
      <c r="K686" t="s">
        <v>135</v>
      </c>
      <c r="L686">
        <v>2403111010</v>
      </c>
      <c r="M686" t="s">
        <v>91</v>
      </c>
      <c r="N686" t="s">
        <v>91</v>
      </c>
      <c r="O686" t="s">
        <v>136</v>
      </c>
      <c r="P686" t="s">
        <v>137</v>
      </c>
      <c r="R686" t="s">
        <v>1565</v>
      </c>
      <c r="T686" s="24">
        <v>-39071540</v>
      </c>
      <c r="X686" t="s">
        <v>92</v>
      </c>
    </row>
    <row r="687" spans="1:24" x14ac:dyDescent="0.3">
      <c r="A687" s="36">
        <v>45362</v>
      </c>
      <c r="B687" t="s">
        <v>90</v>
      </c>
      <c r="C687" t="s">
        <v>1566</v>
      </c>
      <c r="G687" s="51">
        <v>45362</v>
      </c>
      <c r="I687" s="24">
        <v>-160000</v>
      </c>
      <c r="K687" t="s">
        <v>135</v>
      </c>
      <c r="L687">
        <v>2403111242</v>
      </c>
      <c r="M687" t="s">
        <v>91</v>
      </c>
      <c r="N687" t="s">
        <v>91</v>
      </c>
      <c r="O687" t="s">
        <v>136</v>
      </c>
      <c r="P687" t="s">
        <v>137</v>
      </c>
      <c r="R687" t="s">
        <v>1567</v>
      </c>
      <c r="T687" s="24">
        <v>-39231540</v>
      </c>
      <c r="X687" t="s">
        <v>92</v>
      </c>
    </row>
    <row r="688" spans="1:24" x14ac:dyDescent="0.3">
      <c r="A688" s="36">
        <v>45362</v>
      </c>
      <c r="B688" t="s">
        <v>90</v>
      </c>
      <c r="C688" t="s">
        <v>1568</v>
      </c>
      <c r="G688" s="51">
        <v>45362</v>
      </c>
      <c r="I688" s="24">
        <v>-500000</v>
      </c>
      <c r="K688" t="s">
        <v>135</v>
      </c>
      <c r="L688">
        <v>2403111514</v>
      </c>
      <c r="M688" t="s">
        <v>91</v>
      </c>
      <c r="N688" t="s">
        <v>91</v>
      </c>
      <c r="O688" t="s">
        <v>136</v>
      </c>
      <c r="P688" t="s">
        <v>137</v>
      </c>
      <c r="R688" t="s">
        <v>1569</v>
      </c>
      <c r="T688" s="24">
        <v>-39731540</v>
      </c>
      <c r="X688" t="s">
        <v>92</v>
      </c>
    </row>
    <row r="689" spans="1:24" x14ac:dyDescent="0.3">
      <c r="A689" s="36">
        <v>45362</v>
      </c>
      <c r="B689" t="s">
        <v>90</v>
      </c>
      <c r="C689" t="s">
        <v>1570</v>
      </c>
      <c r="G689" s="51">
        <v>45362</v>
      </c>
      <c r="I689" s="24">
        <v>-267000</v>
      </c>
      <c r="K689" t="s">
        <v>1571</v>
      </c>
      <c r="L689">
        <v>2403111520</v>
      </c>
      <c r="M689" t="s">
        <v>91</v>
      </c>
      <c r="N689" t="s">
        <v>91</v>
      </c>
      <c r="O689" t="s">
        <v>136</v>
      </c>
      <c r="P689" t="s">
        <v>93</v>
      </c>
      <c r="R689">
        <v>54713886590</v>
      </c>
      <c r="T689" s="24">
        <v>-39998540</v>
      </c>
    </row>
    <row r="690" spans="1:24" x14ac:dyDescent="0.3">
      <c r="A690" s="36">
        <v>45362</v>
      </c>
      <c r="B690" t="s">
        <v>90</v>
      </c>
      <c r="C690" t="s">
        <v>1572</v>
      </c>
      <c r="G690" s="51">
        <v>45362</v>
      </c>
      <c r="J690" s="24">
        <v>5151000</v>
      </c>
      <c r="K690" t="s">
        <v>1573</v>
      </c>
      <c r="L690">
        <v>2403111608</v>
      </c>
      <c r="M690" t="s">
        <v>91</v>
      </c>
      <c r="N690" t="s">
        <v>91</v>
      </c>
      <c r="P690" t="s">
        <v>137</v>
      </c>
      <c r="R690">
        <v>970422543573</v>
      </c>
      <c r="T690" s="24">
        <v>-34847540</v>
      </c>
      <c r="X690" t="s">
        <v>92</v>
      </c>
    </row>
    <row r="691" spans="1:24" x14ac:dyDescent="0.3">
      <c r="A691" s="36">
        <v>45362</v>
      </c>
      <c r="B691" t="s">
        <v>90</v>
      </c>
      <c r="C691" t="s">
        <v>1574</v>
      </c>
      <c r="G691" s="51">
        <v>45362</v>
      </c>
      <c r="I691" s="24">
        <v>-3200000</v>
      </c>
      <c r="K691" t="s">
        <v>941</v>
      </c>
      <c r="L691">
        <v>2403111610</v>
      </c>
      <c r="M691" t="s">
        <v>91</v>
      </c>
      <c r="N691" t="s">
        <v>91</v>
      </c>
      <c r="O691" t="s">
        <v>136</v>
      </c>
      <c r="P691" t="s">
        <v>137</v>
      </c>
      <c r="R691" t="s">
        <v>1575</v>
      </c>
      <c r="T691" s="24">
        <v>-38047540</v>
      </c>
      <c r="X691" t="s">
        <v>92</v>
      </c>
    </row>
    <row r="692" spans="1:24" x14ac:dyDescent="0.3">
      <c r="A692" s="36">
        <v>45362</v>
      </c>
      <c r="B692" t="s">
        <v>90</v>
      </c>
      <c r="C692" t="s">
        <v>1576</v>
      </c>
      <c r="G692" s="51">
        <v>45362</v>
      </c>
      <c r="I692" s="24">
        <v>-1000000</v>
      </c>
      <c r="K692" t="s">
        <v>135</v>
      </c>
      <c r="L692">
        <v>2403111611</v>
      </c>
      <c r="M692" t="s">
        <v>91</v>
      </c>
      <c r="N692" t="s">
        <v>91</v>
      </c>
      <c r="O692" t="s">
        <v>136</v>
      </c>
      <c r="P692" t="s">
        <v>137</v>
      </c>
      <c r="R692" t="s">
        <v>1577</v>
      </c>
      <c r="T692" s="24">
        <v>-39047540</v>
      </c>
    </row>
    <row r="693" spans="1:24" x14ac:dyDescent="0.3">
      <c r="A693" s="36">
        <v>45362</v>
      </c>
      <c r="B693" t="s">
        <v>90</v>
      </c>
      <c r="C693" t="s">
        <v>1578</v>
      </c>
      <c r="G693" s="51">
        <v>45362</v>
      </c>
      <c r="I693" s="24">
        <v>-260000</v>
      </c>
      <c r="K693" t="s">
        <v>1579</v>
      </c>
      <c r="L693">
        <v>2403111712</v>
      </c>
      <c r="M693" t="s">
        <v>91</v>
      </c>
      <c r="N693" t="s">
        <v>91</v>
      </c>
      <c r="O693" t="s">
        <v>136</v>
      </c>
      <c r="P693" t="s">
        <v>93</v>
      </c>
      <c r="R693">
        <v>54719929484</v>
      </c>
      <c r="T693" s="24">
        <v>-39307540</v>
      </c>
    </row>
    <row r="694" spans="1:24" x14ac:dyDescent="0.3">
      <c r="A694" s="36">
        <v>45362</v>
      </c>
      <c r="B694" t="s">
        <v>90</v>
      </c>
      <c r="C694" t="s">
        <v>1580</v>
      </c>
      <c r="G694" s="51">
        <v>45362</v>
      </c>
      <c r="I694" s="24">
        <v>-268000</v>
      </c>
      <c r="K694" t="s">
        <v>135</v>
      </c>
      <c r="L694">
        <v>2403112254</v>
      </c>
      <c r="M694" t="s">
        <v>91</v>
      </c>
      <c r="N694" t="s">
        <v>91</v>
      </c>
      <c r="O694" t="s">
        <v>136</v>
      </c>
      <c r="P694" t="s">
        <v>137</v>
      </c>
      <c r="R694" t="s">
        <v>1581</v>
      </c>
      <c r="T694" s="24">
        <v>-39575540</v>
      </c>
      <c r="X694" t="s">
        <v>92</v>
      </c>
    </row>
    <row r="695" spans="1:24" x14ac:dyDescent="0.3">
      <c r="A695" s="36">
        <v>45362</v>
      </c>
      <c r="B695" t="s">
        <v>90</v>
      </c>
      <c r="C695" t="s">
        <v>1582</v>
      </c>
      <c r="G695" s="51">
        <v>45362</v>
      </c>
      <c r="I695" s="24">
        <v>-52000</v>
      </c>
      <c r="K695" t="s">
        <v>135</v>
      </c>
      <c r="L695">
        <v>2403112300</v>
      </c>
      <c r="M695" t="s">
        <v>91</v>
      </c>
      <c r="N695" t="s">
        <v>91</v>
      </c>
      <c r="O695" t="s">
        <v>136</v>
      </c>
      <c r="P695" t="s">
        <v>137</v>
      </c>
      <c r="R695" t="s">
        <v>1583</v>
      </c>
      <c r="T695" s="24">
        <v>-39627540</v>
      </c>
      <c r="X695" t="s">
        <v>92</v>
      </c>
    </row>
    <row r="696" spans="1:24" x14ac:dyDescent="0.3">
      <c r="A696" s="36">
        <v>45363</v>
      </c>
      <c r="B696" t="s">
        <v>90</v>
      </c>
      <c r="C696" t="s">
        <v>1584</v>
      </c>
      <c r="G696" s="51">
        <v>45363</v>
      </c>
      <c r="I696" s="24">
        <v>-300000</v>
      </c>
      <c r="K696" t="s">
        <v>1585</v>
      </c>
      <c r="L696">
        <v>2403121020</v>
      </c>
      <c r="M696" t="s">
        <v>91</v>
      </c>
      <c r="N696" t="s">
        <v>91</v>
      </c>
      <c r="O696" t="s">
        <v>136</v>
      </c>
      <c r="P696" t="s">
        <v>93</v>
      </c>
      <c r="R696">
        <v>54754580701</v>
      </c>
      <c r="T696" s="24">
        <v>-39927540</v>
      </c>
    </row>
    <row r="697" spans="1:24" x14ac:dyDescent="0.3">
      <c r="A697" s="36">
        <v>45364</v>
      </c>
      <c r="B697" t="s">
        <v>90</v>
      </c>
      <c r="C697" t="s">
        <v>1586</v>
      </c>
      <c r="G697" s="51">
        <v>45364</v>
      </c>
      <c r="J697" s="24">
        <v>5146400</v>
      </c>
      <c r="K697" t="s">
        <v>1587</v>
      </c>
      <c r="L697">
        <v>2403131043</v>
      </c>
      <c r="M697" t="s">
        <v>91</v>
      </c>
      <c r="N697" t="s">
        <v>91</v>
      </c>
      <c r="P697" t="s">
        <v>137</v>
      </c>
      <c r="R697">
        <v>970468336669</v>
      </c>
      <c r="T697" s="24">
        <v>-34781140</v>
      </c>
      <c r="X697" t="s">
        <v>92</v>
      </c>
    </row>
    <row r="698" spans="1:24" x14ac:dyDescent="0.3">
      <c r="A698" s="36">
        <v>45364</v>
      </c>
      <c r="B698" t="s">
        <v>90</v>
      </c>
      <c r="C698" t="s">
        <v>1588</v>
      </c>
      <c r="G698" s="51">
        <v>45364</v>
      </c>
      <c r="I698" s="24">
        <v>-4500000</v>
      </c>
      <c r="K698" t="s">
        <v>135</v>
      </c>
      <c r="L698">
        <v>2403131044</v>
      </c>
      <c r="M698" t="s">
        <v>91</v>
      </c>
      <c r="N698" t="s">
        <v>91</v>
      </c>
      <c r="O698" t="s">
        <v>136</v>
      </c>
      <c r="P698" t="s">
        <v>137</v>
      </c>
      <c r="R698" t="s">
        <v>1589</v>
      </c>
      <c r="T698" s="24">
        <v>-39281140</v>
      </c>
    </row>
    <row r="699" spans="1:24" x14ac:dyDescent="0.3">
      <c r="A699" s="36">
        <v>45364</v>
      </c>
      <c r="B699" t="s">
        <v>90</v>
      </c>
      <c r="C699" t="s">
        <v>1590</v>
      </c>
      <c r="G699" s="51">
        <v>45364</v>
      </c>
      <c r="I699" s="24">
        <v>-40000</v>
      </c>
      <c r="K699" t="s">
        <v>135</v>
      </c>
      <c r="L699">
        <v>2403131104</v>
      </c>
      <c r="M699" t="s">
        <v>91</v>
      </c>
      <c r="N699" t="s">
        <v>91</v>
      </c>
      <c r="O699" t="s">
        <v>136</v>
      </c>
      <c r="P699" t="s">
        <v>137</v>
      </c>
      <c r="R699" t="s">
        <v>1591</v>
      </c>
      <c r="T699" s="24">
        <v>-39321140</v>
      </c>
      <c r="X699" t="s">
        <v>92</v>
      </c>
    </row>
    <row r="700" spans="1:24" x14ac:dyDescent="0.3">
      <c r="A700" s="36">
        <v>45364</v>
      </c>
      <c r="B700" t="s">
        <v>90</v>
      </c>
      <c r="C700" t="s">
        <v>1592</v>
      </c>
      <c r="G700" s="51">
        <v>45364</v>
      </c>
      <c r="I700" s="24">
        <v>-500000</v>
      </c>
      <c r="K700" t="s">
        <v>1593</v>
      </c>
      <c r="L700">
        <v>2403131237</v>
      </c>
      <c r="M700" t="s">
        <v>91</v>
      </c>
      <c r="N700" t="s">
        <v>91</v>
      </c>
      <c r="O700" t="s">
        <v>136</v>
      </c>
      <c r="P700" t="s">
        <v>93</v>
      </c>
      <c r="R700">
        <v>54819420409</v>
      </c>
      <c r="T700" s="24">
        <v>-39821140</v>
      </c>
    </row>
    <row r="701" spans="1:24" x14ac:dyDescent="0.3">
      <c r="A701" s="36">
        <v>45364</v>
      </c>
      <c r="B701" t="s">
        <v>90</v>
      </c>
      <c r="C701" t="s">
        <v>1594</v>
      </c>
      <c r="G701" s="51">
        <v>45364</v>
      </c>
      <c r="J701" s="24">
        <v>130000</v>
      </c>
      <c r="K701" t="s">
        <v>135</v>
      </c>
      <c r="L701">
        <v>2403131721</v>
      </c>
      <c r="M701" t="s">
        <v>91</v>
      </c>
      <c r="N701" t="s">
        <v>91</v>
      </c>
      <c r="O701" t="s">
        <v>136</v>
      </c>
      <c r="P701" t="s">
        <v>137</v>
      </c>
      <c r="R701" t="s">
        <v>1595</v>
      </c>
      <c r="T701" s="24">
        <v>-39691140</v>
      </c>
    </row>
    <row r="702" spans="1:24" x14ac:dyDescent="0.3">
      <c r="A702" s="36">
        <v>45364</v>
      </c>
      <c r="B702" t="s">
        <v>90</v>
      </c>
      <c r="C702" t="s">
        <v>1596</v>
      </c>
      <c r="G702" s="51">
        <v>45364</v>
      </c>
      <c r="I702" s="24">
        <v>-300000</v>
      </c>
      <c r="K702" t="s">
        <v>135</v>
      </c>
      <c r="L702">
        <v>2403131722</v>
      </c>
      <c r="M702" t="s">
        <v>91</v>
      </c>
      <c r="N702" t="s">
        <v>91</v>
      </c>
      <c r="O702" t="s">
        <v>136</v>
      </c>
      <c r="P702" t="s">
        <v>137</v>
      </c>
      <c r="R702" t="s">
        <v>1597</v>
      </c>
      <c r="T702" s="24">
        <v>-39991140</v>
      </c>
    </row>
    <row r="703" spans="1:24" x14ac:dyDescent="0.3">
      <c r="A703" s="36">
        <v>45365</v>
      </c>
      <c r="B703" t="s">
        <v>90</v>
      </c>
      <c r="C703" t="s">
        <v>1598</v>
      </c>
      <c r="G703" s="51">
        <v>45365</v>
      </c>
      <c r="J703" s="24">
        <v>1030240</v>
      </c>
      <c r="K703" t="s">
        <v>1599</v>
      </c>
      <c r="L703">
        <v>2403140841</v>
      </c>
      <c r="M703" t="s">
        <v>91</v>
      </c>
      <c r="N703" t="s">
        <v>91</v>
      </c>
      <c r="P703" t="s">
        <v>137</v>
      </c>
      <c r="R703" t="s">
        <v>1600</v>
      </c>
      <c r="T703" s="24">
        <v>-38960900</v>
      </c>
    </row>
    <row r="704" spans="1:24" x14ac:dyDescent="0.3">
      <c r="A704" s="36">
        <v>45365</v>
      </c>
      <c r="B704" t="s">
        <v>90</v>
      </c>
      <c r="C704" t="s">
        <v>1601</v>
      </c>
      <c r="G704" s="51">
        <v>45365</v>
      </c>
      <c r="I704" s="24">
        <v>-440168</v>
      </c>
      <c r="K704" t="s">
        <v>638</v>
      </c>
      <c r="L704">
        <v>2403141102</v>
      </c>
      <c r="M704" t="s">
        <v>91</v>
      </c>
      <c r="N704" t="s">
        <v>91</v>
      </c>
      <c r="O704" t="s">
        <v>136</v>
      </c>
      <c r="P704" t="s">
        <v>137</v>
      </c>
      <c r="R704" t="s">
        <v>1602</v>
      </c>
      <c r="T704" s="24">
        <v>-39401068</v>
      </c>
      <c r="X704" t="s">
        <v>92</v>
      </c>
    </row>
    <row r="705" spans="1:24" x14ac:dyDescent="0.3">
      <c r="A705" s="36">
        <v>45365</v>
      </c>
      <c r="B705" t="s">
        <v>90</v>
      </c>
      <c r="C705" t="s">
        <v>1603</v>
      </c>
      <c r="G705" s="51">
        <v>45365</v>
      </c>
      <c r="I705" s="24">
        <v>-500000</v>
      </c>
      <c r="K705" t="s">
        <v>135</v>
      </c>
      <c r="L705">
        <v>2403141530</v>
      </c>
      <c r="M705" t="s">
        <v>91</v>
      </c>
      <c r="N705" t="s">
        <v>91</v>
      </c>
      <c r="O705" t="s">
        <v>136</v>
      </c>
      <c r="P705" t="s">
        <v>137</v>
      </c>
      <c r="R705" t="s">
        <v>1604</v>
      </c>
      <c r="T705" s="24">
        <v>-39901068</v>
      </c>
    </row>
    <row r="706" spans="1:24" x14ac:dyDescent="0.3">
      <c r="A706" s="36">
        <v>45365</v>
      </c>
      <c r="B706" t="s">
        <v>90</v>
      </c>
      <c r="C706" t="s">
        <v>1605</v>
      </c>
      <c r="G706" s="51">
        <v>45365</v>
      </c>
      <c r="I706" s="24">
        <v>-50656</v>
      </c>
      <c r="K706" t="s">
        <v>1606</v>
      </c>
      <c r="L706">
        <v>2403141659</v>
      </c>
      <c r="M706" t="s">
        <v>91</v>
      </c>
      <c r="N706" t="s">
        <v>91</v>
      </c>
      <c r="O706" t="s">
        <v>136</v>
      </c>
      <c r="P706" t="s">
        <v>137</v>
      </c>
      <c r="R706" t="s">
        <v>1607</v>
      </c>
      <c r="T706" s="24">
        <v>-39951724</v>
      </c>
      <c r="X706" t="s">
        <v>92</v>
      </c>
    </row>
    <row r="707" spans="1:24" x14ac:dyDescent="0.3">
      <c r="A707" s="36">
        <v>45365</v>
      </c>
      <c r="B707" t="s">
        <v>90</v>
      </c>
      <c r="C707" t="s">
        <v>1608</v>
      </c>
      <c r="G707" s="51">
        <v>45365</v>
      </c>
      <c r="J707" s="24">
        <v>800000</v>
      </c>
      <c r="K707" t="s">
        <v>1609</v>
      </c>
      <c r="L707">
        <v>2403142004</v>
      </c>
      <c r="M707" t="s">
        <v>91</v>
      </c>
      <c r="N707" t="s">
        <v>91</v>
      </c>
      <c r="O707" t="s">
        <v>136</v>
      </c>
      <c r="P707" t="s">
        <v>97</v>
      </c>
      <c r="R707">
        <v>54901772546</v>
      </c>
      <c r="T707" s="24">
        <v>-39151724</v>
      </c>
    </row>
    <row r="708" spans="1:24" x14ac:dyDescent="0.3">
      <c r="A708" s="36">
        <v>45365</v>
      </c>
      <c r="B708" t="s">
        <v>90</v>
      </c>
      <c r="C708" t="s">
        <v>1610</v>
      </c>
      <c r="G708" s="51">
        <v>45365</v>
      </c>
      <c r="I708" s="24">
        <v>-500000</v>
      </c>
      <c r="K708" t="s">
        <v>135</v>
      </c>
      <c r="L708">
        <v>2403142004</v>
      </c>
      <c r="M708" t="s">
        <v>91</v>
      </c>
      <c r="N708" t="s">
        <v>91</v>
      </c>
      <c r="O708" t="s">
        <v>136</v>
      </c>
      <c r="P708" t="s">
        <v>137</v>
      </c>
      <c r="R708" t="s">
        <v>1611</v>
      </c>
      <c r="T708" s="24">
        <v>-39651724</v>
      </c>
    </row>
    <row r="709" spans="1:24" x14ac:dyDescent="0.3">
      <c r="A709" s="36">
        <v>45366</v>
      </c>
      <c r="B709" t="s">
        <v>90</v>
      </c>
      <c r="C709" t="s">
        <v>1612</v>
      </c>
      <c r="G709" s="51">
        <v>45366</v>
      </c>
      <c r="I709" s="24">
        <v>-90000</v>
      </c>
      <c r="K709" t="s">
        <v>135</v>
      </c>
      <c r="L709">
        <v>2403151105</v>
      </c>
      <c r="M709" t="s">
        <v>91</v>
      </c>
      <c r="N709" t="s">
        <v>91</v>
      </c>
      <c r="O709" t="s">
        <v>136</v>
      </c>
      <c r="P709" t="s">
        <v>137</v>
      </c>
      <c r="R709" t="s">
        <v>1613</v>
      </c>
      <c r="T709" s="24">
        <v>-39741724</v>
      </c>
    </row>
    <row r="710" spans="1:24" x14ac:dyDescent="0.3">
      <c r="A710" s="36">
        <v>45366</v>
      </c>
      <c r="B710" t="s">
        <v>90</v>
      </c>
      <c r="C710" t="s">
        <v>1614</v>
      </c>
      <c r="G710" s="51">
        <v>45366</v>
      </c>
      <c r="I710" s="24">
        <v>-16000</v>
      </c>
      <c r="K710" t="s">
        <v>135</v>
      </c>
      <c r="L710">
        <v>2403151308</v>
      </c>
      <c r="M710" t="s">
        <v>91</v>
      </c>
      <c r="N710" t="s">
        <v>91</v>
      </c>
      <c r="O710" t="s">
        <v>136</v>
      </c>
      <c r="P710" t="s">
        <v>137</v>
      </c>
      <c r="R710" t="s">
        <v>1615</v>
      </c>
      <c r="T710" s="24">
        <v>-39757724</v>
      </c>
      <c r="X710" t="s">
        <v>92</v>
      </c>
    </row>
    <row r="711" spans="1:24" x14ac:dyDescent="0.3">
      <c r="A711" s="36">
        <v>45366</v>
      </c>
      <c r="B711" t="s">
        <v>90</v>
      </c>
      <c r="C711" t="s">
        <v>1616</v>
      </c>
      <c r="G711" s="51">
        <v>45366</v>
      </c>
      <c r="I711" s="24">
        <v>-80000</v>
      </c>
      <c r="K711" t="s">
        <v>135</v>
      </c>
      <c r="L711">
        <v>2403151833</v>
      </c>
      <c r="M711" t="s">
        <v>91</v>
      </c>
      <c r="N711" t="s">
        <v>91</v>
      </c>
      <c r="O711" t="s">
        <v>136</v>
      </c>
      <c r="P711" t="s">
        <v>137</v>
      </c>
      <c r="R711" t="s">
        <v>1617</v>
      </c>
      <c r="T711" s="24">
        <v>-39837724</v>
      </c>
      <c r="X711" t="s">
        <v>92</v>
      </c>
    </row>
    <row r="712" spans="1:24" x14ac:dyDescent="0.3">
      <c r="A712" s="36">
        <v>45366</v>
      </c>
      <c r="B712" t="s">
        <v>90</v>
      </c>
      <c r="C712" t="s">
        <v>1618</v>
      </c>
      <c r="G712" s="51">
        <v>45366</v>
      </c>
      <c r="I712" s="24">
        <v>-65000</v>
      </c>
      <c r="K712" t="s">
        <v>135</v>
      </c>
      <c r="L712">
        <v>2403151838</v>
      </c>
      <c r="M712" t="s">
        <v>91</v>
      </c>
      <c r="N712" t="s">
        <v>91</v>
      </c>
      <c r="O712" t="s">
        <v>136</v>
      </c>
      <c r="P712" t="s">
        <v>137</v>
      </c>
      <c r="R712" t="s">
        <v>1619</v>
      </c>
      <c r="T712" s="24">
        <v>-39902724</v>
      </c>
      <c r="X712" t="s">
        <v>92</v>
      </c>
    </row>
    <row r="713" spans="1:24" x14ac:dyDescent="0.3">
      <c r="A713" s="36">
        <v>45367</v>
      </c>
      <c r="B713" t="s">
        <v>90</v>
      </c>
      <c r="C713" t="s">
        <v>1620</v>
      </c>
      <c r="G713" s="51">
        <v>45367</v>
      </c>
      <c r="I713" s="24">
        <v>-91673</v>
      </c>
      <c r="K713" t="s">
        <v>1621</v>
      </c>
      <c r="L713">
        <v>2403160935</v>
      </c>
      <c r="M713" t="s">
        <v>91</v>
      </c>
      <c r="N713" t="s">
        <v>91</v>
      </c>
      <c r="O713" t="s">
        <v>136</v>
      </c>
      <c r="P713" t="s">
        <v>912</v>
      </c>
      <c r="R713" t="s">
        <v>1622</v>
      </c>
      <c r="T713" s="24">
        <v>-39994397</v>
      </c>
    </row>
    <row r="714" spans="1:24" x14ac:dyDescent="0.3">
      <c r="A714" s="36">
        <v>45367</v>
      </c>
      <c r="B714" t="s">
        <v>90</v>
      </c>
      <c r="C714" t="s">
        <v>1623</v>
      </c>
      <c r="G714" s="51">
        <v>45367</v>
      </c>
      <c r="J714" s="24">
        <v>2472450</v>
      </c>
      <c r="K714" t="s">
        <v>1624</v>
      </c>
      <c r="L714">
        <v>2403161016</v>
      </c>
      <c r="M714" t="s">
        <v>91</v>
      </c>
      <c r="N714" t="s">
        <v>91</v>
      </c>
      <c r="P714" t="s">
        <v>137</v>
      </c>
      <c r="R714">
        <v>888899586637</v>
      </c>
      <c r="T714" s="24">
        <v>-37521947</v>
      </c>
      <c r="X714" t="s">
        <v>92</v>
      </c>
    </row>
    <row r="715" spans="1:24" x14ac:dyDescent="0.3">
      <c r="A715" s="36">
        <v>45367</v>
      </c>
      <c r="B715" t="s">
        <v>90</v>
      </c>
      <c r="C715" t="s">
        <v>1625</v>
      </c>
      <c r="G715" s="51">
        <v>45367</v>
      </c>
      <c r="I715" s="24">
        <v>-230109</v>
      </c>
      <c r="K715" t="s">
        <v>1626</v>
      </c>
      <c r="L715">
        <v>2403161636</v>
      </c>
      <c r="M715" t="s">
        <v>91</v>
      </c>
      <c r="N715" t="s">
        <v>91</v>
      </c>
      <c r="O715" t="s">
        <v>136</v>
      </c>
      <c r="P715" t="s">
        <v>137</v>
      </c>
      <c r="R715" t="s">
        <v>1627</v>
      </c>
      <c r="T715" s="24">
        <v>-37752056</v>
      </c>
      <c r="X715" t="s">
        <v>92</v>
      </c>
    </row>
    <row r="716" spans="1:24" x14ac:dyDescent="0.3">
      <c r="A716" s="36">
        <v>45367</v>
      </c>
      <c r="B716" t="s">
        <v>90</v>
      </c>
      <c r="C716" t="s">
        <v>1628</v>
      </c>
      <c r="G716" s="51">
        <v>45367</v>
      </c>
      <c r="I716" s="24">
        <v>-1000000</v>
      </c>
      <c r="K716" t="s">
        <v>135</v>
      </c>
      <c r="L716">
        <v>2403161637</v>
      </c>
      <c r="M716" t="s">
        <v>91</v>
      </c>
      <c r="N716" t="s">
        <v>91</v>
      </c>
      <c r="O716" t="s">
        <v>136</v>
      </c>
      <c r="P716" t="s">
        <v>137</v>
      </c>
      <c r="R716" t="s">
        <v>1629</v>
      </c>
      <c r="T716" s="24">
        <v>-38752056</v>
      </c>
    </row>
    <row r="717" spans="1:24" x14ac:dyDescent="0.3">
      <c r="A717" s="36">
        <v>45367</v>
      </c>
      <c r="B717" t="s">
        <v>90</v>
      </c>
      <c r="C717" t="s">
        <v>1630</v>
      </c>
      <c r="G717" s="51">
        <v>45367</v>
      </c>
      <c r="I717" s="24">
        <v>-1000000</v>
      </c>
      <c r="K717" t="s">
        <v>135</v>
      </c>
      <c r="L717">
        <v>2403161712</v>
      </c>
      <c r="M717" t="s">
        <v>91</v>
      </c>
      <c r="N717" t="s">
        <v>91</v>
      </c>
      <c r="O717" t="s">
        <v>136</v>
      </c>
      <c r="P717" t="s">
        <v>137</v>
      </c>
      <c r="R717" t="s">
        <v>1631</v>
      </c>
      <c r="T717" s="24">
        <v>-39752056</v>
      </c>
      <c r="X717" t="s">
        <v>92</v>
      </c>
    </row>
    <row r="718" spans="1:24" x14ac:dyDescent="0.3">
      <c r="A718" s="36">
        <v>45369</v>
      </c>
      <c r="B718" t="s">
        <v>90</v>
      </c>
      <c r="C718" t="s">
        <v>1632</v>
      </c>
      <c r="G718" s="51">
        <v>45369</v>
      </c>
      <c r="I718" s="24">
        <v>-20000</v>
      </c>
      <c r="K718" t="s">
        <v>135</v>
      </c>
      <c r="L718">
        <v>2403172323</v>
      </c>
      <c r="M718" t="s">
        <v>91</v>
      </c>
      <c r="N718" t="s">
        <v>91</v>
      </c>
      <c r="O718" t="s">
        <v>136</v>
      </c>
      <c r="P718" t="s">
        <v>137</v>
      </c>
      <c r="R718" t="s">
        <v>1633</v>
      </c>
      <c r="T718" s="24">
        <v>-39772056</v>
      </c>
      <c r="X718" t="s">
        <v>92</v>
      </c>
    </row>
    <row r="719" spans="1:24" x14ac:dyDescent="0.3">
      <c r="A719" s="36">
        <v>45370</v>
      </c>
      <c r="B719" t="s">
        <v>90</v>
      </c>
      <c r="C719" t="s">
        <v>1634</v>
      </c>
      <c r="G719" s="51">
        <v>45370</v>
      </c>
      <c r="J719" s="24">
        <v>3212950</v>
      </c>
      <c r="K719" t="s">
        <v>1635</v>
      </c>
      <c r="L719">
        <v>2403191433</v>
      </c>
      <c r="M719" t="s">
        <v>91</v>
      </c>
      <c r="N719" t="s">
        <v>91</v>
      </c>
      <c r="P719" t="s">
        <v>137</v>
      </c>
      <c r="R719">
        <v>888899260554</v>
      </c>
      <c r="T719" s="24">
        <v>-36559106</v>
      </c>
      <c r="X719" t="s">
        <v>92</v>
      </c>
    </row>
    <row r="720" spans="1:24" x14ac:dyDescent="0.3">
      <c r="A720" s="36">
        <v>45370</v>
      </c>
      <c r="B720" t="s">
        <v>90</v>
      </c>
      <c r="C720" t="s">
        <v>1636</v>
      </c>
      <c r="G720" s="51">
        <v>45370</v>
      </c>
      <c r="I720" s="24">
        <v>-1200000</v>
      </c>
      <c r="K720" t="s">
        <v>1637</v>
      </c>
      <c r="L720">
        <v>2403191520</v>
      </c>
      <c r="M720" t="s">
        <v>91</v>
      </c>
      <c r="N720" t="s">
        <v>91</v>
      </c>
      <c r="O720" t="s">
        <v>136</v>
      </c>
      <c r="P720" t="s">
        <v>137</v>
      </c>
      <c r="R720" t="s">
        <v>1638</v>
      </c>
      <c r="T720" s="24">
        <v>-37759106</v>
      </c>
    </row>
    <row r="721" spans="1:24" x14ac:dyDescent="0.3">
      <c r="A721" s="36">
        <v>45370</v>
      </c>
      <c r="B721" t="s">
        <v>90</v>
      </c>
      <c r="C721" t="s">
        <v>1639</v>
      </c>
      <c r="G721" s="51">
        <v>45370</v>
      </c>
      <c r="I721" s="24">
        <v>-447000</v>
      </c>
      <c r="K721" t="s">
        <v>135</v>
      </c>
      <c r="L721">
        <v>2403191640</v>
      </c>
      <c r="M721" t="s">
        <v>91</v>
      </c>
      <c r="N721" t="s">
        <v>91</v>
      </c>
      <c r="O721" t="s">
        <v>136</v>
      </c>
      <c r="P721" t="s">
        <v>137</v>
      </c>
      <c r="R721" t="s">
        <v>1640</v>
      </c>
      <c r="T721" s="24">
        <v>-38206106</v>
      </c>
    </row>
    <row r="722" spans="1:24" x14ac:dyDescent="0.3">
      <c r="A722" s="36">
        <v>45370</v>
      </c>
      <c r="B722" t="s">
        <v>90</v>
      </c>
      <c r="C722" t="s">
        <v>1641</v>
      </c>
      <c r="G722" s="51">
        <v>45370</v>
      </c>
      <c r="I722" s="24">
        <v>-26000</v>
      </c>
      <c r="K722" t="s">
        <v>1642</v>
      </c>
      <c r="L722">
        <v>2403191708</v>
      </c>
      <c r="M722" t="s">
        <v>91</v>
      </c>
      <c r="N722" t="s">
        <v>91</v>
      </c>
      <c r="O722" t="s">
        <v>136</v>
      </c>
      <c r="P722" t="s">
        <v>137</v>
      </c>
      <c r="R722" t="s">
        <v>1643</v>
      </c>
      <c r="T722" s="24">
        <v>-38232106</v>
      </c>
    </row>
    <row r="723" spans="1:24" x14ac:dyDescent="0.3">
      <c r="A723" s="36">
        <v>45370</v>
      </c>
      <c r="B723" t="s">
        <v>90</v>
      </c>
      <c r="C723" t="s">
        <v>1644</v>
      </c>
      <c r="G723" s="51">
        <v>45370</v>
      </c>
      <c r="I723" s="24">
        <v>-267000</v>
      </c>
      <c r="K723" t="s">
        <v>135</v>
      </c>
      <c r="L723">
        <v>2403191901</v>
      </c>
      <c r="M723" t="s">
        <v>91</v>
      </c>
      <c r="N723" t="s">
        <v>91</v>
      </c>
      <c r="O723" t="s">
        <v>136</v>
      </c>
      <c r="P723" t="s">
        <v>137</v>
      </c>
      <c r="R723" t="s">
        <v>1645</v>
      </c>
      <c r="T723" s="24">
        <v>-38499106</v>
      </c>
    </row>
    <row r="724" spans="1:24" x14ac:dyDescent="0.3">
      <c r="A724" s="36">
        <v>45372</v>
      </c>
      <c r="B724" t="s">
        <v>90</v>
      </c>
      <c r="C724" t="s">
        <v>1646</v>
      </c>
      <c r="G724" s="51">
        <v>45372</v>
      </c>
      <c r="J724" s="24">
        <v>3922500</v>
      </c>
      <c r="K724" t="s">
        <v>1647</v>
      </c>
      <c r="L724">
        <v>2403210851</v>
      </c>
      <c r="M724" t="s">
        <v>91</v>
      </c>
      <c r="N724" t="s">
        <v>91</v>
      </c>
      <c r="P724" t="s">
        <v>137</v>
      </c>
      <c r="R724">
        <v>970422016658</v>
      </c>
      <c r="T724" s="24">
        <v>-34576606</v>
      </c>
      <c r="X724" t="s">
        <v>92</v>
      </c>
    </row>
    <row r="725" spans="1:24" x14ac:dyDescent="0.3">
      <c r="A725" s="36">
        <v>45372</v>
      </c>
      <c r="B725" t="s">
        <v>90</v>
      </c>
      <c r="C725" t="s">
        <v>1648</v>
      </c>
      <c r="G725" s="51">
        <v>45372</v>
      </c>
      <c r="J725" s="24">
        <v>80000</v>
      </c>
      <c r="K725" t="s">
        <v>1649</v>
      </c>
      <c r="L725">
        <v>2403210853</v>
      </c>
      <c r="M725" t="s">
        <v>91</v>
      </c>
      <c r="N725" t="s">
        <v>91</v>
      </c>
      <c r="P725" t="s">
        <v>137</v>
      </c>
      <c r="R725">
        <v>970416268013</v>
      </c>
      <c r="T725" s="24">
        <v>-34496606</v>
      </c>
      <c r="X725" t="s">
        <v>92</v>
      </c>
    </row>
    <row r="726" spans="1:24" x14ac:dyDescent="0.3">
      <c r="A726" s="36">
        <v>45372</v>
      </c>
      <c r="B726" t="s">
        <v>90</v>
      </c>
      <c r="C726" t="s">
        <v>1650</v>
      </c>
      <c r="G726" s="51">
        <v>45372</v>
      </c>
      <c r="J726" s="24">
        <v>200000</v>
      </c>
      <c r="K726" t="s">
        <v>142</v>
      </c>
      <c r="L726">
        <v>2403210858</v>
      </c>
      <c r="M726" t="s">
        <v>91</v>
      </c>
      <c r="N726" t="s">
        <v>91</v>
      </c>
      <c r="O726" t="s">
        <v>143</v>
      </c>
      <c r="P726" t="s">
        <v>144</v>
      </c>
      <c r="R726" t="s">
        <v>1651</v>
      </c>
      <c r="T726" s="24">
        <v>-34296606</v>
      </c>
    </row>
    <row r="727" spans="1:24" x14ac:dyDescent="0.3">
      <c r="A727" s="36">
        <v>45372</v>
      </c>
      <c r="B727" t="s">
        <v>90</v>
      </c>
      <c r="C727" t="s">
        <v>1652</v>
      </c>
      <c r="G727" s="51">
        <v>45372</v>
      </c>
      <c r="I727" s="24">
        <v>-5700000</v>
      </c>
      <c r="K727" t="s">
        <v>135</v>
      </c>
      <c r="L727">
        <v>2403210858</v>
      </c>
      <c r="M727" t="s">
        <v>91</v>
      </c>
      <c r="N727" t="s">
        <v>91</v>
      </c>
      <c r="O727" t="s">
        <v>136</v>
      </c>
      <c r="P727" t="s">
        <v>137</v>
      </c>
      <c r="R727" t="s">
        <v>1653</v>
      </c>
      <c r="T727" s="24">
        <v>-39996606</v>
      </c>
    </row>
    <row r="728" spans="1:24" x14ac:dyDescent="0.3">
      <c r="A728" s="36">
        <v>45372</v>
      </c>
      <c r="B728" t="s">
        <v>90</v>
      </c>
      <c r="C728" t="s">
        <v>1654</v>
      </c>
      <c r="G728" s="51">
        <v>45372</v>
      </c>
      <c r="J728" s="24">
        <v>925000</v>
      </c>
      <c r="K728" t="s">
        <v>135</v>
      </c>
      <c r="L728">
        <v>2403210918</v>
      </c>
      <c r="M728" t="s">
        <v>91</v>
      </c>
      <c r="N728" t="s">
        <v>91</v>
      </c>
      <c r="O728" t="s">
        <v>136</v>
      </c>
      <c r="P728" t="s">
        <v>137</v>
      </c>
      <c r="R728" t="s">
        <v>1655</v>
      </c>
      <c r="T728" s="24">
        <v>-39071606</v>
      </c>
    </row>
    <row r="729" spans="1:24" x14ac:dyDescent="0.3">
      <c r="A729" s="36">
        <v>45372</v>
      </c>
      <c r="B729" t="s">
        <v>90</v>
      </c>
      <c r="C729" t="s">
        <v>1656</v>
      </c>
      <c r="G729" s="51">
        <v>45372</v>
      </c>
      <c r="I729" s="24">
        <v>-420000</v>
      </c>
      <c r="K729" t="s">
        <v>135</v>
      </c>
      <c r="L729">
        <v>2403211722</v>
      </c>
      <c r="M729" t="s">
        <v>91</v>
      </c>
      <c r="N729" t="s">
        <v>91</v>
      </c>
      <c r="O729" t="s">
        <v>136</v>
      </c>
      <c r="P729" t="s">
        <v>137</v>
      </c>
      <c r="R729" t="s">
        <v>1657</v>
      </c>
      <c r="T729" s="24">
        <v>-39491606</v>
      </c>
      <c r="X729" t="s">
        <v>92</v>
      </c>
    </row>
    <row r="730" spans="1:24" x14ac:dyDescent="0.3">
      <c r="A730" s="36">
        <v>45372</v>
      </c>
      <c r="B730" t="s">
        <v>90</v>
      </c>
      <c r="C730" t="s">
        <v>1658</v>
      </c>
      <c r="G730" s="51">
        <v>45372</v>
      </c>
      <c r="J730" s="24">
        <v>400000</v>
      </c>
      <c r="K730" t="s">
        <v>1659</v>
      </c>
      <c r="L730">
        <v>2403211955</v>
      </c>
      <c r="M730" t="s">
        <v>91</v>
      </c>
      <c r="N730" t="s">
        <v>91</v>
      </c>
      <c r="P730" t="s">
        <v>137</v>
      </c>
      <c r="R730">
        <v>970454134546</v>
      </c>
      <c r="T730" s="24">
        <v>-39091606</v>
      </c>
      <c r="X730" t="s">
        <v>92</v>
      </c>
    </row>
    <row r="731" spans="1:24" x14ac:dyDescent="0.3">
      <c r="A731" s="36">
        <v>45373</v>
      </c>
      <c r="B731" t="s">
        <v>90</v>
      </c>
      <c r="C731" t="s">
        <v>1660</v>
      </c>
      <c r="G731" s="51">
        <v>45373</v>
      </c>
      <c r="I731" s="24">
        <v>-400000</v>
      </c>
      <c r="K731" t="s">
        <v>135</v>
      </c>
      <c r="L731">
        <v>2403221032</v>
      </c>
      <c r="M731" t="s">
        <v>91</v>
      </c>
      <c r="N731" t="s">
        <v>91</v>
      </c>
      <c r="O731" t="s">
        <v>136</v>
      </c>
      <c r="P731" t="s">
        <v>137</v>
      </c>
      <c r="R731" t="s">
        <v>1661</v>
      </c>
      <c r="T731" s="24">
        <v>-39491606</v>
      </c>
      <c r="X731" t="s">
        <v>92</v>
      </c>
    </row>
    <row r="732" spans="1:24" x14ac:dyDescent="0.3">
      <c r="A732" s="36">
        <v>45374</v>
      </c>
      <c r="B732" t="s">
        <v>90</v>
      </c>
      <c r="C732" t="s">
        <v>1662</v>
      </c>
      <c r="G732" s="51">
        <v>45374</v>
      </c>
      <c r="I732" s="24">
        <v>-63000</v>
      </c>
      <c r="K732" t="s">
        <v>135</v>
      </c>
      <c r="L732">
        <v>2403231240</v>
      </c>
      <c r="M732" t="s">
        <v>91</v>
      </c>
      <c r="N732" t="s">
        <v>91</v>
      </c>
      <c r="O732" t="s">
        <v>136</v>
      </c>
      <c r="P732" t="s">
        <v>137</v>
      </c>
      <c r="R732" t="s">
        <v>1663</v>
      </c>
      <c r="T732" s="24">
        <v>-39554606</v>
      </c>
      <c r="X732" t="s">
        <v>92</v>
      </c>
    </row>
    <row r="733" spans="1:24" x14ac:dyDescent="0.3">
      <c r="A733" s="36">
        <v>45376</v>
      </c>
      <c r="B733" t="s">
        <v>90</v>
      </c>
      <c r="C733" t="s">
        <v>1664</v>
      </c>
      <c r="G733" s="51">
        <v>45376</v>
      </c>
      <c r="I733" s="24">
        <v>-72000</v>
      </c>
      <c r="K733" t="s">
        <v>135</v>
      </c>
      <c r="L733">
        <v>2403232143</v>
      </c>
      <c r="M733" t="s">
        <v>91</v>
      </c>
      <c r="N733" t="s">
        <v>91</v>
      </c>
      <c r="O733" t="s">
        <v>136</v>
      </c>
      <c r="P733" t="s">
        <v>137</v>
      </c>
      <c r="R733" t="s">
        <v>1665</v>
      </c>
      <c r="T733" s="24">
        <v>-39626606</v>
      </c>
    </row>
    <row r="734" spans="1:24" x14ac:dyDescent="0.3">
      <c r="A734" s="36">
        <v>45376</v>
      </c>
      <c r="B734" t="s">
        <v>90</v>
      </c>
      <c r="C734" t="s">
        <v>1666</v>
      </c>
      <c r="G734" s="51">
        <v>45376</v>
      </c>
      <c r="I734" s="24">
        <v>-45000</v>
      </c>
      <c r="K734" t="s">
        <v>135</v>
      </c>
      <c r="L734">
        <v>2403241252</v>
      </c>
      <c r="M734" t="s">
        <v>91</v>
      </c>
      <c r="N734" t="s">
        <v>91</v>
      </c>
      <c r="O734" t="s">
        <v>136</v>
      </c>
      <c r="P734" t="s">
        <v>137</v>
      </c>
      <c r="R734" t="s">
        <v>1667</v>
      </c>
      <c r="T734" s="24">
        <v>-39671606</v>
      </c>
    </row>
    <row r="735" spans="1:24" x14ac:dyDescent="0.3">
      <c r="A735" s="36">
        <v>45376</v>
      </c>
      <c r="B735" t="s">
        <v>90</v>
      </c>
      <c r="C735" t="s">
        <v>1668</v>
      </c>
      <c r="G735" s="51">
        <v>45376</v>
      </c>
      <c r="I735" s="24">
        <v>-120000</v>
      </c>
      <c r="K735" t="s">
        <v>135</v>
      </c>
      <c r="L735">
        <v>2403242023</v>
      </c>
      <c r="M735" t="s">
        <v>91</v>
      </c>
      <c r="N735" t="s">
        <v>91</v>
      </c>
      <c r="O735" t="s">
        <v>136</v>
      </c>
      <c r="P735" t="s">
        <v>137</v>
      </c>
      <c r="R735" t="s">
        <v>1669</v>
      </c>
      <c r="T735" s="24">
        <v>-39791606</v>
      </c>
    </row>
    <row r="736" spans="1:24" x14ac:dyDescent="0.3">
      <c r="A736" s="36">
        <v>45376</v>
      </c>
      <c r="B736" t="s">
        <v>90</v>
      </c>
      <c r="C736" t="s">
        <v>1670</v>
      </c>
      <c r="G736" s="51">
        <v>45376</v>
      </c>
      <c r="I736" s="24">
        <v>-40000</v>
      </c>
      <c r="K736" t="s">
        <v>135</v>
      </c>
      <c r="L736">
        <v>2403251056</v>
      </c>
      <c r="M736" t="s">
        <v>91</v>
      </c>
      <c r="N736" t="s">
        <v>91</v>
      </c>
      <c r="O736" t="s">
        <v>136</v>
      </c>
      <c r="P736" t="s">
        <v>137</v>
      </c>
      <c r="R736" t="s">
        <v>1671</v>
      </c>
      <c r="T736" s="24">
        <v>-39831606</v>
      </c>
    </row>
    <row r="737" spans="1:24" x14ac:dyDescent="0.3">
      <c r="A737" s="36">
        <v>45376</v>
      </c>
      <c r="B737" t="s">
        <v>90</v>
      </c>
      <c r="C737" t="s">
        <v>1672</v>
      </c>
      <c r="G737" s="51">
        <v>45376</v>
      </c>
      <c r="I737" s="24">
        <v>-40000</v>
      </c>
      <c r="K737" t="s">
        <v>135</v>
      </c>
      <c r="L737">
        <v>2403251825</v>
      </c>
      <c r="M737" t="s">
        <v>91</v>
      </c>
      <c r="N737" t="s">
        <v>91</v>
      </c>
      <c r="O737" t="s">
        <v>136</v>
      </c>
      <c r="P737" t="s">
        <v>137</v>
      </c>
      <c r="R737" t="s">
        <v>1673</v>
      </c>
      <c r="T737" s="24">
        <v>-39871606</v>
      </c>
      <c r="X737" t="s">
        <v>92</v>
      </c>
    </row>
    <row r="738" spans="1:24" x14ac:dyDescent="0.3">
      <c r="A738" s="36">
        <v>45377</v>
      </c>
      <c r="B738" t="s">
        <v>90</v>
      </c>
      <c r="C738" t="s">
        <v>1674</v>
      </c>
      <c r="G738" s="51">
        <v>45377</v>
      </c>
      <c r="J738" s="24">
        <v>180635</v>
      </c>
      <c r="K738" t="s">
        <v>1675</v>
      </c>
      <c r="L738">
        <v>2403261237</v>
      </c>
      <c r="M738" t="s">
        <v>91</v>
      </c>
      <c r="N738" t="s">
        <v>91</v>
      </c>
      <c r="P738" t="s">
        <v>137</v>
      </c>
      <c r="R738">
        <v>888899432785</v>
      </c>
      <c r="T738" s="24">
        <v>-39690971</v>
      </c>
      <c r="X738" t="s">
        <v>92</v>
      </c>
    </row>
    <row r="739" spans="1:24" x14ac:dyDescent="0.3">
      <c r="A739" s="36">
        <v>45377</v>
      </c>
      <c r="B739" t="s">
        <v>90</v>
      </c>
      <c r="C739" t="s">
        <v>1676</v>
      </c>
      <c r="G739" s="51">
        <v>45377</v>
      </c>
      <c r="I739" s="24">
        <v>-180635</v>
      </c>
      <c r="K739" t="s">
        <v>94</v>
      </c>
      <c r="L739">
        <v>2403261925</v>
      </c>
      <c r="M739" t="s">
        <v>66</v>
      </c>
      <c r="N739" t="s">
        <v>66</v>
      </c>
      <c r="O739" t="s">
        <v>136</v>
      </c>
      <c r="P739" t="s">
        <v>137</v>
      </c>
      <c r="T739" s="24">
        <v>-39871606</v>
      </c>
    </row>
    <row r="740" spans="1:24" x14ac:dyDescent="0.3">
      <c r="A740" s="36">
        <v>45380</v>
      </c>
      <c r="B740" t="s">
        <v>90</v>
      </c>
      <c r="C740" t="s">
        <v>1677</v>
      </c>
      <c r="G740" s="51">
        <v>45380</v>
      </c>
      <c r="J740" s="24">
        <v>200000000</v>
      </c>
      <c r="K740" t="s">
        <v>1678</v>
      </c>
      <c r="L740">
        <v>2403291742</v>
      </c>
      <c r="M740" t="s">
        <v>91</v>
      </c>
      <c r="N740" t="s">
        <v>91</v>
      </c>
      <c r="P740" t="s">
        <v>137</v>
      </c>
      <c r="R740">
        <v>970437531930</v>
      </c>
      <c r="T740" s="24">
        <v>160128394</v>
      </c>
      <c r="X740" t="s">
        <v>92</v>
      </c>
    </row>
    <row r="741" spans="1:24" x14ac:dyDescent="0.3">
      <c r="A741" s="36">
        <v>45380</v>
      </c>
      <c r="B741" t="s">
        <v>90</v>
      </c>
      <c r="C741" t="s">
        <v>1679</v>
      </c>
      <c r="G741" s="51">
        <v>45380</v>
      </c>
      <c r="I741" s="24">
        <v>-2000000</v>
      </c>
      <c r="K741" t="s">
        <v>135</v>
      </c>
      <c r="L741">
        <v>2403291744</v>
      </c>
      <c r="M741" t="s">
        <v>91</v>
      </c>
      <c r="N741" t="s">
        <v>91</v>
      </c>
      <c r="O741" t="s">
        <v>136</v>
      </c>
      <c r="P741" t="s">
        <v>137</v>
      </c>
      <c r="R741" t="s">
        <v>1680</v>
      </c>
      <c r="T741" s="24">
        <v>158128394</v>
      </c>
    </row>
    <row r="742" spans="1:24" x14ac:dyDescent="0.3">
      <c r="A742" s="36">
        <v>45380</v>
      </c>
      <c r="B742" t="s">
        <v>90</v>
      </c>
      <c r="C742" t="s">
        <v>1681</v>
      </c>
      <c r="G742" s="51">
        <v>45380</v>
      </c>
      <c r="I742" s="24">
        <v>-20000</v>
      </c>
      <c r="K742" t="s">
        <v>135</v>
      </c>
      <c r="L742">
        <v>2403291756</v>
      </c>
      <c r="M742" t="s">
        <v>91</v>
      </c>
      <c r="N742" t="s">
        <v>91</v>
      </c>
      <c r="O742" t="s">
        <v>136</v>
      </c>
      <c r="P742" t="s">
        <v>137</v>
      </c>
      <c r="R742" t="s">
        <v>1682</v>
      </c>
      <c r="T742" s="24">
        <v>158108394</v>
      </c>
      <c r="X742" t="s">
        <v>92</v>
      </c>
    </row>
    <row r="743" spans="1:24" x14ac:dyDescent="0.3">
      <c r="A743" s="36">
        <v>45380</v>
      </c>
      <c r="B743" t="s">
        <v>90</v>
      </c>
      <c r="C743" t="s">
        <v>1683</v>
      </c>
      <c r="G743" s="51">
        <v>45380</v>
      </c>
      <c r="J743" s="24">
        <v>116000000</v>
      </c>
      <c r="K743" t="s">
        <v>1684</v>
      </c>
      <c r="L743">
        <v>2403291804</v>
      </c>
      <c r="M743" t="s">
        <v>91</v>
      </c>
      <c r="N743" t="s">
        <v>91</v>
      </c>
      <c r="P743" t="s">
        <v>137</v>
      </c>
      <c r="R743">
        <v>970437536705</v>
      </c>
      <c r="T743" s="24">
        <v>274108394</v>
      </c>
      <c r="X743" t="s">
        <v>92</v>
      </c>
    </row>
    <row r="744" spans="1:24" x14ac:dyDescent="0.3">
      <c r="A744" s="36">
        <v>45380</v>
      </c>
      <c r="B744" t="s">
        <v>90</v>
      </c>
      <c r="C744" t="s">
        <v>1685</v>
      </c>
      <c r="G744" s="51">
        <v>45380</v>
      </c>
      <c r="I744" s="24">
        <v>-19200000</v>
      </c>
      <c r="K744" t="s">
        <v>135</v>
      </c>
      <c r="L744">
        <v>2403291806</v>
      </c>
      <c r="M744" t="s">
        <v>91</v>
      </c>
      <c r="N744" t="s">
        <v>91</v>
      </c>
      <c r="O744" t="s">
        <v>136</v>
      </c>
      <c r="P744" t="s">
        <v>137</v>
      </c>
      <c r="R744" t="s">
        <v>1686</v>
      </c>
      <c r="T744" s="24">
        <v>254908394</v>
      </c>
      <c r="X744" t="s">
        <v>92</v>
      </c>
    </row>
    <row r="745" spans="1:24" x14ac:dyDescent="0.3">
      <c r="A745" s="36">
        <v>45380</v>
      </c>
      <c r="B745" t="s">
        <v>90</v>
      </c>
      <c r="C745" t="s">
        <v>1687</v>
      </c>
      <c r="G745" s="51">
        <v>45380</v>
      </c>
      <c r="I745" s="24">
        <v>-283327000</v>
      </c>
      <c r="K745">
        <v>2.0606985283152298E+19</v>
      </c>
      <c r="L745">
        <v>2403291810</v>
      </c>
      <c r="M745" t="s">
        <v>91</v>
      </c>
      <c r="N745" t="s">
        <v>91</v>
      </c>
      <c r="O745" t="s">
        <v>136</v>
      </c>
      <c r="P745" t="s">
        <v>137</v>
      </c>
      <c r="R745" t="s">
        <v>1688</v>
      </c>
      <c r="T745" s="24">
        <v>-28418606</v>
      </c>
      <c r="X745" t="s">
        <v>92</v>
      </c>
    </row>
    <row r="746" spans="1:24" x14ac:dyDescent="0.3">
      <c r="A746" s="36">
        <v>45380</v>
      </c>
      <c r="B746" t="s">
        <v>90</v>
      </c>
      <c r="C746" t="s">
        <v>1689</v>
      </c>
      <c r="G746" s="51">
        <v>45380</v>
      </c>
      <c r="I746" s="24">
        <v>-1000000</v>
      </c>
      <c r="K746" t="s">
        <v>135</v>
      </c>
      <c r="L746">
        <v>2403291826</v>
      </c>
      <c r="M746" t="s">
        <v>91</v>
      </c>
      <c r="N746" t="s">
        <v>91</v>
      </c>
      <c r="O746" t="s">
        <v>136</v>
      </c>
      <c r="P746" t="s">
        <v>137</v>
      </c>
      <c r="R746" t="s">
        <v>1690</v>
      </c>
      <c r="T746" s="24">
        <v>-29418606</v>
      </c>
      <c r="X746" t="s">
        <v>92</v>
      </c>
    </row>
    <row r="747" spans="1:24" x14ac:dyDescent="0.3">
      <c r="A747" s="36">
        <v>45380</v>
      </c>
      <c r="B747" t="s">
        <v>90</v>
      </c>
      <c r="C747" t="s">
        <v>1691</v>
      </c>
      <c r="G747" s="51">
        <v>45380</v>
      </c>
      <c r="I747" s="24">
        <v>-6000000</v>
      </c>
      <c r="K747" t="s">
        <v>135</v>
      </c>
      <c r="L747">
        <v>2403291833</v>
      </c>
      <c r="M747" t="s">
        <v>91</v>
      </c>
      <c r="N747" t="s">
        <v>91</v>
      </c>
      <c r="O747" t="s">
        <v>136</v>
      </c>
      <c r="P747" t="s">
        <v>137</v>
      </c>
      <c r="R747" t="s">
        <v>1692</v>
      </c>
      <c r="T747" s="24">
        <v>-35418606</v>
      </c>
    </row>
    <row r="748" spans="1:24" x14ac:dyDescent="0.3">
      <c r="A748" s="36">
        <v>45380</v>
      </c>
      <c r="B748" t="s">
        <v>90</v>
      </c>
      <c r="C748" t="s">
        <v>1693</v>
      </c>
      <c r="G748" s="51">
        <v>45380</v>
      </c>
      <c r="I748" s="24">
        <v>-730041</v>
      </c>
      <c r="K748" t="s">
        <v>94</v>
      </c>
      <c r="L748">
        <v>2403292002</v>
      </c>
      <c r="M748" t="s">
        <v>66</v>
      </c>
      <c r="N748" t="s">
        <v>66</v>
      </c>
      <c r="O748" t="s">
        <v>136</v>
      </c>
      <c r="P748" t="s">
        <v>137</v>
      </c>
      <c r="T748" s="24">
        <v>-36148647</v>
      </c>
    </row>
    <row r="749" spans="1:24" x14ac:dyDescent="0.3">
      <c r="A749" s="36">
        <v>45380</v>
      </c>
      <c r="B749" t="s">
        <v>90</v>
      </c>
      <c r="C749" t="s">
        <v>1694</v>
      </c>
      <c r="G749" s="51">
        <v>45380</v>
      </c>
      <c r="I749" s="24">
        <v>-1000000</v>
      </c>
      <c r="K749" t="s">
        <v>135</v>
      </c>
      <c r="L749">
        <v>2403292025</v>
      </c>
      <c r="M749" t="s">
        <v>91</v>
      </c>
      <c r="N749" t="s">
        <v>91</v>
      </c>
      <c r="O749" t="s">
        <v>136</v>
      </c>
      <c r="P749" t="s">
        <v>137</v>
      </c>
      <c r="R749" t="s">
        <v>1695</v>
      </c>
      <c r="T749" s="24">
        <v>-37148647</v>
      </c>
      <c r="X749" t="s">
        <v>92</v>
      </c>
    </row>
    <row r="750" spans="1:24" x14ac:dyDescent="0.3">
      <c r="A750" s="36">
        <v>45380</v>
      </c>
      <c r="B750" t="s">
        <v>90</v>
      </c>
      <c r="C750" t="s">
        <v>1696</v>
      </c>
      <c r="G750" s="51">
        <v>45380</v>
      </c>
      <c r="I750" s="24">
        <v>-511000</v>
      </c>
      <c r="K750" t="s">
        <v>135</v>
      </c>
      <c r="L750">
        <v>2403292232</v>
      </c>
      <c r="M750" t="s">
        <v>91</v>
      </c>
      <c r="N750" t="s">
        <v>91</v>
      </c>
      <c r="O750" t="s">
        <v>136</v>
      </c>
      <c r="P750" t="s">
        <v>137</v>
      </c>
      <c r="R750" t="s">
        <v>1697</v>
      </c>
      <c r="T750" s="24">
        <v>-37659647</v>
      </c>
    </row>
    <row r="751" spans="1:24" x14ac:dyDescent="0.3">
      <c r="A751" s="36">
        <v>45381</v>
      </c>
      <c r="B751" t="s">
        <v>90</v>
      </c>
      <c r="C751" t="s">
        <v>1698</v>
      </c>
      <c r="G751" s="51">
        <v>45381</v>
      </c>
      <c r="I751" s="24">
        <v>-291771</v>
      </c>
      <c r="K751" t="s">
        <v>1699</v>
      </c>
      <c r="L751">
        <v>2403301826</v>
      </c>
      <c r="M751" t="s">
        <v>91</v>
      </c>
      <c r="N751" t="s">
        <v>91</v>
      </c>
      <c r="O751" t="s">
        <v>136</v>
      </c>
      <c r="P751" t="s">
        <v>137</v>
      </c>
      <c r="R751" t="s">
        <v>1700</v>
      </c>
      <c r="T751" s="24">
        <v>-37951418</v>
      </c>
      <c r="X751" t="s">
        <v>92</v>
      </c>
    </row>
    <row r="752" spans="1:24" x14ac:dyDescent="0.3">
      <c r="A752" s="36">
        <v>45382</v>
      </c>
      <c r="B752" t="s">
        <v>90</v>
      </c>
      <c r="C752" t="s">
        <v>1701</v>
      </c>
      <c r="G752" s="51">
        <v>45382</v>
      </c>
      <c r="I752" s="24">
        <v>-101000</v>
      </c>
      <c r="K752" t="s">
        <v>1702</v>
      </c>
      <c r="L752">
        <v>2403311505</v>
      </c>
      <c r="M752" t="s">
        <v>91</v>
      </c>
      <c r="N752" t="s">
        <v>91</v>
      </c>
      <c r="O752" t="s">
        <v>136</v>
      </c>
      <c r="P752" t="s">
        <v>137</v>
      </c>
      <c r="R752" t="s">
        <v>1703</v>
      </c>
      <c r="T752" s="24">
        <v>-38052418</v>
      </c>
      <c r="X752" t="s">
        <v>92</v>
      </c>
    </row>
    <row r="753" spans="1:24" x14ac:dyDescent="0.3">
      <c r="A753" s="36">
        <v>45382</v>
      </c>
      <c r="B753" t="s">
        <v>90</v>
      </c>
      <c r="C753" t="s">
        <v>1704</v>
      </c>
      <c r="G753" s="51">
        <v>45382</v>
      </c>
      <c r="I753" s="24">
        <v>-214000</v>
      </c>
      <c r="K753" t="s">
        <v>135</v>
      </c>
      <c r="L753">
        <v>2403311811</v>
      </c>
      <c r="M753" t="s">
        <v>91</v>
      </c>
      <c r="N753" t="s">
        <v>91</v>
      </c>
      <c r="O753" t="s">
        <v>136</v>
      </c>
      <c r="P753" t="s">
        <v>137</v>
      </c>
      <c r="R753" t="s">
        <v>1705</v>
      </c>
      <c r="T753" s="24">
        <v>-38266418</v>
      </c>
    </row>
    <row r="754" spans="1:24" x14ac:dyDescent="0.3">
      <c r="A754" s="36">
        <v>45383</v>
      </c>
      <c r="B754" t="s">
        <v>90</v>
      </c>
      <c r="C754" t="s">
        <v>1706</v>
      </c>
      <c r="G754" s="51">
        <v>45383</v>
      </c>
      <c r="I754" s="24">
        <v>-860000</v>
      </c>
      <c r="K754" t="s">
        <v>135</v>
      </c>
      <c r="L754">
        <v>2403312234</v>
      </c>
      <c r="M754" t="s">
        <v>91</v>
      </c>
      <c r="N754" t="s">
        <v>91</v>
      </c>
      <c r="O754" t="s">
        <v>136</v>
      </c>
      <c r="P754" t="s">
        <v>137</v>
      </c>
      <c r="R754" t="s">
        <v>1707</v>
      </c>
      <c r="T754" s="24">
        <v>-39126418</v>
      </c>
      <c r="X754" t="s">
        <v>92</v>
      </c>
    </row>
    <row r="755" spans="1:24" x14ac:dyDescent="0.3">
      <c r="A755" s="36">
        <v>45383</v>
      </c>
      <c r="B755" t="s">
        <v>90</v>
      </c>
      <c r="C755" t="s">
        <v>1708</v>
      </c>
      <c r="G755" s="51">
        <v>45383</v>
      </c>
      <c r="J755" s="24">
        <v>5135200</v>
      </c>
      <c r="K755" t="s">
        <v>1709</v>
      </c>
      <c r="L755">
        <v>2404011038</v>
      </c>
      <c r="M755" t="s">
        <v>91</v>
      </c>
      <c r="N755" t="s">
        <v>91</v>
      </c>
      <c r="P755" t="s">
        <v>137</v>
      </c>
      <c r="R755">
        <v>970412480718</v>
      </c>
      <c r="T755" s="24">
        <v>-33991218</v>
      </c>
      <c r="X755" t="s">
        <v>92</v>
      </c>
    </row>
    <row r="756" spans="1:24" x14ac:dyDescent="0.3">
      <c r="A756" s="36">
        <v>45383</v>
      </c>
      <c r="B756" t="s">
        <v>90</v>
      </c>
      <c r="C756" t="s">
        <v>1710</v>
      </c>
      <c r="G756" s="51">
        <v>45383</v>
      </c>
      <c r="I756" s="24">
        <v>-2179000</v>
      </c>
      <c r="K756" t="s">
        <v>1711</v>
      </c>
      <c r="L756">
        <v>2404011041</v>
      </c>
      <c r="M756" t="s">
        <v>91</v>
      </c>
      <c r="N756" t="s">
        <v>91</v>
      </c>
      <c r="O756" t="s">
        <v>136</v>
      </c>
      <c r="P756" t="s">
        <v>137</v>
      </c>
      <c r="R756" t="s">
        <v>1712</v>
      </c>
      <c r="T756" s="24">
        <v>-36170218</v>
      </c>
    </row>
    <row r="757" spans="1:24" x14ac:dyDescent="0.3">
      <c r="A757" s="36">
        <v>45383</v>
      </c>
      <c r="B757" t="s">
        <v>90</v>
      </c>
      <c r="C757" t="s">
        <v>1713</v>
      </c>
      <c r="G757" s="51">
        <v>45383</v>
      </c>
      <c r="J757" s="24">
        <v>840000</v>
      </c>
      <c r="K757" t="s">
        <v>1714</v>
      </c>
      <c r="L757">
        <v>2404011451</v>
      </c>
      <c r="M757" t="s">
        <v>91</v>
      </c>
      <c r="N757" t="s">
        <v>91</v>
      </c>
      <c r="O757" t="s">
        <v>143</v>
      </c>
      <c r="P757" t="s">
        <v>144</v>
      </c>
      <c r="R757" t="s">
        <v>1715</v>
      </c>
      <c r="T757" s="24">
        <v>-35330218</v>
      </c>
    </row>
    <row r="758" spans="1:24" x14ac:dyDescent="0.3">
      <c r="A758" s="36">
        <v>45383</v>
      </c>
      <c r="B758" t="s">
        <v>90</v>
      </c>
      <c r="C758" t="s">
        <v>1716</v>
      </c>
      <c r="G758" s="51">
        <v>45383</v>
      </c>
      <c r="I758" s="24">
        <v>-50000</v>
      </c>
      <c r="K758" t="s">
        <v>135</v>
      </c>
      <c r="L758">
        <v>2404011452</v>
      </c>
      <c r="M758" t="s">
        <v>91</v>
      </c>
      <c r="N758" t="s">
        <v>91</v>
      </c>
      <c r="O758" t="s">
        <v>136</v>
      </c>
      <c r="P758" t="s">
        <v>137</v>
      </c>
      <c r="R758" t="s">
        <v>1717</v>
      </c>
      <c r="T758" s="24">
        <v>-35380218</v>
      </c>
      <c r="X758" t="s">
        <v>92</v>
      </c>
    </row>
    <row r="759" spans="1:24" x14ac:dyDescent="0.3">
      <c r="A759" s="36">
        <v>45383</v>
      </c>
      <c r="B759" t="s">
        <v>90</v>
      </c>
      <c r="C759" t="s">
        <v>1718</v>
      </c>
      <c r="G759" s="51">
        <v>45383</v>
      </c>
      <c r="I759" s="24">
        <v>-3000000</v>
      </c>
      <c r="K759" t="s">
        <v>1719</v>
      </c>
      <c r="L759">
        <v>2404012035</v>
      </c>
      <c r="M759" t="s">
        <v>91</v>
      </c>
      <c r="N759" t="s">
        <v>91</v>
      </c>
      <c r="O759" t="s">
        <v>136</v>
      </c>
      <c r="P759" t="s">
        <v>93</v>
      </c>
      <c r="R759">
        <v>55892957463</v>
      </c>
      <c r="T759" s="24">
        <v>-38380218</v>
      </c>
    </row>
    <row r="760" spans="1:24" x14ac:dyDescent="0.3">
      <c r="A760" s="36">
        <v>45383</v>
      </c>
      <c r="B760" t="s">
        <v>90</v>
      </c>
      <c r="C760" t="s">
        <v>1720</v>
      </c>
      <c r="G760" s="51">
        <v>45383</v>
      </c>
      <c r="I760" s="24">
        <v>-1100000</v>
      </c>
      <c r="K760" t="s">
        <v>1721</v>
      </c>
      <c r="L760">
        <v>2404012038</v>
      </c>
      <c r="M760" t="s">
        <v>91</v>
      </c>
      <c r="N760" t="s">
        <v>91</v>
      </c>
      <c r="O760" t="s">
        <v>136</v>
      </c>
      <c r="P760" t="s">
        <v>93</v>
      </c>
      <c r="R760">
        <v>55892611439</v>
      </c>
      <c r="T760" s="24">
        <v>-39480218</v>
      </c>
    </row>
    <row r="761" spans="1:24" x14ac:dyDescent="0.3">
      <c r="A761" s="36">
        <v>45385</v>
      </c>
      <c r="B761" t="s">
        <v>90</v>
      </c>
      <c r="C761" t="s">
        <v>1722</v>
      </c>
      <c r="G761" s="51">
        <v>45385</v>
      </c>
      <c r="I761" s="24">
        <v>-150000</v>
      </c>
      <c r="K761" t="s">
        <v>135</v>
      </c>
      <c r="L761">
        <v>2404022157</v>
      </c>
      <c r="M761" t="s">
        <v>91</v>
      </c>
      <c r="N761" t="s">
        <v>91</v>
      </c>
      <c r="O761" t="s">
        <v>136</v>
      </c>
      <c r="P761" t="s">
        <v>137</v>
      </c>
      <c r="R761" t="s">
        <v>1723</v>
      </c>
      <c r="T761" s="24">
        <v>-39630218</v>
      </c>
      <c r="X761" t="s">
        <v>92</v>
      </c>
    </row>
    <row r="762" spans="1:24" x14ac:dyDescent="0.3">
      <c r="A762" s="36">
        <v>45385</v>
      </c>
      <c r="B762" t="s">
        <v>90</v>
      </c>
      <c r="C762" t="s">
        <v>1724</v>
      </c>
      <c r="G762" s="51">
        <v>45385</v>
      </c>
      <c r="I762" s="24">
        <v>-300000</v>
      </c>
      <c r="K762" t="s">
        <v>135</v>
      </c>
      <c r="L762">
        <v>2404031751</v>
      </c>
      <c r="M762" t="s">
        <v>91</v>
      </c>
      <c r="N762" t="s">
        <v>91</v>
      </c>
      <c r="O762" t="s">
        <v>136</v>
      </c>
      <c r="P762" t="s">
        <v>137</v>
      </c>
      <c r="R762" t="s">
        <v>1725</v>
      </c>
      <c r="T762" s="24">
        <v>-39930218</v>
      </c>
      <c r="X762" t="s">
        <v>92</v>
      </c>
    </row>
    <row r="763" spans="1:24" x14ac:dyDescent="0.3">
      <c r="A763" s="36">
        <v>45385</v>
      </c>
      <c r="B763" t="s">
        <v>90</v>
      </c>
      <c r="C763" t="s">
        <v>1726</v>
      </c>
      <c r="G763" s="51">
        <v>45385</v>
      </c>
      <c r="J763" s="24">
        <v>1295350</v>
      </c>
      <c r="K763" t="s">
        <v>1727</v>
      </c>
      <c r="L763">
        <v>2404031920</v>
      </c>
      <c r="M763" t="s">
        <v>91</v>
      </c>
      <c r="N763" t="s">
        <v>91</v>
      </c>
      <c r="P763" t="s">
        <v>137</v>
      </c>
      <c r="R763">
        <v>888899316332</v>
      </c>
      <c r="T763" s="24">
        <v>-38634868</v>
      </c>
      <c r="X763" t="s">
        <v>92</v>
      </c>
    </row>
    <row r="764" spans="1:24" x14ac:dyDescent="0.3">
      <c r="A764" s="36">
        <v>45385</v>
      </c>
      <c r="B764" t="s">
        <v>90</v>
      </c>
      <c r="C764" t="s">
        <v>1728</v>
      </c>
      <c r="G764" s="51">
        <v>45385</v>
      </c>
      <c r="I764" s="24">
        <v>-500000</v>
      </c>
      <c r="K764" t="s">
        <v>1729</v>
      </c>
      <c r="L764">
        <v>2404031922</v>
      </c>
      <c r="M764" t="s">
        <v>91</v>
      </c>
      <c r="N764" t="s">
        <v>91</v>
      </c>
      <c r="O764" t="s">
        <v>136</v>
      </c>
      <c r="P764" t="s">
        <v>93</v>
      </c>
      <c r="R764">
        <v>56009997925</v>
      </c>
      <c r="T764" s="24">
        <v>-39134868</v>
      </c>
    </row>
    <row r="765" spans="1:24" x14ac:dyDescent="0.3">
      <c r="A765" s="36">
        <v>45386</v>
      </c>
      <c r="B765" t="s">
        <v>90</v>
      </c>
      <c r="C765" t="s">
        <v>1730</v>
      </c>
      <c r="G765" s="51">
        <v>45386</v>
      </c>
      <c r="J765" s="24">
        <v>5173400</v>
      </c>
      <c r="K765" t="s">
        <v>1731</v>
      </c>
      <c r="L765">
        <v>2404041532</v>
      </c>
      <c r="M765" t="s">
        <v>91</v>
      </c>
      <c r="N765" t="s">
        <v>91</v>
      </c>
      <c r="P765" t="s">
        <v>137</v>
      </c>
      <c r="R765">
        <v>970422419684</v>
      </c>
      <c r="T765" s="24">
        <v>-33961468</v>
      </c>
      <c r="X765" t="s">
        <v>92</v>
      </c>
    </row>
    <row r="766" spans="1:24" x14ac:dyDescent="0.3">
      <c r="A766" s="36">
        <v>45386</v>
      </c>
      <c r="B766" t="s">
        <v>90</v>
      </c>
      <c r="C766" t="s">
        <v>1732</v>
      </c>
      <c r="G766" s="51">
        <v>45386</v>
      </c>
      <c r="I766" s="24">
        <v>-4629000</v>
      </c>
      <c r="K766" t="s">
        <v>1733</v>
      </c>
      <c r="L766">
        <v>2404041534</v>
      </c>
      <c r="M766" t="s">
        <v>91</v>
      </c>
      <c r="N766" t="s">
        <v>91</v>
      </c>
      <c r="O766" t="s">
        <v>136</v>
      </c>
      <c r="P766" t="s">
        <v>93</v>
      </c>
      <c r="R766">
        <v>56062277122</v>
      </c>
      <c r="T766" s="24">
        <v>-38590468</v>
      </c>
    </row>
    <row r="767" spans="1:24" x14ac:dyDescent="0.3">
      <c r="A767" s="36">
        <v>45386</v>
      </c>
      <c r="B767" t="s">
        <v>90</v>
      </c>
      <c r="C767" t="s">
        <v>1734</v>
      </c>
      <c r="G767" s="51">
        <v>45386</v>
      </c>
      <c r="J767" s="24">
        <v>2585700</v>
      </c>
      <c r="K767" t="s">
        <v>1735</v>
      </c>
      <c r="L767">
        <v>2404041702</v>
      </c>
      <c r="M767" t="s">
        <v>91</v>
      </c>
      <c r="N767" t="s">
        <v>91</v>
      </c>
      <c r="P767" t="s">
        <v>137</v>
      </c>
      <c r="R767">
        <v>970468360453</v>
      </c>
      <c r="T767" s="24">
        <v>-36004768</v>
      </c>
      <c r="X767" t="s">
        <v>92</v>
      </c>
    </row>
    <row r="768" spans="1:24" x14ac:dyDescent="0.3">
      <c r="A768" s="36">
        <v>45386</v>
      </c>
      <c r="B768" t="s">
        <v>90</v>
      </c>
      <c r="C768" t="s">
        <v>1736</v>
      </c>
      <c r="G768" s="51">
        <v>45386</v>
      </c>
      <c r="I768" s="24">
        <v>-2000000</v>
      </c>
      <c r="K768" t="s">
        <v>135</v>
      </c>
      <c r="L768">
        <v>2404041708</v>
      </c>
      <c r="M768" t="s">
        <v>91</v>
      </c>
      <c r="N768" t="s">
        <v>91</v>
      </c>
      <c r="O768" t="s">
        <v>136</v>
      </c>
      <c r="P768" t="s">
        <v>137</v>
      </c>
      <c r="R768" t="s">
        <v>1737</v>
      </c>
      <c r="T768" s="24">
        <v>-38004768</v>
      </c>
    </row>
    <row r="769" spans="1:24" x14ac:dyDescent="0.3">
      <c r="A769" s="36">
        <v>45386</v>
      </c>
      <c r="B769" t="s">
        <v>90</v>
      </c>
      <c r="C769" t="s">
        <v>1738</v>
      </c>
      <c r="G769" s="51">
        <v>45386</v>
      </c>
      <c r="I769" s="24">
        <v>-500000</v>
      </c>
      <c r="K769" t="s">
        <v>135</v>
      </c>
      <c r="L769">
        <v>2404041720</v>
      </c>
      <c r="M769" t="s">
        <v>91</v>
      </c>
      <c r="N769" t="s">
        <v>91</v>
      </c>
      <c r="O769" t="s">
        <v>136</v>
      </c>
      <c r="P769" t="s">
        <v>137</v>
      </c>
      <c r="R769" t="s">
        <v>1739</v>
      </c>
      <c r="T769" s="24">
        <v>-38504768</v>
      </c>
    </row>
    <row r="770" spans="1:24" x14ac:dyDescent="0.3">
      <c r="A770" s="36">
        <v>45386</v>
      </c>
      <c r="B770" t="s">
        <v>90</v>
      </c>
      <c r="C770" t="s">
        <v>1740</v>
      </c>
      <c r="G770" s="51">
        <v>45386</v>
      </c>
      <c r="I770" s="24">
        <v>-1000000</v>
      </c>
      <c r="K770" t="s">
        <v>135</v>
      </c>
      <c r="L770">
        <v>2404041926</v>
      </c>
      <c r="M770" t="s">
        <v>91</v>
      </c>
      <c r="N770" t="s">
        <v>91</v>
      </c>
      <c r="O770" t="s">
        <v>136</v>
      </c>
      <c r="P770" t="s">
        <v>137</v>
      </c>
      <c r="R770" t="s">
        <v>1741</v>
      </c>
      <c r="T770" s="24">
        <v>-39504768</v>
      </c>
      <c r="X770" t="s">
        <v>92</v>
      </c>
    </row>
    <row r="771" spans="1:24" x14ac:dyDescent="0.3">
      <c r="A771" s="36">
        <v>45387</v>
      </c>
      <c r="B771" t="s">
        <v>90</v>
      </c>
      <c r="C771" t="s">
        <v>1742</v>
      </c>
      <c r="G771" s="51">
        <v>45387</v>
      </c>
      <c r="J771" s="24">
        <v>9055458</v>
      </c>
      <c r="K771" t="s">
        <v>1743</v>
      </c>
      <c r="L771">
        <v>2404042205</v>
      </c>
      <c r="M771" t="s">
        <v>91</v>
      </c>
      <c r="N771" t="s">
        <v>91</v>
      </c>
      <c r="P771" t="s">
        <v>137</v>
      </c>
      <c r="R771">
        <v>970416644931</v>
      </c>
      <c r="T771" s="24">
        <v>-30449310</v>
      </c>
      <c r="X771" t="s">
        <v>92</v>
      </c>
    </row>
    <row r="772" spans="1:24" x14ac:dyDescent="0.3">
      <c r="A772" s="36">
        <v>45387</v>
      </c>
      <c r="B772" t="s">
        <v>90</v>
      </c>
      <c r="C772" t="s">
        <v>1744</v>
      </c>
      <c r="G772" s="51">
        <v>45387</v>
      </c>
      <c r="I772" s="24">
        <v>-8000000</v>
      </c>
      <c r="K772" t="s">
        <v>135</v>
      </c>
      <c r="L772">
        <v>2404042207</v>
      </c>
      <c r="M772" t="s">
        <v>91</v>
      </c>
      <c r="N772" t="s">
        <v>91</v>
      </c>
      <c r="O772" t="s">
        <v>136</v>
      </c>
      <c r="P772" t="s">
        <v>137</v>
      </c>
      <c r="R772" t="s">
        <v>1745</v>
      </c>
      <c r="T772" s="24">
        <v>-38449310</v>
      </c>
    </row>
    <row r="773" spans="1:24" x14ac:dyDescent="0.3">
      <c r="A773" s="36">
        <v>45387</v>
      </c>
      <c r="B773" t="s">
        <v>90</v>
      </c>
      <c r="C773" t="s">
        <v>1746</v>
      </c>
      <c r="G773" s="51">
        <v>45387</v>
      </c>
      <c r="I773" s="24">
        <v>-1500000</v>
      </c>
      <c r="K773" t="s">
        <v>135</v>
      </c>
      <c r="L773">
        <v>2404051537</v>
      </c>
      <c r="M773" t="s">
        <v>91</v>
      </c>
      <c r="N773" t="s">
        <v>91</v>
      </c>
      <c r="O773" t="s">
        <v>136</v>
      </c>
      <c r="P773" t="s">
        <v>137</v>
      </c>
      <c r="R773" t="s">
        <v>1747</v>
      </c>
      <c r="T773" s="24">
        <v>-39949310</v>
      </c>
    </row>
    <row r="774" spans="1:24" x14ac:dyDescent="0.3">
      <c r="A774" s="36">
        <v>45387</v>
      </c>
      <c r="B774" t="s">
        <v>90</v>
      </c>
      <c r="C774" t="s">
        <v>1748</v>
      </c>
      <c r="G774" s="51">
        <v>45387</v>
      </c>
      <c r="J774" s="24">
        <v>70000</v>
      </c>
      <c r="K774" t="s">
        <v>1749</v>
      </c>
      <c r="L774">
        <v>2404052039</v>
      </c>
      <c r="M774" t="s">
        <v>91</v>
      </c>
      <c r="N774" t="s">
        <v>91</v>
      </c>
      <c r="O774" t="s">
        <v>136</v>
      </c>
      <c r="P774" t="s">
        <v>93</v>
      </c>
      <c r="R774">
        <v>56147856283</v>
      </c>
      <c r="T774" s="24">
        <v>-39879310</v>
      </c>
    </row>
    <row r="775" spans="1:24" x14ac:dyDescent="0.3">
      <c r="A775" s="36">
        <v>45387</v>
      </c>
      <c r="B775" t="s">
        <v>90</v>
      </c>
      <c r="C775" t="s">
        <v>1750</v>
      </c>
      <c r="G775" s="51">
        <v>45387</v>
      </c>
      <c r="I775" s="24">
        <v>-120000</v>
      </c>
      <c r="K775" t="s">
        <v>135</v>
      </c>
      <c r="L775">
        <v>2404052040</v>
      </c>
      <c r="M775" t="s">
        <v>91</v>
      </c>
      <c r="N775" t="s">
        <v>91</v>
      </c>
      <c r="O775" t="s">
        <v>136</v>
      </c>
      <c r="P775" t="s">
        <v>137</v>
      </c>
      <c r="R775" t="s">
        <v>1751</v>
      </c>
      <c r="T775" s="24">
        <v>-39999310</v>
      </c>
      <c r="X775" t="s">
        <v>92</v>
      </c>
    </row>
    <row r="776" spans="1:24" x14ac:dyDescent="0.3">
      <c r="A776" s="36">
        <v>45388</v>
      </c>
      <c r="B776" t="s">
        <v>90</v>
      </c>
      <c r="C776" t="s">
        <v>1752</v>
      </c>
      <c r="G776" s="51">
        <v>45388</v>
      </c>
      <c r="J776" s="24">
        <v>1294500</v>
      </c>
      <c r="K776" t="s">
        <v>1753</v>
      </c>
      <c r="L776">
        <v>2404052232</v>
      </c>
      <c r="M776" t="s">
        <v>91</v>
      </c>
      <c r="N776" t="s">
        <v>91</v>
      </c>
      <c r="P776" t="s">
        <v>137</v>
      </c>
      <c r="R776">
        <v>970415570056</v>
      </c>
      <c r="T776" s="24">
        <v>-38704810</v>
      </c>
      <c r="X776" t="s">
        <v>92</v>
      </c>
    </row>
    <row r="777" spans="1:24" x14ac:dyDescent="0.3">
      <c r="A777" s="36">
        <v>45388</v>
      </c>
      <c r="B777" t="s">
        <v>90</v>
      </c>
      <c r="C777" t="s">
        <v>1754</v>
      </c>
      <c r="G777" s="51">
        <v>45388</v>
      </c>
      <c r="I777" s="24">
        <v>-500000</v>
      </c>
      <c r="K777" t="s">
        <v>135</v>
      </c>
      <c r="L777">
        <v>2404052234</v>
      </c>
      <c r="M777" t="s">
        <v>91</v>
      </c>
      <c r="N777" t="s">
        <v>91</v>
      </c>
      <c r="O777" t="s">
        <v>136</v>
      </c>
      <c r="P777" t="s">
        <v>137</v>
      </c>
      <c r="R777" t="s">
        <v>1755</v>
      </c>
      <c r="T777" s="24">
        <v>-39204810</v>
      </c>
      <c r="X777" t="s">
        <v>92</v>
      </c>
    </row>
    <row r="778" spans="1:24" x14ac:dyDescent="0.3">
      <c r="A778" s="36">
        <v>45388</v>
      </c>
      <c r="B778" t="s">
        <v>90</v>
      </c>
      <c r="C778" t="s">
        <v>1756</v>
      </c>
      <c r="G778" s="51">
        <v>45388</v>
      </c>
      <c r="I778" s="24">
        <v>-300000</v>
      </c>
      <c r="K778" t="s">
        <v>135</v>
      </c>
      <c r="L778">
        <v>2404052243</v>
      </c>
      <c r="M778" t="s">
        <v>91</v>
      </c>
      <c r="N778" t="s">
        <v>91</v>
      </c>
      <c r="O778" t="s">
        <v>136</v>
      </c>
      <c r="P778" t="s">
        <v>137</v>
      </c>
      <c r="R778" t="s">
        <v>1757</v>
      </c>
      <c r="T778" s="24">
        <v>-39504810</v>
      </c>
    </row>
    <row r="779" spans="1:24" x14ac:dyDescent="0.3">
      <c r="A779" s="36">
        <v>45388</v>
      </c>
      <c r="B779" t="s">
        <v>90</v>
      </c>
      <c r="C779" t="s">
        <v>1758</v>
      </c>
      <c r="G779" s="51">
        <v>45388</v>
      </c>
      <c r="I779" s="24">
        <v>-300000</v>
      </c>
      <c r="K779" t="s">
        <v>135</v>
      </c>
      <c r="L779">
        <v>2404061711</v>
      </c>
      <c r="M779" t="s">
        <v>91</v>
      </c>
      <c r="N779" t="s">
        <v>91</v>
      </c>
      <c r="O779" t="s">
        <v>136</v>
      </c>
      <c r="P779" t="s">
        <v>137</v>
      </c>
      <c r="R779" t="s">
        <v>1759</v>
      </c>
      <c r="T779" s="24">
        <v>-39804810</v>
      </c>
    </row>
    <row r="780" spans="1:24" x14ac:dyDescent="0.3">
      <c r="A780" s="36">
        <v>45388</v>
      </c>
      <c r="B780" t="s">
        <v>90</v>
      </c>
      <c r="C780" t="s">
        <v>1760</v>
      </c>
      <c r="G780" s="51">
        <v>45388</v>
      </c>
      <c r="I780" s="24">
        <v>-20000</v>
      </c>
      <c r="K780" t="s">
        <v>135</v>
      </c>
      <c r="L780">
        <v>2404061733</v>
      </c>
      <c r="M780" t="s">
        <v>91</v>
      </c>
      <c r="N780" t="s">
        <v>91</v>
      </c>
      <c r="O780" t="s">
        <v>136</v>
      </c>
      <c r="P780" t="s">
        <v>137</v>
      </c>
      <c r="R780" t="s">
        <v>1761</v>
      </c>
      <c r="T780" s="24">
        <v>-39824810</v>
      </c>
      <c r="X780" t="s">
        <v>92</v>
      </c>
    </row>
    <row r="781" spans="1:24" x14ac:dyDescent="0.3">
      <c r="A781" s="36">
        <v>45390</v>
      </c>
      <c r="B781" t="s">
        <v>90</v>
      </c>
      <c r="C781" t="s">
        <v>1762</v>
      </c>
      <c r="G781" s="51">
        <v>45390</v>
      </c>
      <c r="J781" s="24">
        <v>773220</v>
      </c>
      <c r="K781" t="s">
        <v>1763</v>
      </c>
      <c r="L781">
        <v>2404071711</v>
      </c>
      <c r="M781" t="s">
        <v>91</v>
      </c>
      <c r="N781" t="s">
        <v>91</v>
      </c>
      <c r="P781" t="s">
        <v>137</v>
      </c>
      <c r="R781">
        <v>970468903803</v>
      </c>
      <c r="T781" s="24">
        <v>-39051590</v>
      </c>
      <c r="X781" t="s">
        <v>92</v>
      </c>
    </row>
    <row r="782" spans="1:24" x14ac:dyDescent="0.3">
      <c r="A782" s="36">
        <v>45390</v>
      </c>
      <c r="B782" t="s">
        <v>90</v>
      </c>
      <c r="C782" t="s">
        <v>1764</v>
      </c>
      <c r="G782" s="51">
        <v>45390</v>
      </c>
      <c r="I782" s="24">
        <v>-600000</v>
      </c>
      <c r="K782" t="s">
        <v>135</v>
      </c>
      <c r="L782">
        <v>2404071717</v>
      </c>
      <c r="M782" t="s">
        <v>91</v>
      </c>
      <c r="N782" t="s">
        <v>91</v>
      </c>
      <c r="O782" t="s">
        <v>136</v>
      </c>
      <c r="P782" t="s">
        <v>137</v>
      </c>
      <c r="R782" t="s">
        <v>1765</v>
      </c>
      <c r="T782" s="24">
        <v>-39651590</v>
      </c>
      <c r="X782" t="s">
        <v>92</v>
      </c>
    </row>
    <row r="783" spans="1:24" x14ac:dyDescent="0.3">
      <c r="A783" s="36">
        <v>45390</v>
      </c>
      <c r="B783" t="s">
        <v>90</v>
      </c>
      <c r="C783" t="s">
        <v>1766</v>
      </c>
      <c r="G783" s="51">
        <v>45390</v>
      </c>
      <c r="I783" s="24">
        <v>-90000</v>
      </c>
      <c r="K783" t="s">
        <v>202</v>
      </c>
      <c r="L783">
        <v>2404081532</v>
      </c>
      <c r="M783" t="s">
        <v>91</v>
      </c>
      <c r="N783" t="s">
        <v>91</v>
      </c>
      <c r="O783" t="s">
        <v>136</v>
      </c>
      <c r="P783" t="s">
        <v>97</v>
      </c>
      <c r="R783" t="s">
        <v>1767</v>
      </c>
      <c r="T783" s="24">
        <v>-39741590</v>
      </c>
    </row>
    <row r="784" spans="1:24" x14ac:dyDescent="0.3">
      <c r="A784" s="36">
        <v>45390</v>
      </c>
      <c r="B784" t="s">
        <v>90</v>
      </c>
      <c r="C784" t="s">
        <v>1768</v>
      </c>
      <c r="G784" s="51">
        <v>45390</v>
      </c>
      <c r="J784" s="24">
        <v>2577100</v>
      </c>
      <c r="K784" t="s">
        <v>1769</v>
      </c>
      <c r="L784">
        <v>2404081618</v>
      </c>
      <c r="M784" t="s">
        <v>91</v>
      </c>
      <c r="N784" t="s">
        <v>91</v>
      </c>
      <c r="O784" t="s">
        <v>1770</v>
      </c>
      <c r="P784" t="s">
        <v>1771</v>
      </c>
      <c r="R784" t="s">
        <v>1772</v>
      </c>
      <c r="T784" s="24">
        <v>-37164490</v>
      </c>
    </row>
    <row r="785" spans="1:24" x14ac:dyDescent="0.3">
      <c r="A785" s="36">
        <v>45390</v>
      </c>
      <c r="B785" t="s">
        <v>90</v>
      </c>
      <c r="C785" t="s">
        <v>1773</v>
      </c>
      <c r="G785" s="51">
        <v>45390</v>
      </c>
      <c r="I785" s="24">
        <v>-1000000</v>
      </c>
      <c r="K785" t="s">
        <v>135</v>
      </c>
      <c r="L785">
        <v>2404081623</v>
      </c>
      <c r="M785" t="s">
        <v>91</v>
      </c>
      <c r="N785" t="s">
        <v>91</v>
      </c>
      <c r="O785" t="s">
        <v>136</v>
      </c>
      <c r="P785" t="s">
        <v>137</v>
      </c>
      <c r="R785" t="s">
        <v>1774</v>
      </c>
      <c r="T785" s="24">
        <v>-38164490</v>
      </c>
      <c r="X785" t="s">
        <v>92</v>
      </c>
    </row>
    <row r="786" spans="1:24" x14ac:dyDescent="0.3">
      <c r="A786" s="36">
        <v>45390</v>
      </c>
      <c r="B786" t="s">
        <v>90</v>
      </c>
      <c r="C786" t="s">
        <v>1775</v>
      </c>
      <c r="G786" s="51">
        <v>45390</v>
      </c>
      <c r="I786" s="24">
        <v>-500000</v>
      </c>
      <c r="K786" t="s">
        <v>135</v>
      </c>
      <c r="L786">
        <v>2404081626</v>
      </c>
      <c r="M786" t="s">
        <v>91</v>
      </c>
      <c r="N786" t="s">
        <v>91</v>
      </c>
      <c r="O786" t="s">
        <v>136</v>
      </c>
      <c r="P786" t="s">
        <v>137</v>
      </c>
      <c r="R786" t="s">
        <v>1776</v>
      </c>
      <c r="T786" s="24">
        <v>-38664490</v>
      </c>
      <c r="X786" t="s">
        <v>92</v>
      </c>
    </row>
    <row r="787" spans="1:24" x14ac:dyDescent="0.3">
      <c r="A787" s="36">
        <v>45391</v>
      </c>
      <c r="B787" t="s">
        <v>90</v>
      </c>
      <c r="C787" t="s">
        <v>1777</v>
      </c>
      <c r="G787" s="51">
        <v>45391</v>
      </c>
      <c r="I787" s="24">
        <v>-300000</v>
      </c>
      <c r="K787" t="s">
        <v>135</v>
      </c>
      <c r="L787">
        <v>2404090750</v>
      </c>
      <c r="M787" t="s">
        <v>91</v>
      </c>
      <c r="N787" t="s">
        <v>91</v>
      </c>
      <c r="O787" t="s">
        <v>136</v>
      </c>
      <c r="P787" t="s">
        <v>137</v>
      </c>
      <c r="R787" t="s">
        <v>1778</v>
      </c>
      <c r="T787" s="24">
        <v>-38964490</v>
      </c>
      <c r="X787" t="s">
        <v>92</v>
      </c>
    </row>
    <row r="788" spans="1:24" x14ac:dyDescent="0.3">
      <c r="A788" s="36">
        <v>45391</v>
      </c>
      <c r="B788" t="s">
        <v>90</v>
      </c>
      <c r="C788" t="s">
        <v>1779</v>
      </c>
      <c r="G788" s="51">
        <v>45391</v>
      </c>
      <c r="I788" s="24">
        <v>-300000</v>
      </c>
      <c r="K788" t="s">
        <v>135</v>
      </c>
      <c r="L788">
        <v>2404090800</v>
      </c>
      <c r="M788" t="s">
        <v>91</v>
      </c>
      <c r="N788" t="s">
        <v>91</v>
      </c>
      <c r="O788" t="s">
        <v>136</v>
      </c>
      <c r="P788" t="s">
        <v>137</v>
      </c>
      <c r="R788" t="s">
        <v>1780</v>
      </c>
      <c r="T788" s="24">
        <v>-39264490</v>
      </c>
      <c r="X788" t="s">
        <v>92</v>
      </c>
    </row>
    <row r="789" spans="1:24" x14ac:dyDescent="0.3">
      <c r="A789" s="36">
        <v>45391</v>
      </c>
      <c r="B789" t="s">
        <v>90</v>
      </c>
      <c r="C789" t="s">
        <v>1781</v>
      </c>
      <c r="G789" s="51">
        <v>45391</v>
      </c>
      <c r="I789" s="24">
        <v>-500000</v>
      </c>
      <c r="K789" t="s">
        <v>135</v>
      </c>
      <c r="L789">
        <v>2404090807</v>
      </c>
      <c r="M789" t="s">
        <v>91</v>
      </c>
      <c r="N789" t="s">
        <v>91</v>
      </c>
      <c r="O789" t="s">
        <v>136</v>
      </c>
      <c r="P789" t="s">
        <v>137</v>
      </c>
      <c r="R789" t="s">
        <v>1782</v>
      </c>
      <c r="T789" s="24">
        <v>-39764490</v>
      </c>
    </row>
    <row r="790" spans="1:24" x14ac:dyDescent="0.3">
      <c r="A790" s="36">
        <v>45391</v>
      </c>
      <c r="B790" t="s">
        <v>90</v>
      </c>
      <c r="C790" t="s">
        <v>1783</v>
      </c>
      <c r="G790" s="51">
        <v>45391</v>
      </c>
      <c r="J790" s="24">
        <v>300000</v>
      </c>
      <c r="K790" t="s">
        <v>1784</v>
      </c>
      <c r="L790">
        <v>2404090811</v>
      </c>
      <c r="M790" t="s">
        <v>91</v>
      </c>
      <c r="N790" t="s">
        <v>91</v>
      </c>
      <c r="P790" t="s">
        <v>137</v>
      </c>
      <c r="R790">
        <v>970448322012</v>
      </c>
      <c r="T790" s="24">
        <v>-39464490</v>
      </c>
      <c r="X790" t="s">
        <v>92</v>
      </c>
    </row>
    <row r="791" spans="1:24" x14ac:dyDescent="0.3">
      <c r="A791" s="36">
        <v>45391</v>
      </c>
      <c r="B791" t="s">
        <v>90</v>
      </c>
      <c r="C791" t="s">
        <v>1785</v>
      </c>
      <c r="G791" s="51">
        <v>45391</v>
      </c>
      <c r="J791" s="24">
        <v>300000</v>
      </c>
      <c r="K791" t="s">
        <v>1786</v>
      </c>
      <c r="L791">
        <v>2404090817</v>
      </c>
      <c r="M791" t="s">
        <v>91</v>
      </c>
      <c r="N791" t="s">
        <v>91</v>
      </c>
      <c r="P791" t="s">
        <v>137</v>
      </c>
      <c r="R791">
        <v>970448323392</v>
      </c>
      <c r="T791" s="24">
        <v>-39164490</v>
      </c>
      <c r="X791" t="s">
        <v>92</v>
      </c>
    </row>
    <row r="792" spans="1:24" x14ac:dyDescent="0.3">
      <c r="A792" s="36">
        <v>45391</v>
      </c>
      <c r="B792" t="s">
        <v>90</v>
      </c>
      <c r="C792" t="s">
        <v>1787</v>
      </c>
      <c r="G792" s="51">
        <v>45391</v>
      </c>
      <c r="I792" s="24">
        <v>-30000</v>
      </c>
      <c r="K792" t="s">
        <v>1788</v>
      </c>
      <c r="L792">
        <v>2404091434</v>
      </c>
      <c r="M792" t="s">
        <v>91</v>
      </c>
      <c r="N792" t="s">
        <v>91</v>
      </c>
      <c r="O792" t="s">
        <v>136</v>
      </c>
      <c r="P792" t="s">
        <v>97</v>
      </c>
      <c r="R792" t="s">
        <v>1789</v>
      </c>
      <c r="T792" s="24">
        <v>-39194490</v>
      </c>
    </row>
    <row r="793" spans="1:24" x14ac:dyDescent="0.3">
      <c r="A793" s="36">
        <v>45391</v>
      </c>
      <c r="B793" t="s">
        <v>90</v>
      </c>
      <c r="C793" t="s">
        <v>1790</v>
      </c>
      <c r="G793" s="51">
        <v>45391</v>
      </c>
      <c r="J793" s="24">
        <v>2562800</v>
      </c>
      <c r="K793" t="s">
        <v>1791</v>
      </c>
      <c r="L793">
        <v>2404091911</v>
      </c>
      <c r="M793" t="s">
        <v>91</v>
      </c>
      <c r="N793" t="s">
        <v>91</v>
      </c>
      <c r="P793" t="s">
        <v>137</v>
      </c>
      <c r="R793">
        <v>970422073214</v>
      </c>
      <c r="T793" s="24">
        <v>-36631690</v>
      </c>
      <c r="X793" t="s">
        <v>92</v>
      </c>
    </row>
    <row r="794" spans="1:24" x14ac:dyDescent="0.3">
      <c r="A794" s="36">
        <v>45391</v>
      </c>
      <c r="B794" t="s">
        <v>90</v>
      </c>
      <c r="C794" t="s">
        <v>1792</v>
      </c>
      <c r="G794" s="51">
        <v>45391</v>
      </c>
      <c r="I794" s="24">
        <v>-825000</v>
      </c>
      <c r="K794" t="s">
        <v>135</v>
      </c>
      <c r="L794">
        <v>2404091917</v>
      </c>
      <c r="M794" t="s">
        <v>91</v>
      </c>
      <c r="N794" t="s">
        <v>91</v>
      </c>
      <c r="O794" t="s">
        <v>136</v>
      </c>
      <c r="P794" t="s">
        <v>137</v>
      </c>
      <c r="R794" t="s">
        <v>1793</v>
      </c>
      <c r="T794" s="24">
        <v>-37456690</v>
      </c>
      <c r="X794" t="s">
        <v>92</v>
      </c>
    </row>
    <row r="795" spans="1:24" x14ac:dyDescent="0.3">
      <c r="A795" s="36">
        <v>45392</v>
      </c>
      <c r="B795" t="s">
        <v>90</v>
      </c>
      <c r="C795" t="s">
        <v>1794</v>
      </c>
      <c r="G795" s="51">
        <v>45392</v>
      </c>
      <c r="I795" s="24">
        <v>-500000</v>
      </c>
      <c r="K795" t="s">
        <v>135</v>
      </c>
      <c r="L795">
        <v>2404101952</v>
      </c>
      <c r="M795" t="s">
        <v>91</v>
      </c>
      <c r="N795" t="s">
        <v>91</v>
      </c>
      <c r="O795" t="s">
        <v>136</v>
      </c>
      <c r="P795" t="s">
        <v>137</v>
      </c>
      <c r="R795" t="s">
        <v>1795</v>
      </c>
      <c r="T795" s="24">
        <v>-37956690</v>
      </c>
      <c r="X795" t="s">
        <v>92</v>
      </c>
    </row>
    <row r="796" spans="1:24" x14ac:dyDescent="0.3">
      <c r="A796" s="36">
        <v>45393</v>
      </c>
      <c r="B796" t="s">
        <v>90</v>
      </c>
      <c r="C796" t="s">
        <v>1796</v>
      </c>
      <c r="G796" s="51">
        <v>45393</v>
      </c>
      <c r="I796" s="24">
        <v>-1000000</v>
      </c>
      <c r="K796" t="s">
        <v>135</v>
      </c>
      <c r="L796">
        <v>2404111856</v>
      </c>
      <c r="M796" t="s">
        <v>91</v>
      </c>
      <c r="N796" t="s">
        <v>91</v>
      </c>
      <c r="O796" t="s">
        <v>136</v>
      </c>
      <c r="P796" t="s">
        <v>137</v>
      </c>
      <c r="R796" t="s">
        <v>1797</v>
      </c>
      <c r="T796" s="24">
        <v>-38956690</v>
      </c>
      <c r="X796" t="s">
        <v>92</v>
      </c>
    </row>
    <row r="797" spans="1:24" x14ac:dyDescent="0.3">
      <c r="A797" s="36">
        <v>45393</v>
      </c>
      <c r="B797" t="s">
        <v>90</v>
      </c>
      <c r="C797" t="s">
        <v>1798</v>
      </c>
      <c r="G797" s="51">
        <v>45393</v>
      </c>
      <c r="I797" s="24">
        <v>-270000</v>
      </c>
      <c r="L797">
        <v>2404112051</v>
      </c>
      <c r="M797" t="s">
        <v>91</v>
      </c>
      <c r="N797" t="s">
        <v>91</v>
      </c>
      <c r="O797" t="s">
        <v>136</v>
      </c>
      <c r="P797" t="s">
        <v>137</v>
      </c>
      <c r="R797" t="s">
        <v>1799</v>
      </c>
      <c r="T797" s="24">
        <v>-39226690</v>
      </c>
    </row>
    <row r="798" spans="1:24" x14ac:dyDescent="0.3">
      <c r="A798" s="36">
        <v>45393</v>
      </c>
      <c r="B798" t="s">
        <v>90</v>
      </c>
      <c r="C798" t="s">
        <v>1800</v>
      </c>
      <c r="G798" s="51">
        <v>45393</v>
      </c>
      <c r="I798" s="24">
        <v>-233501</v>
      </c>
      <c r="K798" t="s">
        <v>1801</v>
      </c>
      <c r="L798">
        <v>2404112114</v>
      </c>
      <c r="M798" t="s">
        <v>91</v>
      </c>
      <c r="N798" t="s">
        <v>91</v>
      </c>
      <c r="O798" t="s">
        <v>136</v>
      </c>
      <c r="P798" t="s">
        <v>137</v>
      </c>
      <c r="R798" t="s">
        <v>1802</v>
      </c>
      <c r="T798" s="24">
        <v>-39460191</v>
      </c>
      <c r="X798" t="s">
        <v>92</v>
      </c>
    </row>
    <row r="799" spans="1:24" x14ac:dyDescent="0.3">
      <c r="A799" s="36">
        <v>45394</v>
      </c>
      <c r="B799" t="s">
        <v>90</v>
      </c>
      <c r="C799" t="s">
        <v>1803</v>
      </c>
      <c r="G799" s="51">
        <v>45394</v>
      </c>
      <c r="I799" s="24">
        <v>-60000</v>
      </c>
      <c r="K799" t="s">
        <v>135</v>
      </c>
      <c r="L799">
        <v>2404121228</v>
      </c>
      <c r="M799" t="s">
        <v>91</v>
      </c>
      <c r="N799" t="s">
        <v>91</v>
      </c>
      <c r="O799" t="s">
        <v>136</v>
      </c>
      <c r="P799" t="s">
        <v>137</v>
      </c>
      <c r="R799" t="s">
        <v>1804</v>
      </c>
      <c r="T799" s="24">
        <v>-39520191</v>
      </c>
      <c r="X799" t="s">
        <v>92</v>
      </c>
    </row>
    <row r="800" spans="1:24" x14ac:dyDescent="0.3">
      <c r="A800" s="36">
        <v>45394</v>
      </c>
      <c r="B800" t="s">
        <v>90</v>
      </c>
      <c r="C800" t="s">
        <v>1805</v>
      </c>
      <c r="G800" s="51">
        <v>45394</v>
      </c>
      <c r="I800" s="24">
        <v>-60000</v>
      </c>
      <c r="K800" t="s">
        <v>135</v>
      </c>
      <c r="L800">
        <v>2404121729</v>
      </c>
      <c r="M800" t="s">
        <v>91</v>
      </c>
      <c r="N800" t="s">
        <v>91</v>
      </c>
      <c r="O800" t="s">
        <v>136</v>
      </c>
      <c r="P800" t="s">
        <v>137</v>
      </c>
      <c r="R800" t="s">
        <v>1806</v>
      </c>
      <c r="T800" s="24">
        <v>-39580191</v>
      </c>
    </row>
    <row r="801" spans="1:24" x14ac:dyDescent="0.3">
      <c r="A801" s="36">
        <v>45394</v>
      </c>
      <c r="B801" t="s">
        <v>90</v>
      </c>
      <c r="C801" t="s">
        <v>1807</v>
      </c>
      <c r="G801" s="51">
        <v>45394</v>
      </c>
      <c r="I801" s="24">
        <v>-300000</v>
      </c>
      <c r="K801" t="s">
        <v>135</v>
      </c>
      <c r="L801">
        <v>2404121912</v>
      </c>
      <c r="M801" t="s">
        <v>91</v>
      </c>
      <c r="N801" t="s">
        <v>91</v>
      </c>
      <c r="O801" t="s">
        <v>136</v>
      </c>
      <c r="P801" t="s">
        <v>137</v>
      </c>
      <c r="R801" t="s">
        <v>1808</v>
      </c>
      <c r="T801" s="24">
        <v>-39880191</v>
      </c>
      <c r="X801" t="s">
        <v>92</v>
      </c>
    </row>
    <row r="802" spans="1:24" x14ac:dyDescent="0.3">
      <c r="A802" s="36">
        <v>45395</v>
      </c>
      <c r="B802" t="s">
        <v>90</v>
      </c>
      <c r="C802" t="s">
        <v>1809</v>
      </c>
      <c r="G802" s="51">
        <v>45395</v>
      </c>
      <c r="J802" s="24">
        <v>60000</v>
      </c>
      <c r="K802" t="s">
        <v>1810</v>
      </c>
      <c r="L802">
        <v>2404131251</v>
      </c>
      <c r="M802" t="s">
        <v>91</v>
      </c>
      <c r="N802" t="s">
        <v>91</v>
      </c>
      <c r="P802" t="s">
        <v>137</v>
      </c>
      <c r="R802">
        <v>970416194100</v>
      </c>
      <c r="T802" s="24">
        <v>-39820191</v>
      </c>
      <c r="X802" t="s">
        <v>92</v>
      </c>
    </row>
    <row r="803" spans="1:24" x14ac:dyDescent="0.3">
      <c r="A803" s="36">
        <v>45395</v>
      </c>
      <c r="B803" t="s">
        <v>90</v>
      </c>
      <c r="C803" t="s">
        <v>1811</v>
      </c>
      <c r="G803" s="51">
        <v>45395</v>
      </c>
      <c r="I803" s="24">
        <v>-135000</v>
      </c>
      <c r="K803" t="s">
        <v>135</v>
      </c>
      <c r="L803">
        <v>2404131322</v>
      </c>
      <c r="M803" t="s">
        <v>91</v>
      </c>
      <c r="N803" t="s">
        <v>91</v>
      </c>
      <c r="O803" t="s">
        <v>136</v>
      </c>
      <c r="P803" t="s">
        <v>137</v>
      </c>
      <c r="R803" t="s">
        <v>1812</v>
      </c>
      <c r="T803" s="24">
        <v>-39955191</v>
      </c>
    </row>
    <row r="804" spans="1:24" x14ac:dyDescent="0.3">
      <c r="A804" s="36">
        <v>45397</v>
      </c>
      <c r="B804" t="s">
        <v>90</v>
      </c>
      <c r="C804" t="s">
        <v>1813</v>
      </c>
      <c r="G804" s="51">
        <v>45397</v>
      </c>
      <c r="J804" s="24">
        <v>538315</v>
      </c>
      <c r="K804" t="s">
        <v>1814</v>
      </c>
      <c r="L804">
        <v>2404141220</v>
      </c>
      <c r="M804" t="s">
        <v>91</v>
      </c>
      <c r="N804" t="s">
        <v>91</v>
      </c>
      <c r="P804" t="s">
        <v>137</v>
      </c>
      <c r="R804">
        <v>970468215876</v>
      </c>
      <c r="T804" s="24">
        <v>-39416876</v>
      </c>
      <c r="X804" t="s">
        <v>92</v>
      </c>
    </row>
    <row r="805" spans="1:24" x14ac:dyDescent="0.3">
      <c r="A805" s="36">
        <v>45397</v>
      </c>
      <c r="B805" t="s">
        <v>90</v>
      </c>
      <c r="C805" t="s">
        <v>1815</v>
      </c>
      <c r="G805" s="51">
        <v>45397</v>
      </c>
      <c r="I805" s="24">
        <v>-500000</v>
      </c>
      <c r="K805" t="s">
        <v>135</v>
      </c>
      <c r="L805">
        <v>2404141229</v>
      </c>
      <c r="M805" t="s">
        <v>91</v>
      </c>
      <c r="N805" t="s">
        <v>91</v>
      </c>
      <c r="O805" t="s">
        <v>136</v>
      </c>
      <c r="P805" t="s">
        <v>137</v>
      </c>
      <c r="R805" t="s">
        <v>1816</v>
      </c>
      <c r="T805" s="24">
        <v>-39916876</v>
      </c>
      <c r="X805" t="s">
        <v>92</v>
      </c>
    </row>
    <row r="806" spans="1:24" x14ac:dyDescent="0.3">
      <c r="A806" s="36">
        <v>45397</v>
      </c>
      <c r="B806" t="s">
        <v>90</v>
      </c>
      <c r="C806" t="s">
        <v>1817</v>
      </c>
      <c r="G806" s="51">
        <v>45397</v>
      </c>
      <c r="J806" s="24">
        <v>916353</v>
      </c>
      <c r="K806" t="s">
        <v>1818</v>
      </c>
      <c r="L806">
        <v>2404151037</v>
      </c>
      <c r="M806" t="s">
        <v>91</v>
      </c>
      <c r="N806" t="s">
        <v>91</v>
      </c>
      <c r="P806" t="s">
        <v>137</v>
      </c>
      <c r="R806">
        <v>970422235673</v>
      </c>
      <c r="T806" s="24">
        <v>-39000523</v>
      </c>
      <c r="X806" t="s">
        <v>92</v>
      </c>
    </row>
    <row r="807" spans="1:24" x14ac:dyDescent="0.3">
      <c r="A807" s="36">
        <v>45397</v>
      </c>
      <c r="B807" t="s">
        <v>1819</v>
      </c>
      <c r="C807" t="s">
        <v>1820</v>
      </c>
      <c r="G807" s="51">
        <v>45397</v>
      </c>
      <c r="I807" s="24">
        <v>-180000</v>
      </c>
      <c r="K807" t="s">
        <v>135</v>
      </c>
      <c r="L807">
        <v>2404151040</v>
      </c>
      <c r="M807" t="s">
        <v>91</v>
      </c>
      <c r="N807" t="s">
        <v>91</v>
      </c>
      <c r="O807" t="s">
        <v>136</v>
      </c>
      <c r="P807" t="s">
        <v>137</v>
      </c>
      <c r="R807" t="s">
        <v>1821</v>
      </c>
      <c r="T807" s="24">
        <v>-39180523</v>
      </c>
      <c r="X807" t="s">
        <v>1822</v>
      </c>
    </row>
    <row r="808" spans="1:24" x14ac:dyDescent="0.3">
      <c r="A808" s="36">
        <v>45397</v>
      </c>
      <c r="B808" t="s">
        <v>90</v>
      </c>
      <c r="C808" t="s">
        <v>1823</v>
      </c>
      <c r="G808" s="51">
        <v>45397</v>
      </c>
      <c r="J808" s="24">
        <v>1000000</v>
      </c>
      <c r="K808" t="s">
        <v>1824</v>
      </c>
      <c r="L808">
        <v>2404151048</v>
      </c>
      <c r="M808" t="s">
        <v>91</v>
      </c>
      <c r="N808" t="s">
        <v>91</v>
      </c>
      <c r="P808" t="s">
        <v>137</v>
      </c>
      <c r="R808">
        <v>970437438849</v>
      </c>
      <c r="T808" s="24">
        <v>-38180523</v>
      </c>
      <c r="X808" t="s">
        <v>92</v>
      </c>
    </row>
    <row r="809" spans="1:24" x14ac:dyDescent="0.3">
      <c r="A809" s="36">
        <v>45397</v>
      </c>
      <c r="B809" t="s">
        <v>90</v>
      </c>
      <c r="C809" t="s">
        <v>1825</v>
      </c>
      <c r="G809" s="51">
        <v>45397</v>
      </c>
      <c r="I809" s="24">
        <v>-1000000</v>
      </c>
      <c r="K809" t="s">
        <v>135</v>
      </c>
      <c r="L809">
        <v>2404151049</v>
      </c>
      <c r="M809" t="s">
        <v>91</v>
      </c>
      <c r="N809" t="s">
        <v>91</v>
      </c>
      <c r="O809" t="s">
        <v>136</v>
      </c>
      <c r="P809" t="s">
        <v>137</v>
      </c>
      <c r="R809" t="s">
        <v>1826</v>
      </c>
      <c r="T809" s="24">
        <v>-39180523</v>
      </c>
      <c r="X809" t="s">
        <v>92</v>
      </c>
    </row>
    <row r="810" spans="1:24" x14ac:dyDescent="0.3">
      <c r="A810" s="36">
        <v>45397</v>
      </c>
      <c r="B810" t="s">
        <v>90</v>
      </c>
      <c r="C810" t="s">
        <v>1827</v>
      </c>
      <c r="G810" s="51">
        <v>45397</v>
      </c>
      <c r="I810" s="24">
        <v>-457568</v>
      </c>
      <c r="K810" t="s">
        <v>1828</v>
      </c>
      <c r="L810">
        <v>2404151050</v>
      </c>
      <c r="M810" t="s">
        <v>91</v>
      </c>
      <c r="N810" t="s">
        <v>91</v>
      </c>
      <c r="O810" t="s">
        <v>136</v>
      </c>
      <c r="P810" t="s">
        <v>137</v>
      </c>
      <c r="R810" t="s">
        <v>1829</v>
      </c>
      <c r="T810" s="24">
        <v>-39638091</v>
      </c>
      <c r="X810" t="s">
        <v>92</v>
      </c>
    </row>
    <row r="811" spans="1:24" x14ac:dyDescent="0.3">
      <c r="A811" s="36">
        <v>45397</v>
      </c>
      <c r="B811" t="s">
        <v>90</v>
      </c>
      <c r="C811" t="s">
        <v>1830</v>
      </c>
      <c r="G811" s="51">
        <v>45397</v>
      </c>
      <c r="I811" s="24">
        <v>-132000</v>
      </c>
      <c r="K811" t="s">
        <v>135</v>
      </c>
      <c r="L811">
        <v>2404151526</v>
      </c>
      <c r="M811" t="s">
        <v>91</v>
      </c>
      <c r="N811" t="s">
        <v>91</v>
      </c>
      <c r="O811" t="s">
        <v>136</v>
      </c>
      <c r="P811" t="s">
        <v>137</v>
      </c>
      <c r="R811" t="s">
        <v>1831</v>
      </c>
      <c r="T811" s="24">
        <v>-39770091</v>
      </c>
      <c r="X811" t="s">
        <v>92</v>
      </c>
    </row>
    <row r="812" spans="1:24" x14ac:dyDescent="0.3">
      <c r="A812" s="36">
        <v>45397</v>
      </c>
      <c r="B812" t="s">
        <v>90</v>
      </c>
      <c r="C812" t="s">
        <v>1832</v>
      </c>
      <c r="G812" s="51">
        <v>45397</v>
      </c>
      <c r="J812" s="24">
        <v>5039000</v>
      </c>
      <c r="K812" t="s">
        <v>1833</v>
      </c>
      <c r="L812">
        <v>2404151733</v>
      </c>
      <c r="M812" t="s">
        <v>91</v>
      </c>
      <c r="N812" t="s">
        <v>91</v>
      </c>
      <c r="P812" t="s">
        <v>137</v>
      </c>
      <c r="R812">
        <v>970406414160</v>
      </c>
      <c r="T812" s="24">
        <v>-34731091</v>
      </c>
      <c r="X812" t="s">
        <v>92</v>
      </c>
    </row>
    <row r="813" spans="1:24" x14ac:dyDescent="0.3">
      <c r="A813" s="36">
        <v>45397</v>
      </c>
      <c r="B813" t="s">
        <v>90</v>
      </c>
      <c r="C813" t="s">
        <v>1834</v>
      </c>
      <c r="G813" s="51">
        <v>45397</v>
      </c>
      <c r="I813" s="24">
        <v>-4200000</v>
      </c>
      <c r="K813" t="s">
        <v>135</v>
      </c>
      <c r="L813">
        <v>2404151734</v>
      </c>
      <c r="M813" t="s">
        <v>91</v>
      </c>
      <c r="N813" t="s">
        <v>91</v>
      </c>
      <c r="O813" t="s">
        <v>136</v>
      </c>
      <c r="P813" t="s">
        <v>137</v>
      </c>
      <c r="R813" t="s">
        <v>1835</v>
      </c>
      <c r="T813" s="24">
        <v>-38931091</v>
      </c>
    </row>
    <row r="814" spans="1:24" x14ac:dyDescent="0.3">
      <c r="A814" s="36">
        <v>45397</v>
      </c>
      <c r="B814" t="s">
        <v>90</v>
      </c>
      <c r="C814" t="s">
        <v>1836</v>
      </c>
      <c r="G814" s="51">
        <v>45397</v>
      </c>
      <c r="I814" s="24">
        <v>-300000</v>
      </c>
      <c r="K814" t="s">
        <v>135</v>
      </c>
      <c r="L814">
        <v>2404151818</v>
      </c>
      <c r="M814" t="s">
        <v>91</v>
      </c>
      <c r="N814" t="s">
        <v>91</v>
      </c>
      <c r="O814" t="s">
        <v>136</v>
      </c>
      <c r="P814" t="s">
        <v>137</v>
      </c>
      <c r="R814" t="s">
        <v>1837</v>
      </c>
      <c r="T814" s="24">
        <v>-39231091</v>
      </c>
      <c r="X814" t="s">
        <v>92</v>
      </c>
    </row>
    <row r="815" spans="1:24" x14ac:dyDescent="0.3">
      <c r="A815" s="36">
        <v>45399</v>
      </c>
      <c r="B815" t="s">
        <v>90</v>
      </c>
      <c r="C815" t="s">
        <v>1838</v>
      </c>
      <c r="G815" s="51">
        <v>45399</v>
      </c>
      <c r="I815" s="24">
        <v>-200000</v>
      </c>
      <c r="K815" t="s">
        <v>135</v>
      </c>
      <c r="L815">
        <v>2404171725</v>
      </c>
      <c r="M815" t="s">
        <v>91</v>
      </c>
      <c r="N815" t="s">
        <v>91</v>
      </c>
      <c r="O815" t="s">
        <v>136</v>
      </c>
      <c r="P815" t="s">
        <v>137</v>
      </c>
      <c r="R815" t="s">
        <v>1839</v>
      </c>
      <c r="T815" s="24">
        <v>-39431091</v>
      </c>
      <c r="X815" t="s">
        <v>92</v>
      </c>
    </row>
    <row r="816" spans="1:24" x14ac:dyDescent="0.3">
      <c r="A816" s="36">
        <v>45401</v>
      </c>
      <c r="B816" t="s">
        <v>90</v>
      </c>
      <c r="C816" t="s">
        <v>1840</v>
      </c>
      <c r="G816" s="51">
        <v>45401</v>
      </c>
      <c r="I816" s="24">
        <v>-57000</v>
      </c>
      <c r="K816" t="s">
        <v>135</v>
      </c>
      <c r="L816">
        <v>2404181244</v>
      </c>
      <c r="M816" t="s">
        <v>91</v>
      </c>
      <c r="N816" t="s">
        <v>91</v>
      </c>
      <c r="O816" t="s">
        <v>136</v>
      </c>
      <c r="P816" t="s">
        <v>137</v>
      </c>
      <c r="R816" t="s">
        <v>1841</v>
      </c>
      <c r="T816" s="24">
        <v>-39488091</v>
      </c>
    </row>
    <row r="817" spans="1:24" x14ac:dyDescent="0.3">
      <c r="A817" s="36">
        <v>45401</v>
      </c>
      <c r="B817" t="s">
        <v>90</v>
      </c>
      <c r="C817" t="s">
        <v>1842</v>
      </c>
      <c r="G817" s="51">
        <v>45401</v>
      </c>
      <c r="I817" s="24">
        <v>-200000</v>
      </c>
      <c r="K817" t="s">
        <v>135</v>
      </c>
      <c r="L817">
        <v>2404181429</v>
      </c>
      <c r="M817" t="s">
        <v>91</v>
      </c>
      <c r="N817" t="s">
        <v>91</v>
      </c>
      <c r="O817" t="s">
        <v>136</v>
      </c>
      <c r="P817" t="s">
        <v>137</v>
      </c>
      <c r="R817" t="s">
        <v>1843</v>
      </c>
      <c r="T817" s="24">
        <v>-39688091</v>
      </c>
    </row>
    <row r="818" spans="1:24" x14ac:dyDescent="0.3">
      <c r="A818" s="36">
        <v>45401</v>
      </c>
      <c r="B818" t="s">
        <v>90</v>
      </c>
      <c r="C818" t="s">
        <v>1844</v>
      </c>
      <c r="G818" s="51">
        <v>45401</v>
      </c>
      <c r="I818" s="24">
        <v>-70000</v>
      </c>
      <c r="K818" t="s">
        <v>135</v>
      </c>
      <c r="L818">
        <v>2404191123</v>
      </c>
      <c r="M818" t="s">
        <v>91</v>
      </c>
      <c r="N818" t="s">
        <v>91</v>
      </c>
      <c r="O818" t="s">
        <v>136</v>
      </c>
      <c r="P818" t="s">
        <v>137</v>
      </c>
      <c r="R818" t="s">
        <v>1845</v>
      </c>
      <c r="T818" s="24">
        <v>-39758091</v>
      </c>
    </row>
    <row r="819" spans="1:24" x14ac:dyDescent="0.3">
      <c r="A819" s="36">
        <v>45401</v>
      </c>
      <c r="B819" t="s">
        <v>90</v>
      </c>
      <c r="C819" t="s">
        <v>1846</v>
      </c>
      <c r="G819" s="51">
        <v>45401</v>
      </c>
      <c r="J819" s="24">
        <v>50000</v>
      </c>
      <c r="K819" t="s">
        <v>1847</v>
      </c>
      <c r="L819">
        <v>2404191510</v>
      </c>
      <c r="M819" t="s">
        <v>66</v>
      </c>
      <c r="N819" t="s">
        <v>66</v>
      </c>
      <c r="P819" t="s">
        <v>1848</v>
      </c>
      <c r="R819" t="s">
        <v>1849</v>
      </c>
      <c r="T819" s="24">
        <v>-39708091</v>
      </c>
    </row>
    <row r="820" spans="1:24" x14ac:dyDescent="0.3">
      <c r="A820" s="36">
        <v>45401</v>
      </c>
      <c r="B820" t="s">
        <v>90</v>
      </c>
      <c r="C820" t="s">
        <v>1850</v>
      </c>
      <c r="G820" s="51">
        <v>45401</v>
      </c>
      <c r="J820" s="24">
        <v>16000</v>
      </c>
      <c r="K820" t="s">
        <v>135</v>
      </c>
      <c r="L820">
        <v>2404191614</v>
      </c>
      <c r="M820" t="s">
        <v>91</v>
      </c>
      <c r="N820" t="s">
        <v>91</v>
      </c>
      <c r="O820" t="s">
        <v>136</v>
      </c>
      <c r="P820" t="s">
        <v>137</v>
      </c>
      <c r="R820" t="s">
        <v>1851</v>
      </c>
      <c r="T820" s="24">
        <v>-39692091</v>
      </c>
    </row>
    <row r="821" spans="1:24" x14ac:dyDescent="0.3">
      <c r="A821" s="36">
        <v>45401</v>
      </c>
      <c r="B821" t="s">
        <v>90</v>
      </c>
      <c r="C821" t="s">
        <v>1852</v>
      </c>
      <c r="G821" s="51">
        <v>45401</v>
      </c>
      <c r="I821" s="24">
        <v>-200000</v>
      </c>
      <c r="K821" t="s">
        <v>135</v>
      </c>
      <c r="L821">
        <v>2404191640</v>
      </c>
      <c r="M821" t="s">
        <v>91</v>
      </c>
      <c r="N821" t="s">
        <v>91</v>
      </c>
      <c r="O821" t="s">
        <v>136</v>
      </c>
      <c r="P821" t="s">
        <v>137</v>
      </c>
      <c r="R821" t="s">
        <v>1853</v>
      </c>
      <c r="T821" s="24">
        <v>-39892091</v>
      </c>
      <c r="X821" t="s">
        <v>92</v>
      </c>
    </row>
    <row r="822" spans="1:24" x14ac:dyDescent="0.3">
      <c r="A822" s="36">
        <v>45401</v>
      </c>
      <c r="B822" t="s">
        <v>90</v>
      </c>
      <c r="C822" t="s">
        <v>1854</v>
      </c>
      <c r="G822" s="51">
        <v>45401</v>
      </c>
      <c r="I822" s="24">
        <v>-100000</v>
      </c>
      <c r="K822" t="s">
        <v>135</v>
      </c>
      <c r="L822">
        <v>2404191735</v>
      </c>
      <c r="M822" t="s">
        <v>91</v>
      </c>
      <c r="N822" t="s">
        <v>91</v>
      </c>
      <c r="O822" t="s">
        <v>136</v>
      </c>
      <c r="P822" t="s">
        <v>137</v>
      </c>
      <c r="R822" t="s">
        <v>1855</v>
      </c>
      <c r="T822" s="24">
        <v>-39992091</v>
      </c>
      <c r="X822" t="s">
        <v>92</v>
      </c>
    </row>
    <row r="823" spans="1:24" x14ac:dyDescent="0.3">
      <c r="A823" s="36">
        <v>45402</v>
      </c>
      <c r="B823" t="s">
        <v>90</v>
      </c>
      <c r="C823" t="s">
        <v>1856</v>
      </c>
      <c r="G823" s="51">
        <v>45402</v>
      </c>
      <c r="J823" s="24">
        <v>1272250</v>
      </c>
      <c r="K823" t="s">
        <v>1857</v>
      </c>
      <c r="L823">
        <v>2404201218</v>
      </c>
      <c r="M823" t="s">
        <v>91</v>
      </c>
      <c r="N823" t="s">
        <v>91</v>
      </c>
      <c r="P823" t="s">
        <v>137</v>
      </c>
      <c r="R823">
        <v>970406769837</v>
      </c>
      <c r="T823" s="24">
        <v>-38719841</v>
      </c>
      <c r="X823" t="s">
        <v>92</v>
      </c>
    </row>
    <row r="824" spans="1:24" x14ac:dyDescent="0.3">
      <c r="A824" s="36">
        <v>45402</v>
      </c>
      <c r="B824" t="s">
        <v>90</v>
      </c>
      <c r="C824" t="s">
        <v>1858</v>
      </c>
      <c r="G824" s="51">
        <v>45402</v>
      </c>
      <c r="I824" s="24">
        <v>-100000</v>
      </c>
      <c r="K824" t="s">
        <v>135</v>
      </c>
      <c r="L824">
        <v>2404201219</v>
      </c>
      <c r="M824" t="s">
        <v>91</v>
      </c>
      <c r="N824" t="s">
        <v>91</v>
      </c>
      <c r="O824" t="s">
        <v>136</v>
      </c>
      <c r="P824" t="s">
        <v>137</v>
      </c>
      <c r="R824" t="s">
        <v>1859</v>
      </c>
      <c r="T824" s="24">
        <v>-38819841</v>
      </c>
      <c r="X824" t="s">
        <v>92</v>
      </c>
    </row>
    <row r="825" spans="1:24" x14ac:dyDescent="0.3">
      <c r="A825" s="36">
        <v>45402</v>
      </c>
      <c r="B825" t="s">
        <v>90</v>
      </c>
      <c r="C825" t="s">
        <v>1860</v>
      </c>
      <c r="G825" s="51">
        <v>45402</v>
      </c>
      <c r="I825" s="24">
        <v>-30000</v>
      </c>
      <c r="K825" t="s">
        <v>970</v>
      </c>
      <c r="L825">
        <v>2404201415</v>
      </c>
      <c r="M825" t="s">
        <v>91</v>
      </c>
      <c r="N825" t="s">
        <v>91</v>
      </c>
      <c r="O825" t="s">
        <v>136</v>
      </c>
      <c r="P825" t="s">
        <v>137</v>
      </c>
      <c r="R825" t="s">
        <v>1861</v>
      </c>
      <c r="T825" s="24">
        <v>-38849841</v>
      </c>
      <c r="X825" t="s">
        <v>92</v>
      </c>
    </row>
    <row r="826" spans="1:24" x14ac:dyDescent="0.3">
      <c r="A826" s="36">
        <v>45402</v>
      </c>
      <c r="B826" t="s">
        <v>90</v>
      </c>
      <c r="C826" t="s">
        <v>1862</v>
      </c>
      <c r="G826" s="51">
        <v>45402</v>
      </c>
      <c r="J826" s="24">
        <v>2500000</v>
      </c>
      <c r="K826" t="s">
        <v>1863</v>
      </c>
      <c r="L826">
        <v>2404201514</v>
      </c>
      <c r="M826" t="s">
        <v>91</v>
      </c>
      <c r="N826" t="s">
        <v>91</v>
      </c>
      <c r="P826" t="s">
        <v>137</v>
      </c>
      <c r="R826">
        <v>686868431702</v>
      </c>
      <c r="T826" s="24">
        <v>-36349841</v>
      </c>
      <c r="X826" t="s">
        <v>92</v>
      </c>
    </row>
    <row r="827" spans="1:24" x14ac:dyDescent="0.3">
      <c r="A827" s="36">
        <v>45402</v>
      </c>
      <c r="B827" t="s">
        <v>90</v>
      </c>
      <c r="C827" t="s">
        <v>1864</v>
      </c>
      <c r="G827" s="51">
        <v>45402</v>
      </c>
      <c r="I827" s="24">
        <v>-200000</v>
      </c>
      <c r="K827" t="s">
        <v>135</v>
      </c>
      <c r="L827">
        <v>2404201627</v>
      </c>
      <c r="M827" t="s">
        <v>91</v>
      </c>
      <c r="N827" t="s">
        <v>91</v>
      </c>
      <c r="O827" t="s">
        <v>136</v>
      </c>
      <c r="P827" t="s">
        <v>137</v>
      </c>
      <c r="R827" t="s">
        <v>1865</v>
      </c>
      <c r="T827" s="24">
        <v>-36549841</v>
      </c>
    </row>
    <row r="828" spans="1:24" x14ac:dyDescent="0.3">
      <c r="A828" s="36">
        <v>45402</v>
      </c>
      <c r="B828" t="s">
        <v>90</v>
      </c>
      <c r="C828" t="s">
        <v>1866</v>
      </c>
      <c r="G828" s="51">
        <v>45402</v>
      </c>
      <c r="I828" s="24">
        <v>-100000</v>
      </c>
      <c r="K828" t="s">
        <v>135</v>
      </c>
      <c r="L828">
        <v>2404201926</v>
      </c>
      <c r="M828" t="s">
        <v>91</v>
      </c>
      <c r="N828" t="s">
        <v>91</v>
      </c>
      <c r="O828" t="s">
        <v>136</v>
      </c>
      <c r="P828" t="s">
        <v>137</v>
      </c>
      <c r="R828" t="s">
        <v>1867</v>
      </c>
      <c r="T828" s="24">
        <v>-36649841</v>
      </c>
    </row>
    <row r="829" spans="1:24" x14ac:dyDescent="0.3">
      <c r="A829" s="36">
        <v>45404</v>
      </c>
      <c r="B829" t="s">
        <v>90</v>
      </c>
      <c r="C829" t="s">
        <v>1868</v>
      </c>
      <c r="G829" s="51">
        <v>45404</v>
      </c>
      <c r="I829" s="24">
        <v>-100000</v>
      </c>
      <c r="K829" t="s">
        <v>135</v>
      </c>
      <c r="L829">
        <v>2404202046</v>
      </c>
      <c r="M829" t="s">
        <v>91</v>
      </c>
      <c r="N829" t="s">
        <v>91</v>
      </c>
      <c r="O829" t="s">
        <v>136</v>
      </c>
      <c r="P829" t="s">
        <v>137</v>
      </c>
      <c r="R829" t="s">
        <v>1869</v>
      </c>
      <c r="T829" s="24">
        <v>-36749841</v>
      </c>
    </row>
    <row r="830" spans="1:24" x14ac:dyDescent="0.3">
      <c r="A830" s="36">
        <v>45404</v>
      </c>
      <c r="B830" t="s">
        <v>90</v>
      </c>
      <c r="C830" t="s">
        <v>1870</v>
      </c>
      <c r="G830" s="51">
        <v>45404</v>
      </c>
      <c r="J830" s="24">
        <v>4000000</v>
      </c>
      <c r="K830" t="s">
        <v>1871</v>
      </c>
      <c r="L830">
        <v>2404211310</v>
      </c>
      <c r="M830" t="s">
        <v>91</v>
      </c>
      <c r="N830" t="s">
        <v>91</v>
      </c>
      <c r="P830" t="s">
        <v>137</v>
      </c>
      <c r="R830">
        <v>888899353428</v>
      </c>
      <c r="T830" s="24">
        <v>-32749841</v>
      </c>
      <c r="X830" t="s">
        <v>92</v>
      </c>
    </row>
    <row r="831" spans="1:24" x14ac:dyDescent="0.3">
      <c r="A831" s="36">
        <v>45404</v>
      </c>
      <c r="B831" t="s">
        <v>90</v>
      </c>
      <c r="C831" t="s">
        <v>1872</v>
      </c>
      <c r="G831" s="51">
        <v>45404</v>
      </c>
      <c r="I831" s="24">
        <v>-7000000</v>
      </c>
      <c r="K831" t="s">
        <v>135</v>
      </c>
      <c r="L831">
        <v>2404211347</v>
      </c>
      <c r="M831" t="s">
        <v>91</v>
      </c>
      <c r="N831" t="s">
        <v>91</v>
      </c>
      <c r="O831" t="s">
        <v>136</v>
      </c>
      <c r="P831" t="s">
        <v>137</v>
      </c>
      <c r="R831" t="s">
        <v>1873</v>
      </c>
      <c r="T831" s="24">
        <v>-39749841</v>
      </c>
    </row>
    <row r="832" spans="1:24" x14ac:dyDescent="0.3">
      <c r="A832" s="36">
        <v>45404</v>
      </c>
      <c r="B832" t="s">
        <v>90</v>
      </c>
      <c r="C832" t="s">
        <v>1874</v>
      </c>
      <c r="G832" s="51">
        <v>45404</v>
      </c>
      <c r="J832" s="24">
        <v>5459284</v>
      </c>
      <c r="K832" t="s">
        <v>135</v>
      </c>
      <c r="L832">
        <v>2404211451</v>
      </c>
      <c r="M832" t="s">
        <v>91</v>
      </c>
      <c r="N832" t="s">
        <v>91</v>
      </c>
      <c r="O832" t="s">
        <v>136</v>
      </c>
      <c r="P832" t="s">
        <v>137</v>
      </c>
      <c r="R832" t="s">
        <v>1875</v>
      </c>
      <c r="T832" s="24">
        <v>-34290557</v>
      </c>
    </row>
    <row r="833" spans="1:24" x14ac:dyDescent="0.3">
      <c r="A833" s="36">
        <v>45404</v>
      </c>
      <c r="B833" t="s">
        <v>90</v>
      </c>
      <c r="C833" t="s">
        <v>1876</v>
      </c>
      <c r="G833" s="51">
        <v>45404</v>
      </c>
      <c r="I833" s="24">
        <v>-3200000</v>
      </c>
      <c r="K833" t="s">
        <v>1877</v>
      </c>
      <c r="L833">
        <v>2404211454</v>
      </c>
      <c r="M833" t="s">
        <v>91</v>
      </c>
      <c r="N833" t="s">
        <v>91</v>
      </c>
      <c r="O833" t="s">
        <v>136</v>
      </c>
      <c r="P833" t="s">
        <v>137</v>
      </c>
      <c r="R833" t="s">
        <v>1878</v>
      </c>
      <c r="T833" s="24">
        <v>-37490557</v>
      </c>
      <c r="X833" t="s">
        <v>92</v>
      </c>
    </row>
    <row r="834" spans="1:24" x14ac:dyDescent="0.3">
      <c r="A834" s="36">
        <v>45404</v>
      </c>
      <c r="B834" t="s">
        <v>90</v>
      </c>
      <c r="C834" t="s">
        <v>1879</v>
      </c>
      <c r="G834" s="51">
        <v>45404</v>
      </c>
      <c r="I834" s="24">
        <v>-1200000</v>
      </c>
      <c r="K834" t="s">
        <v>1880</v>
      </c>
      <c r="L834">
        <v>2404211455</v>
      </c>
      <c r="M834" t="s">
        <v>91</v>
      </c>
      <c r="N834" t="s">
        <v>91</v>
      </c>
      <c r="O834" t="s">
        <v>136</v>
      </c>
      <c r="P834" t="s">
        <v>137</v>
      </c>
      <c r="R834" t="s">
        <v>1881</v>
      </c>
      <c r="T834" s="24">
        <v>-38690557</v>
      </c>
      <c r="X834" t="s">
        <v>92</v>
      </c>
    </row>
    <row r="835" spans="1:24" x14ac:dyDescent="0.3">
      <c r="A835" s="36">
        <v>45404</v>
      </c>
      <c r="B835" t="s">
        <v>90</v>
      </c>
      <c r="C835" t="s">
        <v>1882</v>
      </c>
      <c r="G835" s="51">
        <v>45404</v>
      </c>
      <c r="I835" s="24">
        <v>-500000</v>
      </c>
      <c r="K835" t="s">
        <v>135</v>
      </c>
      <c r="L835">
        <v>2404211459</v>
      </c>
      <c r="M835" t="s">
        <v>91</v>
      </c>
      <c r="N835" t="s">
        <v>91</v>
      </c>
      <c r="O835" t="s">
        <v>136</v>
      </c>
      <c r="P835" t="s">
        <v>137</v>
      </c>
      <c r="R835" t="s">
        <v>1883</v>
      </c>
      <c r="T835" s="24">
        <v>-39190557</v>
      </c>
    </row>
    <row r="836" spans="1:24" x14ac:dyDescent="0.3">
      <c r="A836" s="36">
        <v>45404</v>
      </c>
      <c r="B836" t="s">
        <v>90</v>
      </c>
      <c r="C836" t="s">
        <v>1884</v>
      </c>
      <c r="G836" s="51">
        <v>45404</v>
      </c>
      <c r="I836" s="24">
        <v>-100000</v>
      </c>
      <c r="K836" t="s">
        <v>135</v>
      </c>
      <c r="L836">
        <v>2404211747</v>
      </c>
      <c r="M836" t="s">
        <v>91</v>
      </c>
      <c r="N836" t="s">
        <v>91</v>
      </c>
      <c r="O836" t="s">
        <v>136</v>
      </c>
      <c r="P836" t="s">
        <v>137</v>
      </c>
      <c r="R836" t="s">
        <v>1885</v>
      </c>
      <c r="T836" s="24">
        <v>-39290557</v>
      </c>
      <c r="X836" t="s">
        <v>92</v>
      </c>
    </row>
    <row r="837" spans="1:24" x14ac:dyDescent="0.3">
      <c r="A837" s="36">
        <v>45404</v>
      </c>
      <c r="B837" t="s">
        <v>90</v>
      </c>
      <c r="C837" t="s">
        <v>1886</v>
      </c>
      <c r="G837" s="51">
        <v>45404</v>
      </c>
      <c r="I837" s="24">
        <v>-63000</v>
      </c>
      <c r="K837" t="s">
        <v>135</v>
      </c>
      <c r="L837">
        <v>2404211813</v>
      </c>
      <c r="M837" t="s">
        <v>91</v>
      </c>
      <c r="N837" t="s">
        <v>91</v>
      </c>
      <c r="O837" t="s">
        <v>136</v>
      </c>
      <c r="P837" t="s">
        <v>137</v>
      </c>
      <c r="R837" t="s">
        <v>1887</v>
      </c>
      <c r="T837" s="24">
        <v>-39353557</v>
      </c>
    </row>
    <row r="838" spans="1:24" x14ac:dyDescent="0.3">
      <c r="A838" s="36">
        <v>45404</v>
      </c>
      <c r="B838" t="s">
        <v>90</v>
      </c>
      <c r="C838" t="s">
        <v>1888</v>
      </c>
      <c r="G838" s="51">
        <v>45404</v>
      </c>
      <c r="I838" s="24">
        <v>-17000</v>
      </c>
      <c r="K838" t="s">
        <v>135</v>
      </c>
      <c r="L838">
        <v>2404212035</v>
      </c>
      <c r="M838" t="s">
        <v>91</v>
      </c>
      <c r="N838" t="s">
        <v>91</v>
      </c>
      <c r="O838" t="s">
        <v>136</v>
      </c>
      <c r="P838" t="s">
        <v>137</v>
      </c>
      <c r="R838" t="s">
        <v>1889</v>
      </c>
      <c r="T838" s="24">
        <v>-39370557</v>
      </c>
    </row>
    <row r="839" spans="1:24" x14ac:dyDescent="0.3">
      <c r="A839" s="36">
        <v>45404</v>
      </c>
      <c r="B839" t="s">
        <v>90</v>
      </c>
      <c r="C839" t="s">
        <v>1890</v>
      </c>
      <c r="G839" s="51">
        <v>45404</v>
      </c>
      <c r="I839" s="24">
        <v>-60000</v>
      </c>
      <c r="K839" t="s">
        <v>135</v>
      </c>
      <c r="L839">
        <v>2404221131</v>
      </c>
      <c r="M839" t="s">
        <v>91</v>
      </c>
      <c r="N839" t="s">
        <v>91</v>
      </c>
      <c r="O839" t="s">
        <v>136</v>
      </c>
      <c r="P839" t="s">
        <v>137</v>
      </c>
      <c r="R839" t="s">
        <v>1891</v>
      </c>
      <c r="T839" s="24">
        <v>-39430557</v>
      </c>
    </row>
    <row r="840" spans="1:24" x14ac:dyDescent="0.3">
      <c r="A840" s="36">
        <v>45404</v>
      </c>
      <c r="B840" t="s">
        <v>90</v>
      </c>
      <c r="C840" t="s">
        <v>1892</v>
      </c>
      <c r="G840" s="51">
        <v>45404</v>
      </c>
      <c r="I840" s="24">
        <v>-550000</v>
      </c>
      <c r="K840" t="s">
        <v>135</v>
      </c>
      <c r="L840">
        <v>2404221922</v>
      </c>
      <c r="M840" t="s">
        <v>91</v>
      </c>
      <c r="N840" t="s">
        <v>91</v>
      </c>
      <c r="O840" t="s">
        <v>136</v>
      </c>
      <c r="P840" t="s">
        <v>137</v>
      </c>
      <c r="R840" t="s">
        <v>1893</v>
      </c>
      <c r="T840" s="24">
        <v>-39980557</v>
      </c>
      <c r="X840" t="s">
        <v>92</v>
      </c>
    </row>
    <row r="841" spans="1:24" x14ac:dyDescent="0.3">
      <c r="A841" s="36">
        <v>45405</v>
      </c>
      <c r="B841" t="s">
        <v>90</v>
      </c>
      <c r="C841" t="s">
        <v>1894</v>
      </c>
      <c r="G841" s="51">
        <v>45405</v>
      </c>
      <c r="J841" s="24">
        <v>50000</v>
      </c>
      <c r="K841" t="s">
        <v>1895</v>
      </c>
      <c r="L841">
        <v>2404230542</v>
      </c>
      <c r="M841" t="s">
        <v>91</v>
      </c>
      <c r="N841" t="s">
        <v>91</v>
      </c>
      <c r="P841" t="s">
        <v>137</v>
      </c>
      <c r="R841">
        <v>970437783507</v>
      </c>
      <c r="T841" s="24">
        <v>-39930557</v>
      </c>
      <c r="X841" t="s">
        <v>92</v>
      </c>
    </row>
    <row r="842" spans="1:24" x14ac:dyDescent="0.3">
      <c r="A842" s="36">
        <v>45405</v>
      </c>
      <c r="B842" t="s">
        <v>90</v>
      </c>
      <c r="C842" t="s">
        <v>1896</v>
      </c>
      <c r="G842" s="51">
        <v>45405</v>
      </c>
      <c r="J842" s="24">
        <v>45000</v>
      </c>
      <c r="K842" t="s">
        <v>1897</v>
      </c>
      <c r="L842">
        <v>2404230543</v>
      </c>
      <c r="M842" t="s">
        <v>91</v>
      </c>
      <c r="N842" t="s">
        <v>91</v>
      </c>
      <c r="P842" t="s">
        <v>137</v>
      </c>
      <c r="R842">
        <v>970416627744</v>
      </c>
      <c r="T842" s="24">
        <v>-39885557</v>
      </c>
      <c r="X842" t="s">
        <v>92</v>
      </c>
    </row>
    <row r="843" spans="1:24" x14ac:dyDescent="0.3">
      <c r="A843" s="36">
        <v>45405</v>
      </c>
      <c r="B843" t="s">
        <v>90</v>
      </c>
      <c r="C843" t="s">
        <v>1898</v>
      </c>
      <c r="G843" s="51">
        <v>45405</v>
      </c>
      <c r="I843" s="24">
        <v>-40000</v>
      </c>
      <c r="K843" t="s">
        <v>135</v>
      </c>
      <c r="L843">
        <v>2404230808</v>
      </c>
      <c r="M843" t="s">
        <v>91</v>
      </c>
      <c r="N843" t="s">
        <v>91</v>
      </c>
      <c r="O843" t="s">
        <v>136</v>
      </c>
      <c r="P843" t="s">
        <v>137</v>
      </c>
      <c r="R843" t="s">
        <v>1899</v>
      </c>
      <c r="T843" s="24">
        <v>-39925557</v>
      </c>
      <c r="X843" t="s">
        <v>92</v>
      </c>
    </row>
    <row r="844" spans="1:24" x14ac:dyDescent="0.3">
      <c r="A844" s="36">
        <v>45405</v>
      </c>
      <c r="B844" t="s">
        <v>90</v>
      </c>
      <c r="C844" t="s">
        <v>1900</v>
      </c>
      <c r="G844" s="51">
        <v>45405</v>
      </c>
      <c r="J844" s="24">
        <v>1273000</v>
      </c>
      <c r="K844" t="s">
        <v>1901</v>
      </c>
      <c r="L844">
        <v>2404230818</v>
      </c>
      <c r="M844" t="s">
        <v>91</v>
      </c>
      <c r="N844" t="s">
        <v>91</v>
      </c>
      <c r="P844" t="s">
        <v>137</v>
      </c>
      <c r="R844">
        <v>888899437972</v>
      </c>
      <c r="T844" s="24">
        <v>-38652557</v>
      </c>
      <c r="X844" t="s">
        <v>92</v>
      </c>
    </row>
    <row r="845" spans="1:24" x14ac:dyDescent="0.3">
      <c r="A845" s="36">
        <v>45406</v>
      </c>
      <c r="B845" t="s">
        <v>90</v>
      </c>
      <c r="C845" t="s">
        <v>1902</v>
      </c>
      <c r="G845" s="51">
        <v>45406</v>
      </c>
      <c r="I845" s="24">
        <v>-864000</v>
      </c>
      <c r="K845" t="s">
        <v>135</v>
      </c>
      <c r="L845">
        <v>2404232223</v>
      </c>
      <c r="M845" t="s">
        <v>91</v>
      </c>
      <c r="N845" t="s">
        <v>91</v>
      </c>
      <c r="O845" t="s">
        <v>136</v>
      </c>
      <c r="P845" t="s">
        <v>137</v>
      </c>
      <c r="R845" t="s">
        <v>1903</v>
      </c>
      <c r="T845" s="24">
        <v>-39516557</v>
      </c>
    </row>
    <row r="846" spans="1:24" x14ac:dyDescent="0.3">
      <c r="A846" s="36">
        <v>45406</v>
      </c>
      <c r="B846" t="s">
        <v>90</v>
      </c>
      <c r="C846" t="s">
        <v>1904</v>
      </c>
      <c r="G846" s="51">
        <v>45406</v>
      </c>
      <c r="I846" s="24">
        <v>-270000</v>
      </c>
      <c r="K846" t="s">
        <v>135</v>
      </c>
      <c r="L846">
        <v>2404241001</v>
      </c>
      <c r="M846" t="s">
        <v>91</v>
      </c>
      <c r="N846" t="s">
        <v>91</v>
      </c>
      <c r="O846" t="s">
        <v>136</v>
      </c>
      <c r="P846" t="s">
        <v>137</v>
      </c>
      <c r="R846" t="s">
        <v>1905</v>
      </c>
      <c r="T846" s="24">
        <v>-39786557</v>
      </c>
    </row>
    <row r="847" spans="1:24" x14ac:dyDescent="0.3">
      <c r="A847" s="36">
        <v>45406</v>
      </c>
      <c r="B847" t="s">
        <v>90</v>
      </c>
      <c r="C847" t="s">
        <v>1906</v>
      </c>
      <c r="G847" s="51">
        <v>45406</v>
      </c>
      <c r="I847" s="24">
        <v>-100000</v>
      </c>
      <c r="K847" t="s">
        <v>135</v>
      </c>
      <c r="L847">
        <v>2404241321</v>
      </c>
      <c r="M847" t="s">
        <v>91</v>
      </c>
      <c r="N847" t="s">
        <v>91</v>
      </c>
      <c r="O847" t="s">
        <v>136</v>
      </c>
      <c r="P847" t="s">
        <v>137</v>
      </c>
      <c r="R847" t="s">
        <v>1907</v>
      </c>
      <c r="T847" s="24">
        <v>-39886557</v>
      </c>
      <c r="X847" t="s">
        <v>92</v>
      </c>
    </row>
    <row r="848" spans="1:24" x14ac:dyDescent="0.3">
      <c r="A848" s="36">
        <v>45406</v>
      </c>
      <c r="B848" t="s">
        <v>90</v>
      </c>
      <c r="C848" t="s">
        <v>1908</v>
      </c>
      <c r="G848" s="51">
        <v>45406</v>
      </c>
      <c r="J848" s="24">
        <v>237411</v>
      </c>
      <c r="K848" t="s">
        <v>1909</v>
      </c>
      <c r="L848">
        <v>2404241851</v>
      </c>
      <c r="M848" t="s">
        <v>91</v>
      </c>
      <c r="N848" t="s">
        <v>91</v>
      </c>
      <c r="P848" t="s">
        <v>137</v>
      </c>
      <c r="R848">
        <v>970422348718</v>
      </c>
      <c r="T848" s="24">
        <v>-39649146</v>
      </c>
      <c r="X848" t="s">
        <v>92</v>
      </c>
    </row>
    <row r="849" spans="1:24" x14ac:dyDescent="0.3">
      <c r="A849" s="36">
        <v>45406</v>
      </c>
      <c r="B849" t="s">
        <v>90</v>
      </c>
      <c r="C849" t="s">
        <v>1910</v>
      </c>
      <c r="G849" s="51">
        <v>45406</v>
      </c>
      <c r="J849" s="24">
        <v>50000</v>
      </c>
      <c r="K849" t="s">
        <v>1911</v>
      </c>
      <c r="L849">
        <v>2404241933</v>
      </c>
      <c r="M849" t="s">
        <v>91</v>
      </c>
      <c r="N849" t="s">
        <v>91</v>
      </c>
      <c r="P849" t="s">
        <v>137</v>
      </c>
      <c r="R849">
        <v>970448522131</v>
      </c>
      <c r="T849" s="24">
        <v>-39599146</v>
      </c>
      <c r="X849" t="s">
        <v>92</v>
      </c>
    </row>
    <row r="850" spans="1:24" x14ac:dyDescent="0.3">
      <c r="A850" s="36">
        <v>45406</v>
      </c>
      <c r="B850" t="s">
        <v>90</v>
      </c>
      <c r="C850" t="s">
        <v>1912</v>
      </c>
      <c r="G850" s="51">
        <v>45406</v>
      </c>
      <c r="I850" s="24">
        <v>-40000</v>
      </c>
      <c r="K850" t="s">
        <v>135</v>
      </c>
      <c r="L850">
        <v>2404242036</v>
      </c>
      <c r="M850" t="s">
        <v>91</v>
      </c>
      <c r="N850" t="s">
        <v>91</v>
      </c>
      <c r="O850" t="s">
        <v>136</v>
      </c>
      <c r="P850" t="s">
        <v>137</v>
      </c>
      <c r="R850" t="s">
        <v>1913</v>
      </c>
      <c r="T850" s="24">
        <v>-39639146</v>
      </c>
      <c r="X850" t="s">
        <v>92</v>
      </c>
    </row>
    <row r="851" spans="1:24" x14ac:dyDescent="0.3">
      <c r="A851" s="36">
        <v>45406</v>
      </c>
      <c r="B851" t="s">
        <v>90</v>
      </c>
      <c r="C851" t="s">
        <v>1914</v>
      </c>
      <c r="G851" s="51">
        <v>45406</v>
      </c>
      <c r="I851" s="24">
        <v>-50000</v>
      </c>
      <c r="K851" t="s">
        <v>135</v>
      </c>
      <c r="L851">
        <v>2404242134</v>
      </c>
      <c r="M851" t="s">
        <v>91</v>
      </c>
      <c r="N851" t="s">
        <v>91</v>
      </c>
      <c r="O851" t="s">
        <v>136</v>
      </c>
      <c r="P851" t="s">
        <v>137</v>
      </c>
      <c r="R851" t="s">
        <v>1915</v>
      </c>
      <c r="T851" s="24">
        <v>-39689146</v>
      </c>
    </row>
    <row r="852" spans="1:24" x14ac:dyDescent="0.3">
      <c r="A852" s="36">
        <v>45406</v>
      </c>
      <c r="B852" t="s">
        <v>90</v>
      </c>
      <c r="C852" t="s">
        <v>1916</v>
      </c>
      <c r="G852" s="51">
        <v>45406</v>
      </c>
      <c r="I852" s="24">
        <v>-260000</v>
      </c>
      <c r="K852" t="s">
        <v>135</v>
      </c>
      <c r="L852">
        <v>2404242137</v>
      </c>
      <c r="M852" t="s">
        <v>91</v>
      </c>
      <c r="N852" t="s">
        <v>91</v>
      </c>
      <c r="O852" t="s">
        <v>136</v>
      </c>
      <c r="P852" t="s">
        <v>137</v>
      </c>
      <c r="R852" t="s">
        <v>1917</v>
      </c>
      <c r="T852" s="24">
        <v>-39949146</v>
      </c>
      <c r="X852" t="s">
        <v>92</v>
      </c>
    </row>
    <row r="853" spans="1:24" x14ac:dyDescent="0.3">
      <c r="A853" s="36">
        <v>45407</v>
      </c>
      <c r="B853" t="s">
        <v>90</v>
      </c>
      <c r="C853" t="s">
        <v>1918</v>
      </c>
      <c r="G853" s="51">
        <v>45407</v>
      </c>
      <c r="I853" s="24">
        <v>-50000</v>
      </c>
      <c r="K853" t="s">
        <v>1919</v>
      </c>
      <c r="L853">
        <v>2404250405</v>
      </c>
      <c r="M853" t="s">
        <v>91</v>
      </c>
      <c r="N853" t="s">
        <v>91</v>
      </c>
      <c r="O853" t="s">
        <v>136</v>
      </c>
      <c r="P853" t="s">
        <v>93</v>
      </c>
      <c r="R853">
        <v>57312733882</v>
      </c>
      <c r="T853" s="24">
        <v>-39999146</v>
      </c>
    </row>
    <row r="854" spans="1:24" x14ac:dyDescent="0.3">
      <c r="A854" s="36">
        <v>45409</v>
      </c>
      <c r="B854" t="s">
        <v>90</v>
      </c>
      <c r="C854" t="s">
        <v>1920</v>
      </c>
      <c r="G854" s="51">
        <v>45409</v>
      </c>
      <c r="J854" s="24">
        <v>779440</v>
      </c>
      <c r="K854" t="s">
        <v>1921</v>
      </c>
      <c r="L854">
        <v>2404271102</v>
      </c>
      <c r="M854" t="s">
        <v>91</v>
      </c>
      <c r="N854" t="s">
        <v>91</v>
      </c>
      <c r="P854" t="s">
        <v>137</v>
      </c>
      <c r="R854">
        <v>686868154624</v>
      </c>
      <c r="T854" s="24">
        <v>-39219706</v>
      </c>
      <c r="X854" t="s">
        <v>92</v>
      </c>
    </row>
    <row r="855" spans="1:24" x14ac:dyDescent="0.3">
      <c r="A855" s="36">
        <v>45409</v>
      </c>
      <c r="B855" t="s">
        <v>90</v>
      </c>
      <c r="C855" t="s">
        <v>1922</v>
      </c>
      <c r="G855" s="51">
        <v>45409</v>
      </c>
      <c r="I855" s="24">
        <v>-779440</v>
      </c>
      <c r="K855" t="s">
        <v>94</v>
      </c>
      <c r="L855">
        <v>2404271959</v>
      </c>
      <c r="M855" t="s">
        <v>66</v>
      </c>
      <c r="N855" t="s">
        <v>66</v>
      </c>
      <c r="O855" t="s">
        <v>136</v>
      </c>
      <c r="P855" t="s">
        <v>137</v>
      </c>
      <c r="T855" s="24">
        <v>-39999146</v>
      </c>
    </row>
    <row r="856" spans="1:24" x14ac:dyDescent="0.3">
      <c r="A856" s="36">
        <v>45413</v>
      </c>
      <c r="B856" t="s">
        <v>90</v>
      </c>
      <c r="C856" t="s">
        <v>1923</v>
      </c>
      <c r="G856" s="51">
        <v>45413</v>
      </c>
      <c r="J856" s="24">
        <v>18500000</v>
      </c>
      <c r="K856" t="s">
        <v>142</v>
      </c>
      <c r="L856">
        <v>2405011050</v>
      </c>
      <c r="M856" t="s">
        <v>91</v>
      </c>
      <c r="N856" t="s">
        <v>91</v>
      </c>
      <c r="O856" t="s">
        <v>143</v>
      </c>
      <c r="P856" t="s">
        <v>144</v>
      </c>
      <c r="R856" t="s">
        <v>1924</v>
      </c>
      <c r="T856" s="24">
        <v>-21499146</v>
      </c>
    </row>
    <row r="857" spans="1:24" x14ac:dyDescent="0.3">
      <c r="A857" s="36">
        <v>45413</v>
      </c>
      <c r="B857" t="s">
        <v>90</v>
      </c>
      <c r="C857" t="s">
        <v>1925</v>
      </c>
      <c r="G857" s="51">
        <v>45413</v>
      </c>
      <c r="I857" s="24">
        <v>-18248400</v>
      </c>
      <c r="K857" t="s">
        <v>135</v>
      </c>
      <c r="L857">
        <v>2405011051</v>
      </c>
      <c r="M857" t="s">
        <v>91</v>
      </c>
      <c r="N857" t="s">
        <v>91</v>
      </c>
      <c r="O857" t="s">
        <v>136</v>
      </c>
      <c r="P857" t="s">
        <v>137</v>
      </c>
      <c r="R857" t="s">
        <v>1926</v>
      </c>
      <c r="T857" s="24">
        <v>-39747546</v>
      </c>
    </row>
    <row r="858" spans="1:24" x14ac:dyDescent="0.3">
      <c r="A858" s="36">
        <v>45413</v>
      </c>
      <c r="B858" t="s">
        <v>90</v>
      </c>
      <c r="C858" t="s">
        <v>1927</v>
      </c>
      <c r="G858" s="51">
        <v>45413</v>
      </c>
      <c r="J858" s="24">
        <v>125000</v>
      </c>
      <c r="K858" t="s">
        <v>1928</v>
      </c>
      <c r="L858">
        <v>2405011059</v>
      </c>
      <c r="M858" t="s">
        <v>91</v>
      </c>
      <c r="N858" t="s">
        <v>91</v>
      </c>
      <c r="P858" t="s">
        <v>137</v>
      </c>
      <c r="R858">
        <v>970416436926</v>
      </c>
      <c r="T858" s="24">
        <v>-39622546</v>
      </c>
      <c r="X858" t="s">
        <v>92</v>
      </c>
    </row>
    <row r="859" spans="1:24" x14ac:dyDescent="0.3">
      <c r="A859" s="36">
        <v>45413</v>
      </c>
      <c r="B859" t="s">
        <v>90</v>
      </c>
      <c r="C859" t="s">
        <v>1929</v>
      </c>
      <c r="G859" s="51">
        <v>45413</v>
      </c>
      <c r="I859" s="24">
        <v>-125000</v>
      </c>
      <c r="K859" t="s">
        <v>1930</v>
      </c>
      <c r="L859">
        <v>2405011059</v>
      </c>
      <c r="M859" t="s">
        <v>91</v>
      </c>
      <c r="N859" t="s">
        <v>91</v>
      </c>
      <c r="O859" t="s">
        <v>136</v>
      </c>
      <c r="P859" t="s">
        <v>93</v>
      </c>
      <c r="R859">
        <v>57670509928</v>
      </c>
      <c r="T859" s="24">
        <v>-39747546</v>
      </c>
    </row>
    <row r="860" spans="1:24" x14ac:dyDescent="0.3">
      <c r="A860" s="36">
        <v>45413</v>
      </c>
      <c r="B860" t="s">
        <v>90</v>
      </c>
      <c r="C860" t="s">
        <v>1931</v>
      </c>
      <c r="G860" s="51">
        <v>45413</v>
      </c>
      <c r="I860" s="24">
        <v>-50000</v>
      </c>
      <c r="K860" t="s">
        <v>1932</v>
      </c>
      <c r="L860">
        <v>2405011103</v>
      </c>
      <c r="M860" t="s">
        <v>91</v>
      </c>
      <c r="N860" t="s">
        <v>91</v>
      </c>
      <c r="O860" t="s">
        <v>136</v>
      </c>
      <c r="P860" t="s">
        <v>93</v>
      </c>
      <c r="R860">
        <v>57669553678</v>
      </c>
      <c r="T860" s="24">
        <v>-39797546</v>
      </c>
    </row>
    <row r="861" spans="1:24" x14ac:dyDescent="0.3">
      <c r="A861" s="36">
        <v>45413</v>
      </c>
      <c r="B861" t="s">
        <v>90</v>
      </c>
      <c r="C861" t="s">
        <v>1933</v>
      </c>
      <c r="G861" s="51">
        <v>45413</v>
      </c>
      <c r="J861" s="24">
        <v>1453976</v>
      </c>
      <c r="K861" t="s">
        <v>1934</v>
      </c>
      <c r="L861">
        <v>2405011125</v>
      </c>
      <c r="M861" t="s">
        <v>91</v>
      </c>
      <c r="N861" t="s">
        <v>91</v>
      </c>
      <c r="O861" t="s">
        <v>143</v>
      </c>
      <c r="P861" t="s">
        <v>144</v>
      </c>
      <c r="R861" t="s">
        <v>1935</v>
      </c>
      <c r="T861" s="24">
        <v>-38343570</v>
      </c>
    </row>
    <row r="862" spans="1:24" x14ac:dyDescent="0.3">
      <c r="A862" s="36">
        <v>45413</v>
      </c>
      <c r="B862" t="s">
        <v>90</v>
      </c>
      <c r="C862" t="s">
        <v>1936</v>
      </c>
      <c r="G862" s="51">
        <v>45413</v>
      </c>
      <c r="I862" s="24">
        <v>-184523</v>
      </c>
      <c r="K862" t="s">
        <v>94</v>
      </c>
      <c r="L862">
        <v>2405011814</v>
      </c>
      <c r="M862" t="s">
        <v>66</v>
      </c>
      <c r="N862" t="s">
        <v>66</v>
      </c>
      <c r="O862" t="s">
        <v>136</v>
      </c>
      <c r="P862" t="s">
        <v>137</v>
      </c>
      <c r="T862" s="24">
        <v>-38528093</v>
      </c>
    </row>
    <row r="863" spans="1:24" x14ac:dyDescent="0.3">
      <c r="A863" s="36">
        <v>45414</v>
      </c>
      <c r="B863" t="s">
        <v>90</v>
      </c>
      <c r="C863" t="s">
        <v>1937</v>
      </c>
      <c r="G863" s="51">
        <v>45414</v>
      </c>
      <c r="I863" s="24">
        <v>-160000</v>
      </c>
      <c r="K863" t="s">
        <v>135</v>
      </c>
      <c r="L863">
        <v>2405021941</v>
      </c>
      <c r="M863" t="s">
        <v>91</v>
      </c>
      <c r="N863" t="s">
        <v>91</v>
      </c>
      <c r="O863" t="s">
        <v>136</v>
      </c>
      <c r="P863" t="s">
        <v>137</v>
      </c>
      <c r="R863" t="s">
        <v>1938</v>
      </c>
      <c r="T863" s="24">
        <v>-38688093</v>
      </c>
      <c r="X863" t="s">
        <v>92</v>
      </c>
    </row>
    <row r="864" spans="1:24" x14ac:dyDescent="0.3">
      <c r="A864" s="36">
        <v>45414</v>
      </c>
      <c r="B864" t="s">
        <v>90</v>
      </c>
      <c r="C864" t="s">
        <v>1939</v>
      </c>
      <c r="G864" s="51">
        <v>45414</v>
      </c>
      <c r="I864" s="24">
        <v>-200000</v>
      </c>
      <c r="K864" t="s">
        <v>135</v>
      </c>
      <c r="L864">
        <v>2405022028</v>
      </c>
      <c r="M864" t="s">
        <v>91</v>
      </c>
      <c r="N864" t="s">
        <v>91</v>
      </c>
      <c r="O864" t="s">
        <v>136</v>
      </c>
      <c r="P864" t="s">
        <v>137</v>
      </c>
      <c r="R864" t="s">
        <v>1940</v>
      </c>
      <c r="T864" s="24">
        <v>-38888093</v>
      </c>
      <c r="X864" t="s">
        <v>92</v>
      </c>
    </row>
    <row r="865" spans="1:24" x14ac:dyDescent="0.3">
      <c r="A865" s="36">
        <v>45416</v>
      </c>
      <c r="B865" t="s">
        <v>90</v>
      </c>
      <c r="C865" t="s">
        <v>1941</v>
      </c>
      <c r="G865" s="51">
        <v>45416</v>
      </c>
      <c r="I865" s="24">
        <v>-100000</v>
      </c>
      <c r="K865" t="s">
        <v>135</v>
      </c>
      <c r="L865">
        <v>2405041322</v>
      </c>
      <c r="M865" t="s">
        <v>91</v>
      </c>
      <c r="N865" t="s">
        <v>91</v>
      </c>
      <c r="O865" t="s">
        <v>136</v>
      </c>
      <c r="P865" t="s">
        <v>137</v>
      </c>
      <c r="R865" t="s">
        <v>1942</v>
      </c>
      <c r="T865" s="24">
        <v>-38988093</v>
      </c>
      <c r="X865" t="s">
        <v>92</v>
      </c>
    </row>
    <row r="866" spans="1:24" x14ac:dyDescent="0.3">
      <c r="A866" s="36">
        <v>45418</v>
      </c>
      <c r="B866" t="s">
        <v>90</v>
      </c>
      <c r="C866" t="s">
        <v>1943</v>
      </c>
      <c r="G866" s="51">
        <v>45418</v>
      </c>
      <c r="I866" s="24">
        <v>-56000</v>
      </c>
      <c r="K866" t="s">
        <v>135</v>
      </c>
      <c r="L866">
        <v>2405051605</v>
      </c>
      <c r="M866" t="s">
        <v>91</v>
      </c>
      <c r="N866" t="s">
        <v>91</v>
      </c>
      <c r="O866" t="s">
        <v>136</v>
      </c>
      <c r="P866" t="s">
        <v>137</v>
      </c>
      <c r="R866" t="s">
        <v>1944</v>
      </c>
      <c r="T866" s="24">
        <v>-39044093</v>
      </c>
      <c r="X866" t="s">
        <v>92</v>
      </c>
    </row>
    <row r="867" spans="1:24" x14ac:dyDescent="0.3">
      <c r="A867" s="36">
        <v>45418</v>
      </c>
      <c r="B867" t="s">
        <v>90</v>
      </c>
      <c r="C867" t="s">
        <v>1945</v>
      </c>
      <c r="G867" s="51">
        <v>45418</v>
      </c>
      <c r="I867" s="24">
        <v>-35000</v>
      </c>
      <c r="K867" t="s">
        <v>135</v>
      </c>
      <c r="L867">
        <v>2405060656</v>
      </c>
      <c r="M867" t="s">
        <v>91</v>
      </c>
      <c r="N867" t="s">
        <v>91</v>
      </c>
      <c r="O867" t="s">
        <v>136</v>
      </c>
      <c r="P867" t="s">
        <v>137</v>
      </c>
      <c r="R867" t="s">
        <v>1946</v>
      </c>
      <c r="T867" s="24">
        <v>-39079093</v>
      </c>
      <c r="X867" t="s">
        <v>92</v>
      </c>
    </row>
    <row r="868" spans="1:24" x14ac:dyDescent="0.3">
      <c r="A868" s="36">
        <v>45418</v>
      </c>
      <c r="B868" t="s">
        <v>90</v>
      </c>
      <c r="C868" t="s">
        <v>1947</v>
      </c>
      <c r="G868" s="51">
        <v>45418</v>
      </c>
      <c r="I868" s="24">
        <v>-58000</v>
      </c>
      <c r="K868" t="s">
        <v>135</v>
      </c>
      <c r="L868">
        <v>2405060708</v>
      </c>
      <c r="M868" t="s">
        <v>91</v>
      </c>
      <c r="N868" t="s">
        <v>91</v>
      </c>
      <c r="O868" t="s">
        <v>136</v>
      </c>
      <c r="P868" t="s">
        <v>137</v>
      </c>
      <c r="R868" t="s">
        <v>1948</v>
      </c>
      <c r="T868" s="24">
        <v>-39137093</v>
      </c>
    </row>
    <row r="869" spans="1:24" x14ac:dyDescent="0.3">
      <c r="A869" s="36">
        <v>45418</v>
      </c>
      <c r="B869" t="s">
        <v>90</v>
      </c>
      <c r="C869" t="s">
        <v>1949</v>
      </c>
      <c r="G869" s="51">
        <v>45418</v>
      </c>
      <c r="J869" s="24">
        <v>2816070</v>
      </c>
      <c r="K869" t="s">
        <v>1950</v>
      </c>
      <c r="L869">
        <v>2405061126</v>
      </c>
      <c r="M869" t="s">
        <v>91</v>
      </c>
      <c r="N869" t="s">
        <v>91</v>
      </c>
      <c r="P869" t="s">
        <v>137</v>
      </c>
      <c r="R869">
        <v>888899304656</v>
      </c>
      <c r="T869" s="24">
        <v>-36321023</v>
      </c>
      <c r="X869" t="s">
        <v>92</v>
      </c>
    </row>
    <row r="870" spans="1:24" x14ac:dyDescent="0.3">
      <c r="A870" s="36">
        <v>45418</v>
      </c>
      <c r="B870" t="s">
        <v>90</v>
      </c>
      <c r="C870" t="s">
        <v>1951</v>
      </c>
      <c r="G870" s="51">
        <v>45418</v>
      </c>
      <c r="J870" s="24">
        <v>248000</v>
      </c>
      <c r="K870" t="s">
        <v>1952</v>
      </c>
      <c r="L870">
        <v>2405062058</v>
      </c>
      <c r="M870" t="s">
        <v>91</v>
      </c>
      <c r="N870" t="s">
        <v>91</v>
      </c>
      <c r="P870" t="s">
        <v>137</v>
      </c>
      <c r="R870">
        <v>686868361345</v>
      </c>
      <c r="T870" s="24">
        <v>-36073023</v>
      </c>
      <c r="X870" t="s">
        <v>92</v>
      </c>
    </row>
    <row r="871" spans="1:24" x14ac:dyDescent="0.3">
      <c r="A871" s="36">
        <v>45418</v>
      </c>
      <c r="B871" t="s">
        <v>90</v>
      </c>
      <c r="C871" t="s">
        <v>1953</v>
      </c>
      <c r="G871" s="51">
        <v>45418</v>
      </c>
      <c r="I871" s="24">
        <v>-60000</v>
      </c>
      <c r="K871" t="s">
        <v>135</v>
      </c>
      <c r="L871">
        <v>2405062158</v>
      </c>
      <c r="M871" t="s">
        <v>91</v>
      </c>
      <c r="N871" t="s">
        <v>91</v>
      </c>
      <c r="O871" t="s">
        <v>136</v>
      </c>
      <c r="P871" t="s">
        <v>137</v>
      </c>
      <c r="R871" t="s">
        <v>1954</v>
      </c>
      <c r="T871" s="24">
        <v>-36133023</v>
      </c>
      <c r="X871" t="s">
        <v>92</v>
      </c>
    </row>
    <row r="872" spans="1:24" x14ac:dyDescent="0.3">
      <c r="A872" s="36">
        <v>45419</v>
      </c>
      <c r="B872" t="s">
        <v>90</v>
      </c>
      <c r="C872" t="s">
        <v>1955</v>
      </c>
      <c r="G872" s="51">
        <v>45419</v>
      </c>
      <c r="I872" s="24">
        <v>-40000</v>
      </c>
      <c r="K872" t="s">
        <v>135</v>
      </c>
      <c r="L872">
        <v>2405070832</v>
      </c>
      <c r="M872" t="s">
        <v>91</v>
      </c>
      <c r="N872" t="s">
        <v>91</v>
      </c>
      <c r="O872" t="s">
        <v>136</v>
      </c>
      <c r="P872" t="s">
        <v>137</v>
      </c>
      <c r="R872" t="s">
        <v>1956</v>
      </c>
      <c r="T872" s="24">
        <v>-36173023</v>
      </c>
      <c r="X872" t="s">
        <v>92</v>
      </c>
    </row>
    <row r="873" spans="1:24" x14ac:dyDescent="0.3">
      <c r="A873" s="36">
        <v>45419</v>
      </c>
      <c r="B873" t="s">
        <v>90</v>
      </c>
      <c r="C873" t="s">
        <v>1957</v>
      </c>
      <c r="G873" s="51">
        <v>45419</v>
      </c>
      <c r="I873" s="24">
        <v>-18000</v>
      </c>
      <c r="K873" t="s">
        <v>135</v>
      </c>
      <c r="L873">
        <v>2405071054</v>
      </c>
      <c r="M873" t="s">
        <v>91</v>
      </c>
      <c r="N873" t="s">
        <v>91</v>
      </c>
      <c r="O873" t="s">
        <v>136</v>
      </c>
      <c r="P873" t="s">
        <v>137</v>
      </c>
      <c r="R873" t="s">
        <v>1958</v>
      </c>
      <c r="T873" s="24">
        <v>-36191023</v>
      </c>
      <c r="X873" t="s">
        <v>92</v>
      </c>
    </row>
    <row r="874" spans="1:24" x14ac:dyDescent="0.3">
      <c r="A874" s="36">
        <v>45419</v>
      </c>
      <c r="B874" t="s">
        <v>90</v>
      </c>
      <c r="C874" t="s">
        <v>1959</v>
      </c>
      <c r="G874" s="51">
        <v>45419</v>
      </c>
      <c r="I874" s="24">
        <v>-50000</v>
      </c>
      <c r="K874" t="s">
        <v>135</v>
      </c>
      <c r="L874">
        <v>2405071223</v>
      </c>
      <c r="M874" t="s">
        <v>91</v>
      </c>
      <c r="N874" t="s">
        <v>91</v>
      </c>
      <c r="O874" t="s">
        <v>136</v>
      </c>
      <c r="P874" t="s">
        <v>137</v>
      </c>
      <c r="R874" t="s">
        <v>1960</v>
      </c>
      <c r="T874" s="24">
        <v>-36241023</v>
      </c>
      <c r="X874" t="s">
        <v>92</v>
      </c>
    </row>
    <row r="875" spans="1:24" x14ac:dyDescent="0.3">
      <c r="A875" s="36">
        <v>45419</v>
      </c>
      <c r="B875" t="s">
        <v>90</v>
      </c>
      <c r="C875" t="s">
        <v>1961</v>
      </c>
      <c r="G875" s="51">
        <v>45419</v>
      </c>
      <c r="I875" s="24">
        <v>-15000</v>
      </c>
      <c r="K875" t="s">
        <v>135</v>
      </c>
      <c r="L875">
        <v>2405071511</v>
      </c>
      <c r="M875" t="s">
        <v>91</v>
      </c>
      <c r="N875" t="s">
        <v>91</v>
      </c>
      <c r="O875" t="s">
        <v>136</v>
      </c>
      <c r="P875" t="s">
        <v>137</v>
      </c>
      <c r="R875" t="s">
        <v>1962</v>
      </c>
      <c r="T875" s="24">
        <v>-36256023</v>
      </c>
      <c r="X875" t="s">
        <v>92</v>
      </c>
    </row>
    <row r="876" spans="1:24" x14ac:dyDescent="0.3">
      <c r="A876" s="36">
        <v>45419</v>
      </c>
      <c r="B876" t="s">
        <v>90</v>
      </c>
      <c r="C876" t="s">
        <v>1963</v>
      </c>
      <c r="G876" s="51">
        <v>45419</v>
      </c>
      <c r="I876" s="24">
        <v>-20000</v>
      </c>
      <c r="K876" t="s">
        <v>135</v>
      </c>
      <c r="L876">
        <v>2405071721</v>
      </c>
      <c r="M876" t="s">
        <v>91</v>
      </c>
      <c r="N876" t="s">
        <v>91</v>
      </c>
      <c r="O876" t="s">
        <v>136</v>
      </c>
      <c r="P876" t="s">
        <v>137</v>
      </c>
      <c r="R876" t="s">
        <v>1964</v>
      </c>
      <c r="T876" s="24">
        <v>-36276023</v>
      </c>
      <c r="X876" t="s">
        <v>92</v>
      </c>
    </row>
    <row r="877" spans="1:24" x14ac:dyDescent="0.3">
      <c r="A877" s="36">
        <v>45420</v>
      </c>
      <c r="B877" t="s">
        <v>90</v>
      </c>
      <c r="C877" t="s">
        <v>1965</v>
      </c>
      <c r="G877" s="51">
        <v>45420</v>
      </c>
      <c r="I877" s="24">
        <v>-150000</v>
      </c>
      <c r="K877" t="s">
        <v>135</v>
      </c>
      <c r="L877">
        <v>2405072131</v>
      </c>
      <c r="M877" t="s">
        <v>91</v>
      </c>
      <c r="N877" t="s">
        <v>91</v>
      </c>
      <c r="O877" t="s">
        <v>136</v>
      </c>
      <c r="P877" t="s">
        <v>137</v>
      </c>
      <c r="R877" t="s">
        <v>1966</v>
      </c>
      <c r="T877" s="24">
        <v>-36426023</v>
      </c>
      <c r="X877" t="s">
        <v>92</v>
      </c>
    </row>
    <row r="878" spans="1:24" x14ac:dyDescent="0.3">
      <c r="A878" s="36">
        <v>45420</v>
      </c>
      <c r="B878" t="s">
        <v>90</v>
      </c>
      <c r="C878" t="s">
        <v>1967</v>
      </c>
      <c r="G878" s="51">
        <v>45420</v>
      </c>
      <c r="I878" s="24">
        <v>-25000</v>
      </c>
      <c r="K878" t="s">
        <v>135</v>
      </c>
      <c r="L878">
        <v>2405072155</v>
      </c>
      <c r="M878" t="s">
        <v>91</v>
      </c>
      <c r="N878" t="s">
        <v>91</v>
      </c>
      <c r="O878" t="s">
        <v>136</v>
      </c>
      <c r="P878" t="s">
        <v>137</v>
      </c>
      <c r="R878" t="s">
        <v>1968</v>
      </c>
      <c r="T878" s="24">
        <v>-36451023</v>
      </c>
    </row>
    <row r="879" spans="1:24" x14ac:dyDescent="0.3">
      <c r="A879" s="36">
        <v>45420</v>
      </c>
      <c r="B879" t="s">
        <v>90</v>
      </c>
      <c r="C879" t="s">
        <v>1969</v>
      </c>
      <c r="G879" s="51">
        <v>45420</v>
      </c>
      <c r="J879" s="24">
        <v>1000000</v>
      </c>
      <c r="K879" t="s">
        <v>1970</v>
      </c>
      <c r="L879">
        <v>2405081129</v>
      </c>
      <c r="M879" t="s">
        <v>91</v>
      </c>
      <c r="N879" t="s">
        <v>91</v>
      </c>
      <c r="P879" t="s">
        <v>137</v>
      </c>
      <c r="R879">
        <v>686868519987</v>
      </c>
      <c r="T879" s="24">
        <v>-35451023</v>
      </c>
      <c r="X879" t="s">
        <v>92</v>
      </c>
    </row>
    <row r="880" spans="1:24" x14ac:dyDescent="0.3">
      <c r="A880" s="36">
        <v>45420</v>
      </c>
      <c r="B880" t="s">
        <v>90</v>
      </c>
      <c r="C880" t="s">
        <v>1971</v>
      </c>
      <c r="G880" s="51">
        <v>45420</v>
      </c>
      <c r="J880" s="24">
        <v>140000</v>
      </c>
      <c r="K880" t="s">
        <v>142</v>
      </c>
      <c r="L880">
        <v>2405081143</v>
      </c>
      <c r="M880" t="s">
        <v>91</v>
      </c>
      <c r="N880" t="s">
        <v>91</v>
      </c>
      <c r="O880" t="s">
        <v>143</v>
      </c>
      <c r="P880" t="s">
        <v>144</v>
      </c>
      <c r="R880" t="s">
        <v>1972</v>
      </c>
      <c r="T880" s="24">
        <v>-35311023</v>
      </c>
    </row>
    <row r="881" spans="1:24" x14ac:dyDescent="0.3">
      <c r="A881" s="36">
        <v>45420</v>
      </c>
      <c r="B881" t="s">
        <v>90</v>
      </c>
      <c r="C881" t="s">
        <v>1973</v>
      </c>
      <c r="G881" s="51">
        <v>45420</v>
      </c>
      <c r="I881" s="24">
        <v>-4629000</v>
      </c>
      <c r="L881">
        <v>2405081144</v>
      </c>
      <c r="M881" t="s">
        <v>91</v>
      </c>
      <c r="N881" t="s">
        <v>91</v>
      </c>
      <c r="O881" t="s">
        <v>136</v>
      </c>
      <c r="P881" t="s">
        <v>137</v>
      </c>
      <c r="R881" t="s">
        <v>1974</v>
      </c>
      <c r="T881" s="24">
        <v>-39940023</v>
      </c>
    </row>
    <row r="882" spans="1:24" x14ac:dyDescent="0.3">
      <c r="A882" s="36">
        <v>45421</v>
      </c>
      <c r="B882" t="s">
        <v>90</v>
      </c>
      <c r="C882" t="s">
        <v>1975</v>
      </c>
      <c r="G882" s="51">
        <v>45421</v>
      </c>
      <c r="J882" s="24">
        <v>195000</v>
      </c>
      <c r="K882" t="s">
        <v>1976</v>
      </c>
      <c r="L882">
        <v>2405082155</v>
      </c>
      <c r="M882" t="s">
        <v>91</v>
      </c>
      <c r="N882" t="s">
        <v>91</v>
      </c>
      <c r="P882" t="s">
        <v>137</v>
      </c>
      <c r="R882">
        <v>888899500777</v>
      </c>
      <c r="T882" s="24">
        <v>-39745023</v>
      </c>
      <c r="X882" t="s">
        <v>92</v>
      </c>
    </row>
    <row r="883" spans="1:24" x14ac:dyDescent="0.3">
      <c r="A883" s="36">
        <v>45426</v>
      </c>
      <c r="B883" t="s">
        <v>90</v>
      </c>
      <c r="C883" t="s">
        <v>1977</v>
      </c>
      <c r="G883" s="51">
        <v>45426</v>
      </c>
      <c r="I883" s="24">
        <v>-50000</v>
      </c>
      <c r="K883" t="s">
        <v>135</v>
      </c>
      <c r="L883">
        <v>2405141617</v>
      </c>
      <c r="M883" t="s">
        <v>91</v>
      </c>
      <c r="N883" t="s">
        <v>91</v>
      </c>
      <c r="O883" t="s">
        <v>136</v>
      </c>
      <c r="P883" t="s">
        <v>137</v>
      </c>
      <c r="R883" t="s">
        <v>1978</v>
      </c>
      <c r="T883" s="24">
        <v>-39795023</v>
      </c>
    </row>
    <row r="884" spans="1:24" x14ac:dyDescent="0.3">
      <c r="A884" s="36">
        <v>45426</v>
      </c>
      <c r="B884" t="s">
        <v>90</v>
      </c>
      <c r="C884" t="s">
        <v>1979</v>
      </c>
      <c r="G884" s="51">
        <v>45426</v>
      </c>
      <c r="J884" s="24">
        <v>3000000</v>
      </c>
      <c r="K884" t="s">
        <v>1980</v>
      </c>
      <c r="L884">
        <v>2405141900</v>
      </c>
      <c r="M884" t="s">
        <v>91</v>
      </c>
      <c r="N884" t="s">
        <v>91</v>
      </c>
      <c r="P884" t="s">
        <v>137</v>
      </c>
      <c r="R884">
        <v>970415362802</v>
      </c>
      <c r="T884" s="24">
        <v>-36795023</v>
      </c>
      <c r="X884" t="s">
        <v>92</v>
      </c>
    </row>
    <row r="885" spans="1:24" x14ac:dyDescent="0.3">
      <c r="A885" s="36">
        <v>45426</v>
      </c>
      <c r="B885" t="s">
        <v>90</v>
      </c>
      <c r="C885" t="s">
        <v>1981</v>
      </c>
      <c r="G885" s="51">
        <v>45426</v>
      </c>
      <c r="I885" s="24">
        <v>-2600000</v>
      </c>
      <c r="K885" t="s">
        <v>135</v>
      </c>
      <c r="L885">
        <v>2405141901</v>
      </c>
      <c r="M885" t="s">
        <v>91</v>
      </c>
      <c r="N885" t="s">
        <v>91</v>
      </c>
      <c r="O885" t="s">
        <v>136</v>
      </c>
      <c r="P885" t="s">
        <v>137</v>
      </c>
      <c r="R885" t="s">
        <v>1982</v>
      </c>
      <c r="T885" s="24">
        <v>-39395023</v>
      </c>
      <c r="X885" t="s">
        <v>92</v>
      </c>
    </row>
    <row r="886" spans="1:24" x14ac:dyDescent="0.3">
      <c r="A886" s="36">
        <v>45426</v>
      </c>
      <c r="B886" t="s">
        <v>90</v>
      </c>
      <c r="C886" t="s">
        <v>1983</v>
      </c>
      <c r="G886" s="51">
        <v>45426</v>
      </c>
      <c r="I886" s="24">
        <v>-600000</v>
      </c>
      <c r="K886">
        <v>2.0623671411659698E+19</v>
      </c>
      <c r="L886">
        <v>2405141915</v>
      </c>
      <c r="M886" t="s">
        <v>91</v>
      </c>
      <c r="N886" t="s">
        <v>91</v>
      </c>
      <c r="O886" t="s">
        <v>136</v>
      </c>
      <c r="P886" t="s">
        <v>137</v>
      </c>
      <c r="R886" t="s">
        <v>1984</v>
      </c>
      <c r="T886" s="24">
        <v>-39995023</v>
      </c>
    </row>
    <row r="887" spans="1:24" x14ac:dyDescent="0.3">
      <c r="A887" s="36">
        <v>45428</v>
      </c>
      <c r="B887" t="s">
        <v>90</v>
      </c>
      <c r="C887" t="s">
        <v>1985</v>
      </c>
      <c r="G887" s="51">
        <v>45428</v>
      </c>
      <c r="J887" s="24">
        <v>1500000</v>
      </c>
      <c r="K887" t="s">
        <v>1986</v>
      </c>
      <c r="L887">
        <v>2405161439</v>
      </c>
      <c r="M887" t="s">
        <v>91</v>
      </c>
      <c r="N887" t="s">
        <v>91</v>
      </c>
      <c r="P887" t="s">
        <v>137</v>
      </c>
      <c r="R887">
        <v>686868976703</v>
      </c>
      <c r="T887" s="24">
        <v>-38495023</v>
      </c>
      <c r="X887" t="s">
        <v>92</v>
      </c>
    </row>
    <row r="888" spans="1:24" x14ac:dyDescent="0.3">
      <c r="A888" s="36">
        <v>45428</v>
      </c>
      <c r="B888" t="s">
        <v>90</v>
      </c>
      <c r="C888" t="s">
        <v>1987</v>
      </c>
      <c r="G888" s="51">
        <v>45428</v>
      </c>
      <c r="I888" s="24">
        <v>-50000</v>
      </c>
      <c r="K888" t="s">
        <v>135</v>
      </c>
      <c r="L888">
        <v>2405161641</v>
      </c>
      <c r="M888" t="s">
        <v>91</v>
      </c>
      <c r="N888" t="s">
        <v>91</v>
      </c>
      <c r="O888" t="s">
        <v>136</v>
      </c>
      <c r="P888" t="s">
        <v>137</v>
      </c>
      <c r="R888" t="s">
        <v>1988</v>
      </c>
      <c r="T888" s="24">
        <v>-38545023</v>
      </c>
    </row>
    <row r="889" spans="1:24" x14ac:dyDescent="0.3">
      <c r="A889" s="36">
        <v>45428</v>
      </c>
      <c r="B889" t="s">
        <v>90</v>
      </c>
      <c r="C889" t="s">
        <v>1989</v>
      </c>
      <c r="G889" s="51">
        <v>45428</v>
      </c>
      <c r="I889" s="24">
        <v>-1450000</v>
      </c>
      <c r="K889" t="s">
        <v>135</v>
      </c>
      <c r="L889">
        <v>2405161643</v>
      </c>
      <c r="M889" t="s">
        <v>91</v>
      </c>
      <c r="N889" t="s">
        <v>91</v>
      </c>
      <c r="O889" t="s">
        <v>136</v>
      </c>
      <c r="P889" t="s">
        <v>137</v>
      </c>
      <c r="R889" t="s">
        <v>1990</v>
      </c>
      <c r="T889" s="24">
        <v>-39995023</v>
      </c>
    </row>
    <row r="890" spans="1:24" x14ac:dyDescent="0.3">
      <c r="A890" s="36">
        <v>45429</v>
      </c>
      <c r="B890" t="s">
        <v>90</v>
      </c>
      <c r="C890" t="s">
        <v>1991</v>
      </c>
      <c r="G890" s="51">
        <v>45429</v>
      </c>
      <c r="J890" s="24">
        <v>300000</v>
      </c>
      <c r="K890" t="s">
        <v>1992</v>
      </c>
      <c r="L890">
        <v>2405171043</v>
      </c>
      <c r="M890" t="s">
        <v>91</v>
      </c>
      <c r="N890" t="s">
        <v>91</v>
      </c>
      <c r="P890" t="s">
        <v>137</v>
      </c>
      <c r="R890">
        <v>970415536705</v>
      </c>
      <c r="T890" s="24">
        <v>-39695023</v>
      </c>
      <c r="X890" t="s">
        <v>92</v>
      </c>
    </row>
    <row r="891" spans="1:24" x14ac:dyDescent="0.3">
      <c r="A891" s="36">
        <v>45429</v>
      </c>
      <c r="B891" t="s">
        <v>90</v>
      </c>
      <c r="C891" t="s">
        <v>1993</v>
      </c>
      <c r="G891" s="51">
        <v>45429</v>
      </c>
      <c r="I891" s="24">
        <v>-303000</v>
      </c>
      <c r="K891" t="s">
        <v>135</v>
      </c>
      <c r="L891">
        <v>2405171512</v>
      </c>
      <c r="M891" t="s">
        <v>91</v>
      </c>
      <c r="N891" t="s">
        <v>91</v>
      </c>
      <c r="O891" t="s">
        <v>136</v>
      </c>
      <c r="P891" t="s">
        <v>137</v>
      </c>
      <c r="R891" t="s">
        <v>1994</v>
      </c>
      <c r="T891" s="24">
        <v>-39998023</v>
      </c>
    </row>
    <row r="892" spans="1:24" x14ac:dyDescent="0.3">
      <c r="A892" s="36">
        <v>45433</v>
      </c>
      <c r="B892" t="s">
        <v>90</v>
      </c>
      <c r="C892" t="s">
        <v>1995</v>
      </c>
      <c r="G892" s="51">
        <v>45433</v>
      </c>
      <c r="J892" s="24">
        <v>3563910</v>
      </c>
      <c r="K892" t="s">
        <v>1996</v>
      </c>
      <c r="L892">
        <v>2405211006</v>
      </c>
      <c r="M892" t="s">
        <v>91</v>
      </c>
      <c r="N892" t="s">
        <v>91</v>
      </c>
      <c r="P892" t="s">
        <v>137</v>
      </c>
      <c r="R892">
        <v>888899601098</v>
      </c>
      <c r="T892" s="24">
        <v>-36434113</v>
      </c>
      <c r="X892" t="s">
        <v>92</v>
      </c>
    </row>
    <row r="893" spans="1:24" x14ac:dyDescent="0.3">
      <c r="A893" s="36">
        <v>45433</v>
      </c>
      <c r="B893" t="s">
        <v>90</v>
      </c>
      <c r="C893" t="s">
        <v>1997</v>
      </c>
      <c r="G893" s="51">
        <v>45433</v>
      </c>
      <c r="J893" s="24">
        <v>1500000</v>
      </c>
      <c r="K893" t="s">
        <v>1998</v>
      </c>
      <c r="L893">
        <v>2405211131</v>
      </c>
      <c r="M893" t="s">
        <v>91</v>
      </c>
      <c r="N893" t="s">
        <v>91</v>
      </c>
      <c r="P893" t="s">
        <v>137</v>
      </c>
      <c r="R893">
        <v>970403817083</v>
      </c>
      <c r="T893" s="24">
        <v>-34934113</v>
      </c>
      <c r="X893" t="s">
        <v>92</v>
      </c>
    </row>
    <row r="894" spans="1:24" x14ac:dyDescent="0.3">
      <c r="A894" s="36">
        <v>45433</v>
      </c>
      <c r="B894" t="s">
        <v>90</v>
      </c>
      <c r="C894" t="s">
        <v>1999</v>
      </c>
      <c r="G894" s="51">
        <v>45433</v>
      </c>
      <c r="I894" s="24">
        <v>-35000</v>
      </c>
      <c r="K894" t="s">
        <v>2000</v>
      </c>
      <c r="L894">
        <v>2405211234</v>
      </c>
      <c r="M894" t="s">
        <v>91</v>
      </c>
      <c r="N894" t="s">
        <v>91</v>
      </c>
      <c r="O894" t="s">
        <v>136</v>
      </c>
      <c r="P894" t="s">
        <v>137</v>
      </c>
      <c r="R894" t="s">
        <v>2001</v>
      </c>
      <c r="T894" s="24">
        <v>-34969113</v>
      </c>
      <c r="X894" t="s">
        <v>92</v>
      </c>
    </row>
    <row r="895" spans="1:24" x14ac:dyDescent="0.3">
      <c r="A895" s="36">
        <v>45433</v>
      </c>
      <c r="B895" t="s">
        <v>90</v>
      </c>
      <c r="C895" t="s">
        <v>2002</v>
      </c>
      <c r="G895" s="51">
        <v>45433</v>
      </c>
      <c r="I895" s="24">
        <v>-20000</v>
      </c>
      <c r="K895" t="s">
        <v>2000</v>
      </c>
      <c r="L895">
        <v>2405211248</v>
      </c>
      <c r="M895" t="s">
        <v>91</v>
      </c>
      <c r="N895" t="s">
        <v>91</v>
      </c>
      <c r="O895" t="s">
        <v>136</v>
      </c>
      <c r="P895" t="s">
        <v>137</v>
      </c>
      <c r="R895" t="s">
        <v>2003</v>
      </c>
      <c r="T895" s="24">
        <v>-34989113</v>
      </c>
      <c r="X895" t="s">
        <v>92</v>
      </c>
    </row>
    <row r="896" spans="1:24" x14ac:dyDescent="0.3">
      <c r="A896" s="36">
        <v>45433</v>
      </c>
      <c r="B896" t="s">
        <v>90</v>
      </c>
      <c r="C896" t="s">
        <v>2004</v>
      </c>
      <c r="G896" s="51">
        <v>45433</v>
      </c>
      <c r="J896" s="24">
        <v>1360000</v>
      </c>
      <c r="K896" t="s">
        <v>142</v>
      </c>
      <c r="L896">
        <v>2405211620</v>
      </c>
      <c r="M896" t="s">
        <v>91</v>
      </c>
      <c r="N896" t="s">
        <v>91</v>
      </c>
      <c r="O896" t="s">
        <v>143</v>
      </c>
      <c r="P896" t="s">
        <v>144</v>
      </c>
      <c r="R896" t="s">
        <v>2005</v>
      </c>
      <c r="T896" s="24">
        <v>-33629113</v>
      </c>
    </row>
    <row r="897" spans="1:24" x14ac:dyDescent="0.3">
      <c r="A897" s="36">
        <v>45433</v>
      </c>
      <c r="B897" t="s">
        <v>90</v>
      </c>
      <c r="C897" t="s">
        <v>2006</v>
      </c>
      <c r="G897" s="51">
        <v>45433</v>
      </c>
      <c r="J897" s="24">
        <v>21000</v>
      </c>
      <c r="K897" t="s">
        <v>2007</v>
      </c>
      <c r="L897">
        <v>2405211623</v>
      </c>
      <c r="M897" t="s">
        <v>91</v>
      </c>
      <c r="N897" t="s">
        <v>91</v>
      </c>
      <c r="P897" t="s">
        <v>137</v>
      </c>
      <c r="R897">
        <v>970415191962</v>
      </c>
      <c r="T897" s="24">
        <v>-33608113</v>
      </c>
      <c r="X897" t="s">
        <v>92</v>
      </c>
    </row>
    <row r="898" spans="1:24" x14ac:dyDescent="0.3">
      <c r="A898" s="36">
        <v>45433</v>
      </c>
      <c r="B898" t="s">
        <v>90</v>
      </c>
      <c r="C898" t="s">
        <v>2008</v>
      </c>
      <c r="G898" s="51">
        <v>45433</v>
      </c>
      <c r="I898" s="24">
        <v>-6391000</v>
      </c>
      <c r="K898" t="s">
        <v>135</v>
      </c>
      <c r="L898">
        <v>2405211624</v>
      </c>
      <c r="M898" t="s">
        <v>91</v>
      </c>
      <c r="N898" t="s">
        <v>91</v>
      </c>
      <c r="O898" t="s">
        <v>136</v>
      </c>
      <c r="P898" t="s">
        <v>137</v>
      </c>
      <c r="R898" t="s">
        <v>2009</v>
      </c>
      <c r="T898" s="24">
        <v>-39999113</v>
      </c>
    </row>
    <row r="899" spans="1:24" x14ac:dyDescent="0.3">
      <c r="A899" s="36">
        <v>45433</v>
      </c>
      <c r="B899" t="s">
        <v>90</v>
      </c>
      <c r="C899" t="s">
        <v>2010</v>
      </c>
      <c r="G899" s="51">
        <v>45433</v>
      </c>
      <c r="J899" s="24">
        <v>6391000</v>
      </c>
      <c r="K899" t="s">
        <v>135</v>
      </c>
      <c r="L899">
        <v>2405211625</v>
      </c>
      <c r="M899" t="s">
        <v>91</v>
      </c>
      <c r="N899" t="s">
        <v>91</v>
      </c>
      <c r="O899" t="s">
        <v>136</v>
      </c>
      <c r="P899" t="s">
        <v>137</v>
      </c>
      <c r="R899" t="s">
        <v>2011</v>
      </c>
      <c r="T899" s="24">
        <v>-33608113</v>
      </c>
    </row>
    <row r="900" spans="1:24" x14ac:dyDescent="0.3">
      <c r="A900" s="36">
        <v>45433</v>
      </c>
      <c r="B900" t="s">
        <v>90</v>
      </c>
      <c r="C900" t="s">
        <v>2012</v>
      </c>
      <c r="G900" s="51">
        <v>45433</v>
      </c>
      <c r="I900" s="24">
        <v>-6391850</v>
      </c>
      <c r="K900" t="s">
        <v>135</v>
      </c>
      <c r="L900">
        <v>2405211626</v>
      </c>
      <c r="M900" t="s">
        <v>91</v>
      </c>
      <c r="N900" t="s">
        <v>91</v>
      </c>
      <c r="O900" t="s">
        <v>136</v>
      </c>
      <c r="P900" t="s">
        <v>137</v>
      </c>
      <c r="R900" t="s">
        <v>2013</v>
      </c>
      <c r="T900" s="24">
        <v>-39999963</v>
      </c>
    </row>
    <row r="901" spans="1:24" x14ac:dyDescent="0.3">
      <c r="A901" s="36">
        <v>45437</v>
      </c>
      <c r="B901" t="s">
        <v>90</v>
      </c>
      <c r="C901" t="s">
        <v>2014</v>
      </c>
      <c r="G901" s="51">
        <v>45437</v>
      </c>
      <c r="J901" s="24">
        <v>1151895</v>
      </c>
      <c r="K901" t="s">
        <v>2015</v>
      </c>
      <c r="L901">
        <v>2405252135</v>
      </c>
      <c r="M901" t="s">
        <v>91</v>
      </c>
      <c r="N901" t="s">
        <v>91</v>
      </c>
      <c r="P901" t="s">
        <v>137</v>
      </c>
      <c r="R901">
        <v>970416634657</v>
      </c>
      <c r="T901" s="24">
        <v>-38848068</v>
      </c>
      <c r="X901" t="s">
        <v>92</v>
      </c>
    </row>
    <row r="902" spans="1:24" x14ac:dyDescent="0.3">
      <c r="A902" s="36">
        <v>45437</v>
      </c>
      <c r="B902" t="s">
        <v>90</v>
      </c>
      <c r="C902" t="s">
        <v>2016</v>
      </c>
      <c r="G902" s="51">
        <v>45437</v>
      </c>
      <c r="J902" s="24">
        <v>100000</v>
      </c>
      <c r="K902" t="s">
        <v>135</v>
      </c>
      <c r="L902">
        <v>2405252136</v>
      </c>
      <c r="M902" t="s">
        <v>91</v>
      </c>
      <c r="N902" t="s">
        <v>91</v>
      </c>
      <c r="O902" t="s">
        <v>136</v>
      </c>
      <c r="P902" t="s">
        <v>137</v>
      </c>
      <c r="R902" t="s">
        <v>2017</v>
      </c>
      <c r="T902" s="24">
        <v>-38748068</v>
      </c>
    </row>
    <row r="903" spans="1:24" x14ac:dyDescent="0.3">
      <c r="A903" s="36">
        <v>45437</v>
      </c>
      <c r="B903" t="s">
        <v>90</v>
      </c>
      <c r="C903" t="s">
        <v>2018</v>
      </c>
      <c r="G903" s="51">
        <v>45437</v>
      </c>
      <c r="I903" s="24">
        <v>-1200000</v>
      </c>
      <c r="K903" t="s">
        <v>2019</v>
      </c>
      <c r="L903">
        <v>2405252137</v>
      </c>
      <c r="M903" t="s">
        <v>91</v>
      </c>
      <c r="N903" t="s">
        <v>91</v>
      </c>
      <c r="O903" t="s">
        <v>136</v>
      </c>
      <c r="P903" t="s">
        <v>137</v>
      </c>
      <c r="R903" t="s">
        <v>2020</v>
      </c>
      <c r="T903" s="24">
        <v>-39948068</v>
      </c>
      <c r="X903" t="s">
        <v>92</v>
      </c>
    </row>
    <row r="904" spans="1:24" x14ac:dyDescent="0.3">
      <c r="A904" s="36">
        <v>45439</v>
      </c>
      <c r="B904" t="s">
        <v>90</v>
      </c>
      <c r="C904" t="s">
        <v>2021</v>
      </c>
      <c r="G904" s="51">
        <v>45439</v>
      </c>
      <c r="J904" s="24">
        <v>4500000</v>
      </c>
      <c r="K904" t="s">
        <v>142</v>
      </c>
      <c r="L904">
        <v>2405271142</v>
      </c>
      <c r="M904" t="s">
        <v>91</v>
      </c>
      <c r="N904" t="s">
        <v>91</v>
      </c>
      <c r="O904" t="s">
        <v>143</v>
      </c>
      <c r="P904" t="s">
        <v>144</v>
      </c>
      <c r="R904" t="s">
        <v>2022</v>
      </c>
      <c r="T904" s="24">
        <v>-35448068</v>
      </c>
    </row>
    <row r="905" spans="1:24" x14ac:dyDescent="0.3">
      <c r="A905" s="36">
        <v>45439</v>
      </c>
      <c r="B905" t="s">
        <v>90</v>
      </c>
      <c r="C905" t="s">
        <v>2023</v>
      </c>
      <c r="G905" s="51">
        <v>45439</v>
      </c>
      <c r="J905" s="24">
        <v>760751</v>
      </c>
      <c r="K905" t="s">
        <v>2024</v>
      </c>
      <c r="L905">
        <v>2405271212</v>
      </c>
      <c r="M905" t="s">
        <v>91</v>
      </c>
      <c r="N905" t="s">
        <v>91</v>
      </c>
      <c r="P905" t="s">
        <v>137</v>
      </c>
      <c r="R905">
        <v>686868902502</v>
      </c>
      <c r="T905" s="24">
        <v>-34687317</v>
      </c>
      <c r="X905" t="s">
        <v>92</v>
      </c>
    </row>
    <row r="906" spans="1:24" x14ac:dyDescent="0.3">
      <c r="A906" s="36">
        <v>45439</v>
      </c>
      <c r="B906" t="s">
        <v>90</v>
      </c>
      <c r="C906" t="s">
        <v>2025</v>
      </c>
      <c r="G906" s="51">
        <v>45439</v>
      </c>
      <c r="I906" s="24">
        <v>-4300000</v>
      </c>
      <c r="K906" t="s">
        <v>135</v>
      </c>
      <c r="L906">
        <v>2405271217</v>
      </c>
      <c r="M906" t="s">
        <v>91</v>
      </c>
      <c r="N906" t="s">
        <v>91</v>
      </c>
      <c r="O906" t="s">
        <v>136</v>
      </c>
      <c r="P906" t="s">
        <v>137</v>
      </c>
      <c r="R906" t="s">
        <v>2026</v>
      </c>
      <c r="T906" s="24">
        <v>-38987317</v>
      </c>
    </row>
    <row r="907" spans="1:24" x14ac:dyDescent="0.3">
      <c r="A907" s="36">
        <v>45439</v>
      </c>
      <c r="B907" t="s">
        <v>90</v>
      </c>
      <c r="C907" t="s">
        <v>2027</v>
      </c>
      <c r="G907" s="51">
        <v>45439</v>
      </c>
      <c r="J907" s="24">
        <v>65000</v>
      </c>
      <c r="K907" t="s">
        <v>135</v>
      </c>
      <c r="L907">
        <v>2405271219</v>
      </c>
      <c r="M907" t="s">
        <v>91</v>
      </c>
      <c r="N907" t="s">
        <v>91</v>
      </c>
      <c r="O907" t="s">
        <v>136</v>
      </c>
      <c r="P907" t="s">
        <v>137</v>
      </c>
      <c r="R907" t="s">
        <v>2028</v>
      </c>
      <c r="T907" s="24">
        <v>-38922317</v>
      </c>
    </row>
    <row r="908" spans="1:24" x14ac:dyDescent="0.3">
      <c r="A908" s="36">
        <v>45439</v>
      </c>
      <c r="B908" t="s">
        <v>90</v>
      </c>
      <c r="C908" t="s">
        <v>2029</v>
      </c>
      <c r="G908" s="51">
        <v>45439</v>
      </c>
      <c r="I908" s="24">
        <v>-35000</v>
      </c>
      <c r="K908" t="s">
        <v>2000</v>
      </c>
      <c r="L908">
        <v>2405271458</v>
      </c>
      <c r="M908" t="s">
        <v>91</v>
      </c>
      <c r="N908" t="s">
        <v>91</v>
      </c>
      <c r="O908" t="s">
        <v>136</v>
      </c>
      <c r="P908" t="s">
        <v>137</v>
      </c>
      <c r="R908" t="s">
        <v>2030</v>
      </c>
      <c r="T908" s="24">
        <v>-38957317</v>
      </c>
    </row>
    <row r="909" spans="1:24" x14ac:dyDescent="0.3">
      <c r="A909" s="36">
        <v>45439</v>
      </c>
      <c r="B909" t="s">
        <v>90</v>
      </c>
      <c r="C909" t="s">
        <v>2031</v>
      </c>
      <c r="G909" s="51">
        <v>45439</v>
      </c>
      <c r="I909" s="24">
        <v>-941726</v>
      </c>
      <c r="K909" t="s">
        <v>94</v>
      </c>
      <c r="L909">
        <v>2405272025</v>
      </c>
      <c r="M909" t="s">
        <v>66</v>
      </c>
      <c r="N909" t="s">
        <v>66</v>
      </c>
      <c r="O909" t="s">
        <v>136</v>
      </c>
      <c r="P909" t="s">
        <v>137</v>
      </c>
      <c r="T909" s="24">
        <v>-39899043</v>
      </c>
    </row>
    <row r="910" spans="1:24" x14ac:dyDescent="0.3">
      <c r="A910" s="36">
        <v>45440</v>
      </c>
      <c r="B910" t="s">
        <v>90</v>
      </c>
      <c r="C910" t="s">
        <v>2032</v>
      </c>
      <c r="G910" s="51">
        <v>45440</v>
      </c>
      <c r="I910" s="24">
        <v>-100000</v>
      </c>
      <c r="K910" t="s">
        <v>135</v>
      </c>
      <c r="L910">
        <v>2405281904</v>
      </c>
      <c r="M910" t="s">
        <v>91</v>
      </c>
      <c r="N910" t="s">
        <v>91</v>
      </c>
      <c r="O910" t="s">
        <v>136</v>
      </c>
      <c r="P910" t="s">
        <v>137</v>
      </c>
      <c r="R910" t="s">
        <v>2033</v>
      </c>
      <c r="T910" s="24">
        <v>-39999043</v>
      </c>
      <c r="X910" t="s">
        <v>92</v>
      </c>
    </row>
    <row r="911" spans="1:24" x14ac:dyDescent="0.3">
      <c r="A911" s="36">
        <v>45444</v>
      </c>
      <c r="B911" t="s">
        <v>90</v>
      </c>
      <c r="C911" t="s">
        <v>2034</v>
      </c>
      <c r="G911" s="51">
        <v>45444</v>
      </c>
      <c r="J911" s="24">
        <v>153432</v>
      </c>
      <c r="K911" t="s">
        <v>2035</v>
      </c>
      <c r="L911">
        <v>2406011125</v>
      </c>
      <c r="M911" t="s">
        <v>91</v>
      </c>
      <c r="N911" t="s">
        <v>91</v>
      </c>
      <c r="P911" t="s">
        <v>137</v>
      </c>
      <c r="R911">
        <v>970422426797</v>
      </c>
      <c r="T911" s="24">
        <v>-39845611</v>
      </c>
      <c r="X911" t="s">
        <v>92</v>
      </c>
    </row>
    <row r="912" spans="1:24" x14ac:dyDescent="0.3">
      <c r="A912" s="36">
        <v>45444</v>
      </c>
      <c r="B912" t="s">
        <v>90</v>
      </c>
      <c r="C912" t="s">
        <v>2036</v>
      </c>
      <c r="G912" s="51">
        <v>45444</v>
      </c>
      <c r="I912" s="24">
        <v>-50000</v>
      </c>
      <c r="K912" t="s">
        <v>135</v>
      </c>
      <c r="L912">
        <v>2406011454</v>
      </c>
      <c r="M912" t="s">
        <v>91</v>
      </c>
      <c r="N912" t="s">
        <v>91</v>
      </c>
      <c r="O912" t="s">
        <v>136</v>
      </c>
      <c r="P912" t="s">
        <v>137</v>
      </c>
      <c r="R912" t="s">
        <v>2037</v>
      </c>
      <c r="T912" s="24">
        <v>-39895611</v>
      </c>
    </row>
    <row r="913" spans="1:24" x14ac:dyDescent="0.3">
      <c r="A913" s="36">
        <v>45444</v>
      </c>
      <c r="B913" t="s">
        <v>90</v>
      </c>
      <c r="C913" t="s">
        <v>2038</v>
      </c>
      <c r="G913" s="51">
        <v>45444</v>
      </c>
      <c r="I913" s="24">
        <v>-50000</v>
      </c>
      <c r="K913" t="s">
        <v>135</v>
      </c>
      <c r="L913">
        <v>2406011903</v>
      </c>
      <c r="M913" t="s">
        <v>91</v>
      </c>
      <c r="N913" t="s">
        <v>91</v>
      </c>
      <c r="O913" t="s">
        <v>136</v>
      </c>
      <c r="P913" t="s">
        <v>137</v>
      </c>
      <c r="R913" t="s">
        <v>2039</v>
      </c>
      <c r="T913" s="24">
        <v>-39945611</v>
      </c>
    </row>
    <row r="914" spans="1:24" x14ac:dyDescent="0.3">
      <c r="A914" s="36">
        <v>45446</v>
      </c>
      <c r="B914" t="s">
        <v>90</v>
      </c>
      <c r="C914" t="s">
        <v>2040</v>
      </c>
      <c r="G914" s="51">
        <v>45446</v>
      </c>
      <c r="J914" s="24">
        <v>447990</v>
      </c>
      <c r="K914" t="s">
        <v>2041</v>
      </c>
      <c r="L914">
        <v>2406020905</v>
      </c>
      <c r="M914" t="s">
        <v>91</v>
      </c>
      <c r="N914" t="s">
        <v>91</v>
      </c>
      <c r="P914" t="s">
        <v>137</v>
      </c>
      <c r="R914">
        <v>888899102352</v>
      </c>
      <c r="T914" s="24">
        <v>-39497621</v>
      </c>
      <c r="X914" t="s">
        <v>92</v>
      </c>
    </row>
    <row r="915" spans="1:24" x14ac:dyDescent="0.3">
      <c r="A915" s="36">
        <v>45446</v>
      </c>
      <c r="B915" t="s">
        <v>90</v>
      </c>
      <c r="C915" t="s">
        <v>2042</v>
      </c>
      <c r="G915" s="51">
        <v>45446</v>
      </c>
      <c r="I915" s="24">
        <v>-500000</v>
      </c>
      <c r="K915" t="s">
        <v>135</v>
      </c>
      <c r="L915">
        <v>2406020905</v>
      </c>
      <c r="M915" t="s">
        <v>91</v>
      </c>
      <c r="N915" t="s">
        <v>91</v>
      </c>
      <c r="O915" t="s">
        <v>136</v>
      </c>
      <c r="P915" t="s">
        <v>137</v>
      </c>
      <c r="R915" t="s">
        <v>2043</v>
      </c>
      <c r="T915" s="24">
        <v>-39997621</v>
      </c>
    </row>
    <row r="916" spans="1:24" x14ac:dyDescent="0.3">
      <c r="A916" s="36">
        <v>45446</v>
      </c>
      <c r="B916" t="s">
        <v>90</v>
      </c>
      <c r="C916" t="s">
        <v>2044</v>
      </c>
      <c r="G916" s="51">
        <v>45446</v>
      </c>
      <c r="J916" s="24">
        <v>50000</v>
      </c>
      <c r="K916" t="s">
        <v>135</v>
      </c>
      <c r="L916">
        <v>2406020942</v>
      </c>
      <c r="M916" t="s">
        <v>91</v>
      </c>
      <c r="N916" t="s">
        <v>91</v>
      </c>
      <c r="O916" t="s">
        <v>136</v>
      </c>
      <c r="P916" t="s">
        <v>137</v>
      </c>
      <c r="R916" t="s">
        <v>2045</v>
      </c>
      <c r="T916" s="24">
        <v>-39947621</v>
      </c>
    </row>
    <row r="917" spans="1:24" x14ac:dyDescent="0.3">
      <c r="A917" s="36">
        <v>45446</v>
      </c>
      <c r="B917" t="s">
        <v>90</v>
      </c>
      <c r="C917" t="s">
        <v>2046</v>
      </c>
      <c r="G917" s="51">
        <v>45446</v>
      </c>
      <c r="I917" s="24">
        <v>-15000</v>
      </c>
      <c r="K917" t="s">
        <v>2047</v>
      </c>
      <c r="L917">
        <v>2406020943</v>
      </c>
      <c r="M917" t="s">
        <v>91</v>
      </c>
      <c r="N917" t="s">
        <v>91</v>
      </c>
      <c r="O917" t="s">
        <v>136</v>
      </c>
      <c r="P917" t="s">
        <v>97</v>
      </c>
      <c r="R917" t="s">
        <v>2048</v>
      </c>
      <c r="T917" s="24">
        <v>-39962621</v>
      </c>
    </row>
    <row r="918" spans="1:24" x14ac:dyDescent="0.3">
      <c r="A918" s="36">
        <v>45448</v>
      </c>
      <c r="B918" t="s">
        <v>90</v>
      </c>
      <c r="C918" t="s">
        <v>2049</v>
      </c>
      <c r="G918" s="51">
        <v>45448</v>
      </c>
      <c r="J918" s="24">
        <v>1300000</v>
      </c>
      <c r="K918" t="s">
        <v>2050</v>
      </c>
      <c r="L918">
        <v>2406051011</v>
      </c>
      <c r="M918" t="s">
        <v>91</v>
      </c>
      <c r="N918" t="s">
        <v>91</v>
      </c>
      <c r="P918" t="s">
        <v>137</v>
      </c>
      <c r="R918">
        <v>970416744279</v>
      </c>
      <c r="T918" s="24">
        <v>-38662621</v>
      </c>
      <c r="X918" t="s">
        <v>92</v>
      </c>
    </row>
    <row r="919" spans="1:24" x14ac:dyDescent="0.3">
      <c r="A919" s="36">
        <v>45448</v>
      </c>
      <c r="B919" t="s">
        <v>90</v>
      </c>
      <c r="C919" t="s">
        <v>2051</v>
      </c>
      <c r="G919" s="51">
        <v>45448</v>
      </c>
      <c r="I919" s="24">
        <v>-1000000</v>
      </c>
      <c r="K919" t="s">
        <v>135</v>
      </c>
      <c r="L919">
        <v>2406051013</v>
      </c>
      <c r="M919" t="s">
        <v>91</v>
      </c>
      <c r="N919" t="s">
        <v>91</v>
      </c>
      <c r="O919" t="s">
        <v>136</v>
      </c>
      <c r="P919" t="s">
        <v>137</v>
      </c>
      <c r="R919" t="s">
        <v>2052</v>
      </c>
      <c r="T919" s="24">
        <v>-39662621</v>
      </c>
      <c r="X919" t="s">
        <v>92</v>
      </c>
    </row>
    <row r="920" spans="1:24" x14ac:dyDescent="0.3">
      <c r="A920" s="36">
        <v>45448</v>
      </c>
      <c r="B920" t="s">
        <v>90</v>
      </c>
      <c r="C920" t="s">
        <v>2053</v>
      </c>
      <c r="G920" s="51">
        <v>45448</v>
      </c>
      <c r="I920" s="24">
        <v>-245673</v>
      </c>
      <c r="K920" t="s">
        <v>2054</v>
      </c>
      <c r="L920">
        <v>2406051047</v>
      </c>
      <c r="M920" t="s">
        <v>91</v>
      </c>
      <c r="N920" t="s">
        <v>91</v>
      </c>
      <c r="O920" t="s">
        <v>136</v>
      </c>
      <c r="P920" t="s">
        <v>93</v>
      </c>
      <c r="R920">
        <v>59893429586</v>
      </c>
      <c r="T920" s="24">
        <v>-39908294</v>
      </c>
    </row>
    <row r="921" spans="1:24" x14ac:dyDescent="0.3">
      <c r="A921" s="36">
        <v>45448</v>
      </c>
      <c r="B921" t="s">
        <v>90</v>
      </c>
      <c r="C921" t="s">
        <v>2055</v>
      </c>
      <c r="G921" s="51">
        <v>45448</v>
      </c>
      <c r="J921" s="24">
        <v>840000</v>
      </c>
      <c r="K921" t="s">
        <v>2056</v>
      </c>
      <c r="L921">
        <v>2406051056</v>
      </c>
      <c r="M921" t="s">
        <v>91</v>
      </c>
      <c r="N921" t="s">
        <v>91</v>
      </c>
      <c r="O921" t="s">
        <v>143</v>
      </c>
      <c r="P921" t="s">
        <v>144</v>
      </c>
      <c r="R921" t="s">
        <v>2057</v>
      </c>
      <c r="T921" s="24">
        <v>-39068294</v>
      </c>
    </row>
    <row r="922" spans="1:24" x14ac:dyDescent="0.3">
      <c r="A922" s="36">
        <v>45448</v>
      </c>
      <c r="B922" t="s">
        <v>90</v>
      </c>
      <c r="C922" t="s">
        <v>2058</v>
      </c>
      <c r="G922" s="51">
        <v>45448</v>
      </c>
      <c r="I922" s="24">
        <v>-400000</v>
      </c>
      <c r="K922" t="s">
        <v>135</v>
      </c>
      <c r="L922">
        <v>2406051243</v>
      </c>
      <c r="M922" t="s">
        <v>91</v>
      </c>
      <c r="N922" t="s">
        <v>91</v>
      </c>
      <c r="O922" t="s">
        <v>136</v>
      </c>
      <c r="P922" t="s">
        <v>137</v>
      </c>
      <c r="R922" t="s">
        <v>2059</v>
      </c>
      <c r="T922" s="24">
        <v>-39468294</v>
      </c>
      <c r="X922" t="s">
        <v>92</v>
      </c>
    </row>
    <row r="923" spans="1:24" x14ac:dyDescent="0.3">
      <c r="A923" s="36">
        <v>45448</v>
      </c>
      <c r="B923" t="s">
        <v>90</v>
      </c>
      <c r="C923" t="s">
        <v>2060</v>
      </c>
      <c r="G923" s="51">
        <v>45448</v>
      </c>
      <c r="I923" s="24">
        <v>-400000</v>
      </c>
      <c r="K923" t="s">
        <v>135</v>
      </c>
      <c r="L923">
        <v>2406051246</v>
      </c>
      <c r="M923" t="s">
        <v>91</v>
      </c>
      <c r="N923" t="s">
        <v>91</v>
      </c>
      <c r="O923" t="s">
        <v>136</v>
      </c>
      <c r="P923" t="s">
        <v>137</v>
      </c>
      <c r="R923" t="s">
        <v>2061</v>
      </c>
      <c r="T923" s="24">
        <v>-39868294</v>
      </c>
      <c r="X923" t="s">
        <v>92</v>
      </c>
    </row>
    <row r="924" spans="1:24" x14ac:dyDescent="0.3">
      <c r="A924" s="36">
        <v>45449</v>
      </c>
      <c r="B924" t="s">
        <v>90</v>
      </c>
      <c r="C924" t="s">
        <v>2062</v>
      </c>
      <c r="G924" s="51">
        <v>45449</v>
      </c>
      <c r="I924" s="24">
        <v>-120000</v>
      </c>
      <c r="K924" t="s">
        <v>135</v>
      </c>
      <c r="L924">
        <v>2406061724</v>
      </c>
      <c r="M924" t="s">
        <v>91</v>
      </c>
      <c r="N924" t="s">
        <v>91</v>
      </c>
      <c r="O924" t="s">
        <v>136</v>
      </c>
      <c r="P924" t="s">
        <v>137</v>
      </c>
      <c r="R924" t="s">
        <v>2063</v>
      </c>
      <c r="T924" s="24">
        <v>-39988294</v>
      </c>
      <c r="X924" t="s">
        <v>92</v>
      </c>
    </row>
    <row r="925" spans="1:24" x14ac:dyDescent="0.3">
      <c r="A925" s="36">
        <v>45450</v>
      </c>
      <c r="B925" t="s">
        <v>90</v>
      </c>
      <c r="C925" t="s">
        <v>2064</v>
      </c>
      <c r="G925" s="51">
        <v>45450</v>
      </c>
      <c r="J925" s="24">
        <v>700000</v>
      </c>
      <c r="K925" t="s">
        <v>2065</v>
      </c>
      <c r="L925">
        <v>2406062150</v>
      </c>
      <c r="M925" t="s">
        <v>91</v>
      </c>
      <c r="N925" t="s">
        <v>91</v>
      </c>
      <c r="P925" t="s">
        <v>137</v>
      </c>
      <c r="R925">
        <v>970488915827</v>
      </c>
      <c r="T925" s="24">
        <v>-39288294</v>
      </c>
      <c r="X925" t="s">
        <v>92</v>
      </c>
    </row>
    <row r="926" spans="1:24" x14ac:dyDescent="0.3">
      <c r="A926" s="36">
        <v>45450</v>
      </c>
      <c r="B926" t="s">
        <v>90</v>
      </c>
      <c r="C926" t="s">
        <v>2066</v>
      </c>
      <c r="G926" s="51">
        <v>45450</v>
      </c>
      <c r="J926" s="24">
        <v>345076</v>
      </c>
      <c r="K926" t="s">
        <v>2067</v>
      </c>
      <c r="L926">
        <v>2406071705</v>
      </c>
      <c r="M926" t="s">
        <v>91</v>
      </c>
      <c r="N926" t="s">
        <v>91</v>
      </c>
      <c r="P926" t="s">
        <v>137</v>
      </c>
      <c r="R926">
        <v>686868969277</v>
      </c>
      <c r="T926" s="24">
        <v>-38943218</v>
      </c>
      <c r="X926" t="s">
        <v>92</v>
      </c>
    </row>
    <row r="927" spans="1:24" x14ac:dyDescent="0.3">
      <c r="A927" s="36">
        <v>45451</v>
      </c>
      <c r="B927" t="s">
        <v>90</v>
      </c>
      <c r="C927" t="s">
        <v>2068</v>
      </c>
      <c r="G927" s="51">
        <v>45451</v>
      </c>
      <c r="I927" s="24">
        <v>-20000</v>
      </c>
      <c r="K927" t="s">
        <v>2069</v>
      </c>
      <c r="L927">
        <v>2406080940</v>
      </c>
      <c r="M927" t="s">
        <v>91</v>
      </c>
      <c r="N927" t="s">
        <v>91</v>
      </c>
      <c r="O927" t="s">
        <v>136</v>
      </c>
      <c r="P927" t="s">
        <v>97</v>
      </c>
      <c r="R927" t="s">
        <v>2070</v>
      </c>
      <c r="T927" s="24">
        <v>-38963218</v>
      </c>
    </row>
    <row r="928" spans="1:24" x14ac:dyDescent="0.3">
      <c r="A928" s="36">
        <v>45451</v>
      </c>
      <c r="B928" t="s">
        <v>90</v>
      </c>
      <c r="C928" t="s">
        <v>2071</v>
      </c>
      <c r="G928" s="51">
        <v>45451</v>
      </c>
      <c r="I928" s="24">
        <v>-10000</v>
      </c>
      <c r="K928" t="s">
        <v>2072</v>
      </c>
      <c r="L928">
        <v>2406080941</v>
      </c>
      <c r="M928" t="s">
        <v>91</v>
      </c>
      <c r="N928" t="s">
        <v>91</v>
      </c>
      <c r="O928" t="s">
        <v>136</v>
      </c>
      <c r="P928" t="s">
        <v>97</v>
      </c>
      <c r="R928" t="s">
        <v>2073</v>
      </c>
      <c r="T928" s="24">
        <v>-38973218</v>
      </c>
    </row>
    <row r="929" spans="1:24" x14ac:dyDescent="0.3">
      <c r="A929" s="36">
        <v>45451</v>
      </c>
      <c r="B929" t="s">
        <v>90</v>
      </c>
      <c r="C929" t="s">
        <v>2074</v>
      </c>
      <c r="G929" s="51">
        <v>45451</v>
      </c>
      <c r="I929" s="24">
        <v>-10000</v>
      </c>
      <c r="K929" t="s">
        <v>2075</v>
      </c>
      <c r="L929">
        <v>2406080944</v>
      </c>
      <c r="M929" t="s">
        <v>91</v>
      </c>
      <c r="N929" t="s">
        <v>91</v>
      </c>
      <c r="O929" t="s">
        <v>136</v>
      </c>
      <c r="P929" t="s">
        <v>97</v>
      </c>
      <c r="R929" t="s">
        <v>2076</v>
      </c>
      <c r="T929" s="24">
        <v>-38983218</v>
      </c>
    </row>
    <row r="930" spans="1:24" x14ac:dyDescent="0.3">
      <c r="A930" s="36">
        <v>45451</v>
      </c>
      <c r="B930" t="s">
        <v>90</v>
      </c>
      <c r="C930" t="s">
        <v>2077</v>
      </c>
      <c r="G930" s="51">
        <v>45451</v>
      </c>
      <c r="I930" s="24">
        <v>-183280</v>
      </c>
      <c r="K930" t="s">
        <v>2078</v>
      </c>
      <c r="L930">
        <v>2406081017</v>
      </c>
      <c r="M930" t="s">
        <v>91</v>
      </c>
      <c r="N930" t="s">
        <v>91</v>
      </c>
      <c r="O930" t="s">
        <v>136</v>
      </c>
      <c r="P930" t="s">
        <v>137</v>
      </c>
      <c r="R930" t="s">
        <v>2079</v>
      </c>
      <c r="T930" s="24">
        <v>-39166498</v>
      </c>
    </row>
    <row r="931" spans="1:24" x14ac:dyDescent="0.3">
      <c r="A931" s="36">
        <v>45451</v>
      </c>
      <c r="B931" t="s">
        <v>90</v>
      </c>
      <c r="C931" t="s">
        <v>2080</v>
      </c>
      <c r="G931" s="51">
        <v>45451</v>
      </c>
      <c r="I931" s="24">
        <v>-833000</v>
      </c>
      <c r="K931" t="s">
        <v>135</v>
      </c>
      <c r="L931">
        <v>2406081027</v>
      </c>
      <c r="M931" t="s">
        <v>91</v>
      </c>
      <c r="N931" t="s">
        <v>91</v>
      </c>
      <c r="O931" t="s">
        <v>136</v>
      </c>
      <c r="P931" t="s">
        <v>137</v>
      </c>
      <c r="R931" t="s">
        <v>2081</v>
      </c>
      <c r="T931" s="24">
        <v>-39999498</v>
      </c>
    </row>
    <row r="932" spans="1:24" x14ac:dyDescent="0.3">
      <c r="A932" s="36">
        <v>45453</v>
      </c>
      <c r="B932" t="s">
        <v>90</v>
      </c>
      <c r="C932" t="s">
        <v>2082</v>
      </c>
      <c r="G932" s="51">
        <v>45453</v>
      </c>
      <c r="J932" s="24">
        <v>180000</v>
      </c>
      <c r="K932" t="s">
        <v>2083</v>
      </c>
      <c r="L932">
        <v>2406090934</v>
      </c>
      <c r="M932" t="s">
        <v>91</v>
      </c>
      <c r="N932" t="s">
        <v>91</v>
      </c>
      <c r="P932" t="s">
        <v>137</v>
      </c>
      <c r="R932">
        <v>970422999279</v>
      </c>
      <c r="T932" s="24">
        <v>-39819498</v>
      </c>
      <c r="X932" t="s">
        <v>92</v>
      </c>
    </row>
    <row r="933" spans="1:24" x14ac:dyDescent="0.3">
      <c r="A933" s="36">
        <v>45453</v>
      </c>
      <c r="B933" t="s">
        <v>90</v>
      </c>
      <c r="C933" t="s">
        <v>2084</v>
      </c>
      <c r="G933" s="51">
        <v>45453</v>
      </c>
      <c r="I933" s="24">
        <v>-170000</v>
      </c>
      <c r="K933" t="s">
        <v>135</v>
      </c>
      <c r="L933">
        <v>2406101715</v>
      </c>
      <c r="M933" t="s">
        <v>91</v>
      </c>
      <c r="N933" t="s">
        <v>91</v>
      </c>
      <c r="O933" t="s">
        <v>136</v>
      </c>
      <c r="P933" t="s">
        <v>137</v>
      </c>
      <c r="R933" t="s">
        <v>2085</v>
      </c>
      <c r="T933" s="24">
        <v>-39989498</v>
      </c>
      <c r="X933" t="s">
        <v>92</v>
      </c>
    </row>
    <row r="934" spans="1:24" x14ac:dyDescent="0.3">
      <c r="A934" s="36">
        <v>45455</v>
      </c>
      <c r="B934" t="s">
        <v>90</v>
      </c>
      <c r="C934" t="s">
        <v>2086</v>
      </c>
      <c r="G934" s="51">
        <v>45455</v>
      </c>
      <c r="J934" s="24">
        <v>284350</v>
      </c>
      <c r="K934" t="s">
        <v>2087</v>
      </c>
      <c r="L934">
        <v>2406121635</v>
      </c>
      <c r="M934" t="s">
        <v>91</v>
      </c>
      <c r="N934" t="s">
        <v>91</v>
      </c>
      <c r="P934" t="s">
        <v>137</v>
      </c>
      <c r="R934">
        <v>970488821281</v>
      </c>
      <c r="T934" s="24">
        <v>-39705148</v>
      </c>
      <c r="X934" t="s">
        <v>92</v>
      </c>
    </row>
    <row r="935" spans="1:24" x14ac:dyDescent="0.3">
      <c r="A935" s="36">
        <v>45455</v>
      </c>
      <c r="B935" t="s">
        <v>90</v>
      </c>
      <c r="C935" t="s">
        <v>2088</v>
      </c>
      <c r="G935" s="51">
        <v>45455</v>
      </c>
      <c r="I935" s="24">
        <v>-258536</v>
      </c>
      <c r="K935">
        <v>2.06341544272775E+19</v>
      </c>
      <c r="L935">
        <v>2406121742</v>
      </c>
      <c r="M935" t="s">
        <v>91</v>
      </c>
      <c r="N935" t="s">
        <v>91</v>
      </c>
      <c r="O935" t="s">
        <v>136</v>
      </c>
      <c r="P935" t="s">
        <v>137</v>
      </c>
      <c r="R935" t="s">
        <v>2089</v>
      </c>
      <c r="T935" s="24">
        <v>-39963684</v>
      </c>
    </row>
    <row r="936" spans="1:24" x14ac:dyDescent="0.3">
      <c r="A936" s="36">
        <v>45457</v>
      </c>
      <c r="B936" t="s">
        <v>90</v>
      </c>
      <c r="C936" t="s">
        <v>2090</v>
      </c>
      <c r="G936" s="51">
        <v>45457</v>
      </c>
      <c r="J936" s="24">
        <v>16000</v>
      </c>
      <c r="K936" t="s">
        <v>135</v>
      </c>
      <c r="L936">
        <v>2406141657</v>
      </c>
      <c r="M936" t="s">
        <v>91</v>
      </c>
      <c r="N936" t="s">
        <v>91</v>
      </c>
      <c r="O936" t="s">
        <v>136</v>
      </c>
      <c r="P936" t="s">
        <v>137</v>
      </c>
      <c r="R936" t="s">
        <v>2091</v>
      </c>
      <c r="T936" s="24">
        <v>-39947684</v>
      </c>
    </row>
    <row r="937" spans="1:24" x14ac:dyDescent="0.3">
      <c r="A937" s="36">
        <v>45457</v>
      </c>
      <c r="B937" t="s">
        <v>90</v>
      </c>
      <c r="C937" t="s">
        <v>2092</v>
      </c>
      <c r="G937" s="51">
        <v>45457</v>
      </c>
      <c r="I937" s="24">
        <v>-48000</v>
      </c>
      <c r="K937" t="s">
        <v>2093</v>
      </c>
      <c r="L937">
        <v>2406141659</v>
      </c>
      <c r="M937" t="s">
        <v>91</v>
      </c>
      <c r="N937" t="s">
        <v>91</v>
      </c>
      <c r="O937" t="s">
        <v>136</v>
      </c>
      <c r="P937" t="s">
        <v>137</v>
      </c>
      <c r="R937" t="s">
        <v>2094</v>
      </c>
      <c r="T937" s="24">
        <v>-39995684</v>
      </c>
    </row>
    <row r="938" spans="1:24" x14ac:dyDescent="0.3">
      <c r="A938" s="36">
        <v>45460</v>
      </c>
      <c r="B938" t="s">
        <v>90</v>
      </c>
      <c r="C938" t="s">
        <v>2095</v>
      </c>
      <c r="G938" s="51">
        <v>45460</v>
      </c>
      <c r="J938" s="24">
        <v>2671104</v>
      </c>
      <c r="K938" t="s">
        <v>2096</v>
      </c>
      <c r="L938">
        <v>2406161133</v>
      </c>
      <c r="M938" t="s">
        <v>91</v>
      </c>
      <c r="N938" t="s">
        <v>91</v>
      </c>
      <c r="P938" t="s">
        <v>137</v>
      </c>
      <c r="R938">
        <v>970468367210</v>
      </c>
      <c r="T938" s="24">
        <v>-37324580</v>
      </c>
      <c r="X938" t="s">
        <v>92</v>
      </c>
    </row>
    <row r="939" spans="1:24" x14ac:dyDescent="0.3">
      <c r="A939" s="36">
        <v>45460</v>
      </c>
      <c r="B939" t="s">
        <v>90</v>
      </c>
      <c r="C939" t="s">
        <v>2097</v>
      </c>
      <c r="G939" s="51">
        <v>45460</v>
      </c>
      <c r="I939" s="24">
        <v>-2650000</v>
      </c>
      <c r="K939" t="s">
        <v>1877</v>
      </c>
      <c r="L939">
        <v>2406161134</v>
      </c>
      <c r="M939" t="s">
        <v>91</v>
      </c>
      <c r="N939" t="s">
        <v>91</v>
      </c>
      <c r="O939" t="s">
        <v>136</v>
      </c>
      <c r="P939" t="s">
        <v>137</v>
      </c>
      <c r="R939" t="s">
        <v>2098</v>
      </c>
      <c r="T939" s="24">
        <v>-39974580</v>
      </c>
    </row>
    <row r="940" spans="1:24" x14ac:dyDescent="0.3">
      <c r="A940" s="36">
        <v>45460</v>
      </c>
      <c r="B940" t="s">
        <v>90</v>
      </c>
      <c r="C940" t="s">
        <v>2099</v>
      </c>
      <c r="G940" s="51">
        <v>45460</v>
      </c>
      <c r="J940" s="24">
        <v>172080</v>
      </c>
      <c r="K940" t="s">
        <v>2100</v>
      </c>
      <c r="L940">
        <v>2406161807</v>
      </c>
      <c r="M940" t="s">
        <v>91</v>
      </c>
      <c r="N940" t="s">
        <v>91</v>
      </c>
      <c r="P940" t="s">
        <v>137</v>
      </c>
      <c r="R940">
        <v>686868562558</v>
      </c>
      <c r="T940" s="24">
        <v>-39802500</v>
      </c>
      <c r="X940" t="s">
        <v>92</v>
      </c>
    </row>
    <row r="941" spans="1:24" x14ac:dyDescent="0.3">
      <c r="A941" s="36">
        <v>45460</v>
      </c>
      <c r="B941" t="s">
        <v>90</v>
      </c>
      <c r="C941" t="s">
        <v>2101</v>
      </c>
      <c r="G941" s="51">
        <v>45460</v>
      </c>
      <c r="I941" s="24">
        <v>-130000</v>
      </c>
      <c r="K941" t="s">
        <v>2102</v>
      </c>
      <c r="L941">
        <v>2406161810</v>
      </c>
      <c r="M941" t="s">
        <v>91</v>
      </c>
      <c r="N941" t="s">
        <v>91</v>
      </c>
      <c r="O941" t="s">
        <v>136</v>
      </c>
      <c r="P941" t="s">
        <v>137</v>
      </c>
      <c r="R941" t="s">
        <v>2103</v>
      </c>
      <c r="T941" s="24">
        <v>-39932500</v>
      </c>
      <c r="X941" t="s">
        <v>92</v>
      </c>
    </row>
    <row r="942" spans="1:24" x14ac:dyDescent="0.3">
      <c r="A942" s="36">
        <v>45461</v>
      </c>
      <c r="B942" t="s">
        <v>90</v>
      </c>
      <c r="C942" t="s">
        <v>2104</v>
      </c>
      <c r="G942" s="51">
        <v>45461</v>
      </c>
      <c r="I942" s="24">
        <v>-65000</v>
      </c>
      <c r="K942" t="s">
        <v>2102</v>
      </c>
      <c r="L942">
        <v>2406180909</v>
      </c>
      <c r="M942" t="s">
        <v>91</v>
      </c>
      <c r="N942" t="s">
        <v>91</v>
      </c>
      <c r="O942" t="s">
        <v>136</v>
      </c>
      <c r="P942" t="s">
        <v>137</v>
      </c>
      <c r="R942" t="s">
        <v>2105</v>
      </c>
      <c r="T942" s="24">
        <v>-39997500</v>
      </c>
      <c r="X942" t="s">
        <v>92</v>
      </c>
    </row>
    <row r="943" spans="1:24" x14ac:dyDescent="0.3">
      <c r="A943" s="36">
        <v>45462</v>
      </c>
      <c r="B943" t="s">
        <v>90</v>
      </c>
      <c r="C943" t="s">
        <v>2106</v>
      </c>
      <c r="G943" s="51">
        <v>45462</v>
      </c>
      <c r="J943" s="24">
        <v>285439</v>
      </c>
      <c r="K943" t="s">
        <v>2107</v>
      </c>
      <c r="L943">
        <v>2406191745</v>
      </c>
      <c r="M943" t="s">
        <v>91</v>
      </c>
      <c r="N943" t="s">
        <v>91</v>
      </c>
      <c r="P943" t="s">
        <v>137</v>
      </c>
      <c r="R943">
        <v>686868594170</v>
      </c>
      <c r="T943" s="24">
        <v>-39712061</v>
      </c>
      <c r="X943" t="s">
        <v>92</v>
      </c>
    </row>
    <row r="944" spans="1:24" x14ac:dyDescent="0.3">
      <c r="A944" s="36">
        <v>45462</v>
      </c>
      <c r="B944" t="s">
        <v>90</v>
      </c>
      <c r="C944" t="s">
        <v>2108</v>
      </c>
      <c r="G944" s="51">
        <v>45462</v>
      </c>
      <c r="I944" s="24">
        <v>-260847</v>
      </c>
      <c r="K944">
        <v>2.2636712891790799E+19</v>
      </c>
      <c r="L944">
        <v>2406191857</v>
      </c>
      <c r="M944" t="s">
        <v>91</v>
      </c>
      <c r="N944" t="s">
        <v>91</v>
      </c>
      <c r="O944" t="s">
        <v>136</v>
      </c>
      <c r="P944" t="s">
        <v>137</v>
      </c>
      <c r="R944" t="s">
        <v>2109</v>
      </c>
      <c r="T944" s="24">
        <v>-39972908</v>
      </c>
      <c r="X944" t="s">
        <v>92</v>
      </c>
    </row>
    <row r="945" spans="1:24" x14ac:dyDescent="0.3">
      <c r="A945" s="36">
        <v>45462</v>
      </c>
      <c r="B945" t="s">
        <v>90</v>
      </c>
      <c r="C945" t="s">
        <v>2110</v>
      </c>
      <c r="G945" s="51">
        <v>45462</v>
      </c>
      <c r="J945" s="24">
        <v>285439</v>
      </c>
      <c r="K945" t="s">
        <v>2111</v>
      </c>
      <c r="L945">
        <v>2406191915</v>
      </c>
      <c r="M945" t="s">
        <v>91</v>
      </c>
      <c r="N945" t="s">
        <v>91</v>
      </c>
      <c r="P945" t="s">
        <v>137</v>
      </c>
      <c r="R945">
        <v>970488737860</v>
      </c>
      <c r="T945" s="24">
        <v>-39687469</v>
      </c>
      <c r="X945" t="s">
        <v>92</v>
      </c>
    </row>
    <row r="946" spans="1:24" x14ac:dyDescent="0.3">
      <c r="A946" s="36">
        <v>45462</v>
      </c>
      <c r="B946" t="s">
        <v>90</v>
      </c>
      <c r="C946" t="s">
        <v>2112</v>
      </c>
      <c r="G946" s="51">
        <v>45462</v>
      </c>
      <c r="I946" s="24">
        <v>-260877</v>
      </c>
      <c r="K946">
        <v>2.2636721326623498E+19</v>
      </c>
      <c r="L946">
        <v>2406191931</v>
      </c>
      <c r="M946" t="s">
        <v>91</v>
      </c>
      <c r="N946" t="s">
        <v>91</v>
      </c>
      <c r="O946" t="s">
        <v>136</v>
      </c>
      <c r="P946" t="s">
        <v>137</v>
      </c>
      <c r="R946" t="s">
        <v>2113</v>
      </c>
      <c r="T946" s="24">
        <v>-39948346</v>
      </c>
      <c r="X946" t="s">
        <v>92</v>
      </c>
    </row>
    <row r="947" spans="1:24" x14ac:dyDescent="0.3">
      <c r="A947" s="36">
        <v>45462</v>
      </c>
      <c r="B947" t="s">
        <v>90</v>
      </c>
      <c r="C947" t="s">
        <v>2114</v>
      </c>
      <c r="G947" s="51">
        <v>45462</v>
      </c>
      <c r="I947" s="24">
        <v>-2000</v>
      </c>
      <c r="K947" t="s">
        <v>2115</v>
      </c>
      <c r="L947">
        <v>2406192001</v>
      </c>
      <c r="M947" t="s">
        <v>91</v>
      </c>
      <c r="N947" t="s">
        <v>91</v>
      </c>
      <c r="O947" t="s">
        <v>136</v>
      </c>
      <c r="P947" t="s">
        <v>137</v>
      </c>
      <c r="R947" t="s">
        <v>2116</v>
      </c>
      <c r="T947" s="24">
        <v>-39950346</v>
      </c>
      <c r="X947" t="s">
        <v>92</v>
      </c>
    </row>
    <row r="948" spans="1:24" x14ac:dyDescent="0.3">
      <c r="A948" s="36">
        <v>45463</v>
      </c>
      <c r="B948" t="s">
        <v>90</v>
      </c>
      <c r="C948" t="s">
        <v>2117</v>
      </c>
      <c r="G948" s="51">
        <v>45463</v>
      </c>
      <c r="J948" s="24">
        <v>1000000</v>
      </c>
      <c r="K948" t="s">
        <v>2118</v>
      </c>
      <c r="L948">
        <v>2406202007</v>
      </c>
      <c r="M948" t="s">
        <v>91</v>
      </c>
      <c r="N948" t="s">
        <v>91</v>
      </c>
      <c r="P948" t="s">
        <v>137</v>
      </c>
      <c r="R948">
        <v>888899232618</v>
      </c>
      <c r="T948" s="24">
        <v>-38950346</v>
      </c>
      <c r="X948" t="s">
        <v>92</v>
      </c>
    </row>
    <row r="949" spans="1:24" x14ac:dyDescent="0.3">
      <c r="A949" s="36">
        <v>45463</v>
      </c>
      <c r="B949" t="s">
        <v>90</v>
      </c>
      <c r="C949" t="s">
        <v>2119</v>
      </c>
      <c r="G949" s="51">
        <v>45463</v>
      </c>
      <c r="I949" s="24">
        <v>-1000000</v>
      </c>
      <c r="K949">
        <v>2.26370937388899E+19</v>
      </c>
      <c r="L949">
        <v>2406202012</v>
      </c>
      <c r="M949" t="s">
        <v>91</v>
      </c>
      <c r="N949" t="s">
        <v>91</v>
      </c>
      <c r="O949" t="s">
        <v>136</v>
      </c>
      <c r="P949" t="s">
        <v>137</v>
      </c>
      <c r="R949" t="s">
        <v>2120</v>
      </c>
      <c r="T949" s="24">
        <v>-39950346</v>
      </c>
    </row>
    <row r="950" spans="1:24" x14ac:dyDescent="0.3">
      <c r="A950" s="36">
        <v>45464</v>
      </c>
      <c r="B950" t="s">
        <v>90</v>
      </c>
      <c r="C950" t="s">
        <v>2121</v>
      </c>
      <c r="G950" s="51">
        <v>45464</v>
      </c>
      <c r="I950" s="24">
        <v>-24000</v>
      </c>
      <c r="K950" t="s">
        <v>2122</v>
      </c>
      <c r="L950">
        <v>2406211710</v>
      </c>
      <c r="M950" t="s">
        <v>91</v>
      </c>
      <c r="N950" t="s">
        <v>91</v>
      </c>
      <c r="O950" t="s">
        <v>136</v>
      </c>
      <c r="P950" t="s">
        <v>137</v>
      </c>
      <c r="R950" t="s">
        <v>2123</v>
      </c>
      <c r="T950" s="24">
        <v>-39974346</v>
      </c>
    </row>
    <row r="951" spans="1:24" x14ac:dyDescent="0.3">
      <c r="A951" s="36">
        <v>45482</v>
      </c>
      <c r="B951" t="s">
        <v>90</v>
      </c>
      <c r="C951" t="s">
        <v>2124</v>
      </c>
      <c r="G951" s="51">
        <v>45482</v>
      </c>
      <c r="I951" s="24">
        <v>-18000</v>
      </c>
      <c r="K951" t="s">
        <v>135</v>
      </c>
      <c r="L951">
        <v>2407091453</v>
      </c>
      <c r="M951" t="s">
        <v>91</v>
      </c>
      <c r="N951" t="s">
        <v>91</v>
      </c>
      <c r="O951" t="s">
        <v>136</v>
      </c>
      <c r="P951" t="s">
        <v>137</v>
      </c>
      <c r="R951" t="s">
        <v>2125</v>
      </c>
      <c r="T951" s="24">
        <v>-39992346</v>
      </c>
    </row>
    <row r="952" spans="1:24" x14ac:dyDescent="0.3">
      <c r="A952" s="36">
        <v>45485</v>
      </c>
      <c r="B952" t="s">
        <v>90</v>
      </c>
      <c r="C952" t="s">
        <v>2126</v>
      </c>
      <c r="G952" s="51">
        <v>45485</v>
      </c>
      <c r="J952" s="24">
        <v>120000</v>
      </c>
      <c r="K952" t="s">
        <v>2127</v>
      </c>
      <c r="L952">
        <v>2407121056</v>
      </c>
      <c r="M952" t="s">
        <v>91</v>
      </c>
      <c r="N952" t="s">
        <v>91</v>
      </c>
      <c r="P952" t="s">
        <v>137</v>
      </c>
      <c r="R952">
        <v>970416080147</v>
      </c>
      <c r="T952" s="24">
        <v>-39872346</v>
      </c>
      <c r="X952" t="s">
        <v>92</v>
      </c>
    </row>
    <row r="953" spans="1:24" x14ac:dyDescent="0.3">
      <c r="A953" s="36">
        <v>45485</v>
      </c>
      <c r="B953" t="s">
        <v>90</v>
      </c>
      <c r="C953" t="s">
        <v>2128</v>
      </c>
      <c r="G953" s="51">
        <v>45485</v>
      </c>
      <c r="I953" s="24">
        <v>-90000</v>
      </c>
      <c r="K953" t="s">
        <v>202</v>
      </c>
      <c r="L953">
        <v>2407121057</v>
      </c>
      <c r="M953" t="s">
        <v>91</v>
      </c>
      <c r="N953" t="s">
        <v>91</v>
      </c>
      <c r="O953" t="s">
        <v>136</v>
      </c>
      <c r="P953" t="s">
        <v>97</v>
      </c>
      <c r="R953" t="s">
        <v>2129</v>
      </c>
      <c r="T953" s="24">
        <v>-39962346</v>
      </c>
    </row>
    <row r="954" spans="1:24" x14ac:dyDescent="0.3">
      <c r="A954" s="36">
        <v>45485</v>
      </c>
      <c r="B954" t="s">
        <v>2130</v>
      </c>
      <c r="C954" t="s">
        <v>2131</v>
      </c>
      <c r="G954" s="51">
        <v>45485</v>
      </c>
      <c r="I954" s="24">
        <v>-1617</v>
      </c>
      <c r="K954" t="s">
        <v>2132</v>
      </c>
      <c r="L954">
        <v>2407122024</v>
      </c>
      <c r="M954" t="s">
        <v>66</v>
      </c>
      <c r="N954" t="s">
        <v>66</v>
      </c>
      <c r="T954" s="24">
        <v>-39963963</v>
      </c>
    </row>
    <row r="955" spans="1:24" x14ac:dyDescent="0.3">
      <c r="A955" s="36">
        <v>45485</v>
      </c>
      <c r="B955" t="s">
        <v>2133</v>
      </c>
      <c r="C955" t="s">
        <v>2131</v>
      </c>
      <c r="G955" s="51">
        <v>45485</v>
      </c>
      <c r="I955" s="24">
        <v>-36037</v>
      </c>
      <c r="K955" t="s">
        <v>2134</v>
      </c>
      <c r="L955">
        <v>2407122024</v>
      </c>
      <c r="M955" t="s">
        <v>66</v>
      </c>
      <c r="N955" t="s">
        <v>66</v>
      </c>
      <c r="T955" s="24">
        <v>-40000000</v>
      </c>
    </row>
    <row r="956" spans="1:24" x14ac:dyDescent="0.3">
      <c r="A956" s="36">
        <v>45519</v>
      </c>
      <c r="B956" t="s">
        <v>100</v>
      </c>
      <c r="C956" t="s">
        <v>2135</v>
      </c>
      <c r="G956" s="51">
        <v>45519</v>
      </c>
      <c r="J956" s="24">
        <v>40000000</v>
      </c>
      <c r="K956" t="s">
        <v>2136</v>
      </c>
      <c r="L956">
        <v>2408150338</v>
      </c>
      <c r="M956" t="s">
        <v>67</v>
      </c>
      <c r="N956" t="s">
        <v>67</v>
      </c>
      <c r="T956">
        <v>0</v>
      </c>
    </row>
    <row r="957" spans="1:24" x14ac:dyDescent="0.3">
      <c r="A957" s="36">
        <v>45530</v>
      </c>
      <c r="B957" t="s">
        <v>90</v>
      </c>
      <c r="C957" t="s">
        <v>2137</v>
      </c>
      <c r="G957" s="51">
        <v>45530</v>
      </c>
      <c r="J957" s="24">
        <v>188733</v>
      </c>
      <c r="K957">
        <v>2.2661199151391302E+19</v>
      </c>
      <c r="L957">
        <v>2408260839</v>
      </c>
      <c r="M957" t="s">
        <v>91</v>
      </c>
      <c r="N957" t="s">
        <v>91</v>
      </c>
      <c r="O957" t="s">
        <v>2138</v>
      </c>
      <c r="P957" t="s">
        <v>144</v>
      </c>
      <c r="R957" t="s">
        <v>2139</v>
      </c>
      <c r="T957" s="24">
        <v>188733</v>
      </c>
    </row>
    <row r="958" spans="1:24" x14ac:dyDescent="0.3">
      <c r="A958" s="36">
        <v>45530</v>
      </c>
      <c r="B958" t="s">
        <v>90</v>
      </c>
      <c r="C958" t="s">
        <v>2140</v>
      </c>
      <c r="G958" s="51">
        <v>45530</v>
      </c>
      <c r="I958" s="24">
        <v>-180000</v>
      </c>
      <c r="K958" t="s">
        <v>135</v>
      </c>
      <c r="L958">
        <v>2408260840</v>
      </c>
      <c r="M958" t="s">
        <v>91</v>
      </c>
      <c r="N958" t="s">
        <v>91</v>
      </c>
      <c r="O958" t="s">
        <v>136</v>
      </c>
      <c r="P958" t="s">
        <v>137</v>
      </c>
      <c r="R958" t="s">
        <v>2141</v>
      </c>
      <c r="T958" s="24">
        <v>8733</v>
      </c>
      <c r="X958" t="s">
        <v>92</v>
      </c>
    </row>
    <row r="959" spans="1:24" x14ac:dyDescent="0.3">
      <c r="A959" s="36">
        <v>45530</v>
      </c>
      <c r="B959" t="s">
        <v>90</v>
      </c>
      <c r="C959" t="s">
        <v>2142</v>
      </c>
      <c r="G959" s="51">
        <v>45530</v>
      </c>
      <c r="I959" s="24">
        <v>-8733</v>
      </c>
      <c r="K959" t="s">
        <v>2143</v>
      </c>
      <c r="L959">
        <v>2408261139</v>
      </c>
      <c r="M959" t="s">
        <v>91</v>
      </c>
      <c r="N959" t="s">
        <v>91</v>
      </c>
      <c r="O959" t="s">
        <v>136</v>
      </c>
      <c r="P959" t="s">
        <v>98</v>
      </c>
      <c r="R959" t="s">
        <v>2144</v>
      </c>
      <c r="T959">
        <v>0</v>
      </c>
    </row>
    <row r="960" spans="1:24" x14ac:dyDescent="0.3">
      <c r="A960" s="36">
        <v>45644</v>
      </c>
      <c r="B960" t="s">
        <v>90</v>
      </c>
      <c r="C960" t="s">
        <v>2145</v>
      </c>
      <c r="G960" s="51">
        <v>45644</v>
      </c>
      <c r="J960" s="24">
        <v>8999999</v>
      </c>
      <c r="K960" t="s">
        <v>142</v>
      </c>
      <c r="L960">
        <v>2412180750</v>
      </c>
      <c r="M960" t="s">
        <v>91</v>
      </c>
      <c r="N960" t="s">
        <v>91</v>
      </c>
      <c r="O960" t="s">
        <v>143</v>
      </c>
      <c r="P960" t="s">
        <v>144</v>
      </c>
      <c r="R960" t="s">
        <v>2146</v>
      </c>
      <c r="T960" s="24">
        <v>8999999</v>
      </c>
    </row>
    <row r="961" spans="1:24" x14ac:dyDescent="0.3">
      <c r="A961" s="36">
        <v>45644</v>
      </c>
      <c r="B961" t="s">
        <v>2147</v>
      </c>
      <c r="C961" t="s">
        <v>2148</v>
      </c>
      <c r="G961" s="51">
        <v>45644</v>
      </c>
      <c r="I961" s="24">
        <v>-1000</v>
      </c>
      <c r="K961" t="s">
        <v>2149</v>
      </c>
      <c r="L961">
        <v>2412180935</v>
      </c>
      <c r="M961" t="s">
        <v>66</v>
      </c>
      <c r="N961" t="s">
        <v>66</v>
      </c>
      <c r="P961" t="s">
        <v>137</v>
      </c>
      <c r="T961" s="24">
        <v>8998999</v>
      </c>
    </row>
    <row r="962" spans="1:24" x14ac:dyDescent="0.3">
      <c r="A962" s="36">
        <v>45644</v>
      </c>
      <c r="B962" t="s">
        <v>2150</v>
      </c>
      <c r="C962" t="s">
        <v>2148</v>
      </c>
      <c r="G962" s="51">
        <v>45644</v>
      </c>
      <c r="I962" s="24">
        <v>-10000</v>
      </c>
      <c r="K962" t="s">
        <v>2149</v>
      </c>
      <c r="L962">
        <v>2412180935</v>
      </c>
      <c r="M962" t="s">
        <v>66</v>
      </c>
      <c r="N962" t="s">
        <v>66</v>
      </c>
      <c r="P962" t="s">
        <v>137</v>
      </c>
      <c r="T962" s="24">
        <v>8988999</v>
      </c>
    </row>
    <row r="963" spans="1:24" x14ac:dyDescent="0.3">
      <c r="A963" s="36">
        <v>45644</v>
      </c>
      <c r="B963" t="s">
        <v>2147</v>
      </c>
      <c r="C963" t="s">
        <v>2151</v>
      </c>
      <c r="G963" s="51">
        <v>45644</v>
      </c>
      <c r="I963" s="24">
        <v>-1000</v>
      </c>
      <c r="K963" t="s">
        <v>2152</v>
      </c>
      <c r="L963">
        <v>2412180935</v>
      </c>
      <c r="M963" t="s">
        <v>66</v>
      </c>
      <c r="N963" t="s">
        <v>66</v>
      </c>
      <c r="P963" t="s">
        <v>137</v>
      </c>
      <c r="T963" s="24">
        <v>8987999</v>
      </c>
    </row>
    <row r="964" spans="1:24" x14ac:dyDescent="0.3">
      <c r="A964" s="36">
        <v>45644</v>
      </c>
      <c r="B964" t="s">
        <v>2150</v>
      </c>
      <c r="C964" t="s">
        <v>2151</v>
      </c>
      <c r="G964" s="51">
        <v>45644</v>
      </c>
      <c r="I964" s="24">
        <v>-10000</v>
      </c>
      <c r="K964" t="s">
        <v>2152</v>
      </c>
      <c r="L964">
        <v>2412180935</v>
      </c>
      <c r="M964" t="s">
        <v>66</v>
      </c>
      <c r="N964" t="s">
        <v>66</v>
      </c>
      <c r="P964" t="s">
        <v>137</v>
      </c>
      <c r="T964" s="24">
        <v>8977999</v>
      </c>
    </row>
    <row r="965" spans="1:24" x14ac:dyDescent="0.3">
      <c r="A965" s="36">
        <v>45644</v>
      </c>
      <c r="B965" t="s">
        <v>2147</v>
      </c>
      <c r="C965" t="s">
        <v>2153</v>
      </c>
      <c r="G965" s="51">
        <v>45644</v>
      </c>
      <c r="I965" s="24">
        <v>-1000</v>
      </c>
      <c r="K965" t="s">
        <v>2154</v>
      </c>
      <c r="L965">
        <v>2412180935</v>
      </c>
      <c r="M965" t="s">
        <v>66</v>
      </c>
      <c r="N965" t="s">
        <v>66</v>
      </c>
      <c r="P965" t="s">
        <v>137</v>
      </c>
      <c r="T965" s="24">
        <v>8976999</v>
      </c>
    </row>
    <row r="966" spans="1:24" x14ac:dyDescent="0.3">
      <c r="A966" s="36">
        <v>45644</v>
      </c>
      <c r="B966" t="s">
        <v>2150</v>
      </c>
      <c r="C966" t="s">
        <v>2153</v>
      </c>
      <c r="G966" s="51">
        <v>45644</v>
      </c>
      <c r="I966" s="24">
        <v>-10000</v>
      </c>
      <c r="K966" t="s">
        <v>2154</v>
      </c>
      <c r="L966">
        <v>2412180935</v>
      </c>
      <c r="M966" t="s">
        <v>66</v>
      </c>
      <c r="N966" t="s">
        <v>66</v>
      </c>
      <c r="P966" t="s">
        <v>137</v>
      </c>
      <c r="T966" s="24">
        <v>8966999</v>
      </c>
    </row>
    <row r="967" spans="1:24" x14ac:dyDescent="0.3">
      <c r="A967" s="36">
        <v>45644</v>
      </c>
      <c r="B967" t="s">
        <v>2155</v>
      </c>
      <c r="C967" t="s">
        <v>2156</v>
      </c>
      <c r="G967" s="51">
        <v>45644</v>
      </c>
      <c r="I967" s="24">
        <v>-8966999</v>
      </c>
      <c r="K967" t="s">
        <v>2157</v>
      </c>
      <c r="L967">
        <v>2412181146</v>
      </c>
      <c r="M967" t="s">
        <v>2158</v>
      </c>
      <c r="N967" t="s">
        <v>2158</v>
      </c>
      <c r="T967">
        <v>0</v>
      </c>
    </row>
    <row r="968" spans="1:24" x14ac:dyDescent="0.3">
      <c r="A968" s="36">
        <v>45663</v>
      </c>
      <c r="B968" t="s">
        <v>90</v>
      </c>
      <c r="C968" t="s">
        <v>2159</v>
      </c>
      <c r="G968" s="51">
        <v>45663</v>
      </c>
      <c r="J968" s="24">
        <v>9000000</v>
      </c>
      <c r="K968" t="s">
        <v>2160</v>
      </c>
      <c r="L968">
        <v>2501060904</v>
      </c>
      <c r="M968" t="s">
        <v>91</v>
      </c>
      <c r="N968" t="s">
        <v>91</v>
      </c>
      <c r="P968" t="s">
        <v>137</v>
      </c>
      <c r="R968">
        <v>970416609815</v>
      </c>
      <c r="T968" s="24">
        <v>9000000</v>
      </c>
      <c r="X968" t="s">
        <v>92</v>
      </c>
    </row>
    <row r="969" spans="1:24" x14ac:dyDescent="0.3">
      <c r="A969" s="36">
        <v>45663</v>
      </c>
      <c r="B969" t="s">
        <v>2155</v>
      </c>
      <c r="C969" t="s">
        <v>2161</v>
      </c>
      <c r="G969" s="51">
        <v>45663</v>
      </c>
      <c r="I969" s="24">
        <v>-9000000</v>
      </c>
      <c r="K969" t="s">
        <v>2162</v>
      </c>
      <c r="L969">
        <v>2501061003</v>
      </c>
      <c r="M969" t="s">
        <v>2158</v>
      </c>
      <c r="N969" t="s">
        <v>2158</v>
      </c>
      <c r="T969">
        <v>0</v>
      </c>
    </row>
    <row r="970" spans="1:24" x14ac:dyDescent="0.3">
      <c r="A970" s="36">
        <v>45670</v>
      </c>
      <c r="B970" t="s">
        <v>90</v>
      </c>
      <c r="C970" t="s">
        <v>2163</v>
      </c>
      <c r="G970" s="51">
        <v>45670</v>
      </c>
      <c r="J970" s="24">
        <v>100000</v>
      </c>
      <c r="K970" t="s">
        <v>135</v>
      </c>
      <c r="L970">
        <v>2501121259</v>
      </c>
      <c r="M970" t="s">
        <v>91</v>
      </c>
      <c r="N970" t="s">
        <v>91</v>
      </c>
      <c r="O970" t="s">
        <v>136</v>
      </c>
      <c r="P970" t="s">
        <v>137</v>
      </c>
      <c r="R970" t="s">
        <v>2164</v>
      </c>
      <c r="T970" s="24">
        <v>100000</v>
      </c>
    </row>
    <row r="971" spans="1:24" x14ac:dyDescent="0.3">
      <c r="A971" s="36">
        <v>45670</v>
      </c>
      <c r="B971" t="s">
        <v>90</v>
      </c>
      <c r="C971" t="s">
        <v>2165</v>
      </c>
      <c r="G971" s="51">
        <v>45670</v>
      </c>
      <c r="J971" s="24">
        <v>400000</v>
      </c>
      <c r="K971" t="s">
        <v>2166</v>
      </c>
      <c r="L971">
        <v>2501121259</v>
      </c>
      <c r="M971" t="s">
        <v>91</v>
      </c>
      <c r="N971" t="s">
        <v>91</v>
      </c>
      <c r="P971" t="s">
        <v>137</v>
      </c>
      <c r="R971">
        <v>970416823830</v>
      </c>
      <c r="T971" s="24">
        <v>500000</v>
      </c>
      <c r="X971" t="s">
        <v>92</v>
      </c>
    </row>
    <row r="972" spans="1:24" x14ac:dyDescent="0.3">
      <c r="A972" s="36">
        <v>45670</v>
      </c>
      <c r="B972" t="s">
        <v>2155</v>
      </c>
      <c r="C972" t="s">
        <v>2167</v>
      </c>
      <c r="G972" s="51">
        <v>45670</v>
      </c>
      <c r="I972" s="24">
        <v>-500000</v>
      </c>
      <c r="K972" t="s">
        <v>2168</v>
      </c>
      <c r="L972">
        <v>2501130903</v>
      </c>
      <c r="M972" t="s">
        <v>2169</v>
      </c>
      <c r="N972" t="s">
        <v>2169</v>
      </c>
      <c r="T972">
        <v>0</v>
      </c>
    </row>
    <row r="973" spans="1:24" x14ac:dyDescent="0.3">
      <c r="A973" s="36">
        <v>45675</v>
      </c>
      <c r="B973" t="s">
        <v>90</v>
      </c>
      <c r="C973" t="s">
        <v>2170</v>
      </c>
      <c r="G973" s="51">
        <v>45675</v>
      </c>
      <c r="J973" s="24">
        <v>500000</v>
      </c>
      <c r="K973" t="s">
        <v>2171</v>
      </c>
      <c r="L973">
        <v>2501181031</v>
      </c>
      <c r="M973" t="s">
        <v>91</v>
      </c>
      <c r="N973" t="s">
        <v>91</v>
      </c>
      <c r="P973" t="s">
        <v>137</v>
      </c>
      <c r="R973">
        <v>970416618879</v>
      </c>
      <c r="T973" s="24">
        <v>500000</v>
      </c>
      <c r="X973" t="s">
        <v>92</v>
      </c>
    </row>
    <row r="974" spans="1:24" x14ac:dyDescent="0.3">
      <c r="A974" s="36">
        <v>45675</v>
      </c>
      <c r="B974" t="s">
        <v>2155</v>
      </c>
      <c r="C974" t="s">
        <v>2172</v>
      </c>
      <c r="G974" s="51">
        <v>45675</v>
      </c>
      <c r="I974" s="24">
        <v>-500000</v>
      </c>
      <c r="K974" t="s">
        <v>2173</v>
      </c>
      <c r="L974">
        <v>2501181204</v>
      </c>
      <c r="M974" t="s">
        <v>2169</v>
      </c>
      <c r="N974" t="s">
        <v>2169</v>
      </c>
      <c r="T974">
        <v>0</v>
      </c>
    </row>
    <row r="975" spans="1:24" x14ac:dyDescent="0.3">
      <c r="A975" s="36">
        <v>45688</v>
      </c>
      <c r="B975" t="s">
        <v>90</v>
      </c>
      <c r="C975" t="s">
        <v>2174</v>
      </c>
      <c r="G975" s="51">
        <v>45688</v>
      </c>
      <c r="J975" s="24">
        <v>4095039</v>
      </c>
      <c r="K975" t="s">
        <v>2175</v>
      </c>
      <c r="L975">
        <v>2501291451</v>
      </c>
      <c r="M975" t="s">
        <v>91</v>
      </c>
      <c r="N975" t="s">
        <v>91</v>
      </c>
      <c r="P975" t="s">
        <v>137</v>
      </c>
      <c r="R975">
        <v>970422135422</v>
      </c>
      <c r="T975" s="24">
        <v>4095039</v>
      </c>
      <c r="X975" t="s">
        <v>92</v>
      </c>
    </row>
    <row r="976" spans="1:24" x14ac:dyDescent="0.3">
      <c r="A976" s="36">
        <v>45688</v>
      </c>
      <c r="B976" t="s">
        <v>90</v>
      </c>
      <c r="C976" t="s">
        <v>2176</v>
      </c>
      <c r="G976" s="51">
        <v>45688</v>
      </c>
      <c r="I976" s="24">
        <v>-4095000</v>
      </c>
      <c r="K976" t="s">
        <v>135</v>
      </c>
      <c r="L976">
        <v>2501291452</v>
      </c>
      <c r="M976" t="s">
        <v>91</v>
      </c>
      <c r="N976" t="s">
        <v>91</v>
      </c>
      <c r="O976" t="s">
        <v>136</v>
      </c>
      <c r="P976" t="s">
        <v>137</v>
      </c>
      <c r="R976" t="s">
        <v>2177</v>
      </c>
      <c r="T976">
        <v>39</v>
      </c>
    </row>
    <row r="977" spans="1:20" x14ac:dyDescent="0.3">
      <c r="A977" s="36">
        <v>45688</v>
      </c>
      <c r="B977" t="s">
        <v>2155</v>
      </c>
      <c r="C977" t="s">
        <v>2178</v>
      </c>
      <c r="G977" s="51">
        <v>45688</v>
      </c>
      <c r="I977">
        <v>-39</v>
      </c>
      <c r="K977" t="s">
        <v>2179</v>
      </c>
      <c r="L977">
        <v>2501311637</v>
      </c>
      <c r="M977" t="s">
        <v>66</v>
      </c>
      <c r="N977" t="s">
        <v>66</v>
      </c>
      <c r="T977">
        <v>0</v>
      </c>
    </row>
    <row r="979" spans="1:20" x14ac:dyDescent="0.3">
      <c r="B979" t="s">
        <v>101</v>
      </c>
      <c r="I979" s="24">
        <v>-1591869126</v>
      </c>
      <c r="J979" s="24">
        <v>1630406455</v>
      </c>
    </row>
    <row r="980" spans="1:20" x14ac:dyDescent="0.3">
      <c r="B980" t="s">
        <v>102</v>
      </c>
      <c r="J980"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I283"/>
  <sheetViews>
    <sheetView showGridLines="0" tabSelected="1" zoomScaleNormal="100" workbookViewId="0">
      <selection activeCell="I4" sqref="I4"/>
    </sheetView>
  </sheetViews>
  <sheetFormatPr defaultRowHeight="14.4" x14ac:dyDescent="0.3"/>
  <cols>
    <col min="1" max="1" width="14.33203125" customWidth="1"/>
    <col min="2" max="2" width="13.88671875" customWidth="1"/>
    <col min="3" max="3" width="14.6640625" customWidth="1"/>
    <col min="4" max="4" width="15" customWidth="1"/>
    <col min="5" max="5" width="10.88671875" customWidth="1"/>
    <col min="6" max="6" width="24.21875" customWidth="1"/>
    <col min="8" max="8" width="8.44140625" customWidth="1"/>
    <col min="9" max="9" width="12.33203125" customWidth="1"/>
    <col min="10" max="10" width="13.6640625" customWidth="1"/>
    <col min="11" max="11" width="13.33203125" customWidth="1"/>
    <col min="12" max="12" width="13" customWidth="1"/>
    <col min="13" max="13" width="13.5546875" customWidth="1"/>
    <col min="14" max="14" width="12.6640625" customWidth="1"/>
    <col min="15" max="15" width="5.5546875" customWidth="1"/>
    <col min="16" max="16" width="14.44140625" customWidth="1"/>
    <col min="17" max="17" width="13.109375" customWidth="1"/>
    <col min="18" max="18" width="13.6640625" customWidth="1"/>
    <col min="19" max="19" width="13.109375" customWidth="1"/>
    <col min="21" max="21" width="16.44140625" customWidth="1"/>
    <col min="22" max="22" width="11.6640625" customWidth="1"/>
    <col min="23" max="23" width="13.109375" customWidth="1"/>
    <col min="25" max="25" width="15.5546875" customWidth="1"/>
    <col min="26" max="26" width="11.6640625" customWidth="1"/>
    <col min="27" max="27" width="13.109375" customWidth="1"/>
    <col min="29" max="29" width="11.33203125" customWidth="1"/>
    <col min="30" max="30" width="11.6640625" customWidth="1"/>
    <col min="31" max="31" width="13.109375" customWidth="1"/>
    <col min="33" max="33" width="11.33203125" customWidth="1"/>
    <col min="34" max="34" width="11.6640625" customWidth="1"/>
    <col min="35" max="35" width="13.109375" customWidth="1"/>
    <col min="37" max="37" width="11.33203125" customWidth="1"/>
    <col min="38" max="38" width="11.6640625" customWidth="1"/>
    <col min="39" max="39" width="13.109375" customWidth="1"/>
    <col min="41" max="41" width="11.33203125" customWidth="1"/>
    <col min="42" max="42" width="11.6640625" customWidth="1"/>
    <col min="43" max="43" width="13.109375" customWidth="1"/>
    <col min="45" max="45" width="11.33203125" customWidth="1"/>
    <col min="46" max="46" width="11.6640625" customWidth="1"/>
    <col min="47" max="47" width="13.109375" customWidth="1"/>
  </cols>
  <sheetData>
    <row r="1" spans="1:35" ht="31.2" customHeight="1" thickBot="1" x14ac:dyDescent="0.35">
      <c r="A1" s="50" t="s">
        <v>48</v>
      </c>
      <c r="B1" s="50" t="s">
        <v>49</v>
      </c>
      <c r="C1" s="50" t="s">
        <v>3</v>
      </c>
      <c r="D1" s="50" t="s">
        <v>12</v>
      </c>
      <c r="E1" s="50" t="s">
        <v>117</v>
      </c>
      <c r="F1" s="50" t="s">
        <v>42</v>
      </c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</row>
    <row r="2" spans="1:35" ht="19.8" customHeight="1" thickBot="1" x14ac:dyDescent="0.35">
      <c r="A2" s="46"/>
      <c r="B2" s="47"/>
      <c r="C2" s="47"/>
      <c r="D2" s="47"/>
      <c r="E2" s="48"/>
      <c r="F2" s="49" t="s">
        <v>126</v>
      </c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</row>
    <row r="3" spans="1:35" ht="40.200000000000003" customHeight="1" thickBot="1" x14ac:dyDescent="0.35">
      <c r="A3" s="53" t="s">
        <v>2182</v>
      </c>
      <c r="B3" s="54"/>
      <c r="C3" s="54"/>
      <c r="D3" s="54"/>
      <c r="E3" s="54"/>
      <c r="F3" s="55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</row>
    <row r="4" spans="1:35" ht="33" customHeight="1" x14ac:dyDescent="0.3">
      <c r="A4" s="58" t="s">
        <v>127</v>
      </c>
      <c r="B4" s="59"/>
      <c r="C4" s="59"/>
      <c r="D4" s="59"/>
      <c r="E4" s="59"/>
      <c r="F4" s="59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</row>
    <row r="5" spans="1:35" x14ac:dyDescent="0.3">
      <c r="A5" s="60" t="str">
        <f ca="1">IFERROR(
    IF(
        COUNTIF(INDIRECT("'ketqua'!D20:D300"),"&lt;0")=0,
        "✓ Kết quả tính toán đã chính xác."
        &amp;CHAR(10)&amp;
        "- Nếu có giao dịch mới: ÚP lại sao kê, XÓA và bấm Tạo lại."
        &amp;CHAR(10)&amp;
        "- Nếu dư nợ gốc vẫn cao hơn ""fin"": kiểm tra sao kê tài khoản khác, rà soát giao dịch và bổ sung khoản trả gốc nếu có (thường có nội dung là Thanh toán gốc quá hạn).",
        "⚠ Bạn đang tính lùi ngày, hãy xóa dòng số "
        &amp;MATCH(TRUE,INDEX(INDIRECT("'ketqua'!D20:D300")&lt;0,0),0)+19
        &amp;" để ra phép tính đúng."
    ),
"")</f>
        <v/>
      </c>
      <c r="B5" s="61"/>
      <c r="C5" s="61"/>
      <c r="D5" s="61"/>
      <c r="E5" s="61"/>
      <c r="F5" s="61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</row>
    <row r="6" spans="1:35" x14ac:dyDescent="0.3">
      <c r="A6" s="61"/>
      <c r="B6" s="61"/>
      <c r="C6" s="61"/>
      <c r="D6" s="61"/>
      <c r="E6" s="61"/>
      <c r="F6" s="61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</row>
    <row r="7" spans="1:35" ht="72" customHeight="1" x14ac:dyDescent="0.3">
      <c r="A7" s="61"/>
      <c r="B7" s="61"/>
      <c r="C7" s="61"/>
      <c r="D7" s="61"/>
      <c r="E7" s="61"/>
      <c r="F7" s="61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  <c r="W7" s="52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</row>
    <row r="8" spans="1:35" ht="14.4" customHeight="1" x14ac:dyDescent="0.3">
      <c r="A8" s="62" t="s">
        <v>128</v>
      </c>
      <c r="B8" s="63"/>
      <c r="C8" s="63"/>
      <c r="D8" s="64" t="s">
        <v>129</v>
      </c>
      <c r="E8" s="59"/>
      <c r="F8" s="59"/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</row>
    <row r="9" spans="1:35" ht="14.4" customHeight="1" x14ac:dyDescent="0.3">
      <c r="A9" s="63"/>
      <c r="B9" s="63"/>
      <c r="C9" s="63"/>
      <c r="D9" s="59"/>
      <c r="E9" s="59"/>
      <c r="F9" s="59"/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</row>
    <row r="10" spans="1:35" ht="14.4" customHeight="1" x14ac:dyDescent="0.3">
      <c r="A10" s="63"/>
      <c r="B10" s="63"/>
      <c r="C10" s="63"/>
      <c r="D10" s="59"/>
      <c r="E10" s="59"/>
      <c r="F10" s="59"/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</row>
    <row r="11" spans="1:35" ht="26.4" customHeight="1" x14ac:dyDescent="0.3">
      <c r="A11" s="63"/>
      <c r="B11" s="63"/>
      <c r="C11" s="63"/>
      <c r="D11" s="59"/>
      <c r="E11" s="59"/>
      <c r="F11" s="59"/>
      <c r="G11" s="52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</row>
    <row r="12" spans="1:35" x14ac:dyDescent="0.3">
      <c r="A12" s="45"/>
      <c r="B12" s="45"/>
      <c r="C12" s="45"/>
      <c r="D12" s="45"/>
      <c r="E12" s="45"/>
      <c r="F12" s="45"/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</row>
    <row r="13" spans="1:35" x14ac:dyDescent="0.3">
      <c r="A13" s="56" t="s">
        <v>130</v>
      </c>
      <c r="B13" s="57"/>
      <c r="C13" s="57"/>
      <c r="D13" s="57"/>
      <c r="E13" s="57"/>
      <c r="F13" s="57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I13" s="20"/>
    </row>
    <row r="14" spans="1:35" x14ac:dyDescent="0.3">
      <c r="A14" s="57"/>
      <c r="B14" s="57"/>
      <c r="C14" s="57"/>
      <c r="D14" s="57"/>
      <c r="E14" s="57"/>
      <c r="F14" s="57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</row>
    <row r="15" spans="1:35" x14ac:dyDescent="0.3">
      <c r="A15" s="52"/>
      <c r="B15" s="52"/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</row>
    <row r="16" spans="1:35" x14ac:dyDescent="0.3">
      <c r="A16" s="52"/>
      <c r="B16" s="52"/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</row>
    <row r="17" spans="1:35" x14ac:dyDescent="0.3">
      <c r="A17" s="52"/>
      <c r="B17" s="52"/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I17" s="20"/>
    </row>
    <row r="18" spans="1:35" x14ac:dyDescent="0.3">
      <c r="A18" s="52"/>
      <c r="B18" s="52"/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20"/>
      <c r="Y18" s="20"/>
      <c r="Z18" s="20"/>
      <c r="AA18" s="20"/>
      <c r="AB18" s="20"/>
      <c r="AC18" s="20"/>
      <c r="AD18" s="20"/>
      <c r="AE18" s="20"/>
      <c r="AF18" s="20"/>
      <c r="AG18" s="20"/>
      <c r="AH18" s="20"/>
      <c r="AI18" s="20"/>
    </row>
    <row r="19" spans="1:35" x14ac:dyDescent="0.3">
      <c r="A19" s="52"/>
      <c r="B19" s="52"/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20"/>
      <c r="Y19" s="20"/>
      <c r="Z19" s="20"/>
      <c r="AA19" s="20"/>
      <c r="AB19" s="20"/>
      <c r="AC19" s="20"/>
      <c r="AD19" s="20"/>
      <c r="AE19" s="20"/>
      <c r="AF19" s="20"/>
      <c r="AG19" s="20"/>
      <c r="AH19" s="20"/>
      <c r="AI19" s="20"/>
    </row>
    <row r="20" spans="1:35" x14ac:dyDescent="0.3">
      <c r="A20" s="52"/>
      <c r="B20" s="52"/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</row>
    <row r="21" spans="1:35" x14ac:dyDescent="0.3">
      <c r="A21" s="52"/>
      <c r="B21" s="52"/>
      <c r="C21" s="52"/>
      <c r="D21" s="52"/>
      <c r="E21" s="52"/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20"/>
      <c r="Y21" s="20"/>
      <c r="Z21" s="20"/>
      <c r="AA21" s="20"/>
      <c r="AB21" s="20"/>
      <c r="AC21" s="20"/>
      <c r="AD21" s="20"/>
      <c r="AE21" s="20"/>
      <c r="AF21" s="20"/>
      <c r="AG21" s="20"/>
      <c r="AH21" s="20"/>
      <c r="AI21" s="20"/>
    </row>
    <row r="22" spans="1:35" x14ac:dyDescent="0.3">
      <c r="A22" s="52"/>
      <c r="B22" s="52"/>
      <c r="C22" s="52"/>
      <c r="D22" s="52"/>
      <c r="E22" s="52"/>
      <c r="F22" s="52"/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20"/>
      <c r="Y22" s="20"/>
      <c r="Z22" s="20"/>
      <c r="AA22" s="20"/>
      <c r="AB22" s="20"/>
      <c r="AC22" s="20"/>
      <c r="AD22" s="20"/>
      <c r="AE22" s="20"/>
      <c r="AF22" s="20"/>
      <c r="AG22" s="20"/>
      <c r="AH22" s="20"/>
      <c r="AI22" s="20"/>
    </row>
    <row r="23" spans="1:35" x14ac:dyDescent="0.3">
      <c r="A23" s="52"/>
      <c r="B23" s="52"/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</row>
    <row r="24" spans="1:35" x14ac:dyDescent="0.3">
      <c r="A24" s="52"/>
      <c r="B24" s="52"/>
      <c r="C24" s="52"/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20"/>
      <c r="Y24" s="20"/>
      <c r="Z24" s="20"/>
      <c r="AA24" s="20"/>
      <c r="AB24" s="20"/>
      <c r="AC24" s="20"/>
      <c r="AD24" s="20"/>
      <c r="AE24" s="20"/>
      <c r="AF24" s="20"/>
      <c r="AG24" s="20"/>
      <c r="AH24" s="20"/>
      <c r="AI24" s="20"/>
    </row>
    <row r="25" spans="1:35" x14ac:dyDescent="0.3"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20"/>
      <c r="Y25" s="20"/>
      <c r="Z25" s="20"/>
      <c r="AA25" s="20"/>
      <c r="AB25" s="20"/>
      <c r="AC25" s="20"/>
      <c r="AD25" s="20"/>
      <c r="AE25" s="20"/>
      <c r="AF25" s="20"/>
      <c r="AG25" s="20"/>
      <c r="AH25" s="20"/>
      <c r="AI25" s="20"/>
    </row>
    <row r="26" spans="1:35" x14ac:dyDescent="0.3"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</row>
    <row r="27" spans="1:35" x14ac:dyDescent="0.3"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</row>
    <row r="28" spans="1:35" x14ac:dyDescent="0.3"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20"/>
      <c r="Y28" s="20"/>
      <c r="Z28" s="20"/>
      <c r="AA28" s="20"/>
      <c r="AB28" s="20"/>
      <c r="AC28" s="20"/>
      <c r="AD28" s="20"/>
      <c r="AE28" s="20"/>
      <c r="AF28" s="20"/>
      <c r="AG28" s="20"/>
      <c r="AH28" s="20"/>
      <c r="AI28" s="20"/>
    </row>
    <row r="29" spans="1:35" x14ac:dyDescent="0.3"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</row>
    <row r="30" spans="1:35" x14ac:dyDescent="0.3"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0"/>
    </row>
    <row r="31" spans="1:35" x14ac:dyDescent="0.3"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</row>
    <row r="32" spans="1:35" x14ac:dyDescent="0.3"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</row>
    <row r="33" spans="7:35" x14ac:dyDescent="0.3">
      <c r="G33" s="52"/>
      <c r="H33" s="52"/>
      <c r="I33" s="52"/>
      <c r="J33" s="52"/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20"/>
    </row>
    <row r="34" spans="7:35" x14ac:dyDescent="0.3">
      <c r="G34" s="52"/>
      <c r="H34" s="52"/>
      <c r="I34" s="52"/>
      <c r="J34" s="52"/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20"/>
      <c r="Y34" s="20"/>
      <c r="Z34" s="20"/>
      <c r="AA34" s="20"/>
      <c r="AB34" s="20"/>
      <c r="AC34" s="20"/>
      <c r="AD34" s="20"/>
      <c r="AE34" s="20"/>
      <c r="AF34" s="20"/>
      <c r="AG34" s="20"/>
      <c r="AH34" s="20"/>
      <c r="AI34" s="20"/>
    </row>
    <row r="35" spans="7:35" x14ac:dyDescent="0.3"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</row>
    <row r="36" spans="7:35" x14ac:dyDescent="0.3"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20"/>
      <c r="Y36" s="20"/>
      <c r="Z36" s="20"/>
      <c r="AA36" s="20"/>
      <c r="AB36" s="20"/>
      <c r="AC36" s="20"/>
      <c r="AD36" s="20"/>
      <c r="AE36" s="20"/>
      <c r="AF36" s="20"/>
      <c r="AG36" s="20"/>
      <c r="AH36" s="20"/>
      <c r="AI36" s="20"/>
    </row>
    <row r="37" spans="7:35" x14ac:dyDescent="0.3"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</row>
    <row r="38" spans="7:35" x14ac:dyDescent="0.3"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</row>
    <row r="39" spans="7:35" x14ac:dyDescent="0.3"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</row>
    <row r="40" spans="7:35" x14ac:dyDescent="0.3"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</row>
    <row r="41" spans="7:35" x14ac:dyDescent="0.3"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</row>
    <row r="42" spans="7:35" x14ac:dyDescent="0.3"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</row>
    <row r="43" spans="7:35" x14ac:dyDescent="0.3">
      <c r="G43" s="52"/>
      <c r="H43" s="52"/>
      <c r="I43" s="52"/>
      <c r="J43" s="52"/>
      <c r="K43" s="52"/>
      <c r="L43" s="52"/>
      <c r="M43" s="52"/>
      <c r="N43" s="52"/>
      <c r="O43" s="52"/>
      <c r="P43" s="52"/>
      <c r="Q43" s="52"/>
      <c r="R43" s="52"/>
      <c r="S43" s="52"/>
      <c r="T43" s="52"/>
      <c r="U43" s="52"/>
      <c r="V43" s="52"/>
      <c r="W43" s="52"/>
    </row>
    <row r="44" spans="7:35" x14ac:dyDescent="0.3"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</row>
    <row r="45" spans="7:35" x14ac:dyDescent="0.3"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2"/>
    </row>
    <row r="46" spans="7:35" x14ac:dyDescent="0.3"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</row>
    <row r="47" spans="7:35" x14ac:dyDescent="0.3">
      <c r="G47" s="52"/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</row>
    <row r="48" spans="7:35" x14ac:dyDescent="0.3"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</row>
    <row r="49" spans="7:23" x14ac:dyDescent="0.3"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</row>
    <row r="50" spans="7:23" x14ac:dyDescent="0.3"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</row>
    <row r="51" spans="7:23" x14ac:dyDescent="0.3"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</row>
    <row r="52" spans="7:23" x14ac:dyDescent="0.3"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</row>
    <row r="53" spans="7:23" x14ac:dyDescent="0.3"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</row>
    <row r="54" spans="7:23" x14ac:dyDescent="0.3"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</row>
    <row r="55" spans="7:23" x14ac:dyDescent="0.3"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</row>
    <row r="56" spans="7:23" x14ac:dyDescent="0.3"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</row>
    <row r="57" spans="7:23" x14ac:dyDescent="0.3"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</row>
    <row r="58" spans="7:23" x14ac:dyDescent="0.3"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</row>
    <row r="59" spans="7:23" x14ac:dyDescent="0.3"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</row>
    <row r="60" spans="7:23" x14ac:dyDescent="0.3"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</row>
    <row r="61" spans="7:23" x14ac:dyDescent="0.3"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</row>
    <row r="62" spans="7:23" x14ac:dyDescent="0.3"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</row>
    <row r="63" spans="7:23" x14ac:dyDescent="0.3"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</row>
    <row r="64" spans="7:23" x14ac:dyDescent="0.3"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</row>
    <row r="65" spans="7:23" x14ac:dyDescent="0.3">
      <c r="G65" s="52"/>
      <c r="H65" s="52"/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2"/>
    </row>
    <row r="66" spans="7:23" x14ac:dyDescent="0.3"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</row>
    <row r="67" spans="7:23" x14ac:dyDescent="0.3"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</row>
    <row r="68" spans="7:23" x14ac:dyDescent="0.3"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52"/>
      <c r="R68" s="52"/>
      <c r="S68" s="52"/>
      <c r="T68" s="52"/>
      <c r="U68" s="52"/>
      <c r="V68" s="52"/>
      <c r="W68" s="52"/>
    </row>
    <row r="69" spans="7:23" x14ac:dyDescent="0.3">
      <c r="G69" s="52"/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  <c r="S69" s="52"/>
      <c r="T69" s="52"/>
      <c r="U69" s="52"/>
      <c r="V69" s="52"/>
      <c r="W69" s="52"/>
    </row>
    <row r="70" spans="7:23" x14ac:dyDescent="0.3">
      <c r="G70" s="52"/>
      <c r="H70" s="52"/>
      <c r="I70" s="52"/>
      <c r="J70" s="52"/>
      <c r="K70" s="52"/>
      <c r="L70" s="52"/>
      <c r="M70" s="52"/>
      <c r="N70" s="52"/>
      <c r="O70" s="52"/>
      <c r="P70" s="52"/>
      <c r="Q70" s="52"/>
      <c r="R70" s="52"/>
      <c r="S70" s="52"/>
      <c r="T70" s="52"/>
      <c r="U70" s="52"/>
      <c r="V70" s="52"/>
      <c r="W70" s="52"/>
    </row>
    <row r="71" spans="7:23" x14ac:dyDescent="0.3">
      <c r="G71" s="52"/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  <c r="S71" s="52"/>
      <c r="T71" s="52"/>
      <c r="U71" s="52"/>
      <c r="V71" s="52"/>
      <c r="W71" s="52"/>
    </row>
    <row r="72" spans="7:23" x14ac:dyDescent="0.3">
      <c r="G72" s="52"/>
      <c r="H72" s="52"/>
      <c r="I72" s="52"/>
      <c r="J72" s="52"/>
      <c r="K72" s="52"/>
      <c r="L72" s="52"/>
      <c r="M72" s="52"/>
      <c r="N72" s="52"/>
      <c r="O72" s="52"/>
      <c r="P72" s="52"/>
      <c r="Q72" s="52"/>
      <c r="R72" s="52"/>
      <c r="S72" s="52"/>
      <c r="T72" s="52"/>
      <c r="U72" s="52"/>
      <c r="V72" s="52"/>
      <c r="W72" s="52"/>
    </row>
    <row r="73" spans="7:23" x14ac:dyDescent="0.3">
      <c r="G73" s="52"/>
      <c r="H73" s="52"/>
      <c r="I73" s="52"/>
      <c r="J73" s="52"/>
      <c r="K73" s="52"/>
      <c r="L73" s="52"/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</row>
    <row r="74" spans="7:23" x14ac:dyDescent="0.3"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52"/>
      <c r="R74" s="52"/>
      <c r="S74" s="52"/>
      <c r="T74" s="52"/>
      <c r="U74" s="52"/>
      <c r="V74" s="52"/>
      <c r="W74" s="52"/>
    </row>
    <row r="75" spans="7:23" x14ac:dyDescent="0.3">
      <c r="G75" s="52"/>
      <c r="H75" s="52"/>
      <c r="I75" s="52"/>
      <c r="J75" s="52"/>
      <c r="K75" s="52"/>
      <c r="L75" s="52"/>
      <c r="M75" s="52"/>
      <c r="N75" s="52"/>
      <c r="O75" s="52"/>
      <c r="P75" s="52"/>
      <c r="Q75" s="52"/>
      <c r="R75" s="52"/>
      <c r="S75" s="52"/>
      <c r="T75" s="52"/>
      <c r="U75" s="52"/>
      <c r="V75" s="52"/>
      <c r="W75" s="52"/>
    </row>
    <row r="76" spans="7:23" x14ac:dyDescent="0.3"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2"/>
      <c r="S76" s="52"/>
      <c r="T76" s="52"/>
      <c r="U76" s="52"/>
      <c r="V76" s="52"/>
      <c r="W76" s="52"/>
    </row>
    <row r="77" spans="7:23" x14ac:dyDescent="0.3">
      <c r="G77" s="52"/>
      <c r="H77" s="52"/>
      <c r="I77" s="52"/>
      <c r="J77" s="52"/>
      <c r="K77" s="52"/>
      <c r="L77" s="52"/>
      <c r="M77" s="52"/>
      <c r="N77" s="52"/>
      <c r="O77" s="52"/>
      <c r="P77" s="52"/>
      <c r="Q77" s="52"/>
      <c r="R77" s="52"/>
      <c r="S77" s="52"/>
      <c r="T77" s="52"/>
      <c r="U77" s="52"/>
      <c r="V77" s="52"/>
      <c r="W77" s="52"/>
    </row>
    <row r="78" spans="7:23" x14ac:dyDescent="0.3"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2"/>
      <c r="S78" s="52"/>
      <c r="T78" s="52"/>
      <c r="U78" s="52"/>
      <c r="V78" s="52"/>
      <c r="W78" s="52"/>
    </row>
    <row r="79" spans="7:23" x14ac:dyDescent="0.3"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  <c r="S79" s="52"/>
      <c r="T79" s="52"/>
      <c r="U79" s="52"/>
      <c r="V79" s="52"/>
      <c r="W79" s="52"/>
    </row>
    <row r="80" spans="7:23" x14ac:dyDescent="0.3"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52"/>
      <c r="R80" s="52"/>
      <c r="S80" s="52"/>
      <c r="T80" s="52"/>
      <c r="U80" s="52"/>
      <c r="V80" s="52"/>
      <c r="W80" s="52"/>
    </row>
    <row r="81" spans="7:23" x14ac:dyDescent="0.3">
      <c r="G81" s="52"/>
      <c r="H81" s="52"/>
      <c r="I81" s="52"/>
      <c r="J81" s="52"/>
      <c r="K81" s="52"/>
      <c r="L81" s="52"/>
      <c r="M81" s="52"/>
      <c r="N81" s="52"/>
      <c r="O81" s="52"/>
      <c r="P81" s="52"/>
      <c r="Q81" s="52"/>
      <c r="R81" s="52"/>
      <c r="S81" s="52"/>
      <c r="T81" s="52"/>
      <c r="U81" s="52"/>
      <c r="V81" s="52"/>
      <c r="W81" s="52"/>
    </row>
    <row r="82" spans="7:23" x14ac:dyDescent="0.3">
      <c r="G82" s="52"/>
      <c r="H82" s="52"/>
      <c r="I82" s="52"/>
      <c r="J82" s="52"/>
      <c r="K82" s="52"/>
      <c r="L82" s="52"/>
      <c r="M82" s="52"/>
      <c r="N82" s="52"/>
      <c r="O82" s="52"/>
      <c r="P82" s="52"/>
      <c r="Q82" s="52"/>
      <c r="R82" s="52"/>
      <c r="S82" s="52"/>
      <c r="T82" s="52"/>
      <c r="U82" s="52"/>
      <c r="V82" s="52"/>
      <c r="W82" s="52"/>
    </row>
    <row r="83" spans="7:23" x14ac:dyDescent="0.3"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52"/>
      <c r="R83" s="52"/>
      <c r="S83" s="52"/>
      <c r="T83" s="52"/>
      <c r="U83" s="52"/>
      <c r="V83" s="52"/>
      <c r="W83" s="52"/>
    </row>
    <row r="84" spans="7:23" x14ac:dyDescent="0.3"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52"/>
      <c r="R84" s="52"/>
      <c r="S84" s="52"/>
      <c r="T84" s="52"/>
      <c r="U84" s="52"/>
      <c r="V84" s="52"/>
      <c r="W84" s="52"/>
    </row>
    <row r="85" spans="7:23" x14ac:dyDescent="0.3">
      <c r="G85" s="52"/>
      <c r="H85" s="52"/>
      <c r="I85" s="52"/>
      <c r="J85" s="52"/>
      <c r="K85" s="52"/>
      <c r="L85" s="52"/>
      <c r="M85" s="52"/>
      <c r="N85" s="52"/>
      <c r="O85" s="52"/>
      <c r="P85" s="52"/>
      <c r="Q85" s="52"/>
      <c r="R85" s="52"/>
      <c r="S85" s="52"/>
      <c r="T85" s="52"/>
      <c r="U85" s="52"/>
      <c r="V85" s="52"/>
      <c r="W85" s="52"/>
    </row>
    <row r="86" spans="7:23" x14ac:dyDescent="0.3">
      <c r="G86" s="52"/>
      <c r="H86" s="52"/>
      <c r="I86" s="52"/>
      <c r="J86" s="52"/>
      <c r="K86" s="52"/>
      <c r="L86" s="52"/>
      <c r="M86" s="52"/>
      <c r="N86" s="52"/>
      <c r="O86" s="52"/>
      <c r="P86" s="52"/>
      <c r="Q86" s="52"/>
      <c r="R86" s="52"/>
      <c r="S86" s="52"/>
      <c r="T86" s="52"/>
      <c r="U86" s="52"/>
      <c r="V86" s="52"/>
      <c r="W86" s="52"/>
    </row>
    <row r="87" spans="7:23" x14ac:dyDescent="0.3">
      <c r="G87" s="52"/>
      <c r="H87" s="52"/>
      <c r="I87" s="52"/>
      <c r="J87" s="52"/>
      <c r="K87" s="52"/>
      <c r="L87" s="52"/>
      <c r="M87" s="52"/>
      <c r="N87" s="52"/>
      <c r="O87" s="52"/>
      <c r="P87" s="52"/>
      <c r="Q87" s="52"/>
      <c r="R87" s="52"/>
      <c r="S87" s="52"/>
      <c r="T87" s="52"/>
      <c r="U87" s="52"/>
      <c r="V87" s="52"/>
      <c r="W87" s="52"/>
    </row>
    <row r="88" spans="7:23" x14ac:dyDescent="0.3">
      <c r="G88" s="52"/>
      <c r="H88" s="52"/>
      <c r="I88" s="52"/>
      <c r="J88" s="52"/>
      <c r="K88" s="52"/>
      <c r="L88" s="52"/>
      <c r="M88" s="52"/>
      <c r="N88" s="52"/>
      <c r="O88" s="52"/>
      <c r="P88" s="52"/>
      <c r="Q88" s="52"/>
      <c r="R88" s="52"/>
      <c r="S88" s="52"/>
      <c r="T88" s="52"/>
      <c r="U88" s="52"/>
      <c r="V88" s="52"/>
      <c r="W88" s="52"/>
    </row>
    <row r="89" spans="7:23" x14ac:dyDescent="0.3">
      <c r="G89" s="52"/>
      <c r="H89" s="52"/>
      <c r="I89" s="52"/>
      <c r="J89" s="52"/>
      <c r="K89" s="52"/>
      <c r="L89" s="52"/>
      <c r="M89" s="52"/>
      <c r="N89" s="52"/>
      <c r="O89" s="52"/>
      <c r="P89" s="52"/>
      <c r="Q89" s="52"/>
      <c r="R89" s="52"/>
      <c r="S89" s="52"/>
      <c r="T89" s="52"/>
      <c r="U89" s="52"/>
      <c r="V89" s="52"/>
      <c r="W89" s="52"/>
    </row>
    <row r="90" spans="7:23" x14ac:dyDescent="0.3">
      <c r="G90" s="52"/>
      <c r="H90" s="52"/>
      <c r="I90" s="52"/>
      <c r="J90" s="52"/>
      <c r="K90" s="52"/>
      <c r="L90" s="52"/>
      <c r="M90" s="52"/>
      <c r="N90" s="52"/>
      <c r="O90" s="52"/>
      <c r="P90" s="52"/>
      <c r="Q90" s="52"/>
      <c r="R90" s="52"/>
      <c r="S90" s="52"/>
      <c r="T90" s="52"/>
      <c r="U90" s="52"/>
      <c r="V90" s="52"/>
      <c r="W90" s="52"/>
    </row>
    <row r="91" spans="7:23" x14ac:dyDescent="0.3"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</row>
    <row r="92" spans="7:23" x14ac:dyDescent="0.3">
      <c r="G92" s="52"/>
      <c r="H92" s="52"/>
      <c r="I92" s="52"/>
      <c r="J92" s="52"/>
      <c r="K92" s="52"/>
      <c r="L92" s="52"/>
      <c r="M92" s="52"/>
      <c r="N92" s="52"/>
      <c r="O92" s="52"/>
      <c r="P92" s="52"/>
      <c r="Q92" s="52"/>
      <c r="R92" s="52"/>
      <c r="S92" s="52"/>
      <c r="T92" s="52"/>
      <c r="U92" s="52"/>
      <c r="V92" s="52"/>
      <c r="W92" s="52"/>
    </row>
    <row r="93" spans="7:23" x14ac:dyDescent="0.3">
      <c r="G93" s="52"/>
      <c r="H93" s="52"/>
      <c r="I93" s="52"/>
      <c r="J93" s="52"/>
      <c r="K93" s="52"/>
      <c r="L93" s="52"/>
      <c r="M93" s="52"/>
      <c r="N93" s="52"/>
      <c r="O93" s="52"/>
      <c r="P93" s="52"/>
      <c r="Q93" s="52"/>
      <c r="R93" s="52"/>
      <c r="S93" s="52"/>
      <c r="T93" s="52"/>
      <c r="U93" s="52"/>
      <c r="V93" s="52"/>
      <c r="W93" s="52"/>
    </row>
    <row r="94" spans="7:23" x14ac:dyDescent="0.3">
      <c r="G94" s="52"/>
      <c r="H94" s="52"/>
      <c r="I94" s="52"/>
      <c r="J94" s="52"/>
      <c r="K94" s="52"/>
      <c r="L94" s="52"/>
      <c r="M94" s="52"/>
      <c r="N94" s="52"/>
      <c r="O94" s="52"/>
      <c r="P94" s="52"/>
      <c r="Q94" s="52"/>
      <c r="R94" s="52"/>
      <c r="S94" s="52"/>
      <c r="T94" s="52"/>
      <c r="U94" s="52"/>
      <c r="V94" s="52"/>
      <c r="W94" s="52"/>
    </row>
    <row r="95" spans="7:23" x14ac:dyDescent="0.3"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</row>
    <row r="96" spans="7:23" x14ac:dyDescent="0.3">
      <c r="G96" s="52"/>
      <c r="H96" s="52"/>
      <c r="I96" s="52"/>
      <c r="J96" s="52"/>
      <c r="K96" s="52"/>
      <c r="L96" s="52"/>
      <c r="M96" s="52"/>
      <c r="N96" s="52"/>
      <c r="O96" s="52"/>
      <c r="P96" s="52"/>
      <c r="Q96" s="52"/>
      <c r="R96" s="52"/>
      <c r="S96" s="52"/>
      <c r="T96" s="52"/>
      <c r="U96" s="52"/>
      <c r="V96" s="52"/>
      <c r="W96" s="52"/>
    </row>
    <row r="97" spans="7:23" x14ac:dyDescent="0.3">
      <c r="G97" s="52"/>
      <c r="H97" s="52"/>
      <c r="I97" s="52"/>
      <c r="J97" s="52"/>
      <c r="K97" s="52"/>
      <c r="L97" s="52"/>
      <c r="M97" s="52"/>
      <c r="N97" s="52"/>
      <c r="O97" s="52"/>
      <c r="P97" s="52"/>
      <c r="Q97" s="52"/>
      <c r="R97" s="52"/>
      <c r="S97" s="52"/>
      <c r="T97" s="52"/>
      <c r="U97" s="52"/>
      <c r="V97" s="52"/>
      <c r="W97" s="52"/>
    </row>
    <row r="98" spans="7:23" x14ac:dyDescent="0.3">
      <c r="G98" s="52"/>
      <c r="H98" s="52"/>
      <c r="I98" s="52"/>
      <c r="J98" s="52"/>
      <c r="K98" s="52"/>
      <c r="L98" s="52"/>
      <c r="M98" s="52"/>
      <c r="N98" s="52"/>
      <c r="O98" s="52"/>
      <c r="P98" s="52"/>
      <c r="Q98" s="52"/>
      <c r="R98" s="52"/>
      <c r="S98" s="52"/>
      <c r="T98" s="52"/>
      <c r="U98" s="52"/>
      <c r="V98" s="52"/>
      <c r="W98" s="52"/>
    </row>
    <row r="99" spans="7:23" x14ac:dyDescent="0.3">
      <c r="G99" s="52"/>
      <c r="H99" s="52"/>
      <c r="I99" s="52"/>
      <c r="J99" s="52"/>
      <c r="K99" s="52"/>
      <c r="L99" s="52"/>
      <c r="M99" s="52"/>
      <c r="N99" s="52"/>
      <c r="O99" s="52"/>
      <c r="P99" s="52"/>
      <c r="Q99" s="52"/>
      <c r="R99" s="52"/>
      <c r="S99" s="52"/>
      <c r="T99" s="52"/>
      <c r="U99" s="52"/>
      <c r="V99" s="52"/>
      <c r="W99" s="52"/>
    </row>
    <row r="100" spans="7:23" x14ac:dyDescent="0.3">
      <c r="G100" s="52"/>
      <c r="H100" s="52"/>
      <c r="I100" s="52"/>
      <c r="J100" s="52"/>
      <c r="K100" s="52"/>
      <c r="L100" s="52"/>
      <c r="M100" s="52"/>
      <c r="N100" s="52"/>
      <c r="O100" s="52"/>
      <c r="P100" s="52"/>
      <c r="Q100" s="52"/>
      <c r="R100" s="52"/>
      <c r="S100" s="52"/>
      <c r="T100" s="52"/>
      <c r="U100" s="52"/>
      <c r="V100" s="52"/>
      <c r="W100" s="52"/>
    </row>
    <row r="101" spans="7:23" x14ac:dyDescent="0.3">
      <c r="G101" s="52"/>
      <c r="H101" s="52"/>
      <c r="I101" s="52"/>
      <c r="J101" s="52"/>
      <c r="K101" s="52"/>
      <c r="L101" s="52"/>
      <c r="M101" s="52"/>
      <c r="N101" s="52"/>
      <c r="O101" s="52"/>
      <c r="P101" s="52"/>
      <c r="Q101" s="52"/>
      <c r="R101" s="52"/>
      <c r="S101" s="52"/>
      <c r="T101" s="52"/>
      <c r="U101" s="52"/>
      <c r="V101" s="52"/>
      <c r="W101" s="52"/>
    </row>
    <row r="102" spans="7:23" x14ac:dyDescent="0.3">
      <c r="G102" s="52"/>
      <c r="H102" s="52"/>
      <c r="I102" s="52"/>
      <c r="J102" s="52"/>
      <c r="K102" s="52"/>
      <c r="L102" s="52"/>
      <c r="M102" s="52"/>
      <c r="N102" s="52"/>
      <c r="O102" s="52"/>
      <c r="P102" s="52"/>
      <c r="Q102" s="52"/>
      <c r="R102" s="52"/>
      <c r="S102" s="52"/>
      <c r="T102" s="52"/>
      <c r="U102" s="52"/>
      <c r="V102" s="52"/>
      <c r="W102" s="52"/>
    </row>
    <row r="103" spans="7:23" x14ac:dyDescent="0.3">
      <c r="G103" s="52"/>
      <c r="H103" s="52"/>
      <c r="I103" s="52"/>
      <c r="J103" s="52"/>
      <c r="K103" s="52"/>
      <c r="L103" s="52"/>
      <c r="M103" s="52"/>
      <c r="N103" s="52"/>
      <c r="O103" s="52"/>
      <c r="P103" s="52"/>
      <c r="Q103" s="52"/>
      <c r="R103" s="52"/>
      <c r="S103" s="52"/>
      <c r="T103" s="52"/>
      <c r="U103" s="52"/>
      <c r="V103" s="52"/>
      <c r="W103" s="52"/>
    </row>
    <row r="104" spans="7:23" x14ac:dyDescent="0.3">
      <c r="G104" s="52"/>
      <c r="H104" s="52"/>
      <c r="I104" s="52"/>
      <c r="J104" s="52"/>
      <c r="K104" s="52"/>
      <c r="L104" s="52"/>
      <c r="M104" s="52"/>
      <c r="N104" s="52"/>
      <c r="O104" s="52"/>
      <c r="P104" s="52"/>
      <c r="Q104" s="52"/>
      <c r="R104" s="52"/>
      <c r="S104" s="52"/>
      <c r="T104" s="52"/>
      <c r="U104" s="52"/>
      <c r="V104" s="52"/>
      <c r="W104" s="52"/>
    </row>
    <row r="105" spans="7:23" x14ac:dyDescent="0.3">
      <c r="G105" s="52"/>
      <c r="H105" s="52"/>
      <c r="I105" s="52"/>
      <c r="J105" s="52"/>
      <c r="K105" s="52"/>
      <c r="L105" s="52"/>
      <c r="M105" s="52"/>
      <c r="N105" s="52"/>
      <c r="O105" s="52"/>
      <c r="P105" s="52"/>
      <c r="Q105" s="52"/>
      <c r="R105" s="52"/>
      <c r="S105" s="52"/>
      <c r="T105" s="52"/>
      <c r="U105" s="52"/>
      <c r="V105" s="52"/>
      <c r="W105" s="52"/>
    </row>
    <row r="106" spans="7:23" x14ac:dyDescent="0.3">
      <c r="G106" s="52"/>
      <c r="H106" s="52"/>
      <c r="I106" s="52"/>
      <c r="J106" s="52"/>
      <c r="K106" s="52"/>
      <c r="L106" s="52"/>
      <c r="M106" s="52"/>
      <c r="N106" s="52"/>
      <c r="O106" s="52"/>
      <c r="P106" s="52"/>
      <c r="Q106" s="52"/>
      <c r="R106" s="52"/>
      <c r="S106" s="52"/>
      <c r="T106" s="52"/>
      <c r="U106" s="52"/>
      <c r="V106" s="52"/>
      <c r="W106" s="52"/>
    </row>
    <row r="107" spans="7:23" x14ac:dyDescent="0.3">
      <c r="G107" s="52"/>
      <c r="H107" s="52"/>
      <c r="I107" s="52"/>
      <c r="J107" s="52"/>
      <c r="K107" s="52"/>
      <c r="L107" s="52"/>
      <c r="M107" s="52"/>
      <c r="N107" s="52"/>
      <c r="O107" s="52"/>
      <c r="P107" s="52"/>
      <c r="Q107" s="52"/>
      <c r="R107" s="52"/>
      <c r="S107" s="52"/>
      <c r="T107" s="52"/>
      <c r="U107" s="52"/>
      <c r="V107" s="52"/>
      <c r="W107" s="52"/>
    </row>
    <row r="108" spans="7:23" x14ac:dyDescent="0.3">
      <c r="G108" s="52"/>
      <c r="H108" s="52"/>
      <c r="I108" s="52"/>
      <c r="J108" s="52"/>
      <c r="K108" s="52"/>
      <c r="L108" s="52"/>
      <c r="M108" s="52"/>
      <c r="N108" s="52"/>
      <c r="O108" s="52"/>
      <c r="P108" s="52"/>
      <c r="Q108" s="52"/>
      <c r="R108" s="52"/>
      <c r="S108" s="52"/>
      <c r="T108" s="52"/>
      <c r="U108" s="52"/>
      <c r="V108" s="52"/>
      <c r="W108" s="52"/>
    </row>
    <row r="109" spans="7:23" x14ac:dyDescent="0.3">
      <c r="G109" s="52"/>
      <c r="H109" s="52"/>
      <c r="I109" s="52"/>
      <c r="J109" s="52"/>
      <c r="K109" s="52"/>
      <c r="L109" s="52"/>
      <c r="M109" s="52"/>
      <c r="N109" s="52"/>
      <c r="O109" s="52"/>
      <c r="P109" s="52"/>
      <c r="Q109" s="52"/>
      <c r="R109" s="52"/>
      <c r="S109" s="52"/>
      <c r="T109" s="52"/>
      <c r="U109" s="52"/>
      <c r="V109" s="52"/>
      <c r="W109" s="52"/>
    </row>
    <row r="110" spans="7:23" x14ac:dyDescent="0.3">
      <c r="G110" s="52"/>
      <c r="H110" s="52"/>
      <c r="I110" s="52"/>
      <c r="J110" s="52"/>
      <c r="K110" s="52"/>
      <c r="L110" s="52"/>
      <c r="M110" s="52"/>
      <c r="N110" s="52"/>
      <c r="O110" s="52"/>
      <c r="P110" s="52"/>
      <c r="Q110" s="52"/>
      <c r="R110" s="52"/>
      <c r="S110" s="52"/>
      <c r="T110" s="52"/>
      <c r="U110" s="52"/>
      <c r="V110" s="52"/>
      <c r="W110" s="52"/>
    </row>
    <row r="111" spans="7:23" x14ac:dyDescent="0.3">
      <c r="G111" s="52"/>
      <c r="H111" s="52"/>
      <c r="I111" s="52"/>
      <c r="J111" s="52"/>
      <c r="K111" s="52"/>
      <c r="L111" s="52"/>
      <c r="M111" s="52"/>
      <c r="N111" s="52"/>
      <c r="O111" s="52"/>
      <c r="P111" s="52"/>
      <c r="Q111" s="52"/>
      <c r="R111" s="52"/>
      <c r="S111" s="52"/>
      <c r="T111" s="52"/>
      <c r="U111" s="52"/>
      <c r="V111" s="52"/>
      <c r="W111" s="52"/>
    </row>
    <row r="112" spans="7:23" x14ac:dyDescent="0.3">
      <c r="G112" s="52"/>
      <c r="H112" s="52"/>
      <c r="I112" s="52"/>
      <c r="J112" s="52"/>
      <c r="K112" s="52"/>
      <c r="L112" s="52"/>
      <c r="M112" s="52"/>
      <c r="N112" s="52"/>
      <c r="O112" s="52"/>
      <c r="P112" s="52"/>
      <c r="Q112" s="52"/>
      <c r="R112" s="52"/>
      <c r="S112" s="52"/>
      <c r="T112" s="52"/>
      <c r="U112" s="52"/>
      <c r="V112" s="52"/>
      <c r="W112" s="52"/>
    </row>
    <row r="113" spans="7:23" x14ac:dyDescent="0.3">
      <c r="G113" s="52"/>
      <c r="H113" s="52"/>
      <c r="I113" s="52"/>
      <c r="J113" s="52"/>
      <c r="K113" s="52"/>
      <c r="L113" s="52"/>
      <c r="M113" s="52"/>
      <c r="N113" s="52"/>
      <c r="O113" s="52"/>
      <c r="P113" s="52"/>
      <c r="Q113" s="52"/>
      <c r="R113" s="52"/>
      <c r="S113" s="52"/>
      <c r="T113" s="52"/>
      <c r="U113" s="52"/>
      <c r="V113" s="52"/>
      <c r="W113" s="52"/>
    </row>
    <row r="114" spans="7:23" x14ac:dyDescent="0.3">
      <c r="G114" s="52"/>
      <c r="H114" s="52"/>
      <c r="I114" s="52"/>
      <c r="J114" s="52"/>
      <c r="K114" s="52"/>
      <c r="L114" s="52"/>
      <c r="M114" s="52"/>
      <c r="N114" s="52"/>
      <c r="O114" s="52"/>
      <c r="P114" s="52"/>
      <c r="Q114" s="52"/>
      <c r="R114" s="52"/>
      <c r="S114" s="52"/>
      <c r="T114" s="52"/>
      <c r="U114" s="52"/>
      <c r="V114" s="52"/>
      <c r="W114" s="52"/>
    </row>
    <row r="115" spans="7:23" x14ac:dyDescent="0.3">
      <c r="G115" s="52"/>
      <c r="H115" s="52"/>
      <c r="I115" s="52"/>
      <c r="J115" s="52"/>
      <c r="K115" s="52"/>
      <c r="L115" s="52"/>
      <c r="M115" s="52"/>
      <c r="N115" s="52"/>
      <c r="O115" s="52"/>
      <c r="P115" s="52"/>
      <c r="Q115" s="52"/>
      <c r="R115" s="52"/>
      <c r="S115" s="52"/>
      <c r="T115" s="52"/>
      <c r="U115" s="52"/>
      <c r="V115" s="52"/>
      <c r="W115" s="52"/>
    </row>
    <row r="116" spans="7:23" x14ac:dyDescent="0.3">
      <c r="G116" s="52"/>
      <c r="H116" s="52"/>
      <c r="I116" s="52"/>
      <c r="J116" s="52"/>
      <c r="K116" s="52"/>
      <c r="L116" s="52"/>
      <c r="M116" s="52"/>
      <c r="N116" s="52"/>
      <c r="O116" s="52"/>
      <c r="P116" s="52"/>
      <c r="Q116" s="52"/>
      <c r="R116" s="52"/>
      <c r="S116" s="52"/>
      <c r="T116" s="52"/>
      <c r="U116" s="52"/>
      <c r="V116" s="52"/>
      <c r="W116" s="52"/>
    </row>
    <row r="117" spans="7:23" x14ac:dyDescent="0.3">
      <c r="G117" s="52"/>
      <c r="H117" s="52"/>
      <c r="I117" s="52"/>
      <c r="J117" s="52"/>
      <c r="K117" s="52"/>
      <c r="L117" s="52"/>
      <c r="M117" s="52"/>
      <c r="N117" s="52"/>
      <c r="O117" s="52"/>
      <c r="P117" s="52"/>
      <c r="Q117" s="52"/>
      <c r="R117" s="52"/>
      <c r="S117" s="52"/>
      <c r="T117" s="52"/>
      <c r="U117" s="52"/>
      <c r="V117" s="52"/>
      <c r="W117" s="52"/>
    </row>
    <row r="118" spans="7:23" x14ac:dyDescent="0.3">
      <c r="G118" s="52"/>
      <c r="H118" s="52"/>
      <c r="I118" s="52"/>
      <c r="J118" s="52"/>
      <c r="K118" s="52"/>
      <c r="L118" s="52"/>
      <c r="M118" s="52"/>
      <c r="N118" s="52"/>
      <c r="O118" s="52"/>
      <c r="P118" s="52"/>
      <c r="Q118" s="52"/>
      <c r="R118" s="52"/>
      <c r="S118" s="52"/>
      <c r="T118" s="52"/>
      <c r="U118" s="52"/>
      <c r="V118" s="52"/>
      <c r="W118" s="52"/>
    </row>
    <row r="119" spans="7:23" x14ac:dyDescent="0.3">
      <c r="G119" s="52"/>
      <c r="H119" s="52"/>
      <c r="I119" s="52"/>
      <c r="J119" s="52"/>
      <c r="K119" s="52"/>
      <c r="L119" s="52"/>
      <c r="M119" s="52"/>
      <c r="N119" s="52"/>
      <c r="O119" s="52"/>
      <c r="P119" s="52"/>
      <c r="Q119" s="52"/>
      <c r="R119" s="52"/>
      <c r="S119" s="52"/>
      <c r="T119" s="52"/>
      <c r="U119" s="52"/>
      <c r="V119" s="52"/>
      <c r="W119" s="52"/>
    </row>
    <row r="120" spans="7:23" x14ac:dyDescent="0.3">
      <c r="G120" s="52"/>
      <c r="H120" s="52"/>
      <c r="I120" s="52"/>
      <c r="J120" s="52"/>
      <c r="K120" s="52"/>
      <c r="L120" s="52"/>
      <c r="M120" s="52"/>
      <c r="N120" s="52"/>
      <c r="O120" s="52"/>
      <c r="P120" s="52"/>
      <c r="Q120" s="52"/>
      <c r="R120" s="52"/>
      <c r="S120" s="52"/>
      <c r="T120" s="52"/>
      <c r="U120" s="52"/>
      <c r="V120" s="52"/>
      <c r="W120" s="52"/>
    </row>
    <row r="131" spans="3:3" x14ac:dyDescent="0.3">
      <c r="C131" t="s">
        <v>16</v>
      </c>
    </row>
    <row r="282" spans="3:3" x14ac:dyDescent="0.3">
      <c r="C282" t="s">
        <v>17</v>
      </c>
    </row>
    <row r="283" spans="3:3" x14ac:dyDescent="0.3">
      <c r="C283" t="s">
        <v>18</v>
      </c>
    </row>
  </sheetData>
  <mergeCells count="6">
    <mergeCell ref="A3:F3"/>
    <mergeCell ref="A13:F14"/>
    <mergeCell ref="A4:F4"/>
    <mergeCell ref="A5:F7"/>
    <mergeCell ref="A8:C11"/>
    <mergeCell ref="D8:F11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BK307"/>
  <sheetViews>
    <sheetView showGridLines="0" zoomScale="85" zoomScaleNormal="85" workbookViewId="0">
      <selection activeCell="I288" sqref="I288"/>
    </sheetView>
  </sheetViews>
  <sheetFormatPr defaultColWidth="9.109375" defaultRowHeight="14.4" x14ac:dyDescent="0.3"/>
  <cols>
    <col min="1" max="1" width="15.33203125" style="1" customWidth="1"/>
    <col min="2" max="2" width="16.77734375" style="2" customWidth="1"/>
    <col min="3" max="3" width="13.21875" style="1" customWidth="1"/>
    <col min="4" max="4" width="15.5546875" style="1" customWidth="1"/>
    <col min="5" max="5" width="15.88671875" style="1" customWidth="1"/>
    <col min="6" max="6" width="14.5546875" style="1" customWidth="1"/>
    <col min="7" max="7" width="13.6640625" style="1" customWidth="1"/>
    <col min="8" max="8" width="14.33203125" style="1" customWidth="1"/>
    <col min="9" max="9" width="13.33203125" style="1" customWidth="1"/>
    <col min="10" max="10" width="13" style="32" customWidth="1"/>
    <col min="11" max="11" width="17.5546875" style="1" customWidth="1"/>
    <col min="12" max="12" width="18.33203125" style="1" customWidth="1"/>
    <col min="13" max="14" width="9.109375" style="1"/>
    <col min="15" max="15" width="9.6640625" style="1" bestFit="1" customWidth="1"/>
    <col min="16" max="16384" width="9.109375" style="1"/>
  </cols>
  <sheetData>
    <row r="1" spans="1:63" x14ac:dyDescent="0.3">
      <c r="A1" s="66" t="s">
        <v>114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</row>
    <row r="2" spans="1:63" x14ac:dyDescent="0.3">
      <c r="J2" s="1"/>
    </row>
    <row r="3" spans="1:63" x14ac:dyDescent="0.3">
      <c r="A3" s="67" t="s">
        <v>0</v>
      </c>
      <c r="B3" s="68"/>
      <c r="C3" s="3"/>
      <c r="D3" s="3"/>
      <c r="E3"/>
      <c r="F3"/>
      <c r="J3" s="1"/>
      <c r="K3" s="39"/>
      <c r="L3" s="39"/>
    </row>
    <row r="4" spans="1:63" x14ac:dyDescent="0.3">
      <c r="A4" s="5" t="s">
        <v>1</v>
      </c>
      <c r="B4" s="23" t="str">
        <f>PVSKTC!C2</f>
        <v>Chau Quoc Nhien</v>
      </c>
      <c r="C4" s="3"/>
      <c r="D4" s="69" t="s">
        <v>125</v>
      </c>
      <c r="E4" s="70"/>
      <c r="F4"/>
      <c r="J4" s="39"/>
      <c r="K4" s="39"/>
      <c r="L4" s="39"/>
    </row>
    <row r="5" spans="1:63" ht="14.4" customHeight="1" x14ac:dyDescent="0.3">
      <c r="A5" s="5" t="s">
        <v>2</v>
      </c>
      <c r="B5" s="23" t="str">
        <f>PVSKTC!B2</f>
        <v>3595152</v>
      </c>
      <c r="C5" s="3"/>
      <c r="D5" s="21" t="s">
        <v>110</v>
      </c>
      <c r="E5" s="16">
        <f>F301</f>
        <v>0</v>
      </c>
      <c r="G5" s="69" t="s">
        <v>14</v>
      </c>
      <c r="H5" s="70"/>
      <c r="K5" s="39"/>
      <c r="L5" s="39"/>
    </row>
    <row r="6" spans="1:63" x14ac:dyDescent="0.3">
      <c r="A6" s="5" t="s">
        <v>50</v>
      </c>
      <c r="B6" s="37" t="str">
        <f>PVSKTC!D2</f>
        <v>121793555</v>
      </c>
      <c r="C6"/>
      <c r="D6" s="21" t="s">
        <v>111</v>
      </c>
      <c r="E6" s="16">
        <f>E7+E8</f>
        <v>0</v>
      </c>
      <c r="G6" s="21" t="s">
        <v>44</v>
      </c>
      <c r="H6" s="16">
        <f>E301</f>
        <v>0</v>
      </c>
      <c r="I6" s="40" t="s">
        <v>118</v>
      </c>
      <c r="K6" s="39"/>
      <c r="L6" s="39"/>
    </row>
    <row r="7" spans="1:63" x14ac:dyDescent="0.3">
      <c r="A7" s="5" t="s">
        <v>43</v>
      </c>
      <c r="B7" s="23">
        <f>THTT!A2</f>
        <v>0</v>
      </c>
      <c r="C7" s="3"/>
      <c r="D7" s="21" t="s">
        <v>115</v>
      </c>
      <c r="E7" s="16">
        <f>G301</f>
        <v>0</v>
      </c>
      <c r="G7" s="21" t="s">
        <v>112</v>
      </c>
      <c r="H7" s="16">
        <f>H8+H9</f>
        <v>0</v>
      </c>
      <c r="I7" s="40" t="s">
        <v>119</v>
      </c>
      <c r="K7" s="39"/>
      <c r="L7" s="39"/>
    </row>
    <row r="8" spans="1:63" x14ac:dyDescent="0.3">
      <c r="A8" s="28" t="s">
        <v>47</v>
      </c>
      <c r="B8" s="9">
        <f>THTT!B2</f>
        <v>0</v>
      </c>
      <c r="C8" s="3"/>
      <c r="D8" s="21" t="s">
        <v>116</v>
      </c>
      <c r="E8" s="16">
        <f>E9+E10</f>
        <v>0</v>
      </c>
      <c r="G8" s="21" t="s">
        <v>108</v>
      </c>
      <c r="H8" s="16">
        <f>SUM(K13:K300)-E9</f>
        <v>0</v>
      </c>
      <c r="I8" s="40" t="s">
        <v>120</v>
      </c>
      <c r="K8" s="39"/>
      <c r="L8" s="39"/>
    </row>
    <row r="9" spans="1:63" x14ac:dyDescent="0.3">
      <c r="A9" s="5" t="s">
        <v>3</v>
      </c>
      <c r="B9" s="9">
        <f>THTT!C2</f>
        <v>0</v>
      </c>
      <c r="C9" s="3"/>
      <c r="D9" s="41" t="s">
        <v>123</v>
      </c>
      <c r="E9" s="42">
        <f>SUMIF(A13:$A$300,"TRONG HẠN",$H$13:$H$300)</f>
        <v>0</v>
      </c>
      <c r="G9" s="21" t="s">
        <v>109</v>
      </c>
      <c r="H9" s="16">
        <f>SUM(L13:L300)-E10</f>
        <v>0</v>
      </c>
      <c r="I9" s="40" t="s">
        <v>121</v>
      </c>
      <c r="K9" s="39"/>
      <c r="L9" s="39"/>
    </row>
    <row r="10" spans="1:63" x14ac:dyDescent="0.3">
      <c r="A10" s="5" t="s">
        <v>12</v>
      </c>
      <c r="B10" s="38">
        <f>THTT!D2</f>
        <v>0</v>
      </c>
      <c r="C10" s="3"/>
      <c r="D10" s="41" t="s">
        <v>124</v>
      </c>
      <c r="E10" s="42">
        <f>SUMIF(A13:$A$300,"QUÁ HẠN",$H$13:$H$300)</f>
        <v>0</v>
      </c>
      <c r="G10" s="21" t="s">
        <v>113</v>
      </c>
      <c r="H10" s="16">
        <f>H6+H7</f>
        <v>0</v>
      </c>
      <c r="I10" s="40" t="s">
        <v>122</v>
      </c>
      <c r="K10" s="39"/>
      <c r="L10" s="39"/>
    </row>
    <row r="11" spans="1:63" ht="30.6" customHeight="1" x14ac:dyDescent="0.3">
      <c r="A11" s="30"/>
      <c r="B11" s="31"/>
      <c r="C11" s="3"/>
      <c r="D11" s="3"/>
      <c r="E11"/>
      <c r="F11"/>
      <c r="G11"/>
      <c r="J11" s="39"/>
      <c r="K11" s="39"/>
      <c r="L11" s="39"/>
    </row>
    <row r="12" spans="1:63" ht="39" customHeight="1" x14ac:dyDescent="0.3">
      <c r="A12" s="19" t="s">
        <v>4</v>
      </c>
      <c r="B12" s="19" t="s">
        <v>13</v>
      </c>
      <c r="C12" s="19" t="s">
        <v>5</v>
      </c>
      <c r="D12" s="19" t="s">
        <v>6</v>
      </c>
      <c r="E12" s="19" t="s">
        <v>44</v>
      </c>
      <c r="F12" s="19" t="s">
        <v>46</v>
      </c>
      <c r="G12" s="19" t="s">
        <v>45</v>
      </c>
      <c r="H12" s="19" t="s">
        <v>10</v>
      </c>
      <c r="I12" s="19" t="s">
        <v>7</v>
      </c>
      <c r="J12" s="33" t="s">
        <v>15</v>
      </c>
      <c r="K12" s="19" t="s">
        <v>8</v>
      </c>
      <c r="L12" s="19" t="s">
        <v>9</v>
      </c>
    </row>
    <row r="13" spans="1:63" s="4" customFormat="1" x14ac:dyDescent="0.3">
      <c r="A13" s="17" t="str">
        <f>IF(E13&lt;=0,"",IF(B13&gt;=$B$9,"QUÁ HẠN","TRONG HẠN"))</f>
        <v/>
      </c>
      <c r="B13" s="18"/>
      <c r="C13" s="27">
        <f>IFERROR(IF(B14="", $B$10, B14-1), $B$10)</f>
        <v>0</v>
      </c>
      <c r="D13" s="17">
        <f>C13-B13+1</f>
        <v>1</v>
      </c>
      <c r="E13" s="29">
        <f>F13-G13</f>
        <v>0</v>
      </c>
      <c r="F13" s="8"/>
      <c r="G13" s="8"/>
      <c r="H13" s="8">
        <f>IFERROR(VLOOKUP(B13,PVSKTC!$A$4:$D$1048576,4,0),0)</f>
        <v>0</v>
      </c>
      <c r="I13" s="14" t="str">
        <f>IFERROR(IF(E13&gt;0,THTT!E$2,""),0)</f>
        <v/>
      </c>
      <c r="J13" s="15" t="str">
        <f>IF(A13="QUÁ HẠN",I13*150%,"")</f>
        <v/>
      </c>
      <c r="K13" s="8" t="str">
        <f>IF(AND(E13&gt;0,A13="TRONG HẠN"),E13*I13*D13/365,"")</f>
        <v/>
      </c>
      <c r="L13" s="8" t="str">
        <f>IF(A13="QUÁ HẠN",E13*J13*D13/365,"")</f>
        <v/>
      </c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</row>
    <row r="14" spans="1:63" s="4" customFormat="1" x14ac:dyDescent="0.3">
      <c r="A14" s="17" t="str">
        <f t="shared" ref="A14:A77" si="0">IF(E14&lt;=0,"",IF(B14&gt;=$B$9,"QUÁ HẠN","TRONG HẠN"))</f>
        <v/>
      </c>
      <c r="B14" s="18"/>
      <c r="C14" s="27">
        <f t="shared" ref="C14:C77" si="1">IFERROR(IF(B15="", $B$10, B15-1), $B$10)</f>
        <v>0</v>
      </c>
      <c r="D14" s="17">
        <f t="shared" ref="D14:D77" si="2">C14-B14+1</f>
        <v>1</v>
      </c>
      <c r="E14" s="29">
        <f>E13+F14-G14</f>
        <v>0</v>
      </c>
      <c r="F14" s="8">
        <f>IFERROR(VLOOKUP(B14,PVSKTC!$A$4:$D$1048576,2,0),0)</f>
        <v>0</v>
      </c>
      <c r="G14" s="8">
        <f>IFERROR(VLOOKUP(B14,PVSKTC!$A$4:$D$1048576,3,0),0)</f>
        <v>0</v>
      </c>
      <c r="H14" s="8">
        <f>IFERROR(VLOOKUP(B14,PVSKTC!$A$4:$D$1048576,4,0),0)</f>
        <v>0</v>
      </c>
      <c r="I14" s="14" t="str">
        <f>IFERROR(IF(E14&gt;0,THTT!E$2,""),"")</f>
        <v/>
      </c>
      <c r="J14" s="15" t="str">
        <f t="shared" ref="J14:J77" si="3">IF(A14="QUÁ HẠN",I14*150%,"")</f>
        <v/>
      </c>
      <c r="K14" s="8" t="str">
        <f t="shared" ref="K14:K77" si="4">IF(AND(E14&gt;0,A14="TRONG HẠN"),E14*I14*D14/365,"")</f>
        <v/>
      </c>
      <c r="L14" s="8" t="str">
        <f t="shared" ref="L14:L77" si="5">IF(A14="QUÁ HẠN",E14*J14*D14/365,"")</f>
        <v/>
      </c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</row>
    <row r="15" spans="1:63" s="4" customFormat="1" x14ac:dyDescent="0.3">
      <c r="A15" s="17" t="str">
        <f t="shared" si="0"/>
        <v/>
      </c>
      <c r="B15" s="18"/>
      <c r="C15" s="27">
        <f t="shared" si="1"/>
        <v>0</v>
      </c>
      <c r="D15" s="17">
        <f t="shared" si="2"/>
        <v>1</v>
      </c>
      <c r="E15" s="29">
        <f t="shared" ref="E15:E78" si="6">E14+F15-G15</f>
        <v>0</v>
      </c>
      <c r="F15" s="8">
        <f>IFERROR(VLOOKUP(B15,PVSKTC!$A$4:$D$1048576,2,0),0)</f>
        <v>0</v>
      </c>
      <c r="G15" s="8">
        <f>IFERROR(VLOOKUP(B15,PVSKTC!$A$4:$D$1048576,3,0),0)</f>
        <v>0</v>
      </c>
      <c r="H15" s="8">
        <f>IFERROR(VLOOKUP(B15,PVSKTC!$A$4:$D$1048576,4,0),0)</f>
        <v>0</v>
      </c>
      <c r="I15" s="14" t="str">
        <f>IFERROR(IF(E15&gt;0,THTT!E$2,""),"")</f>
        <v/>
      </c>
      <c r="J15" s="15" t="str">
        <f t="shared" si="3"/>
        <v/>
      </c>
      <c r="K15" s="8" t="str">
        <f t="shared" si="4"/>
        <v/>
      </c>
      <c r="L15" s="8" t="str">
        <f t="shared" si="5"/>
        <v/>
      </c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</row>
    <row r="16" spans="1:63" s="4" customFormat="1" x14ac:dyDescent="0.3">
      <c r="A16" s="17" t="str">
        <f t="shared" si="0"/>
        <v/>
      </c>
      <c r="B16" s="18"/>
      <c r="C16" s="27">
        <f t="shared" si="1"/>
        <v>0</v>
      </c>
      <c r="D16" s="17">
        <f t="shared" si="2"/>
        <v>1</v>
      </c>
      <c r="E16" s="29">
        <f t="shared" si="6"/>
        <v>0</v>
      </c>
      <c r="F16" s="8">
        <f>IFERROR(VLOOKUP(B16,PVSKTC!$A$4:$D$1048576,2,0),0)</f>
        <v>0</v>
      </c>
      <c r="G16" s="8">
        <f>IFERROR(VLOOKUP(B16,PVSKTC!$A$4:$D$1048576,3,0),0)</f>
        <v>0</v>
      </c>
      <c r="H16" s="8">
        <f>IFERROR(VLOOKUP(B16,PVSKTC!$A$4:$D$1048576,4,0),0)</f>
        <v>0</v>
      </c>
      <c r="I16" s="14" t="str">
        <f>IFERROR(IF(E16&gt;0,THTT!E$2,""),"")</f>
        <v/>
      </c>
      <c r="J16" s="15" t="str">
        <f t="shared" si="3"/>
        <v/>
      </c>
      <c r="K16" s="8" t="str">
        <f t="shared" si="4"/>
        <v/>
      </c>
      <c r="L16" s="8" t="str">
        <f t="shared" si="5"/>
        <v/>
      </c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</row>
    <row r="17" spans="1:63" s="4" customFormat="1" x14ac:dyDescent="0.3">
      <c r="A17" s="17" t="str">
        <f t="shared" si="0"/>
        <v/>
      </c>
      <c r="B17" s="18"/>
      <c r="C17" s="27">
        <f t="shared" si="1"/>
        <v>0</v>
      </c>
      <c r="D17" s="17">
        <f t="shared" si="2"/>
        <v>1</v>
      </c>
      <c r="E17" s="29">
        <f t="shared" si="6"/>
        <v>0</v>
      </c>
      <c r="F17" s="8">
        <f>IFERROR(VLOOKUP(B17,PVSKTC!$A$4:$D$1048576,2,0),0)</f>
        <v>0</v>
      </c>
      <c r="G17" s="8">
        <f>IFERROR(VLOOKUP(B17,PVSKTC!$A$4:$D$1048576,3,0),0)</f>
        <v>0</v>
      </c>
      <c r="H17" s="8">
        <f>IFERROR(VLOOKUP(B17,PVSKTC!$A$4:$D$1048576,4,0),0)</f>
        <v>0</v>
      </c>
      <c r="I17" s="14" t="str">
        <f>IFERROR(IF(E17&gt;0,THTT!E$2,""),"")</f>
        <v/>
      </c>
      <c r="J17" s="15" t="str">
        <f t="shared" si="3"/>
        <v/>
      </c>
      <c r="K17" s="8" t="str">
        <f t="shared" si="4"/>
        <v/>
      </c>
      <c r="L17" s="8" t="str">
        <f t="shared" si="5"/>
        <v/>
      </c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</row>
    <row r="18" spans="1:63" s="4" customFormat="1" x14ac:dyDescent="0.3">
      <c r="A18" s="17" t="str">
        <f t="shared" si="0"/>
        <v/>
      </c>
      <c r="B18" s="18"/>
      <c r="C18" s="27">
        <f t="shared" si="1"/>
        <v>0</v>
      </c>
      <c r="D18" s="17">
        <f t="shared" si="2"/>
        <v>1</v>
      </c>
      <c r="E18" s="29">
        <f t="shared" si="6"/>
        <v>0</v>
      </c>
      <c r="F18" s="8">
        <f>IFERROR(VLOOKUP(B18,PVSKTC!$A$4:$D$1048576,2,0),0)</f>
        <v>0</v>
      </c>
      <c r="G18" s="8">
        <f>IFERROR(VLOOKUP(B18,PVSKTC!$A$4:$D$1048576,3,0),0)</f>
        <v>0</v>
      </c>
      <c r="H18" s="8">
        <f>IFERROR(VLOOKUP(B18,PVSKTC!$A$4:$D$1048576,4,0),0)</f>
        <v>0</v>
      </c>
      <c r="I18" s="14" t="str">
        <f>IFERROR(IF(E18&gt;0,THTT!E$2,""),"")</f>
        <v/>
      </c>
      <c r="J18" s="15" t="str">
        <f t="shared" si="3"/>
        <v/>
      </c>
      <c r="K18" s="8" t="str">
        <f t="shared" si="4"/>
        <v/>
      </c>
      <c r="L18" s="8" t="str">
        <f t="shared" si="5"/>
        <v/>
      </c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</row>
    <row r="19" spans="1:63" s="4" customFormat="1" x14ac:dyDescent="0.3">
      <c r="A19" s="17" t="str">
        <f t="shared" si="0"/>
        <v/>
      </c>
      <c r="B19" s="18"/>
      <c r="C19" s="27">
        <f t="shared" si="1"/>
        <v>0</v>
      </c>
      <c r="D19" s="17">
        <f t="shared" si="2"/>
        <v>1</v>
      </c>
      <c r="E19" s="29">
        <f t="shared" si="6"/>
        <v>0</v>
      </c>
      <c r="F19" s="8">
        <f>IFERROR(VLOOKUP(B19,PVSKTC!$A$4:$D$1048576,2,0),0)</f>
        <v>0</v>
      </c>
      <c r="G19" s="8">
        <f>IFERROR(VLOOKUP(B19,PVSKTC!$A$4:$D$1048576,3,0),0)</f>
        <v>0</v>
      </c>
      <c r="H19" s="8">
        <f>IFERROR(VLOOKUP(B19,PVSKTC!$A$4:$D$1048576,4,0),0)</f>
        <v>0</v>
      </c>
      <c r="I19" s="14" t="str">
        <f>IFERROR(IF(E19&gt;0,THTT!E$2,""),"")</f>
        <v/>
      </c>
      <c r="J19" s="15" t="str">
        <f t="shared" si="3"/>
        <v/>
      </c>
      <c r="K19" s="8" t="str">
        <f t="shared" si="4"/>
        <v/>
      </c>
      <c r="L19" s="8" t="str">
        <f t="shared" si="5"/>
        <v/>
      </c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</row>
    <row r="20" spans="1:63" s="4" customFormat="1" x14ac:dyDescent="0.3">
      <c r="A20" s="17" t="str">
        <f t="shared" si="0"/>
        <v/>
      </c>
      <c r="B20" s="18"/>
      <c r="C20" s="27">
        <f t="shared" si="1"/>
        <v>0</v>
      </c>
      <c r="D20" s="17">
        <f t="shared" si="2"/>
        <v>1</v>
      </c>
      <c r="E20" s="29">
        <f t="shared" si="6"/>
        <v>0</v>
      </c>
      <c r="F20" s="8">
        <f>IFERROR(VLOOKUP(B20,PVSKTC!$A$4:$D$1048576,2,0),0)</f>
        <v>0</v>
      </c>
      <c r="G20" s="8">
        <f>IFERROR(VLOOKUP(B20,PVSKTC!$A$4:$D$1048576,3,0),0)</f>
        <v>0</v>
      </c>
      <c r="H20" s="8">
        <f>IFERROR(VLOOKUP(B20,PVSKTC!$A$4:$D$1048576,4,0),0)</f>
        <v>0</v>
      </c>
      <c r="I20" s="14" t="str">
        <f>IFERROR(IF(E20&gt;0,THTT!E$2,""),"")</f>
        <v/>
      </c>
      <c r="J20" s="15" t="str">
        <f t="shared" si="3"/>
        <v/>
      </c>
      <c r="K20" s="8" t="str">
        <f t="shared" si="4"/>
        <v/>
      </c>
      <c r="L20" s="8" t="str">
        <f t="shared" si="5"/>
        <v/>
      </c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</row>
    <row r="21" spans="1:63" s="4" customFormat="1" x14ac:dyDescent="0.3">
      <c r="A21" s="17" t="str">
        <f t="shared" si="0"/>
        <v/>
      </c>
      <c r="B21" s="18"/>
      <c r="C21" s="27">
        <f t="shared" si="1"/>
        <v>0</v>
      </c>
      <c r="D21" s="17">
        <f t="shared" si="2"/>
        <v>1</v>
      </c>
      <c r="E21" s="29">
        <f t="shared" si="6"/>
        <v>0</v>
      </c>
      <c r="F21" s="8">
        <f>IFERROR(VLOOKUP(B21,PVSKTC!$A$4:$D$1048576,2,0),0)</f>
        <v>0</v>
      </c>
      <c r="G21" s="8">
        <f>IFERROR(VLOOKUP(B21,PVSKTC!$A$4:$D$1048576,3,0),0)</f>
        <v>0</v>
      </c>
      <c r="H21" s="8">
        <f>IFERROR(VLOOKUP(B21,PVSKTC!$A$4:$D$1048576,4,0),0)</f>
        <v>0</v>
      </c>
      <c r="I21" s="14" t="str">
        <f>IFERROR(IF(E21&gt;0,THTT!E$2,""),"")</f>
        <v/>
      </c>
      <c r="J21" s="15" t="str">
        <f t="shared" si="3"/>
        <v/>
      </c>
      <c r="K21" s="8" t="str">
        <f t="shared" si="4"/>
        <v/>
      </c>
      <c r="L21" s="8" t="str">
        <f t="shared" si="5"/>
        <v/>
      </c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</row>
    <row r="22" spans="1:63" s="4" customFormat="1" x14ac:dyDescent="0.3">
      <c r="A22" s="17" t="str">
        <f t="shared" si="0"/>
        <v/>
      </c>
      <c r="B22" s="18"/>
      <c r="C22" s="27">
        <f t="shared" si="1"/>
        <v>0</v>
      </c>
      <c r="D22" s="17">
        <f t="shared" si="2"/>
        <v>1</v>
      </c>
      <c r="E22" s="29">
        <f t="shared" si="6"/>
        <v>0</v>
      </c>
      <c r="F22" s="8">
        <f>IFERROR(VLOOKUP(B22,PVSKTC!$A$4:$D$1048576,2,0),0)</f>
        <v>0</v>
      </c>
      <c r="G22" s="8">
        <f>IFERROR(VLOOKUP(B22,PVSKTC!$A$4:$D$1048576,3,0),0)</f>
        <v>0</v>
      </c>
      <c r="H22" s="8">
        <f>IFERROR(VLOOKUP(B22,PVSKTC!$A$4:$D$1048576,4,0),0)</f>
        <v>0</v>
      </c>
      <c r="I22" s="14" t="str">
        <f>IFERROR(IF(E22&gt;0,THTT!E$2,""),"")</f>
        <v/>
      </c>
      <c r="J22" s="15" t="str">
        <f t="shared" si="3"/>
        <v/>
      </c>
      <c r="K22" s="8" t="str">
        <f t="shared" si="4"/>
        <v/>
      </c>
      <c r="L22" s="8" t="str">
        <f t="shared" si="5"/>
        <v/>
      </c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</row>
    <row r="23" spans="1:63" s="4" customFormat="1" x14ac:dyDescent="0.3">
      <c r="A23" s="17" t="str">
        <f t="shared" si="0"/>
        <v/>
      </c>
      <c r="B23" s="18"/>
      <c r="C23" s="27">
        <f t="shared" si="1"/>
        <v>0</v>
      </c>
      <c r="D23" s="17">
        <f t="shared" si="2"/>
        <v>1</v>
      </c>
      <c r="E23" s="29">
        <f t="shared" si="6"/>
        <v>0</v>
      </c>
      <c r="F23" s="8">
        <f>IFERROR(VLOOKUP(B23,PVSKTC!$A$4:$D$1048576,2,0),0)</f>
        <v>0</v>
      </c>
      <c r="G23" s="8">
        <f>IFERROR(VLOOKUP(B23,PVSKTC!$A$4:$D$1048576,3,0),0)</f>
        <v>0</v>
      </c>
      <c r="H23" s="8">
        <f>IFERROR(VLOOKUP(B23,PVSKTC!$A$4:$D$1048576,4,0),0)</f>
        <v>0</v>
      </c>
      <c r="I23" s="14" t="str">
        <f>IFERROR(IF(E23&gt;0,THTT!E$2,""),"")</f>
        <v/>
      </c>
      <c r="J23" s="15" t="str">
        <f t="shared" si="3"/>
        <v/>
      </c>
      <c r="K23" s="8" t="str">
        <f t="shared" si="4"/>
        <v/>
      </c>
      <c r="L23" s="8" t="str">
        <f t="shared" si="5"/>
        <v/>
      </c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</row>
    <row r="24" spans="1:63" s="4" customFormat="1" x14ac:dyDescent="0.3">
      <c r="A24" s="17" t="str">
        <f t="shared" si="0"/>
        <v/>
      </c>
      <c r="B24" s="18"/>
      <c r="C24" s="27">
        <f t="shared" si="1"/>
        <v>0</v>
      </c>
      <c r="D24" s="17">
        <f t="shared" si="2"/>
        <v>1</v>
      </c>
      <c r="E24" s="29">
        <f t="shared" si="6"/>
        <v>0</v>
      </c>
      <c r="F24" s="8">
        <f>IFERROR(VLOOKUP(B24,PVSKTC!$A$4:$D$1048576,2,0),0)</f>
        <v>0</v>
      </c>
      <c r="G24" s="8">
        <f>IFERROR(VLOOKUP(B24,PVSKTC!$A$4:$D$1048576,3,0),0)</f>
        <v>0</v>
      </c>
      <c r="H24" s="8">
        <f>IFERROR(VLOOKUP(B24,PVSKTC!$A$4:$D$1048576,4,0),0)</f>
        <v>0</v>
      </c>
      <c r="I24" s="14" t="str">
        <f>IFERROR(IF(E24&gt;0,THTT!E$2,""),"")</f>
        <v/>
      </c>
      <c r="J24" s="15" t="str">
        <f t="shared" si="3"/>
        <v/>
      </c>
      <c r="K24" s="8" t="str">
        <f t="shared" si="4"/>
        <v/>
      </c>
      <c r="L24" s="8" t="str">
        <f t="shared" si="5"/>
        <v/>
      </c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</row>
    <row r="25" spans="1:63" s="4" customFormat="1" x14ac:dyDescent="0.3">
      <c r="A25" s="17" t="str">
        <f t="shared" si="0"/>
        <v/>
      </c>
      <c r="B25" s="18"/>
      <c r="C25" s="27">
        <f t="shared" si="1"/>
        <v>0</v>
      </c>
      <c r="D25" s="17">
        <f t="shared" si="2"/>
        <v>1</v>
      </c>
      <c r="E25" s="29">
        <f t="shared" si="6"/>
        <v>0</v>
      </c>
      <c r="F25" s="8">
        <f>IFERROR(VLOOKUP(B25,PVSKTC!$A$4:$D$1048576,2,0),0)</f>
        <v>0</v>
      </c>
      <c r="G25" s="8">
        <f>IFERROR(VLOOKUP(B25,PVSKTC!$A$4:$D$1048576,3,0),0)</f>
        <v>0</v>
      </c>
      <c r="H25" s="8">
        <f>IFERROR(VLOOKUP(B25,PVSKTC!$A$4:$D$1048576,4,0),0)</f>
        <v>0</v>
      </c>
      <c r="I25" s="14" t="str">
        <f>IFERROR(IF(E25&gt;0,THTT!E$2,""),"")</f>
        <v/>
      </c>
      <c r="J25" s="15" t="str">
        <f t="shared" si="3"/>
        <v/>
      </c>
      <c r="K25" s="8" t="str">
        <f t="shared" si="4"/>
        <v/>
      </c>
      <c r="L25" s="8" t="str">
        <f t="shared" si="5"/>
        <v/>
      </c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</row>
    <row r="26" spans="1:63" s="4" customFormat="1" x14ac:dyDescent="0.3">
      <c r="A26" s="17" t="str">
        <f t="shared" si="0"/>
        <v/>
      </c>
      <c r="B26" s="18"/>
      <c r="C26" s="27">
        <f t="shared" si="1"/>
        <v>0</v>
      </c>
      <c r="D26" s="17">
        <f t="shared" si="2"/>
        <v>1</v>
      </c>
      <c r="E26" s="29">
        <f t="shared" si="6"/>
        <v>0</v>
      </c>
      <c r="F26" s="8">
        <f>IFERROR(VLOOKUP(B26,PVSKTC!$A$4:$D$1048576,2,0),0)</f>
        <v>0</v>
      </c>
      <c r="G26" s="8">
        <f>IFERROR(VLOOKUP(B26,PVSKTC!$A$4:$D$1048576,3,0),0)</f>
        <v>0</v>
      </c>
      <c r="H26" s="8">
        <f>IFERROR(VLOOKUP(B26,PVSKTC!$A$4:$D$1048576,4,0),0)</f>
        <v>0</v>
      </c>
      <c r="I26" s="14" t="str">
        <f>IFERROR(IF(E26&gt;0,THTT!E$2,""),"")</f>
        <v/>
      </c>
      <c r="J26" s="15" t="str">
        <f t="shared" si="3"/>
        <v/>
      </c>
      <c r="K26" s="8" t="str">
        <f t="shared" si="4"/>
        <v/>
      </c>
      <c r="L26" s="8" t="str">
        <f t="shared" si="5"/>
        <v/>
      </c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</row>
    <row r="27" spans="1:63" s="4" customFormat="1" x14ac:dyDescent="0.3">
      <c r="A27" s="17" t="str">
        <f t="shared" si="0"/>
        <v/>
      </c>
      <c r="B27" s="18"/>
      <c r="C27" s="27">
        <f t="shared" si="1"/>
        <v>0</v>
      </c>
      <c r="D27" s="17">
        <f t="shared" si="2"/>
        <v>1</v>
      </c>
      <c r="E27" s="29">
        <f t="shared" si="6"/>
        <v>0</v>
      </c>
      <c r="F27" s="8">
        <f>IFERROR(VLOOKUP(B27,PVSKTC!$A$4:$D$1048576,2,0),0)</f>
        <v>0</v>
      </c>
      <c r="G27" s="8">
        <f>IFERROR(VLOOKUP(B27,PVSKTC!$A$4:$D$1048576,3,0),0)</f>
        <v>0</v>
      </c>
      <c r="H27" s="8">
        <f>IFERROR(VLOOKUP(B27,PVSKTC!$A$4:$D$1048576,4,0),0)</f>
        <v>0</v>
      </c>
      <c r="I27" s="14" t="str">
        <f>IFERROR(IF(E27&gt;0,THTT!E$2,""),"")</f>
        <v/>
      </c>
      <c r="J27" s="15" t="str">
        <f t="shared" si="3"/>
        <v/>
      </c>
      <c r="K27" s="8" t="str">
        <f t="shared" si="4"/>
        <v/>
      </c>
      <c r="L27" s="8" t="str">
        <f t="shared" si="5"/>
        <v/>
      </c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</row>
    <row r="28" spans="1:63" s="4" customFormat="1" x14ac:dyDescent="0.3">
      <c r="A28" s="17" t="str">
        <f t="shared" si="0"/>
        <v/>
      </c>
      <c r="B28" s="18"/>
      <c r="C28" s="27">
        <f t="shared" si="1"/>
        <v>0</v>
      </c>
      <c r="D28" s="17">
        <f t="shared" si="2"/>
        <v>1</v>
      </c>
      <c r="E28" s="29">
        <f t="shared" si="6"/>
        <v>0</v>
      </c>
      <c r="F28" s="8">
        <f>IFERROR(VLOOKUP(B28,PVSKTC!$A$4:$D$1048576,2,0),0)</f>
        <v>0</v>
      </c>
      <c r="G28" s="8">
        <f>IFERROR(VLOOKUP(B28,PVSKTC!$A$4:$D$1048576,3,0),0)</f>
        <v>0</v>
      </c>
      <c r="H28" s="8">
        <f>IFERROR(VLOOKUP(B28,PVSKTC!$A$4:$D$1048576,4,0),0)</f>
        <v>0</v>
      </c>
      <c r="I28" s="14" t="str">
        <f>IFERROR(IF(E28&gt;0,THTT!E$2,""),"")</f>
        <v/>
      </c>
      <c r="J28" s="15" t="str">
        <f t="shared" si="3"/>
        <v/>
      </c>
      <c r="K28" s="8" t="str">
        <f t="shared" si="4"/>
        <v/>
      </c>
      <c r="L28" s="8" t="str">
        <f t="shared" si="5"/>
        <v/>
      </c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</row>
    <row r="29" spans="1:63" s="4" customFormat="1" x14ac:dyDescent="0.3">
      <c r="A29" s="17" t="str">
        <f t="shared" si="0"/>
        <v/>
      </c>
      <c r="B29" s="18"/>
      <c r="C29" s="27">
        <f t="shared" si="1"/>
        <v>0</v>
      </c>
      <c r="D29" s="17">
        <f t="shared" si="2"/>
        <v>1</v>
      </c>
      <c r="E29" s="29">
        <f t="shared" si="6"/>
        <v>0</v>
      </c>
      <c r="F29" s="8">
        <f>IFERROR(VLOOKUP(B29,PVSKTC!$A$4:$D$1048576,2,0),0)</f>
        <v>0</v>
      </c>
      <c r="G29" s="8">
        <f>IFERROR(VLOOKUP(B29,PVSKTC!$A$4:$D$1048576,3,0),0)</f>
        <v>0</v>
      </c>
      <c r="H29" s="8">
        <f>IFERROR(VLOOKUP(B29,PVSKTC!$A$4:$D$1048576,4,0),0)</f>
        <v>0</v>
      </c>
      <c r="I29" s="14" t="str">
        <f>IFERROR(IF(E29&gt;0,THTT!E$2,""),"")</f>
        <v/>
      </c>
      <c r="J29" s="15" t="str">
        <f t="shared" si="3"/>
        <v/>
      </c>
      <c r="K29" s="8" t="str">
        <f t="shared" si="4"/>
        <v/>
      </c>
      <c r="L29" s="8" t="str">
        <f t="shared" si="5"/>
        <v/>
      </c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</row>
    <row r="30" spans="1:63" s="4" customFormat="1" x14ac:dyDescent="0.3">
      <c r="A30" s="17" t="str">
        <f t="shared" si="0"/>
        <v/>
      </c>
      <c r="B30" s="18"/>
      <c r="C30" s="27">
        <f t="shared" si="1"/>
        <v>0</v>
      </c>
      <c r="D30" s="17">
        <f t="shared" si="2"/>
        <v>1</v>
      </c>
      <c r="E30" s="29">
        <f t="shared" si="6"/>
        <v>0</v>
      </c>
      <c r="F30" s="8">
        <f>IFERROR(VLOOKUP(B30,PVSKTC!$A$4:$D$1048576,2,0),0)</f>
        <v>0</v>
      </c>
      <c r="G30" s="8">
        <f>IFERROR(VLOOKUP(B30,PVSKTC!$A$4:$D$1048576,3,0),0)</f>
        <v>0</v>
      </c>
      <c r="H30" s="8">
        <f>IFERROR(VLOOKUP(B30,PVSKTC!$A$4:$D$1048576,4,0),0)</f>
        <v>0</v>
      </c>
      <c r="I30" s="14" t="str">
        <f>IFERROR(IF(E30&gt;0,THTT!E$2,""),"")</f>
        <v/>
      </c>
      <c r="J30" s="15" t="str">
        <f t="shared" si="3"/>
        <v/>
      </c>
      <c r="K30" s="8" t="str">
        <f t="shared" si="4"/>
        <v/>
      </c>
      <c r="L30" s="8" t="str">
        <f t="shared" si="5"/>
        <v/>
      </c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</row>
    <row r="31" spans="1:63" s="4" customFormat="1" x14ac:dyDescent="0.3">
      <c r="A31" s="17" t="str">
        <f t="shared" si="0"/>
        <v/>
      </c>
      <c r="B31" s="18"/>
      <c r="C31" s="27">
        <f t="shared" si="1"/>
        <v>0</v>
      </c>
      <c r="D31" s="17">
        <f t="shared" si="2"/>
        <v>1</v>
      </c>
      <c r="E31" s="29">
        <f t="shared" si="6"/>
        <v>0</v>
      </c>
      <c r="F31" s="8">
        <f>IFERROR(VLOOKUP(B31,PVSKTC!$A$4:$D$1048576,2,0),0)</f>
        <v>0</v>
      </c>
      <c r="G31" s="8">
        <f>IFERROR(VLOOKUP(B31,PVSKTC!$A$4:$D$1048576,3,0),0)</f>
        <v>0</v>
      </c>
      <c r="H31" s="8">
        <f>IFERROR(VLOOKUP(B31,PVSKTC!$A$4:$D$1048576,4,0),0)</f>
        <v>0</v>
      </c>
      <c r="I31" s="14" t="str">
        <f>IFERROR(IF(E31&gt;0,THTT!E$2,""),"")</f>
        <v/>
      </c>
      <c r="J31" s="15" t="str">
        <f t="shared" si="3"/>
        <v/>
      </c>
      <c r="K31" s="8" t="str">
        <f t="shared" si="4"/>
        <v/>
      </c>
      <c r="L31" s="8" t="str">
        <f t="shared" si="5"/>
        <v/>
      </c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</row>
    <row r="32" spans="1:63" s="4" customFormat="1" x14ac:dyDescent="0.3">
      <c r="A32" s="17" t="str">
        <f t="shared" si="0"/>
        <v/>
      </c>
      <c r="B32" s="18"/>
      <c r="C32" s="27">
        <f t="shared" si="1"/>
        <v>0</v>
      </c>
      <c r="D32" s="17">
        <f t="shared" si="2"/>
        <v>1</v>
      </c>
      <c r="E32" s="29">
        <f t="shared" si="6"/>
        <v>0</v>
      </c>
      <c r="F32" s="8">
        <f>IFERROR(VLOOKUP(B32,PVSKTC!$A$4:$D$1048576,2,0),0)</f>
        <v>0</v>
      </c>
      <c r="G32" s="8">
        <f>IFERROR(VLOOKUP(B32,PVSKTC!$A$4:$D$1048576,3,0),0)</f>
        <v>0</v>
      </c>
      <c r="H32" s="8">
        <f>IFERROR(VLOOKUP(B32,PVSKTC!$A$4:$D$1048576,4,0),0)</f>
        <v>0</v>
      </c>
      <c r="I32" s="14" t="str">
        <f>IFERROR(IF(E32&gt;0,THTT!E$2,""),"")</f>
        <v/>
      </c>
      <c r="J32" s="15" t="str">
        <f t="shared" si="3"/>
        <v/>
      </c>
      <c r="K32" s="8" t="str">
        <f t="shared" si="4"/>
        <v/>
      </c>
      <c r="L32" s="8" t="str">
        <f t="shared" si="5"/>
        <v/>
      </c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</row>
    <row r="33" spans="1:63" s="4" customFormat="1" x14ac:dyDescent="0.3">
      <c r="A33" s="17" t="str">
        <f t="shared" si="0"/>
        <v/>
      </c>
      <c r="B33" s="18"/>
      <c r="C33" s="27">
        <f t="shared" si="1"/>
        <v>0</v>
      </c>
      <c r="D33" s="17">
        <f t="shared" si="2"/>
        <v>1</v>
      </c>
      <c r="E33" s="29">
        <f t="shared" si="6"/>
        <v>0</v>
      </c>
      <c r="F33" s="8">
        <f>IFERROR(VLOOKUP(B33,PVSKTC!$A$4:$D$1048576,2,0),0)</f>
        <v>0</v>
      </c>
      <c r="G33" s="8">
        <f>IFERROR(VLOOKUP(B33,PVSKTC!$A$4:$D$1048576,3,0),0)</f>
        <v>0</v>
      </c>
      <c r="H33" s="8">
        <f>IFERROR(VLOOKUP(B33,PVSKTC!$A$4:$D$1048576,4,0),0)</f>
        <v>0</v>
      </c>
      <c r="I33" s="14" t="str">
        <f>IFERROR(IF(E33&gt;0,THTT!E$2,""),"")</f>
        <v/>
      </c>
      <c r="J33" s="15" t="str">
        <f t="shared" si="3"/>
        <v/>
      </c>
      <c r="K33" s="8" t="str">
        <f t="shared" si="4"/>
        <v/>
      </c>
      <c r="L33" s="8" t="str">
        <f t="shared" si="5"/>
        <v/>
      </c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</row>
    <row r="34" spans="1:63" s="4" customFormat="1" x14ac:dyDescent="0.3">
      <c r="A34" s="17" t="str">
        <f t="shared" si="0"/>
        <v/>
      </c>
      <c r="B34" s="18"/>
      <c r="C34" s="27">
        <f t="shared" si="1"/>
        <v>0</v>
      </c>
      <c r="D34" s="17">
        <f t="shared" si="2"/>
        <v>1</v>
      </c>
      <c r="E34" s="29">
        <f t="shared" si="6"/>
        <v>0</v>
      </c>
      <c r="F34" s="8">
        <f>IFERROR(VLOOKUP(B34,PVSKTC!$A$4:$D$1048576,2,0),0)</f>
        <v>0</v>
      </c>
      <c r="G34" s="8">
        <f>IFERROR(VLOOKUP(B34,PVSKTC!$A$4:$D$1048576,3,0),0)</f>
        <v>0</v>
      </c>
      <c r="H34" s="8">
        <f>IFERROR(VLOOKUP(B34,PVSKTC!$A$4:$D$1048576,4,0),0)</f>
        <v>0</v>
      </c>
      <c r="I34" s="14" t="str">
        <f>IFERROR(IF(E34&gt;0,THTT!E$2,""),"")</f>
        <v/>
      </c>
      <c r="J34" s="15" t="str">
        <f t="shared" si="3"/>
        <v/>
      </c>
      <c r="K34" s="8" t="str">
        <f t="shared" si="4"/>
        <v/>
      </c>
      <c r="L34" s="8" t="str">
        <f t="shared" si="5"/>
        <v/>
      </c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</row>
    <row r="35" spans="1:63" s="4" customFormat="1" x14ac:dyDescent="0.3">
      <c r="A35" s="17" t="str">
        <f t="shared" si="0"/>
        <v/>
      </c>
      <c r="B35" s="18"/>
      <c r="C35" s="27">
        <f t="shared" si="1"/>
        <v>0</v>
      </c>
      <c r="D35" s="17">
        <f t="shared" si="2"/>
        <v>1</v>
      </c>
      <c r="E35" s="29">
        <f t="shared" si="6"/>
        <v>0</v>
      </c>
      <c r="F35" s="8">
        <f>IFERROR(VLOOKUP(B35,PVSKTC!$A$4:$D$1048576,2,0),0)</f>
        <v>0</v>
      </c>
      <c r="G35" s="8">
        <f>IFERROR(VLOOKUP(B35,PVSKTC!$A$4:$D$1048576,3,0),0)</f>
        <v>0</v>
      </c>
      <c r="H35" s="8">
        <f>IFERROR(VLOOKUP(B35,PVSKTC!$A$4:$D$1048576,4,0),0)</f>
        <v>0</v>
      </c>
      <c r="I35" s="14" t="str">
        <f>IFERROR(IF(E35&gt;0,THTT!E$2,""),"")</f>
        <v/>
      </c>
      <c r="J35" s="15" t="str">
        <f t="shared" si="3"/>
        <v/>
      </c>
      <c r="K35" s="8" t="str">
        <f t="shared" si="4"/>
        <v/>
      </c>
      <c r="L35" s="8" t="str">
        <f t="shared" si="5"/>
        <v/>
      </c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</row>
    <row r="36" spans="1:63" s="4" customFormat="1" x14ac:dyDescent="0.3">
      <c r="A36" s="17" t="str">
        <f t="shared" si="0"/>
        <v/>
      </c>
      <c r="B36" s="18"/>
      <c r="C36" s="27">
        <f t="shared" si="1"/>
        <v>0</v>
      </c>
      <c r="D36" s="17">
        <f t="shared" si="2"/>
        <v>1</v>
      </c>
      <c r="E36" s="29">
        <f t="shared" si="6"/>
        <v>0</v>
      </c>
      <c r="F36" s="8">
        <f>IFERROR(VLOOKUP(B36,PVSKTC!$A$4:$D$1048576,2,0),0)</f>
        <v>0</v>
      </c>
      <c r="G36" s="8">
        <f>IFERROR(VLOOKUP(B36,PVSKTC!$A$4:$D$1048576,3,0),0)</f>
        <v>0</v>
      </c>
      <c r="H36" s="8">
        <f>IFERROR(VLOOKUP(B36,PVSKTC!$A$4:$D$1048576,4,0),0)</f>
        <v>0</v>
      </c>
      <c r="I36" s="14" t="str">
        <f>IFERROR(IF(E36&gt;0,THTT!E$2,""),"")</f>
        <v/>
      </c>
      <c r="J36" s="15" t="str">
        <f t="shared" si="3"/>
        <v/>
      </c>
      <c r="K36" s="8" t="str">
        <f t="shared" si="4"/>
        <v/>
      </c>
      <c r="L36" s="8" t="str">
        <f t="shared" si="5"/>
        <v/>
      </c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</row>
    <row r="37" spans="1:63" s="4" customFormat="1" x14ac:dyDescent="0.3">
      <c r="A37" s="17" t="str">
        <f t="shared" si="0"/>
        <v/>
      </c>
      <c r="B37" s="18"/>
      <c r="C37" s="27">
        <f t="shared" si="1"/>
        <v>0</v>
      </c>
      <c r="D37" s="17">
        <f t="shared" si="2"/>
        <v>1</v>
      </c>
      <c r="E37" s="29">
        <f t="shared" si="6"/>
        <v>0</v>
      </c>
      <c r="F37" s="8">
        <f>IFERROR(VLOOKUP(B37,PVSKTC!$A$4:$D$1048576,2,0),0)</f>
        <v>0</v>
      </c>
      <c r="G37" s="8">
        <f>IFERROR(VLOOKUP(B37,PVSKTC!$A$4:$D$1048576,3,0),0)</f>
        <v>0</v>
      </c>
      <c r="H37" s="8">
        <f>IFERROR(VLOOKUP(B37,PVSKTC!$A$4:$D$1048576,4,0),0)</f>
        <v>0</v>
      </c>
      <c r="I37" s="14" t="str">
        <f>IFERROR(IF(E37&gt;0,THTT!E$2,""),"")</f>
        <v/>
      </c>
      <c r="J37" s="15" t="str">
        <f t="shared" si="3"/>
        <v/>
      </c>
      <c r="K37" s="8" t="str">
        <f t="shared" si="4"/>
        <v/>
      </c>
      <c r="L37" s="8" t="str">
        <f t="shared" si="5"/>
        <v/>
      </c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</row>
    <row r="38" spans="1:63" s="4" customFormat="1" x14ac:dyDescent="0.3">
      <c r="A38" s="17" t="str">
        <f t="shared" si="0"/>
        <v/>
      </c>
      <c r="B38" s="18"/>
      <c r="C38" s="27">
        <f t="shared" si="1"/>
        <v>0</v>
      </c>
      <c r="D38" s="17">
        <f t="shared" si="2"/>
        <v>1</v>
      </c>
      <c r="E38" s="29">
        <f t="shared" si="6"/>
        <v>0</v>
      </c>
      <c r="F38" s="8">
        <f>IFERROR(VLOOKUP(B38,PVSKTC!$A$4:$D$1048576,2,0),0)</f>
        <v>0</v>
      </c>
      <c r="G38" s="8">
        <f>IFERROR(VLOOKUP(B38,PVSKTC!$A$4:$D$1048576,3,0),0)</f>
        <v>0</v>
      </c>
      <c r="H38" s="8">
        <f>IFERROR(VLOOKUP(B38,PVSKTC!$A$4:$D$1048576,4,0),0)</f>
        <v>0</v>
      </c>
      <c r="I38" s="14" t="str">
        <f>IFERROR(IF(E38&gt;0,THTT!E$2,""),"")</f>
        <v/>
      </c>
      <c r="J38" s="15" t="str">
        <f t="shared" si="3"/>
        <v/>
      </c>
      <c r="K38" s="8" t="str">
        <f t="shared" si="4"/>
        <v/>
      </c>
      <c r="L38" s="8" t="str">
        <f t="shared" si="5"/>
        <v/>
      </c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</row>
    <row r="39" spans="1:63" s="4" customFormat="1" x14ac:dyDescent="0.3">
      <c r="A39" s="17" t="str">
        <f t="shared" si="0"/>
        <v/>
      </c>
      <c r="B39" s="18"/>
      <c r="C39" s="27">
        <f t="shared" si="1"/>
        <v>0</v>
      </c>
      <c r="D39" s="17">
        <f t="shared" si="2"/>
        <v>1</v>
      </c>
      <c r="E39" s="29">
        <f t="shared" si="6"/>
        <v>0</v>
      </c>
      <c r="F39" s="8">
        <f>IFERROR(VLOOKUP(B39,PVSKTC!$A$4:$D$1048576,2,0),0)</f>
        <v>0</v>
      </c>
      <c r="G39" s="8">
        <f>IFERROR(VLOOKUP(B39,PVSKTC!$A$4:$D$1048576,3,0),0)</f>
        <v>0</v>
      </c>
      <c r="H39" s="8">
        <f>IFERROR(VLOOKUP(B39,PVSKTC!$A$4:$D$1048576,4,0),0)</f>
        <v>0</v>
      </c>
      <c r="I39" s="14" t="str">
        <f>IFERROR(IF(E39&gt;0,THTT!E$2,""),"")</f>
        <v/>
      </c>
      <c r="J39" s="15" t="str">
        <f t="shared" si="3"/>
        <v/>
      </c>
      <c r="K39" s="8" t="str">
        <f t="shared" si="4"/>
        <v/>
      </c>
      <c r="L39" s="8" t="str">
        <f t="shared" si="5"/>
        <v/>
      </c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</row>
    <row r="40" spans="1:63" s="4" customFormat="1" x14ac:dyDescent="0.3">
      <c r="A40" s="17" t="str">
        <f t="shared" si="0"/>
        <v/>
      </c>
      <c r="B40" s="18"/>
      <c r="C40" s="27">
        <f t="shared" si="1"/>
        <v>0</v>
      </c>
      <c r="D40" s="17">
        <f t="shared" si="2"/>
        <v>1</v>
      </c>
      <c r="E40" s="29">
        <f t="shared" si="6"/>
        <v>0</v>
      </c>
      <c r="F40" s="8">
        <f>IFERROR(VLOOKUP(B40,PVSKTC!$A$4:$D$1048576,2,0),0)</f>
        <v>0</v>
      </c>
      <c r="G40" s="8">
        <f>IFERROR(VLOOKUP(B40,PVSKTC!$A$4:$D$1048576,3,0),0)</f>
        <v>0</v>
      </c>
      <c r="H40" s="8">
        <f>IFERROR(VLOOKUP(B40,PVSKTC!$A$4:$D$1048576,4,0),0)</f>
        <v>0</v>
      </c>
      <c r="I40" s="14" t="str">
        <f>IFERROR(IF(E40&gt;0,THTT!E$2,""),"")</f>
        <v/>
      </c>
      <c r="J40" s="15" t="str">
        <f t="shared" si="3"/>
        <v/>
      </c>
      <c r="K40" s="8" t="str">
        <f t="shared" si="4"/>
        <v/>
      </c>
      <c r="L40" s="8" t="str">
        <f t="shared" si="5"/>
        <v/>
      </c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</row>
    <row r="41" spans="1:63" s="4" customFormat="1" x14ac:dyDescent="0.3">
      <c r="A41" s="17" t="str">
        <f t="shared" si="0"/>
        <v/>
      </c>
      <c r="B41" s="18"/>
      <c r="C41" s="27">
        <f t="shared" si="1"/>
        <v>0</v>
      </c>
      <c r="D41" s="17">
        <f t="shared" si="2"/>
        <v>1</v>
      </c>
      <c r="E41" s="29">
        <f t="shared" si="6"/>
        <v>0</v>
      </c>
      <c r="F41" s="8">
        <f>IFERROR(VLOOKUP(B41,PVSKTC!$A$4:$D$1048576,2,0),0)</f>
        <v>0</v>
      </c>
      <c r="G41" s="8">
        <f>IFERROR(VLOOKUP(B41,PVSKTC!$A$4:$D$1048576,3,0),0)</f>
        <v>0</v>
      </c>
      <c r="H41" s="8">
        <f>IFERROR(VLOOKUP(B41,PVSKTC!$A$4:$D$1048576,4,0),0)</f>
        <v>0</v>
      </c>
      <c r="I41" s="14" t="str">
        <f>IFERROR(IF(E41&gt;0,THTT!E$2,""),"")</f>
        <v/>
      </c>
      <c r="J41" s="15" t="str">
        <f t="shared" si="3"/>
        <v/>
      </c>
      <c r="K41" s="8" t="str">
        <f t="shared" si="4"/>
        <v/>
      </c>
      <c r="L41" s="8" t="str">
        <f t="shared" si="5"/>
        <v/>
      </c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</row>
    <row r="42" spans="1:63" s="4" customFormat="1" x14ac:dyDescent="0.3">
      <c r="A42" s="17" t="str">
        <f t="shared" si="0"/>
        <v/>
      </c>
      <c r="B42" s="18"/>
      <c r="C42" s="27">
        <f t="shared" si="1"/>
        <v>0</v>
      </c>
      <c r="D42" s="17">
        <f t="shared" si="2"/>
        <v>1</v>
      </c>
      <c r="E42" s="29">
        <f t="shared" si="6"/>
        <v>0</v>
      </c>
      <c r="F42" s="8">
        <f>IFERROR(VLOOKUP(B42,PVSKTC!$A$4:$D$1048576,2,0),0)</f>
        <v>0</v>
      </c>
      <c r="G42" s="8">
        <f>IFERROR(VLOOKUP(B42,PVSKTC!$A$4:$D$1048576,3,0),0)</f>
        <v>0</v>
      </c>
      <c r="H42" s="8">
        <f>IFERROR(VLOOKUP(B42,PVSKTC!$A$4:$D$1048576,4,0),0)</f>
        <v>0</v>
      </c>
      <c r="I42" s="14" t="str">
        <f>IFERROR(IF(E42&gt;0,THTT!E$2,""),"")</f>
        <v/>
      </c>
      <c r="J42" s="15" t="str">
        <f t="shared" si="3"/>
        <v/>
      </c>
      <c r="K42" s="8" t="str">
        <f t="shared" si="4"/>
        <v/>
      </c>
      <c r="L42" s="8" t="str">
        <f t="shared" si="5"/>
        <v/>
      </c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</row>
    <row r="43" spans="1:63" s="4" customFormat="1" x14ac:dyDescent="0.3">
      <c r="A43" s="17" t="str">
        <f t="shared" si="0"/>
        <v/>
      </c>
      <c r="B43" s="18"/>
      <c r="C43" s="27">
        <f t="shared" si="1"/>
        <v>0</v>
      </c>
      <c r="D43" s="17">
        <f t="shared" si="2"/>
        <v>1</v>
      </c>
      <c r="E43" s="29">
        <f t="shared" si="6"/>
        <v>0</v>
      </c>
      <c r="F43" s="8">
        <f>IFERROR(VLOOKUP(B43,PVSKTC!$A$4:$D$1048576,2,0),0)</f>
        <v>0</v>
      </c>
      <c r="G43" s="8">
        <f>IFERROR(VLOOKUP(B43,PVSKTC!$A$4:$D$1048576,3,0),0)</f>
        <v>0</v>
      </c>
      <c r="H43" s="8">
        <f>IFERROR(VLOOKUP(B43,PVSKTC!$A$4:$D$1048576,4,0),0)</f>
        <v>0</v>
      </c>
      <c r="I43" s="14" t="str">
        <f>IFERROR(IF(E43&gt;0,THTT!E$2,""),"")</f>
        <v/>
      </c>
      <c r="J43" s="15" t="str">
        <f t="shared" si="3"/>
        <v/>
      </c>
      <c r="K43" s="8" t="str">
        <f t="shared" si="4"/>
        <v/>
      </c>
      <c r="L43" s="8" t="str">
        <f t="shared" si="5"/>
        <v/>
      </c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</row>
    <row r="44" spans="1:63" s="4" customFormat="1" x14ac:dyDescent="0.3">
      <c r="A44" s="17" t="str">
        <f t="shared" si="0"/>
        <v/>
      </c>
      <c r="B44" s="18"/>
      <c r="C44" s="27">
        <f t="shared" si="1"/>
        <v>0</v>
      </c>
      <c r="D44" s="17">
        <f t="shared" si="2"/>
        <v>1</v>
      </c>
      <c r="E44" s="29">
        <f t="shared" si="6"/>
        <v>0</v>
      </c>
      <c r="F44" s="8">
        <f>IFERROR(VLOOKUP(B44,PVSKTC!$A$4:$D$1048576,2,0),0)</f>
        <v>0</v>
      </c>
      <c r="G44" s="8">
        <f>IFERROR(VLOOKUP(B44,PVSKTC!$A$4:$D$1048576,3,0),0)</f>
        <v>0</v>
      </c>
      <c r="H44" s="8">
        <f>IFERROR(VLOOKUP(B44,PVSKTC!$A$4:$D$1048576,4,0),0)</f>
        <v>0</v>
      </c>
      <c r="I44" s="14" t="str">
        <f>IFERROR(IF(E44&gt;0,THTT!E$2,""),"")</f>
        <v/>
      </c>
      <c r="J44" s="15" t="str">
        <f t="shared" si="3"/>
        <v/>
      </c>
      <c r="K44" s="8" t="str">
        <f t="shared" si="4"/>
        <v/>
      </c>
      <c r="L44" s="8" t="str">
        <f t="shared" si="5"/>
        <v/>
      </c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</row>
    <row r="45" spans="1:63" s="4" customFormat="1" x14ac:dyDescent="0.3">
      <c r="A45" s="17" t="str">
        <f t="shared" si="0"/>
        <v/>
      </c>
      <c r="B45" s="18"/>
      <c r="C45" s="27">
        <f t="shared" si="1"/>
        <v>0</v>
      </c>
      <c r="D45" s="17">
        <f t="shared" si="2"/>
        <v>1</v>
      </c>
      <c r="E45" s="29">
        <f t="shared" si="6"/>
        <v>0</v>
      </c>
      <c r="F45" s="8">
        <f>IFERROR(VLOOKUP(B45,PVSKTC!$A$4:$D$1048576,2,0),0)</f>
        <v>0</v>
      </c>
      <c r="G45" s="8">
        <f>IFERROR(VLOOKUP(B45,PVSKTC!$A$4:$D$1048576,3,0),0)</f>
        <v>0</v>
      </c>
      <c r="H45" s="8">
        <f>IFERROR(VLOOKUP(B45,PVSKTC!$A$4:$D$1048576,4,0),0)</f>
        <v>0</v>
      </c>
      <c r="I45" s="14" t="str">
        <f>IFERROR(IF(E45&gt;0,THTT!E$2,""),"")</f>
        <v/>
      </c>
      <c r="J45" s="15" t="str">
        <f t="shared" si="3"/>
        <v/>
      </c>
      <c r="K45" s="8" t="str">
        <f t="shared" si="4"/>
        <v/>
      </c>
      <c r="L45" s="8" t="str">
        <f t="shared" si="5"/>
        <v/>
      </c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</row>
    <row r="46" spans="1:63" s="4" customFormat="1" x14ac:dyDescent="0.3">
      <c r="A46" s="17" t="str">
        <f t="shared" si="0"/>
        <v/>
      </c>
      <c r="B46" s="18"/>
      <c r="C46" s="27">
        <f t="shared" si="1"/>
        <v>0</v>
      </c>
      <c r="D46" s="17">
        <f t="shared" si="2"/>
        <v>1</v>
      </c>
      <c r="E46" s="29">
        <f t="shared" si="6"/>
        <v>0</v>
      </c>
      <c r="F46" s="8">
        <f>IFERROR(VLOOKUP(B46,PVSKTC!$A$4:$D$1048576,2,0),0)</f>
        <v>0</v>
      </c>
      <c r="G46" s="8">
        <f>IFERROR(VLOOKUP(B46,PVSKTC!$A$4:$D$1048576,3,0),0)</f>
        <v>0</v>
      </c>
      <c r="H46" s="8">
        <f>IFERROR(VLOOKUP(B46,PVSKTC!$A$4:$D$1048576,4,0),0)</f>
        <v>0</v>
      </c>
      <c r="I46" s="14" t="str">
        <f>IFERROR(IF(E46&gt;0,THTT!E$2,""),"")</f>
        <v/>
      </c>
      <c r="J46" s="15" t="str">
        <f t="shared" si="3"/>
        <v/>
      </c>
      <c r="K46" s="8" t="str">
        <f t="shared" si="4"/>
        <v/>
      </c>
      <c r="L46" s="8" t="str">
        <f t="shared" si="5"/>
        <v/>
      </c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</row>
    <row r="47" spans="1:63" s="4" customFormat="1" x14ac:dyDescent="0.3">
      <c r="A47" s="17" t="str">
        <f t="shared" si="0"/>
        <v/>
      </c>
      <c r="B47" s="18"/>
      <c r="C47" s="27">
        <f t="shared" si="1"/>
        <v>0</v>
      </c>
      <c r="D47" s="17">
        <f t="shared" si="2"/>
        <v>1</v>
      </c>
      <c r="E47" s="29">
        <f t="shared" si="6"/>
        <v>0</v>
      </c>
      <c r="F47" s="8">
        <f>IFERROR(VLOOKUP(B47,PVSKTC!$A$4:$D$1048576,2,0),0)</f>
        <v>0</v>
      </c>
      <c r="G47" s="8">
        <f>IFERROR(VLOOKUP(B47,PVSKTC!$A$4:$D$1048576,3,0),0)</f>
        <v>0</v>
      </c>
      <c r="H47" s="8">
        <f>IFERROR(VLOOKUP(B47,PVSKTC!$A$4:$D$1048576,4,0),0)</f>
        <v>0</v>
      </c>
      <c r="I47" s="14" t="str">
        <f>IFERROR(IF(E47&gt;0,THTT!E$2,""),"")</f>
        <v/>
      </c>
      <c r="J47" s="15" t="str">
        <f t="shared" si="3"/>
        <v/>
      </c>
      <c r="K47" s="8" t="str">
        <f t="shared" si="4"/>
        <v/>
      </c>
      <c r="L47" s="8" t="str">
        <f t="shared" si="5"/>
        <v/>
      </c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</row>
    <row r="48" spans="1:63" s="4" customFormat="1" x14ac:dyDescent="0.3">
      <c r="A48" s="17" t="str">
        <f t="shared" si="0"/>
        <v/>
      </c>
      <c r="B48" s="18"/>
      <c r="C48" s="27">
        <f t="shared" si="1"/>
        <v>0</v>
      </c>
      <c r="D48" s="17">
        <f t="shared" si="2"/>
        <v>1</v>
      </c>
      <c r="E48" s="29">
        <f t="shared" si="6"/>
        <v>0</v>
      </c>
      <c r="F48" s="8">
        <f>IFERROR(VLOOKUP(B48,PVSKTC!$A$4:$D$1048576,2,0),0)</f>
        <v>0</v>
      </c>
      <c r="G48" s="8">
        <f>IFERROR(VLOOKUP(B48,PVSKTC!$A$4:$D$1048576,3,0),0)</f>
        <v>0</v>
      </c>
      <c r="H48" s="8">
        <f>IFERROR(VLOOKUP(B48,PVSKTC!$A$4:$D$1048576,4,0),0)</f>
        <v>0</v>
      </c>
      <c r="I48" s="14" t="str">
        <f>IFERROR(IF(E48&gt;0,THTT!E$2,""),"")</f>
        <v/>
      </c>
      <c r="J48" s="15" t="str">
        <f t="shared" si="3"/>
        <v/>
      </c>
      <c r="K48" s="8" t="str">
        <f t="shared" si="4"/>
        <v/>
      </c>
      <c r="L48" s="8" t="str">
        <f t="shared" si="5"/>
        <v/>
      </c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</row>
    <row r="49" spans="1:63" s="4" customFormat="1" x14ac:dyDescent="0.3">
      <c r="A49" s="17" t="str">
        <f t="shared" si="0"/>
        <v/>
      </c>
      <c r="B49" s="18"/>
      <c r="C49" s="27">
        <f t="shared" si="1"/>
        <v>0</v>
      </c>
      <c r="D49" s="17">
        <f t="shared" si="2"/>
        <v>1</v>
      </c>
      <c r="E49" s="29">
        <f t="shared" si="6"/>
        <v>0</v>
      </c>
      <c r="F49" s="8">
        <f>IFERROR(VLOOKUP(B49,PVSKTC!$A$4:$D$1048576,2,0),0)</f>
        <v>0</v>
      </c>
      <c r="G49" s="8">
        <f>IFERROR(VLOOKUP(B49,PVSKTC!$A$4:$D$1048576,3,0),0)</f>
        <v>0</v>
      </c>
      <c r="H49" s="8">
        <f>IFERROR(VLOOKUP(B49,PVSKTC!$A$4:$D$1048576,4,0),0)</f>
        <v>0</v>
      </c>
      <c r="I49" s="14" t="str">
        <f>IFERROR(IF(E49&gt;0,THTT!E$2,""),"")</f>
        <v/>
      </c>
      <c r="J49" s="15" t="str">
        <f t="shared" si="3"/>
        <v/>
      </c>
      <c r="K49" s="8" t="str">
        <f t="shared" si="4"/>
        <v/>
      </c>
      <c r="L49" s="8" t="str">
        <f t="shared" si="5"/>
        <v/>
      </c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</row>
    <row r="50" spans="1:63" s="4" customFormat="1" x14ac:dyDescent="0.3">
      <c r="A50" s="17" t="str">
        <f t="shared" si="0"/>
        <v/>
      </c>
      <c r="B50" s="18"/>
      <c r="C50" s="27">
        <f t="shared" si="1"/>
        <v>0</v>
      </c>
      <c r="D50" s="17">
        <f t="shared" si="2"/>
        <v>1</v>
      </c>
      <c r="E50" s="29">
        <f t="shared" si="6"/>
        <v>0</v>
      </c>
      <c r="F50" s="8">
        <f>IFERROR(VLOOKUP(B50,PVSKTC!$A$4:$D$1048576,2,0),0)</f>
        <v>0</v>
      </c>
      <c r="G50" s="8">
        <f>IFERROR(VLOOKUP(B50,PVSKTC!$A$4:$D$1048576,3,0),0)</f>
        <v>0</v>
      </c>
      <c r="H50" s="8">
        <f>IFERROR(VLOOKUP(B50,PVSKTC!$A$4:$D$1048576,4,0),0)</f>
        <v>0</v>
      </c>
      <c r="I50" s="14" t="str">
        <f>IFERROR(IF(E50&gt;0,THTT!E$2,""),"")</f>
        <v/>
      </c>
      <c r="J50" s="15" t="str">
        <f t="shared" si="3"/>
        <v/>
      </c>
      <c r="K50" s="8" t="str">
        <f t="shared" si="4"/>
        <v/>
      </c>
      <c r="L50" s="8" t="str">
        <f t="shared" si="5"/>
        <v/>
      </c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</row>
    <row r="51" spans="1:63" s="4" customFormat="1" x14ac:dyDescent="0.3">
      <c r="A51" s="17" t="str">
        <f t="shared" si="0"/>
        <v/>
      </c>
      <c r="B51" s="18"/>
      <c r="C51" s="27">
        <f t="shared" si="1"/>
        <v>0</v>
      </c>
      <c r="D51" s="17">
        <f t="shared" si="2"/>
        <v>1</v>
      </c>
      <c r="E51" s="29">
        <f t="shared" si="6"/>
        <v>0</v>
      </c>
      <c r="F51" s="8">
        <f>IFERROR(VLOOKUP(B51,PVSKTC!$A$4:$D$1048576,2,0),0)</f>
        <v>0</v>
      </c>
      <c r="G51" s="8">
        <f>IFERROR(VLOOKUP(B51,PVSKTC!$A$4:$D$1048576,3,0),0)</f>
        <v>0</v>
      </c>
      <c r="H51" s="8">
        <f>IFERROR(VLOOKUP(B51,PVSKTC!$A$4:$D$1048576,4,0),0)</f>
        <v>0</v>
      </c>
      <c r="I51" s="14" t="str">
        <f>IFERROR(IF(E51&gt;0,THTT!E$2,""),"")</f>
        <v/>
      </c>
      <c r="J51" s="15" t="str">
        <f t="shared" si="3"/>
        <v/>
      </c>
      <c r="K51" s="8" t="str">
        <f t="shared" si="4"/>
        <v/>
      </c>
      <c r="L51" s="8" t="str">
        <f t="shared" si="5"/>
        <v/>
      </c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</row>
    <row r="52" spans="1:63" s="4" customFormat="1" x14ac:dyDescent="0.3">
      <c r="A52" s="17" t="str">
        <f t="shared" si="0"/>
        <v/>
      </c>
      <c r="B52" s="18"/>
      <c r="C52" s="27">
        <f t="shared" si="1"/>
        <v>0</v>
      </c>
      <c r="D52" s="17">
        <f t="shared" si="2"/>
        <v>1</v>
      </c>
      <c r="E52" s="29">
        <f t="shared" si="6"/>
        <v>0</v>
      </c>
      <c r="F52" s="8">
        <f>IFERROR(VLOOKUP(B52,PVSKTC!$A$4:$D$1048576,2,0),0)</f>
        <v>0</v>
      </c>
      <c r="G52" s="8">
        <f>IFERROR(VLOOKUP(B52,PVSKTC!$A$4:$D$1048576,3,0),0)</f>
        <v>0</v>
      </c>
      <c r="H52" s="8">
        <f>IFERROR(VLOOKUP(B52,PVSKTC!$A$4:$D$1048576,4,0),0)</f>
        <v>0</v>
      </c>
      <c r="I52" s="14" t="str">
        <f>IFERROR(IF(E52&gt;0,THTT!E$2,""),"")</f>
        <v/>
      </c>
      <c r="J52" s="15" t="str">
        <f t="shared" si="3"/>
        <v/>
      </c>
      <c r="K52" s="8" t="str">
        <f t="shared" si="4"/>
        <v/>
      </c>
      <c r="L52" s="8" t="str">
        <f t="shared" si="5"/>
        <v/>
      </c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</row>
    <row r="53" spans="1:63" s="4" customFormat="1" x14ac:dyDescent="0.3">
      <c r="A53" s="17" t="str">
        <f t="shared" si="0"/>
        <v/>
      </c>
      <c r="B53" s="18"/>
      <c r="C53" s="27">
        <f t="shared" si="1"/>
        <v>0</v>
      </c>
      <c r="D53" s="17">
        <f t="shared" si="2"/>
        <v>1</v>
      </c>
      <c r="E53" s="29">
        <f t="shared" si="6"/>
        <v>0</v>
      </c>
      <c r="F53" s="8">
        <f>IFERROR(VLOOKUP(B53,PVSKTC!$A$4:$D$1048576,2,0),0)</f>
        <v>0</v>
      </c>
      <c r="G53" s="8">
        <f>IFERROR(VLOOKUP(B53,PVSKTC!$A$4:$D$1048576,3,0),0)</f>
        <v>0</v>
      </c>
      <c r="H53" s="8">
        <f>IFERROR(VLOOKUP(B53,PVSKTC!$A$4:$D$1048576,4,0),0)</f>
        <v>0</v>
      </c>
      <c r="I53" s="14" t="str">
        <f>IFERROR(IF(E53&gt;0,THTT!E$2,""),"")</f>
        <v/>
      </c>
      <c r="J53" s="15" t="str">
        <f t="shared" si="3"/>
        <v/>
      </c>
      <c r="K53" s="8" t="str">
        <f t="shared" si="4"/>
        <v/>
      </c>
      <c r="L53" s="8" t="str">
        <f t="shared" si="5"/>
        <v/>
      </c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</row>
    <row r="54" spans="1:63" s="4" customFormat="1" x14ac:dyDescent="0.3">
      <c r="A54" s="17" t="str">
        <f t="shared" si="0"/>
        <v/>
      </c>
      <c r="B54" s="18"/>
      <c r="C54" s="27">
        <f t="shared" si="1"/>
        <v>0</v>
      </c>
      <c r="D54" s="17">
        <f t="shared" si="2"/>
        <v>1</v>
      </c>
      <c r="E54" s="29">
        <f t="shared" si="6"/>
        <v>0</v>
      </c>
      <c r="F54" s="8">
        <f>IFERROR(VLOOKUP(B54,PVSKTC!$A$4:$D$1048576,2,0),0)</f>
        <v>0</v>
      </c>
      <c r="G54" s="8">
        <f>IFERROR(VLOOKUP(B54,PVSKTC!$A$4:$D$1048576,3,0),0)</f>
        <v>0</v>
      </c>
      <c r="H54" s="8">
        <f>IFERROR(VLOOKUP(B54,PVSKTC!$A$4:$D$1048576,4,0),0)</f>
        <v>0</v>
      </c>
      <c r="I54" s="14" t="str">
        <f>IFERROR(IF(E54&gt;0,THTT!E$2,""),"")</f>
        <v/>
      </c>
      <c r="J54" s="15" t="str">
        <f t="shared" si="3"/>
        <v/>
      </c>
      <c r="K54" s="8" t="str">
        <f t="shared" si="4"/>
        <v/>
      </c>
      <c r="L54" s="8" t="str">
        <f t="shared" si="5"/>
        <v/>
      </c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</row>
    <row r="55" spans="1:63" s="4" customFormat="1" x14ac:dyDescent="0.3">
      <c r="A55" s="17" t="str">
        <f t="shared" si="0"/>
        <v/>
      </c>
      <c r="B55" s="18"/>
      <c r="C55" s="27">
        <f t="shared" si="1"/>
        <v>0</v>
      </c>
      <c r="D55" s="17">
        <f t="shared" si="2"/>
        <v>1</v>
      </c>
      <c r="E55" s="29">
        <f t="shared" si="6"/>
        <v>0</v>
      </c>
      <c r="F55" s="8">
        <f>IFERROR(VLOOKUP(B55,PVSKTC!$A$4:$D$1048576,2,0),0)</f>
        <v>0</v>
      </c>
      <c r="G55" s="8">
        <f>IFERROR(VLOOKUP(B55,PVSKTC!$A$4:$D$1048576,3,0),0)</f>
        <v>0</v>
      </c>
      <c r="H55" s="8">
        <f>IFERROR(VLOOKUP(B55,PVSKTC!$A$4:$D$1048576,4,0),0)</f>
        <v>0</v>
      </c>
      <c r="I55" s="14" t="str">
        <f>IFERROR(IF(E55&gt;0,THTT!E$2,""),"")</f>
        <v/>
      </c>
      <c r="J55" s="15" t="str">
        <f t="shared" si="3"/>
        <v/>
      </c>
      <c r="K55" s="8" t="str">
        <f t="shared" si="4"/>
        <v/>
      </c>
      <c r="L55" s="8" t="str">
        <f t="shared" si="5"/>
        <v/>
      </c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</row>
    <row r="56" spans="1:63" s="4" customFormat="1" x14ac:dyDescent="0.3">
      <c r="A56" s="17" t="str">
        <f t="shared" si="0"/>
        <v/>
      </c>
      <c r="B56" s="18"/>
      <c r="C56" s="27">
        <f t="shared" si="1"/>
        <v>0</v>
      </c>
      <c r="D56" s="17">
        <f t="shared" si="2"/>
        <v>1</v>
      </c>
      <c r="E56" s="29">
        <f t="shared" si="6"/>
        <v>0</v>
      </c>
      <c r="F56" s="8">
        <f>IFERROR(VLOOKUP(B56,PVSKTC!$A$4:$D$1048576,2,0),0)</f>
        <v>0</v>
      </c>
      <c r="G56" s="8">
        <f>IFERROR(VLOOKUP(B56,PVSKTC!$A$4:$D$1048576,3,0),0)</f>
        <v>0</v>
      </c>
      <c r="H56" s="8">
        <f>IFERROR(VLOOKUP(B56,PVSKTC!$A$4:$D$1048576,4,0),0)</f>
        <v>0</v>
      </c>
      <c r="I56" s="14" t="str">
        <f>IFERROR(IF(E56&gt;0,THTT!E$2,""),"")</f>
        <v/>
      </c>
      <c r="J56" s="15" t="str">
        <f t="shared" si="3"/>
        <v/>
      </c>
      <c r="K56" s="8" t="str">
        <f t="shared" si="4"/>
        <v/>
      </c>
      <c r="L56" s="8" t="str">
        <f t="shared" si="5"/>
        <v/>
      </c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</row>
    <row r="57" spans="1:63" s="4" customFormat="1" x14ac:dyDescent="0.3">
      <c r="A57" s="17" t="str">
        <f t="shared" si="0"/>
        <v/>
      </c>
      <c r="B57" s="18"/>
      <c r="C57" s="27">
        <f t="shared" si="1"/>
        <v>0</v>
      </c>
      <c r="D57" s="17">
        <f t="shared" si="2"/>
        <v>1</v>
      </c>
      <c r="E57" s="29">
        <f t="shared" si="6"/>
        <v>0</v>
      </c>
      <c r="F57" s="8">
        <f>IFERROR(VLOOKUP(B57,PVSKTC!$A$4:$D$1048576,2,0),0)</f>
        <v>0</v>
      </c>
      <c r="G57" s="8">
        <f>IFERROR(VLOOKUP(B57,PVSKTC!$A$4:$D$1048576,3,0),0)</f>
        <v>0</v>
      </c>
      <c r="H57" s="8">
        <f>IFERROR(VLOOKUP(B57,PVSKTC!$A$4:$D$1048576,4,0),0)</f>
        <v>0</v>
      </c>
      <c r="I57" s="14" t="str">
        <f>IFERROR(IF(E57&gt;0,THTT!E$2,""),"")</f>
        <v/>
      </c>
      <c r="J57" s="15" t="str">
        <f t="shared" si="3"/>
        <v/>
      </c>
      <c r="K57" s="8" t="str">
        <f t="shared" si="4"/>
        <v/>
      </c>
      <c r="L57" s="8" t="str">
        <f t="shared" si="5"/>
        <v/>
      </c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</row>
    <row r="58" spans="1:63" s="4" customFormat="1" x14ac:dyDescent="0.3">
      <c r="A58" s="17" t="str">
        <f t="shared" si="0"/>
        <v/>
      </c>
      <c r="B58" s="18"/>
      <c r="C58" s="27">
        <f t="shared" si="1"/>
        <v>0</v>
      </c>
      <c r="D58" s="17">
        <f t="shared" si="2"/>
        <v>1</v>
      </c>
      <c r="E58" s="29">
        <f t="shared" si="6"/>
        <v>0</v>
      </c>
      <c r="F58" s="8">
        <f>IFERROR(VLOOKUP(B58,PVSKTC!$A$4:$D$1048576,2,0),0)</f>
        <v>0</v>
      </c>
      <c r="G58" s="8">
        <f>IFERROR(VLOOKUP(B58,PVSKTC!$A$4:$D$1048576,3,0),0)</f>
        <v>0</v>
      </c>
      <c r="H58" s="8">
        <f>IFERROR(VLOOKUP(B58,PVSKTC!$A$4:$D$1048576,4,0),0)</f>
        <v>0</v>
      </c>
      <c r="I58" s="14" t="str">
        <f>IFERROR(IF(E58&gt;0,THTT!E$2,""),"")</f>
        <v/>
      </c>
      <c r="J58" s="15" t="str">
        <f t="shared" si="3"/>
        <v/>
      </c>
      <c r="K58" s="8" t="str">
        <f t="shared" si="4"/>
        <v/>
      </c>
      <c r="L58" s="8" t="str">
        <f t="shared" si="5"/>
        <v/>
      </c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</row>
    <row r="59" spans="1:63" s="4" customFormat="1" x14ac:dyDescent="0.3">
      <c r="A59" s="17" t="str">
        <f t="shared" si="0"/>
        <v/>
      </c>
      <c r="B59" s="18"/>
      <c r="C59" s="27">
        <f t="shared" si="1"/>
        <v>0</v>
      </c>
      <c r="D59" s="17">
        <f t="shared" si="2"/>
        <v>1</v>
      </c>
      <c r="E59" s="29">
        <f t="shared" si="6"/>
        <v>0</v>
      </c>
      <c r="F59" s="8">
        <f>IFERROR(VLOOKUP(B59,PVSKTC!$A$4:$D$1048576,2,0),0)</f>
        <v>0</v>
      </c>
      <c r="G59" s="8">
        <f>IFERROR(VLOOKUP(B59,PVSKTC!$A$4:$D$1048576,3,0),0)</f>
        <v>0</v>
      </c>
      <c r="H59" s="8">
        <f>IFERROR(VLOOKUP(B59,PVSKTC!$A$4:$D$1048576,4,0),0)</f>
        <v>0</v>
      </c>
      <c r="I59" s="14" t="str">
        <f>IFERROR(IF(E59&gt;0,THTT!E$2,""),"")</f>
        <v/>
      </c>
      <c r="J59" s="15" t="str">
        <f t="shared" si="3"/>
        <v/>
      </c>
      <c r="K59" s="8" t="str">
        <f t="shared" si="4"/>
        <v/>
      </c>
      <c r="L59" s="8" t="str">
        <f t="shared" si="5"/>
        <v/>
      </c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</row>
    <row r="60" spans="1:63" s="4" customFormat="1" x14ac:dyDescent="0.3">
      <c r="A60" s="17" t="str">
        <f t="shared" si="0"/>
        <v/>
      </c>
      <c r="B60" s="18"/>
      <c r="C60" s="27">
        <f t="shared" si="1"/>
        <v>0</v>
      </c>
      <c r="D60" s="17">
        <f t="shared" si="2"/>
        <v>1</v>
      </c>
      <c r="E60" s="29">
        <f t="shared" si="6"/>
        <v>0</v>
      </c>
      <c r="F60" s="8">
        <f>IFERROR(VLOOKUP(B60,PVSKTC!$A$4:$D$1048576,2,0),0)</f>
        <v>0</v>
      </c>
      <c r="G60" s="8">
        <f>IFERROR(VLOOKUP(B60,PVSKTC!$A$4:$D$1048576,3,0),0)</f>
        <v>0</v>
      </c>
      <c r="H60" s="8">
        <f>IFERROR(VLOOKUP(B60,PVSKTC!$A$4:$D$1048576,4,0),0)</f>
        <v>0</v>
      </c>
      <c r="I60" s="14" t="str">
        <f>IFERROR(IF(E60&gt;0,THTT!E$2,""),"")</f>
        <v/>
      </c>
      <c r="J60" s="15" t="str">
        <f t="shared" si="3"/>
        <v/>
      </c>
      <c r="K60" s="8" t="str">
        <f t="shared" si="4"/>
        <v/>
      </c>
      <c r="L60" s="8" t="str">
        <f t="shared" si="5"/>
        <v/>
      </c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</row>
    <row r="61" spans="1:63" s="4" customFormat="1" x14ac:dyDescent="0.3">
      <c r="A61" s="17" t="str">
        <f t="shared" si="0"/>
        <v/>
      </c>
      <c r="B61" s="18"/>
      <c r="C61" s="27">
        <f t="shared" si="1"/>
        <v>0</v>
      </c>
      <c r="D61" s="17">
        <f t="shared" si="2"/>
        <v>1</v>
      </c>
      <c r="E61" s="29">
        <f t="shared" si="6"/>
        <v>0</v>
      </c>
      <c r="F61" s="8">
        <f>IFERROR(VLOOKUP(B61,PVSKTC!$A$4:$D$1048576,2,0),0)</f>
        <v>0</v>
      </c>
      <c r="G61" s="8">
        <f>IFERROR(VLOOKUP(B61,PVSKTC!$A$4:$D$1048576,3,0),0)</f>
        <v>0</v>
      </c>
      <c r="H61" s="8">
        <f>IFERROR(VLOOKUP(B61,PVSKTC!$A$4:$D$1048576,4,0),0)</f>
        <v>0</v>
      </c>
      <c r="I61" s="14" t="str">
        <f>IFERROR(IF(E61&gt;0,THTT!E$2,""),"")</f>
        <v/>
      </c>
      <c r="J61" s="15" t="str">
        <f t="shared" si="3"/>
        <v/>
      </c>
      <c r="K61" s="8" t="str">
        <f t="shared" si="4"/>
        <v/>
      </c>
      <c r="L61" s="8" t="str">
        <f t="shared" si="5"/>
        <v/>
      </c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</row>
    <row r="62" spans="1:63" s="4" customFormat="1" x14ac:dyDescent="0.3">
      <c r="A62" s="17" t="str">
        <f t="shared" si="0"/>
        <v/>
      </c>
      <c r="B62" s="18"/>
      <c r="C62" s="27">
        <f t="shared" si="1"/>
        <v>0</v>
      </c>
      <c r="D62" s="17">
        <f t="shared" si="2"/>
        <v>1</v>
      </c>
      <c r="E62" s="29">
        <f t="shared" si="6"/>
        <v>0</v>
      </c>
      <c r="F62" s="8">
        <f>IFERROR(VLOOKUP(B62,PVSKTC!$A$4:$D$1048576,2,0),0)</f>
        <v>0</v>
      </c>
      <c r="G62" s="8">
        <f>IFERROR(VLOOKUP(B62,PVSKTC!$A$4:$D$1048576,3,0),0)</f>
        <v>0</v>
      </c>
      <c r="H62" s="8">
        <f>IFERROR(VLOOKUP(B62,PVSKTC!$A$4:$D$1048576,4,0),0)</f>
        <v>0</v>
      </c>
      <c r="I62" s="14" t="str">
        <f>IFERROR(IF(E62&gt;0,THTT!E$2,""),"")</f>
        <v/>
      </c>
      <c r="J62" s="15" t="str">
        <f t="shared" si="3"/>
        <v/>
      </c>
      <c r="K62" s="8" t="str">
        <f t="shared" si="4"/>
        <v/>
      </c>
      <c r="L62" s="8" t="str">
        <f t="shared" si="5"/>
        <v/>
      </c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</row>
    <row r="63" spans="1:63" s="4" customFormat="1" x14ac:dyDescent="0.3">
      <c r="A63" s="17" t="str">
        <f t="shared" si="0"/>
        <v/>
      </c>
      <c r="B63" s="18"/>
      <c r="C63" s="27">
        <f t="shared" si="1"/>
        <v>0</v>
      </c>
      <c r="D63" s="17">
        <f t="shared" si="2"/>
        <v>1</v>
      </c>
      <c r="E63" s="29">
        <f t="shared" si="6"/>
        <v>0</v>
      </c>
      <c r="F63" s="8">
        <f>IFERROR(VLOOKUP(B63,PVSKTC!$A$4:$D$1048576,2,0),0)</f>
        <v>0</v>
      </c>
      <c r="G63" s="8">
        <f>IFERROR(VLOOKUP(B63,PVSKTC!$A$4:$D$1048576,3,0),0)</f>
        <v>0</v>
      </c>
      <c r="H63" s="8">
        <f>IFERROR(VLOOKUP(B63,PVSKTC!$A$4:$D$1048576,4,0),0)</f>
        <v>0</v>
      </c>
      <c r="I63" s="14" t="str">
        <f>IFERROR(IF(E63&gt;0,THTT!E$2,""),"")</f>
        <v/>
      </c>
      <c r="J63" s="15" t="str">
        <f t="shared" si="3"/>
        <v/>
      </c>
      <c r="K63" s="8" t="str">
        <f t="shared" si="4"/>
        <v/>
      </c>
      <c r="L63" s="8" t="str">
        <f t="shared" si="5"/>
        <v/>
      </c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</row>
    <row r="64" spans="1:63" s="4" customFormat="1" x14ac:dyDescent="0.3">
      <c r="A64" s="17" t="str">
        <f t="shared" si="0"/>
        <v/>
      </c>
      <c r="B64" s="18"/>
      <c r="C64" s="27">
        <f t="shared" si="1"/>
        <v>0</v>
      </c>
      <c r="D64" s="17">
        <f t="shared" si="2"/>
        <v>1</v>
      </c>
      <c r="E64" s="29">
        <f t="shared" si="6"/>
        <v>0</v>
      </c>
      <c r="F64" s="8">
        <f>IFERROR(VLOOKUP(B64,PVSKTC!$A$4:$D$1048576,2,0),0)</f>
        <v>0</v>
      </c>
      <c r="G64" s="8">
        <f>IFERROR(VLOOKUP(B64,PVSKTC!$A$4:$D$1048576,3,0),0)</f>
        <v>0</v>
      </c>
      <c r="H64" s="8">
        <f>IFERROR(VLOOKUP(B64,PVSKTC!$A$4:$D$1048576,4,0),0)</f>
        <v>0</v>
      </c>
      <c r="I64" s="14" t="str">
        <f>IFERROR(IF(E64&gt;0,THTT!E$2,""),"")</f>
        <v/>
      </c>
      <c r="J64" s="15" t="str">
        <f t="shared" si="3"/>
        <v/>
      </c>
      <c r="K64" s="8" t="str">
        <f t="shared" si="4"/>
        <v/>
      </c>
      <c r="L64" s="8" t="str">
        <f t="shared" si="5"/>
        <v/>
      </c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</row>
    <row r="65" spans="1:63" s="4" customFormat="1" x14ac:dyDescent="0.3">
      <c r="A65" s="17" t="str">
        <f t="shared" si="0"/>
        <v/>
      </c>
      <c r="B65" s="18"/>
      <c r="C65" s="27">
        <f t="shared" si="1"/>
        <v>0</v>
      </c>
      <c r="D65" s="17">
        <f t="shared" si="2"/>
        <v>1</v>
      </c>
      <c r="E65" s="29">
        <f t="shared" si="6"/>
        <v>0</v>
      </c>
      <c r="F65" s="8">
        <f>IFERROR(VLOOKUP(B65,PVSKTC!$A$4:$D$1048576,2,0),0)</f>
        <v>0</v>
      </c>
      <c r="G65" s="8">
        <f>IFERROR(VLOOKUP(B65,PVSKTC!$A$4:$D$1048576,3,0),0)</f>
        <v>0</v>
      </c>
      <c r="H65" s="8">
        <f>IFERROR(VLOOKUP(B65,PVSKTC!$A$4:$D$1048576,4,0),0)</f>
        <v>0</v>
      </c>
      <c r="I65" s="14" t="str">
        <f>IFERROR(IF(E65&gt;0,THTT!E$2,""),"")</f>
        <v/>
      </c>
      <c r="J65" s="15" t="str">
        <f t="shared" si="3"/>
        <v/>
      </c>
      <c r="K65" s="8" t="str">
        <f t="shared" si="4"/>
        <v/>
      </c>
      <c r="L65" s="8" t="str">
        <f t="shared" si="5"/>
        <v/>
      </c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</row>
    <row r="66" spans="1:63" s="4" customFormat="1" x14ac:dyDescent="0.3">
      <c r="A66" s="17" t="str">
        <f t="shared" si="0"/>
        <v/>
      </c>
      <c r="B66" s="18"/>
      <c r="C66" s="27">
        <f t="shared" si="1"/>
        <v>0</v>
      </c>
      <c r="D66" s="17">
        <f t="shared" si="2"/>
        <v>1</v>
      </c>
      <c r="E66" s="29">
        <f t="shared" si="6"/>
        <v>0</v>
      </c>
      <c r="F66" s="8">
        <f>IFERROR(VLOOKUP(B66,PVSKTC!$A$4:$D$1048576,2,0),0)</f>
        <v>0</v>
      </c>
      <c r="G66" s="8">
        <f>IFERROR(VLOOKUP(B66,PVSKTC!$A$4:$D$1048576,3,0),0)</f>
        <v>0</v>
      </c>
      <c r="H66" s="8">
        <f>IFERROR(VLOOKUP(B66,PVSKTC!$A$4:$D$1048576,4,0),0)</f>
        <v>0</v>
      </c>
      <c r="I66" s="14" t="str">
        <f>IFERROR(IF(E66&gt;0,THTT!E$2,""),"")</f>
        <v/>
      </c>
      <c r="J66" s="15" t="str">
        <f t="shared" si="3"/>
        <v/>
      </c>
      <c r="K66" s="8" t="str">
        <f t="shared" si="4"/>
        <v/>
      </c>
      <c r="L66" s="8" t="str">
        <f t="shared" si="5"/>
        <v/>
      </c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</row>
    <row r="67" spans="1:63" s="4" customFormat="1" x14ac:dyDescent="0.3">
      <c r="A67" s="17" t="str">
        <f t="shared" si="0"/>
        <v/>
      </c>
      <c r="B67" s="18"/>
      <c r="C67" s="27">
        <f t="shared" si="1"/>
        <v>0</v>
      </c>
      <c r="D67" s="17">
        <f t="shared" si="2"/>
        <v>1</v>
      </c>
      <c r="E67" s="29">
        <f t="shared" si="6"/>
        <v>0</v>
      </c>
      <c r="F67" s="8">
        <f>IFERROR(VLOOKUP(B67,PVSKTC!$A$4:$D$1048576,2,0),0)</f>
        <v>0</v>
      </c>
      <c r="G67" s="8">
        <f>IFERROR(VLOOKUP(B67,PVSKTC!$A$4:$D$1048576,3,0),0)</f>
        <v>0</v>
      </c>
      <c r="H67" s="8">
        <f>IFERROR(VLOOKUP(B67,PVSKTC!$A$4:$D$1048576,4,0),0)</f>
        <v>0</v>
      </c>
      <c r="I67" s="14" t="str">
        <f>IFERROR(IF(E67&gt;0,THTT!E$2,""),"")</f>
        <v/>
      </c>
      <c r="J67" s="15" t="str">
        <f t="shared" si="3"/>
        <v/>
      </c>
      <c r="K67" s="8" t="str">
        <f t="shared" si="4"/>
        <v/>
      </c>
      <c r="L67" s="8" t="str">
        <f t="shared" si="5"/>
        <v/>
      </c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</row>
    <row r="68" spans="1:63" s="4" customFormat="1" x14ac:dyDescent="0.3">
      <c r="A68" s="17" t="str">
        <f t="shared" si="0"/>
        <v/>
      </c>
      <c r="B68" s="18"/>
      <c r="C68" s="27">
        <f t="shared" si="1"/>
        <v>0</v>
      </c>
      <c r="D68" s="17">
        <f t="shared" si="2"/>
        <v>1</v>
      </c>
      <c r="E68" s="29">
        <f t="shared" si="6"/>
        <v>0</v>
      </c>
      <c r="F68" s="8">
        <f>IFERROR(VLOOKUP(B68,PVSKTC!$A$4:$D$1048576,2,0),0)</f>
        <v>0</v>
      </c>
      <c r="G68" s="8">
        <f>IFERROR(VLOOKUP(B68,PVSKTC!$A$4:$D$1048576,3,0),0)</f>
        <v>0</v>
      </c>
      <c r="H68" s="8">
        <f>IFERROR(VLOOKUP(B68,PVSKTC!$A$4:$D$1048576,4,0),0)</f>
        <v>0</v>
      </c>
      <c r="I68" s="14" t="str">
        <f>IFERROR(IF(E68&gt;0,THTT!E$2,""),"")</f>
        <v/>
      </c>
      <c r="J68" s="15" t="str">
        <f t="shared" si="3"/>
        <v/>
      </c>
      <c r="K68" s="8" t="str">
        <f t="shared" si="4"/>
        <v/>
      </c>
      <c r="L68" s="8" t="str">
        <f t="shared" si="5"/>
        <v/>
      </c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</row>
    <row r="69" spans="1:63" s="4" customFormat="1" x14ac:dyDescent="0.3">
      <c r="A69" s="17" t="str">
        <f t="shared" si="0"/>
        <v/>
      </c>
      <c r="B69" s="18"/>
      <c r="C69" s="27">
        <f t="shared" si="1"/>
        <v>0</v>
      </c>
      <c r="D69" s="17">
        <f t="shared" si="2"/>
        <v>1</v>
      </c>
      <c r="E69" s="29">
        <f t="shared" si="6"/>
        <v>0</v>
      </c>
      <c r="F69" s="8">
        <f>IFERROR(VLOOKUP(B69,PVSKTC!$A$4:$D$1048576,2,0),0)</f>
        <v>0</v>
      </c>
      <c r="G69" s="8">
        <f>IFERROR(VLOOKUP(B69,PVSKTC!$A$4:$D$1048576,3,0),0)</f>
        <v>0</v>
      </c>
      <c r="H69" s="8">
        <f>IFERROR(VLOOKUP(B69,PVSKTC!$A$4:$D$1048576,4,0),0)</f>
        <v>0</v>
      </c>
      <c r="I69" s="14" t="str">
        <f>IFERROR(IF(E69&gt;0,THTT!E$2,""),"")</f>
        <v/>
      </c>
      <c r="J69" s="15" t="str">
        <f t="shared" si="3"/>
        <v/>
      </c>
      <c r="K69" s="8" t="str">
        <f t="shared" si="4"/>
        <v/>
      </c>
      <c r="L69" s="8" t="str">
        <f t="shared" si="5"/>
        <v/>
      </c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</row>
    <row r="70" spans="1:63" s="4" customFormat="1" x14ac:dyDescent="0.3">
      <c r="A70" s="17" t="str">
        <f t="shared" si="0"/>
        <v/>
      </c>
      <c r="B70" s="18"/>
      <c r="C70" s="27">
        <f t="shared" si="1"/>
        <v>0</v>
      </c>
      <c r="D70" s="17">
        <f t="shared" si="2"/>
        <v>1</v>
      </c>
      <c r="E70" s="29">
        <f t="shared" si="6"/>
        <v>0</v>
      </c>
      <c r="F70" s="8">
        <f>IFERROR(VLOOKUP(B70,PVSKTC!$A$4:$D$1048576,2,0),0)</f>
        <v>0</v>
      </c>
      <c r="G70" s="8">
        <f>IFERROR(VLOOKUP(B70,PVSKTC!$A$4:$D$1048576,3,0),0)</f>
        <v>0</v>
      </c>
      <c r="H70" s="8">
        <f>IFERROR(VLOOKUP(B70,PVSKTC!$A$4:$D$1048576,4,0),0)</f>
        <v>0</v>
      </c>
      <c r="I70" s="14" t="str">
        <f>IFERROR(IF(E70&gt;0,THTT!E$2,""),"")</f>
        <v/>
      </c>
      <c r="J70" s="15" t="str">
        <f t="shared" si="3"/>
        <v/>
      </c>
      <c r="K70" s="8" t="str">
        <f t="shared" si="4"/>
        <v/>
      </c>
      <c r="L70" s="8" t="str">
        <f t="shared" si="5"/>
        <v/>
      </c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</row>
    <row r="71" spans="1:63" s="4" customFormat="1" x14ac:dyDescent="0.3">
      <c r="A71" s="17" t="str">
        <f t="shared" si="0"/>
        <v/>
      </c>
      <c r="B71" s="18"/>
      <c r="C71" s="27">
        <f t="shared" si="1"/>
        <v>0</v>
      </c>
      <c r="D71" s="17">
        <f t="shared" si="2"/>
        <v>1</v>
      </c>
      <c r="E71" s="29">
        <f t="shared" si="6"/>
        <v>0</v>
      </c>
      <c r="F71" s="8">
        <f>IFERROR(VLOOKUP(B71,PVSKTC!$A$4:$D$1048576,2,0),0)</f>
        <v>0</v>
      </c>
      <c r="G71" s="8">
        <f>IFERROR(VLOOKUP(B71,PVSKTC!$A$4:$D$1048576,3,0),0)</f>
        <v>0</v>
      </c>
      <c r="H71" s="8">
        <f>IFERROR(VLOOKUP(B71,PVSKTC!$A$4:$D$1048576,4,0),0)</f>
        <v>0</v>
      </c>
      <c r="I71" s="14" t="str">
        <f>IFERROR(IF(E71&gt;0,THTT!E$2,""),"")</f>
        <v/>
      </c>
      <c r="J71" s="15" t="str">
        <f t="shared" si="3"/>
        <v/>
      </c>
      <c r="K71" s="8" t="str">
        <f t="shared" si="4"/>
        <v/>
      </c>
      <c r="L71" s="8" t="str">
        <f t="shared" si="5"/>
        <v/>
      </c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</row>
    <row r="72" spans="1:63" s="4" customFormat="1" x14ac:dyDescent="0.3">
      <c r="A72" s="17" t="str">
        <f t="shared" si="0"/>
        <v/>
      </c>
      <c r="B72" s="18"/>
      <c r="C72" s="27">
        <f t="shared" si="1"/>
        <v>0</v>
      </c>
      <c r="D72" s="17">
        <f t="shared" si="2"/>
        <v>1</v>
      </c>
      <c r="E72" s="29">
        <f t="shared" si="6"/>
        <v>0</v>
      </c>
      <c r="F72" s="8">
        <f>IFERROR(VLOOKUP(B72,PVSKTC!$A$4:$D$1048576,2,0),0)</f>
        <v>0</v>
      </c>
      <c r="G72" s="8">
        <f>IFERROR(VLOOKUP(B72,PVSKTC!$A$4:$D$1048576,3,0),0)</f>
        <v>0</v>
      </c>
      <c r="H72" s="8">
        <f>IFERROR(VLOOKUP(B72,PVSKTC!$A$4:$D$1048576,4,0),0)</f>
        <v>0</v>
      </c>
      <c r="I72" s="14" t="str">
        <f>IFERROR(IF(E72&gt;0,THTT!E$2,""),"")</f>
        <v/>
      </c>
      <c r="J72" s="15" t="str">
        <f t="shared" si="3"/>
        <v/>
      </c>
      <c r="K72" s="8" t="str">
        <f t="shared" si="4"/>
        <v/>
      </c>
      <c r="L72" s="8" t="str">
        <f t="shared" si="5"/>
        <v/>
      </c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</row>
    <row r="73" spans="1:63" s="4" customFormat="1" x14ac:dyDescent="0.3">
      <c r="A73" s="17" t="str">
        <f t="shared" si="0"/>
        <v/>
      </c>
      <c r="B73" s="18"/>
      <c r="C73" s="27">
        <f t="shared" si="1"/>
        <v>0</v>
      </c>
      <c r="D73" s="17">
        <f t="shared" si="2"/>
        <v>1</v>
      </c>
      <c r="E73" s="29">
        <f t="shared" si="6"/>
        <v>0</v>
      </c>
      <c r="F73" s="8">
        <f>IFERROR(VLOOKUP(B73,PVSKTC!$A$4:$D$1048576,2,0),0)</f>
        <v>0</v>
      </c>
      <c r="G73" s="8">
        <f>IFERROR(VLOOKUP(B73,PVSKTC!$A$4:$D$1048576,3,0),0)</f>
        <v>0</v>
      </c>
      <c r="H73" s="8">
        <f>IFERROR(VLOOKUP(B73,PVSKTC!$A$4:$D$1048576,4,0),0)</f>
        <v>0</v>
      </c>
      <c r="I73" s="14" t="str">
        <f>IFERROR(IF(E73&gt;0,THTT!E$2,""),"")</f>
        <v/>
      </c>
      <c r="J73" s="15" t="str">
        <f t="shared" si="3"/>
        <v/>
      </c>
      <c r="K73" s="8" t="str">
        <f t="shared" si="4"/>
        <v/>
      </c>
      <c r="L73" s="8" t="str">
        <f t="shared" si="5"/>
        <v/>
      </c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</row>
    <row r="74" spans="1:63" s="4" customFormat="1" x14ac:dyDescent="0.3">
      <c r="A74" s="17" t="str">
        <f t="shared" si="0"/>
        <v/>
      </c>
      <c r="B74" s="18"/>
      <c r="C74" s="27">
        <f t="shared" si="1"/>
        <v>0</v>
      </c>
      <c r="D74" s="17">
        <f t="shared" si="2"/>
        <v>1</v>
      </c>
      <c r="E74" s="29">
        <f t="shared" si="6"/>
        <v>0</v>
      </c>
      <c r="F74" s="8">
        <f>IFERROR(VLOOKUP(B74,PVSKTC!$A$4:$D$1048576,2,0),0)</f>
        <v>0</v>
      </c>
      <c r="G74" s="8">
        <f>IFERROR(VLOOKUP(B74,PVSKTC!$A$4:$D$1048576,3,0),0)</f>
        <v>0</v>
      </c>
      <c r="H74" s="8">
        <f>IFERROR(VLOOKUP(B74,PVSKTC!$A$4:$D$1048576,4,0),0)</f>
        <v>0</v>
      </c>
      <c r="I74" s="14" t="str">
        <f>IFERROR(IF(E74&gt;0,THTT!E$2,""),"")</f>
        <v/>
      </c>
      <c r="J74" s="15" t="str">
        <f t="shared" si="3"/>
        <v/>
      </c>
      <c r="K74" s="8" t="str">
        <f t="shared" si="4"/>
        <v/>
      </c>
      <c r="L74" s="8" t="str">
        <f t="shared" si="5"/>
        <v/>
      </c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</row>
    <row r="75" spans="1:63" s="4" customFormat="1" x14ac:dyDescent="0.3">
      <c r="A75" s="17" t="str">
        <f t="shared" si="0"/>
        <v/>
      </c>
      <c r="B75" s="18"/>
      <c r="C75" s="27">
        <f t="shared" si="1"/>
        <v>0</v>
      </c>
      <c r="D75" s="17">
        <f t="shared" si="2"/>
        <v>1</v>
      </c>
      <c r="E75" s="29">
        <f t="shared" si="6"/>
        <v>0</v>
      </c>
      <c r="F75" s="8">
        <f>IFERROR(VLOOKUP(B75,PVSKTC!$A$4:$D$1048576,2,0),0)</f>
        <v>0</v>
      </c>
      <c r="G75" s="8">
        <f>IFERROR(VLOOKUP(B75,PVSKTC!$A$4:$D$1048576,3,0),0)</f>
        <v>0</v>
      </c>
      <c r="H75" s="8">
        <f>IFERROR(VLOOKUP(B75,PVSKTC!$A$4:$D$1048576,4,0),0)</f>
        <v>0</v>
      </c>
      <c r="I75" s="14" t="str">
        <f>IFERROR(IF(E75&gt;0,THTT!E$2,""),"")</f>
        <v/>
      </c>
      <c r="J75" s="15" t="str">
        <f t="shared" si="3"/>
        <v/>
      </c>
      <c r="K75" s="8" t="str">
        <f t="shared" si="4"/>
        <v/>
      </c>
      <c r="L75" s="8" t="str">
        <f t="shared" si="5"/>
        <v/>
      </c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</row>
    <row r="76" spans="1:63" s="4" customFormat="1" x14ac:dyDescent="0.3">
      <c r="A76" s="17" t="str">
        <f t="shared" si="0"/>
        <v/>
      </c>
      <c r="B76" s="18"/>
      <c r="C76" s="27">
        <f t="shared" si="1"/>
        <v>0</v>
      </c>
      <c r="D76" s="17">
        <f t="shared" si="2"/>
        <v>1</v>
      </c>
      <c r="E76" s="29">
        <f t="shared" si="6"/>
        <v>0</v>
      </c>
      <c r="F76" s="8">
        <f>IFERROR(VLOOKUP(B76,PVSKTC!$A$4:$D$1048576,2,0),0)</f>
        <v>0</v>
      </c>
      <c r="G76" s="8">
        <f>IFERROR(VLOOKUP(B76,PVSKTC!$A$4:$D$1048576,3,0),0)</f>
        <v>0</v>
      </c>
      <c r="H76" s="8">
        <f>IFERROR(VLOOKUP(B76,PVSKTC!$A$4:$D$1048576,4,0),0)</f>
        <v>0</v>
      </c>
      <c r="I76" s="14" t="str">
        <f>IFERROR(IF(E76&gt;0,THTT!E$2,""),"")</f>
        <v/>
      </c>
      <c r="J76" s="15" t="str">
        <f t="shared" si="3"/>
        <v/>
      </c>
      <c r="K76" s="8" t="str">
        <f t="shared" si="4"/>
        <v/>
      </c>
      <c r="L76" s="8" t="str">
        <f t="shared" si="5"/>
        <v/>
      </c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</row>
    <row r="77" spans="1:63" s="4" customFormat="1" x14ac:dyDescent="0.3">
      <c r="A77" s="17" t="str">
        <f t="shared" si="0"/>
        <v/>
      </c>
      <c r="B77" s="18"/>
      <c r="C77" s="27">
        <f t="shared" si="1"/>
        <v>0</v>
      </c>
      <c r="D77" s="17">
        <f t="shared" si="2"/>
        <v>1</v>
      </c>
      <c r="E77" s="29">
        <f t="shared" si="6"/>
        <v>0</v>
      </c>
      <c r="F77" s="8">
        <f>IFERROR(VLOOKUP(B77,PVSKTC!$A$4:$D$1048576,2,0),0)</f>
        <v>0</v>
      </c>
      <c r="G77" s="8">
        <f>IFERROR(VLOOKUP(B77,PVSKTC!$A$4:$D$1048576,3,0),0)</f>
        <v>0</v>
      </c>
      <c r="H77" s="8">
        <f>IFERROR(VLOOKUP(B77,PVSKTC!$A$4:$D$1048576,4,0),0)</f>
        <v>0</v>
      </c>
      <c r="I77" s="14" t="str">
        <f>IFERROR(IF(E77&gt;0,THTT!E$2,""),"")</f>
        <v/>
      </c>
      <c r="J77" s="15" t="str">
        <f t="shared" si="3"/>
        <v/>
      </c>
      <c r="K77" s="8" t="str">
        <f t="shared" si="4"/>
        <v/>
      </c>
      <c r="L77" s="8" t="str">
        <f t="shared" si="5"/>
        <v/>
      </c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</row>
    <row r="78" spans="1:63" s="4" customFormat="1" x14ac:dyDescent="0.3">
      <c r="A78" s="17" t="str">
        <f t="shared" ref="A78:A141" si="7">IF(E78&lt;=0,"",IF(B78&gt;=$B$9,"QUÁ HẠN","TRONG HẠN"))</f>
        <v/>
      </c>
      <c r="B78" s="18"/>
      <c r="C78" s="27">
        <f t="shared" ref="C78:C141" si="8">IFERROR(IF(B79="", $B$10, B79-1), $B$10)</f>
        <v>0</v>
      </c>
      <c r="D78" s="17">
        <f t="shared" ref="D78:D141" si="9">C78-B78+1</f>
        <v>1</v>
      </c>
      <c r="E78" s="29">
        <f t="shared" si="6"/>
        <v>0</v>
      </c>
      <c r="F78" s="8">
        <f>IFERROR(VLOOKUP(B78,PVSKTC!$A$4:$D$1048576,2,0),0)</f>
        <v>0</v>
      </c>
      <c r="G78" s="8">
        <f>IFERROR(VLOOKUP(B78,PVSKTC!$A$4:$D$1048576,3,0),0)</f>
        <v>0</v>
      </c>
      <c r="H78" s="8">
        <f>IFERROR(VLOOKUP(B78,PVSKTC!$A$4:$D$1048576,4,0),0)</f>
        <v>0</v>
      </c>
      <c r="I78" s="14" t="str">
        <f>IFERROR(IF(E78&gt;0,THTT!E$2,""),"")</f>
        <v/>
      </c>
      <c r="J78" s="15" t="str">
        <f t="shared" ref="J78:J141" si="10">IF(A78="QUÁ HẠN",I78*150%,"")</f>
        <v/>
      </c>
      <c r="K78" s="8" t="str">
        <f t="shared" ref="K78:K141" si="11">IF(AND(E78&gt;0,A78="TRONG HẠN"),E78*I78*D78/365,"")</f>
        <v/>
      </c>
      <c r="L78" s="8" t="str">
        <f t="shared" ref="L78:L141" si="12">IF(A78="QUÁ HẠN",E78*J78*D78/365,"")</f>
        <v/>
      </c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</row>
    <row r="79" spans="1:63" s="4" customFormat="1" x14ac:dyDescent="0.3">
      <c r="A79" s="17" t="str">
        <f t="shared" si="7"/>
        <v/>
      </c>
      <c r="B79" s="18"/>
      <c r="C79" s="27">
        <f t="shared" si="8"/>
        <v>0</v>
      </c>
      <c r="D79" s="17">
        <f t="shared" si="9"/>
        <v>1</v>
      </c>
      <c r="E79" s="29">
        <f t="shared" ref="E79:E142" si="13">E78+F79-G79</f>
        <v>0</v>
      </c>
      <c r="F79" s="8">
        <f>IFERROR(VLOOKUP(B79,PVSKTC!$A$4:$D$1048576,2,0),0)</f>
        <v>0</v>
      </c>
      <c r="G79" s="8">
        <f>IFERROR(VLOOKUP(B79,PVSKTC!$A$4:$D$1048576,3,0),0)</f>
        <v>0</v>
      </c>
      <c r="H79" s="8">
        <f>IFERROR(VLOOKUP(B79,PVSKTC!$A$4:$D$1048576,4,0),0)</f>
        <v>0</v>
      </c>
      <c r="I79" s="14" t="str">
        <f>IFERROR(IF(E79&gt;0,THTT!E$2,""),"")</f>
        <v/>
      </c>
      <c r="J79" s="15" t="str">
        <f t="shared" si="10"/>
        <v/>
      </c>
      <c r="K79" s="8" t="str">
        <f t="shared" si="11"/>
        <v/>
      </c>
      <c r="L79" s="8" t="str">
        <f t="shared" si="12"/>
        <v/>
      </c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</row>
    <row r="80" spans="1:63" s="4" customFormat="1" x14ac:dyDescent="0.3">
      <c r="A80" s="17" t="str">
        <f t="shared" si="7"/>
        <v/>
      </c>
      <c r="B80" s="18"/>
      <c r="C80" s="27">
        <f t="shared" si="8"/>
        <v>0</v>
      </c>
      <c r="D80" s="17">
        <f t="shared" si="9"/>
        <v>1</v>
      </c>
      <c r="E80" s="29">
        <f t="shared" si="13"/>
        <v>0</v>
      </c>
      <c r="F80" s="8">
        <f>IFERROR(VLOOKUP(B80,PVSKTC!$A$4:$D$1048576,2,0),0)</f>
        <v>0</v>
      </c>
      <c r="G80" s="8">
        <f>IFERROR(VLOOKUP(B80,PVSKTC!$A$4:$D$1048576,3,0),0)</f>
        <v>0</v>
      </c>
      <c r="H80" s="8">
        <f>IFERROR(VLOOKUP(B80,PVSKTC!$A$4:$D$1048576,4,0),0)</f>
        <v>0</v>
      </c>
      <c r="I80" s="14" t="str">
        <f>IFERROR(IF(E80&gt;0,THTT!E$2,""),"")</f>
        <v/>
      </c>
      <c r="J80" s="15" t="str">
        <f t="shared" si="10"/>
        <v/>
      </c>
      <c r="K80" s="8" t="str">
        <f t="shared" si="11"/>
        <v/>
      </c>
      <c r="L80" s="8" t="str">
        <f t="shared" si="12"/>
        <v/>
      </c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</row>
    <row r="81" spans="1:63" s="4" customFormat="1" x14ac:dyDescent="0.3">
      <c r="A81" s="17" t="str">
        <f t="shared" si="7"/>
        <v/>
      </c>
      <c r="B81" s="18"/>
      <c r="C81" s="27">
        <f t="shared" si="8"/>
        <v>0</v>
      </c>
      <c r="D81" s="17">
        <f t="shared" si="9"/>
        <v>1</v>
      </c>
      <c r="E81" s="29">
        <f t="shared" si="13"/>
        <v>0</v>
      </c>
      <c r="F81" s="8">
        <f>IFERROR(VLOOKUP(B81,PVSKTC!$A$4:$D$1048576,2,0),0)</f>
        <v>0</v>
      </c>
      <c r="G81" s="8">
        <f>IFERROR(VLOOKUP(B81,PVSKTC!$A$4:$D$1048576,3,0),0)</f>
        <v>0</v>
      </c>
      <c r="H81" s="8">
        <f>IFERROR(VLOOKUP(B81,PVSKTC!$A$4:$D$1048576,4,0),0)</f>
        <v>0</v>
      </c>
      <c r="I81" s="14" t="str">
        <f>IFERROR(IF(E81&gt;0,THTT!E$2,""),"")</f>
        <v/>
      </c>
      <c r="J81" s="15" t="str">
        <f t="shared" si="10"/>
        <v/>
      </c>
      <c r="K81" s="8" t="str">
        <f t="shared" si="11"/>
        <v/>
      </c>
      <c r="L81" s="8" t="str">
        <f t="shared" si="12"/>
        <v/>
      </c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</row>
    <row r="82" spans="1:63" s="4" customFormat="1" x14ac:dyDescent="0.3">
      <c r="A82" s="17" t="str">
        <f t="shared" si="7"/>
        <v/>
      </c>
      <c r="B82" s="18"/>
      <c r="C82" s="27">
        <f t="shared" si="8"/>
        <v>0</v>
      </c>
      <c r="D82" s="17">
        <f t="shared" si="9"/>
        <v>1</v>
      </c>
      <c r="E82" s="29">
        <f t="shared" si="13"/>
        <v>0</v>
      </c>
      <c r="F82" s="8">
        <f>IFERROR(VLOOKUP(B82,PVSKTC!$A$4:$D$1048576,2,0),0)</f>
        <v>0</v>
      </c>
      <c r="G82" s="8">
        <f>IFERROR(VLOOKUP(B82,PVSKTC!$A$4:$D$1048576,3,0),0)</f>
        <v>0</v>
      </c>
      <c r="H82" s="8">
        <f>IFERROR(VLOOKUP(B82,PVSKTC!$A$4:$D$1048576,4,0),0)</f>
        <v>0</v>
      </c>
      <c r="I82" s="14" t="str">
        <f>IFERROR(IF(E82&gt;0,THTT!E$2,""),"")</f>
        <v/>
      </c>
      <c r="J82" s="15" t="str">
        <f t="shared" si="10"/>
        <v/>
      </c>
      <c r="K82" s="8" t="str">
        <f t="shared" si="11"/>
        <v/>
      </c>
      <c r="L82" s="8" t="str">
        <f t="shared" si="12"/>
        <v/>
      </c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</row>
    <row r="83" spans="1:63" s="4" customFormat="1" x14ac:dyDescent="0.3">
      <c r="A83" s="17" t="str">
        <f t="shared" si="7"/>
        <v/>
      </c>
      <c r="B83" s="18"/>
      <c r="C83" s="27">
        <f t="shared" si="8"/>
        <v>0</v>
      </c>
      <c r="D83" s="17">
        <f t="shared" si="9"/>
        <v>1</v>
      </c>
      <c r="E83" s="29">
        <f t="shared" si="13"/>
        <v>0</v>
      </c>
      <c r="F83" s="8">
        <f>IFERROR(VLOOKUP(B83,PVSKTC!$A$4:$D$1048576,2,0),0)</f>
        <v>0</v>
      </c>
      <c r="G83" s="8">
        <f>IFERROR(VLOOKUP(B83,PVSKTC!$A$4:$D$1048576,3,0),0)</f>
        <v>0</v>
      </c>
      <c r="H83" s="8">
        <f>IFERROR(VLOOKUP(B83,PVSKTC!$A$4:$D$1048576,4,0),0)</f>
        <v>0</v>
      </c>
      <c r="I83" s="14" t="str">
        <f>IFERROR(IF(E83&gt;0,THTT!E$2,""),"")</f>
        <v/>
      </c>
      <c r="J83" s="15" t="str">
        <f t="shared" si="10"/>
        <v/>
      </c>
      <c r="K83" s="8" t="str">
        <f t="shared" si="11"/>
        <v/>
      </c>
      <c r="L83" s="8" t="str">
        <f t="shared" si="12"/>
        <v/>
      </c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</row>
    <row r="84" spans="1:63" s="4" customFormat="1" x14ac:dyDescent="0.3">
      <c r="A84" s="17" t="str">
        <f t="shared" si="7"/>
        <v/>
      </c>
      <c r="B84" s="18"/>
      <c r="C84" s="27">
        <f t="shared" si="8"/>
        <v>0</v>
      </c>
      <c r="D84" s="17">
        <f t="shared" si="9"/>
        <v>1</v>
      </c>
      <c r="E84" s="29">
        <f t="shared" si="13"/>
        <v>0</v>
      </c>
      <c r="F84" s="8">
        <f>IFERROR(VLOOKUP(B84,PVSKTC!$A$4:$D$1048576,2,0),0)</f>
        <v>0</v>
      </c>
      <c r="G84" s="8">
        <f>IFERROR(VLOOKUP(B84,PVSKTC!$A$4:$D$1048576,3,0),0)</f>
        <v>0</v>
      </c>
      <c r="H84" s="8">
        <f>IFERROR(VLOOKUP(B84,PVSKTC!$A$4:$D$1048576,4,0),0)</f>
        <v>0</v>
      </c>
      <c r="I84" s="14" t="str">
        <f>IFERROR(IF(E84&gt;0,THTT!E$2,""),"")</f>
        <v/>
      </c>
      <c r="J84" s="15" t="str">
        <f t="shared" si="10"/>
        <v/>
      </c>
      <c r="K84" s="8" t="str">
        <f t="shared" si="11"/>
        <v/>
      </c>
      <c r="L84" s="8" t="str">
        <f t="shared" si="12"/>
        <v/>
      </c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</row>
    <row r="85" spans="1:63" s="4" customFormat="1" x14ac:dyDescent="0.3">
      <c r="A85" s="17" t="str">
        <f t="shared" si="7"/>
        <v/>
      </c>
      <c r="B85" s="18"/>
      <c r="C85" s="27">
        <f t="shared" si="8"/>
        <v>0</v>
      </c>
      <c r="D85" s="17">
        <f t="shared" si="9"/>
        <v>1</v>
      </c>
      <c r="E85" s="29">
        <f t="shared" si="13"/>
        <v>0</v>
      </c>
      <c r="F85" s="8">
        <f>IFERROR(VLOOKUP(B85,PVSKTC!$A$4:$D$1048576,2,0),0)</f>
        <v>0</v>
      </c>
      <c r="G85" s="8">
        <f>IFERROR(VLOOKUP(B85,PVSKTC!$A$4:$D$1048576,3,0),0)</f>
        <v>0</v>
      </c>
      <c r="H85" s="8">
        <f>IFERROR(VLOOKUP(B85,PVSKTC!$A$4:$D$1048576,4,0),0)</f>
        <v>0</v>
      </c>
      <c r="I85" s="14" t="str">
        <f>IFERROR(IF(E85&gt;0,THTT!E$2,""),"")</f>
        <v/>
      </c>
      <c r="J85" s="15" t="str">
        <f t="shared" si="10"/>
        <v/>
      </c>
      <c r="K85" s="8" t="str">
        <f t="shared" si="11"/>
        <v/>
      </c>
      <c r="L85" s="8" t="str">
        <f t="shared" si="12"/>
        <v/>
      </c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</row>
    <row r="86" spans="1:63" s="4" customFormat="1" x14ac:dyDescent="0.3">
      <c r="A86" s="17" t="str">
        <f t="shared" si="7"/>
        <v/>
      </c>
      <c r="B86" s="18"/>
      <c r="C86" s="27">
        <f t="shared" si="8"/>
        <v>0</v>
      </c>
      <c r="D86" s="17">
        <f t="shared" si="9"/>
        <v>1</v>
      </c>
      <c r="E86" s="29">
        <f t="shared" si="13"/>
        <v>0</v>
      </c>
      <c r="F86" s="8">
        <f>IFERROR(VLOOKUP(B86,PVSKTC!$A$4:$D$1048576,2,0),0)</f>
        <v>0</v>
      </c>
      <c r="G86" s="8">
        <f>IFERROR(VLOOKUP(B86,PVSKTC!$A$4:$D$1048576,3,0),0)</f>
        <v>0</v>
      </c>
      <c r="H86" s="8">
        <f>IFERROR(VLOOKUP(B86,PVSKTC!$A$4:$D$1048576,4,0),0)</f>
        <v>0</v>
      </c>
      <c r="I86" s="14" t="str">
        <f>IFERROR(IF(E86&gt;0,THTT!E$2,""),"")</f>
        <v/>
      </c>
      <c r="J86" s="15" t="str">
        <f t="shared" si="10"/>
        <v/>
      </c>
      <c r="K86" s="8" t="str">
        <f t="shared" si="11"/>
        <v/>
      </c>
      <c r="L86" s="8" t="str">
        <f t="shared" si="12"/>
        <v/>
      </c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</row>
    <row r="87" spans="1:63" s="4" customFormat="1" x14ac:dyDescent="0.3">
      <c r="A87" s="17" t="str">
        <f t="shared" si="7"/>
        <v/>
      </c>
      <c r="B87" s="18"/>
      <c r="C87" s="27">
        <f t="shared" si="8"/>
        <v>0</v>
      </c>
      <c r="D87" s="17">
        <f t="shared" si="9"/>
        <v>1</v>
      </c>
      <c r="E87" s="29">
        <f t="shared" si="13"/>
        <v>0</v>
      </c>
      <c r="F87" s="8">
        <f>IFERROR(VLOOKUP(B87,PVSKTC!$A$4:$D$1048576,2,0),0)</f>
        <v>0</v>
      </c>
      <c r="G87" s="8">
        <f>IFERROR(VLOOKUP(B87,PVSKTC!$A$4:$D$1048576,3,0),0)</f>
        <v>0</v>
      </c>
      <c r="H87" s="8">
        <f>IFERROR(VLOOKUP(B87,PVSKTC!$A$4:$D$1048576,4,0),0)</f>
        <v>0</v>
      </c>
      <c r="I87" s="14" t="str">
        <f>IFERROR(IF(E87&gt;0,THTT!E$2,""),"")</f>
        <v/>
      </c>
      <c r="J87" s="15" t="str">
        <f t="shared" si="10"/>
        <v/>
      </c>
      <c r="K87" s="8" t="str">
        <f t="shared" si="11"/>
        <v/>
      </c>
      <c r="L87" s="8" t="str">
        <f t="shared" si="12"/>
        <v/>
      </c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</row>
    <row r="88" spans="1:63" s="4" customFormat="1" x14ac:dyDescent="0.3">
      <c r="A88" s="17" t="str">
        <f t="shared" si="7"/>
        <v/>
      </c>
      <c r="B88" s="18"/>
      <c r="C88" s="27">
        <f t="shared" si="8"/>
        <v>0</v>
      </c>
      <c r="D88" s="17">
        <f t="shared" si="9"/>
        <v>1</v>
      </c>
      <c r="E88" s="29">
        <f t="shared" si="13"/>
        <v>0</v>
      </c>
      <c r="F88" s="8">
        <f>IFERROR(VLOOKUP(B88,PVSKTC!$A$4:$D$1048576,2,0),0)</f>
        <v>0</v>
      </c>
      <c r="G88" s="8">
        <f>IFERROR(VLOOKUP(B88,PVSKTC!$A$4:$D$1048576,3,0),0)</f>
        <v>0</v>
      </c>
      <c r="H88" s="8">
        <f>IFERROR(VLOOKUP(B88,PVSKTC!$A$4:$D$1048576,4,0),0)</f>
        <v>0</v>
      </c>
      <c r="I88" s="14" t="str">
        <f>IFERROR(IF(E88&gt;0,THTT!E$2,""),"")</f>
        <v/>
      </c>
      <c r="J88" s="15" t="str">
        <f t="shared" si="10"/>
        <v/>
      </c>
      <c r="K88" s="8" t="str">
        <f t="shared" si="11"/>
        <v/>
      </c>
      <c r="L88" s="8" t="str">
        <f t="shared" si="12"/>
        <v/>
      </c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</row>
    <row r="89" spans="1:63" s="4" customFormat="1" x14ac:dyDescent="0.3">
      <c r="A89" s="17" t="str">
        <f t="shared" si="7"/>
        <v/>
      </c>
      <c r="B89" s="18"/>
      <c r="C89" s="27">
        <f t="shared" si="8"/>
        <v>0</v>
      </c>
      <c r="D89" s="17">
        <f t="shared" si="9"/>
        <v>1</v>
      </c>
      <c r="E89" s="29">
        <f t="shared" si="13"/>
        <v>0</v>
      </c>
      <c r="F89" s="8">
        <f>IFERROR(VLOOKUP(B89,PVSKTC!$A$4:$D$1048576,2,0),0)</f>
        <v>0</v>
      </c>
      <c r="G89" s="8">
        <f>IFERROR(VLOOKUP(B89,PVSKTC!$A$4:$D$1048576,3,0),0)</f>
        <v>0</v>
      </c>
      <c r="H89" s="8">
        <f>IFERROR(VLOOKUP(B89,PVSKTC!$A$4:$D$1048576,4,0),0)</f>
        <v>0</v>
      </c>
      <c r="I89" s="14" t="str">
        <f>IFERROR(IF(E89&gt;0,THTT!E$2,""),"")</f>
        <v/>
      </c>
      <c r="J89" s="15" t="str">
        <f t="shared" si="10"/>
        <v/>
      </c>
      <c r="K89" s="8" t="str">
        <f t="shared" si="11"/>
        <v/>
      </c>
      <c r="L89" s="8" t="str">
        <f t="shared" si="12"/>
        <v/>
      </c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</row>
    <row r="90" spans="1:63" s="4" customFormat="1" x14ac:dyDescent="0.3">
      <c r="A90" s="17" t="str">
        <f t="shared" si="7"/>
        <v/>
      </c>
      <c r="B90" s="18"/>
      <c r="C90" s="27">
        <f t="shared" si="8"/>
        <v>0</v>
      </c>
      <c r="D90" s="17">
        <f t="shared" si="9"/>
        <v>1</v>
      </c>
      <c r="E90" s="29">
        <f t="shared" si="13"/>
        <v>0</v>
      </c>
      <c r="F90" s="8">
        <f>IFERROR(VLOOKUP(B90,PVSKTC!$A$4:$D$1048576,2,0),0)</f>
        <v>0</v>
      </c>
      <c r="G90" s="8">
        <f>IFERROR(VLOOKUP(B90,PVSKTC!$A$4:$D$1048576,3,0),0)</f>
        <v>0</v>
      </c>
      <c r="H90" s="8">
        <f>IFERROR(VLOOKUP(B90,PVSKTC!$A$4:$D$1048576,4,0),0)</f>
        <v>0</v>
      </c>
      <c r="I90" s="14" t="str">
        <f>IFERROR(IF(E90&gt;0,THTT!E$2,""),"")</f>
        <v/>
      </c>
      <c r="J90" s="15" t="str">
        <f t="shared" si="10"/>
        <v/>
      </c>
      <c r="K90" s="8" t="str">
        <f t="shared" si="11"/>
        <v/>
      </c>
      <c r="L90" s="8" t="str">
        <f t="shared" si="12"/>
        <v/>
      </c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</row>
    <row r="91" spans="1:63" s="4" customFormat="1" x14ac:dyDescent="0.3">
      <c r="A91" s="17" t="str">
        <f t="shared" si="7"/>
        <v/>
      </c>
      <c r="B91" s="18"/>
      <c r="C91" s="27">
        <f t="shared" si="8"/>
        <v>0</v>
      </c>
      <c r="D91" s="17">
        <f t="shared" si="9"/>
        <v>1</v>
      </c>
      <c r="E91" s="29">
        <f t="shared" si="13"/>
        <v>0</v>
      </c>
      <c r="F91" s="8">
        <f>IFERROR(VLOOKUP(B91,PVSKTC!$A$4:$D$1048576,2,0),0)</f>
        <v>0</v>
      </c>
      <c r="G91" s="8">
        <f>IFERROR(VLOOKUP(B91,PVSKTC!$A$4:$D$1048576,3,0),0)</f>
        <v>0</v>
      </c>
      <c r="H91" s="8">
        <f>IFERROR(VLOOKUP(B91,PVSKTC!$A$4:$D$1048576,4,0),0)</f>
        <v>0</v>
      </c>
      <c r="I91" s="14" t="str">
        <f>IFERROR(IF(E91&gt;0,THTT!E$2,""),"")</f>
        <v/>
      </c>
      <c r="J91" s="15" t="str">
        <f t="shared" si="10"/>
        <v/>
      </c>
      <c r="K91" s="8" t="str">
        <f t="shared" si="11"/>
        <v/>
      </c>
      <c r="L91" s="8" t="str">
        <f t="shared" si="12"/>
        <v/>
      </c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</row>
    <row r="92" spans="1:63" s="4" customFormat="1" x14ac:dyDescent="0.3">
      <c r="A92" s="17" t="str">
        <f t="shared" si="7"/>
        <v/>
      </c>
      <c r="B92" s="18"/>
      <c r="C92" s="27">
        <f t="shared" si="8"/>
        <v>0</v>
      </c>
      <c r="D92" s="17">
        <f t="shared" si="9"/>
        <v>1</v>
      </c>
      <c r="E92" s="29">
        <f t="shared" si="13"/>
        <v>0</v>
      </c>
      <c r="F92" s="8">
        <f>IFERROR(VLOOKUP(B92,PVSKTC!$A$4:$D$1048576,2,0),0)</f>
        <v>0</v>
      </c>
      <c r="G92" s="8">
        <f>IFERROR(VLOOKUP(B92,PVSKTC!$A$4:$D$1048576,3,0),0)</f>
        <v>0</v>
      </c>
      <c r="H92" s="8">
        <f>IFERROR(VLOOKUP(B92,PVSKTC!$A$4:$D$1048576,4,0),0)</f>
        <v>0</v>
      </c>
      <c r="I92" s="14" t="str">
        <f>IFERROR(IF(E92&gt;0,THTT!E$2,""),"")</f>
        <v/>
      </c>
      <c r="J92" s="15" t="str">
        <f t="shared" si="10"/>
        <v/>
      </c>
      <c r="K92" s="8" t="str">
        <f t="shared" si="11"/>
        <v/>
      </c>
      <c r="L92" s="8" t="str">
        <f t="shared" si="12"/>
        <v/>
      </c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</row>
    <row r="93" spans="1:63" s="4" customFormat="1" x14ac:dyDescent="0.3">
      <c r="A93" s="17" t="str">
        <f t="shared" si="7"/>
        <v/>
      </c>
      <c r="B93" s="18"/>
      <c r="C93" s="27">
        <f t="shared" si="8"/>
        <v>0</v>
      </c>
      <c r="D93" s="17">
        <f t="shared" si="9"/>
        <v>1</v>
      </c>
      <c r="E93" s="29">
        <f t="shared" si="13"/>
        <v>0</v>
      </c>
      <c r="F93" s="8">
        <f>IFERROR(VLOOKUP(B93,PVSKTC!$A$4:$D$1048576,2,0),0)</f>
        <v>0</v>
      </c>
      <c r="G93" s="8">
        <f>IFERROR(VLOOKUP(B93,PVSKTC!$A$4:$D$1048576,3,0),0)</f>
        <v>0</v>
      </c>
      <c r="H93" s="8">
        <f>IFERROR(VLOOKUP(B93,PVSKTC!$A$4:$D$1048576,4,0),0)</f>
        <v>0</v>
      </c>
      <c r="I93" s="14" t="str">
        <f>IFERROR(IF(E93&gt;0,THTT!E$2,""),"")</f>
        <v/>
      </c>
      <c r="J93" s="15" t="str">
        <f t="shared" si="10"/>
        <v/>
      </c>
      <c r="K93" s="8" t="str">
        <f t="shared" si="11"/>
        <v/>
      </c>
      <c r="L93" s="8" t="str">
        <f t="shared" si="12"/>
        <v/>
      </c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</row>
    <row r="94" spans="1:63" s="4" customFormat="1" x14ac:dyDescent="0.3">
      <c r="A94" s="17" t="str">
        <f t="shared" si="7"/>
        <v/>
      </c>
      <c r="B94" s="18"/>
      <c r="C94" s="27">
        <f t="shared" si="8"/>
        <v>0</v>
      </c>
      <c r="D94" s="17">
        <f t="shared" si="9"/>
        <v>1</v>
      </c>
      <c r="E94" s="29">
        <f t="shared" si="13"/>
        <v>0</v>
      </c>
      <c r="F94" s="8">
        <f>IFERROR(VLOOKUP(B94,PVSKTC!$A$4:$D$1048576,2,0),0)</f>
        <v>0</v>
      </c>
      <c r="G94" s="8">
        <f>IFERROR(VLOOKUP(B94,PVSKTC!$A$4:$D$1048576,3,0),0)</f>
        <v>0</v>
      </c>
      <c r="H94" s="8">
        <f>IFERROR(VLOOKUP(B94,PVSKTC!$A$4:$D$1048576,4,0),0)</f>
        <v>0</v>
      </c>
      <c r="I94" s="14" t="str">
        <f>IFERROR(IF(E94&gt;0,THTT!E$2,""),"")</f>
        <v/>
      </c>
      <c r="J94" s="15" t="str">
        <f t="shared" si="10"/>
        <v/>
      </c>
      <c r="K94" s="8" t="str">
        <f t="shared" si="11"/>
        <v/>
      </c>
      <c r="L94" s="8" t="str">
        <f t="shared" si="12"/>
        <v/>
      </c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</row>
    <row r="95" spans="1:63" s="4" customFormat="1" x14ac:dyDescent="0.3">
      <c r="A95" s="17" t="str">
        <f t="shared" si="7"/>
        <v/>
      </c>
      <c r="B95" s="18"/>
      <c r="C95" s="27">
        <f t="shared" si="8"/>
        <v>0</v>
      </c>
      <c r="D95" s="17">
        <f t="shared" si="9"/>
        <v>1</v>
      </c>
      <c r="E95" s="29">
        <f t="shared" si="13"/>
        <v>0</v>
      </c>
      <c r="F95" s="8">
        <f>IFERROR(VLOOKUP(B95,PVSKTC!$A$4:$D$1048576,2,0),0)</f>
        <v>0</v>
      </c>
      <c r="G95" s="8">
        <f>IFERROR(VLOOKUP(B95,PVSKTC!$A$4:$D$1048576,3,0),0)</f>
        <v>0</v>
      </c>
      <c r="H95" s="8">
        <f>IFERROR(VLOOKUP(B95,PVSKTC!$A$4:$D$1048576,4,0),0)</f>
        <v>0</v>
      </c>
      <c r="I95" s="14" t="str">
        <f>IFERROR(IF(E95&gt;0,THTT!E$2,""),"")</f>
        <v/>
      </c>
      <c r="J95" s="15" t="str">
        <f t="shared" si="10"/>
        <v/>
      </c>
      <c r="K95" s="8" t="str">
        <f t="shared" si="11"/>
        <v/>
      </c>
      <c r="L95" s="8" t="str">
        <f t="shared" si="12"/>
        <v/>
      </c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</row>
    <row r="96" spans="1:63" s="4" customFormat="1" x14ac:dyDescent="0.3">
      <c r="A96" s="17" t="str">
        <f t="shared" si="7"/>
        <v/>
      </c>
      <c r="B96" s="18"/>
      <c r="C96" s="27">
        <f t="shared" si="8"/>
        <v>0</v>
      </c>
      <c r="D96" s="17">
        <f t="shared" si="9"/>
        <v>1</v>
      </c>
      <c r="E96" s="29">
        <f t="shared" si="13"/>
        <v>0</v>
      </c>
      <c r="F96" s="8">
        <f>IFERROR(VLOOKUP(B96,PVSKTC!$A$4:$D$1048576,2,0),0)</f>
        <v>0</v>
      </c>
      <c r="G96" s="8">
        <f>IFERROR(VLOOKUP(B96,PVSKTC!$A$4:$D$1048576,3,0),0)</f>
        <v>0</v>
      </c>
      <c r="H96" s="8">
        <f>IFERROR(VLOOKUP(B96,PVSKTC!$A$4:$D$1048576,4,0),0)</f>
        <v>0</v>
      </c>
      <c r="I96" s="14" t="str">
        <f>IFERROR(IF(E96&gt;0,THTT!E$2,""),"")</f>
        <v/>
      </c>
      <c r="J96" s="15" t="str">
        <f t="shared" si="10"/>
        <v/>
      </c>
      <c r="K96" s="8" t="str">
        <f t="shared" si="11"/>
        <v/>
      </c>
      <c r="L96" s="8" t="str">
        <f t="shared" si="12"/>
        <v/>
      </c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</row>
    <row r="97" spans="1:63" s="4" customFormat="1" x14ac:dyDescent="0.3">
      <c r="A97" s="17" t="str">
        <f t="shared" si="7"/>
        <v/>
      </c>
      <c r="B97" s="18"/>
      <c r="C97" s="27">
        <f t="shared" si="8"/>
        <v>0</v>
      </c>
      <c r="D97" s="17">
        <f t="shared" si="9"/>
        <v>1</v>
      </c>
      <c r="E97" s="29">
        <f t="shared" si="13"/>
        <v>0</v>
      </c>
      <c r="F97" s="8">
        <f>IFERROR(VLOOKUP(B97,PVSKTC!$A$4:$D$1048576,2,0),0)</f>
        <v>0</v>
      </c>
      <c r="G97" s="8">
        <f>IFERROR(VLOOKUP(B97,PVSKTC!$A$4:$D$1048576,3,0),0)</f>
        <v>0</v>
      </c>
      <c r="H97" s="8">
        <f>IFERROR(VLOOKUP(B97,PVSKTC!$A$4:$D$1048576,4,0),0)</f>
        <v>0</v>
      </c>
      <c r="I97" s="14" t="str">
        <f>IFERROR(IF(E97&gt;0,THTT!E$2,""),"")</f>
        <v/>
      </c>
      <c r="J97" s="15" t="str">
        <f t="shared" si="10"/>
        <v/>
      </c>
      <c r="K97" s="8" t="str">
        <f t="shared" si="11"/>
        <v/>
      </c>
      <c r="L97" s="8" t="str">
        <f t="shared" si="12"/>
        <v/>
      </c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</row>
    <row r="98" spans="1:63" s="4" customFormat="1" x14ac:dyDescent="0.3">
      <c r="A98" s="17" t="str">
        <f t="shared" si="7"/>
        <v/>
      </c>
      <c r="B98" s="18"/>
      <c r="C98" s="27">
        <f t="shared" si="8"/>
        <v>0</v>
      </c>
      <c r="D98" s="17">
        <f t="shared" si="9"/>
        <v>1</v>
      </c>
      <c r="E98" s="29">
        <f t="shared" si="13"/>
        <v>0</v>
      </c>
      <c r="F98" s="8">
        <f>IFERROR(VLOOKUP(B98,PVSKTC!$A$4:$D$1048576,2,0),0)</f>
        <v>0</v>
      </c>
      <c r="G98" s="8">
        <f>IFERROR(VLOOKUP(B98,PVSKTC!$A$4:$D$1048576,3,0),0)</f>
        <v>0</v>
      </c>
      <c r="H98" s="8">
        <f>IFERROR(VLOOKUP(B98,PVSKTC!$A$4:$D$1048576,4,0),0)</f>
        <v>0</v>
      </c>
      <c r="I98" s="14" t="str">
        <f>IFERROR(IF(E98&gt;0,THTT!E$2,""),"")</f>
        <v/>
      </c>
      <c r="J98" s="15" t="str">
        <f t="shared" si="10"/>
        <v/>
      </c>
      <c r="K98" s="8" t="str">
        <f t="shared" si="11"/>
        <v/>
      </c>
      <c r="L98" s="8" t="str">
        <f t="shared" si="12"/>
        <v/>
      </c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</row>
    <row r="99" spans="1:63" s="4" customFormat="1" x14ac:dyDescent="0.3">
      <c r="A99" s="17" t="str">
        <f t="shared" si="7"/>
        <v/>
      </c>
      <c r="B99" s="18"/>
      <c r="C99" s="27">
        <f t="shared" si="8"/>
        <v>0</v>
      </c>
      <c r="D99" s="17">
        <f t="shared" si="9"/>
        <v>1</v>
      </c>
      <c r="E99" s="29">
        <f t="shared" si="13"/>
        <v>0</v>
      </c>
      <c r="F99" s="8">
        <f>IFERROR(VLOOKUP(B99,PVSKTC!$A$4:$D$1048576,2,0),0)</f>
        <v>0</v>
      </c>
      <c r="G99" s="8">
        <f>IFERROR(VLOOKUP(B99,PVSKTC!$A$4:$D$1048576,3,0),0)</f>
        <v>0</v>
      </c>
      <c r="H99" s="8">
        <f>IFERROR(VLOOKUP(B99,PVSKTC!$A$4:$D$1048576,4,0),0)</f>
        <v>0</v>
      </c>
      <c r="I99" s="14" t="str">
        <f>IFERROR(IF(E99&gt;0,THTT!E$2,""),"")</f>
        <v/>
      </c>
      <c r="J99" s="15" t="str">
        <f t="shared" si="10"/>
        <v/>
      </c>
      <c r="K99" s="8" t="str">
        <f t="shared" si="11"/>
        <v/>
      </c>
      <c r="L99" s="8" t="str">
        <f t="shared" si="12"/>
        <v/>
      </c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</row>
    <row r="100" spans="1:63" s="4" customFormat="1" x14ac:dyDescent="0.3">
      <c r="A100" s="17" t="str">
        <f t="shared" si="7"/>
        <v/>
      </c>
      <c r="B100" s="18"/>
      <c r="C100" s="27">
        <f t="shared" si="8"/>
        <v>0</v>
      </c>
      <c r="D100" s="17">
        <f t="shared" si="9"/>
        <v>1</v>
      </c>
      <c r="E100" s="29">
        <f t="shared" si="13"/>
        <v>0</v>
      </c>
      <c r="F100" s="8">
        <f>IFERROR(VLOOKUP(B100,PVSKTC!$A$4:$D$1048576,2,0),0)</f>
        <v>0</v>
      </c>
      <c r="G100" s="8">
        <f>IFERROR(VLOOKUP(B100,PVSKTC!$A$4:$D$1048576,3,0),0)</f>
        <v>0</v>
      </c>
      <c r="H100" s="8">
        <f>IFERROR(VLOOKUP(B100,PVSKTC!$A$4:$D$1048576,4,0),0)</f>
        <v>0</v>
      </c>
      <c r="I100" s="14" t="str">
        <f>IFERROR(IF(E100&gt;0,THTT!E$2,""),"")</f>
        <v/>
      </c>
      <c r="J100" s="15" t="str">
        <f t="shared" si="10"/>
        <v/>
      </c>
      <c r="K100" s="8" t="str">
        <f t="shared" si="11"/>
        <v/>
      </c>
      <c r="L100" s="8" t="str">
        <f t="shared" si="12"/>
        <v/>
      </c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</row>
    <row r="101" spans="1:63" s="4" customFormat="1" x14ac:dyDescent="0.3">
      <c r="A101" s="17" t="str">
        <f t="shared" si="7"/>
        <v/>
      </c>
      <c r="B101" s="18"/>
      <c r="C101" s="27">
        <f t="shared" si="8"/>
        <v>0</v>
      </c>
      <c r="D101" s="17">
        <f t="shared" si="9"/>
        <v>1</v>
      </c>
      <c r="E101" s="29">
        <f t="shared" si="13"/>
        <v>0</v>
      </c>
      <c r="F101" s="8">
        <f>IFERROR(VLOOKUP(B101,PVSKTC!$A$4:$D$1048576,2,0),0)</f>
        <v>0</v>
      </c>
      <c r="G101" s="8">
        <f>IFERROR(VLOOKUP(B101,PVSKTC!$A$4:$D$1048576,3,0),0)</f>
        <v>0</v>
      </c>
      <c r="H101" s="8">
        <f>IFERROR(VLOOKUP(B101,PVSKTC!$A$4:$D$1048576,4,0),0)</f>
        <v>0</v>
      </c>
      <c r="I101" s="14" t="str">
        <f>IFERROR(IF(E101&gt;0,THTT!E$2,""),"")</f>
        <v/>
      </c>
      <c r="J101" s="15" t="str">
        <f t="shared" si="10"/>
        <v/>
      </c>
      <c r="K101" s="8" t="str">
        <f t="shared" si="11"/>
        <v/>
      </c>
      <c r="L101" s="8" t="str">
        <f t="shared" si="12"/>
        <v/>
      </c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</row>
    <row r="102" spans="1:63" s="4" customFormat="1" x14ac:dyDescent="0.3">
      <c r="A102" s="17" t="str">
        <f t="shared" si="7"/>
        <v/>
      </c>
      <c r="B102" s="18"/>
      <c r="C102" s="27">
        <f t="shared" si="8"/>
        <v>0</v>
      </c>
      <c r="D102" s="17">
        <f t="shared" si="9"/>
        <v>1</v>
      </c>
      <c r="E102" s="29">
        <f t="shared" si="13"/>
        <v>0</v>
      </c>
      <c r="F102" s="8">
        <f>IFERROR(VLOOKUP(B102,PVSKTC!$A$4:$D$1048576,2,0),0)</f>
        <v>0</v>
      </c>
      <c r="G102" s="8">
        <f>IFERROR(VLOOKUP(B102,PVSKTC!$A$4:$D$1048576,3,0),0)</f>
        <v>0</v>
      </c>
      <c r="H102" s="8">
        <f>IFERROR(VLOOKUP(B102,PVSKTC!$A$4:$D$1048576,4,0),0)</f>
        <v>0</v>
      </c>
      <c r="I102" s="14" t="str">
        <f>IFERROR(IF(E102&gt;0,THTT!E$2,""),"")</f>
        <v/>
      </c>
      <c r="J102" s="15" t="str">
        <f t="shared" si="10"/>
        <v/>
      </c>
      <c r="K102" s="8" t="str">
        <f t="shared" si="11"/>
        <v/>
      </c>
      <c r="L102" s="8" t="str">
        <f t="shared" si="12"/>
        <v/>
      </c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</row>
    <row r="103" spans="1:63" s="4" customFormat="1" x14ac:dyDescent="0.3">
      <c r="A103" s="17" t="str">
        <f t="shared" si="7"/>
        <v/>
      </c>
      <c r="B103" s="18"/>
      <c r="C103" s="27">
        <f t="shared" si="8"/>
        <v>0</v>
      </c>
      <c r="D103" s="17">
        <f t="shared" si="9"/>
        <v>1</v>
      </c>
      <c r="E103" s="29">
        <f t="shared" si="13"/>
        <v>0</v>
      </c>
      <c r="F103" s="8">
        <f>IFERROR(VLOOKUP(B103,PVSKTC!$A$4:$D$1048576,2,0),0)</f>
        <v>0</v>
      </c>
      <c r="G103" s="8">
        <f>IFERROR(VLOOKUP(B103,PVSKTC!$A$4:$D$1048576,3,0),0)</f>
        <v>0</v>
      </c>
      <c r="H103" s="8">
        <f>IFERROR(VLOOKUP(B103,PVSKTC!$A$4:$D$1048576,4,0),0)</f>
        <v>0</v>
      </c>
      <c r="I103" s="14" t="str">
        <f>IFERROR(IF(E103&gt;0,THTT!E$2,""),"")</f>
        <v/>
      </c>
      <c r="J103" s="15" t="str">
        <f t="shared" si="10"/>
        <v/>
      </c>
      <c r="K103" s="8" t="str">
        <f t="shared" si="11"/>
        <v/>
      </c>
      <c r="L103" s="8" t="str">
        <f t="shared" si="12"/>
        <v/>
      </c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</row>
    <row r="104" spans="1:63" s="4" customFormat="1" x14ac:dyDescent="0.3">
      <c r="A104" s="17" t="str">
        <f t="shared" si="7"/>
        <v/>
      </c>
      <c r="B104" s="18"/>
      <c r="C104" s="27">
        <f t="shared" si="8"/>
        <v>0</v>
      </c>
      <c r="D104" s="17">
        <f t="shared" si="9"/>
        <v>1</v>
      </c>
      <c r="E104" s="29">
        <f t="shared" si="13"/>
        <v>0</v>
      </c>
      <c r="F104" s="8">
        <f>IFERROR(VLOOKUP(B104,PVSKTC!$A$4:$D$1048576,2,0),0)</f>
        <v>0</v>
      </c>
      <c r="G104" s="8">
        <f>IFERROR(VLOOKUP(B104,PVSKTC!$A$4:$D$1048576,3,0),0)</f>
        <v>0</v>
      </c>
      <c r="H104" s="8">
        <f>IFERROR(VLOOKUP(B104,PVSKTC!$A$4:$D$1048576,4,0),0)</f>
        <v>0</v>
      </c>
      <c r="I104" s="14" t="str">
        <f>IFERROR(IF(E104&gt;0,THTT!E$2,""),"")</f>
        <v/>
      </c>
      <c r="J104" s="15" t="str">
        <f t="shared" si="10"/>
        <v/>
      </c>
      <c r="K104" s="8" t="str">
        <f t="shared" si="11"/>
        <v/>
      </c>
      <c r="L104" s="8" t="str">
        <f t="shared" si="12"/>
        <v/>
      </c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</row>
    <row r="105" spans="1:63" s="4" customFormat="1" x14ac:dyDescent="0.3">
      <c r="A105" s="17" t="str">
        <f t="shared" si="7"/>
        <v/>
      </c>
      <c r="B105" s="18"/>
      <c r="C105" s="27">
        <f t="shared" si="8"/>
        <v>0</v>
      </c>
      <c r="D105" s="17">
        <f t="shared" si="9"/>
        <v>1</v>
      </c>
      <c r="E105" s="29">
        <f t="shared" si="13"/>
        <v>0</v>
      </c>
      <c r="F105" s="8">
        <f>IFERROR(VLOOKUP(B105,PVSKTC!$A$4:$D$1048576,2,0),0)</f>
        <v>0</v>
      </c>
      <c r="G105" s="8">
        <f>IFERROR(VLOOKUP(B105,PVSKTC!$A$4:$D$1048576,3,0),0)</f>
        <v>0</v>
      </c>
      <c r="H105" s="8">
        <f>IFERROR(VLOOKUP(B105,PVSKTC!$A$4:$D$1048576,4,0),0)</f>
        <v>0</v>
      </c>
      <c r="I105" s="14" t="str">
        <f>IFERROR(IF(E105&gt;0,THTT!E$2,""),"")</f>
        <v/>
      </c>
      <c r="J105" s="15" t="str">
        <f t="shared" si="10"/>
        <v/>
      </c>
      <c r="K105" s="8" t="str">
        <f t="shared" si="11"/>
        <v/>
      </c>
      <c r="L105" s="8" t="str">
        <f t="shared" si="12"/>
        <v/>
      </c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</row>
    <row r="106" spans="1:63" s="4" customFormat="1" x14ac:dyDescent="0.3">
      <c r="A106" s="17" t="str">
        <f t="shared" si="7"/>
        <v/>
      </c>
      <c r="B106" s="18"/>
      <c r="C106" s="27">
        <f t="shared" si="8"/>
        <v>0</v>
      </c>
      <c r="D106" s="17">
        <f t="shared" si="9"/>
        <v>1</v>
      </c>
      <c r="E106" s="29">
        <f t="shared" si="13"/>
        <v>0</v>
      </c>
      <c r="F106" s="8">
        <f>IFERROR(VLOOKUP(B106,PVSKTC!$A$4:$D$1048576,2,0),0)</f>
        <v>0</v>
      </c>
      <c r="G106" s="8">
        <f>IFERROR(VLOOKUP(B106,PVSKTC!$A$4:$D$1048576,3,0),0)</f>
        <v>0</v>
      </c>
      <c r="H106" s="8">
        <f>IFERROR(VLOOKUP(B106,PVSKTC!$A$4:$D$1048576,4,0),0)</f>
        <v>0</v>
      </c>
      <c r="I106" s="14" t="str">
        <f>IFERROR(IF(E106&gt;0,THTT!E$2,""),"")</f>
        <v/>
      </c>
      <c r="J106" s="15" t="str">
        <f t="shared" si="10"/>
        <v/>
      </c>
      <c r="K106" s="8" t="str">
        <f t="shared" si="11"/>
        <v/>
      </c>
      <c r="L106" s="8" t="str">
        <f t="shared" si="12"/>
        <v/>
      </c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</row>
    <row r="107" spans="1:63" s="4" customFormat="1" x14ac:dyDescent="0.3">
      <c r="A107" s="17" t="str">
        <f t="shared" si="7"/>
        <v/>
      </c>
      <c r="B107" s="18"/>
      <c r="C107" s="27">
        <f t="shared" si="8"/>
        <v>0</v>
      </c>
      <c r="D107" s="17">
        <f t="shared" si="9"/>
        <v>1</v>
      </c>
      <c r="E107" s="29">
        <f t="shared" si="13"/>
        <v>0</v>
      </c>
      <c r="F107" s="8">
        <f>IFERROR(VLOOKUP(B107,PVSKTC!$A$4:$D$1048576,2,0),0)</f>
        <v>0</v>
      </c>
      <c r="G107" s="8">
        <f>IFERROR(VLOOKUP(B107,PVSKTC!$A$4:$D$1048576,3,0),0)</f>
        <v>0</v>
      </c>
      <c r="H107" s="8">
        <f>IFERROR(VLOOKUP(B107,PVSKTC!$A$4:$D$1048576,4,0),0)</f>
        <v>0</v>
      </c>
      <c r="I107" s="14" t="str">
        <f>IFERROR(IF(E107&gt;0,THTT!E$2,""),"")</f>
        <v/>
      </c>
      <c r="J107" s="15" t="str">
        <f t="shared" si="10"/>
        <v/>
      </c>
      <c r="K107" s="8" t="str">
        <f t="shared" si="11"/>
        <v/>
      </c>
      <c r="L107" s="8" t="str">
        <f t="shared" si="12"/>
        <v/>
      </c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</row>
    <row r="108" spans="1:63" s="4" customFormat="1" x14ac:dyDescent="0.3">
      <c r="A108" s="17" t="str">
        <f t="shared" si="7"/>
        <v/>
      </c>
      <c r="B108" s="18"/>
      <c r="C108" s="27">
        <f t="shared" si="8"/>
        <v>0</v>
      </c>
      <c r="D108" s="17">
        <f t="shared" si="9"/>
        <v>1</v>
      </c>
      <c r="E108" s="29">
        <f t="shared" si="13"/>
        <v>0</v>
      </c>
      <c r="F108" s="8">
        <f>IFERROR(VLOOKUP(B108,PVSKTC!$A$4:$D$1048576,2,0),0)</f>
        <v>0</v>
      </c>
      <c r="G108" s="8">
        <f>IFERROR(VLOOKUP(B108,PVSKTC!$A$4:$D$1048576,3,0),0)</f>
        <v>0</v>
      </c>
      <c r="H108" s="8">
        <f>IFERROR(VLOOKUP(B108,PVSKTC!$A$4:$D$1048576,4,0),0)</f>
        <v>0</v>
      </c>
      <c r="I108" s="14" t="str">
        <f>IFERROR(IF(E108&gt;0,THTT!E$2,""),"")</f>
        <v/>
      </c>
      <c r="J108" s="15" t="str">
        <f t="shared" si="10"/>
        <v/>
      </c>
      <c r="K108" s="8" t="str">
        <f t="shared" si="11"/>
        <v/>
      </c>
      <c r="L108" s="8" t="str">
        <f t="shared" si="12"/>
        <v/>
      </c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</row>
    <row r="109" spans="1:63" s="4" customFormat="1" x14ac:dyDescent="0.3">
      <c r="A109" s="17" t="str">
        <f t="shared" si="7"/>
        <v/>
      </c>
      <c r="B109" s="18"/>
      <c r="C109" s="27">
        <f t="shared" si="8"/>
        <v>0</v>
      </c>
      <c r="D109" s="17">
        <f t="shared" si="9"/>
        <v>1</v>
      </c>
      <c r="E109" s="29">
        <f t="shared" si="13"/>
        <v>0</v>
      </c>
      <c r="F109" s="8">
        <f>IFERROR(VLOOKUP(B109,PVSKTC!$A$4:$D$1048576,2,0),0)</f>
        <v>0</v>
      </c>
      <c r="G109" s="8">
        <f>IFERROR(VLOOKUP(B109,PVSKTC!$A$4:$D$1048576,3,0),0)</f>
        <v>0</v>
      </c>
      <c r="H109" s="8">
        <f>IFERROR(VLOOKUP(B109,PVSKTC!$A$4:$D$1048576,4,0),0)</f>
        <v>0</v>
      </c>
      <c r="I109" s="14" t="str">
        <f>IFERROR(IF(E109&gt;0,THTT!E$2,""),"")</f>
        <v/>
      </c>
      <c r="J109" s="15" t="str">
        <f t="shared" si="10"/>
        <v/>
      </c>
      <c r="K109" s="8" t="str">
        <f t="shared" si="11"/>
        <v/>
      </c>
      <c r="L109" s="8" t="str">
        <f t="shared" si="12"/>
        <v/>
      </c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</row>
    <row r="110" spans="1:63" s="4" customFormat="1" x14ac:dyDescent="0.3">
      <c r="A110" s="17" t="str">
        <f t="shared" si="7"/>
        <v/>
      </c>
      <c r="B110" s="18"/>
      <c r="C110" s="27">
        <f t="shared" si="8"/>
        <v>0</v>
      </c>
      <c r="D110" s="17">
        <f t="shared" si="9"/>
        <v>1</v>
      </c>
      <c r="E110" s="29">
        <f t="shared" si="13"/>
        <v>0</v>
      </c>
      <c r="F110" s="8">
        <f>IFERROR(VLOOKUP(B110,PVSKTC!$A$4:$D$1048576,2,0),0)</f>
        <v>0</v>
      </c>
      <c r="G110" s="8">
        <f>IFERROR(VLOOKUP(B110,PVSKTC!$A$4:$D$1048576,3,0),0)</f>
        <v>0</v>
      </c>
      <c r="H110" s="8">
        <f>IFERROR(VLOOKUP(B110,PVSKTC!$A$4:$D$1048576,4,0),0)</f>
        <v>0</v>
      </c>
      <c r="I110" s="14" t="str">
        <f>IFERROR(IF(E110&gt;0,THTT!E$2,""),"")</f>
        <v/>
      </c>
      <c r="J110" s="15" t="str">
        <f t="shared" si="10"/>
        <v/>
      </c>
      <c r="K110" s="8" t="str">
        <f t="shared" si="11"/>
        <v/>
      </c>
      <c r="L110" s="8" t="str">
        <f t="shared" si="12"/>
        <v/>
      </c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</row>
    <row r="111" spans="1:63" s="4" customFormat="1" x14ac:dyDescent="0.3">
      <c r="A111" s="17" t="str">
        <f t="shared" si="7"/>
        <v/>
      </c>
      <c r="B111" s="18"/>
      <c r="C111" s="27">
        <f t="shared" si="8"/>
        <v>0</v>
      </c>
      <c r="D111" s="17">
        <f t="shared" si="9"/>
        <v>1</v>
      </c>
      <c r="E111" s="29">
        <f t="shared" si="13"/>
        <v>0</v>
      </c>
      <c r="F111" s="8">
        <f>IFERROR(VLOOKUP(B111,PVSKTC!$A$4:$D$1048576,2,0),0)</f>
        <v>0</v>
      </c>
      <c r="G111" s="8">
        <f>IFERROR(VLOOKUP(B111,PVSKTC!$A$4:$D$1048576,3,0),0)</f>
        <v>0</v>
      </c>
      <c r="H111" s="8">
        <f>IFERROR(VLOOKUP(B111,PVSKTC!$A$4:$D$1048576,4,0),0)</f>
        <v>0</v>
      </c>
      <c r="I111" s="14" t="str">
        <f>IFERROR(IF(E111&gt;0,THTT!E$2,""),"")</f>
        <v/>
      </c>
      <c r="J111" s="15" t="str">
        <f t="shared" si="10"/>
        <v/>
      </c>
      <c r="K111" s="8" t="str">
        <f t="shared" si="11"/>
        <v/>
      </c>
      <c r="L111" s="8" t="str">
        <f t="shared" si="12"/>
        <v/>
      </c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</row>
    <row r="112" spans="1:63" s="4" customFormat="1" x14ac:dyDescent="0.3">
      <c r="A112" s="17" t="str">
        <f t="shared" si="7"/>
        <v/>
      </c>
      <c r="B112" s="18"/>
      <c r="C112" s="27">
        <f t="shared" si="8"/>
        <v>0</v>
      </c>
      <c r="D112" s="17">
        <f t="shared" si="9"/>
        <v>1</v>
      </c>
      <c r="E112" s="29">
        <f t="shared" si="13"/>
        <v>0</v>
      </c>
      <c r="F112" s="8">
        <f>IFERROR(VLOOKUP(B112,PVSKTC!$A$4:$D$1048576,2,0),0)</f>
        <v>0</v>
      </c>
      <c r="G112" s="8">
        <f>IFERROR(VLOOKUP(B112,PVSKTC!$A$4:$D$1048576,3,0),0)</f>
        <v>0</v>
      </c>
      <c r="H112" s="8">
        <f>IFERROR(VLOOKUP(B112,PVSKTC!$A$4:$D$1048576,4,0),0)</f>
        <v>0</v>
      </c>
      <c r="I112" s="14" t="str">
        <f>IFERROR(IF(E112&gt;0,THTT!E$2,""),"")</f>
        <v/>
      </c>
      <c r="J112" s="15" t="str">
        <f t="shared" si="10"/>
        <v/>
      </c>
      <c r="K112" s="8" t="str">
        <f t="shared" si="11"/>
        <v/>
      </c>
      <c r="L112" s="8" t="str">
        <f t="shared" si="12"/>
        <v/>
      </c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</row>
    <row r="113" spans="1:63" s="4" customFormat="1" x14ac:dyDescent="0.3">
      <c r="A113" s="17" t="str">
        <f t="shared" si="7"/>
        <v/>
      </c>
      <c r="B113" s="18"/>
      <c r="C113" s="27">
        <f t="shared" si="8"/>
        <v>0</v>
      </c>
      <c r="D113" s="17">
        <f t="shared" si="9"/>
        <v>1</v>
      </c>
      <c r="E113" s="29">
        <f t="shared" si="13"/>
        <v>0</v>
      </c>
      <c r="F113" s="8">
        <f>IFERROR(VLOOKUP(B113,PVSKTC!$A$4:$D$1048576,2,0),0)</f>
        <v>0</v>
      </c>
      <c r="G113" s="8">
        <f>IFERROR(VLOOKUP(B113,PVSKTC!$A$4:$D$1048576,3,0),0)</f>
        <v>0</v>
      </c>
      <c r="H113" s="8">
        <f>IFERROR(VLOOKUP(B113,PVSKTC!$A$4:$D$1048576,4,0),0)</f>
        <v>0</v>
      </c>
      <c r="I113" s="14" t="str">
        <f>IFERROR(IF(E113&gt;0,THTT!E$2,""),"")</f>
        <v/>
      </c>
      <c r="J113" s="15" t="str">
        <f t="shared" si="10"/>
        <v/>
      </c>
      <c r="K113" s="8" t="str">
        <f t="shared" si="11"/>
        <v/>
      </c>
      <c r="L113" s="8" t="str">
        <f t="shared" si="12"/>
        <v/>
      </c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</row>
    <row r="114" spans="1:63" s="4" customFormat="1" x14ac:dyDescent="0.3">
      <c r="A114" s="17" t="str">
        <f t="shared" si="7"/>
        <v/>
      </c>
      <c r="B114" s="18"/>
      <c r="C114" s="27">
        <f t="shared" si="8"/>
        <v>0</v>
      </c>
      <c r="D114" s="17">
        <f t="shared" si="9"/>
        <v>1</v>
      </c>
      <c r="E114" s="29">
        <f t="shared" si="13"/>
        <v>0</v>
      </c>
      <c r="F114" s="8">
        <f>IFERROR(VLOOKUP(B114,PVSKTC!$A$4:$D$1048576,2,0),0)</f>
        <v>0</v>
      </c>
      <c r="G114" s="8">
        <f>IFERROR(VLOOKUP(B114,PVSKTC!$A$4:$D$1048576,3,0),0)</f>
        <v>0</v>
      </c>
      <c r="H114" s="8">
        <f>IFERROR(VLOOKUP(B114,PVSKTC!$A$4:$D$1048576,4,0),0)</f>
        <v>0</v>
      </c>
      <c r="I114" s="14" t="str">
        <f>IFERROR(IF(E114&gt;0,THTT!E$2,""),"")</f>
        <v/>
      </c>
      <c r="J114" s="15" t="str">
        <f t="shared" si="10"/>
        <v/>
      </c>
      <c r="K114" s="8" t="str">
        <f t="shared" si="11"/>
        <v/>
      </c>
      <c r="L114" s="8" t="str">
        <f t="shared" si="12"/>
        <v/>
      </c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</row>
    <row r="115" spans="1:63" s="4" customFormat="1" x14ac:dyDescent="0.3">
      <c r="A115" s="17" t="str">
        <f t="shared" si="7"/>
        <v/>
      </c>
      <c r="B115" s="18"/>
      <c r="C115" s="27">
        <f t="shared" si="8"/>
        <v>0</v>
      </c>
      <c r="D115" s="17">
        <f t="shared" si="9"/>
        <v>1</v>
      </c>
      <c r="E115" s="29">
        <f t="shared" si="13"/>
        <v>0</v>
      </c>
      <c r="F115" s="8">
        <f>IFERROR(VLOOKUP(B115,PVSKTC!$A$4:$D$1048576,2,0),0)</f>
        <v>0</v>
      </c>
      <c r="G115" s="8">
        <f>IFERROR(VLOOKUP(B115,PVSKTC!$A$4:$D$1048576,3,0),0)</f>
        <v>0</v>
      </c>
      <c r="H115" s="8">
        <f>IFERROR(VLOOKUP(B115,PVSKTC!$A$4:$D$1048576,4,0),0)</f>
        <v>0</v>
      </c>
      <c r="I115" s="14" t="str">
        <f>IFERROR(IF(E115&gt;0,THTT!E$2,""),"")</f>
        <v/>
      </c>
      <c r="J115" s="15" t="str">
        <f t="shared" si="10"/>
        <v/>
      </c>
      <c r="K115" s="8" t="str">
        <f t="shared" si="11"/>
        <v/>
      </c>
      <c r="L115" s="8" t="str">
        <f t="shared" si="12"/>
        <v/>
      </c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</row>
    <row r="116" spans="1:63" s="4" customFormat="1" x14ac:dyDescent="0.3">
      <c r="A116" s="17" t="str">
        <f t="shared" si="7"/>
        <v/>
      </c>
      <c r="B116" s="18"/>
      <c r="C116" s="27">
        <f t="shared" si="8"/>
        <v>0</v>
      </c>
      <c r="D116" s="17">
        <f t="shared" si="9"/>
        <v>1</v>
      </c>
      <c r="E116" s="29">
        <f t="shared" si="13"/>
        <v>0</v>
      </c>
      <c r="F116" s="8">
        <f>IFERROR(VLOOKUP(B116,PVSKTC!$A$4:$D$1048576,2,0),0)</f>
        <v>0</v>
      </c>
      <c r="G116" s="8">
        <f>IFERROR(VLOOKUP(B116,PVSKTC!$A$4:$D$1048576,3,0),0)</f>
        <v>0</v>
      </c>
      <c r="H116" s="8">
        <f>IFERROR(VLOOKUP(B116,PVSKTC!$A$4:$D$1048576,4,0),0)</f>
        <v>0</v>
      </c>
      <c r="I116" s="14" t="str">
        <f>IFERROR(IF(E116&gt;0,THTT!E$2,""),"")</f>
        <v/>
      </c>
      <c r="J116" s="15" t="str">
        <f t="shared" si="10"/>
        <v/>
      </c>
      <c r="K116" s="8" t="str">
        <f t="shared" si="11"/>
        <v/>
      </c>
      <c r="L116" s="8" t="str">
        <f t="shared" si="12"/>
        <v/>
      </c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</row>
    <row r="117" spans="1:63" s="4" customFormat="1" x14ac:dyDescent="0.3">
      <c r="A117" s="17" t="str">
        <f t="shared" si="7"/>
        <v/>
      </c>
      <c r="B117" s="18"/>
      <c r="C117" s="27">
        <f t="shared" si="8"/>
        <v>0</v>
      </c>
      <c r="D117" s="17">
        <f t="shared" si="9"/>
        <v>1</v>
      </c>
      <c r="E117" s="29">
        <f t="shared" si="13"/>
        <v>0</v>
      </c>
      <c r="F117" s="8">
        <f>IFERROR(VLOOKUP(B117,PVSKTC!$A$4:$D$1048576,2,0),0)</f>
        <v>0</v>
      </c>
      <c r="G117" s="8">
        <f>IFERROR(VLOOKUP(B117,PVSKTC!$A$4:$D$1048576,3,0),0)</f>
        <v>0</v>
      </c>
      <c r="H117" s="8">
        <f>IFERROR(VLOOKUP(B117,PVSKTC!$A$4:$D$1048576,4,0),0)</f>
        <v>0</v>
      </c>
      <c r="I117" s="14" t="str">
        <f>IFERROR(IF(E117&gt;0,THTT!E$2,""),"")</f>
        <v/>
      </c>
      <c r="J117" s="15" t="str">
        <f t="shared" si="10"/>
        <v/>
      </c>
      <c r="K117" s="8" t="str">
        <f t="shared" si="11"/>
        <v/>
      </c>
      <c r="L117" s="8" t="str">
        <f t="shared" si="12"/>
        <v/>
      </c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</row>
    <row r="118" spans="1:63" s="4" customFormat="1" x14ac:dyDescent="0.3">
      <c r="A118" s="17" t="str">
        <f t="shared" si="7"/>
        <v/>
      </c>
      <c r="B118" s="18"/>
      <c r="C118" s="27">
        <f t="shared" si="8"/>
        <v>0</v>
      </c>
      <c r="D118" s="17">
        <f t="shared" si="9"/>
        <v>1</v>
      </c>
      <c r="E118" s="29">
        <f t="shared" si="13"/>
        <v>0</v>
      </c>
      <c r="F118" s="8">
        <f>IFERROR(VLOOKUP(B118,PVSKTC!$A$4:$D$1048576,2,0),0)</f>
        <v>0</v>
      </c>
      <c r="G118" s="8">
        <f>IFERROR(VLOOKUP(B118,PVSKTC!$A$4:$D$1048576,3,0),0)</f>
        <v>0</v>
      </c>
      <c r="H118" s="8">
        <f>IFERROR(VLOOKUP(B118,PVSKTC!$A$4:$D$1048576,4,0),0)</f>
        <v>0</v>
      </c>
      <c r="I118" s="14" t="str">
        <f>IFERROR(IF(E118&gt;0,THTT!E$2,""),"")</f>
        <v/>
      </c>
      <c r="J118" s="15" t="str">
        <f t="shared" si="10"/>
        <v/>
      </c>
      <c r="K118" s="8" t="str">
        <f t="shared" si="11"/>
        <v/>
      </c>
      <c r="L118" s="8" t="str">
        <f t="shared" si="12"/>
        <v/>
      </c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</row>
    <row r="119" spans="1:63" s="4" customFormat="1" x14ac:dyDescent="0.3">
      <c r="A119" s="17" t="str">
        <f t="shared" si="7"/>
        <v/>
      </c>
      <c r="B119" s="18"/>
      <c r="C119" s="27">
        <f t="shared" si="8"/>
        <v>0</v>
      </c>
      <c r="D119" s="17">
        <f t="shared" si="9"/>
        <v>1</v>
      </c>
      <c r="E119" s="29">
        <f t="shared" si="13"/>
        <v>0</v>
      </c>
      <c r="F119" s="8">
        <f>IFERROR(VLOOKUP(B119,PVSKTC!$A$4:$D$1048576,2,0),0)</f>
        <v>0</v>
      </c>
      <c r="G119" s="8">
        <f>IFERROR(VLOOKUP(B119,PVSKTC!$A$4:$D$1048576,3,0),0)</f>
        <v>0</v>
      </c>
      <c r="H119" s="8">
        <f>IFERROR(VLOOKUP(B119,PVSKTC!$A$4:$D$1048576,4,0),0)</f>
        <v>0</v>
      </c>
      <c r="I119" s="14" t="str">
        <f>IFERROR(IF(E119&gt;0,THTT!E$2,""),"")</f>
        <v/>
      </c>
      <c r="J119" s="15" t="str">
        <f t="shared" si="10"/>
        <v/>
      </c>
      <c r="K119" s="8" t="str">
        <f t="shared" si="11"/>
        <v/>
      </c>
      <c r="L119" s="8" t="str">
        <f t="shared" si="12"/>
        <v/>
      </c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</row>
    <row r="120" spans="1:63" s="4" customFormat="1" x14ac:dyDescent="0.3">
      <c r="A120" s="17" t="str">
        <f t="shared" si="7"/>
        <v/>
      </c>
      <c r="B120" s="18"/>
      <c r="C120" s="27">
        <f t="shared" si="8"/>
        <v>0</v>
      </c>
      <c r="D120" s="17">
        <f t="shared" si="9"/>
        <v>1</v>
      </c>
      <c r="E120" s="29">
        <f t="shared" si="13"/>
        <v>0</v>
      </c>
      <c r="F120" s="8">
        <f>IFERROR(VLOOKUP(B120,PVSKTC!$A$4:$D$1048576,2,0),0)</f>
        <v>0</v>
      </c>
      <c r="G120" s="8">
        <f>IFERROR(VLOOKUP(B120,PVSKTC!$A$4:$D$1048576,3,0),0)</f>
        <v>0</v>
      </c>
      <c r="H120" s="8">
        <f>IFERROR(VLOOKUP(B120,PVSKTC!$A$4:$D$1048576,4,0),0)</f>
        <v>0</v>
      </c>
      <c r="I120" s="14" t="str">
        <f>IFERROR(IF(E120&gt;0,THTT!E$2,""),"")</f>
        <v/>
      </c>
      <c r="J120" s="15" t="str">
        <f t="shared" si="10"/>
        <v/>
      </c>
      <c r="K120" s="8" t="str">
        <f t="shared" si="11"/>
        <v/>
      </c>
      <c r="L120" s="8" t="str">
        <f t="shared" si="12"/>
        <v/>
      </c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</row>
    <row r="121" spans="1:63" s="4" customFormat="1" x14ac:dyDescent="0.3">
      <c r="A121" s="17" t="str">
        <f t="shared" si="7"/>
        <v/>
      </c>
      <c r="B121" s="18"/>
      <c r="C121" s="27">
        <f t="shared" si="8"/>
        <v>0</v>
      </c>
      <c r="D121" s="17">
        <f t="shared" si="9"/>
        <v>1</v>
      </c>
      <c r="E121" s="29">
        <f t="shared" si="13"/>
        <v>0</v>
      </c>
      <c r="F121" s="8">
        <f>IFERROR(VLOOKUP(B121,PVSKTC!$A$4:$D$1048576,2,0),0)</f>
        <v>0</v>
      </c>
      <c r="G121" s="8">
        <f>IFERROR(VLOOKUP(B121,PVSKTC!$A$4:$D$1048576,3,0),0)</f>
        <v>0</v>
      </c>
      <c r="H121" s="8">
        <f>IFERROR(VLOOKUP(B121,PVSKTC!$A$4:$D$1048576,4,0),0)</f>
        <v>0</v>
      </c>
      <c r="I121" s="14" t="str">
        <f>IFERROR(IF(E121&gt;0,THTT!E$2,""),"")</f>
        <v/>
      </c>
      <c r="J121" s="15" t="str">
        <f t="shared" si="10"/>
        <v/>
      </c>
      <c r="K121" s="8" t="str">
        <f t="shared" si="11"/>
        <v/>
      </c>
      <c r="L121" s="8" t="str">
        <f t="shared" si="12"/>
        <v/>
      </c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</row>
    <row r="122" spans="1:63" s="4" customFormat="1" x14ac:dyDescent="0.3">
      <c r="A122" s="17" t="str">
        <f t="shared" si="7"/>
        <v/>
      </c>
      <c r="B122" s="18"/>
      <c r="C122" s="27">
        <f t="shared" si="8"/>
        <v>0</v>
      </c>
      <c r="D122" s="17">
        <f t="shared" si="9"/>
        <v>1</v>
      </c>
      <c r="E122" s="29">
        <f t="shared" si="13"/>
        <v>0</v>
      </c>
      <c r="F122" s="8">
        <f>IFERROR(VLOOKUP(B122,PVSKTC!$A$4:$D$1048576,2,0),0)</f>
        <v>0</v>
      </c>
      <c r="G122" s="8">
        <f>IFERROR(VLOOKUP(B122,PVSKTC!$A$4:$D$1048576,3,0),0)</f>
        <v>0</v>
      </c>
      <c r="H122" s="8">
        <f>IFERROR(VLOOKUP(B122,PVSKTC!$A$4:$D$1048576,4,0),0)</f>
        <v>0</v>
      </c>
      <c r="I122" s="14" t="str">
        <f>IFERROR(IF(E122&gt;0,THTT!E$2,""),"")</f>
        <v/>
      </c>
      <c r="J122" s="15" t="str">
        <f t="shared" si="10"/>
        <v/>
      </c>
      <c r="K122" s="8" t="str">
        <f t="shared" si="11"/>
        <v/>
      </c>
      <c r="L122" s="8" t="str">
        <f t="shared" si="12"/>
        <v/>
      </c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</row>
    <row r="123" spans="1:63" s="4" customFormat="1" x14ac:dyDescent="0.3">
      <c r="A123" s="17" t="str">
        <f t="shared" si="7"/>
        <v/>
      </c>
      <c r="B123" s="18"/>
      <c r="C123" s="27">
        <f t="shared" si="8"/>
        <v>0</v>
      </c>
      <c r="D123" s="17">
        <f t="shared" si="9"/>
        <v>1</v>
      </c>
      <c r="E123" s="29">
        <f t="shared" si="13"/>
        <v>0</v>
      </c>
      <c r="F123" s="8">
        <f>IFERROR(VLOOKUP(B123,PVSKTC!$A$4:$D$1048576,2,0),0)</f>
        <v>0</v>
      </c>
      <c r="G123" s="8">
        <f>IFERROR(VLOOKUP(B123,PVSKTC!$A$4:$D$1048576,3,0),0)</f>
        <v>0</v>
      </c>
      <c r="H123" s="8">
        <f>IFERROR(VLOOKUP(B123,PVSKTC!$A$4:$D$1048576,4,0),0)</f>
        <v>0</v>
      </c>
      <c r="I123" s="14" t="str">
        <f>IFERROR(IF(E123&gt;0,THTT!E$2,""),"")</f>
        <v/>
      </c>
      <c r="J123" s="15" t="str">
        <f t="shared" si="10"/>
        <v/>
      </c>
      <c r="K123" s="8" t="str">
        <f t="shared" si="11"/>
        <v/>
      </c>
      <c r="L123" s="8" t="str">
        <f t="shared" si="12"/>
        <v/>
      </c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</row>
    <row r="124" spans="1:63" s="4" customFormat="1" x14ac:dyDescent="0.3">
      <c r="A124" s="17" t="str">
        <f t="shared" si="7"/>
        <v/>
      </c>
      <c r="B124" s="18"/>
      <c r="C124" s="27">
        <f t="shared" si="8"/>
        <v>0</v>
      </c>
      <c r="D124" s="17">
        <f t="shared" si="9"/>
        <v>1</v>
      </c>
      <c r="E124" s="29">
        <f t="shared" si="13"/>
        <v>0</v>
      </c>
      <c r="F124" s="8">
        <f>IFERROR(VLOOKUP(B124,PVSKTC!$A$4:$D$1048576,2,0),0)</f>
        <v>0</v>
      </c>
      <c r="G124" s="8">
        <f>IFERROR(VLOOKUP(B124,PVSKTC!$A$4:$D$1048576,3,0),0)</f>
        <v>0</v>
      </c>
      <c r="H124" s="8">
        <f>IFERROR(VLOOKUP(B124,PVSKTC!$A$4:$D$1048576,4,0),0)</f>
        <v>0</v>
      </c>
      <c r="I124" s="14" t="str">
        <f>IFERROR(IF(E124&gt;0,THTT!E$2,""),"")</f>
        <v/>
      </c>
      <c r="J124" s="15" t="str">
        <f t="shared" si="10"/>
        <v/>
      </c>
      <c r="K124" s="8" t="str">
        <f t="shared" si="11"/>
        <v/>
      </c>
      <c r="L124" s="8" t="str">
        <f t="shared" si="12"/>
        <v/>
      </c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</row>
    <row r="125" spans="1:63" s="4" customFormat="1" x14ac:dyDescent="0.3">
      <c r="A125" s="17" t="str">
        <f t="shared" si="7"/>
        <v/>
      </c>
      <c r="B125" s="18"/>
      <c r="C125" s="27">
        <f t="shared" si="8"/>
        <v>0</v>
      </c>
      <c r="D125" s="17">
        <f t="shared" si="9"/>
        <v>1</v>
      </c>
      <c r="E125" s="29">
        <f t="shared" si="13"/>
        <v>0</v>
      </c>
      <c r="F125" s="8">
        <f>IFERROR(VLOOKUP(B125,PVSKTC!$A$4:$D$1048576,2,0),0)</f>
        <v>0</v>
      </c>
      <c r="G125" s="8">
        <f>IFERROR(VLOOKUP(B125,PVSKTC!$A$4:$D$1048576,3,0),0)</f>
        <v>0</v>
      </c>
      <c r="H125" s="8">
        <f>IFERROR(VLOOKUP(B125,PVSKTC!$A$4:$D$1048576,4,0),0)</f>
        <v>0</v>
      </c>
      <c r="I125" s="14" t="str">
        <f>IFERROR(IF(E125&gt;0,THTT!E$2,""),"")</f>
        <v/>
      </c>
      <c r="J125" s="15" t="str">
        <f t="shared" si="10"/>
        <v/>
      </c>
      <c r="K125" s="8" t="str">
        <f t="shared" si="11"/>
        <v/>
      </c>
      <c r="L125" s="8" t="str">
        <f t="shared" si="12"/>
        <v/>
      </c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</row>
    <row r="126" spans="1:63" s="4" customFormat="1" x14ac:dyDescent="0.3">
      <c r="A126" s="17" t="str">
        <f t="shared" si="7"/>
        <v/>
      </c>
      <c r="B126" s="18"/>
      <c r="C126" s="27">
        <f t="shared" si="8"/>
        <v>0</v>
      </c>
      <c r="D126" s="17">
        <f t="shared" si="9"/>
        <v>1</v>
      </c>
      <c r="E126" s="29">
        <f t="shared" si="13"/>
        <v>0</v>
      </c>
      <c r="F126" s="8">
        <f>IFERROR(VLOOKUP(B126,PVSKTC!$A$4:$D$1048576,2,0),0)</f>
        <v>0</v>
      </c>
      <c r="G126" s="8">
        <f>IFERROR(VLOOKUP(B126,PVSKTC!$A$4:$D$1048576,3,0),0)</f>
        <v>0</v>
      </c>
      <c r="H126" s="8">
        <f>IFERROR(VLOOKUP(B126,PVSKTC!$A$4:$D$1048576,4,0),0)</f>
        <v>0</v>
      </c>
      <c r="I126" s="14" t="str">
        <f>IFERROR(IF(E126&gt;0,THTT!E$2,""),"")</f>
        <v/>
      </c>
      <c r="J126" s="15" t="str">
        <f t="shared" si="10"/>
        <v/>
      </c>
      <c r="K126" s="8" t="str">
        <f t="shared" si="11"/>
        <v/>
      </c>
      <c r="L126" s="8" t="str">
        <f t="shared" si="12"/>
        <v/>
      </c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</row>
    <row r="127" spans="1:63" s="4" customFormat="1" x14ac:dyDescent="0.3">
      <c r="A127" s="17" t="str">
        <f t="shared" si="7"/>
        <v/>
      </c>
      <c r="B127" s="18"/>
      <c r="C127" s="27">
        <f t="shared" si="8"/>
        <v>0</v>
      </c>
      <c r="D127" s="17">
        <f t="shared" si="9"/>
        <v>1</v>
      </c>
      <c r="E127" s="29">
        <f t="shared" si="13"/>
        <v>0</v>
      </c>
      <c r="F127" s="8">
        <f>IFERROR(VLOOKUP(B127,PVSKTC!$A$4:$D$1048576,2,0),0)</f>
        <v>0</v>
      </c>
      <c r="G127" s="8">
        <f>IFERROR(VLOOKUP(B127,PVSKTC!$A$4:$D$1048576,3,0),0)</f>
        <v>0</v>
      </c>
      <c r="H127" s="8">
        <f>IFERROR(VLOOKUP(B127,PVSKTC!$A$4:$D$1048576,4,0),0)</f>
        <v>0</v>
      </c>
      <c r="I127" s="14" t="str">
        <f>IFERROR(IF(E127&gt;0,THTT!E$2,""),"")</f>
        <v/>
      </c>
      <c r="J127" s="15" t="str">
        <f t="shared" si="10"/>
        <v/>
      </c>
      <c r="K127" s="8" t="str">
        <f t="shared" si="11"/>
        <v/>
      </c>
      <c r="L127" s="8" t="str">
        <f t="shared" si="12"/>
        <v/>
      </c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</row>
    <row r="128" spans="1:63" s="4" customFormat="1" x14ac:dyDescent="0.3">
      <c r="A128" s="17" t="str">
        <f t="shared" si="7"/>
        <v/>
      </c>
      <c r="B128" s="18"/>
      <c r="C128" s="27">
        <f t="shared" si="8"/>
        <v>0</v>
      </c>
      <c r="D128" s="17">
        <f t="shared" si="9"/>
        <v>1</v>
      </c>
      <c r="E128" s="29">
        <f t="shared" si="13"/>
        <v>0</v>
      </c>
      <c r="F128" s="8">
        <f>IFERROR(VLOOKUP(B128,PVSKTC!$A$4:$D$1048576,2,0),0)</f>
        <v>0</v>
      </c>
      <c r="G128" s="8">
        <f>IFERROR(VLOOKUP(B128,PVSKTC!$A$4:$D$1048576,3,0),0)</f>
        <v>0</v>
      </c>
      <c r="H128" s="8">
        <f>IFERROR(VLOOKUP(B128,PVSKTC!$A$4:$D$1048576,4,0),0)</f>
        <v>0</v>
      </c>
      <c r="I128" s="14" t="str">
        <f>IFERROR(IF(E128&gt;0,THTT!E$2,""),"")</f>
        <v/>
      </c>
      <c r="J128" s="15" t="str">
        <f t="shared" si="10"/>
        <v/>
      </c>
      <c r="K128" s="8" t="str">
        <f t="shared" si="11"/>
        <v/>
      </c>
      <c r="L128" s="8" t="str">
        <f t="shared" si="12"/>
        <v/>
      </c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</row>
    <row r="129" spans="1:63" s="4" customFormat="1" x14ac:dyDescent="0.3">
      <c r="A129" s="17" t="str">
        <f t="shared" si="7"/>
        <v/>
      </c>
      <c r="B129" s="18"/>
      <c r="C129" s="27">
        <f t="shared" si="8"/>
        <v>0</v>
      </c>
      <c r="D129" s="17">
        <f t="shared" si="9"/>
        <v>1</v>
      </c>
      <c r="E129" s="29">
        <f t="shared" si="13"/>
        <v>0</v>
      </c>
      <c r="F129" s="8">
        <f>IFERROR(VLOOKUP(B129,PVSKTC!$A$4:$D$1048576,2,0),0)</f>
        <v>0</v>
      </c>
      <c r="G129" s="8">
        <f>IFERROR(VLOOKUP(B129,PVSKTC!$A$4:$D$1048576,3,0),0)</f>
        <v>0</v>
      </c>
      <c r="H129" s="8">
        <f>IFERROR(VLOOKUP(B129,PVSKTC!$A$4:$D$1048576,4,0),0)</f>
        <v>0</v>
      </c>
      <c r="I129" s="14" t="str">
        <f>IFERROR(IF(E129&gt;0,THTT!E$2,""),"")</f>
        <v/>
      </c>
      <c r="J129" s="15" t="str">
        <f t="shared" si="10"/>
        <v/>
      </c>
      <c r="K129" s="8" t="str">
        <f t="shared" si="11"/>
        <v/>
      </c>
      <c r="L129" s="8" t="str">
        <f t="shared" si="12"/>
        <v/>
      </c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</row>
    <row r="130" spans="1:63" s="4" customFormat="1" x14ac:dyDescent="0.3">
      <c r="A130" s="17" t="str">
        <f t="shared" si="7"/>
        <v/>
      </c>
      <c r="B130" s="18"/>
      <c r="C130" s="27">
        <f t="shared" si="8"/>
        <v>0</v>
      </c>
      <c r="D130" s="17">
        <f t="shared" si="9"/>
        <v>1</v>
      </c>
      <c r="E130" s="29">
        <f t="shared" si="13"/>
        <v>0</v>
      </c>
      <c r="F130" s="8">
        <f>IFERROR(VLOOKUP(B130,PVSKTC!$A$4:$D$1048576,2,0),0)</f>
        <v>0</v>
      </c>
      <c r="G130" s="8">
        <f>IFERROR(VLOOKUP(B130,PVSKTC!$A$4:$D$1048576,3,0),0)</f>
        <v>0</v>
      </c>
      <c r="H130" s="8">
        <f>IFERROR(VLOOKUP(B130,PVSKTC!$A$4:$D$1048576,4,0),0)</f>
        <v>0</v>
      </c>
      <c r="I130" s="14" t="str">
        <f>IFERROR(IF(E130&gt;0,THTT!E$2,""),"")</f>
        <v/>
      </c>
      <c r="J130" s="15" t="str">
        <f t="shared" si="10"/>
        <v/>
      </c>
      <c r="K130" s="8" t="str">
        <f t="shared" si="11"/>
        <v/>
      </c>
      <c r="L130" s="8" t="str">
        <f t="shared" si="12"/>
        <v/>
      </c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</row>
    <row r="131" spans="1:63" s="4" customFormat="1" x14ac:dyDescent="0.3">
      <c r="A131" s="17" t="str">
        <f t="shared" si="7"/>
        <v/>
      </c>
      <c r="B131" s="18"/>
      <c r="C131" s="27">
        <f t="shared" si="8"/>
        <v>0</v>
      </c>
      <c r="D131" s="17">
        <f t="shared" si="9"/>
        <v>1</v>
      </c>
      <c r="E131" s="29">
        <f t="shared" si="13"/>
        <v>0</v>
      </c>
      <c r="F131" s="8">
        <f>IFERROR(VLOOKUP(B131,PVSKTC!$A$4:$D$1048576,2,0),0)</f>
        <v>0</v>
      </c>
      <c r="G131" s="8">
        <f>IFERROR(VLOOKUP(B131,PVSKTC!$A$4:$D$1048576,3,0),0)</f>
        <v>0</v>
      </c>
      <c r="H131" s="8">
        <f>IFERROR(VLOOKUP(B131,PVSKTC!$A$4:$D$1048576,4,0),0)</f>
        <v>0</v>
      </c>
      <c r="I131" s="14" t="str">
        <f>IFERROR(IF(E131&gt;0,THTT!E$2,""),"")</f>
        <v/>
      </c>
      <c r="J131" s="15" t="str">
        <f t="shared" si="10"/>
        <v/>
      </c>
      <c r="K131" s="8" t="str">
        <f t="shared" si="11"/>
        <v/>
      </c>
      <c r="L131" s="8" t="str">
        <f t="shared" si="12"/>
        <v/>
      </c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</row>
    <row r="132" spans="1:63" s="4" customFormat="1" x14ac:dyDescent="0.3">
      <c r="A132" s="17" t="str">
        <f t="shared" si="7"/>
        <v/>
      </c>
      <c r="B132" s="18"/>
      <c r="C132" s="27">
        <f t="shared" si="8"/>
        <v>0</v>
      </c>
      <c r="D132" s="17">
        <f t="shared" si="9"/>
        <v>1</v>
      </c>
      <c r="E132" s="29">
        <f t="shared" si="13"/>
        <v>0</v>
      </c>
      <c r="F132" s="8">
        <f>IFERROR(VLOOKUP(B132,PVSKTC!$A$4:$D$1048576,2,0),0)</f>
        <v>0</v>
      </c>
      <c r="G132" s="8">
        <f>IFERROR(VLOOKUP(B132,PVSKTC!$A$4:$D$1048576,3,0),0)</f>
        <v>0</v>
      </c>
      <c r="H132" s="8">
        <f>IFERROR(VLOOKUP(B132,PVSKTC!$A$4:$D$1048576,4,0),0)</f>
        <v>0</v>
      </c>
      <c r="I132" s="14" t="str">
        <f>IFERROR(IF(E132&gt;0,THTT!E$2,""),"")</f>
        <v/>
      </c>
      <c r="J132" s="15" t="str">
        <f t="shared" si="10"/>
        <v/>
      </c>
      <c r="K132" s="8" t="str">
        <f t="shared" si="11"/>
        <v/>
      </c>
      <c r="L132" s="8" t="str">
        <f t="shared" si="12"/>
        <v/>
      </c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</row>
    <row r="133" spans="1:63" s="4" customFormat="1" x14ac:dyDescent="0.3">
      <c r="A133" s="17" t="str">
        <f t="shared" si="7"/>
        <v/>
      </c>
      <c r="B133" s="18"/>
      <c r="C133" s="27">
        <f t="shared" si="8"/>
        <v>0</v>
      </c>
      <c r="D133" s="17">
        <f t="shared" si="9"/>
        <v>1</v>
      </c>
      <c r="E133" s="29">
        <f t="shared" si="13"/>
        <v>0</v>
      </c>
      <c r="F133" s="8">
        <f>IFERROR(VLOOKUP(B133,PVSKTC!$A$4:$D$1048576,2,0),0)</f>
        <v>0</v>
      </c>
      <c r="G133" s="8">
        <f>IFERROR(VLOOKUP(B133,PVSKTC!$A$4:$D$1048576,3,0),0)</f>
        <v>0</v>
      </c>
      <c r="H133" s="8">
        <f>IFERROR(VLOOKUP(B133,PVSKTC!$A$4:$D$1048576,4,0),0)</f>
        <v>0</v>
      </c>
      <c r="I133" s="14" t="str">
        <f>IFERROR(IF(E133&gt;0,THTT!E$2,""),"")</f>
        <v/>
      </c>
      <c r="J133" s="15" t="str">
        <f t="shared" si="10"/>
        <v/>
      </c>
      <c r="K133" s="8" t="str">
        <f t="shared" si="11"/>
        <v/>
      </c>
      <c r="L133" s="8" t="str">
        <f t="shared" si="12"/>
        <v/>
      </c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</row>
    <row r="134" spans="1:63" s="4" customFormat="1" x14ac:dyDescent="0.3">
      <c r="A134" s="17" t="str">
        <f t="shared" si="7"/>
        <v/>
      </c>
      <c r="B134" s="18"/>
      <c r="C134" s="27">
        <f t="shared" si="8"/>
        <v>0</v>
      </c>
      <c r="D134" s="17">
        <f t="shared" si="9"/>
        <v>1</v>
      </c>
      <c r="E134" s="29">
        <f t="shared" si="13"/>
        <v>0</v>
      </c>
      <c r="F134" s="8">
        <f>IFERROR(VLOOKUP(B134,PVSKTC!$A$4:$D$1048576,2,0),0)</f>
        <v>0</v>
      </c>
      <c r="G134" s="8">
        <f>IFERROR(VLOOKUP(B134,PVSKTC!$A$4:$D$1048576,3,0),0)</f>
        <v>0</v>
      </c>
      <c r="H134" s="8">
        <f>IFERROR(VLOOKUP(B134,PVSKTC!$A$4:$D$1048576,4,0),0)</f>
        <v>0</v>
      </c>
      <c r="I134" s="14" t="str">
        <f>IFERROR(IF(E134&gt;0,THTT!E$2,""),"")</f>
        <v/>
      </c>
      <c r="J134" s="15" t="str">
        <f t="shared" si="10"/>
        <v/>
      </c>
      <c r="K134" s="8" t="str">
        <f t="shared" si="11"/>
        <v/>
      </c>
      <c r="L134" s="8" t="str">
        <f t="shared" si="12"/>
        <v/>
      </c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</row>
    <row r="135" spans="1:63" s="4" customFormat="1" x14ac:dyDescent="0.3">
      <c r="A135" s="17" t="str">
        <f t="shared" si="7"/>
        <v/>
      </c>
      <c r="B135" s="18"/>
      <c r="C135" s="27">
        <f t="shared" si="8"/>
        <v>0</v>
      </c>
      <c r="D135" s="17">
        <f t="shared" si="9"/>
        <v>1</v>
      </c>
      <c r="E135" s="29">
        <f t="shared" si="13"/>
        <v>0</v>
      </c>
      <c r="F135" s="8">
        <f>IFERROR(VLOOKUP(B135,PVSKTC!$A$4:$D$1048576,2,0),0)</f>
        <v>0</v>
      </c>
      <c r="G135" s="8">
        <f>IFERROR(VLOOKUP(B135,PVSKTC!$A$4:$D$1048576,3,0),0)</f>
        <v>0</v>
      </c>
      <c r="H135" s="8">
        <f>IFERROR(VLOOKUP(B135,PVSKTC!$A$4:$D$1048576,4,0),0)</f>
        <v>0</v>
      </c>
      <c r="I135" s="14" t="str">
        <f>IFERROR(IF(E135&gt;0,THTT!E$2,""),"")</f>
        <v/>
      </c>
      <c r="J135" s="15" t="str">
        <f t="shared" si="10"/>
        <v/>
      </c>
      <c r="K135" s="8" t="str">
        <f t="shared" si="11"/>
        <v/>
      </c>
      <c r="L135" s="8" t="str">
        <f t="shared" si="12"/>
        <v/>
      </c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</row>
    <row r="136" spans="1:63" s="4" customFormat="1" x14ac:dyDescent="0.3">
      <c r="A136" s="17" t="str">
        <f t="shared" si="7"/>
        <v/>
      </c>
      <c r="B136" s="18"/>
      <c r="C136" s="27">
        <f t="shared" si="8"/>
        <v>0</v>
      </c>
      <c r="D136" s="17">
        <f t="shared" si="9"/>
        <v>1</v>
      </c>
      <c r="E136" s="29">
        <f t="shared" si="13"/>
        <v>0</v>
      </c>
      <c r="F136" s="8">
        <f>IFERROR(VLOOKUP(B136,PVSKTC!$A$4:$D$1048576,2,0),0)</f>
        <v>0</v>
      </c>
      <c r="G136" s="8">
        <f>IFERROR(VLOOKUP(B136,PVSKTC!$A$4:$D$1048576,3,0),0)</f>
        <v>0</v>
      </c>
      <c r="H136" s="8">
        <f>IFERROR(VLOOKUP(B136,PVSKTC!$A$4:$D$1048576,4,0),0)</f>
        <v>0</v>
      </c>
      <c r="I136" s="14" t="str">
        <f>IFERROR(IF(E136&gt;0,THTT!E$2,""),"")</f>
        <v/>
      </c>
      <c r="J136" s="15" t="str">
        <f t="shared" si="10"/>
        <v/>
      </c>
      <c r="K136" s="8" t="str">
        <f t="shared" si="11"/>
        <v/>
      </c>
      <c r="L136" s="8" t="str">
        <f t="shared" si="12"/>
        <v/>
      </c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</row>
    <row r="137" spans="1:63" s="4" customFormat="1" x14ac:dyDescent="0.3">
      <c r="A137" s="17" t="str">
        <f t="shared" si="7"/>
        <v/>
      </c>
      <c r="B137" s="18"/>
      <c r="C137" s="27">
        <f t="shared" si="8"/>
        <v>0</v>
      </c>
      <c r="D137" s="17">
        <f t="shared" si="9"/>
        <v>1</v>
      </c>
      <c r="E137" s="29">
        <f t="shared" si="13"/>
        <v>0</v>
      </c>
      <c r="F137" s="8">
        <f>IFERROR(VLOOKUP(B137,PVSKTC!$A$4:$D$1048576,2,0),0)</f>
        <v>0</v>
      </c>
      <c r="G137" s="8">
        <f>IFERROR(VLOOKUP(B137,PVSKTC!$A$4:$D$1048576,3,0),0)</f>
        <v>0</v>
      </c>
      <c r="H137" s="8">
        <f>IFERROR(VLOOKUP(B137,PVSKTC!$A$4:$D$1048576,4,0),0)</f>
        <v>0</v>
      </c>
      <c r="I137" s="14" t="str">
        <f>IFERROR(IF(E137&gt;0,THTT!E$2,""),"")</f>
        <v/>
      </c>
      <c r="J137" s="15" t="str">
        <f t="shared" si="10"/>
        <v/>
      </c>
      <c r="K137" s="8" t="str">
        <f t="shared" si="11"/>
        <v/>
      </c>
      <c r="L137" s="8" t="str">
        <f t="shared" si="12"/>
        <v/>
      </c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</row>
    <row r="138" spans="1:63" s="4" customFormat="1" x14ac:dyDescent="0.3">
      <c r="A138" s="17" t="str">
        <f t="shared" si="7"/>
        <v/>
      </c>
      <c r="B138" s="18"/>
      <c r="C138" s="27">
        <f t="shared" si="8"/>
        <v>0</v>
      </c>
      <c r="D138" s="17">
        <f t="shared" si="9"/>
        <v>1</v>
      </c>
      <c r="E138" s="29">
        <f t="shared" si="13"/>
        <v>0</v>
      </c>
      <c r="F138" s="8">
        <f>IFERROR(VLOOKUP(B138,PVSKTC!$A$4:$D$1048576,2,0),0)</f>
        <v>0</v>
      </c>
      <c r="G138" s="8">
        <f>IFERROR(VLOOKUP(B138,PVSKTC!$A$4:$D$1048576,3,0),0)</f>
        <v>0</v>
      </c>
      <c r="H138" s="8">
        <f>IFERROR(VLOOKUP(B138,PVSKTC!$A$4:$D$1048576,4,0),0)</f>
        <v>0</v>
      </c>
      <c r="I138" s="14" t="str">
        <f>IFERROR(IF(E138&gt;0,THTT!E$2,""),"")</f>
        <v/>
      </c>
      <c r="J138" s="15" t="str">
        <f t="shared" si="10"/>
        <v/>
      </c>
      <c r="K138" s="8" t="str">
        <f t="shared" si="11"/>
        <v/>
      </c>
      <c r="L138" s="8" t="str">
        <f t="shared" si="12"/>
        <v/>
      </c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</row>
    <row r="139" spans="1:63" s="4" customFormat="1" x14ac:dyDescent="0.3">
      <c r="A139" s="17" t="str">
        <f t="shared" si="7"/>
        <v/>
      </c>
      <c r="B139" s="18"/>
      <c r="C139" s="27">
        <f t="shared" si="8"/>
        <v>0</v>
      </c>
      <c r="D139" s="17">
        <f t="shared" si="9"/>
        <v>1</v>
      </c>
      <c r="E139" s="29">
        <f t="shared" si="13"/>
        <v>0</v>
      </c>
      <c r="F139" s="8">
        <f>IFERROR(VLOOKUP(B139,PVSKTC!$A$4:$D$1048576,2,0),0)</f>
        <v>0</v>
      </c>
      <c r="G139" s="8">
        <f>IFERROR(VLOOKUP(B139,PVSKTC!$A$4:$D$1048576,3,0),0)</f>
        <v>0</v>
      </c>
      <c r="H139" s="8">
        <f>IFERROR(VLOOKUP(B139,PVSKTC!$A$4:$D$1048576,4,0),0)</f>
        <v>0</v>
      </c>
      <c r="I139" s="14" t="str">
        <f>IFERROR(IF(E139&gt;0,THTT!E$2,""),"")</f>
        <v/>
      </c>
      <c r="J139" s="15" t="str">
        <f t="shared" si="10"/>
        <v/>
      </c>
      <c r="K139" s="8" t="str">
        <f t="shared" si="11"/>
        <v/>
      </c>
      <c r="L139" s="8" t="str">
        <f t="shared" si="12"/>
        <v/>
      </c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</row>
    <row r="140" spans="1:63" s="4" customFormat="1" x14ac:dyDescent="0.3">
      <c r="A140" s="17" t="str">
        <f t="shared" si="7"/>
        <v/>
      </c>
      <c r="B140" s="18"/>
      <c r="C140" s="27">
        <f t="shared" si="8"/>
        <v>0</v>
      </c>
      <c r="D140" s="17">
        <f t="shared" si="9"/>
        <v>1</v>
      </c>
      <c r="E140" s="29">
        <f t="shared" si="13"/>
        <v>0</v>
      </c>
      <c r="F140" s="8">
        <f>IFERROR(VLOOKUP(B140,PVSKTC!$A$4:$D$1048576,2,0),0)</f>
        <v>0</v>
      </c>
      <c r="G140" s="8">
        <f>IFERROR(VLOOKUP(B140,PVSKTC!$A$4:$D$1048576,3,0),0)</f>
        <v>0</v>
      </c>
      <c r="H140" s="8">
        <f>IFERROR(VLOOKUP(B140,PVSKTC!$A$4:$D$1048576,4,0),0)</f>
        <v>0</v>
      </c>
      <c r="I140" s="14" t="str">
        <f>IFERROR(IF(E140&gt;0,THTT!E$2,""),"")</f>
        <v/>
      </c>
      <c r="J140" s="15" t="str">
        <f t="shared" si="10"/>
        <v/>
      </c>
      <c r="K140" s="8" t="str">
        <f t="shared" si="11"/>
        <v/>
      </c>
      <c r="L140" s="8" t="str">
        <f t="shared" si="12"/>
        <v/>
      </c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</row>
    <row r="141" spans="1:63" s="4" customFormat="1" x14ac:dyDescent="0.3">
      <c r="A141" s="17" t="str">
        <f t="shared" si="7"/>
        <v/>
      </c>
      <c r="B141" s="18"/>
      <c r="C141" s="27">
        <f t="shared" si="8"/>
        <v>0</v>
      </c>
      <c r="D141" s="17">
        <f t="shared" si="9"/>
        <v>1</v>
      </c>
      <c r="E141" s="29">
        <f t="shared" si="13"/>
        <v>0</v>
      </c>
      <c r="F141" s="8">
        <f>IFERROR(VLOOKUP(B141,PVSKTC!$A$4:$D$1048576,2,0),0)</f>
        <v>0</v>
      </c>
      <c r="G141" s="8">
        <f>IFERROR(VLOOKUP(B141,PVSKTC!$A$4:$D$1048576,3,0),0)</f>
        <v>0</v>
      </c>
      <c r="H141" s="8">
        <f>IFERROR(VLOOKUP(B141,PVSKTC!$A$4:$D$1048576,4,0),0)</f>
        <v>0</v>
      </c>
      <c r="I141" s="14" t="str">
        <f>IFERROR(IF(E141&gt;0,THTT!E$2,""),"")</f>
        <v/>
      </c>
      <c r="J141" s="15" t="str">
        <f t="shared" si="10"/>
        <v/>
      </c>
      <c r="K141" s="8" t="str">
        <f t="shared" si="11"/>
        <v/>
      </c>
      <c r="L141" s="8" t="str">
        <f t="shared" si="12"/>
        <v/>
      </c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</row>
    <row r="142" spans="1:63" s="4" customFormat="1" x14ac:dyDescent="0.3">
      <c r="A142" s="17" t="str">
        <f t="shared" ref="A142:A200" si="14">IF(E142&lt;=0,"",IF(B142&gt;=$B$9,"QUÁ HẠN","TRONG HẠN"))</f>
        <v/>
      </c>
      <c r="B142" s="18"/>
      <c r="C142" s="27">
        <f t="shared" ref="C142:C205" si="15">IFERROR(IF(B143="", $B$10, B143-1), $B$10)</f>
        <v>0</v>
      </c>
      <c r="D142" s="17">
        <f t="shared" ref="D142:D200" si="16">C142-B142+1</f>
        <v>1</v>
      </c>
      <c r="E142" s="29">
        <f t="shared" si="13"/>
        <v>0</v>
      </c>
      <c r="F142" s="8">
        <f>IFERROR(VLOOKUP(B142,PVSKTC!$A$4:$D$1048576,2,0),0)</f>
        <v>0</v>
      </c>
      <c r="G142" s="8">
        <f>IFERROR(VLOOKUP(B142,PVSKTC!$A$4:$D$1048576,3,0),0)</f>
        <v>0</v>
      </c>
      <c r="H142" s="8">
        <f>IFERROR(VLOOKUP(B142,PVSKTC!$A$4:$D$1048576,4,0),0)</f>
        <v>0</v>
      </c>
      <c r="I142" s="14" t="str">
        <f>IFERROR(IF(E142&gt;0,THTT!E$2,""),"")</f>
        <v/>
      </c>
      <c r="J142" s="15" t="str">
        <f t="shared" ref="J142:J200" si="17">IF(A142="QUÁ HẠN",I142*150%,"")</f>
        <v/>
      </c>
      <c r="K142" s="8" t="str">
        <f t="shared" ref="K142:K200" si="18">IF(AND(E142&gt;0,A142="TRONG HẠN"),E142*I142*D142/365,"")</f>
        <v/>
      </c>
      <c r="L142" s="8" t="str">
        <f t="shared" ref="L142:L200" si="19">IF(A142="QUÁ HẠN",E142*J142*D142/365,"")</f>
        <v/>
      </c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</row>
    <row r="143" spans="1:63" s="4" customFormat="1" x14ac:dyDescent="0.3">
      <c r="A143" s="17" t="str">
        <f t="shared" si="14"/>
        <v/>
      </c>
      <c r="B143" s="18"/>
      <c r="C143" s="27">
        <f t="shared" si="15"/>
        <v>0</v>
      </c>
      <c r="D143" s="17">
        <f t="shared" si="16"/>
        <v>1</v>
      </c>
      <c r="E143" s="29">
        <f t="shared" ref="E143:E199" si="20">E142+F143-G143</f>
        <v>0</v>
      </c>
      <c r="F143" s="8">
        <f>IFERROR(VLOOKUP(B143,PVSKTC!$A$4:$D$1048576,2,0),0)</f>
        <v>0</v>
      </c>
      <c r="G143" s="8">
        <f>IFERROR(VLOOKUP(B143,PVSKTC!$A$4:$D$1048576,3,0),0)</f>
        <v>0</v>
      </c>
      <c r="H143" s="8">
        <f>IFERROR(VLOOKUP(B143,PVSKTC!$A$4:$D$1048576,4,0),0)</f>
        <v>0</v>
      </c>
      <c r="I143" s="14" t="str">
        <f>IFERROR(IF(E143&gt;0,THTT!E$2,""),"")</f>
        <v/>
      </c>
      <c r="J143" s="15" t="str">
        <f t="shared" si="17"/>
        <v/>
      </c>
      <c r="K143" s="8" t="str">
        <f t="shared" si="18"/>
        <v/>
      </c>
      <c r="L143" s="8" t="str">
        <f t="shared" si="19"/>
        <v/>
      </c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</row>
    <row r="144" spans="1:63" s="4" customFormat="1" x14ac:dyDescent="0.3">
      <c r="A144" s="17" t="str">
        <f t="shared" si="14"/>
        <v/>
      </c>
      <c r="B144" s="18"/>
      <c r="C144" s="27">
        <f t="shared" si="15"/>
        <v>0</v>
      </c>
      <c r="D144" s="17">
        <f t="shared" si="16"/>
        <v>1</v>
      </c>
      <c r="E144" s="29">
        <f t="shared" si="20"/>
        <v>0</v>
      </c>
      <c r="F144" s="8">
        <f>IFERROR(VLOOKUP(B144,PVSKTC!$A$4:$D$1048576,2,0),0)</f>
        <v>0</v>
      </c>
      <c r="G144" s="8">
        <f>IFERROR(VLOOKUP(B144,PVSKTC!$A$4:$D$1048576,3,0),0)</f>
        <v>0</v>
      </c>
      <c r="H144" s="8">
        <f>IFERROR(VLOOKUP(B144,PVSKTC!$A$4:$D$1048576,4,0),0)</f>
        <v>0</v>
      </c>
      <c r="I144" s="14" t="str">
        <f>IFERROR(IF(E144&gt;0,THTT!E$2,""),"")</f>
        <v/>
      </c>
      <c r="J144" s="15" t="str">
        <f t="shared" si="17"/>
        <v/>
      </c>
      <c r="K144" s="8" t="str">
        <f t="shared" si="18"/>
        <v/>
      </c>
      <c r="L144" s="8" t="str">
        <f t="shared" si="19"/>
        <v/>
      </c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</row>
    <row r="145" spans="1:63" s="4" customFormat="1" x14ac:dyDescent="0.3">
      <c r="A145" s="17" t="str">
        <f t="shared" si="14"/>
        <v/>
      </c>
      <c r="B145" s="18"/>
      <c r="C145" s="27">
        <f t="shared" si="15"/>
        <v>0</v>
      </c>
      <c r="D145" s="17">
        <f t="shared" si="16"/>
        <v>1</v>
      </c>
      <c r="E145" s="29">
        <f t="shared" si="20"/>
        <v>0</v>
      </c>
      <c r="F145" s="8">
        <f>IFERROR(VLOOKUP(B145,PVSKTC!$A$4:$D$1048576,2,0),0)</f>
        <v>0</v>
      </c>
      <c r="G145" s="8">
        <f>IFERROR(VLOOKUP(B145,PVSKTC!$A$4:$D$1048576,3,0),0)</f>
        <v>0</v>
      </c>
      <c r="H145" s="8">
        <f>IFERROR(VLOOKUP(B145,PVSKTC!$A$4:$D$1048576,4,0),0)</f>
        <v>0</v>
      </c>
      <c r="I145" s="14" t="str">
        <f>IFERROR(IF(E145&gt;0,THTT!E$2,""),"")</f>
        <v/>
      </c>
      <c r="J145" s="15" t="str">
        <f t="shared" si="17"/>
        <v/>
      </c>
      <c r="K145" s="8" t="str">
        <f t="shared" si="18"/>
        <v/>
      </c>
      <c r="L145" s="8" t="str">
        <f t="shared" si="19"/>
        <v/>
      </c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</row>
    <row r="146" spans="1:63" s="4" customFormat="1" x14ac:dyDescent="0.3">
      <c r="A146" s="17" t="str">
        <f t="shared" si="14"/>
        <v/>
      </c>
      <c r="B146" s="18"/>
      <c r="C146" s="27">
        <f t="shared" si="15"/>
        <v>0</v>
      </c>
      <c r="D146" s="17">
        <f t="shared" si="16"/>
        <v>1</v>
      </c>
      <c r="E146" s="29">
        <f t="shared" si="20"/>
        <v>0</v>
      </c>
      <c r="F146" s="8">
        <f>IFERROR(VLOOKUP(B146,PVSKTC!$A$4:$D$1048576,2,0),0)</f>
        <v>0</v>
      </c>
      <c r="G146" s="8">
        <f>IFERROR(VLOOKUP(B146,PVSKTC!$A$4:$D$1048576,3,0),0)</f>
        <v>0</v>
      </c>
      <c r="H146" s="8">
        <f>IFERROR(VLOOKUP(B146,PVSKTC!$A$4:$D$1048576,4,0),0)</f>
        <v>0</v>
      </c>
      <c r="I146" s="14" t="str">
        <f>IFERROR(IF(E146&gt;0,THTT!E$2,""),"")</f>
        <v/>
      </c>
      <c r="J146" s="15" t="str">
        <f t="shared" si="17"/>
        <v/>
      </c>
      <c r="K146" s="8" t="str">
        <f t="shared" si="18"/>
        <v/>
      </c>
      <c r="L146" s="8" t="str">
        <f t="shared" si="19"/>
        <v/>
      </c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</row>
    <row r="147" spans="1:63" s="4" customFormat="1" x14ac:dyDescent="0.3">
      <c r="A147" s="17" t="str">
        <f t="shared" si="14"/>
        <v/>
      </c>
      <c r="B147" s="18"/>
      <c r="C147" s="27">
        <f t="shared" si="15"/>
        <v>0</v>
      </c>
      <c r="D147" s="17">
        <f t="shared" si="16"/>
        <v>1</v>
      </c>
      <c r="E147" s="29">
        <f t="shared" si="20"/>
        <v>0</v>
      </c>
      <c r="F147" s="8">
        <f>IFERROR(VLOOKUP(B147,PVSKTC!$A$4:$D$1048576,2,0),0)</f>
        <v>0</v>
      </c>
      <c r="G147" s="8">
        <f>IFERROR(VLOOKUP(B147,PVSKTC!$A$4:$D$1048576,3,0),0)</f>
        <v>0</v>
      </c>
      <c r="H147" s="8">
        <f>IFERROR(VLOOKUP(B147,PVSKTC!$A$4:$D$1048576,4,0),0)</f>
        <v>0</v>
      </c>
      <c r="I147" s="14" t="str">
        <f>IFERROR(IF(E147&gt;0,THTT!E$2,""),"")</f>
        <v/>
      </c>
      <c r="J147" s="15" t="str">
        <f t="shared" si="17"/>
        <v/>
      </c>
      <c r="K147" s="8" t="str">
        <f t="shared" si="18"/>
        <v/>
      </c>
      <c r="L147" s="8" t="str">
        <f t="shared" si="19"/>
        <v/>
      </c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</row>
    <row r="148" spans="1:63" s="4" customFormat="1" x14ac:dyDescent="0.3">
      <c r="A148" s="17" t="str">
        <f t="shared" si="14"/>
        <v/>
      </c>
      <c r="B148" s="18"/>
      <c r="C148" s="27">
        <f t="shared" si="15"/>
        <v>0</v>
      </c>
      <c r="D148" s="17">
        <f t="shared" si="16"/>
        <v>1</v>
      </c>
      <c r="E148" s="29">
        <f t="shared" si="20"/>
        <v>0</v>
      </c>
      <c r="F148" s="8">
        <f>IFERROR(VLOOKUP(B148,PVSKTC!$A$4:$D$1048576,2,0),0)</f>
        <v>0</v>
      </c>
      <c r="G148" s="8">
        <f>IFERROR(VLOOKUP(B148,PVSKTC!$A$4:$D$1048576,3,0),0)</f>
        <v>0</v>
      </c>
      <c r="H148" s="8">
        <f>IFERROR(VLOOKUP(B148,PVSKTC!$A$4:$D$1048576,4,0),0)</f>
        <v>0</v>
      </c>
      <c r="I148" s="14" t="str">
        <f>IFERROR(IF(E148&gt;0,THTT!E$2,""),"")</f>
        <v/>
      </c>
      <c r="J148" s="15" t="str">
        <f t="shared" si="17"/>
        <v/>
      </c>
      <c r="K148" s="8" t="str">
        <f t="shared" si="18"/>
        <v/>
      </c>
      <c r="L148" s="8" t="str">
        <f t="shared" si="19"/>
        <v/>
      </c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</row>
    <row r="149" spans="1:63" s="4" customFormat="1" x14ac:dyDescent="0.3">
      <c r="A149" s="17" t="str">
        <f t="shared" si="14"/>
        <v/>
      </c>
      <c r="B149" s="18"/>
      <c r="C149" s="27">
        <f t="shared" si="15"/>
        <v>0</v>
      </c>
      <c r="D149" s="17">
        <f t="shared" si="16"/>
        <v>1</v>
      </c>
      <c r="E149" s="29">
        <f t="shared" si="20"/>
        <v>0</v>
      </c>
      <c r="F149" s="8">
        <f>IFERROR(VLOOKUP(B149,PVSKTC!$A$4:$D$1048576,2,0),0)</f>
        <v>0</v>
      </c>
      <c r="G149" s="8">
        <f>IFERROR(VLOOKUP(B149,PVSKTC!$A$4:$D$1048576,3,0),0)</f>
        <v>0</v>
      </c>
      <c r="H149" s="8">
        <f>IFERROR(VLOOKUP(B149,PVSKTC!$A$4:$D$1048576,4,0),0)</f>
        <v>0</v>
      </c>
      <c r="I149" s="14" t="str">
        <f>IFERROR(IF(E149&gt;0,THTT!E$2,""),"")</f>
        <v/>
      </c>
      <c r="J149" s="15" t="str">
        <f t="shared" si="17"/>
        <v/>
      </c>
      <c r="K149" s="8" t="str">
        <f t="shared" si="18"/>
        <v/>
      </c>
      <c r="L149" s="8" t="str">
        <f t="shared" si="19"/>
        <v/>
      </c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</row>
    <row r="150" spans="1:63" s="4" customFormat="1" x14ac:dyDescent="0.3">
      <c r="A150" s="17" t="str">
        <f t="shared" si="14"/>
        <v/>
      </c>
      <c r="B150" s="18"/>
      <c r="C150" s="27">
        <f t="shared" si="15"/>
        <v>0</v>
      </c>
      <c r="D150" s="17">
        <f t="shared" si="16"/>
        <v>1</v>
      </c>
      <c r="E150" s="29">
        <f t="shared" si="20"/>
        <v>0</v>
      </c>
      <c r="F150" s="8">
        <f>IFERROR(VLOOKUP(B150,PVSKTC!$A$4:$D$1048576,2,0),0)</f>
        <v>0</v>
      </c>
      <c r="G150" s="8">
        <f>IFERROR(VLOOKUP(B150,PVSKTC!$A$4:$D$1048576,3,0),0)</f>
        <v>0</v>
      </c>
      <c r="H150" s="8">
        <f>IFERROR(VLOOKUP(B150,PVSKTC!$A$4:$D$1048576,4,0),0)</f>
        <v>0</v>
      </c>
      <c r="I150" s="14" t="str">
        <f>IFERROR(IF(E150&gt;0,THTT!E$2,""),"")</f>
        <v/>
      </c>
      <c r="J150" s="15" t="str">
        <f t="shared" si="17"/>
        <v/>
      </c>
      <c r="K150" s="8" t="str">
        <f t="shared" si="18"/>
        <v/>
      </c>
      <c r="L150" s="8" t="str">
        <f t="shared" si="19"/>
        <v/>
      </c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</row>
    <row r="151" spans="1:63" s="4" customFormat="1" x14ac:dyDescent="0.3">
      <c r="A151" s="17" t="str">
        <f t="shared" si="14"/>
        <v/>
      </c>
      <c r="B151" s="18"/>
      <c r="C151" s="27">
        <f t="shared" si="15"/>
        <v>0</v>
      </c>
      <c r="D151" s="17">
        <f t="shared" si="16"/>
        <v>1</v>
      </c>
      <c r="E151" s="29">
        <f t="shared" si="20"/>
        <v>0</v>
      </c>
      <c r="F151" s="8">
        <f>IFERROR(VLOOKUP(B151,PVSKTC!$A$4:$D$1048576,2,0),0)</f>
        <v>0</v>
      </c>
      <c r="G151" s="8">
        <f>IFERROR(VLOOKUP(B151,PVSKTC!$A$4:$D$1048576,3,0),0)</f>
        <v>0</v>
      </c>
      <c r="H151" s="8">
        <f>IFERROR(VLOOKUP(B151,PVSKTC!$A$4:$D$1048576,4,0),0)</f>
        <v>0</v>
      </c>
      <c r="I151" s="14" t="str">
        <f>IFERROR(IF(E151&gt;0,THTT!E$2,""),"")</f>
        <v/>
      </c>
      <c r="J151" s="15" t="str">
        <f t="shared" si="17"/>
        <v/>
      </c>
      <c r="K151" s="8" t="str">
        <f t="shared" si="18"/>
        <v/>
      </c>
      <c r="L151" s="8" t="str">
        <f t="shared" si="19"/>
        <v/>
      </c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</row>
    <row r="152" spans="1:63" s="4" customFormat="1" x14ac:dyDescent="0.3">
      <c r="A152" s="17" t="str">
        <f t="shared" si="14"/>
        <v/>
      </c>
      <c r="B152" s="18"/>
      <c r="C152" s="27">
        <f t="shared" si="15"/>
        <v>0</v>
      </c>
      <c r="D152" s="17">
        <f t="shared" si="16"/>
        <v>1</v>
      </c>
      <c r="E152" s="29">
        <f t="shared" si="20"/>
        <v>0</v>
      </c>
      <c r="F152" s="8">
        <f>IFERROR(VLOOKUP(B152,PVSKTC!$A$4:$D$1048576,2,0),0)</f>
        <v>0</v>
      </c>
      <c r="G152" s="8">
        <f>IFERROR(VLOOKUP(B152,PVSKTC!$A$4:$D$1048576,3,0),0)</f>
        <v>0</v>
      </c>
      <c r="H152" s="8">
        <f>IFERROR(VLOOKUP(B152,PVSKTC!$A$4:$D$1048576,4,0),0)</f>
        <v>0</v>
      </c>
      <c r="I152" s="14" t="str">
        <f>IFERROR(IF(E152&gt;0,THTT!E$2,""),"")</f>
        <v/>
      </c>
      <c r="J152" s="15" t="str">
        <f t="shared" si="17"/>
        <v/>
      </c>
      <c r="K152" s="8" t="str">
        <f t="shared" si="18"/>
        <v/>
      </c>
      <c r="L152" s="8" t="str">
        <f t="shared" si="19"/>
        <v/>
      </c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</row>
    <row r="153" spans="1:63" s="4" customFormat="1" x14ac:dyDescent="0.3">
      <c r="A153" s="17" t="str">
        <f t="shared" si="14"/>
        <v/>
      </c>
      <c r="B153" s="18"/>
      <c r="C153" s="27">
        <f t="shared" si="15"/>
        <v>0</v>
      </c>
      <c r="D153" s="17">
        <f t="shared" si="16"/>
        <v>1</v>
      </c>
      <c r="E153" s="29">
        <f t="shared" si="20"/>
        <v>0</v>
      </c>
      <c r="F153" s="8">
        <f>IFERROR(VLOOKUP(B153,PVSKTC!$A$4:$D$1048576,2,0),0)</f>
        <v>0</v>
      </c>
      <c r="G153" s="8">
        <f>IFERROR(VLOOKUP(B153,PVSKTC!$A$4:$D$1048576,3,0),0)</f>
        <v>0</v>
      </c>
      <c r="H153" s="8">
        <f>IFERROR(VLOOKUP(B153,PVSKTC!$A$4:$D$1048576,4,0),0)</f>
        <v>0</v>
      </c>
      <c r="I153" s="14" t="str">
        <f>IFERROR(IF(E153&gt;0,THTT!E$2,""),"")</f>
        <v/>
      </c>
      <c r="J153" s="15" t="str">
        <f t="shared" si="17"/>
        <v/>
      </c>
      <c r="K153" s="8" t="str">
        <f t="shared" si="18"/>
        <v/>
      </c>
      <c r="L153" s="8" t="str">
        <f t="shared" si="19"/>
        <v/>
      </c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</row>
    <row r="154" spans="1:63" s="4" customFormat="1" x14ac:dyDescent="0.3">
      <c r="A154" s="17" t="str">
        <f t="shared" si="14"/>
        <v/>
      </c>
      <c r="B154" s="18"/>
      <c r="C154" s="27">
        <f t="shared" si="15"/>
        <v>0</v>
      </c>
      <c r="D154" s="17">
        <f t="shared" si="16"/>
        <v>1</v>
      </c>
      <c r="E154" s="29">
        <f t="shared" si="20"/>
        <v>0</v>
      </c>
      <c r="F154" s="8">
        <f>IFERROR(VLOOKUP(B154,PVSKTC!$A$4:$D$1048576,2,0),0)</f>
        <v>0</v>
      </c>
      <c r="G154" s="8">
        <f>IFERROR(VLOOKUP(B154,PVSKTC!$A$4:$D$1048576,3,0),0)</f>
        <v>0</v>
      </c>
      <c r="H154" s="8">
        <f>IFERROR(VLOOKUP(B154,PVSKTC!$A$4:$D$1048576,4,0),0)</f>
        <v>0</v>
      </c>
      <c r="I154" s="14" t="str">
        <f>IFERROR(IF(E154&gt;0,THTT!E$2,""),"")</f>
        <v/>
      </c>
      <c r="J154" s="15" t="str">
        <f t="shared" si="17"/>
        <v/>
      </c>
      <c r="K154" s="8" t="str">
        <f t="shared" si="18"/>
        <v/>
      </c>
      <c r="L154" s="8" t="str">
        <f t="shared" si="19"/>
        <v/>
      </c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</row>
    <row r="155" spans="1:63" s="4" customFormat="1" x14ac:dyDescent="0.3">
      <c r="A155" s="17" t="str">
        <f t="shared" si="14"/>
        <v/>
      </c>
      <c r="B155" s="18"/>
      <c r="C155" s="27">
        <f t="shared" si="15"/>
        <v>0</v>
      </c>
      <c r="D155" s="17">
        <f t="shared" si="16"/>
        <v>1</v>
      </c>
      <c r="E155" s="29">
        <f t="shared" si="20"/>
        <v>0</v>
      </c>
      <c r="F155" s="8">
        <f>IFERROR(VLOOKUP(B155,PVSKTC!$A$4:$D$1048576,2,0),0)</f>
        <v>0</v>
      </c>
      <c r="G155" s="8">
        <f>IFERROR(VLOOKUP(B155,PVSKTC!$A$4:$D$1048576,3,0),0)</f>
        <v>0</v>
      </c>
      <c r="H155" s="8">
        <f>IFERROR(VLOOKUP(B155,PVSKTC!$A$4:$D$1048576,4,0),0)</f>
        <v>0</v>
      </c>
      <c r="I155" s="14" t="str">
        <f>IFERROR(IF(E155&gt;0,THTT!E$2,""),"")</f>
        <v/>
      </c>
      <c r="J155" s="15" t="str">
        <f t="shared" si="17"/>
        <v/>
      </c>
      <c r="K155" s="8" t="str">
        <f t="shared" si="18"/>
        <v/>
      </c>
      <c r="L155" s="8" t="str">
        <f t="shared" si="19"/>
        <v/>
      </c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</row>
    <row r="156" spans="1:63" s="4" customFormat="1" x14ac:dyDescent="0.3">
      <c r="A156" s="17" t="str">
        <f t="shared" si="14"/>
        <v/>
      </c>
      <c r="B156" s="18"/>
      <c r="C156" s="27">
        <f t="shared" si="15"/>
        <v>0</v>
      </c>
      <c r="D156" s="17">
        <f t="shared" si="16"/>
        <v>1</v>
      </c>
      <c r="E156" s="29">
        <f t="shared" si="20"/>
        <v>0</v>
      </c>
      <c r="F156" s="8">
        <f>IFERROR(VLOOKUP(B156,PVSKTC!$A$4:$D$1048576,2,0),0)</f>
        <v>0</v>
      </c>
      <c r="G156" s="8">
        <f>IFERROR(VLOOKUP(B156,PVSKTC!$A$4:$D$1048576,3,0),0)</f>
        <v>0</v>
      </c>
      <c r="H156" s="8">
        <f>IFERROR(VLOOKUP(B156,PVSKTC!$A$4:$D$1048576,4,0),0)</f>
        <v>0</v>
      </c>
      <c r="I156" s="14" t="str">
        <f>IFERROR(IF(E156&gt;0,THTT!E$2,""),"")</f>
        <v/>
      </c>
      <c r="J156" s="15" t="str">
        <f t="shared" si="17"/>
        <v/>
      </c>
      <c r="K156" s="8" t="str">
        <f t="shared" si="18"/>
        <v/>
      </c>
      <c r="L156" s="8" t="str">
        <f t="shared" si="19"/>
        <v/>
      </c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</row>
    <row r="157" spans="1:63" s="4" customFormat="1" x14ac:dyDescent="0.3">
      <c r="A157" s="17" t="str">
        <f t="shared" si="14"/>
        <v/>
      </c>
      <c r="B157" s="18"/>
      <c r="C157" s="27">
        <f t="shared" si="15"/>
        <v>0</v>
      </c>
      <c r="D157" s="17">
        <f t="shared" si="16"/>
        <v>1</v>
      </c>
      <c r="E157" s="29">
        <f t="shared" si="20"/>
        <v>0</v>
      </c>
      <c r="F157" s="8">
        <f>IFERROR(VLOOKUP(B157,PVSKTC!$A$4:$D$1048576,2,0),0)</f>
        <v>0</v>
      </c>
      <c r="G157" s="8">
        <f>IFERROR(VLOOKUP(B157,PVSKTC!$A$4:$D$1048576,3,0),0)</f>
        <v>0</v>
      </c>
      <c r="H157" s="8">
        <f>IFERROR(VLOOKUP(B157,PVSKTC!$A$4:$D$1048576,4,0),0)</f>
        <v>0</v>
      </c>
      <c r="I157" s="14" t="str">
        <f>IFERROR(IF(E157&gt;0,THTT!E$2,""),"")</f>
        <v/>
      </c>
      <c r="J157" s="15" t="str">
        <f t="shared" si="17"/>
        <v/>
      </c>
      <c r="K157" s="8" t="str">
        <f t="shared" si="18"/>
        <v/>
      </c>
      <c r="L157" s="8" t="str">
        <f t="shared" si="19"/>
        <v/>
      </c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</row>
    <row r="158" spans="1:63" s="4" customFormat="1" x14ac:dyDescent="0.3">
      <c r="A158" s="17" t="str">
        <f t="shared" si="14"/>
        <v/>
      </c>
      <c r="B158" s="18"/>
      <c r="C158" s="27">
        <f t="shared" si="15"/>
        <v>0</v>
      </c>
      <c r="D158" s="17">
        <f t="shared" si="16"/>
        <v>1</v>
      </c>
      <c r="E158" s="29">
        <f t="shared" si="20"/>
        <v>0</v>
      </c>
      <c r="F158" s="8">
        <f>IFERROR(VLOOKUP(B158,PVSKTC!$A$4:$D$1048576,2,0),0)</f>
        <v>0</v>
      </c>
      <c r="G158" s="8">
        <f>IFERROR(VLOOKUP(B158,PVSKTC!$A$4:$D$1048576,3,0),0)</f>
        <v>0</v>
      </c>
      <c r="H158" s="8">
        <f>IFERROR(VLOOKUP(B158,PVSKTC!$A$4:$D$1048576,4,0),0)</f>
        <v>0</v>
      </c>
      <c r="I158" s="14" t="str">
        <f>IFERROR(IF(E158&gt;0,THTT!E$2,""),"")</f>
        <v/>
      </c>
      <c r="J158" s="15" t="str">
        <f t="shared" si="17"/>
        <v/>
      </c>
      <c r="K158" s="8" t="str">
        <f t="shared" si="18"/>
        <v/>
      </c>
      <c r="L158" s="8" t="str">
        <f t="shared" si="19"/>
        <v/>
      </c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</row>
    <row r="159" spans="1:63" s="4" customFormat="1" x14ac:dyDescent="0.3">
      <c r="A159" s="17" t="str">
        <f t="shared" si="14"/>
        <v/>
      </c>
      <c r="B159" s="18"/>
      <c r="C159" s="27">
        <f t="shared" si="15"/>
        <v>0</v>
      </c>
      <c r="D159" s="17">
        <f t="shared" si="16"/>
        <v>1</v>
      </c>
      <c r="E159" s="29">
        <f t="shared" si="20"/>
        <v>0</v>
      </c>
      <c r="F159" s="8">
        <f>IFERROR(VLOOKUP(B159,PVSKTC!$A$4:$D$1048576,2,0),0)</f>
        <v>0</v>
      </c>
      <c r="G159" s="8">
        <f>IFERROR(VLOOKUP(B159,PVSKTC!$A$4:$D$1048576,3,0),0)</f>
        <v>0</v>
      </c>
      <c r="H159" s="8">
        <f>IFERROR(VLOOKUP(B159,PVSKTC!$A$4:$D$1048576,4,0),0)</f>
        <v>0</v>
      </c>
      <c r="I159" s="14" t="str">
        <f>IFERROR(IF(E159&gt;0,THTT!E$2,""),"")</f>
        <v/>
      </c>
      <c r="J159" s="15" t="str">
        <f t="shared" si="17"/>
        <v/>
      </c>
      <c r="K159" s="8" t="str">
        <f t="shared" si="18"/>
        <v/>
      </c>
      <c r="L159" s="8" t="str">
        <f t="shared" si="19"/>
        <v/>
      </c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</row>
    <row r="160" spans="1:63" s="4" customFormat="1" x14ac:dyDescent="0.3">
      <c r="A160" s="17" t="str">
        <f t="shared" si="14"/>
        <v/>
      </c>
      <c r="B160" s="18"/>
      <c r="C160" s="27">
        <f t="shared" si="15"/>
        <v>0</v>
      </c>
      <c r="D160" s="17">
        <f t="shared" si="16"/>
        <v>1</v>
      </c>
      <c r="E160" s="29">
        <f t="shared" si="20"/>
        <v>0</v>
      </c>
      <c r="F160" s="8">
        <f>IFERROR(VLOOKUP(B160,PVSKTC!$A$4:$D$1048576,2,0),0)</f>
        <v>0</v>
      </c>
      <c r="G160" s="8">
        <f>IFERROR(VLOOKUP(B160,PVSKTC!$A$4:$D$1048576,3,0),0)</f>
        <v>0</v>
      </c>
      <c r="H160" s="8">
        <f>IFERROR(VLOOKUP(B160,PVSKTC!$A$4:$D$1048576,4,0),0)</f>
        <v>0</v>
      </c>
      <c r="I160" s="14" t="str">
        <f>IFERROR(IF(E160&gt;0,THTT!E$2,""),"")</f>
        <v/>
      </c>
      <c r="J160" s="15" t="str">
        <f t="shared" si="17"/>
        <v/>
      </c>
      <c r="K160" s="8" t="str">
        <f t="shared" si="18"/>
        <v/>
      </c>
      <c r="L160" s="8" t="str">
        <f t="shared" si="19"/>
        <v/>
      </c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</row>
    <row r="161" spans="1:63" s="4" customFormat="1" x14ac:dyDescent="0.3">
      <c r="A161" s="17" t="str">
        <f t="shared" si="14"/>
        <v/>
      </c>
      <c r="B161" s="18"/>
      <c r="C161" s="27">
        <f t="shared" si="15"/>
        <v>0</v>
      </c>
      <c r="D161" s="17">
        <f t="shared" si="16"/>
        <v>1</v>
      </c>
      <c r="E161" s="29">
        <f t="shared" si="20"/>
        <v>0</v>
      </c>
      <c r="F161" s="8">
        <f>IFERROR(VLOOKUP(B161,PVSKTC!$A$4:$D$1048576,2,0),0)</f>
        <v>0</v>
      </c>
      <c r="G161" s="8">
        <f>IFERROR(VLOOKUP(B161,PVSKTC!$A$4:$D$1048576,3,0),0)</f>
        <v>0</v>
      </c>
      <c r="H161" s="8">
        <f>IFERROR(VLOOKUP(B161,PVSKTC!$A$4:$D$1048576,4,0),0)</f>
        <v>0</v>
      </c>
      <c r="I161" s="14" t="str">
        <f>IFERROR(IF(E161&gt;0,THTT!E$2,""),"")</f>
        <v/>
      </c>
      <c r="J161" s="15" t="str">
        <f t="shared" si="17"/>
        <v/>
      </c>
      <c r="K161" s="8" t="str">
        <f t="shared" si="18"/>
        <v/>
      </c>
      <c r="L161" s="8" t="str">
        <f t="shared" si="19"/>
        <v/>
      </c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</row>
    <row r="162" spans="1:63" s="4" customFormat="1" x14ac:dyDescent="0.3">
      <c r="A162" s="17" t="str">
        <f t="shared" si="14"/>
        <v/>
      </c>
      <c r="B162" s="18"/>
      <c r="C162" s="27">
        <f t="shared" si="15"/>
        <v>0</v>
      </c>
      <c r="D162" s="17">
        <f t="shared" si="16"/>
        <v>1</v>
      </c>
      <c r="E162" s="29">
        <f t="shared" si="20"/>
        <v>0</v>
      </c>
      <c r="F162" s="8">
        <f>IFERROR(VLOOKUP(B162,PVSKTC!$A$4:$D$1048576,2,0),0)</f>
        <v>0</v>
      </c>
      <c r="G162" s="8">
        <f>IFERROR(VLOOKUP(B162,PVSKTC!$A$4:$D$1048576,3,0),0)</f>
        <v>0</v>
      </c>
      <c r="H162" s="8">
        <f>IFERROR(VLOOKUP(B162,PVSKTC!$A$4:$D$1048576,4,0),0)</f>
        <v>0</v>
      </c>
      <c r="I162" s="14" t="str">
        <f>IFERROR(IF(E162&gt;0,THTT!E$2,""),"")</f>
        <v/>
      </c>
      <c r="J162" s="15" t="str">
        <f t="shared" si="17"/>
        <v/>
      </c>
      <c r="K162" s="8" t="str">
        <f t="shared" si="18"/>
        <v/>
      </c>
      <c r="L162" s="8" t="str">
        <f t="shared" si="19"/>
        <v/>
      </c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</row>
    <row r="163" spans="1:63" s="4" customFormat="1" x14ac:dyDescent="0.3">
      <c r="A163" s="17" t="str">
        <f t="shared" si="14"/>
        <v/>
      </c>
      <c r="B163" s="18"/>
      <c r="C163" s="27">
        <f t="shared" si="15"/>
        <v>0</v>
      </c>
      <c r="D163" s="17">
        <f t="shared" si="16"/>
        <v>1</v>
      </c>
      <c r="E163" s="29">
        <f t="shared" si="20"/>
        <v>0</v>
      </c>
      <c r="F163" s="8">
        <f>IFERROR(VLOOKUP(B163,PVSKTC!$A$4:$D$1048576,2,0),0)</f>
        <v>0</v>
      </c>
      <c r="G163" s="8">
        <f>IFERROR(VLOOKUP(B163,PVSKTC!$A$4:$D$1048576,3,0),0)</f>
        <v>0</v>
      </c>
      <c r="H163" s="8">
        <f>IFERROR(VLOOKUP(B163,PVSKTC!$A$4:$D$1048576,4,0),0)</f>
        <v>0</v>
      </c>
      <c r="I163" s="14" t="str">
        <f>IFERROR(IF(E163&gt;0,THTT!E$2,""),"")</f>
        <v/>
      </c>
      <c r="J163" s="15" t="str">
        <f t="shared" si="17"/>
        <v/>
      </c>
      <c r="K163" s="8" t="str">
        <f t="shared" si="18"/>
        <v/>
      </c>
      <c r="L163" s="8" t="str">
        <f t="shared" si="19"/>
        <v/>
      </c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</row>
    <row r="164" spans="1:63" s="4" customFormat="1" x14ac:dyDescent="0.3">
      <c r="A164" s="17" t="str">
        <f t="shared" si="14"/>
        <v/>
      </c>
      <c r="B164" s="18"/>
      <c r="C164" s="27">
        <f t="shared" si="15"/>
        <v>0</v>
      </c>
      <c r="D164" s="17">
        <f t="shared" si="16"/>
        <v>1</v>
      </c>
      <c r="E164" s="29">
        <f t="shared" si="20"/>
        <v>0</v>
      </c>
      <c r="F164" s="8">
        <f>IFERROR(VLOOKUP(B164,PVSKTC!$A$4:$D$1048576,2,0),0)</f>
        <v>0</v>
      </c>
      <c r="G164" s="8">
        <f>IFERROR(VLOOKUP(B164,PVSKTC!$A$4:$D$1048576,3,0),0)</f>
        <v>0</v>
      </c>
      <c r="H164" s="8">
        <f>IFERROR(VLOOKUP(B164,PVSKTC!$A$4:$D$1048576,4,0),0)</f>
        <v>0</v>
      </c>
      <c r="I164" s="14" t="str">
        <f>IFERROR(IF(E164&gt;0,THTT!E$2,""),"")</f>
        <v/>
      </c>
      <c r="J164" s="15" t="str">
        <f t="shared" si="17"/>
        <v/>
      </c>
      <c r="K164" s="8" t="str">
        <f t="shared" si="18"/>
        <v/>
      </c>
      <c r="L164" s="8" t="str">
        <f t="shared" si="19"/>
        <v/>
      </c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</row>
    <row r="165" spans="1:63" s="4" customFormat="1" x14ac:dyDescent="0.3">
      <c r="A165" s="17" t="str">
        <f t="shared" si="14"/>
        <v/>
      </c>
      <c r="B165" s="18"/>
      <c r="C165" s="27">
        <f t="shared" si="15"/>
        <v>0</v>
      </c>
      <c r="D165" s="17">
        <f t="shared" si="16"/>
        <v>1</v>
      </c>
      <c r="E165" s="29">
        <f t="shared" si="20"/>
        <v>0</v>
      </c>
      <c r="F165" s="8">
        <f>IFERROR(VLOOKUP(B165,PVSKTC!$A$4:$D$1048576,2,0),0)</f>
        <v>0</v>
      </c>
      <c r="G165" s="8">
        <f>IFERROR(VLOOKUP(B165,PVSKTC!$A$4:$D$1048576,3,0),0)</f>
        <v>0</v>
      </c>
      <c r="H165" s="8">
        <f>IFERROR(VLOOKUP(B165,PVSKTC!$A$4:$D$1048576,4,0),0)</f>
        <v>0</v>
      </c>
      <c r="I165" s="14" t="str">
        <f>IFERROR(IF(E165&gt;0,THTT!E$2,""),"")</f>
        <v/>
      </c>
      <c r="J165" s="15" t="str">
        <f t="shared" si="17"/>
        <v/>
      </c>
      <c r="K165" s="8" t="str">
        <f t="shared" si="18"/>
        <v/>
      </c>
      <c r="L165" s="8" t="str">
        <f t="shared" si="19"/>
        <v/>
      </c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</row>
    <row r="166" spans="1:63" s="4" customFormat="1" x14ac:dyDescent="0.3">
      <c r="A166" s="17" t="str">
        <f t="shared" si="14"/>
        <v/>
      </c>
      <c r="B166" s="18"/>
      <c r="C166" s="27">
        <f t="shared" si="15"/>
        <v>0</v>
      </c>
      <c r="D166" s="17">
        <f t="shared" si="16"/>
        <v>1</v>
      </c>
      <c r="E166" s="29">
        <f t="shared" si="20"/>
        <v>0</v>
      </c>
      <c r="F166" s="8">
        <f>IFERROR(VLOOKUP(B166,PVSKTC!$A$4:$D$1048576,2,0),0)</f>
        <v>0</v>
      </c>
      <c r="G166" s="8">
        <f>IFERROR(VLOOKUP(B166,PVSKTC!$A$4:$D$1048576,3,0),0)</f>
        <v>0</v>
      </c>
      <c r="H166" s="8">
        <f>IFERROR(VLOOKUP(B166,PVSKTC!$A$4:$D$1048576,4,0),0)</f>
        <v>0</v>
      </c>
      <c r="I166" s="14" t="str">
        <f>IFERROR(IF(E166&gt;0,THTT!E$2,""),"")</f>
        <v/>
      </c>
      <c r="J166" s="15" t="str">
        <f t="shared" si="17"/>
        <v/>
      </c>
      <c r="K166" s="8" t="str">
        <f t="shared" si="18"/>
        <v/>
      </c>
      <c r="L166" s="8" t="str">
        <f t="shared" si="19"/>
        <v/>
      </c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</row>
    <row r="167" spans="1:63" s="4" customFormat="1" x14ac:dyDescent="0.3">
      <c r="A167" s="17" t="str">
        <f t="shared" si="14"/>
        <v/>
      </c>
      <c r="B167" s="18"/>
      <c r="C167" s="27">
        <f t="shared" si="15"/>
        <v>0</v>
      </c>
      <c r="D167" s="17">
        <f t="shared" si="16"/>
        <v>1</v>
      </c>
      <c r="E167" s="29">
        <f t="shared" si="20"/>
        <v>0</v>
      </c>
      <c r="F167" s="8">
        <f>IFERROR(VLOOKUP(B167,PVSKTC!$A$4:$D$1048576,2,0),0)</f>
        <v>0</v>
      </c>
      <c r="G167" s="8">
        <f>IFERROR(VLOOKUP(B167,PVSKTC!$A$4:$D$1048576,3,0),0)</f>
        <v>0</v>
      </c>
      <c r="H167" s="8">
        <f>IFERROR(VLOOKUP(B167,PVSKTC!$A$4:$D$1048576,4,0),0)</f>
        <v>0</v>
      </c>
      <c r="I167" s="14" t="str">
        <f>IFERROR(IF(E167&gt;0,THTT!E$2,""),"")</f>
        <v/>
      </c>
      <c r="J167" s="15" t="str">
        <f t="shared" si="17"/>
        <v/>
      </c>
      <c r="K167" s="8" t="str">
        <f t="shared" si="18"/>
        <v/>
      </c>
      <c r="L167" s="8" t="str">
        <f t="shared" si="19"/>
        <v/>
      </c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</row>
    <row r="168" spans="1:63" s="4" customFormat="1" x14ac:dyDescent="0.3">
      <c r="A168" s="17" t="str">
        <f t="shared" si="14"/>
        <v/>
      </c>
      <c r="B168" s="18"/>
      <c r="C168" s="27">
        <f t="shared" si="15"/>
        <v>0</v>
      </c>
      <c r="D168" s="17">
        <f t="shared" si="16"/>
        <v>1</v>
      </c>
      <c r="E168" s="29">
        <f t="shared" si="20"/>
        <v>0</v>
      </c>
      <c r="F168" s="8">
        <f>IFERROR(VLOOKUP(B168,PVSKTC!$A$4:$D$1048576,2,0),0)</f>
        <v>0</v>
      </c>
      <c r="G168" s="8">
        <f>IFERROR(VLOOKUP(B168,PVSKTC!$A$4:$D$1048576,3,0),0)</f>
        <v>0</v>
      </c>
      <c r="H168" s="8">
        <f>IFERROR(VLOOKUP(B168,PVSKTC!$A$4:$D$1048576,4,0),0)</f>
        <v>0</v>
      </c>
      <c r="I168" s="14" t="str">
        <f>IFERROR(IF(E168&gt;0,THTT!E$2,""),"")</f>
        <v/>
      </c>
      <c r="J168" s="15" t="str">
        <f t="shared" si="17"/>
        <v/>
      </c>
      <c r="K168" s="8" t="str">
        <f t="shared" si="18"/>
        <v/>
      </c>
      <c r="L168" s="8" t="str">
        <f t="shared" si="19"/>
        <v/>
      </c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</row>
    <row r="169" spans="1:63" s="4" customFormat="1" x14ac:dyDescent="0.3">
      <c r="A169" s="17" t="str">
        <f t="shared" si="14"/>
        <v/>
      </c>
      <c r="B169" s="18"/>
      <c r="C169" s="27">
        <f t="shared" si="15"/>
        <v>0</v>
      </c>
      <c r="D169" s="17">
        <f t="shared" si="16"/>
        <v>1</v>
      </c>
      <c r="E169" s="29">
        <f t="shared" si="20"/>
        <v>0</v>
      </c>
      <c r="F169" s="8">
        <f>IFERROR(VLOOKUP(B169,PVSKTC!$A$4:$D$1048576,2,0),0)</f>
        <v>0</v>
      </c>
      <c r="G169" s="8">
        <f>IFERROR(VLOOKUP(B169,PVSKTC!$A$4:$D$1048576,3,0),0)</f>
        <v>0</v>
      </c>
      <c r="H169" s="8">
        <f>IFERROR(VLOOKUP(B169,PVSKTC!$A$4:$D$1048576,4,0),0)</f>
        <v>0</v>
      </c>
      <c r="I169" s="14" t="str">
        <f>IFERROR(IF(E169&gt;0,THTT!E$2,""),"")</f>
        <v/>
      </c>
      <c r="J169" s="15" t="str">
        <f t="shared" si="17"/>
        <v/>
      </c>
      <c r="K169" s="8" t="str">
        <f t="shared" si="18"/>
        <v/>
      </c>
      <c r="L169" s="8" t="str">
        <f t="shared" si="19"/>
        <v/>
      </c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</row>
    <row r="170" spans="1:63" s="4" customFormat="1" x14ac:dyDescent="0.3">
      <c r="A170" s="17" t="str">
        <f t="shared" si="14"/>
        <v/>
      </c>
      <c r="B170" s="18"/>
      <c r="C170" s="27">
        <f t="shared" si="15"/>
        <v>0</v>
      </c>
      <c r="D170" s="17">
        <f t="shared" si="16"/>
        <v>1</v>
      </c>
      <c r="E170" s="29">
        <f t="shared" si="20"/>
        <v>0</v>
      </c>
      <c r="F170" s="8">
        <f>IFERROR(VLOOKUP(B170,PVSKTC!$A$4:$D$1048576,2,0),0)</f>
        <v>0</v>
      </c>
      <c r="G170" s="8">
        <f>IFERROR(VLOOKUP(B170,PVSKTC!$A$4:$D$1048576,3,0),0)</f>
        <v>0</v>
      </c>
      <c r="H170" s="8">
        <f>IFERROR(VLOOKUP(B170,PVSKTC!$A$4:$D$1048576,4,0),0)</f>
        <v>0</v>
      </c>
      <c r="I170" s="14" t="str">
        <f>IFERROR(IF(E170&gt;0,THTT!E$2,""),"")</f>
        <v/>
      </c>
      <c r="J170" s="15" t="str">
        <f t="shared" si="17"/>
        <v/>
      </c>
      <c r="K170" s="8" t="str">
        <f t="shared" si="18"/>
        <v/>
      </c>
      <c r="L170" s="8" t="str">
        <f t="shared" si="19"/>
        <v/>
      </c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</row>
    <row r="171" spans="1:63" s="4" customFormat="1" x14ac:dyDescent="0.3">
      <c r="A171" s="17" t="str">
        <f t="shared" si="14"/>
        <v/>
      </c>
      <c r="B171" s="18"/>
      <c r="C171" s="27">
        <f t="shared" si="15"/>
        <v>0</v>
      </c>
      <c r="D171" s="17">
        <f t="shared" si="16"/>
        <v>1</v>
      </c>
      <c r="E171" s="29">
        <f t="shared" si="20"/>
        <v>0</v>
      </c>
      <c r="F171" s="8">
        <f>IFERROR(VLOOKUP(B171,PVSKTC!$A$4:$D$1048576,2,0),0)</f>
        <v>0</v>
      </c>
      <c r="G171" s="8">
        <f>IFERROR(VLOOKUP(B171,PVSKTC!$A$4:$D$1048576,3,0),0)</f>
        <v>0</v>
      </c>
      <c r="H171" s="8">
        <f>IFERROR(VLOOKUP(B171,PVSKTC!$A$4:$D$1048576,4,0),0)</f>
        <v>0</v>
      </c>
      <c r="I171" s="14" t="str">
        <f>IFERROR(IF(E171&gt;0,THTT!E$2,""),"")</f>
        <v/>
      </c>
      <c r="J171" s="15" t="str">
        <f t="shared" si="17"/>
        <v/>
      </c>
      <c r="K171" s="8" t="str">
        <f t="shared" si="18"/>
        <v/>
      </c>
      <c r="L171" s="8" t="str">
        <f t="shared" si="19"/>
        <v/>
      </c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</row>
    <row r="172" spans="1:63" s="4" customFormat="1" x14ac:dyDescent="0.3">
      <c r="A172" s="17" t="str">
        <f t="shared" si="14"/>
        <v/>
      </c>
      <c r="B172" s="18"/>
      <c r="C172" s="27">
        <f t="shared" si="15"/>
        <v>0</v>
      </c>
      <c r="D172" s="17">
        <f t="shared" si="16"/>
        <v>1</v>
      </c>
      <c r="E172" s="29">
        <f t="shared" si="20"/>
        <v>0</v>
      </c>
      <c r="F172" s="8">
        <f>IFERROR(VLOOKUP(B172,PVSKTC!$A$4:$D$1048576,2,0),0)</f>
        <v>0</v>
      </c>
      <c r="G172" s="8">
        <f>IFERROR(VLOOKUP(B172,PVSKTC!$A$4:$D$1048576,3,0),0)</f>
        <v>0</v>
      </c>
      <c r="H172" s="8">
        <f>IFERROR(VLOOKUP(B172,PVSKTC!$A$4:$D$1048576,4,0),0)</f>
        <v>0</v>
      </c>
      <c r="I172" s="14" t="str">
        <f>IFERROR(IF(E172&gt;0,THTT!E$2,""),"")</f>
        <v/>
      </c>
      <c r="J172" s="15" t="str">
        <f t="shared" si="17"/>
        <v/>
      </c>
      <c r="K172" s="8" t="str">
        <f t="shared" si="18"/>
        <v/>
      </c>
      <c r="L172" s="8" t="str">
        <f t="shared" si="19"/>
        <v/>
      </c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</row>
    <row r="173" spans="1:63" s="4" customFormat="1" x14ac:dyDescent="0.3">
      <c r="A173" s="17" t="str">
        <f t="shared" si="14"/>
        <v/>
      </c>
      <c r="B173" s="18"/>
      <c r="C173" s="27">
        <f t="shared" si="15"/>
        <v>0</v>
      </c>
      <c r="D173" s="17">
        <f t="shared" si="16"/>
        <v>1</v>
      </c>
      <c r="E173" s="29">
        <f t="shared" si="20"/>
        <v>0</v>
      </c>
      <c r="F173" s="8">
        <f>IFERROR(VLOOKUP(B173,PVSKTC!$A$4:$D$1048576,2,0),0)</f>
        <v>0</v>
      </c>
      <c r="G173" s="8">
        <f>IFERROR(VLOOKUP(B173,PVSKTC!$A$4:$D$1048576,3,0),0)</f>
        <v>0</v>
      </c>
      <c r="H173" s="8">
        <f>IFERROR(VLOOKUP(B173,PVSKTC!$A$4:$D$1048576,4,0),0)</f>
        <v>0</v>
      </c>
      <c r="I173" s="14" t="str">
        <f>IFERROR(IF(E173&gt;0,THTT!E$2,""),"")</f>
        <v/>
      </c>
      <c r="J173" s="15" t="str">
        <f t="shared" si="17"/>
        <v/>
      </c>
      <c r="K173" s="8" t="str">
        <f t="shared" si="18"/>
        <v/>
      </c>
      <c r="L173" s="8" t="str">
        <f t="shared" si="19"/>
        <v/>
      </c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</row>
    <row r="174" spans="1:63" s="4" customFormat="1" x14ac:dyDescent="0.3">
      <c r="A174" s="17" t="str">
        <f t="shared" si="14"/>
        <v/>
      </c>
      <c r="B174" s="18"/>
      <c r="C174" s="27">
        <f t="shared" si="15"/>
        <v>0</v>
      </c>
      <c r="D174" s="17">
        <f t="shared" si="16"/>
        <v>1</v>
      </c>
      <c r="E174" s="29">
        <f t="shared" si="20"/>
        <v>0</v>
      </c>
      <c r="F174" s="8">
        <f>IFERROR(VLOOKUP(B174,PVSKTC!$A$4:$D$1048576,2,0),0)</f>
        <v>0</v>
      </c>
      <c r="G174" s="8">
        <f>IFERROR(VLOOKUP(B174,PVSKTC!$A$4:$D$1048576,3,0),0)</f>
        <v>0</v>
      </c>
      <c r="H174" s="8">
        <f>IFERROR(VLOOKUP(B174,PVSKTC!$A$4:$D$1048576,4,0),0)</f>
        <v>0</v>
      </c>
      <c r="I174" s="14" t="str">
        <f>IFERROR(IF(E174&gt;0,THTT!E$2,""),"")</f>
        <v/>
      </c>
      <c r="J174" s="15" t="str">
        <f t="shared" si="17"/>
        <v/>
      </c>
      <c r="K174" s="8" t="str">
        <f t="shared" si="18"/>
        <v/>
      </c>
      <c r="L174" s="8" t="str">
        <f t="shared" si="19"/>
        <v/>
      </c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</row>
    <row r="175" spans="1:63" s="4" customFormat="1" x14ac:dyDescent="0.3">
      <c r="A175" s="17" t="str">
        <f t="shared" si="14"/>
        <v/>
      </c>
      <c r="B175" s="18"/>
      <c r="C175" s="27">
        <f t="shared" si="15"/>
        <v>0</v>
      </c>
      <c r="D175" s="17">
        <f t="shared" si="16"/>
        <v>1</v>
      </c>
      <c r="E175" s="29">
        <f t="shared" si="20"/>
        <v>0</v>
      </c>
      <c r="F175" s="8">
        <f>IFERROR(VLOOKUP(B175,PVSKTC!$A$4:$D$1048576,2,0),0)</f>
        <v>0</v>
      </c>
      <c r="G175" s="8">
        <f>IFERROR(VLOOKUP(B175,PVSKTC!$A$4:$D$1048576,3,0),0)</f>
        <v>0</v>
      </c>
      <c r="H175" s="8">
        <f>IFERROR(VLOOKUP(B175,PVSKTC!$A$4:$D$1048576,4,0),0)</f>
        <v>0</v>
      </c>
      <c r="I175" s="14" t="str">
        <f>IFERROR(IF(E175&gt;0,THTT!E$2,""),"")</f>
        <v/>
      </c>
      <c r="J175" s="15" t="str">
        <f t="shared" si="17"/>
        <v/>
      </c>
      <c r="K175" s="8" t="str">
        <f t="shared" si="18"/>
        <v/>
      </c>
      <c r="L175" s="8" t="str">
        <f t="shared" si="19"/>
        <v/>
      </c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</row>
    <row r="176" spans="1:63" s="4" customFormat="1" x14ac:dyDescent="0.3">
      <c r="A176" s="17" t="str">
        <f t="shared" si="14"/>
        <v/>
      </c>
      <c r="B176" s="18"/>
      <c r="C176" s="27">
        <f t="shared" si="15"/>
        <v>0</v>
      </c>
      <c r="D176" s="17">
        <f t="shared" si="16"/>
        <v>1</v>
      </c>
      <c r="E176" s="29">
        <f t="shared" si="20"/>
        <v>0</v>
      </c>
      <c r="F176" s="8">
        <f>IFERROR(VLOOKUP(B176,PVSKTC!$A$4:$D$1048576,2,0),0)</f>
        <v>0</v>
      </c>
      <c r="G176" s="8">
        <f>IFERROR(VLOOKUP(B176,PVSKTC!$A$4:$D$1048576,3,0),0)</f>
        <v>0</v>
      </c>
      <c r="H176" s="8">
        <f>IFERROR(VLOOKUP(B176,PVSKTC!$A$4:$D$1048576,4,0),0)</f>
        <v>0</v>
      </c>
      <c r="I176" s="14" t="str">
        <f>IFERROR(IF(E176&gt;0,THTT!E$2,""),"")</f>
        <v/>
      </c>
      <c r="J176" s="15" t="str">
        <f t="shared" si="17"/>
        <v/>
      </c>
      <c r="K176" s="8" t="str">
        <f t="shared" si="18"/>
        <v/>
      </c>
      <c r="L176" s="8" t="str">
        <f t="shared" si="19"/>
        <v/>
      </c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</row>
    <row r="177" spans="1:63" s="4" customFormat="1" x14ac:dyDescent="0.3">
      <c r="A177" s="17" t="str">
        <f t="shared" si="14"/>
        <v/>
      </c>
      <c r="B177" s="18"/>
      <c r="C177" s="27">
        <f t="shared" si="15"/>
        <v>0</v>
      </c>
      <c r="D177" s="17">
        <f t="shared" si="16"/>
        <v>1</v>
      </c>
      <c r="E177" s="29">
        <f t="shared" si="20"/>
        <v>0</v>
      </c>
      <c r="F177" s="8">
        <f>IFERROR(VLOOKUP(B177,PVSKTC!$A$4:$D$1048576,2,0),0)</f>
        <v>0</v>
      </c>
      <c r="G177" s="8">
        <f>IFERROR(VLOOKUP(B177,PVSKTC!$A$4:$D$1048576,3,0),0)</f>
        <v>0</v>
      </c>
      <c r="H177" s="8">
        <f>IFERROR(VLOOKUP(B177,PVSKTC!$A$4:$D$1048576,4,0),0)</f>
        <v>0</v>
      </c>
      <c r="I177" s="14" t="str">
        <f>IFERROR(IF(E177&gt;0,THTT!E$2,""),"")</f>
        <v/>
      </c>
      <c r="J177" s="15" t="str">
        <f t="shared" si="17"/>
        <v/>
      </c>
      <c r="K177" s="8" t="str">
        <f t="shared" si="18"/>
        <v/>
      </c>
      <c r="L177" s="8" t="str">
        <f t="shared" si="19"/>
        <v/>
      </c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</row>
    <row r="178" spans="1:63" s="4" customFormat="1" x14ac:dyDescent="0.3">
      <c r="A178" s="17" t="str">
        <f t="shared" si="14"/>
        <v/>
      </c>
      <c r="B178" s="18"/>
      <c r="C178" s="27">
        <f t="shared" si="15"/>
        <v>0</v>
      </c>
      <c r="D178" s="17">
        <f t="shared" si="16"/>
        <v>1</v>
      </c>
      <c r="E178" s="29">
        <f t="shared" si="20"/>
        <v>0</v>
      </c>
      <c r="F178" s="8">
        <f>IFERROR(VLOOKUP(B178,PVSKTC!$A$4:$D$1048576,2,0),0)</f>
        <v>0</v>
      </c>
      <c r="G178" s="8">
        <f>IFERROR(VLOOKUP(B178,PVSKTC!$A$4:$D$1048576,3,0),0)</f>
        <v>0</v>
      </c>
      <c r="H178" s="8">
        <f>IFERROR(VLOOKUP(B178,PVSKTC!$A$4:$D$1048576,4,0),0)</f>
        <v>0</v>
      </c>
      <c r="I178" s="14" t="str">
        <f>IFERROR(IF(E178&gt;0,THTT!E$2,""),"")</f>
        <v/>
      </c>
      <c r="J178" s="15" t="str">
        <f t="shared" si="17"/>
        <v/>
      </c>
      <c r="K178" s="8" t="str">
        <f t="shared" si="18"/>
        <v/>
      </c>
      <c r="L178" s="8" t="str">
        <f t="shared" si="19"/>
        <v/>
      </c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</row>
    <row r="179" spans="1:63" s="4" customFormat="1" x14ac:dyDescent="0.3">
      <c r="A179" s="17" t="str">
        <f t="shared" si="14"/>
        <v/>
      </c>
      <c r="B179" s="18"/>
      <c r="C179" s="27">
        <f t="shared" si="15"/>
        <v>0</v>
      </c>
      <c r="D179" s="17">
        <f t="shared" si="16"/>
        <v>1</v>
      </c>
      <c r="E179" s="29">
        <f t="shared" si="20"/>
        <v>0</v>
      </c>
      <c r="F179" s="8">
        <f>IFERROR(VLOOKUP(B179,PVSKTC!$A$4:$D$1048576,2,0),0)</f>
        <v>0</v>
      </c>
      <c r="G179" s="8">
        <f>IFERROR(VLOOKUP(B179,PVSKTC!$A$4:$D$1048576,3,0),0)</f>
        <v>0</v>
      </c>
      <c r="H179" s="8">
        <f>IFERROR(VLOOKUP(B179,PVSKTC!$A$4:$D$1048576,4,0),0)</f>
        <v>0</v>
      </c>
      <c r="I179" s="14" t="str">
        <f>IFERROR(IF(E179&gt;0,THTT!E$2,""),"")</f>
        <v/>
      </c>
      <c r="J179" s="15" t="str">
        <f t="shared" si="17"/>
        <v/>
      </c>
      <c r="K179" s="8" t="str">
        <f t="shared" si="18"/>
        <v/>
      </c>
      <c r="L179" s="8" t="str">
        <f t="shared" si="19"/>
        <v/>
      </c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</row>
    <row r="180" spans="1:63" s="4" customFormat="1" x14ac:dyDescent="0.3">
      <c r="A180" s="17" t="str">
        <f t="shared" si="14"/>
        <v/>
      </c>
      <c r="B180" s="18"/>
      <c r="C180" s="27">
        <f t="shared" si="15"/>
        <v>0</v>
      </c>
      <c r="D180" s="17">
        <f t="shared" si="16"/>
        <v>1</v>
      </c>
      <c r="E180" s="29">
        <f t="shared" si="20"/>
        <v>0</v>
      </c>
      <c r="F180" s="8">
        <f>IFERROR(VLOOKUP(B180,PVSKTC!$A$4:$D$1048576,2,0),0)</f>
        <v>0</v>
      </c>
      <c r="G180" s="8">
        <f>IFERROR(VLOOKUP(B180,PVSKTC!$A$4:$D$1048576,3,0),0)</f>
        <v>0</v>
      </c>
      <c r="H180" s="8">
        <f>IFERROR(VLOOKUP(B180,PVSKTC!$A$4:$D$1048576,4,0),0)</f>
        <v>0</v>
      </c>
      <c r="I180" s="14" t="str">
        <f>IFERROR(IF(E180&gt;0,THTT!E$2,""),"")</f>
        <v/>
      </c>
      <c r="J180" s="15" t="str">
        <f t="shared" si="17"/>
        <v/>
      </c>
      <c r="K180" s="8" t="str">
        <f t="shared" si="18"/>
        <v/>
      </c>
      <c r="L180" s="8" t="str">
        <f t="shared" si="19"/>
        <v/>
      </c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</row>
    <row r="181" spans="1:63" s="4" customFormat="1" x14ac:dyDescent="0.3">
      <c r="A181" s="17" t="str">
        <f t="shared" si="14"/>
        <v/>
      </c>
      <c r="B181" s="18"/>
      <c r="C181" s="27">
        <f t="shared" si="15"/>
        <v>0</v>
      </c>
      <c r="D181" s="17">
        <f t="shared" si="16"/>
        <v>1</v>
      </c>
      <c r="E181" s="29">
        <f t="shared" si="20"/>
        <v>0</v>
      </c>
      <c r="F181" s="8">
        <f>IFERROR(VLOOKUP(B181,PVSKTC!$A$4:$D$1048576,2,0),0)</f>
        <v>0</v>
      </c>
      <c r="G181" s="8">
        <f>IFERROR(VLOOKUP(B181,PVSKTC!$A$4:$D$1048576,3,0),0)</f>
        <v>0</v>
      </c>
      <c r="H181" s="8">
        <f>IFERROR(VLOOKUP(B181,PVSKTC!$A$4:$D$1048576,4,0),0)</f>
        <v>0</v>
      </c>
      <c r="I181" s="14" t="str">
        <f>IFERROR(IF(E181&gt;0,THTT!E$2,""),"")</f>
        <v/>
      </c>
      <c r="J181" s="15" t="str">
        <f t="shared" si="17"/>
        <v/>
      </c>
      <c r="K181" s="8" t="str">
        <f t="shared" si="18"/>
        <v/>
      </c>
      <c r="L181" s="8" t="str">
        <f t="shared" si="19"/>
        <v/>
      </c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</row>
    <row r="182" spans="1:63" s="4" customFormat="1" x14ac:dyDescent="0.3">
      <c r="A182" s="17" t="str">
        <f t="shared" si="14"/>
        <v/>
      </c>
      <c r="B182" s="18"/>
      <c r="C182" s="27">
        <f t="shared" si="15"/>
        <v>0</v>
      </c>
      <c r="D182" s="17">
        <f t="shared" si="16"/>
        <v>1</v>
      </c>
      <c r="E182" s="29">
        <f t="shared" si="20"/>
        <v>0</v>
      </c>
      <c r="F182" s="8">
        <f>IFERROR(VLOOKUP(B182,PVSKTC!$A$4:$D$1048576,2,0),0)</f>
        <v>0</v>
      </c>
      <c r="G182" s="8">
        <f>IFERROR(VLOOKUP(B182,PVSKTC!$A$4:$D$1048576,3,0),0)</f>
        <v>0</v>
      </c>
      <c r="H182" s="8">
        <f>IFERROR(VLOOKUP(B182,PVSKTC!$A$4:$D$1048576,4,0),0)</f>
        <v>0</v>
      </c>
      <c r="I182" s="14" t="str">
        <f>IFERROR(IF(E182&gt;0,THTT!E$2,""),"")</f>
        <v/>
      </c>
      <c r="J182" s="15" t="str">
        <f t="shared" si="17"/>
        <v/>
      </c>
      <c r="K182" s="8" t="str">
        <f t="shared" si="18"/>
        <v/>
      </c>
      <c r="L182" s="8" t="str">
        <f t="shared" si="19"/>
        <v/>
      </c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</row>
    <row r="183" spans="1:63" s="4" customFormat="1" x14ac:dyDescent="0.3">
      <c r="A183" s="17" t="str">
        <f t="shared" si="14"/>
        <v/>
      </c>
      <c r="B183" s="18"/>
      <c r="C183" s="27">
        <f t="shared" si="15"/>
        <v>0</v>
      </c>
      <c r="D183" s="17">
        <f t="shared" si="16"/>
        <v>1</v>
      </c>
      <c r="E183" s="29">
        <f t="shared" si="20"/>
        <v>0</v>
      </c>
      <c r="F183" s="8">
        <f>IFERROR(VLOOKUP(B183,PVSKTC!$A$4:$D$1048576,2,0),0)</f>
        <v>0</v>
      </c>
      <c r="G183" s="8">
        <f>IFERROR(VLOOKUP(B183,PVSKTC!$A$4:$D$1048576,3,0),0)</f>
        <v>0</v>
      </c>
      <c r="H183" s="8">
        <f>IFERROR(VLOOKUP(B183,PVSKTC!$A$4:$D$1048576,4,0),0)</f>
        <v>0</v>
      </c>
      <c r="I183" s="14" t="str">
        <f>IFERROR(IF(E183&gt;0,THTT!E$2,""),"")</f>
        <v/>
      </c>
      <c r="J183" s="15" t="str">
        <f t="shared" si="17"/>
        <v/>
      </c>
      <c r="K183" s="8" t="str">
        <f t="shared" si="18"/>
        <v/>
      </c>
      <c r="L183" s="8" t="str">
        <f t="shared" si="19"/>
        <v/>
      </c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</row>
    <row r="184" spans="1:63" s="4" customFormat="1" x14ac:dyDescent="0.3">
      <c r="A184" s="17" t="str">
        <f t="shared" si="14"/>
        <v/>
      </c>
      <c r="B184" s="18"/>
      <c r="C184" s="27">
        <f t="shared" si="15"/>
        <v>0</v>
      </c>
      <c r="D184" s="17">
        <f t="shared" si="16"/>
        <v>1</v>
      </c>
      <c r="E184" s="29">
        <f t="shared" si="20"/>
        <v>0</v>
      </c>
      <c r="F184" s="8">
        <f>IFERROR(VLOOKUP(B184,PVSKTC!$A$4:$D$1048576,2,0),0)</f>
        <v>0</v>
      </c>
      <c r="G184" s="8">
        <f>IFERROR(VLOOKUP(B184,PVSKTC!$A$4:$D$1048576,3,0),0)</f>
        <v>0</v>
      </c>
      <c r="H184" s="8">
        <f>IFERROR(VLOOKUP(B184,PVSKTC!$A$4:$D$1048576,4,0),0)</f>
        <v>0</v>
      </c>
      <c r="I184" s="14" t="str">
        <f>IFERROR(IF(E184&gt;0,THTT!E$2,""),"")</f>
        <v/>
      </c>
      <c r="J184" s="15" t="str">
        <f t="shared" si="17"/>
        <v/>
      </c>
      <c r="K184" s="8" t="str">
        <f t="shared" si="18"/>
        <v/>
      </c>
      <c r="L184" s="8" t="str">
        <f t="shared" si="19"/>
        <v/>
      </c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</row>
    <row r="185" spans="1:63" s="4" customFormat="1" x14ac:dyDescent="0.3">
      <c r="A185" s="17" t="str">
        <f t="shared" si="14"/>
        <v/>
      </c>
      <c r="B185" s="18"/>
      <c r="C185" s="27">
        <f t="shared" si="15"/>
        <v>0</v>
      </c>
      <c r="D185" s="17">
        <f t="shared" si="16"/>
        <v>1</v>
      </c>
      <c r="E185" s="29">
        <f t="shared" si="20"/>
        <v>0</v>
      </c>
      <c r="F185" s="8">
        <f>IFERROR(VLOOKUP(B185,PVSKTC!$A$4:$D$1048576,2,0),0)</f>
        <v>0</v>
      </c>
      <c r="G185" s="8">
        <f>IFERROR(VLOOKUP(B185,PVSKTC!$A$4:$D$1048576,3,0),0)</f>
        <v>0</v>
      </c>
      <c r="H185" s="8">
        <f>IFERROR(VLOOKUP(B185,PVSKTC!$A$4:$D$1048576,4,0),0)</f>
        <v>0</v>
      </c>
      <c r="I185" s="14" t="str">
        <f>IFERROR(IF(E185&gt;0,THTT!E$2,""),"")</f>
        <v/>
      </c>
      <c r="J185" s="15" t="str">
        <f t="shared" si="17"/>
        <v/>
      </c>
      <c r="K185" s="8" t="str">
        <f t="shared" si="18"/>
        <v/>
      </c>
      <c r="L185" s="8" t="str">
        <f t="shared" si="19"/>
        <v/>
      </c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</row>
    <row r="186" spans="1:63" s="4" customFormat="1" x14ac:dyDescent="0.3">
      <c r="A186" s="17" t="str">
        <f t="shared" si="14"/>
        <v/>
      </c>
      <c r="B186" s="18"/>
      <c r="C186" s="27">
        <f t="shared" si="15"/>
        <v>0</v>
      </c>
      <c r="D186" s="17">
        <f t="shared" si="16"/>
        <v>1</v>
      </c>
      <c r="E186" s="29">
        <f t="shared" si="20"/>
        <v>0</v>
      </c>
      <c r="F186" s="8">
        <f>IFERROR(VLOOKUP(B186,PVSKTC!$A$4:$D$1048576,2,0),0)</f>
        <v>0</v>
      </c>
      <c r="G186" s="8">
        <f>IFERROR(VLOOKUP(B186,PVSKTC!$A$4:$D$1048576,3,0),0)</f>
        <v>0</v>
      </c>
      <c r="H186" s="8">
        <f>IFERROR(VLOOKUP(B186,PVSKTC!$A$4:$D$1048576,4,0),0)</f>
        <v>0</v>
      </c>
      <c r="I186" s="14" t="str">
        <f>IFERROR(IF(E186&gt;0,THTT!E$2,""),"")</f>
        <v/>
      </c>
      <c r="J186" s="15" t="str">
        <f t="shared" si="17"/>
        <v/>
      </c>
      <c r="K186" s="8" t="str">
        <f t="shared" si="18"/>
        <v/>
      </c>
      <c r="L186" s="8" t="str">
        <f t="shared" si="19"/>
        <v/>
      </c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</row>
    <row r="187" spans="1:63" s="4" customFormat="1" x14ac:dyDescent="0.3">
      <c r="A187" s="17" t="str">
        <f t="shared" si="14"/>
        <v/>
      </c>
      <c r="B187" s="18"/>
      <c r="C187" s="27">
        <f t="shared" si="15"/>
        <v>0</v>
      </c>
      <c r="D187" s="17">
        <f t="shared" si="16"/>
        <v>1</v>
      </c>
      <c r="E187" s="29">
        <f t="shared" si="20"/>
        <v>0</v>
      </c>
      <c r="F187" s="8">
        <f>IFERROR(VLOOKUP(B187,PVSKTC!$A$4:$D$1048576,2,0),0)</f>
        <v>0</v>
      </c>
      <c r="G187" s="8">
        <f>IFERROR(VLOOKUP(B187,PVSKTC!$A$4:$D$1048576,3,0),0)</f>
        <v>0</v>
      </c>
      <c r="H187" s="8">
        <f>IFERROR(VLOOKUP(B187,PVSKTC!$A$4:$D$1048576,4,0),0)</f>
        <v>0</v>
      </c>
      <c r="I187" s="14" t="str">
        <f>IFERROR(IF(E187&gt;0,THTT!E$2,""),"")</f>
        <v/>
      </c>
      <c r="J187" s="15" t="str">
        <f t="shared" si="17"/>
        <v/>
      </c>
      <c r="K187" s="8" t="str">
        <f t="shared" si="18"/>
        <v/>
      </c>
      <c r="L187" s="8" t="str">
        <f t="shared" si="19"/>
        <v/>
      </c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</row>
    <row r="188" spans="1:63" s="4" customFormat="1" x14ac:dyDescent="0.3">
      <c r="A188" s="17" t="str">
        <f t="shared" si="14"/>
        <v/>
      </c>
      <c r="B188" s="18"/>
      <c r="C188" s="27">
        <f t="shared" si="15"/>
        <v>0</v>
      </c>
      <c r="D188" s="17">
        <f t="shared" si="16"/>
        <v>1</v>
      </c>
      <c r="E188" s="29">
        <f t="shared" si="20"/>
        <v>0</v>
      </c>
      <c r="F188" s="8">
        <f>IFERROR(VLOOKUP(B188,PVSKTC!$A$4:$D$1048576,2,0),0)</f>
        <v>0</v>
      </c>
      <c r="G188" s="8">
        <f>IFERROR(VLOOKUP(B188,PVSKTC!$A$4:$D$1048576,3,0),0)</f>
        <v>0</v>
      </c>
      <c r="H188" s="8">
        <f>IFERROR(VLOOKUP(B188,PVSKTC!$A$4:$D$1048576,4,0),0)</f>
        <v>0</v>
      </c>
      <c r="I188" s="14" t="str">
        <f>IFERROR(IF(E188&gt;0,THTT!E$2,""),"")</f>
        <v/>
      </c>
      <c r="J188" s="15" t="str">
        <f t="shared" si="17"/>
        <v/>
      </c>
      <c r="K188" s="8" t="str">
        <f t="shared" si="18"/>
        <v/>
      </c>
      <c r="L188" s="8" t="str">
        <f t="shared" si="19"/>
        <v/>
      </c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</row>
    <row r="189" spans="1:63" s="4" customFormat="1" x14ac:dyDescent="0.3">
      <c r="A189" s="17" t="str">
        <f t="shared" si="14"/>
        <v/>
      </c>
      <c r="B189" s="18"/>
      <c r="C189" s="27">
        <f t="shared" si="15"/>
        <v>0</v>
      </c>
      <c r="D189" s="17">
        <f t="shared" si="16"/>
        <v>1</v>
      </c>
      <c r="E189" s="29">
        <f t="shared" si="20"/>
        <v>0</v>
      </c>
      <c r="F189" s="8">
        <f>IFERROR(VLOOKUP(B189,PVSKTC!$A$4:$D$1048576,2,0),0)</f>
        <v>0</v>
      </c>
      <c r="G189" s="8">
        <f>IFERROR(VLOOKUP(B189,PVSKTC!$A$4:$D$1048576,3,0),0)</f>
        <v>0</v>
      </c>
      <c r="H189" s="8">
        <f>IFERROR(VLOOKUP(B189,PVSKTC!$A$4:$D$1048576,4,0),0)</f>
        <v>0</v>
      </c>
      <c r="I189" s="14" t="str">
        <f>IFERROR(IF(E189&gt;0,THTT!E$2,""),"")</f>
        <v/>
      </c>
      <c r="J189" s="15" t="str">
        <f t="shared" si="17"/>
        <v/>
      </c>
      <c r="K189" s="8" t="str">
        <f t="shared" si="18"/>
        <v/>
      </c>
      <c r="L189" s="8" t="str">
        <f t="shared" si="19"/>
        <v/>
      </c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</row>
    <row r="190" spans="1:63" s="4" customFormat="1" x14ac:dyDescent="0.3">
      <c r="A190" s="17" t="str">
        <f t="shared" si="14"/>
        <v/>
      </c>
      <c r="B190" s="18"/>
      <c r="C190" s="27">
        <f t="shared" si="15"/>
        <v>0</v>
      </c>
      <c r="D190" s="17">
        <f t="shared" si="16"/>
        <v>1</v>
      </c>
      <c r="E190" s="29">
        <f t="shared" si="20"/>
        <v>0</v>
      </c>
      <c r="F190" s="8">
        <f>IFERROR(VLOOKUP(B190,PVSKTC!$A$4:$D$1048576,2,0),0)</f>
        <v>0</v>
      </c>
      <c r="G190" s="8">
        <f>IFERROR(VLOOKUP(B190,PVSKTC!$A$4:$D$1048576,3,0),0)</f>
        <v>0</v>
      </c>
      <c r="H190" s="8">
        <f>IFERROR(VLOOKUP(B190,PVSKTC!$A$4:$D$1048576,4,0),0)</f>
        <v>0</v>
      </c>
      <c r="I190" s="14" t="str">
        <f>IFERROR(IF(E190&gt;0,THTT!E$2,""),"")</f>
        <v/>
      </c>
      <c r="J190" s="15" t="str">
        <f t="shared" si="17"/>
        <v/>
      </c>
      <c r="K190" s="8" t="str">
        <f t="shared" si="18"/>
        <v/>
      </c>
      <c r="L190" s="8" t="str">
        <f t="shared" si="19"/>
        <v/>
      </c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</row>
    <row r="191" spans="1:63" s="4" customFormat="1" x14ac:dyDescent="0.3">
      <c r="A191" s="17" t="str">
        <f t="shared" si="14"/>
        <v/>
      </c>
      <c r="B191" s="18"/>
      <c r="C191" s="27">
        <f t="shared" si="15"/>
        <v>0</v>
      </c>
      <c r="D191" s="17">
        <f t="shared" si="16"/>
        <v>1</v>
      </c>
      <c r="E191" s="29">
        <f t="shared" si="20"/>
        <v>0</v>
      </c>
      <c r="F191" s="8">
        <f>IFERROR(VLOOKUP(B191,PVSKTC!$A$4:$D$1048576,2,0),0)</f>
        <v>0</v>
      </c>
      <c r="G191" s="8">
        <f>IFERROR(VLOOKUP(B191,PVSKTC!$A$4:$D$1048576,3,0),0)</f>
        <v>0</v>
      </c>
      <c r="H191" s="8">
        <f>IFERROR(VLOOKUP(B191,PVSKTC!$A$4:$D$1048576,4,0),0)</f>
        <v>0</v>
      </c>
      <c r="I191" s="14" t="str">
        <f>IFERROR(IF(E191&gt;0,THTT!E$2,""),"")</f>
        <v/>
      </c>
      <c r="J191" s="15" t="str">
        <f t="shared" si="17"/>
        <v/>
      </c>
      <c r="K191" s="8" t="str">
        <f t="shared" si="18"/>
        <v/>
      </c>
      <c r="L191" s="8" t="str">
        <f t="shared" si="19"/>
        <v/>
      </c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</row>
    <row r="192" spans="1:63" s="4" customFormat="1" x14ac:dyDescent="0.3">
      <c r="A192" s="17" t="str">
        <f t="shared" si="14"/>
        <v/>
      </c>
      <c r="B192" s="18"/>
      <c r="C192" s="27">
        <f t="shared" si="15"/>
        <v>0</v>
      </c>
      <c r="D192" s="17">
        <f t="shared" si="16"/>
        <v>1</v>
      </c>
      <c r="E192" s="29">
        <f t="shared" si="20"/>
        <v>0</v>
      </c>
      <c r="F192" s="8">
        <f>IFERROR(VLOOKUP(B192,PVSKTC!$A$4:$D$1048576,2,0),0)</f>
        <v>0</v>
      </c>
      <c r="G192" s="8">
        <f>IFERROR(VLOOKUP(B192,PVSKTC!$A$4:$D$1048576,3,0),0)</f>
        <v>0</v>
      </c>
      <c r="H192" s="8">
        <f>IFERROR(VLOOKUP(B192,PVSKTC!$A$4:$D$1048576,4,0),0)</f>
        <v>0</v>
      </c>
      <c r="I192" s="14" t="str">
        <f>IFERROR(IF(E192&gt;0,THTT!E$2,""),"")</f>
        <v/>
      </c>
      <c r="J192" s="15" t="str">
        <f t="shared" si="17"/>
        <v/>
      </c>
      <c r="K192" s="8" t="str">
        <f t="shared" si="18"/>
        <v/>
      </c>
      <c r="L192" s="8" t="str">
        <f t="shared" si="19"/>
        <v/>
      </c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</row>
    <row r="193" spans="1:63" s="4" customFormat="1" x14ac:dyDescent="0.3">
      <c r="A193" s="17" t="str">
        <f t="shared" si="14"/>
        <v/>
      </c>
      <c r="B193" s="18"/>
      <c r="C193" s="27">
        <f t="shared" si="15"/>
        <v>0</v>
      </c>
      <c r="D193" s="17">
        <f t="shared" si="16"/>
        <v>1</v>
      </c>
      <c r="E193" s="29">
        <f t="shared" si="20"/>
        <v>0</v>
      </c>
      <c r="F193" s="8">
        <f>IFERROR(VLOOKUP(B193,PVSKTC!$A$4:$D$1048576,2,0),0)</f>
        <v>0</v>
      </c>
      <c r="G193" s="8">
        <f>IFERROR(VLOOKUP(B193,PVSKTC!$A$4:$D$1048576,3,0),0)</f>
        <v>0</v>
      </c>
      <c r="H193" s="8">
        <f>IFERROR(VLOOKUP(B193,PVSKTC!$A$4:$D$1048576,4,0),0)</f>
        <v>0</v>
      </c>
      <c r="I193" s="14" t="str">
        <f>IFERROR(IF(E193&gt;0,THTT!E$2,""),"")</f>
        <v/>
      </c>
      <c r="J193" s="15" t="str">
        <f t="shared" si="17"/>
        <v/>
      </c>
      <c r="K193" s="8" t="str">
        <f t="shared" si="18"/>
        <v/>
      </c>
      <c r="L193" s="8" t="str">
        <f t="shared" si="19"/>
        <v/>
      </c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</row>
    <row r="194" spans="1:63" s="4" customFormat="1" x14ac:dyDescent="0.3">
      <c r="A194" s="17" t="str">
        <f t="shared" si="14"/>
        <v/>
      </c>
      <c r="B194" s="18"/>
      <c r="C194" s="27">
        <f t="shared" si="15"/>
        <v>0</v>
      </c>
      <c r="D194" s="17">
        <f t="shared" si="16"/>
        <v>1</v>
      </c>
      <c r="E194" s="29">
        <f t="shared" si="20"/>
        <v>0</v>
      </c>
      <c r="F194" s="8">
        <f>IFERROR(VLOOKUP(B194,PVSKTC!$A$4:$D$1048576,2,0),0)</f>
        <v>0</v>
      </c>
      <c r="G194" s="8">
        <f>IFERROR(VLOOKUP(B194,PVSKTC!$A$4:$D$1048576,3,0),0)</f>
        <v>0</v>
      </c>
      <c r="H194" s="8">
        <f>IFERROR(VLOOKUP(B194,PVSKTC!$A$4:$D$1048576,4,0),0)</f>
        <v>0</v>
      </c>
      <c r="I194" s="14" t="str">
        <f>IFERROR(IF(E194&gt;0,THTT!E$2,""),"")</f>
        <v/>
      </c>
      <c r="J194" s="15" t="str">
        <f t="shared" si="17"/>
        <v/>
      </c>
      <c r="K194" s="8" t="str">
        <f t="shared" si="18"/>
        <v/>
      </c>
      <c r="L194" s="8" t="str">
        <f t="shared" si="19"/>
        <v/>
      </c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</row>
    <row r="195" spans="1:63" s="4" customFormat="1" x14ac:dyDescent="0.3">
      <c r="A195" s="17" t="str">
        <f t="shared" si="14"/>
        <v/>
      </c>
      <c r="B195" s="18"/>
      <c r="C195" s="27">
        <f t="shared" si="15"/>
        <v>0</v>
      </c>
      <c r="D195" s="17">
        <f t="shared" si="16"/>
        <v>1</v>
      </c>
      <c r="E195" s="29">
        <f t="shared" si="20"/>
        <v>0</v>
      </c>
      <c r="F195" s="8">
        <f>IFERROR(VLOOKUP(B195,PVSKTC!$A$4:$D$1048576,2,0),0)</f>
        <v>0</v>
      </c>
      <c r="G195" s="8">
        <f>IFERROR(VLOOKUP(B195,PVSKTC!$A$4:$D$1048576,3,0),0)</f>
        <v>0</v>
      </c>
      <c r="H195" s="8">
        <f>IFERROR(VLOOKUP(B195,PVSKTC!$A$4:$D$1048576,4,0),0)</f>
        <v>0</v>
      </c>
      <c r="I195" s="14" t="str">
        <f>IFERROR(IF(E195&gt;0,THTT!E$2,""),"")</f>
        <v/>
      </c>
      <c r="J195" s="15" t="str">
        <f t="shared" si="17"/>
        <v/>
      </c>
      <c r="K195" s="8" t="str">
        <f t="shared" si="18"/>
        <v/>
      </c>
      <c r="L195" s="8" t="str">
        <f t="shared" si="19"/>
        <v/>
      </c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</row>
    <row r="196" spans="1:63" s="4" customFormat="1" x14ac:dyDescent="0.3">
      <c r="A196" s="17" t="str">
        <f t="shared" si="14"/>
        <v/>
      </c>
      <c r="B196" s="18"/>
      <c r="C196" s="27">
        <f t="shared" si="15"/>
        <v>0</v>
      </c>
      <c r="D196" s="17">
        <f t="shared" si="16"/>
        <v>1</v>
      </c>
      <c r="E196" s="29">
        <f t="shared" si="20"/>
        <v>0</v>
      </c>
      <c r="F196" s="8">
        <f>IFERROR(VLOOKUP(B196,PVSKTC!$A$4:$D$1048576,2,0),0)</f>
        <v>0</v>
      </c>
      <c r="G196" s="8">
        <f>IFERROR(VLOOKUP(B196,PVSKTC!$A$4:$D$1048576,3,0),0)</f>
        <v>0</v>
      </c>
      <c r="H196" s="8">
        <f>IFERROR(VLOOKUP(B196,PVSKTC!$A$4:$D$1048576,4,0),0)</f>
        <v>0</v>
      </c>
      <c r="I196" s="14" t="str">
        <f>IFERROR(IF(E196&gt;0,THTT!E$2,""),"")</f>
        <v/>
      </c>
      <c r="J196" s="15" t="str">
        <f t="shared" si="17"/>
        <v/>
      </c>
      <c r="K196" s="8" t="str">
        <f t="shared" si="18"/>
        <v/>
      </c>
      <c r="L196" s="8" t="str">
        <f t="shared" si="19"/>
        <v/>
      </c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</row>
    <row r="197" spans="1:63" s="4" customFormat="1" x14ac:dyDescent="0.3">
      <c r="A197" s="17" t="str">
        <f t="shared" si="14"/>
        <v/>
      </c>
      <c r="B197" s="18"/>
      <c r="C197" s="27">
        <f t="shared" si="15"/>
        <v>0</v>
      </c>
      <c r="D197" s="17">
        <f t="shared" si="16"/>
        <v>1</v>
      </c>
      <c r="E197" s="29">
        <f t="shared" si="20"/>
        <v>0</v>
      </c>
      <c r="F197" s="8">
        <f>IFERROR(VLOOKUP(B197,PVSKTC!$A$4:$D$1048576,2,0),0)</f>
        <v>0</v>
      </c>
      <c r="G197" s="8">
        <f>IFERROR(VLOOKUP(B197,PVSKTC!$A$4:$D$1048576,3,0),0)</f>
        <v>0</v>
      </c>
      <c r="H197" s="8">
        <f>IFERROR(VLOOKUP(B197,PVSKTC!$A$4:$D$1048576,4,0),0)</f>
        <v>0</v>
      </c>
      <c r="I197" s="14" t="str">
        <f>IFERROR(IF(E197&gt;0,THTT!E$2,""),"")</f>
        <v/>
      </c>
      <c r="J197" s="15" t="str">
        <f t="shared" si="17"/>
        <v/>
      </c>
      <c r="K197" s="8" t="str">
        <f t="shared" si="18"/>
        <v/>
      </c>
      <c r="L197" s="8" t="str">
        <f t="shared" si="19"/>
        <v/>
      </c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</row>
    <row r="198" spans="1:63" s="4" customFormat="1" x14ac:dyDescent="0.3">
      <c r="A198" s="17" t="str">
        <f t="shared" si="14"/>
        <v/>
      </c>
      <c r="B198" s="18"/>
      <c r="C198" s="27">
        <f t="shared" si="15"/>
        <v>0</v>
      </c>
      <c r="D198" s="17">
        <f t="shared" si="16"/>
        <v>1</v>
      </c>
      <c r="E198" s="29">
        <f t="shared" si="20"/>
        <v>0</v>
      </c>
      <c r="F198" s="8">
        <f>IFERROR(VLOOKUP(B198,PVSKTC!$A$4:$D$1048576,2,0),0)</f>
        <v>0</v>
      </c>
      <c r="G198" s="8">
        <f>IFERROR(VLOOKUP(B198,PVSKTC!$A$4:$D$1048576,3,0),0)</f>
        <v>0</v>
      </c>
      <c r="H198" s="8">
        <f>IFERROR(VLOOKUP(B198,PVSKTC!$A$4:$D$1048576,4,0),0)</f>
        <v>0</v>
      </c>
      <c r="I198" s="14" t="str">
        <f>IFERROR(IF(E198&gt;0,THTT!E$2,""),"")</f>
        <v/>
      </c>
      <c r="J198" s="15" t="str">
        <f t="shared" si="17"/>
        <v/>
      </c>
      <c r="K198" s="8" t="str">
        <f t="shared" si="18"/>
        <v/>
      </c>
      <c r="L198" s="8" t="str">
        <f t="shared" si="19"/>
        <v/>
      </c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</row>
    <row r="199" spans="1:63" s="4" customFormat="1" x14ac:dyDescent="0.3">
      <c r="A199" s="17" t="str">
        <f t="shared" si="14"/>
        <v/>
      </c>
      <c r="B199" s="18"/>
      <c r="C199" s="27">
        <f t="shared" si="15"/>
        <v>0</v>
      </c>
      <c r="D199" s="17">
        <f t="shared" si="16"/>
        <v>1</v>
      </c>
      <c r="E199" s="29">
        <f t="shared" si="20"/>
        <v>0</v>
      </c>
      <c r="F199" s="8">
        <f>IFERROR(VLOOKUP(B199,PVSKTC!$A$4:$D$1048576,2,0),0)</f>
        <v>0</v>
      </c>
      <c r="G199" s="8">
        <f>IFERROR(VLOOKUP(B199,PVSKTC!$A$4:$D$1048576,3,0),0)</f>
        <v>0</v>
      </c>
      <c r="H199" s="8">
        <f>IFERROR(VLOOKUP(B199,PVSKTC!$A$4:$D$1048576,4,0),0)</f>
        <v>0</v>
      </c>
      <c r="I199" s="14" t="str">
        <f>IFERROR(IF(E199&gt;0,THTT!E$2,""),"")</f>
        <v/>
      </c>
      <c r="J199" s="15" t="str">
        <f t="shared" si="17"/>
        <v/>
      </c>
      <c r="K199" s="8" t="str">
        <f t="shared" si="18"/>
        <v/>
      </c>
      <c r="L199" s="8" t="str">
        <f t="shared" si="19"/>
        <v/>
      </c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</row>
    <row r="200" spans="1:63" s="4" customFormat="1" x14ac:dyDescent="0.3">
      <c r="A200" s="17" t="str">
        <f t="shared" si="14"/>
        <v/>
      </c>
      <c r="B200" s="18"/>
      <c r="C200" s="27">
        <f t="shared" si="15"/>
        <v>0</v>
      </c>
      <c r="D200" s="17">
        <f t="shared" si="16"/>
        <v>1</v>
      </c>
      <c r="E200" s="29">
        <f>E199+F200-G200</f>
        <v>0</v>
      </c>
      <c r="F200" s="8">
        <f>IFERROR(VLOOKUP(B200,PVSKTC!$A$4:$D$1048576,2,0),0)</f>
        <v>0</v>
      </c>
      <c r="G200" s="8">
        <f>IFERROR(VLOOKUP(B200,PVSKTC!$A$4:$D$1048576,3,0),0)</f>
        <v>0</v>
      </c>
      <c r="H200" s="8">
        <f>IFERROR(VLOOKUP(B200,PVSKTC!$A$4:$D$1048576,4,0),0)</f>
        <v>0</v>
      </c>
      <c r="I200" s="14" t="str">
        <f>IFERROR(IF(E200&gt;0,THTT!E$2,""),"")</f>
        <v/>
      </c>
      <c r="J200" s="15" t="str">
        <f t="shared" si="17"/>
        <v/>
      </c>
      <c r="K200" s="8" t="str">
        <f t="shared" si="18"/>
        <v/>
      </c>
      <c r="L200" s="8" t="str">
        <f t="shared" si="19"/>
        <v/>
      </c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</row>
    <row r="201" spans="1:63" s="4" customFormat="1" x14ac:dyDescent="0.3">
      <c r="A201" s="17" t="str">
        <f t="shared" ref="A201:A264" si="21">IF(E201&lt;=0,"",IF(B201&gt;=$B$9,"QUÁ HẠN","TRONG HẠN"))</f>
        <v/>
      </c>
      <c r="B201" s="27"/>
      <c r="C201" s="27">
        <f t="shared" si="15"/>
        <v>0</v>
      </c>
      <c r="D201" s="17">
        <f t="shared" ref="D201:D264" si="22">C201-B201+1</f>
        <v>1</v>
      </c>
      <c r="E201" s="29">
        <f t="shared" ref="E201:E264" si="23">E200+F201-G201</f>
        <v>0</v>
      </c>
      <c r="F201" s="8">
        <f>IFERROR(VLOOKUP(B201,PVSKTC!$A$4:$D$1048576,2,0),0)</f>
        <v>0</v>
      </c>
      <c r="G201" s="8">
        <f>IFERROR(VLOOKUP(B201,PVSKTC!$A$4:$D$1048576,3,0),0)</f>
        <v>0</v>
      </c>
      <c r="H201" s="8">
        <f>IFERROR(VLOOKUP(B201,PVSKTC!$A$4:$D$1048576,4,0),0)</f>
        <v>0</v>
      </c>
      <c r="I201" s="14" t="str">
        <f>IFERROR(IF(E201&gt;0,THTT!E$2,""),"")</f>
        <v/>
      </c>
      <c r="J201" s="15" t="str">
        <f t="shared" ref="J201:J264" si="24">IF(A201="QUÁ HẠN",I201*150%,"")</f>
        <v/>
      </c>
      <c r="K201" s="8" t="str">
        <f t="shared" ref="K201:K264" si="25">IF(AND(E201&gt;0,A201="TRONG HẠN"),E201*I201*D201/365,"")</f>
        <v/>
      </c>
      <c r="L201" s="8" t="str">
        <f t="shared" ref="L201:L264" si="26">IF(A201="QUÁ HẠN",E201*J201*D201/365,"")</f>
        <v/>
      </c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</row>
    <row r="202" spans="1:63" s="4" customFormat="1" x14ac:dyDescent="0.3">
      <c r="A202" s="17" t="str">
        <f t="shared" si="21"/>
        <v/>
      </c>
      <c r="B202" s="27"/>
      <c r="C202" s="27">
        <f t="shared" si="15"/>
        <v>0</v>
      </c>
      <c r="D202" s="17">
        <f t="shared" si="22"/>
        <v>1</v>
      </c>
      <c r="E202" s="29">
        <f t="shared" si="23"/>
        <v>0</v>
      </c>
      <c r="F202" s="8">
        <f>IFERROR(VLOOKUP(B202,PVSKTC!$A$4:$D$1048576,2,0),0)</f>
        <v>0</v>
      </c>
      <c r="G202" s="8">
        <f>IFERROR(VLOOKUP(B202,PVSKTC!$A$4:$D$1048576,3,0),0)</f>
        <v>0</v>
      </c>
      <c r="H202" s="8">
        <f>IFERROR(VLOOKUP(B202,PVSKTC!$A$4:$D$1048576,4,0),0)</f>
        <v>0</v>
      </c>
      <c r="I202" s="14" t="str">
        <f>IFERROR(IF(E202&gt;0,THTT!E$2,""),"")</f>
        <v/>
      </c>
      <c r="J202" s="15" t="str">
        <f t="shared" si="24"/>
        <v/>
      </c>
      <c r="K202" s="8" t="str">
        <f t="shared" si="25"/>
        <v/>
      </c>
      <c r="L202" s="8" t="str">
        <f t="shared" si="26"/>
        <v/>
      </c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</row>
    <row r="203" spans="1:63" s="4" customFormat="1" x14ac:dyDescent="0.3">
      <c r="A203" s="17" t="str">
        <f t="shared" si="21"/>
        <v/>
      </c>
      <c r="B203" s="27"/>
      <c r="C203" s="27">
        <f t="shared" si="15"/>
        <v>0</v>
      </c>
      <c r="D203" s="17">
        <f t="shared" si="22"/>
        <v>1</v>
      </c>
      <c r="E203" s="29">
        <f t="shared" si="23"/>
        <v>0</v>
      </c>
      <c r="F203" s="8">
        <f>IFERROR(VLOOKUP(B203,PVSKTC!$A$4:$D$1048576,2,0),0)</f>
        <v>0</v>
      </c>
      <c r="G203" s="8">
        <f>IFERROR(VLOOKUP(B203,PVSKTC!$A$4:$D$1048576,3,0),0)</f>
        <v>0</v>
      </c>
      <c r="H203" s="8">
        <f>IFERROR(VLOOKUP(B203,PVSKTC!$A$4:$D$1048576,4,0),0)</f>
        <v>0</v>
      </c>
      <c r="I203" s="14" t="str">
        <f>IFERROR(IF(E203&gt;0,THTT!E$2,""),"")</f>
        <v/>
      </c>
      <c r="J203" s="15" t="str">
        <f t="shared" si="24"/>
        <v/>
      </c>
      <c r="K203" s="8" t="str">
        <f t="shared" si="25"/>
        <v/>
      </c>
      <c r="L203" s="8" t="str">
        <f t="shared" si="26"/>
        <v/>
      </c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</row>
    <row r="204" spans="1:63" s="4" customFormat="1" x14ac:dyDescent="0.3">
      <c r="A204" s="17" t="str">
        <f t="shared" si="21"/>
        <v/>
      </c>
      <c r="B204" s="27"/>
      <c r="C204" s="27">
        <f t="shared" si="15"/>
        <v>0</v>
      </c>
      <c r="D204" s="17">
        <f t="shared" si="22"/>
        <v>1</v>
      </c>
      <c r="E204" s="29">
        <f t="shared" si="23"/>
        <v>0</v>
      </c>
      <c r="F204" s="8">
        <f>IFERROR(VLOOKUP(B204,PVSKTC!$A$4:$D$1048576,2,0),0)</f>
        <v>0</v>
      </c>
      <c r="G204" s="8">
        <f>IFERROR(VLOOKUP(B204,PVSKTC!$A$4:$D$1048576,3,0),0)</f>
        <v>0</v>
      </c>
      <c r="H204" s="8">
        <f>IFERROR(VLOOKUP(B204,PVSKTC!$A$4:$D$1048576,4,0),0)</f>
        <v>0</v>
      </c>
      <c r="I204" s="14" t="str">
        <f>IFERROR(IF(E204&gt;0,THTT!E$2,""),"")</f>
        <v/>
      </c>
      <c r="J204" s="15" t="str">
        <f t="shared" si="24"/>
        <v/>
      </c>
      <c r="K204" s="8" t="str">
        <f t="shared" si="25"/>
        <v/>
      </c>
      <c r="L204" s="8" t="str">
        <f t="shared" si="26"/>
        <v/>
      </c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</row>
    <row r="205" spans="1:63" s="4" customFormat="1" x14ac:dyDescent="0.3">
      <c r="A205" s="17" t="str">
        <f t="shared" si="21"/>
        <v/>
      </c>
      <c r="B205" s="27"/>
      <c r="C205" s="27">
        <f t="shared" si="15"/>
        <v>0</v>
      </c>
      <c r="D205" s="17">
        <f t="shared" si="22"/>
        <v>1</v>
      </c>
      <c r="E205" s="29">
        <f t="shared" si="23"/>
        <v>0</v>
      </c>
      <c r="F205" s="8">
        <f>IFERROR(VLOOKUP(B205,PVSKTC!$A$4:$D$1048576,2,0),0)</f>
        <v>0</v>
      </c>
      <c r="G205" s="8">
        <f>IFERROR(VLOOKUP(B205,PVSKTC!$A$4:$D$1048576,3,0),0)</f>
        <v>0</v>
      </c>
      <c r="H205" s="8">
        <f>IFERROR(VLOOKUP(B205,PVSKTC!$A$4:$D$1048576,4,0),0)</f>
        <v>0</v>
      </c>
      <c r="I205" s="14" t="str">
        <f>IFERROR(IF(E205&gt;0,THTT!E$2,""),"")</f>
        <v/>
      </c>
      <c r="J205" s="15" t="str">
        <f t="shared" si="24"/>
        <v/>
      </c>
      <c r="K205" s="8" t="str">
        <f t="shared" si="25"/>
        <v/>
      </c>
      <c r="L205" s="8" t="str">
        <f t="shared" si="26"/>
        <v/>
      </c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</row>
    <row r="206" spans="1:63" s="4" customFormat="1" x14ac:dyDescent="0.3">
      <c r="A206" s="17" t="str">
        <f t="shared" si="21"/>
        <v/>
      </c>
      <c r="B206" s="27"/>
      <c r="C206" s="27">
        <f t="shared" ref="C206:C269" si="27">IFERROR(IF(B207="", $B$10, B207-1), $B$10)</f>
        <v>0</v>
      </c>
      <c r="D206" s="17">
        <f t="shared" si="22"/>
        <v>1</v>
      </c>
      <c r="E206" s="29">
        <f t="shared" si="23"/>
        <v>0</v>
      </c>
      <c r="F206" s="8">
        <f>IFERROR(VLOOKUP(B206,PVSKTC!$A$4:$D$1048576,2,0),0)</f>
        <v>0</v>
      </c>
      <c r="G206" s="8">
        <f>IFERROR(VLOOKUP(B206,PVSKTC!$A$4:$D$1048576,3,0),0)</f>
        <v>0</v>
      </c>
      <c r="H206" s="8">
        <f>IFERROR(VLOOKUP(B206,PVSKTC!$A$4:$D$1048576,4,0),0)</f>
        <v>0</v>
      </c>
      <c r="I206" s="14" t="str">
        <f>IFERROR(IF(E206&gt;0,THTT!E$2,""),"")</f>
        <v/>
      </c>
      <c r="J206" s="15" t="str">
        <f t="shared" si="24"/>
        <v/>
      </c>
      <c r="K206" s="8" t="str">
        <f t="shared" si="25"/>
        <v/>
      </c>
      <c r="L206" s="8" t="str">
        <f t="shared" si="26"/>
        <v/>
      </c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</row>
    <row r="207" spans="1:63" s="4" customFormat="1" x14ac:dyDescent="0.3">
      <c r="A207" s="17" t="str">
        <f t="shared" si="21"/>
        <v/>
      </c>
      <c r="B207" s="27"/>
      <c r="C207" s="27">
        <f t="shared" si="27"/>
        <v>0</v>
      </c>
      <c r="D207" s="17">
        <f t="shared" si="22"/>
        <v>1</v>
      </c>
      <c r="E207" s="29">
        <f t="shared" si="23"/>
        <v>0</v>
      </c>
      <c r="F207" s="8">
        <f>IFERROR(VLOOKUP(B207,PVSKTC!$A$4:$D$1048576,2,0),0)</f>
        <v>0</v>
      </c>
      <c r="G207" s="8">
        <f>IFERROR(VLOOKUP(B207,PVSKTC!$A$4:$D$1048576,3,0),0)</f>
        <v>0</v>
      </c>
      <c r="H207" s="8">
        <f>IFERROR(VLOOKUP(B207,PVSKTC!$A$4:$D$1048576,4,0),0)</f>
        <v>0</v>
      </c>
      <c r="I207" s="14" t="str">
        <f>IFERROR(IF(E207&gt;0,THTT!E$2,""),"")</f>
        <v/>
      </c>
      <c r="J207" s="15" t="str">
        <f t="shared" si="24"/>
        <v/>
      </c>
      <c r="K207" s="8" t="str">
        <f t="shared" si="25"/>
        <v/>
      </c>
      <c r="L207" s="8" t="str">
        <f t="shared" si="26"/>
        <v/>
      </c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</row>
    <row r="208" spans="1:63" s="4" customFormat="1" x14ac:dyDescent="0.3">
      <c r="A208" s="17" t="str">
        <f t="shared" si="21"/>
        <v/>
      </c>
      <c r="B208" s="27"/>
      <c r="C208" s="27">
        <f t="shared" si="27"/>
        <v>0</v>
      </c>
      <c r="D208" s="17">
        <f t="shared" si="22"/>
        <v>1</v>
      </c>
      <c r="E208" s="29">
        <f t="shared" si="23"/>
        <v>0</v>
      </c>
      <c r="F208" s="8">
        <f>IFERROR(VLOOKUP(B208,PVSKTC!$A$4:$D$1048576,2,0),0)</f>
        <v>0</v>
      </c>
      <c r="G208" s="8">
        <f>IFERROR(VLOOKUP(B208,PVSKTC!$A$4:$D$1048576,3,0),0)</f>
        <v>0</v>
      </c>
      <c r="H208" s="8">
        <f>IFERROR(VLOOKUP(B208,PVSKTC!$A$4:$D$1048576,4,0),0)</f>
        <v>0</v>
      </c>
      <c r="I208" s="14" t="str">
        <f>IFERROR(IF(E208&gt;0,THTT!E$2,""),"")</f>
        <v/>
      </c>
      <c r="J208" s="15" t="str">
        <f t="shared" si="24"/>
        <v/>
      </c>
      <c r="K208" s="8" t="str">
        <f t="shared" si="25"/>
        <v/>
      </c>
      <c r="L208" s="8" t="str">
        <f t="shared" si="26"/>
        <v/>
      </c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</row>
    <row r="209" spans="1:63" s="4" customFormat="1" x14ac:dyDescent="0.3">
      <c r="A209" s="17" t="str">
        <f t="shared" si="21"/>
        <v/>
      </c>
      <c r="B209" s="27"/>
      <c r="C209" s="27">
        <f t="shared" si="27"/>
        <v>0</v>
      </c>
      <c r="D209" s="17">
        <f t="shared" si="22"/>
        <v>1</v>
      </c>
      <c r="E209" s="29">
        <f t="shared" si="23"/>
        <v>0</v>
      </c>
      <c r="F209" s="8">
        <f>IFERROR(VLOOKUP(B209,PVSKTC!$A$4:$D$1048576,2,0),0)</f>
        <v>0</v>
      </c>
      <c r="G209" s="8">
        <f>IFERROR(VLOOKUP(B209,PVSKTC!$A$4:$D$1048576,3,0),0)</f>
        <v>0</v>
      </c>
      <c r="H209" s="8">
        <f>IFERROR(VLOOKUP(B209,PVSKTC!$A$4:$D$1048576,4,0),0)</f>
        <v>0</v>
      </c>
      <c r="I209" s="14" t="str">
        <f>IFERROR(IF(E209&gt;0,THTT!E$2,""),"")</f>
        <v/>
      </c>
      <c r="J209" s="15" t="str">
        <f t="shared" si="24"/>
        <v/>
      </c>
      <c r="K209" s="8" t="str">
        <f t="shared" si="25"/>
        <v/>
      </c>
      <c r="L209" s="8" t="str">
        <f t="shared" si="26"/>
        <v/>
      </c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</row>
    <row r="210" spans="1:63" s="4" customFormat="1" x14ac:dyDescent="0.3">
      <c r="A210" s="17" t="str">
        <f t="shared" si="21"/>
        <v/>
      </c>
      <c r="B210" s="27"/>
      <c r="C210" s="27">
        <f t="shared" si="27"/>
        <v>0</v>
      </c>
      <c r="D210" s="17">
        <f t="shared" si="22"/>
        <v>1</v>
      </c>
      <c r="E210" s="29">
        <f t="shared" si="23"/>
        <v>0</v>
      </c>
      <c r="F210" s="8">
        <f>IFERROR(VLOOKUP(B210,PVSKTC!$A$4:$D$1048576,2,0),0)</f>
        <v>0</v>
      </c>
      <c r="G210" s="8">
        <f>IFERROR(VLOOKUP(B210,PVSKTC!$A$4:$D$1048576,3,0),0)</f>
        <v>0</v>
      </c>
      <c r="H210" s="8">
        <f>IFERROR(VLOOKUP(B210,PVSKTC!$A$4:$D$1048576,4,0),0)</f>
        <v>0</v>
      </c>
      <c r="I210" s="14" t="str">
        <f>IFERROR(IF(E210&gt;0,THTT!E$2,""),"")</f>
        <v/>
      </c>
      <c r="J210" s="15" t="str">
        <f t="shared" si="24"/>
        <v/>
      </c>
      <c r="K210" s="8" t="str">
        <f t="shared" si="25"/>
        <v/>
      </c>
      <c r="L210" s="8" t="str">
        <f t="shared" si="26"/>
        <v/>
      </c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</row>
    <row r="211" spans="1:63" s="4" customFormat="1" x14ac:dyDescent="0.3">
      <c r="A211" s="17" t="str">
        <f t="shared" si="21"/>
        <v/>
      </c>
      <c r="B211" s="27"/>
      <c r="C211" s="27">
        <f t="shared" si="27"/>
        <v>0</v>
      </c>
      <c r="D211" s="17">
        <f t="shared" si="22"/>
        <v>1</v>
      </c>
      <c r="E211" s="29">
        <f t="shared" si="23"/>
        <v>0</v>
      </c>
      <c r="F211" s="8">
        <f>IFERROR(VLOOKUP(B211,PVSKTC!$A$4:$D$1048576,2,0),0)</f>
        <v>0</v>
      </c>
      <c r="G211" s="8">
        <f>IFERROR(VLOOKUP(B211,PVSKTC!$A$4:$D$1048576,3,0),0)</f>
        <v>0</v>
      </c>
      <c r="H211" s="8">
        <f>IFERROR(VLOOKUP(B211,PVSKTC!$A$4:$D$1048576,4,0),0)</f>
        <v>0</v>
      </c>
      <c r="I211" s="14" t="str">
        <f>IFERROR(IF(E211&gt;0,THTT!E$2,""),"")</f>
        <v/>
      </c>
      <c r="J211" s="15" t="str">
        <f t="shared" si="24"/>
        <v/>
      </c>
      <c r="K211" s="8" t="str">
        <f t="shared" si="25"/>
        <v/>
      </c>
      <c r="L211" s="8" t="str">
        <f t="shared" si="26"/>
        <v/>
      </c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</row>
    <row r="212" spans="1:63" s="4" customFormat="1" x14ac:dyDescent="0.3">
      <c r="A212" s="17" t="str">
        <f t="shared" si="21"/>
        <v/>
      </c>
      <c r="B212" s="27"/>
      <c r="C212" s="27">
        <f t="shared" si="27"/>
        <v>0</v>
      </c>
      <c r="D212" s="17">
        <f t="shared" si="22"/>
        <v>1</v>
      </c>
      <c r="E212" s="29">
        <f t="shared" si="23"/>
        <v>0</v>
      </c>
      <c r="F212" s="8">
        <f>IFERROR(VLOOKUP(B212,PVSKTC!$A$4:$D$1048576,2,0),0)</f>
        <v>0</v>
      </c>
      <c r="G212" s="8">
        <f>IFERROR(VLOOKUP(B212,PVSKTC!$A$4:$D$1048576,3,0),0)</f>
        <v>0</v>
      </c>
      <c r="H212" s="8">
        <f>IFERROR(VLOOKUP(B212,PVSKTC!$A$4:$D$1048576,4,0),0)</f>
        <v>0</v>
      </c>
      <c r="I212" s="14" t="str">
        <f>IFERROR(IF(E212&gt;0,THTT!E$2,""),"")</f>
        <v/>
      </c>
      <c r="J212" s="15" t="str">
        <f t="shared" si="24"/>
        <v/>
      </c>
      <c r="K212" s="8" t="str">
        <f t="shared" si="25"/>
        <v/>
      </c>
      <c r="L212" s="8" t="str">
        <f t="shared" si="26"/>
        <v/>
      </c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</row>
    <row r="213" spans="1:63" s="4" customFormat="1" x14ac:dyDescent="0.3">
      <c r="A213" s="17" t="str">
        <f t="shared" si="21"/>
        <v/>
      </c>
      <c r="B213" s="27"/>
      <c r="C213" s="27">
        <f t="shared" si="27"/>
        <v>0</v>
      </c>
      <c r="D213" s="17">
        <f t="shared" si="22"/>
        <v>1</v>
      </c>
      <c r="E213" s="29">
        <f t="shared" si="23"/>
        <v>0</v>
      </c>
      <c r="F213" s="8">
        <f>IFERROR(VLOOKUP(B213,PVSKTC!$A$4:$D$1048576,2,0),0)</f>
        <v>0</v>
      </c>
      <c r="G213" s="8">
        <f>IFERROR(VLOOKUP(B213,PVSKTC!$A$4:$D$1048576,3,0),0)</f>
        <v>0</v>
      </c>
      <c r="H213" s="8">
        <f>IFERROR(VLOOKUP(B213,PVSKTC!$A$4:$D$1048576,4,0),0)</f>
        <v>0</v>
      </c>
      <c r="I213" s="14" t="str">
        <f>IFERROR(IF(E213&gt;0,THTT!E$2,""),"")</f>
        <v/>
      </c>
      <c r="J213" s="15" t="str">
        <f t="shared" si="24"/>
        <v/>
      </c>
      <c r="K213" s="8" t="str">
        <f t="shared" si="25"/>
        <v/>
      </c>
      <c r="L213" s="8" t="str">
        <f t="shared" si="26"/>
        <v/>
      </c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</row>
    <row r="214" spans="1:63" s="4" customFormat="1" x14ac:dyDescent="0.3">
      <c r="A214" s="17" t="str">
        <f t="shared" si="21"/>
        <v/>
      </c>
      <c r="B214" s="27"/>
      <c r="C214" s="27">
        <f t="shared" si="27"/>
        <v>0</v>
      </c>
      <c r="D214" s="17">
        <f t="shared" si="22"/>
        <v>1</v>
      </c>
      <c r="E214" s="29">
        <f t="shared" si="23"/>
        <v>0</v>
      </c>
      <c r="F214" s="8">
        <f>IFERROR(VLOOKUP(B214,PVSKTC!$A$4:$D$1048576,2,0),0)</f>
        <v>0</v>
      </c>
      <c r="G214" s="8">
        <f>IFERROR(VLOOKUP(B214,PVSKTC!$A$4:$D$1048576,3,0),0)</f>
        <v>0</v>
      </c>
      <c r="H214" s="8">
        <f>IFERROR(VLOOKUP(B214,PVSKTC!$A$4:$D$1048576,4,0),0)</f>
        <v>0</v>
      </c>
      <c r="I214" s="14" t="str">
        <f>IFERROR(IF(E214&gt;0,THTT!E$2,""),"")</f>
        <v/>
      </c>
      <c r="J214" s="15" t="str">
        <f t="shared" si="24"/>
        <v/>
      </c>
      <c r="K214" s="8" t="str">
        <f t="shared" si="25"/>
        <v/>
      </c>
      <c r="L214" s="8" t="str">
        <f t="shared" si="26"/>
        <v/>
      </c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</row>
    <row r="215" spans="1:63" s="4" customFormat="1" x14ac:dyDescent="0.3">
      <c r="A215" s="17" t="str">
        <f t="shared" si="21"/>
        <v/>
      </c>
      <c r="B215" s="27"/>
      <c r="C215" s="27">
        <f t="shared" si="27"/>
        <v>0</v>
      </c>
      <c r="D215" s="17">
        <f t="shared" si="22"/>
        <v>1</v>
      </c>
      <c r="E215" s="29">
        <f t="shared" si="23"/>
        <v>0</v>
      </c>
      <c r="F215" s="8">
        <f>IFERROR(VLOOKUP(B215,PVSKTC!$A$4:$D$1048576,2,0),0)</f>
        <v>0</v>
      </c>
      <c r="G215" s="8">
        <f>IFERROR(VLOOKUP(B215,PVSKTC!$A$4:$D$1048576,3,0),0)</f>
        <v>0</v>
      </c>
      <c r="H215" s="8">
        <f>IFERROR(VLOOKUP(B215,PVSKTC!$A$4:$D$1048576,4,0),0)</f>
        <v>0</v>
      </c>
      <c r="I215" s="14" t="str">
        <f>IFERROR(IF(E215&gt;0,THTT!E$2,""),"")</f>
        <v/>
      </c>
      <c r="J215" s="15" t="str">
        <f t="shared" si="24"/>
        <v/>
      </c>
      <c r="K215" s="8" t="str">
        <f t="shared" si="25"/>
        <v/>
      </c>
      <c r="L215" s="8" t="str">
        <f t="shared" si="26"/>
        <v/>
      </c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</row>
    <row r="216" spans="1:63" s="4" customFormat="1" x14ac:dyDescent="0.3">
      <c r="A216" s="17" t="str">
        <f t="shared" si="21"/>
        <v/>
      </c>
      <c r="B216" s="27"/>
      <c r="C216" s="27">
        <f t="shared" si="27"/>
        <v>0</v>
      </c>
      <c r="D216" s="17">
        <f t="shared" si="22"/>
        <v>1</v>
      </c>
      <c r="E216" s="29">
        <f t="shared" si="23"/>
        <v>0</v>
      </c>
      <c r="F216" s="8">
        <f>IFERROR(VLOOKUP(B216,PVSKTC!$A$4:$D$1048576,2,0),0)</f>
        <v>0</v>
      </c>
      <c r="G216" s="8">
        <f>IFERROR(VLOOKUP(B216,PVSKTC!$A$4:$D$1048576,3,0),0)</f>
        <v>0</v>
      </c>
      <c r="H216" s="8">
        <f>IFERROR(VLOOKUP(B216,PVSKTC!$A$4:$D$1048576,4,0),0)</f>
        <v>0</v>
      </c>
      <c r="I216" s="14" t="str">
        <f>IFERROR(IF(E216&gt;0,THTT!E$2,""),"")</f>
        <v/>
      </c>
      <c r="J216" s="15" t="str">
        <f t="shared" si="24"/>
        <v/>
      </c>
      <c r="K216" s="8" t="str">
        <f t="shared" si="25"/>
        <v/>
      </c>
      <c r="L216" s="8" t="str">
        <f t="shared" si="26"/>
        <v/>
      </c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</row>
    <row r="217" spans="1:63" s="4" customFormat="1" x14ac:dyDescent="0.3">
      <c r="A217" s="17" t="str">
        <f t="shared" si="21"/>
        <v/>
      </c>
      <c r="B217" s="27"/>
      <c r="C217" s="27">
        <f t="shared" si="27"/>
        <v>0</v>
      </c>
      <c r="D217" s="17">
        <f t="shared" si="22"/>
        <v>1</v>
      </c>
      <c r="E217" s="29">
        <f t="shared" si="23"/>
        <v>0</v>
      </c>
      <c r="F217" s="8">
        <f>IFERROR(VLOOKUP(B217,PVSKTC!$A$4:$D$1048576,2,0),0)</f>
        <v>0</v>
      </c>
      <c r="G217" s="8">
        <f>IFERROR(VLOOKUP(B217,PVSKTC!$A$4:$D$1048576,3,0),0)</f>
        <v>0</v>
      </c>
      <c r="H217" s="8">
        <f>IFERROR(VLOOKUP(B217,PVSKTC!$A$4:$D$1048576,4,0),0)</f>
        <v>0</v>
      </c>
      <c r="I217" s="14" t="str">
        <f>IFERROR(IF(E217&gt;0,THTT!E$2,""),"")</f>
        <v/>
      </c>
      <c r="J217" s="15" t="str">
        <f t="shared" si="24"/>
        <v/>
      </c>
      <c r="K217" s="8" t="str">
        <f t="shared" si="25"/>
        <v/>
      </c>
      <c r="L217" s="8" t="str">
        <f t="shared" si="26"/>
        <v/>
      </c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</row>
    <row r="218" spans="1:63" s="4" customFormat="1" x14ac:dyDescent="0.3">
      <c r="A218" s="17" t="str">
        <f t="shared" si="21"/>
        <v/>
      </c>
      <c r="B218" s="27"/>
      <c r="C218" s="27">
        <f t="shared" si="27"/>
        <v>0</v>
      </c>
      <c r="D218" s="17">
        <f t="shared" si="22"/>
        <v>1</v>
      </c>
      <c r="E218" s="29">
        <f t="shared" si="23"/>
        <v>0</v>
      </c>
      <c r="F218" s="8">
        <f>IFERROR(VLOOKUP(B218,PVSKTC!$A$4:$D$1048576,2,0),0)</f>
        <v>0</v>
      </c>
      <c r="G218" s="8">
        <f>IFERROR(VLOOKUP(B218,PVSKTC!$A$4:$D$1048576,3,0),0)</f>
        <v>0</v>
      </c>
      <c r="H218" s="8">
        <f>IFERROR(VLOOKUP(B218,PVSKTC!$A$4:$D$1048576,4,0),0)</f>
        <v>0</v>
      </c>
      <c r="I218" s="14" t="str">
        <f>IFERROR(IF(E218&gt;0,THTT!E$2,""),"")</f>
        <v/>
      </c>
      <c r="J218" s="15" t="str">
        <f t="shared" si="24"/>
        <v/>
      </c>
      <c r="K218" s="8" t="str">
        <f t="shared" si="25"/>
        <v/>
      </c>
      <c r="L218" s="8" t="str">
        <f t="shared" si="26"/>
        <v/>
      </c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</row>
    <row r="219" spans="1:63" s="4" customFormat="1" x14ac:dyDescent="0.3">
      <c r="A219" s="17" t="str">
        <f t="shared" si="21"/>
        <v/>
      </c>
      <c r="B219" s="27"/>
      <c r="C219" s="27">
        <f t="shared" si="27"/>
        <v>0</v>
      </c>
      <c r="D219" s="17">
        <f t="shared" si="22"/>
        <v>1</v>
      </c>
      <c r="E219" s="29">
        <f t="shared" si="23"/>
        <v>0</v>
      </c>
      <c r="F219" s="8">
        <f>IFERROR(VLOOKUP(B219,PVSKTC!$A$4:$D$1048576,2,0),0)</f>
        <v>0</v>
      </c>
      <c r="G219" s="8">
        <f>IFERROR(VLOOKUP(B219,PVSKTC!$A$4:$D$1048576,3,0),0)</f>
        <v>0</v>
      </c>
      <c r="H219" s="8">
        <f>IFERROR(VLOOKUP(B219,PVSKTC!$A$4:$D$1048576,4,0),0)</f>
        <v>0</v>
      </c>
      <c r="I219" s="14" t="str">
        <f>IFERROR(IF(E219&gt;0,THTT!E$2,""),"")</f>
        <v/>
      </c>
      <c r="J219" s="15" t="str">
        <f t="shared" si="24"/>
        <v/>
      </c>
      <c r="K219" s="8" t="str">
        <f t="shared" si="25"/>
        <v/>
      </c>
      <c r="L219" s="8" t="str">
        <f t="shared" si="26"/>
        <v/>
      </c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</row>
    <row r="220" spans="1:63" s="4" customFormat="1" x14ac:dyDescent="0.3">
      <c r="A220" s="17" t="str">
        <f t="shared" si="21"/>
        <v/>
      </c>
      <c r="B220" s="27"/>
      <c r="C220" s="27">
        <f t="shared" si="27"/>
        <v>0</v>
      </c>
      <c r="D220" s="17">
        <f t="shared" si="22"/>
        <v>1</v>
      </c>
      <c r="E220" s="29">
        <f t="shared" si="23"/>
        <v>0</v>
      </c>
      <c r="F220" s="8">
        <f>IFERROR(VLOOKUP(B220,PVSKTC!$A$4:$D$1048576,2,0),0)</f>
        <v>0</v>
      </c>
      <c r="G220" s="8">
        <f>IFERROR(VLOOKUP(B220,PVSKTC!$A$4:$D$1048576,3,0),0)</f>
        <v>0</v>
      </c>
      <c r="H220" s="8">
        <f>IFERROR(VLOOKUP(B220,PVSKTC!$A$4:$D$1048576,4,0),0)</f>
        <v>0</v>
      </c>
      <c r="I220" s="14" t="str">
        <f>IFERROR(IF(E220&gt;0,THTT!E$2,""),"")</f>
        <v/>
      </c>
      <c r="J220" s="15" t="str">
        <f t="shared" si="24"/>
        <v/>
      </c>
      <c r="K220" s="8" t="str">
        <f t="shared" si="25"/>
        <v/>
      </c>
      <c r="L220" s="8" t="str">
        <f t="shared" si="26"/>
        <v/>
      </c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</row>
    <row r="221" spans="1:63" s="4" customFormat="1" x14ac:dyDescent="0.3">
      <c r="A221" s="17" t="str">
        <f t="shared" si="21"/>
        <v/>
      </c>
      <c r="B221" s="27"/>
      <c r="C221" s="27">
        <f t="shared" si="27"/>
        <v>0</v>
      </c>
      <c r="D221" s="17">
        <f t="shared" si="22"/>
        <v>1</v>
      </c>
      <c r="E221" s="29">
        <f t="shared" si="23"/>
        <v>0</v>
      </c>
      <c r="F221" s="8">
        <f>IFERROR(VLOOKUP(B221,PVSKTC!$A$4:$D$1048576,2,0),0)</f>
        <v>0</v>
      </c>
      <c r="G221" s="8">
        <f>IFERROR(VLOOKUP(B221,PVSKTC!$A$4:$D$1048576,3,0),0)</f>
        <v>0</v>
      </c>
      <c r="H221" s="8">
        <f>IFERROR(VLOOKUP(B221,PVSKTC!$A$4:$D$1048576,4,0),0)</f>
        <v>0</v>
      </c>
      <c r="I221" s="14" t="str">
        <f>IFERROR(IF(E221&gt;0,THTT!E$2,""),"")</f>
        <v/>
      </c>
      <c r="J221" s="15" t="str">
        <f t="shared" si="24"/>
        <v/>
      </c>
      <c r="K221" s="8" t="str">
        <f t="shared" si="25"/>
        <v/>
      </c>
      <c r="L221" s="8" t="str">
        <f t="shared" si="26"/>
        <v/>
      </c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</row>
    <row r="222" spans="1:63" s="4" customFormat="1" x14ac:dyDescent="0.3">
      <c r="A222" s="17" t="str">
        <f t="shared" si="21"/>
        <v/>
      </c>
      <c r="B222" s="27"/>
      <c r="C222" s="27">
        <f t="shared" si="27"/>
        <v>0</v>
      </c>
      <c r="D222" s="17">
        <f t="shared" si="22"/>
        <v>1</v>
      </c>
      <c r="E222" s="29">
        <f t="shared" si="23"/>
        <v>0</v>
      </c>
      <c r="F222" s="8">
        <f>IFERROR(VLOOKUP(B222,PVSKTC!$A$4:$D$1048576,2,0),0)</f>
        <v>0</v>
      </c>
      <c r="G222" s="8">
        <f>IFERROR(VLOOKUP(B222,PVSKTC!$A$4:$D$1048576,3,0),0)</f>
        <v>0</v>
      </c>
      <c r="H222" s="8">
        <f>IFERROR(VLOOKUP(B222,PVSKTC!$A$4:$D$1048576,4,0),0)</f>
        <v>0</v>
      </c>
      <c r="I222" s="14" t="str">
        <f>IFERROR(IF(E222&gt;0,THTT!E$2,""),"")</f>
        <v/>
      </c>
      <c r="J222" s="15" t="str">
        <f t="shared" si="24"/>
        <v/>
      </c>
      <c r="K222" s="8" t="str">
        <f t="shared" si="25"/>
        <v/>
      </c>
      <c r="L222" s="8" t="str">
        <f t="shared" si="26"/>
        <v/>
      </c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</row>
    <row r="223" spans="1:63" s="4" customFormat="1" x14ac:dyDescent="0.3">
      <c r="A223" s="17" t="str">
        <f t="shared" si="21"/>
        <v/>
      </c>
      <c r="B223" s="27"/>
      <c r="C223" s="27">
        <f t="shared" si="27"/>
        <v>0</v>
      </c>
      <c r="D223" s="17">
        <f t="shared" si="22"/>
        <v>1</v>
      </c>
      <c r="E223" s="29">
        <f t="shared" si="23"/>
        <v>0</v>
      </c>
      <c r="F223" s="8">
        <f>IFERROR(VLOOKUP(B223,PVSKTC!$A$4:$D$1048576,2,0),0)</f>
        <v>0</v>
      </c>
      <c r="G223" s="8">
        <f>IFERROR(VLOOKUP(B223,PVSKTC!$A$4:$D$1048576,3,0),0)</f>
        <v>0</v>
      </c>
      <c r="H223" s="8">
        <f>IFERROR(VLOOKUP(B223,PVSKTC!$A$4:$D$1048576,4,0),0)</f>
        <v>0</v>
      </c>
      <c r="I223" s="14" t="str">
        <f>IFERROR(IF(E223&gt;0,THTT!E$2,""),"")</f>
        <v/>
      </c>
      <c r="J223" s="15" t="str">
        <f t="shared" si="24"/>
        <v/>
      </c>
      <c r="K223" s="8" t="str">
        <f t="shared" si="25"/>
        <v/>
      </c>
      <c r="L223" s="8" t="str">
        <f t="shared" si="26"/>
        <v/>
      </c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</row>
    <row r="224" spans="1:63" s="4" customFormat="1" x14ac:dyDescent="0.3">
      <c r="A224" s="17" t="str">
        <f t="shared" si="21"/>
        <v/>
      </c>
      <c r="B224" s="27"/>
      <c r="C224" s="27">
        <f t="shared" si="27"/>
        <v>0</v>
      </c>
      <c r="D224" s="17">
        <f t="shared" si="22"/>
        <v>1</v>
      </c>
      <c r="E224" s="29">
        <f t="shared" si="23"/>
        <v>0</v>
      </c>
      <c r="F224" s="8">
        <f>IFERROR(VLOOKUP(B224,PVSKTC!$A$4:$D$1048576,2,0),0)</f>
        <v>0</v>
      </c>
      <c r="G224" s="8">
        <f>IFERROR(VLOOKUP(B224,PVSKTC!$A$4:$D$1048576,3,0),0)</f>
        <v>0</v>
      </c>
      <c r="H224" s="8">
        <f>IFERROR(VLOOKUP(B224,PVSKTC!$A$4:$D$1048576,4,0),0)</f>
        <v>0</v>
      </c>
      <c r="I224" s="14" t="str">
        <f>IFERROR(IF(E224&gt;0,THTT!E$2,""),"")</f>
        <v/>
      </c>
      <c r="J224" s="15" t="str">
        <f t="shared" si="24"/>
        <v/>
      </c>
      <c r="K224" s="8" t="str">
        <f t="shared" si="25"/>
        <v/>
      </c>
      <c r="L224" s="8" t="str">
        <f t="shared" si="26"/>
        <v/>
      </c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</row>
    <row r="225" spans="1:63" s="4" customFormat="1" x14ac:dyDescent="0.3">
      <c r="A225" s="17" t="str">
        <f t="shared" si="21"/>
        <v/>
      </c>
      <c r="B225" s="27"/>
      <c r="C225" s="27">
        <f t="shared" si="27"/>
        <v>0</v>
      </c>
      <c r="D225" s="17">
        <f t="shared" si="22"/>
        <v>1</v>
      </c>
      <c r="E225" s="29">
        <f t="shared" si="23"/>
        <v>0</v>
      </c>
      <c r="F225" s="8">
        <f>IFERROR(VLOOKUP(B225,PVSKTC!$A$4:$D$1048576,2,0),0)</f>
        <v>0</v>
      </c>
      <c r="G225" s="8">
        <f>IFERROR(VLOOKUP(B225,PVSKTC!$A$4:$D$1048576,3,0),0)</f>
        <v>0</v>
      </c>
      <c r="H225" s="8">
        <f>IFERROR(VLOOKUP(B225,PVSKTC!$A$4:$D$1048576,4,0),0)</f>
        <v>0</v>
      </c>
      <c r="I225" s="14" t="str">
        <f>IFERROR(IF(E225&gt;0,THTT!E$2,""),"")</f>
        <v/>
      </c>
      <c r="J225" s="15" t="str">
        <f t="shared" si="24"/>
        <v/>
      </c>
      <c r="K225" s="8" t="str">
        <f t="shared" si="25"/>
        <v/>
      </c>
      <c r="L225" s="8" t="str">
        <f t="shared" si="26"/>
        <v/>
      </c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</row>
    <row r="226" spans="1:63" s="4" customFormat="1" x14ac:dyDescent="0.3">
      <c r="A226" s="17" t="str">
        <f t="shared" si="21"/>
        <v/>
      </c>
      <c r="B226" s="27"/>
      <c r="C226" s="27">
        <f t="shared" si="27"/>
        <v>0</v>
      </c>
      <c r="D226" s="17">
        <f t="shared" si="22"/>
        <v>1</v>
      </c>
      <c r="E226" s="29">
        <f t="shared" si="23"/>
        <v>0</v>
      </c>
      <c r="F226" s="8">
        <f>IFERROR(VLOOKUP(B226,PVSKTC!$A$4:$D$1048576,2,0),0)</f>
        <v>0</v>
      </c>
      <c r="G226" s="8">
        <f>IFERROR(VLOOKUP(B226,PVSKTC!$A$4:$D$1048576,3,0),0)</f>
        <v>0</v>
      </c>
      <c r="H226" s="8">
        <f>IFERROR(VLOOKUP(B226,PVSKTC!$A$4:$D$1048576,4,0),0)</f>
        <v>0</v>
      </c>
      <c r="I226" s="14" t="str">
        <f>IFERROR(IF(E226&gt;0,THTT!E$2,""),"")</f>
        <v/>
      </c>
      <c r="J226" s="15" t="str">
        <f t="shared" si="24"/>
        <v/>
      </c>
      <c r="K226" s="8" t="str">
        <f t="shared" si="25"/>
        <v/>
      </c>
      <c r="L226" s="8" t="str">
        <f t="shared" si="26"/>
        <v/>
      </c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</row>
    <row r="227" spans="1:63" s="4" customFormat="1" x14ac:dyDescent="0.3">
      <c r="A227" s="17" t="str">
        <f t="shared" si="21"/>
        <v/>
      </c>
      <c r="B227" s="27"/>
      <c r="C227" s="27">
        <f t="shared" si="27"/>
        <v>0</v>
      </c>
      <c r="D227" s="17">
        <f t="shared" si="22"/>
        <v>1</v>
      </c>
      <c r="E227" s="29">
        <f t="shared" si="23"/>
        <v>0</v>
      </c>
      <c r="F227" s="8">
        <f>IFERROR(VLOOKUP(B227,PVSKTC!$A$4:$D$1048576,2,0),0)</f>
        <v>0</v>
      </c>
      <c r="G227" s="8">
        <f>IFERROR(VLOOKUP(B227,PVSKTC!$A$4:$D$1048576,3,0),0)</f>
        <v>0</v>
      </c>
      <c r="H227" s="8">
        <f>IFERROR(VLOOKUP(B227,PVSKTC!$A$4:$D$1048576,4,0),0)</f>
        <v>0</v>
      </c>
      <c r="I227" s="14" t="str">
        <f>IFERROR(IF(E227&gt;0,THTT!E$2,""),"")</f>
        <v/>
      </c>
      <c r="J227" s="15" t="str">
        <f t="shared" si="24"/>
        <v/>
      </c>
      <c r="K227" s="8" t="str">
        <f t="shared" si="25"/>
        <v/>
      </c>
      <c r="L227" s="8" t="str">
        <f t="shared" si="26"/>
        <v/>
      </c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</row>
    <row r="228" spans="1:63" s="4" customFormat="1" x14ac:dyDescent="0.3">
      <c r="A228" s="17" t="str">
        <f t="shared" si="21"/>
        <v/>
      </c>
      <c r="B228" s="27"/>
      <c r="C228" s="27">
        <f t="shared" si="27"/>
        <v>0</v>
      </c>
      <c r="D228" s="17">
        <f t="shared" si="22"/>
        <v>1</v>
      </c>
      <c r="E228" s="29">
        <f t="shared" si="23"/>
        <v>0</v>
      </c>
      <c r="F228" s="8">
        <f>IFERROR(VLOOKUP(B228,PVSKTC!$A$4:$D$1048576,2,0),0)</f>
        <v>0</v>
      </c>
      <c r="G228" s="8">
        <f>IFERROR(VLOOKUP(B228,PVSKTC!$A$4:$D$1048576,3,0),0)</f>
        <v>0</v>
      </c>
      <c r="H228" s="8">
        <f>IFERROR(VLOOKUP(B228,PVSKTC!$A$4:$D$1048576,4,0),0)</f>
        <v>0</v>
      </c>
      <c r="I228" s="14" t="str">
        <f>IFERROR(IF(E228&gt;0,THTT!E$2,""),"")</f>
        <v/>
      </c>
      <c r="J228" s="15" t="str">
        <f t="shared" si="24"/>
        <v/>
      </c>
      <c r="K228" s="8" t="str">
        <f t="shared" si="25"/>
        <v/>
      </c>
      <c r="L228" s="8" t="str">
        <f t="shared" si="26"/>
        <v/>
      </c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</row>
    <row r="229" spans="1:63" s="4" customFormat="1" x14ac:dyDescent="0.3">
      <c r="A229" s="17" t="str">
        <f t="shared" si="21"/>
        <v/>
      </c>
      <c r="B229" s="27"/>
      <c r="C229" s="27">
        <f t="shared" si="27"/>
        <v>0</v>
      </c>
      <c r="D229" s="17">
        <f t="shared" si="22"/>
        <v>1</v>
      </c>
      <c r="E229" s="29">
        <f t="shared" si="23"/>
        <v>0</v>
      </c>
      <c r="F229" s="8">
        <f>IFERROR(VLOOKUP(B229,PVSKTC!$A$4:$D$1048576,2,0),0)</f>
        <v>0</v>
      </c>
      <c r="G229" s="8">
        <f>IFERROR(VLOOKUP(B229,PVSKTC!$A$4:$D$1048576,3,0),0)</f>
        <v>0</v>
      </c>
      <c r="H229" s="8">
        <f>IFERROR(VLOOKUP(B229,PVSKTC!$A$4:$D$1048576,4,0),0)</f>
        <v>0</v>
      </c>
      <c r="I229" s="14" t="str">
        <f>IFERROR(IF(E229&gt;0,THTT!E$2,""),"")</f>
        <v/>
      </c>
      <c r="J229" s="15" t="str">
        <f t="shared" si="24"/>
        <v/>
      </c>
      <c r="K229" s="8" t="str">
        <f t="shared" si="25"/>
        <v/>
      </c>
      <c r="L229" s="8" t="str">
        <f t="shared" si="26"/>
        <v/>
      </c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</row>
    <row r="230" spans="1:63" s="4" customFormat="1" x14ac:dyDescent="0.3">
      <c r="A230" s="17" t="str">
        <f t="shared" si="21"/>
        <v/>
      </c>
      <c r="B230" s="27"/>
      <c r="C230" s="27">
        <f t="shared" si="27"/>
        <v>0</v>
      </c>
      <c r="D230" s="17">
        <f t="shared" si="22"/>
        <v>1</v>
      </c>
      <c r="E230" s="29">
        <f t="shared" si="23"/>
        <v>0</v>
      </c>
      <c r="F230" s="8">
        <f>IFERROR(VLOOKUP(B230,PVSKTC!$A$4:$D$1048576,2,0),0)</f>
        <v>0</v>
      </c>
      <c r="G230" s="8">
        <f>IFERROR(VLOOKUP(B230,PVSKTC!$A$4:$D$1048576,3,0),0)</f>
        <v>0</v>
      </c>
      <c r="H230" s="8">
        <f>IFERROR(VLOOKUP(B230,PVSKTC!$A$4:$D$1048576,4,0),0)</f>
        <v>0</v>
      </c>
      <c r="I230" s="14" t="str">
        <f>IFERROR(IF(E230&gt;0,THTT!E$2,""),"")</f>
        <v/>
      </c>
      <c r="J230" s="15" t="str">
        <f t="shared" si="24"/>
        <v/>
      </c>
      <c r="K230" s="8" t="str">
        <f t="shared" si="25"/>
        <v/>
      </c>
      <c r="L230" s="8" t="str">
        <f t="shared" si="26"/>
        <v/>
      </c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</row>
    <row r="231" spans="1:63" s="4" customFormat="1" x14ac:dyDescent="0.3">
      <c r="A231" s="17" t="str">
        <f t="shared" si="21"/>
        <v/>
      </c>
      <c r="B231" s="27"/>
      <c r="C231" s="27">
        <f t="shared" si="27"/>
        <v>0</v>
      </c>
      <c r="D231" s="17">
        <f t="shared" si="22"/>
        <v>1</v>
      </c>
      <c r="E231" s="29">
        <f t="shared" si="23"/>
        <v>0</v>
      </c>
      <c r="F231" s="8">
        <f>IFERROR(VLOOKUP(B231,PVSKTC!$A$4:$D$1048576,2,0),0)</f>
        <v>0</v>
      </c>
      <c r="G231" s="8">
        <f>IFERROR(VLOOKUP(B231,PVSKTC!$A$4:$D$1048576,3,0),0)</f>
        <v>0</v>
      </c>
      <c r="H231" s="8">
        <f>IFERROR(VLOOKUP(B231,PVSKTC!$A$4:$D$1048576,4,0),0)</f>
        <v>0</v>
      </c>
      <c r="I231" s="14" t="str">
        <f>IFERROR(IF(E231&gt;0,THTT!E$2,""),"")</f>
        <v/>
      </c>
      <c r="J231" s="15" t="str">
        <f t="shared" si="24"/>
        <v/>
      </c>
      <c r="K231" s="8" t="str">
        <f t="shared" si="25"/>
        <v/>
      </c>
      <c r="L231" s="8" t="str">
        <f t="shared" si="26"/>
        <v/>
      </c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</row>
    <row r="232" spans="1:63" s="4" customFormat="1" x14ac:dyDescent="0.3">
      <c r="A232" s="17" t="str">
        <f t="shared" si="21"/>
        <v/>
      </c>
      <c r="B232" s="27"/>
      <c r="C232" s="27">
        <f t="shared" si="27"/>
        <v>0</v>
      </c>
      <c r="D232" s="17">
        <f t="shared" si="22"/>
        <v>1</v>
      </c>
      <c r="E232" s="29">
        <f t="shared" si="23"/>
        <v>0</v>
      </c>
      <c r="F232" s="8">
        <f>IFERROR(VLOOKUP(B232,PVSKTC!$A$4:$D$1048576,2,0),0)</f>
        <v>0</v>
      </c>
      <c r="G232" s="8">
        <f>IFERROR(VLOOKUP(B232,PVSKTC!$A$4:$D$1048576,3,0),0)</f>
        <v>0</v>
      </c>
      <c r="H232" s="8">
        <f>IFERROR(VLOOKUP(B232,PVSKTC!$A$4:$D$1048576,4,0),0)</f>
        <v>0</v>
      </c>
      <c r="I232" s="14" t="str">
        <f>IFERROR(IF(E232&gt;0,THTT!E$2,""),"")</f>
        <v/>
      </c>
      <c r="J232" s="15" t="str">
        <f t="shared" si="24"/>
        <v/>
      </c>
      <c r="K232" s="8" t="str">
        <f t="shared" si="25"/>
        <v/>
      </c>
      <c r="L232" s="8" t="str">
        <f t="shared" si="26"/>
        <v/>
      </c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</row>
    <row r="233" spans="1:63" s="4" customFormat="1" x14ac:dyDescent="0.3">
      <c r="A233" s="17" t="str">
        <f t="shared" si="21"/>
        <v/>
      </c>
      <c r="B233" s="27"/>
      <c r="C233" s="27">
        <f t="shared" si="27"/>
        <v>0</v>
      </c>
      <c r="D233" s="17">
        <f t="shared" si="22"/>
        <v>1</v>
      </c>
      <c r="E233" s="29">
        <f t="shared" si="23"/>
        <v>0</v>
      </c>
      <c r="F233" s="8">
        <f>IFERROR(VLOOKUP(B233,PVSKTC!$A$4:$D$1048576,2,0),0)</f>
        <v>0</v>
      </c>
      <c r="G233" s="8">
        <f>IFERROR(VLOOKUP(B233,PVSKTC!$A$4:$D$1048576,3,0),0)</f>
        <v>0</v>
      </c>
      <c r="H233" s="8">
        <f>IFERROR(VLOOKUP(B233,PVSKTC!$A$4:$D$1048576,4,0),0)</f>
        <v>0</v>
      </c>
      <c r="I233" s="14" t="str">
        <f>IFERROR(IF(E233&gt;0,THTT!E$2,""),"")</f>
        <v/>
      </c>
      <c r="J233" s="15" t="str">
        <f t="shared" si="24"/>
        <v/>
      </c>
      <c r="K233" s="8" t="str">
        <f t="shared" si="25"/>
        <v/>
      </c>
      <c r="L233" s="8" t="str">
        <f t="shared" si="26"/>
        <v/>
      </c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</row>
    <row r="234" spans="1:63" s="4" customFormat="1" x14ac:dyDescent="0.3">
      <c r="A234" s="17" t="str">
        <f t="shared" si="21"/>
        <v/>
      </c>
      <c r="B234" s="27"/>
      <c r="C234" s="27">
        <f t="shared" si="27"/>
        <v>0</v>
      </c>
      <c r="D234" s="17">
        <f t="shared" si="22"/>
        <v>1</v>
      </c>
      <c r="E234" s="29">
        <f t="shared" si="23"/>
        <v>0</v>
      </c>
      <c r="F234" s="8">
        <f>IFERROR(VLOOKUP(B234,PVSKTC!$A$4:$D$1048576,2,0),0)</f>
        <v>0</v>
      </c>
      <c r="G234" s="8">
        <f>IFERROR(VLOOKUP(B234,PVSKTC!$A$4:$D$1048576,3,0),0)</f>
        <v>0</v>
      </c>
      <c r="H234" s="8">
        <f>IFERROR(VLOOKUP(B234,PVSKTC!$A$4:$D$1048576,4,0),0)</f>
        <v>0</v>
      </c>
      <c r="I234" s="14" t="str">
        <f>IFERROR(IF(E234&gt;0,THTT!E$2,""),"")</f>
        <v/>
      </c>
      <c r="J234" s="15" t="str">
        <f t="shared" si="24"/>
        <v/>
      </c>
      <c r="K234" s="8" t="str">
        <f t="shared" si="25"/>
        <v/>
      </c>
      <c r="L234" s="8" t="str">
        <f t="shared" si="26"/>
        <v/>
      </c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</row>
    <row r="235" spans="1:63" s="4" customFormat="1" x14ac:dyDescent="0.3">
      <c r="A235" s="17" t="str">
        <f t="shared" si="21"/>
        <v/>
      </c>
      <c r="B235" s="27"/>
      <c r="C235" s="27">
        <f t="shared" si="27"/>
        <v>0</v>
      </c>
      <c r="D235" s="17">
        <f t="shared" si="22"/>
        <v>1</v>
      </c>
      <c r="E235" s="29">
        <f t="shared" si="23"/>
        <v>0</v>
      </c>
      <c r="F235" s="8">
        <f>IFERROR(VLOOKUP(B235,PVSKTC!$A$4:$D$1048576,2,0),0)</f>
        <v>0</v>
      </c>
      <c r="G235" s="8">
        <f>IFERROR(VLOOKUP(B235,PVSKTC!$A$4:$D$1048576,3,0),0)</f>
        <v>0</v>
      </c>
      <c r="H235" s="8">
        <f>IFERROR(VLOOKUP(B235,PVSKTC!$A$4:$D$1048576,4,0),0)</f>
        <v>0</v>
      </c>
      <c r="I235" s="14" t="str">
        <f>IFERROR(IF(E235&gt;0,THTT!E$2,""),"")</f>
        <v/>
      </c>
      <c r="J235" s="15" t="str">
        <f t="shared" si="24"/>
        <v/>
      </c>
      <c r="K235" s="8" t="str">
        <f t="shared" si="25"/>
        <v/>
      </c>
      <c r="L235" s="8" t="str">
        <f t="shared" si="26"/>
        <v/>
      </c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</row>
    <row r="236" spans="1:63" s="4" customFormat="1" x14ac:dyDescent="0.3">
      <c r="A236" s="17" t="str">
        <f t="shared" si="21"/>
        <v/>
      </c>
      <c r="B236" s="27"/>
      <c r="C236" s="27">
        <f t="shared" si="27"/>
        <v>0</v>
      </c>
      <c r="D236" s="17">
        <f t="shared" si="22"/>
        <v>1</v>
      </c>
      <c r="E236" s="29">
        <f t="shared" si="23"/>
        <v>0</v>
      </c>
      <c r="F236" s="8">
        <f>IFERROR(VLOOKUP(B236,PVSKTC!$A$4:$D$1048576,2,0),0)</f>
        <v>0</v>
      </c>
      <c r="G236" s="8">
        <f>IFERROR(VLOOKUP(B236,PVSKTC!$A$4:$D$1048576,3,0),0)</f>
        <v>0</v>
      </c>
      <c r="H236" s="8">
        <f>IFERROR(VLOOKUP(B236,PVSKTC!$A$4:$D$1048576,4,0),0)</f>
        <v>0</v>
      </c>
      <c r="I236" s="14" t="str">
        <f>IFERROR(IF(E236&gt;0,THTT!E$2,""),"")</f>
        <v/>
      </c>
      <c r="J236" s="15" t="str">
        <f t="shared" si="24"/>
        <v/>
      </c>
      <c r="K236" s="8" t="str">
        <f t="shared" si="25"/>
        <v/>
      </c>
      <c r="L236" s="8" t="str">
        <f t="shared" si="26"/>
        <v/>
      </c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</row>
    <row r="237" spans="1:63" s="4" customFormat="1" x14ac:dyDescent="0.3">
      <c r="A237" s="17" t="str">
        <f t="shared" si="21"/>
        <v/>
      </c>
      <c r="B237" s="27"/>
      <c r="C237" s="27">
        <f t="shared" si="27"/>
        <v>0</v>
      </c>
      <c r="D237" s="17">
        <f t="shared" si="22"/>
        <v>1</v>
      </c>
      <c r="E237" s="29">
        <f t="shared" si="23"/>
        <v>0</v>
      </c>
      <c r="F237" s="8">
        <f>IFERROR(VLOOKUP(B237,PVSKTC!$A$4:$D$1048576,2,0),0)</f>
        <v>0</v>
      </c>
      <c r="G237" s="8">
        <f>IFERROR(VLOOKUP(B237,PVSKTC!$A$4:$D$1048576,3,0),0)</f>
        <v>0</v>
      </c>
      <c r="H237" s="8">
        <f>IFERROR(VLOOKUP(B237,PVSKTC!$A$4:$D$1048576,4,0),0)</f>
        <v>0</v>
      </c>
      <c r="I237" s="14" t="str">
        <f>IFERROR(IF(E237&gt;0,THTT!E$2,""),"")</f>
        <v/>
      </c>
      <c r="J237" s="15" t="str">
        <f t="shared" si="24"/>
        <v/>
      </c>
      <c r="K237" s="8" t="str">
        <f t="shared" si="25"/>
        <v/>
      </c>
      <c r="L237" s="8" t="str">
        <f t="shared" si="26"/>
        <v/>
      </c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</row>
    <row r="238" spans="1:63" s="4" customFormat="1" x14ac:dyDescent="0.3">
      <c r="A238" s="17" t="str">
        <f t="shared" si="21"/>
        <v/>
      </c>
      <c r="B238" s="27"/>
      <c r="C238" s="27">
        <f t="shared" si="27"/>
        <v>0</v>
      </c>
      <c r="D238" s="17">
        <f t="shared" si="22"/>
        <v>1</v>
      </c>
      <c r="E238" s="29">
        <f t="shared" si="23"/>
        <v>0</v>
      </c>
      <c r="F238" s="8">
        <f>IFERROR(VLOOKUP(B238,PVSKTC!$A$4:$D$1048576,2,0),0)</f>
        <v>0</v>
      </c>
      <c r="G238" s="8">
        <f>IFERROR(VLOOKUP(B238,PVSKTC!$A$4:$D$1048576,3,0),0)</f>
        <v>0</v>
      </c>
      <c r="H238" s="8">
        <f>IFERROR(VLOOKUP(B238,PVSKTC!$A$4:$D$1048576,4,0),0)</f>
        <v>0</v>
      </c>
      <c r="I238" s="14" t="str">
        <f>IFERROR(IF(E238&gt;0,THTT!E$2,""),"")</f>
        <v/>
      </c>
      <c r="J238" s="15" t="str">
        <f t="shared" si="24"/>
        <v/>
      </c>
      <c r="K238" s="8" t="str">
        <f t="shared" si="25"/>
        <v/>
      </c>
      <c r="L238" s="8" t="str">
        <f t="shared" si="26"/>
        <v/>
      </c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</row>
    <row r="239" spans="1:63" s="4" customFormat="1" x14ac:dyDescent="0.3">
      <c r="A239" s="17" t="str">
        <f t="shared" si="21"/>
        <v/>
      </c>
      <c r="B239" s="27"/>
      <c r="C239" s="27">
        <f t="shared" si="27"/>
        <v>0</v>
      </c>
      <c r="D239" s="17">
        <f t="shared" si="22"/>
        <v>1</v>
      </c>
      <c r="E239" s="29">
        <f t="shared" si="23"/>
        <v>0</v>
      </c>
      <c r="F239" s="8">
        <f>IFERROR(VLOOKUP(B239,PVSKTC!$A$4:$D$1048576,2,0),0)</f>
        <v>0</v>
      </c>
      <c r="G239" s="8">
        <f>IFERROR(VLOOKUP(B239,PVSKTC!$A$4:$D$1048576,3,0),0)</f>
        <v>0</v>
      </c>
      <c r="H239" s="8">
        <f>IFERROR(VLOOKUP(B239,PVSKTC!$A$4:$D$1048576,4,0),0)</f>
        <v>0</v>
      </c>
      <c r="I239" s="14" t="str">
        <f>IFERROR(IF(E239&gt;0,THTT!E$2,""),"")</f>
        <v/>
      </c>
      <c r="J239" s="15" t="str">
        <f t="shared" si="24"/>
        <v/>
      </c>
      <c r="K239" s="8" t="str">
        <f t="shared" si="25"/>
        <v/>
      </c>
      <c r="L239" s="8" t="str">
        <f t="shared" si="26"/>
        <v/>
      </c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</row>
    <row r="240" spans="1:63" s="4" customFormat="1" x14ac:dyDescent="0.3">
      <c r="A240" s="17" t="str">
        <f t="shared" si="21"/>
        <v/>
      </c>
      <c r="B240" s="27"/>
      <c r="C240" s="27">
        <f t="shared" si="27"/>
        <v>0</v>
      </c>
      <c r="D240" s="17">
        <f t="shared" si="22"/>
        <v>1</v>
      </c>
      <c r="E240" s="29">
        <f t="shared" si="23"/>
        <v>0</v>
      </c>
      <c r="F240" s="8">
        <f>IFERROR(VLOOKUP(B240,PVSKTC!$A$4:$D$1048576,2,0),0)</f>
        <v>0</v>
      </c>
      <c r="G240" s="8">
        <f>IFERROR(VLOOKUP(B240,PVSKTC!$A$4:$D$1048576,3,0),0)</f>
        <v>0</v>
      </c>
      <c r="H240" s="8">
        <f>IFERROR(VLOOKUP(B240,PVSKTC!$A$4:$D$1048576,4,0),0)</f>
        <v>0</v>
      </c>
      <c r="I240" s="14" t="str">
        <f>IFERROR(IF(E240&gt;0,THTT!E$2,""),"")</f>
        <v/>
      </c>
      <c r="J240" s="15" t="str">
        <f t="shared" si="24"/>
        <v/>
      </c>
      <c r="K240" s="8" t="str">
        <f t="shared" si="25"/>
        <v/>
      </c>
      <c r="L240" s="8" t="str">
        <f t="shared" si="26"/>
        <v/>
      </c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</row>
    <row r="241" spans="1:63" s="4" customFormat="1" x14ac:dyDescent="0.3">
      <c r="A241" s="17" t="str">
        <f t="shared" si="21"/>
        <v/>
      </c>
      <c r="B241" s="27"/>
      <c r="C241" s="27">
        <f t="shared" si="27"/>
        <v>0</v>
      </c>
      <c r="D241" s="17">
        <f t="shared" si="22"/>
        <v>1</v>
      </c>
      <c r="E241" s="29">
        <f t="shared" si="23"/>
        <v>0</v>
      </c>
      <c r="F241" s="8">
        <f>IFERROR(VLOOKUP(B241,PVSKTC!$A$4:$D$1048576,2,0),0)</f>
        <v>0</v>
      </c>
      <c r="G241" s="8">
        <f>IFERROR(VLOOKUP(B241,PVSKTC!$A$4:$D$1048576,3,0),0)</f>
        <v>0</v>
      </c>
      <c r="H241" s="8">
        <f>IFERROR(VLOOKUP(B241,PVSKTC!$A$4:$D$1048576,4,0),0)</f>
        <v>0</v>
      </c>
      <c r="I241" s="14" t="str">
        <f>IFERROR(IF(E241&gt;0,THTT!E$2,""),"")</f>
        <v/>
      </c>
      <c r="J241" s="15" t="str">
        <f t="shared" si="24"/>
        <v/>
      </c>
      <c r="K241" s="8" t="str">
        <f t="shared" si="25"/>
        <v/>
      </c>
      <c r="L241" s="8" t="str">
        <f t="shared" si="26"/>
        <v/>
      </c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</row>
    <row r="242" spans="1:63" s="4" customFormat="1" x14ac:dyDescent="0.3">
      <c r="A242" s="17" t="str">
        <f t="shared" si="21"/>
        <v/>
      </c>
      <c r="B242" s="27"/>
      <c r="C242" s="27">
        <f t="shared" si="27"/>
        <v>0</v>
      </c>
      <c r="D242" s="17">
        <f t="shared" si="22"/>
        <v>1</v>
      </c>
      <c r="E242" s="29">
        <f t="shared" si="23"/>
        <v>0</v>
      </c>
      <c r="F242" s="8">
        <f>IFERROR(VLOOKUP(B242,PVSKTC!$A$4:$D$1048576,2,0),0)</f>
        <v>0</v>
      </c>
      <c r="G242" s="8">
        <f>IFERROR(VLOOKUP(B242,PVSKTC!$A$4:$D$1048576,3,0),0)</f>
        <v>0</v>
      </c>
      <c r="H242" s="8">
        <f>IFERROR(VLOOKUP(B242,PVSKTC!$A$4:$D$1048576,4,0),0)</f>
        <v>0</v>
      </c>
      <c r="I242" s="14" t="str">
        <f>IFERROR(IF(E242&gt;0,THTT!E$2,""),"")</f>
        <v/>
      </c>
      <c r="J242" s="15" t="str">
        <f t="shared" si="24"/>
        <v/>
      </c>
      <c r="K242" s="8" t="str">
        <f t="shared" si="25"/>
        <v/>
      </c>
      <c r="L242" s="8" t="str">
        <f t="shared" si="26"/>
        <v/>
      </c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</row>
    <row r="243" spans="1:63" s="4" customFormat="1" x14ac:dyDescent="0.3">
      <c r="A243" s="17" t="str">
        <f t="shared" si="21"/>
        <v/>
      </c>
      <c r="B243" s="27"/>
      <c r="C243" s="27">
        <f t="shared" si="27"/>
        <v>0</v>
      </c>
      <c r="D243" s="17">
        <f t="shared" si="22"/>
        <v>1</v>
      </c>
      <c r="E243" s="29">
        <f t="shared" si="23"/>
        <v>0</v>
      </c>
      <c r="F243" s="8">
        <f>IFERROR(VLOOKUP(B243,PVSKTC!$A$4:$D$1048576,2,0),0)</f>
        <v>0</v>
      </c>
      <c r="G243" s="8">
        <f>IFERROR(VLOOKUP(B243,PVSKTC!$A$4:$D$1048576,3,0),0)</f>
        <v>0</v>
      </c>
      <c r="H243" s="8">
        <f>IFERROR(VLOOKUP(B243,PVSKTC!$A$4:$D$1048576,4,0),0)</f>
        <v>0</v>
      </c>
      <c r="I243" s="14" t="str">
        <f>IFERROR(IF(E243&gt;0,THTT!E$2,""),"")</f>
        <v/>
      </c>
      <c r="J243" s="15" t="str">
        <f t="shared" si="24"/>
        <v/>
      </c>
      <c r="K243" s="8" t="str">
        <f t="shared" si="25"/>
        <v/>
      </c>
      <c r="L243" s="8" t="str">
        <f t="shared" si="26"/>
        <v/>
      </c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</row>
    <row r="244" spans="1:63" s="4" customFormat="1" x14ac:dyDescent="0.3">
      <c r="A244" s="17" t="str">
        <f t="shared" si="21"/>
        <v/>
      </c>
      <c r="B244" s="27"/>
      <c r="C244" s="27">
        <f t="shared" si="27"/>
        <v>0</v>
      </c>
      <c r="D244" s="17">
        <f t="shared" si="22"/>
        <v>1</v>
      </c>
      <c r="E244" s="29">
        <f t="shared" si="23"/>
        <v>0</v>
      </c>
      <c r="F244" s="8">
        <f>IFERROR(VLOOKUP(B244,PVSKTC!$A$4:$D$1048576,2,0),0)</f>
        <v>0</v>
      </c>
      <c r="G244" s="8">
        <f>IFERROR(VLOOKUP(B244,PVSKTC!$A$4:$D$1048576,3,0),0)</f>
        <v>0</v>
      </c>
      <c r="H244" s="8">
        <f>IFERROR(VLOOKUP(B244,PVSKTC!$A$4:$D$1048576,4,0),0)</f>
        <v>0</v>
      </c>
      <c r="I244" s="14" t="str">
        <f>IFERROR(IF(E244&gt;0,THTT!E$2,""),"")</f>
        <v/>
      </c>
      <c r="J244" s="15" t="str">
        <f t="shared" si="24"/>
        <v/>
      </c>
      <c r="K244" s="8" t="str">
        <f t="shared" si="25"/>
        <v/>
      </c>
      <c r="L244" s="8" t="str">
        <f t="shared" si="26"/>
        <v/>
      </c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</row>
    <row r="245" spans="1:63" s="4" customFormat="1" x14ac:dyDescent="0.3">
      <c r="A245" s="17" t="str">
        <f t="shared" si="21"/>
        <v/>
      </c>
      <c r="B245" s="27"/>
      <c r="C245" s="27">
        <f t="shared" si="27"/>
        <v>0</v>
      </c>
      <c r="D245" s="17">
        <f t="shared" si="22"/>
        <v>1</v>
      </c>
      <c r="E245" s="29">
        <f t="shared" si="23"/>
        <v>0</v>
      </c>
      <c r="F245" s="8">
        <f>IFERROR(VLOOKUP(B245,PVSKTC!$A$4:$D$1048576,2,0),0)</f>
        <v>0</v>
      </c>
      <c r="G245" s="8">
        <f>IFERROR(VLOOKUP(B245,PVSKTC!$A$4:$D$1048576,3,0),0)</f>
        <v>0</v>
      </c>
      <c r="H245" s="8">
        <f>IFERROR(VLOOKUP(B245,PVSKTC!$A$4:$D$1048576,4,0),0)</f>
        <v>0</v>
      </c>
      <c r="I245" s="14" t="str">
        <f>IFERROR(IF(E245&gt;0,THTT!E$2,""),"")</f>
        <v/>
      </c>
      <c r="J245" s="15" t="str">
        <f t="shared" si="24"/>
        <v/>
      </c>
      <c r="K245" s="8" t="str">
        <f t="shared" si="25"/>
        <v/>
      </c>
      <c r="L245" s="8" t="str">
        <f t="shared" si="26"/>
        <v/>
      </c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</row>
    <row r="246" spans="1:63" s="4" customFormat="1" x14ac:dyDescent="0.3">
      <c r="A246" s="17" t="str">
        <f t="shared" si="21"/>
        <v/>
      </c>
      <c r="B246" s="27"/>
      <c r="C246" s="27">
        <f t="shared" si="27"/>
        <v>0</v>
      </c>
      <c r="D246" s="17">
        <f t="shared" si="22"/>
        <v>1</v>
      </c>
      <c r="E246" s="29">
        <f t="shared" si="23"/>
        <v>0</v>
      </c>
      <c r="F246" s="8">
        <f>IFERROR(VLOOKUP(B246,PVSKTC!$A$4:$D$1048576,2,0),0)</f>
        <v>0</v>
      </c>
      <c r="G246" s="8">
        <f>IFERROR(VLOOKUP(B246,PVSKTC!$A$4:$D$1048576,3,0),0)</f>
        <v>0</v>
      </c>
      <c r="H246" s="8">
        <f>IFERROR(VLOOKUP(B246,PVSKTC!$A$4:$D$1048576,4,0),0)</f>
        <v>0</v>
      </c>
      <c r="I246" s="14" t="str">
        <f>IFERROR(IF(E246&gt;0,THTT!E$2,""),"")</f>
        <v/>
      </c>
      <c r="J246" s="15" t="str">
        <f t="shared" si="24"/>
        <v/>
      </c>
      <c r="K246" s="8" t="str">
        <f t="shared" si="25"/>
        <v/>
      </c>
      <c r="L246" s="8" t="str">
        <f t="shared" si="26"/>
        <v/>
      </c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</row>
    <row r="247" spans="1:63" s="4" customFormat="1" x14ac:dyDescent="0.3">
      <c r="A247" s="17" t="str">
        <f t="shared" si="21"/>
        <v/>
      </c>
      <c r="B247" s="27"/>
      <c r="C247" s="27">
        <f t="shared" si="27"/>
        <v>0</v>
      </c>
      <c r="D247" s="17">
        <f t="shared" si="22"/>
        <v>1</v>
      </c>
      <c r="E247" s="29">
        <f t="shared" si="23"/>
        <v>0</v>
      </c>
      <c r="F247" s="8">
        <f>IFERROR(VLOOKUP(B247,PVSKTC!$A$4:$D$1048576,2,0),0)</f>
        <v>0</v>
      </c>
      <c r="G247" s="8">
        <f>IFERROR(VLOOKUP(B247,PVSKTC!$A$4:$D$1048576,3,0),0)</f>
        <v>0</v>
      </c>
      <c r="H247" s="8">
        <f>IFERROR(VLOOKUP(B247,PVSKTC!$A$4:$D$1048576,4,0),0)</f>
        <v>0</v>
      </c>
      <c r="I247" s="14" t="str">
        <f>IFERROR(IF(E247&gt;0,THTT!E$2,""),"")</f>
        <v/>
      </c>
      <c r="J247" s="15" t="str">
        <f t="shared" si="24"/>
        <v/>
      </c>
      <c r="K247" s="8" t="str">
        <f t="shared" si="25"/>
        <v/>
      </c>
      <c r="L247" s="8" t="str">
        <f t="shared" si="26"/>
        <v/>
      </c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</row>
    <row r="248" spans="1:63" s="4" customFormat="1" x14ac:dyDescent="0.3">
      <c r="A248" s="17" t="str">
        <f t="shared" si="21"/>
        <v/>
      </c>
      <c r="B248" s="27"/>
      <c r="C248" s="27">
        <f t="shared" si="27"/>
        <v>0</v>
      </c>
      <c r="D248" s="17">
        <f t="shared" si="22"/>
        <v>1</v>
      </c>
      <c r="E248" s="29">
        <f t="shared" si="23"/>
        <v>0</v>
      </c>
      <c r="F248" s="8">
        <f>IFERROR(VLOOKUP(B248,PVSKTC!$A$4:$D$1048576,2,0),0)</f>
        <v>0</v>
      </c>
      <c r="G248" s="8">
        <f>IFERROR(VLOOKUP(B248,PVSKTC!$A$4:$D$1048576,3,0),0)</f>
        <v>0</v>
      </c>
      <c r="H248" s="8">
        <f>IFERROR(VLOOKUP(B248,PVSKTC!$A$4:$D$1048576,4,0),0)</f>
        <v>0</v>
      </c>
      <c r="I248" s="14" t="str">
        <f>IFERROR(IF(E248&gt;0,THTT!E$2,""),"")</f>
        <v/>
      </c>
      <c r="J248" s="15" t="str">
        <f t="shared" si="24"/>
        <v/>
      </c>
      <c r="K248" s="8" t="str">
        <f t="shared" si="25"/>
        <v/>
      </c>
      <c r="L248" s="8" t="str">
        <f t="shared" si="26"/>
        <v/>
      </c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</row>
    <row r="249" spans="1:63" s="4" customFormat="1" x14ac:dyDescent="0.3">
      <c r="A249" s="17" t="str">
        <f t="shared" si="21"/>
        <v/>
      </c>
      <c r="B249" s="27"/>
      <c r="C249" s="27">
        <f t="shared" si="27"/>
        <v>0</v>
      </c>
      <c r="D249" s="17">
        <f t="shared" si="22"/>
        <v>1</v>
      </c>
      <c r="E249" s="29">
        <f t="shared" si="23"/>
        <v>0</v>
      </c>
      <c r="F249" s="8">
        <f>IFERROR(VLOOKUP(B249,PVSKTC!$A$4:$D$1048576,2,0),0)</f>
        <v>0</v>
      </c>
      <c r="G249" s="8">
        <f>IFERROR(VLOOKUP(B249,PVSKTC!$A$4:$D$1048576,3,0),0)</f>
        <v>0</v>
      </c>
      <c r="H249" s="8">
        <f>IFERROR(VLOOKUP(B249,PVSKTC!$A$4:$D$1048576,4,0),0)</f>
        <v>0</v>
      </c>
      <c r="I249" s="14" t="str">
        <f>IFERROR(IF(E249&gt;0,THTT!E$2,""),"")</f>
        <v/>
      </c>
      <c r="J249" s="15" t="str">
        <f t="shared" si="24"/>
        <v/>
      </c>
      <c r="K249" s="8" t="str">
        <f t="shared" si="25"/>
        <v/>
      </c>
      <c r="L249" s="8" t="str">
        <f t="shared" si="26"/>
        <v/>
      </c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</row>
    <row r="250" spans="1:63" s="4" customFormat="1" x14ac:dyDescent="0.3">
      <c r="A250" s="17" t="str">
        <f t="shared" si="21"/>
        <v/>
      </c>
      <c r="B250" s="27"/>
      <c r="C250" s="27">
        <f t="shared" si="27"/>
        <v>0</v>
      </c>
      <c r="D250" s="17">
        <f t="shared" si="22"/>
        <v>1</v>
      </c>
      <c r="E250" s="29">
        <f t="shared" si="23"/>
        <v>0</v>
      </c>
      <c r="F250" s="8">
        <f>IFERROR(VLOOKUP(B250,PVSKTC!$A$4:$D$1048576,2,0),0)</f>
        <v>0</v>
      </c>
      <c r="G250" s="8">
        <f>IFERROR(VLOOKUP(B250,PVSKTC!$A$4:$D$1048576,3,0),0)</f>
        <v>0</v>
      </c>
      <c r="H250" s="8">
        <f>IFERROR(VLOOKUP(B250,PVSKTC!$A$4:$D$1048576,4,0),0)</f>
        <v>0</v>
      </c>
      <c r="I250" s="14" t="str">
        <f>IFERROR(IF(E250&gt;0,THTT!E$2,""),"")</f>
        <v/>
      </c>
      <c r="J250" s="15" t="str">
        <f t="shared" si="24"/>
        <v/>
      </c>
      <c r="K250" s="8" t="str">
        <f t="shared" si="25"/>
        <v/>
      </c>
      <c r="L250" s="8" t="str">
        <f t="shared" si="26"/>
        <v/>
      </c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</row>
    <row r="251" spans="1:63" s="4" customFormat="1" x14ac:dyDescent="0.3">
      <c r="A251" s="17" t="str">
        <f t="shared" si="21"/>
        <v/>
      </c>
      <c r="B251" s="27"/>
      <c r="C251" s="27">
        <f t="shared" si="27"/>
        <v>0</v>
      </c>
      <c r="D251" s="17">
        <f t="shared" si="22"/>
        <v>1</v>
      </c>
      <c r="E251" s="29">
        <f t="shared" si="23"/>
        <v>0</v>
      </c>
      <c r="F251" s="8">
        <f>IFERROR(VLOOKUP(B251,PVSKTC!$A$4:$D$1048576,2,0),0)</f>
        <v>0</v>
      </c>
      <c r="G251" s="8">
        <f>IFERROR(VLOOKUP(B251,PVSKTC!$A$4:$D$1048576,3,0),0)</f>
        <v>0</v>
      </c>
      <c r="H251" s="8">
        <f>IFERROR(VLOOKUP(B251,PVSKTC!$A$4:$D$1048576,4,0),0)</f>
        <v>0</v>
      </c>
      <c r="I251" s="14" t="str">
        <f>IFERROR(IF(E251&gt;0,THTT!E$2,""),"")</f>
        <v/>
      </c>
      <c r="J251" s="15" t="str">
        <f t="shared" si="24"/>
        <v/>
      </c>
      <c r="K251" s="8" t="str">
        <f t="shared" si="25"/>
        <v/>
      </c>
      <c r="L251" s="8" t="str">
        <f t="shared" si="26"/>
        <v/>
      </c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</row>
    <row r="252" spans="1:63" s="4" customFormat="1" x14ac:dyDescent="0.3">
      <c r="A252" s="17" t="str">
        <f t="shared" si="21"/>
        <v/>
      </c>
      <c r="B252" s="27"/>
      <c r="C252" s="27">
        <f t="shared" si="27"/>
        <v>0</v>
      </c>
      <c r="D252" s="17">
        <f t="shared" si="22"/>
        <v>1</v>
      </c>
      <c r="E252" s="29">
        <f t="shared" si="23"/>
        <v>0</v>
      </c>
      <c r="F252" s="8">
        <f>IFERROR(VLOOKUP(B252,PVSKTC!$A$4:$D$1048576,2,0),0)</f>
        <v>0</v>
      </c>
      <c r="G252" s="8">
        <f>IFERROR(VLOOKUP(B252,PVSKTC!$A$4:$D$1048576,3,0),0)</f>
        <v>0</v>
      </c>
      <c r="H252" s="8">
        <f>IFERROR(VLOOKUP(B252,PVSKTC!$A$4:$D$1048576,4,0),0)</f>
        <v>0</v>
      </c>
      <c r="I252" s="14" t="str">
        <f>IFERROR(IF(E252&gt;0,THTT!E$2,""),"")</f>
        <v/>
      </c>
      <c r="J252" s="15" t="str">
        <f t="shared" si="24"/>
        <v/>
      </c>
      <c r="K252" s="8" t="str">
        <f t="shared" si="25"/>
        <v/>
      </c>
      <c r="L252" s="8" t="str">
        <f t="shared" si="26"/>
        <v/>
      </c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</row>
    <row r="253" spans="1:63" s="4" customFormat="1" x14ac:dyDescent="0.3">
      <c r="A253" s="17" t="str">
        <f t="shared" si="21"/>
        <v/>
      </c>
      <c r="B253" s="27"/>
      <c r="C253" s="27">
        <f t="shared" si="27"/>
        <v>0</v>
      </c>
      <c r="D253" s="17">
        <f t="shared" si="22"/>
        <v>1</v>
      </c>
      <c r="E253" s="29">
        <f t="shared" si="23"/>
        <v>0</v>
      </c>
      <c r="F253" s="8">
        <f>IFERROR(VLOOKUP(B253,PVSKTC!$A$4:$D$1048576,2,0),0)</f>
        <v>0</v>
      </c>
      <c r="G253" s="8">
        <f>IFERROR(VLOOKUP(B253,PVSKTC!$A$4:$D$1048576,3,0),0)</f>
        <v>0</v>
      </c>
      <c r="H253" s="8">
        <f>IFERROR(VLOOKUP(B253,PVSKTC!$A$4:$D$1048576,4,0),0)</f>
        <v>0</v>
      </c>
      <c r="I253" s="14" t="str">
        <f>IFERROR(IF(E253&gt;0,THTT!E$2,""),"")</f>
        <v/>
      </c>
      <c r="J253" s="15" t="str">
        <f t="shared" si="24"/>
        <v/>
      </c>
      <c r="K253" s="8" t="str">
        <f t="shared" si="25"/>
        <v/>
      </c>
      <c r="L253" s="8" t="str">
        <f t="shared" si="26"/>
        <v/>
      </c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</row>
    <row r="254" spans="1:63" s="4" customFormat="1" x14ac:dyDescent="0.3">
      <c r="A254" s="17" t="str">
        <f t="shared" si="21"/>
        <v/>
      </c>
      <c r="B254" s="27"/>
      <c r="C254" s="27">
        <f t="shared" si="27"/>
        <v>0</v>
      </c>
      <c r="D254" s="17">
        <f t="shared" si="22"/>
        <v>1</v>
      </c>
      <c r="E254" s="29">
        <f t="shared" si="23"/>
        <v>0</v>
      </c>
      <c r="F254" s="8">
        <f>IFERROR(VLOOKUP(B254,PVSKTC!$A$4:$D$1048576,2,0),0)</f>
        <v>0</v>
      </c>
      <c r="G254" s="8">
        <f>IFERROR(VLOOKUP(B254,PVSKTC!$A$4:$D$1048576,3,0),0)</f>
        <v>0</v>
      </c>
      <c r="H254" s="8">
        <f>IFERROR(VLOOKUP(B254,PVSKTC!$A$4:$D$1048576,4,0),0)</f>
        <v>0</v>
      </c>
      <c r="I254" s="14" t="str">
        <f>IFERROR(IF(E254&gt;0,THTT!E$2,""),"")</f>
        <v/>
      </c>
      <c r="J254" s="15" t="str">
        <f t="shared" si="24"/>
        <v/>
      </c>
      <c r="K254" s="8" t="str">
        <f t="shared" si="25"/>
        <v/>
      </c>
      <c r="L254" s="8" t="str">
        <f t="shared" si="26"/>
        <v/>
      </c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</row>
    <row r="255" spans="1:63" s="4" customFormat="1" x14ac:dyDescent="0.3">
      <c r="A255" s="17" t="str">
        <f t="shared" si="21"/>
        <v/>
      </c>
      <c r="B255" s="27"/>
      <c r="C255" s="27">
        <f t="shared" si="27"/>
        <v>0</v>
      </c>
      <c r="D255" s="17">
        <f t="shared" si="22"/>
        <v>1</v>
      </c>
      <c r="E255" s="29">
        <f t="shared" si="23"/>
        <v>0</v>
      </c>
      <c r="F255" s="8">
        <f>IFERROR(VLOOKUP(B255,PVSKTC!$A$4:$D$1048576,2,0),0)</f>
        <v>0</v>
      </c>
      <c r="G255" s="8">
        <f>IFERROR(VLOOKUP(B255,PVSKTC!$A$4:$D$1048576,3,0),0)</f>
        <v>0</v>
      </c>
      <c r="H255" s="8">
        <f>IFERROR(VLOOKUP(B255,PVSKTC!$A$4:$D$1048576,4,0),0)</f>
        <v>0</v>
      </c>
      <c r="I255" s="14" t="str">
        <f>IFERROR(IF(E255&gt;0,THTT!E$2,""),"")</f>
        <v/>
      </c>
      <c r="J255" s="15" t="str">
        <f t="shared" si="24"/>
        <v/>
      </c>
      <c r="K255" s="8" t="str">
        <f t="shared" si="25"/>
        <v/>
      </c>
      <c r="L255" s="8" t="str">
        <f t="shared" si="26"/>
        <v/>
      </c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</row>
    <row r="256" spans="1:63" s="4" customFormat="1" x14ac:dyDescent="0.3">
      <c r="A256" s="17" t="str">
        <f t="shared" si="21"/>
        <v/>
      </c>
      <c r="B256" s="27"/>
      <c r="C256" s="27">
        <f t="shared" si="27"/>
        <v>0</v>
      </c>
      <c r="D256" s="17">
        <f t="shared" si="22"/>
        <v>1</v>
      </c>
      <c r="E256" s="29">
        <f t="shared" si="23"/>
        <v>0</v>
      </c>
      <c r="F256" s="8">
        <f>IFERROR(VLOOKUP(B256,PVSKTC!$A$4:$D$1048576,2,0),0)</f>
        <v>0</v>
      </c>
      <c r="G256" s="8">
        <f>IFERROR(VLOOKUP(B256,PVSKTC!$A$4:$D$1048576,3,0),0)</f>
        <v>0</v>
      </c>
      <c r="H256" s="8">
        <f>IFERROR(VLOOKUP(B256,PVSKTC!$A$4:$D$1048576,4,0),0)</f>
        <v>0</v>
      </c>
      <c r="I256" s="14" t="str">
        <f>IFERROR(IF(E256&gt;0,THTT!E$2,""),"")</f>
        <v/>
      </c>
      <c r="J256" s="15" t="str">
        <f t="shared" si="24"/>
        <v/>
      </c>
      <c r="K256" s="8" t="str">
        <f t="shared" si="25"/>
        <v/>
      </c>
      <c r="L256" s="8" t="str">
        <f t="shared" si="26"/>
        <v/>
      </c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</row>
    <row r="257" spans="1:63" s="4" customFormat="1" x14ac:dyDescent="0.3">
      <c r="A257" s="17" t="str">
        <f t="shared" si="21"/>
        <v/>
      </c>
      <c r="B257" s="27"/>
      <c r="C257" s="27">
        <f t="shared" si="27"/>
        <v>0</v>
      </c>
      <c r="D257" s="17">
        <f t="shared" si="22"/>
        <v>1</v>
      </c>
      <c r="E257" s="29">
        <f t="shared" si="23"/>
        <v>0</v>
      </c>
      <c r="F257" s="8">
        <f>IFERROR(VLOOKUP(B257,PVSKTC!$A$4:$D$1048576,2,0),0)</f>
        <v>0</v>
      </c>
      <c r="G257" s="8">
        <f>IFERROR(VLOOKUP(B257,PVSKTC!$A$4:$D$1048576,3,0),0)</f>
        <v>0</v>
      </c>
      <c r="H257" s="8">
        <f>IFERROR(VLOOKUP(B257,PVSKTC!$A$4:$D$1048576,4,0),0)</f>
        <v>0</v>
      </c>
      <c r="I257" s="14" t="str">
        <f>IFERROR(IF(E257&gt;0,THTT!E$2,""),"")</f>
        <v/>
      </c>
      <c r="J257" s="15" t="str">
        <f t="shared" si="24"/>
        <v/>
      </c>
      <c r="K257" s="8" t="str">
        <f t="shared" si="25"/>
        <v/>
      </c>
      <c r="L257" s="8" t="str">
        <f t="shared" si="26"/>
        <v/>
      </c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</row>
    <row r="258" spans="1:63" s="4" customFormat="1" x14ac:dyDescent="0.3">
      <c r="A258" s="17" t="str">
        <f t="shared" si="21"/>
        <v/>
      </c>
      <c r="B258" s="27"/>
      <c r="C258" s="27">
        <f t="shared" si="27"/>
        <v>0</v>
      </c>
      <c r="D258" s="17">
        <f t="shared" si="22"/>
        <v>1</v>
      </c>
      <c r="E258" s="29">
        <f t="shared" si="23"/>
        <v>0</v>
      </c>
      <c r="F258" s="8">
        <f>IFERROR(VLOOKUP(B258,PVSKTC!$A$4:$D$1048576,2,0),0)</f>
        <v>0</v>
      </c>
      <c r="G258" s="8">
        <f>IFERROR(VLOOKUP(B258,PVSKTC!$A$4:$D$1048576,3,0),0)</f>
        <v>0</v>
      </c>
      <c r="H258" s="8">
        <f>IFERROR(VLOOKUP(B258,PVSKTC!$A$4:$D$1048576,4,0),0)</f>
        <v>0</v>
      </c>
      <c r="I258" s="14" t="str">
        <f>IFERROR(IF(E258&gt;0,THTT!E$2,""),"")</f>
        <v/>
      </c>
      <c r="J258" s="15" t="str">
        <f t="shared" si="24"/>
        <v/>
      </c>
      <c r="K258" s="8" t="str">
        <f t="shared" si="25"/>
        <v/>
      </c>
      <c r="L258" s="8" t="str">
        <f t="shared" si="26"/>
        <v/>
      </c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</row>
    <row r="259" spans="1:63" s="4" customFormat="1" x14ac:dyDescent="0.3">
      <c r="A259" s="17" t="str">
        <f t="shared" si="21"/>
        <v/>
      </c>
      <c r="B259" s="27"/>
      <c r="C259" s="27">
        <f t="shared" si="27"/>
        <v>0</v>
      </c>
      <c r="D259" s="17">
        <f t="shared" si="22"/>
        <v>1</v>
      </c>
      <c r="E259" s="29">
        <f t="shared" si="23"/>
        <v>0</v>
      </c>
      <c r="F259" s="8">
        <f>IFERROR(VLOOKUP(B259,PVSKTC!$A$4:$D$1048576,2,0),0)</f>
        <v>0</v>
      </c>
      <c r="G259" s="8">
        <f>IFERROR(VLOOKUP(B259,PVSKTC!$A$4:$D$1048576,3,0),0)</f>
        <v>0</v>
      </c>
      <c r="H259" s="8">
        <f>IFERROR(VLOOKUP(B259,PVSKTC!$A$4:$D$1048576,4,0),0)</f>
        <v>0</v>
      </c>
      <c r="I259" s="14" t="str">
        <f>IFERROR(IF(E259&gt;0,THTT!E$2,""),"")</f>
        <v/>
      </c>
      <c r="J259" s="15" t="str">
        <f t="shared" si="24"/>
        <v/>
      </c>
      <c r="K259" s="8" t="str">
        <f t="shared" si="25"/>
        <v/>
      </c>
      <c r="L259" s="8" t="str">
        <f t="shared" si="26"/>
        <v/>
      </c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</row>
    <row r="260" spans="1:63" s="4" customFormat="1" x14ac:dyDescent="0.3">
      <c r="A260" s="17" t="str">
        <f t="shared" si="21"/>
        <v/>
      </c>
      <c r="B260" s="27"/>
      <c r="C260" s="27">
        <f t="shared" si="27"/>
        <v>0</v>
      </c>
      <c r="D260" s="17">
        <f t="shared" si="22"/>
        <v>1</v>
      </c>
      <c r="E260" s="29">
        <f t="shared" si="23"/>
        <v>0</v>
      </c>
      <c r="F260" s="8">
        <f>IFERROR(VLOOKUP(B260,PVSKTC!$A$4:$D$1048576,2,0),0)</f>
        <v>0</v>
      </c>
      <c r="G260" s="8">
        <f>IFERROR(VLOOKUP(B260,PVSKTC!$A$4:$D$1048576,3,0),0)</f>
        <v>0</v>
      </c>
      <c r="H260" s="8">
        <f>IFERROR(VLOOKUP(B260,PVSKTC!$A$4:$D$1048576,4,0),0)</f>
        <v>0</v>
      </c>
      <c r="I260" s="14" t="str">
        <f>IFERROR(IF(E260&gt;0,THTT!E$2,""),"")</f>
        <v/>
      </c>
      <c r="J260" s="15" t="str">
        <f t="shared" si="24"/>
        <v/>
      </c>
      <c r="K260" s="8" t="str">
        <f t="shared" si="25"/>
        <v/>
      </c>
      <c r="L260" s="8" t="str">
        <f t="shared" si="26"/>
        <v/>
      </c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</row>
    <row r="261" spans="1:63" s="4" customFormat="1" x14ac:dyDescent="0.3">
      <c r="A261" s="17" t="str">
        <f t="shared" si="21"/>
        <v/>
      </c>
      <c r="B261" s="27"/>
      <c r="C261" s="27">
        <f t="shared" si="27"/>
        <v>0</v>
      </c>
      <c r="D261" s="17">
        <f t="shared" si="22"/>
        <v>1</v>
      </c>
      <c r="E261" s="29">
        <f t="shared" si="23"/>
        <v>0</v>
      </c>
      <c r="F261" s="8">
        <f>IFERROR(VLOOKUP(B261,PVSKTC!$A$4:$D$1048576,2,0),0)</f>
        <v>0</v>
      </c>
      <c r="G261" s="8">
        <f>IFERROR(VLOOKUP(B261,PVSKTC!$A$4:$D$1048576,3,0),0)</f>
        <v>0</v>
      </c>
      <c r="H261" s="8">
        <f>IFERROR(VLOOKUP(B261,PVSKTC!$A$4:$D$1048576,4,0),0)</f>
        <v>0</v>
      </c>
      <c r="I261" s="14" t="str">
        <f>IFERROR(IF(E261&gt;0,THTT!E$2,""),"")</f>
        <v/>
      </c>
      <c r="J261" s="15" t="str">
        <f t="shared" si="24"/>
        <v/>
      </c>
      <c r="K261" s="8" t="str">
        <f t="shared" si="25"/>
        <v/>
      </c>
      <c r="L261" s="8" t="str">
        <f t="shared" si="26"/>
        <v/>
      </c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</row>
    <row r="262" spans="1:63" s="4" customFormat="1" x14ac:dyDescent="0.3">
      <c r="A262" s="17" t="str">
        <f t="shared" si="21"/>
        <v/>
      </c>
      <c r="B262" s="27"/>
      <c r="C262" s="27">
        <f t="shared" si="27"/>
        <v>0</v>
      </c>
      <c r="D262" s="17">
        <f t="shared" si="22"/>
        <v>1</v>
      </c>
      <c r="E262" s="29">
        <f t="shared" si="23"/>
        <v>0</v>
      </c>
      <c r="F262" s="8">
        <f>IFERROR(VLOOKUP(B262,PVSKTC!$A$4:$D$1048576,2,0),0)</f>
        <v>0</v>
      </c>
      <c r="G262" s="8">
        <f>IFERROR(VLOOKUP(B262,PVSKTC!$A$4:$D$1048576,3,0),0)</f>
        <v>0</v>
      </c>
      <c r="H262" s="8">
        <f>IFERROR(VLOOKUP(B262,PVSKTC!$A$4:$D$1048576,4,0),0)</f>
        <v>0</v>
      </c>
      <c r="I262" s="14" t="str">
        <f>IFERROR(IF(E262&gt;0,THTT!E$2,""),"")</f>
        <v/>
      </c>
      <c r="J262" s="15" t="str">
        <f t="shared" si="24"/>
        <v/>
      </c>
      <c r="K262" s="8" t="str">
        <f t="shared" si="25"/>
        <v/>
      </c>
      <c r="L262" s="8" t="str">
        <f t="shared" si="26"/>
        <v/>
      </c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</row>
    <row r="263" spans="1:63" s="4" customFormat="1" x14ac:dyDescent="0.3">
      <c r="A263" s="17" t="str">
        <f t="shared" si="21"/>
        <v/>
      </c>
      <c r="B263" s="27"/>
      <c r="C263" s="27">
        <f t="shared" si="27"/>
        <v>0</v>
      </c>
      <c r="D263" s="17">
        <f t="shared" si="22"/>
        <v>1</v>
      </c>
      <c r="E263" s="29">
        <f t="shared" si="23"/>
        <v>0</v>
      </c>
      <c r="F263" s="8">
        <f>IFERROR(VLOOKUP(B263,PVSKTC!$A$4:$D$1048576,2,0),0)</f>
        <v>0</v>
      </c>
      <c r="G263" s="8">
        <f>IFERROR(VLOOKUP(B263,PVSKTC!$A$4:$D$1048576,3,0),0)</f>
        <v>0</v>
      </c>
      <c r="H263" s="8">
        <f>IFERROR(VLOOKUP(B263,PVSKTC!$A$4:$D$1048576,4,0),0)</f>
        <v>0</v>
      </c>
      <c r="I263" s="14" t="str">
        <f>IFERROR(IF(E263&gt;0,THTT!E$2,""),"")</f>
        <v/>
      </c>
      <c r="J263" s="15" t="str">
        <f t="shared" si="24"/>
        <v/>
      </c>
      <c r="K263" s="8" t="str">
        <f t="shared" si="25"/>
        <v/>
      </c>
      <c r="L263" s="8" t="str">
        <f t="shared" si="26"/>
        <v/>
      </c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</row>
    <row r="264" spans="1:63" s="4" customFormat="1" x14ac:dyDescent="0.3">
      <c r="A264" s="17" t="str">
        <f t="shared" si="21"/>
        <v/>
      </c>
      <c r="B264" s="27"/>
      <c r="C264" s="27">
        <f t="shared" si="27"/>
        <v>0</v>
      </c>
      <c r="D264" s="17">
        <f t="shared" si="22"/>
        <v>1</v>
      </c>
      <c r="E264" s="29">
        <f t="shared" si="23"/>
        <v>0</v>
      </c>
      <c r="F264" s="8">
        <f>IFERROR(VLOOKUP(B264,PVSKTC!$A$4:$D$1048576,2,0),0)</f>
        <v>0</v>
      </c>
      <c r="G264" s="8">
        <f>IFERROR(VLOOKUP(B264,PVSKTC!$A$4:$D$1048576,3,0),0)</f>
        <v>0</v>
      </c>
      <c r="H264" s="8">
        <f>IFERROR(VLOOKUP(B264,PVSKTC!$A$4:$D$1048576,4,0),0)</f>
        <v>0</v>
      </c>
      <c r="I264" s="14" t="str">
        <f>IFERROR(IF(E264&gt;0,THTT!E$2,""),"")</f>
        <v/>
      </c>
      <c r="J264" s="15" t="str">
        <f t="shared" si="24"/>
        <v/>
      </c>
      <c r="K264" s="8" t="str">
        <f t="shared" si="25"/>
        <v/>
      </c>
      <c r="L264" s="8" t="str">
        <f t="shared" si="26"/>
        <v/>
      </c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</row>
    <row r="265" spans="1:63" s="4" customFormat="1" x14ac:dyDescent="0.3">
      <c r="A265" s="17" t="str">
        <f t="shared" ref="A265:A300" si="28">IF(E265&lt;=0,"",IF(B265&gt;=$B$9,"QUÁ HẠN","TRONG HẠN"))</f>
        <v/>
      </c>
      <c r="B265" s="27"/>
      <c r="C265" s="27">
        <f t="shared" si="27"/>
        <v>0</v>
      </c>
      <c r="D265" s="17">
        <f t="shared" ref="D265:D300" si="29">C265-B265+1</f>
        <v>1</v>
      </c>
      <c r="E265" s="29">
        <f t="shared" ref="E265:E300" si="30">E264+F265-G265</f>
        <v>0</v>
      </c>
      <c r="F265" s="8">
        <f>IFERROR(VLOOKUP(B265,PVSKTC!$A$4:$D$1048576,2,0),0)</f>
        <v>0</v>
      </c>
      <c r="G265" s="8">
        <f>IFERROR(VLOOKUP(B265,PVSKTC!$A$4:$D$1048576,3,0),0)</f>
        <v>0</v>
      </c>
      <c r="H265" s="8">
        <f>IFERROR(VLOOKUP(B265,PVSKTC!$A$4:$D$1048576,4,0),0)</f>
        <v>0</v>
      </c>
      <c r="I265" s="14" t="str">
        <f>IFERROR(IF(E265&gt;0,THTT!E$2,""),"")</f>
        <v/>
      </c>
      <c r="J265" s="15" t="str">
        <f t="shared" ref="J265:J300" si="31">IF(A265="QUÁ HẠN",I265*150%,"")</f>
        <v/>
      </c>
      <c r="K265" s="8" t="str">
        <f t="shared" ref="K265:K300" si="32">IF(AND(E265&gt;0,A265="TRONG HẠN"),E265*I265*D265/365,"")</f>
        <v/>
      </c>
      <c r="L265" s="8" t="str">
        <f t="shared" ref="L265:L300" si="33">IF(A265="QUÁ HẠN",E265*J265*D265/365,"")</f>
        <v/>
      </c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</row>
    <row r="266" spans="1:63" s="4" customFormat="1" x14ac:dyDescent="0.3">
      <c r="A266" s="17" t="str">
        <f t="shared" si="28"/>
        <v/>
      </c>
      <c r="B266" s="27"/>
      <c r="C266" s="27">
        <f t="shared" si="27"/>
        <v>0</v>
      </c>
      <c r="D266" s="17">
        <f t="shared" si="29"/>
        <v>1</v>
      </c>
      <c r="E266" s="29">
        <f t="shared" si="30"/>
        <v>0</v>
      </c>
      <c r="F266" s="8">
        <f>IFERROR(VLOOKUP(B266,PVSKTC!$A$4:$D$1048576,2,0),0)</f>
        <v>0</v>
      </c>
      <c r="G266" s="8">
        <f>IFERROR(VLOOKUP(B266,PVSKTC!$A$4:$D$1048576,3,0),0)</f>
        <v>0</v>
      </c>
      <c r="H266" s="8">
        <f>IFERROR(VLOOKUP(B266,PVSKTC!$A$4:$D$1048576,4,0),0)</f>
        <v>0</v>
      </c>
      <c r="I266" s="14" t="str">
        <f>IFERROR(IF(E266&gt;0,THTT!E$2,""),"")</f>
        <v/>
      </c>
      <c r="J266" s="15" t="str">
        <f t="shared" si="31"/>
        <v/>
      </c>
      <c r="K266" s="8" t="str">
        <f t="shared" si="32"/>
        <v/>
      </c>
      <c r="L266" s="8" t="str">
        <f t="shared" si="33"/>
        <v/>
      </c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</row>
    <row r="267" spans="1:63" s="4" customFormat="1" x14ac:dyDescent="0.3">
      <c r="A267" s="17" t="str">
        <f t="shared" si="28"/>
        <v/>
      </c>
      <c r="B267" s="27"/>
      <c r="C267" s="27">
        <f t="shared" si="27"/>
        <v>0</v>
      </c>
      <c r="D267" s="17">
        <f t="shared" si="29"/>
        <v>1</v>
      </c>
      <c r="E267" s="29">
        <f t="shared" si="30"/>
        <v>0</v>
      </c>
      <c r="F267" s="8">
        <f>IFERROR(VLOOKUP(B267,PVSKTC!$A$4:$D$1048576,2,0),0)</f>
        <v>0</v>
      </c>
      <c r="G267" s="8">
        <f>IFERROR(VLOOKUP(B267,PVSKTC!$A$4:$D$1048576,3,0),0)</f>
        <v>0</v>
      </c>
      <c r="H267" s="8">
        <f>IFERROR(VLOOKUP(B267,PVSKTC!$A$4:$D$1048576,4,0),0)</f>
        <v>0</v>
      </c>
      <c r="I267" s="14" t="str">
        <f>IFERROR(IF(E267&gt;0,THTT!E$2,""),"")</f>
        <v/>
      </c>
      <c r="J267" s="15" t="str">
        <f t="shared" si="31"/>
        <v/>
      </c>
      <c r="K267" s="8" t="str">
        <f t="shared" si="32"/>
        <v/>
      </c>
      <c r="L267" s="8" t="str">
        <f t="shared" si="33"/>
        <v/>
      </c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</row>
    <row r="268" spans="1:63" s="4" customFormat="1" x14ac:dyDescent="0.3">
      <c r="A268" s="17" t="str">
        <f t="shared" si="28"/>
        <v/>
      </c>
      <c r="B268" s="27"/>
      <c r="C268" s="27">
        <f t="shared" si="27"/>
        <v>0</v>
      </c>
      <c r="D268" s="17">
        <f t="shared" si="29"/>
        <v>1</v>
      </c>
      <c r="E268" s="29">
        <f t="shared" si="30"/>
        <v>0</v>
      </c>
      <c r="F268" s="8">
        <f>IFERROR(VLOOKUP(B268,PVSKTC!$A$4:$D$1048576,2,0),0)</f>
        <v>0</v>
      </c>
      <c r="G268" s="8">
        <f>IFERROR(VLOOKUP(B268,PVSKTC!$A$4:$D$1048576,3,0),0)</f>
        <v>0</v>
      </c>
      <c r="H268" s="8">
        <f>IFERROR(VLOOKUP(B268,PVSKTC!$A$4:$D$1048576,4,0),0)</f>
        <v>0</v>
      </c>
      <c r="I268" s="14" t="str">
        <f>IFERROR(IF(E268&gt;0,THTT!E$2,""),"")</f>
        <v/>
      </c>
      <c r="J268" s="15" t="str">
        <f t="shared" si="31"/>
        <v/>
      </c>
      <c r="K268" s="8" t="str">
        <f t="shared" si="32"/>
        <v/>
      </c>
      <c r="L268" s="8" t="str">
        <f t="shared" si="33"/>
        <v/>
      </c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</row>
    <row r="269" spans="1:63" s="4" customFormat="1" x14ac:dyDescent="0.3">
      <c r="A269" s="17" t="str">
        <f t="shared" si="28"/>
        <v/>
      </c>
      <c r="B269" s="27"/>
      <c r="C269" s="27">
        <f t="shared" si="27"/>
        <v>0</v>
      </c>
      <c r="D269" s="17">
        <f t="shared" si="29"/>
        <v>1</v>
      </c>
      <c r="E269" s="29">
        <f t="shared" si="30"/>
        <v>0</v>
      </c>
      <c r="F269" s="8">
        <f>IFERROR(VLOOKUP(B269,PVSKTC!$A$4:$D$1048576,2,0),0)</f>
        <v>0</v>
      </c>
      <c r="G269" s="8">
        <f>IFERROR(VLOOKUP(B269,PVSKTC!$A$4:$D$1048576,3,0),0)</f>
        <v>0</v>
      </c>
      <c r="H269" s="8">
        <f>IFERROR(VLOOKUP(B269,PVSKTC!$A$4:$D$1048576,4,0),0)</f>
        <v>0</v>
      </c>
      <c r="I269" s="14" t="str">
        <f>IFERROR(IF(E269&gt;0,THTT!E$2,""),"")</f>
        <v/>
      </c>
      <c r="J269" s="15" t="str">
        <f t="shared" si="31"/>
        <v/>
      </c>
      <c r="K269" s="8" t="str">
        <f t="shared" si="32"/>
        <v/>
      </c>
      <c r="L269" s="8" t="str">
        <f t="shared" si="33"/>
        <v/>
      </c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</row>
    <row r="270" spans="1:63" s="4" customFormat="1" x14ac:dyDescent="0.3">
      <c r="A270" s="17" t="str">
        <f t="shared" si="28"/>
        <v/>
      </c>
      <c r="B270" s="27"/>
      <c r="C270" s="27">
        <f t="shared" ref="C270:C300" si="34">IFERROR(IF(B271="", $B$10, B271-1), $B$10)</f>
        <v>0</v>
      </c>
      <c r="D270" s="17">
        <f t="shared" si="29"/>
        <v>1</v>
      </c>
      <c r="E270" s="29">
        <f t="shared" si="30"/>
        <v>0</v>
      </c>
      <c r="F270" s="8">
        <f>IFERROR(VLOOKUP(B270,PVSKTC!$A$4:$D$1048576,2,0),0)</f>
        <v>0</v>
      </c>
      <c r="G270" s="8">
        <f>IFERROR(VLOOKUP(B270,PVSKTC!$A$4:$D$1048576,3,0),0)</f>
        <v>0</v>
      </c>
      <c r="H270" s="8">
        <f>IFERROR(VLOOKUP(B270,PVSKTC!$A$4:$D$1048576,4,0),0)</f>
        <v>0</v>
      </c>
      <c r="I270" s="14" t="str">
        <f>IFERROR(IF(E270&gt;0,THTT!E$2,""),"")</f>
        <v/>
      </c>
      <c r="J270" s="15" t="str">
        <f t="shared" si="31"/>
        <v/>
      </c>
      <c r="K270" s="8" t="str">
        <f t="shared" si="32"/>
        <v/>
      </c>
      <c r="L270" s="8" t="str">
        <f t="shared" si="33"/>
        <v/>
      </c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</row>
    <row r="271" spans="1:63" s="4" customFormat="1" x14ac:dyDescent="0.3">
      <c r="A271" s="17" t="str">
        <f t="shared" si="28"/>
        <v/>
      </c>
      <c r="B271" s="27"/>
      <c r="C271" s="27">
        <f t="shared" si="34"/>
        <v>0</v>
      </c>
      <c r="D271" s="17">
        <f t="shared" si="29"/>
        <v>1</v>
      </c>
      <c r="E271" s="29">
        <f t="shared" si="30"/>
        <v>0</v>
      </c>
      <c r="F271" s="8">
        <f>IFERROR(VLOOKUP(B271,PVSKTC!$A$4:$D$1048576,2,0),0)</f>
        <v>0</v>
      </c>
      <c r="G271" s="8">
        <f>IFERROR(VLOOKUP(B271,PVSKTC!$A$4:$D$1048576,3,0),0)</f>
        <v>0</v>
      </c>
      <c r="H271" s="8">
        <f>IFERROR(VLOOKUP(B271,PVSKTC!$A$4:$D$1048576,4,0),0)</f>
        <v>0</v>
      </c>
      <c r="I271" s="14" t="str">
        <f>IFERROR(IF(E271&gt;0,THTT!E$2,""),"")</f>
        <v/>
      </c>
      <c r="J271" s="15" t="str">
        <f t="shared" si="31"/>
        <v/>
      </c>
      <c r="K271" s="8" t="str">
        <f t="shared" si="32"/>
        <v/>
      </c>
      <c r="L271" s="8" t="str">
        <f t="shared" si="33"/>
        <v/>
      </c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</row>
    <row r="272" spans="1:63" s="4" customFormat="1" x14ac:dyDescent="0.3">
      <c r="A272" s="17" t="str">
        <f t="shared" si="28"/>
        <v/>
      </c>
      <c r="B272" s="27"/>
      <c r="C272" s="27">
        <f t="shared" si="34"/>
        <v>0</v>
      </c>
      <c r="D272" s="17">
        <f t="shared" si="29"/>
        <v>1</v>
      </c>
      <c r="E272" s="29">
        <f t="shared" si="30"/>
        <v>0</v>
      </c>
      <c r="F272" s="8">
        <f>IFERROR(VLOOKUP(B272,PVSKTC!$A$4:$D$1048576,2,0),0)</f>
        <v>0</v>
      </c>
      <c r="G272" s="8">
        <f>IFERROR(VLOOKUP(B272,PVSKTC!$A$4:$D$1048576,3,0),0)</f>
        <v>0</v>
      </c>
      <c r="H272" s="8">
        <f>IFERROR(VLOOKUP(B272,PVSKTC!$A$4:$D$1048576,4,0),0)</f>
        <v>0</v>
      </c>
      <c r="I272" s="14" t="str">
        <f>IFERROR(IF(E272&gt;0,THTT!E$2,""),"")</f>
        <v/>
      </c>
      <c r="J272" s="15" t="str">
        <f t="shared" si="31"/>
        <v/>
      </c>
      <c r="K272" s="8" t="str">
        <f t="shared" si="32"/>
        <v/>
      </c>
      <c r="L272" s="8" t="str">
        <f t="shared" si="33"/>
        <v/>
      </c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</row>
    <row r="273" spans="1:63" s="4" customFormat="1" x14ac:dyDescent="0.3">
      <c r="A273" s="17" t="str">
        <f t="shared" si="28"/>
        <v/>
      </c>
      <c r="B273" s="27"/>
      <c r="C273" s="27">
        <f t="shared" si="34"/>
        <v>0</v>
      </c>
      <c r="D273" s="17">
        <f t="shared" si="29"/>
        <v>1</v>
      </c>
      <c r="E273" s="29">
        <f t="shared" si="30"/>
        <v>0</v>
      </c>
      <c r="F273" s="8">
        <f>IFERROR(VLOOKUP(B273,PVSKTC!$A$4:$D$1048576,2,0),0)</f>
        <v>0</v>
      </c>
      <c r="G273" s="8">
        <f>IFERROR(VLOOKUP(B273,PVSKTC!$A$4:$D$1048576,3,0),0)</f>
        <v>0</v>
      </c>
      <c r="H273" s="8">
        <f>IFERROR(VLOOKUP(B273,PVSKTC!$A$4:$D$1048576,4,0),0)</f>
        <v>0</v>
      </c>
      <c r="I273" s="14" t="str">
        <f>IFERROR(IF(E273&gt;0,THTT!E$2,""),"")</f>
        <v/>
      </c>
      <c r="J273" s="15" t="str">
        <f t="shared" si="31"/>
        <v/>
      </c>
      <c r="K273" s="8" t="str">
        <f t="shared" si="32"/>
        <v/>
      </c>
      <c r="L273" s="8" t="str">
        <f t="shared" si="33"/>
        <v/>
      </c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</row>
    <row r="274" spans="1:63" s="4" customFormat="1" x14ac:dyDescent="0.3">
      <c r="A274" s="17" t="str">
        <f t="shared" si="28"/>
        <v/>
      </c>
      <c r="B274" s="27"/>
      <c r="C274" s="27">
        <f t="shared" si="34"/>
        <v>0</v>
      </c>
      <c r="D274" s="17">
        <f t="shared" si="29"/>
        <v>1</v>
      </c>
      <c r="E274" s="29">
        <f t="shared" si="30"/>
        <v>0</v>
      </c>
      <c r="F274" s="8">
        <f>IFERROR(VLOOKUP(B274,PVSKTC!$A$4:$D$1048576,2,0),0)</f>
        <v>0</v>
      </c>
      <c r="G274" s="8">
        <f>IFERROR(VLOOKUP(B274,PVSKTC!$A$4:$D$1048576,3,0),0)</f>
        <v>0</v>
      </c>
      <c r="H274" s="8">
        <f>IFERROR(VLOOKUP(B274,PVSKTC!$A$4:$D$1048576,4,0),0)</f>
        <v>0</v>
      </c>
      <c r="I274" s="14" t="str">
        <f>IFERROR(IF(E274&gt;0,THTT!E$2,""),"")</f>
        <v/>
      </c>
      <c r="J274" s="15" t="str">
        <f t="shared" si="31"/>
        <v/>
      </c>
      <c r="K274" s="8" t="str">
        <f t="shared" si="32"/>
        <v/>
      </c>
      <c r="L274" s="8" t="str">
        <f t="shared" si="33"/>
        <v/>
      </c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</row>
    <row r="275" spans="1:63" s="4" customFormat="1" x14ac:dyDescent="0.3">
      <c r="A275" s="17" t="str">
        <f t="shared" si="28"/>
        <v/>
      </c>
      <c r="B275" s="27"/>
      <c r="C275" s="27">
        <f t="shared" si="34"/>
        <v>0</v>
      </c>
      <c r="D275" s="17">
        <f t="shared" si="29"/>
        <v>1</v>
      </c>
      <c r="E275" s="29">
        <f t="shared" si="30"/>
        <v>0</v>
      </c>
      <c r="F275" s="8">
        <f>IFERROR(VLOOKUP(B275,PVSKTC!$A$4:$D$1048576,2,0),0)</f>
        <v>0</v>
      </c>
      <c r="G275" s="8">
        <f>IFERROR(VLOOKUP(B275,PVSKTC!$A$4:$D$1048576,3,0),0)</f>
        <v>0</v>
      </c>
      <c r="H275" s="8">
        <f>IFERROR(VLOOKUP(B275,PVSKTC!$A$4:$D$1048576,4,0),0)</f>
        <v>0</v>
      </c>
      <c r="I275" s="14" t="str">
        <f>IFERROR(IF(E275&gt;0,THTT!E$2,""),"")</f>
        <v/>
      </c>
      <c r="J275" s="15" t="str">
        <f t="shared" si="31"/>
        <v/>
      </c>
      <c r="K275" s="8" t="str">
        <f t="shared" si="32"/>
        <v/>
      </c>
      <c r="L275" s="8" t="str">
        <f t="shared" si="33"/>
        <v/>
      </c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</row>
    <row r="276" spans="1:63" s="4" customFormat="1" x14ac:dyDescent="0.3">
      <c r="A276" s="17" t="str">
        <f t="shared" si="28"/>
        <v/>
      </c>
      <c r="B276" s="27"/>
      <c r="C276" s="27">
        <f t="shared" si="34"/>
        <v>0</v>
      </c>
      <c r="D276" s="17">
        <f t="shared" si="29"/>
        <v>1</v>
      </c>
      <c r="E276" s="29">
        <f t="shared" si="30"/>
        <v>0</v>
      </c>
      <c r="F276" s="8">
        <f>IFERROR(VLOOKUP(B276,PVSKTC!$A$4:$D$1048576,2,0),0)</f>
        <v>0</v>
      </c>
      <c r="G276" s="8">
        <f>IFERROR(VLOOKUP(B276,PVSKTC!$A$4:$D$1048576,3,0),0)</f>
        <v>0</v>
      </c>
      <c r="H276" s="8">
        <f>IFERROR(VLOOKUP(B276,PVSKTC!$A$4:$D$1048576,4,0),0)</f>
        <v>0</v>
      </c>
      <c r="I276" s="14" t="str">
        <f>IFERROR(IF(E276&gt;0,THTT!E$2,""),"")</f>
        <v/>
      </c>
      <c r="J276" s="15" t="str">
        <f t="shared" si="31"/>
        <v/>
      </c>
      <c r="K276" s="8" t="str">
        <f t="shared" si="32"/>
        <v/>
      </c>
      <c r="L276" s="8" t="str">
        <f t="shared" si="33"/>
        <v/>
      </c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</row>
    <row r="277" spans="1:63" s="4" customFormat="1" x14ac:dyDescent="0.3">
      <c r="A277" s="17" t="str">
        <f t="shared" si="28"/>
        <v/>
      </c>
      <c r="B277" s="27"/>
      <c r="C277" s="27">
        <f t="shared" si="34"/>
        <v>0</v>
      </c>
      <c r="D277" s="17">
        <f t="shared" si="29"/>
        <v>1</v>
      </c>
      <c r="E277" s="29">
        <f t="shared" si="30"/>
        <v>0</v>
      </c>
      <c r="F277" s="8">
        <f>IFERROR(VLOOKUP(B277,PVSKTC!$A$4:$D$1048576,2,0),0)</f>
        <v>0</v>
      </c>
      <c r="G277" s="8">
        <f>IFERROR(VLOOKUP(B277,PVSKTC!$A$4:$D$1048576,3,0),0)</f>
        <v>0</v>
      </c>
      <c r="H277" s="8">
        <f>IFERROR(VLOOKUP(B277,PVSKTC!$A$4:$D$1048576,4,0),0)</f>
        <v>0</v>
      </c>
      <c r="I277" s="14" t="str">
        <f>IFERROR(IF(E277&gt;0,THTT!E$2,""),"")</f>
        <v/>
      </c>
      <c r="J277" s="15" t="str">
        <f t="shared" si="31"/>
        <v/>
      </c>
      <c r="K277" s="8" t="str">
        <f t="shared" si="32"/>
        <v/>
      </c>
      <c r="L277" s="8" t="str">
        <f t="shared" si="33"/>
        <v/>
      </c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</row>
    <row r="278" spans="1:63" s="4" customFormat="1" x14ac:dyDescent="0.3">
      <c r="A278" s="17" t="str">
        <f t="shared" si="28"/>
        <v/>
      </c>
      <c r="B278" s="27"/>
      <c r="C278" s="27">
        <f t="shared" si="34"/>
        <v>0</v>
      </c>
      <c r="D278" s="17">
        <f t="shared" si="29"/>
        <v>1</v>
      </c>
      <c r="E278" s="29">
        <f t="shared" si="30"/>
        <v>0</v>
      </c>
      <c r="F278" s="8">
        <f>IFERROR(VLOOKUP(B278,PVSKTC!$A$4:$D$1048576,2,0),0)</f>
        <v>0</v>
      </c>
      <c r="G278" s="8">
        <f>IFERROR(VLOOKUP(B278,PVSKTC!$A$4:$D$1048576,3,0),0)</f>
        <v>0</v>
      </c>
      <c r="H278" s="8">
        <f>IFERROR(VLOOKUP(B278,PVSKTC!$A$4:$D$1048576,4,0),0)</f>
        <v>0</v>
      </c>
      <c r="I278" s="14" t="str">
        <f>IFERROR(IF(E278&gt;0,THTT!E$2,""),"")</f>
        <v/>
      </c>
      <c r="J278" s="15" t="str">
        <f t="shared" si="31"/>
        <v/>
      </c>
      <c r="K278" s="8" t="str">
        <f t="shared" si="32"/>
        <v/>
      </c>
      <c r="L278" s="8" t="str">
        <f t="shared" si="33"/>
        <v/>
      </c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</row>
    <row r="279" spans="1:63" s="4" customFormat="1" x14ac:dyDescent="0.3">
      <c r="A279" s="17" t="str">
        <f t="shared" si="28"/>
        <v/>
      </c>
      <c r="B279" s="27"/>
      <c r="C279" s="27">
        <f t="shared" si="34"/>
        <v>0</v>
      </c>
      <c r="D279" s="17">
        <f t="shared" si="29"/>
        <v>1</v>
      </c>
      <c r="E279" s="29">
        <f t="shared" si="30"/>
        <v>0</v>
      </c>
      <c r="F279" s="8">
        <f>IFERROR(VLOOKUP(B279,PVSKTC!$A$4:$D$1048576,2,0),0)</f>
        <v>0</v>
      </c>
      <c r="G279" s="8">
        <f>IFERROR(VLOOKUP(B279,PVSKTC!$A$4:$D$1048576,3,0),0)</f>
        <v>0</v>
      </c>
      <c r="H279" s="8">
        <f>IFERROR(VLOOKUP(B279,PVSKTC!$A$4:$D$1048576,4,0),0)</f>
        <v>0</v>
      </c>
      <c r="I279" s="14" t="str">
        <f>IFERROR(IF(E279&gt;0,THTT!E$2,""),"")</f>
        <v/>
      </c>
      <c r="J279" s="15" t="str">
        <f t="shared" si="31"/>
        <v/>
      </c>
      <c r="K279" s="8" t="str">
        <f t="shared" si="32"/>
        <v/>
      </c>
      <c r="L279" s="8" t="str">
        <f t="shared" si="33"/>
        <v/>
      </c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</row>
    <row r="280" spans="1:63" s="4" customFormat="1" x14ac:dyDescent="0.3">
      <c r="A280" s="17" t="str">
        <f t="shared" si="28"/>
        <v/>
      </c>
      <c r="B280" s="27"/>
      <c r="C280" s="27">
        <f t="shared" si="34"/>
        <v>0</v>
      </c>
      <c r="D280" s="17">
        <f t="shared" si="29"/>
        <v>1</v>
      </c>
      <c r="E280" s="29">
        <f t="shared" si="30"/>
        <v>0</v>
      </c>
      <c r="F280" s="8">
        <f>IFERROR(VLOOKUP(B280,PVSKTC!$A$4:$D$1048576,2,0),0)</f>
        <v>0</v>
      </c>
      <c r="G280" s="8">
        <f>IFERROR(VLOOKUP(B280,PVSKTC!$A$4:$D$1048576,3,0),0)</f>
        <v>0</v>
      </c>
      <c r="H280" s="8">
        <f>IFERROR(VLOOKUP(B280,PVSKTC!$A$4:$D$1048576,4,0),0)</f>
        <v>0</v>
      </c>
      <c r="I280" s="14" t="str">
        <f>IFERROR(IF(E280&gt;0,THTT!E$2,""),"")</f>
        <v/>
      </c>
      <c r="J280" s="15" t="str">
        <f t="shared" si="31"/>
        <v/>
      </c>
      <c r="K280" s="8" t="str">
        <f t="shared" si="32"/>
        <v/>
      </c>
      <c r="L280" s="8" t="str">
        <f t="shared" si="33"/>
        <v/>
      </c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</row>
    <row r="281" spans="1:63" s="4" customFormat="1" x14ac:dyDescent="0.3">
      <c r="A281" s="17" t="str">
        <f t="shared" si="28"/>
        <v/>
      </c>
      <c r="B281" s="27"/>
      <c r="C281" s="27">
        <f t="shared" si="34"/>
        <v>0</v>
      </c>
      <c r="D281" s="17">
        <f t="shared" si="29"/>
        <v>1</v>
      </c>
      <c r="E281" s="29">
        <f t="shared" si="30"/>
        <v>0</v>
      </c>
      <c r="F281" s="8">
        <f>IFERROR(VLOOKUP(B281,PVSKTC!$A$4:$D$1048576,2,0),0)</f>
        <v>0</v>
      </c>
      <c r="G281" s="8">
        <f>IFERROR(VLOOKUP(B281,PVSKTC!$A$4:$D$1048576,3,0),0)</f>
        <v>0</v>
      </c>
      <c r="H281" s="8">
        <f>IFERROR(VLOOKUP(B281,PVSKTC!$A$4:$D$1048576,4,0),0)</f>
        <v>0</v>
      </c>
      <c r="I281" s="14" t="str">
        <f>IFERROR(IF(E281&gt;0,THTT!E$2,""),"")</f>
        <v/>
      </c>
      <c r="J281" s="15" t="str">
        <f t="shared" si="31"/>
        <v/>
      </c>
      <c r="K281" s="8" t="str">
        <f t="shared" si="32"/>
        <v/>
      </c>
      <c r="L281" s="8" t="str">
        <f t="shared" si="33"/>
        <v/>
      </c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</row>
    <row r="282" spans="1:63" s="4" customFormat="1" x14ac:dyDescent="0.3">
      <c r="A282" s="17" t="str">
        <f t="shared" si="28"/>
        <v/>
      </c>
      <c r="B282" s="27"/>
      <c r="C282" s="27">
        <f t="shared" si="34"/>
        <v>0</v>
      </c>
      <c r="D282" s="17">
        <f t="shared" si="29"/>
        <v>1</v>
      </c>
      <c r="E282" s="29">
        <f t="shared" si="30"/>
        <v>0</v>
      </c>
      <c r="F282" s="8">
        <f>IFERROR(VLOOKUP(B282,PVSKTC!$A$4:$D$1048576,2,0),0)</f>
        <v>0</v>
      </c>
      <c r="G282" s="8">
        <f>IFERROR(VLOOKUP(B282,PVSKTC!$A$4:$D$1048576,3,0),0)</f>
        <v>0</v>
      </c>
      <c r="H282" s="8">
        <f>IFERROR(VLOOKUP(B282,PVSKTC!$A$4:$D$1048576,4,0),0)</f>
        <v>0</v>
      </c>
      <c r="I282" s="14" t="str">
        <f>IFERROR(IF(E282&gt;0,THTT!E$2,""),"")</f>
        <v/>
      </c>
      <c r="J282" s="15" t="str">
        <f t="shared" si="31"/>
        <v/>
      </c>
      <c r="K282" s="8" t="str">
        <f t="shared" si="32"/>
        <v/>
      </c>
      <c r="L282" s="8" t="str">
        <f t="shared" si="33"/>
        <v/>
      </c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</row>
    <row r="283" spans="1:63" s="4" customFormat="1" x14ac:dyDescent="0.3">
      <c r="A283" s="17" t="str">
        <f t="shared" si="28"/>
        <v/>
      </c>
      <c r="B283" s="27"/>
      <c r="C283" s="27">
        <f t="shared" si="34"/>
        <v>0</v>
      </c>
      <c r="D283" s="17">
        <f t="shared" si="29"/>
        <v>1</v>
      </c>
      <c r="E283" s="29">
        <f t="shared" si="30"/>
        <v>0</v>
      </c>
      <c r="F283" s="8">
        <f>IFERROR(VLOOKUP(B283,PVSKTC!$A$4:$D$1048576,2,0),0)</f>
        <v>0</v>
      </c>
      <c r="G283" s="8">
        <f>IFERROR(VLOOKUP(B283,PVSKTC!$A$4:$D$1048576,3,0),0)</f>
        <v>0</v>
      </c>
      <c r="H283" s="8">
        <f>IFERROR(VLOOKUP(B283,PVSKTC!$A$4:$D$1048576,4,0),0)</f>
        <v>0</v>
      </c>
      <c r="I283" s="14" t="str">
        <f>IFERROR(IF(E283&gt;0,THTT!E$2,""),"")</f>
        <v/>
      </c>
      <c r="J283" s="15" t="str">
        <f t="shared" si="31"/>
        <v/>
      </c>
      <c r="K283" s="8" t="str">
        <f t="shared" si="32"/>
        <v/>
      </c>
      <c r="L283" s="8" t="str">
        <f t="shared" si="33"/>
        <v/>
      </c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</row>
    <row r="284" spans="1:63" s="4" customFormat="1" x14ac:dyDescent="0.3">
      <c r="A284" s="17" t="str">
        <f t="shared" si="28"/>
        <v/>
      </c>
      <c r="B284" s="27"/>
      <c r="C284" s="27">
        <f t="shared" si="34"/>
        <v>0</v>
      </c>
      <c r="D284" s="17">
        <f t="shared" si="29"/>
        <v>1</v>
      </c>
      <c r="E284" s="29">
        <f t="shared" si="30"/>
        <v>0</v>
      </c>
      <c r="F284" s="8">
        <f>IFERROR(VLOOKUP(B284,PVSKTC!$A$4:$D$1048576,2,0),0)</f>
        <v>0</v>
      </c>
      <c r="G284" s="8">
        <f>IFERROR(VLOOKUP(B284,PVSKTC!$A$4:$D$1048576,3,0),0)</f>
        <v>0</v>
      </c>
      <c r="H284" s="8">
        <f>IFERROR(VLOOKUP(B284,PVSKTC!$A$4:$D$1048576,4,0),0)</f>
        <v>0</v>
      </c>
      <c r="I284" s="14" t="str">
        <f>IFERROR(IF(E284&gt;0,THTT!E$2,""),"")</f>
        <v/>
      </c>
      <c r="J284" s="15" t="str">
        <f t="shared" si="31"/>
        <v/>
      </c>
      <c r="K284" s="8" t="str">
        <f t="shared" si="32"/>
        <v/>
      </c>
      <c r="L284" s="8" t="str">
        <f t="shared" si="33"/>
        <v/>
      </c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</row>
    <row r="285" spans="1:63" s="4" customFormat="1" x14ac:dyDescent="0.3">
      <c r="A285" s="17" t="str">
        <f t="shared" si="28"/>
        <v/>
      </c>
      <c r="B285" s="27"/>
      <c r="C285" s="27">
        <f t="shared" si="34"/>
        <v>0</v>
      </c>
      <c r="D285" s="17">
        <f t="shared" si="29"/>
        <v>1</v>
      </c>
      <c r="E285" s="29">
        <f t="shared" si="30"/>
        <v>0</v>
      </c>
      <c r="F285" s="8">
        <f>IFERROR(VLOOKUP(B285,PVSKTC!$A$4:$D$1048576,2,0),0)</f>
        <v>0</v>
      </c>
      <c r="G285" s="8">
        <f>IFERROR(VLOOKUP(B285,PVSKTC!$A$4:$D$1048576,3,0),0)</f>
        <v>0</v>
      </c>
      <c r="H285" s="8">
        <f>IFERROR(VLOOKUP(B285,PVSKTC!$A$4:$D$1048576,4,0),0)</f>
        <v>0</v>
      </c>
      <c r="I285" s="14" t="str">
        <f>IFERROR(IF(E285&gt;0,THTT!E$2,""),"")</f>
        <v/>
      </c>
      <c r="J285" s="15" t="str">
        <f t="shared" si="31"/>
        <v/>
      </c>
      <c r="K285" s="8" t="str">
        <f t="shared" si="32"/>
        <v/>
      </c>
      <c r="L285" s="8" t="str">
        <f t="shared" si="33"/>
        <v/>
      </c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</row>
    <row r="286" spans="1:63" s="4" customFormat="1" x14ac:dyDescent="0.3">
      <c r="A286" s="17" t="str">
        <f t="shared" si="28"/>
        <v/>
      </c>
      <c r="B286" s="27"/>
      <c r="C286" s="27">
        <f t="shared" si="34"/>
        <v>0</v>
      </c>
      <c r="D286" s="17">
        <f t="shared" si="29"/>
        <v>1</v>
      </c>
      <c r="E286" s="29">
        <f t="shared" si="30"/>
        <v>0</v>
      </c>
      <c r="F286" s="8">
        <f>IFERROR(VLOOKUP(B286,PVSKTC!$A$4:$D$1048576,2,0),0)</f>
        <v>0</v>
      </c>
      <c r="G286" s="8">
        <f>IFERROR(VLOOKUP(B286,PVSKTC!$A$4:$D$1048576,3,0),0)</f>
        <v>0</v>
      </c>
      <c r="H286" s="8">
        <f>IFERROR(VLOOKUP(B286,PVSKTC!$A$4:$D$1048576,4,0),0)</f>
        <v>0</v>
      </c>
      <c r="I286" s="14" t="str">
        <f>IFERROR(IF(E286&gt;0,THTT!E$2,""),"")</f>
        <v/>
      </c>
      <c r="J286" s="15" t="str">
        <f t="shared" si="31"/>
        <v/>
      </c>
      <c r="K286" s="8" t="str">
        <f t="shared" si="32"/>
        <v/>
      </c>
      <c r="L286" s="8" t="str">
        <f t="shared" si="33"/>
        <v/>
      </c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</row>
    <row r="287" spans="1:63" s="4" customFormat="1" x14ac:dyDescent="0.3">
      <c r="A287" s="17" t="str">
        <f t="shared" si="28"/>
        <v/>
      </c>
      <c r="B287" s="27"/>
      <c r="C287" s="27">
        <f t="shared" si="34"/>
        <v>0</v>
      </c>
      <c r="D287" s="17">
        <f t="shared" si="29"/>
        <v>1</v>
      </c>
      <c r="E287" s="29">
        <f t="shared" si="30"/>
        <v>0</v>
      </c>
      <c r="F287" s="8">
        <f>IFERROR(VLOOKUP(B287,PVSKTC!$A$4:$D$1048576,2,0),0)</f>
        <v>0</v>
      </c>
      <c r="G287" s="8">
        <f>IFERROR(VLOOKUP(B287,PVSKTC!$A$4:$D$1048576,3,0),0)</f>
        <v>0</v>
      </c>
      <c r="H287" s="8">
        <f>IFERROR(VLOOKUP(B287,PVSKTC!$A$4:$D$1048576,4,0),0)</f>
        <v>0</v>
      </c>
      <c r="I287" s="14" t="str">
        <f>IFERROR(IF(E287&gt;0,THTT!E$2,""),"")</f>
        <v/>
      </c>
      <c r="J287" s="15" t="str">
        <f t="shared" si="31"/>
        <v/>
      </c>
      <c r="K287" s="8" t="str">
        <f t="shared" si="32"/>
        <v/>
      </c>
      <c r="L287" s="8" t="str">
        <f t="shared" si="33"/>
        <v/>
      </c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</row>
    <row r="288" spans="1:63" s="4" customFormat="1" x14ac:dyDescent="0.3">
      <c r="A288" s="17" t="str">
        <f t="shared" si="28"/>
        <v/>
      </c>
      <c r="B288" s="27"/>
      <c r="C288" s="27">
        <f t="shared" si="34"/>
        <v>0</v>
      </c>
      <c r="D288" s="17">
        <f t="shared" si="29"/>
        <v>1</v>
      </c>
      <c r="E288" s="29">
        <f t="shared" si="30"/>
        <v>0</v>
      </c>
      <c r="F288" s="8">
        <f>IFERROR(VLOOKUP(B288,PVSKTC!$A$4:$D$1048576,2,0),0)</f>
        <v>0</v>
      </c>
      <c r="G288" s="8">
        <f>IFERROR(VLOOKUP(B288,PVSKTC!$A$4:$D$1048576,3,0),0)</f>
        <v>0</v>
      </c>
      <c r="H288" s="8">
        <f>IFERROR(VLOOKUP(B288,PVSKTC!$A$4:$D$1048576,4,0),0)</f>
        <v>0</v>
      </c>
      <c r="I288" s="14" t="str">
        <f>IFERROR(IF(E288&gt;0,THTT!E$2,""),"")</f>
        <v/>
      </c>
      <c r="J288" s="15" t="str">
        <f t="shared" si="31"/>
        <v/>
      </c>
      <c r="K288" s="8" t="str">
        <f t="shared" si="32"/>
        <v/>
      </c>
      <c r="L288" s="8" t="str">
        <f t="shared" si="33"/>
        <v/>
      </c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</row>
    <row r="289" spans="1:63" s="4" customFormat="1" x14ac:dyDescent="0.3">
      <c r="A289" s="17" t="str">
        <f t="shared" si="28"/>
        <v/>
      </c>
      <c r="B289" s="27"/>
      <c r="C289" s="27">
        <f t="shared" si="34"/>
        <v>0</v>
      </c>
      <c r="D289" s="17">
        <f t="shared" si="29"/>
        <v>1</v>
      </c>
      <c r="E289" s="29">
        <f t="shared" si="30"/>
        <v>0</v>
      </c>
      <c r="F289" s="8">
        <f>IFERROR(VLOOKUP(B289,PVSKTC!$A$4:$D$1048576,2,0),0)</f>
        <v>0</v>
      </c>
      <c r="G289" s="8">
        <f>IFERROR(VLOOKUP(B289,PVSKTC!$A$4:$D$1048576,3,0),0)</f>
        <v>0</v>
      </c>
      <c r="H289" s="8">
        <f>IFERROR(VLOOKUP(B289,PVSKTC!$A$4:$D$1048576,4,0),0)</f>
        <v>0</v>
      </c>
      <c r="I289" s="14" t="str">
        <f>IFERROR(IF(E289&gt;0,THTT!E$2,""),"")</f>
        <v/>
      </c>
      <c r="J289" s="15" t="str">
        <f t="shared" si="31"/>
        <v/>
      </c>
      <c r="K289" s="8" t="str">
        <f t="shared" si="32"/>
        <v/>
      </c>
      <c r="L289" s="8" t="str">
        <f t="shared" si="33"/>
        <v/>
      </c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</row>
    <row r="290" spans="1:63" s="4" customFormat="1" x14ac:dyDescent="0.3">
      <c r="A290" s="17" t="str">
        <f t="shared" si="28"/>
        <v/>
      </c>
      <c r="B290" s="27"/>
      <c r="C290" s="27">
        <f t="shared" si="34"/>
        <v>0</v>
      </c>
      <c r="D290" s="17">
        <f t="shared" si="29"/>
        <v>1</v>
      </c>
      <c r="E290" s="29">
        <f t="shared" si="30"/>
        <v>0</v>
      </c>
      <c r="F290" s="8">
        <f>IFERROR(VLOOKUP(B290,PVSKTC!$A$4:$D$1048576,2,0),0)</f>
        <v>0</v>
      </c>
      <c r="G290" s="8">
        <f>IFERROR(VLOOKUP(B290,PVSKTC!$A$4:$D$1048576,3,0),0)</f>
        <v>0</v>
      </c>
      <c r="H290" s="8">
        <f>IFERROR(VLOOKUP(B290,PVSKTC!$A$4:$D$1048576,4,0),0)</f>
        <v>0</v>
      </c>
      <c r="I290" s="14" t="str">
        <f>IFERROR(IF(E290&gt;0,THTT!E$2,""),"")</f>
        <v/>
      </c>
      <c r="J290" s="15" t="str">
        <f t="shared" si="31"/>
        <v/>
      </c>
      <c r="K290" s="8" t="str">
        <f t="shared" si="32"/>
        <v/>
      </c>
      <c r="L290" s="8" t="str">
        <f t="shared" si="33"/>
        <v/>
      </c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</row>
    <row r="291" spans="1:63" s="4" customFormat="1" x14ac:dyDescent="0.3">
      <c r="A291" s="17" t="str">
        <f t="shared" si="28"/>
        <v/>
      </c>
      <c r="B291" s="27"/>
      <c r="C291" s="27">
        <f t="shared" si="34"/>
        <v>0</v>
      </c>
      <c r="D291" s="17">
        <f t="shared" si="29"/>
        <v>1</v>
      </c>
      <c r="E291" s="29">
        <f t="shared" si="30"/>
        <v>0</v>
      </c>
      <c r="F291" s="8">
        <f>IFERROR(VLOOKUP(B291,PVSKTC!$A$4:$D$1048576,2,0),0)</f>
        <v>0</v>
      </c>
      <c r="G291" s="8">
        <f>IFERROR(VLOOKUP(B291,PVSKTC!$A$4:$D$1048576,3,0),0)</f>
        <v>0</v>
      </c>
      <c r="H291" s="8">
        <f>IFERROR(VLOOKUP(B291,PVSKTC!$A$4:$D$1048576,4,0),0)</f>
        <v>0</v>
      </c>
      <c r="I291" s="14" t="str">
        <f>IFERROR(IF(E291&gt;0,THTT!E$2,""),"")</f>
        <v/>
      </c>
      <c r="J291" s="15" t="str">
        <f t="shared" si="31"/>
        <v/>
      </c>
      <c r="K291" s="8" t="str">
        <f t="shared" si="32"/>
        <v/>
      </c>
      <c r="L291" s="8" t="str">
        <f t="shared" si="33"/>
        <v/>
      </c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</row>
    <row r="292" spans="1:63" s="4" customFormat="1" x14ac:dyDescent="0.3">
      <c r="A292" s="17" t="str">
        <f t="shared" si="28"/>
        <v/>
      </c>
      <c r="B292" s="27"/>
      <c r="C292" s="27">
        <f t="shared" si="34"/>
        <v>0</v>
      </c>
      <c r="D292" s="17">
        <f t="shared" si="29"/>
        <v>1</v>
      </c>
      <c r="E292" s="29">
        <f t="shared" si="30"/>
        <v>0</v>
      </c>
      <c r="F292" s="8">
        <f>IFERROR(VLOOKUP(B292,PVSKTC!$A$4:$D$1048576,2,0),0)</f>
        <v>0</v>
      </c>
      <c r="G292" s="8">
        <f>IFERROR(VLOOKUP(B292,PVSKTC!$A$4:$D$1048576,3,0),0)</f>
        <v>0</v>
      </c>
      <c r="H292" s="8">
        <f>IFERROR(VLOOKUP(B292,PVSKTC!$A$4:$D$1048576,4,0),0)</f>
        <v>0</v>
      </c>
      <c r="I292" s="14" t="str">
        <f>IFERROR(IF(E292&gt;0,THTT!E$2,""),"")</f>
        <v/>
      </c>
      <c r="J292" s="15" t="str">
        <f t="shared" si="31"/>
        <v/>
      </c>
      <c r="K292" s="8" t="str">
        <f t="shared" si="32"/>
        <v/>
      </c>
      <c r="L292" s="8" t="str">
        <f t="shared" si="33"/>
        <v/>
      </c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</row>
    <row r="293" spans="1:63" s="4" customFormat="1" x14ac:dyDescent="0.3">
      <c r="A293" s="17" t="str">
        <f t="shared" si="28"/>
        <v/>
      </c>
      <c r="B293" s="27"/>
      <c r="C293" s="27">
        <f t="shared" si="34"/>
        <v>0</v>
      </c>
      <c r="D293" s="17">
        <f t="shared" si="29"/>
        <v>1</v>
      </c>
      <c r="E293" s="29">
        <f t="shared" si="30"/>
        <v>0</v>
      </c>
      <c r="F293" s="8">
        <f>IFERROR(VLOOKUP(B293,PVSKTC!$A$4:$D$1048576,2,0),0)</f>
        <v>0</v>
      </c>
      <c r="G293" s="8">
        <f>IFERROR(VLOOKUP(B293,PVSKTC!$A$4:$D$1048576,3,0),0)</f>
        <v>0</v>
      </c>
      <c r="H293" s="8">
        <f>IFERROR(VLOOKUP(B293,PVSKTC!$A$4:$D$1048576,4,0),0)</f>
        <v>0</v>
      </c>
      <c r="I293" s="14" t="str">
        <f>IFERROR(IF(E293&gt;0,THTT!E$2,""),"")</f>
        <v/>
      </c>
      <c r="J293" s="15" t="str">
        <f t="shared" si="31"/>
        <v/>
      </c>
      <c r="K293" s="8" t="str">
        <f t="shared" si="32"/>
        <v/>
      </c>
      <c r="L293" s="8" t="str">
        <f t="shared" si="33"/>
        <v/>
      </c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</row>
    <row r="294" spans="1:63" s="4" customFormat="1" x14ac:dyDescent="0.3">
      <c r="A294" s="17" t="str">
        <f t="shared" si="28"/>
        <v/>
      </c>
      <c r="B294" s="27"/>
      <c r="C294" s="27">
        <f t="shared" si="34"/>
        <v>0</v>
      </c>
      <c r="D294" s="17">
        <f t="shared" si="29"/>
        <v>1</v>
      </c>
      <c r="E294" s="29">
        <f t="shared" si="30"/>
        <v>0</v>
      </c>
      <c r="F294" s="8">
        <f>IFERROR(VLOOKUP(B294,PVSKTC!$A$4:$D$1048576,2,0),0)</f>
        <v>0</v>
      </c>
      <c r="G294" s="8">
        <f>IFERROR(VLOOKUP(B294,PVSKTC!$A$4:$D$1048576,3,0),0)</f>
        <v>0</v>
      </c>
      <c r="H294" s="8">
        <f>IFERROR(VLOOKUP(B294,PVSKTC!$A$4:$D$1048576,4,0),0)</f>
        <v>0</v>
      </c>
      <c r="I294" s="14" t="str">
        <f>IFERROR(IF(E294&gt;0,THTT!E$2,""),"")</f>
        <v/>
      </c>
      <c r="J294" s="15" t="str">
        <f t="shared" si="31"/>
        <v/>
      </c>
      <c r="K294" s="8" t="str">
        <f t="shared" si="32"/>
        <v/>
      </c>
      <c r="L294" s="8" t="str">
        <f t="shared" si="33"/>
        <v/>
      </c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</row>
    <row r="295" spans="1:63" s="4" customFormat="1" x14ac:dyDescent="0.3">
      <c r="A295" s="17" t="str">
        <f t="shared" si="28"/>
        <v/>
      </c>
      <c r="B295" s="27"/>
      <c r="C295" s="27">
        <f t="shared" si="34"/>
        <v>0</v>
      </c>
      <c r="D295" s="17">
        <f t="shared" si="29"/>
        <v>1</v>
      </c>
      <c r="E295" s="29">
        <f t="shared" si="30"/>
        <v>0</v>
      </c>
      <c r="F295" s="8">
        <f>IFERROR(VLOOKUP(B295,PVSKTC!$A$4:$D$1048576,2,0),0)</f>
        <v>0</v>
      </c>
      <c r="G295" s="8">
        <f>IFERROR(VLOOKUP(B295,PVSKTC!$A$4:$D$1048576,3,0),0)</f>
        <v>0</v>
      </c>
      <c r="H295" s="8">
        <f>IFERROR(VLOOKUP(B295,PVSKTC!$A$4:$D$1048576,4,0),0)</f>
        <v>0</v>
      </c>
      <c r="I295" s="14" t="str">
        <f>IFERROR(IF(E295&gt;0,THTT!E$2,""),"")</f>
        <v/>
      </c>
      <c r="J295" s="15" t="str">
        <f t="shared" si="31"/>
        <v/>
      </c>
      <c r="K295" s="8" t="str">
        <f t="shared" si="32"/>
        <v/>
      </c>
      <c r="L295" s="8" t="str">
        <f t="shared" si="33"/>
        <v/>
      </c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</row>
    <row r="296" spans="1:63" s="4" customFormat="1" x14ac:dyDescent="0.3">
      <c r="A296" s="17" t="str">
        <f t="shared" si="28"/>
        <v/>
      </c>
      <c r="B296" s="27"/>
      <c r="C296" s="27">
        <f t="shared" si="34"/>
        <v>0</v>
      </c>
      <c r="D296" s="17">
        <f t="shared" si="29"/>
        <v>1</v>
      </c>
      <c r="E296" s="29">
        <f t="shared" si="30"/>
        <v>0</v>
      </c>
      <c r="F296" s="8">
        <f>IFERROR(VLOOKUP(B296,PVSKTC!$A$4:$D$1048576,2,0),0)</f>
        <v>0</v>
      </c>
      <c r="G296" s="8">
        <f>IFERROR(VLOOKUP(B296,PVSKTC!$A$4:$D$1048576,3,0),0)</f>
        <v>0</v>
      </c>
      <c r="H296" s="8">
        <f>IFERROR(VLOOKUP(B296,PVSKTC!$A$4:$D$1048576,4,0),0)</f>
        <v>0</v>
      </c>
      <c r="I296" s="14" t="str">
        <f>IFERROR(IF(E296&gt;0,THTT!E$2,""),"")</f>
        <v/>
      </c>
      <c r="J296" s="15" t="str">
        <f t="shared" si="31"/>
        <v/>
      </c>
      <c r="K296" s="8" t="str">
        <f t="shared" si="32"/>
        <v/>
      </c>
      <c r="L296" s="8" t="str">
        <f t="shared" si="33"/>
        <v/>
      </c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</row>
    <row r="297" spans="1:63" s="4" customFormat="1" x14ac:dyDescent="0.3">
      <c r="A297" s="17" t="str">
        <f t="shared" si="28"/>
        <v/>
      </c>
      <c r="B297" s="27"/>
      <c r="C297" s="27">
        <f t="shared" si="34"/>
        <v>0</v>
      </c>
      <c r="D297" s="17">
        <f t="shared" si="29"/>
        <v>1</v>
      </c>
      <c r="E297" s="29">
        <f t="shared" si="30"/>
        <v>0</v>
      </c>
      <c r="F297" s="8">
        <f>IFERROR(VLOOKUP(B297,PVSKTC!$A$4:$D$1048576,2,0),0)</f>
        <v>0</v>
      </c>
      <c r="G297" s="8">
        <f>IFERROR(VLOOKUP(B297,PVSKTC!$A$4:$D$1048576,3,0),0)</f>
        <v>0</v>
      </c>
      <c r="H297" s="8">
        <f>IFERROR(VLOOKUP(B297,PVSKTC!$A$4:$D$1048576,4,0),0)</f>
        <v>0</v>
      </c>
      <c r="I297" s="14" t="str">
        <f>IFERROR(IF(E297&gt;0,THTT!E$2,""),"")</f>
        <v/>
      </c>
      <c r="J297" s="15" t="str">
        <f t="shared" si="31"/>
        <v/>
      </c>
      <c r="K297" s="8" t="str">
        <f t="shared" si="32"/>
        <v/>
      </c>
      <c r="L297" s="8" t="str">
        <f t="shared" si="33"/>
        <v/>
      </c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</row>
    <row r="298" spans="1:63" s="4" customFormat="1" x14ac:dyDescent="0.3">
      <c r="A298" s="17" t="str">
        <f t="shared" si="28"/>
        <v/>
      </c>
      <c r="B298" s="27"/>
      <c r="C298" s="27">
        <f t="shared" si="34"/>
        <v>0</v>
      </c>
      <c r="D298" s="17">
        <f t="shared" si="29"/>
        <v>1</v>
      </c>
      <c r="E298" s="29">
        <f t="shared" si="30"/>
        <v>0</v>
      </c>
      <c r="F298" s="8">
        <f>IFERROR(VLOOKUP(B298,PVSKTC!$A$4:$D$1048576,2,0),0)</f>
        <v>0</v>
      </c>
      <c r="G298" s="8">
        <f>IFERROR(VLOOKUP(B298,PVSKTC!$A$4:$D$1048576,3,0),0)</f>
        <v>0</v>
      </c>
      <c r="H298" s="8">
        <f>IFERROR(VLOOKUP(B298,PVSKTC!$A$4:$D$1048576,4,0),0)</f>
        <v>0</v>
      </c>
      <c r="I298" s="14" t="str">
        <f>IFERROR(IF(E298&gt;0,THTT!E$2,""),"")</f>
        <v/>
      </c>
      <c r="J298" s="15" t="str">
        <f t="shared" si="31"/>
        <v/>
      </c>
      <c r="K298" s="8" t="str">
        <f t="shared" si="32"/>
        <v/>
      </c>
      <c r="L298" s="8" t="str">
        <f t="shared" si="33"/>
        <v/>
      </c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</row>
    <row r="299" spans="1:63" s="4" customFormat="1" x14ac:dyDescent="0.3">
      <c r="A299" s="17" t="str">
        <f t="shared" si="28"/>
        <v/>
      </c>
      <c r="B299" s="27"/>
      <c r="C299" s="27">
        <f t="shared" si="34"/>
        <v>0</v>
      </c>
      <c r="D299" s="17">
        <f t="shared" si="29"/>
        <v>1</v>
      </c>
      <c r="E299" s="29">
        <f t="shared" si="30"/>
        <v>0</v>
      </c>
      <c r="F299" s="8">
        <f>IFERROR(VLOOKUP(B299,PVSKTC!$A$4:$D$1048576,2,0),0)</f>
        <v>0</v>
      </c>
      <c r="G299" s="8">
        <f>IFERROR(VLOOKUP(B299,PVSKTC!$A$4:$D$1048576,3,0),0)</f>
        <v>0</v>
      </c>
      <c r="H299" s="8">
        <f>IFERROR(VLOOKUP(B299,PVSKTC!$A$4:$D$1048576,4,0),0)</f>
        <v>0</v>
      </c>
      <c r="I299" s="14" t="str">
        <f>IFERROR(IF(E299&gt;0,THTT!E$2,""),"")</f>
        <v/>
      </c>
      <c r="J299" s="15" t="str">
        <f t="shared" si="31"/>
        <v/>
      </c>
      <c r="K299" s="8" t="str">
        <f t="shared" si="32"/>
        <v/>
      </c>
      <c r="L299" s="8" t="str">
        <f t="shared" si="33"/>
        <v/>
      </c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</row>
    <row r="300" spans="1:63" s="4" customFormat="1" x14ac:dyDescent="0.3">
      <c r="A300" s="17" t="str">
        <f t="shared" si="28"/>
        <v/>
      </c>
      <c r="B300" s="27"/>
      <c r="C300" s="27">
        <f t="shared" si="34"/>
        <v>0</v>
      </c>
      <c r="D300" s="17">
        <f t="shared" si="29"/>
        <v>1</v>
      </c>
      <c r="E300" s="29">
        <f t="shared" si="30"/>
        <v>0</v>
      </c>
      <c r="F300" s="8">
        <f>IFERROR(VLOOKUP(B300,PVSKTC!$A$4:$D$1048576,2,0),0)</f>
        <v>0</v>
      </c>
      <c r="G300" s="8">
        <f>IFERROR(VLOOKUP(B300,PVSKTC!$A$4:$D$1048576,3,0),0)</f>
        <v>0</v>
      </c>
      <c r="H300" s="8">
        <f>IFERROR(VLOOKUP(B300,PVSKTC!$A$4:$D$1048576,4,0),0)</f>
        <v>0</v>
      </c>
      <c r="I300" s="14" t="str">
        <f>IFERROR(IF(E300&gt;0,THTT!E$2,""),"")</f>
        <v/>
      </c>
      <c r="J300" s="15" t="str">
        <f t="shared" si="31"/>
        <v/>
      </c>
      <c r="K300" s="8" t="str">
        <f t="shared" si="32"/>
        <v/>
      </c>
      <c r="L300" s="8" t="str">
        <f t="shared" si="33"/>
        <v/>
      </c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</row>
    <row r="301" spans="1:63" x14ac:dyDescent="0.3">
      <c r="A301" s="10"/>
      <c r="B301" s="11"/>
      <c r="C301" s="11" t="s">
        <v>11</v>
      </c>
      <c r="D301" s="11"/>
      <c r="E301" s="12">
        <f>INDEX(E12:E300, COUNTA(E12:E300))</f>
        <v>0</v>
      </c>
      <c r="F301" s="13">
        <f>SUM(F13:F300)</f>
        <v>0</v>
      </c>
      <c r="G301" s="13">
        <f>SUM(G13:G300)</f>
        <v>0</v>
      </c>
      <c r="H301" s="13">
        <f>SUM(H13:H300)</f>
        <v>0</v>
      </c>
      <c r="I301" s="13"/>
      <c r="J301" s="34"/>
      <c r="K301" s="13">
        <f>SUM(K13:K300)</f>
        <v>0</v>
      </c>
      <c r="L301" s="13">
        <f>SUM(L13:L300)</f>
        <v>0</v>
      </c>
    </row>
    <row r="302" spans="1:63" x14ac:dyDescent="0.3">
      <c r="B302" s="6"/>
      <c r="C302" s="7"/>
      <c r="D302" s="7"/>
      <c r="E302" s="7"/>
      <c r="F302" s="7"/>
      <c r="G302" s="7"/>
      <c r="H302" s="7"/>
      <c r="I302" s="7"/>
      <c r="J302" s="35"/>
      <c r="K302" s="7"/>
      <c r="L302" s="7"/>
    </row>
    <row r="303" spans="1:63" x14ac:dyDescent="0.3">
      <c r="F303" s="25"/>
      <c r="J303" s="71" t="s">
        <v>42</v>
      </c>
      <c r="K303" s="71"/>
      <c r="L303" s="43"/>
    </row>
    <row r="304" spans="1:63" x14ac:dyDescent="0.3">
      <c r="F304" s="26"/>
      <c r="L304" s="2"/>
    </row>
    <row r="305" spans="10:12" x14ac:dyDescent="0.3">
      <c r="L305" s="2"/>
    </row>
    <row r="306" spans="10:12" x14ac:dyDescent="0.3">
      <c r="L306" s="2"/>
    </row>
    <row r="307" spans="10:12" x14ac:dyDescent="0.3">
      <c r="J307" s="65" t="str">
        <f>IF(THTT!F2="","",THTT!F2)</f>
        <v>baotg10</v>
      </c>
      <c r="K307" s="65"/>
      <c r="L307" s="44"/>
    </row>
  </sheetData>
  <mergeCells count="6">
    <mergeCell ref="J307:K307"/>
    <mergeCell ref="A1:L1"/>
    <mergeCell ref="A3:B3"/>
    <mergeCell ref="G5:H5"/>
    <mergeCell ref="D4:E4"/>
    <mergeCell ref="J303:K303"/>
  </mergeCells>
  <pageMargins left="0.7" right="0.7" top="0.75" bottom="0.75" header="0.3" footer="0.3"/>
  <pageSetup paperSize="9" scale="62" fitToHeight="0" orientation="landscape" r:id="rId1"/>
  <ignoredErrors>
    <ignoredError sqref="E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1"/>
  <sheetViews>
    <sheetView workbookViewId="0"/>
  </sheetViews>
  <sheetFormatPr defaultRowHeight="14.4" x14ac:dyDescent="0.3"/>
  <sheetData>
    <row r="1" spans="1:6" x14ac:dyDescent="0.3">
      <c r="A1" t="s">
        <v>24</v>
      </c>
      <c r="B1" t="s">
        <v>25</v>
      </c>
      <c r="C1" t="s">
        <v>26</v>
      </c>
      <c r="D1" t="s">
        <v>27</v>
      </c>
    </row>
    <row r="2" spans="1:6" x14ac:dyDescent="0.3">
      <c r="A2" s="22">
        <v>45913.589942129627</v>
      </c>
      <c r="B2" t="s">
        <v>28</v>
      </c>
      <c r="C2" t="s">
        <v>21</v>
      </c>
      <c r="D2">
        <v>14</v>
      </c>
      <c r="E2" t="s">
        <v>29</v>
      </c>
      <c r="F2" t="s">
        <v>30</v>
      </c>
    </row>
    <row r="3" spans="1:6" x14ac:dyDescent="0.3">
      <c r="A3" s="22">
        <v>45913.589942129627</v>
      </c>
      <c r="B3" t="s">
        <v>31</v>
      </c>
      <c r="C3" t="s">
        <v>19</v>
      </c>
      <c r="D3">
        <v>33</v>
      </c>
      <c r="E3" t="s">
        <v>29</v>
      </c>
      <c r="F3" t="s">
        <v>30</v>
      </c>
    </row>
    <row r="4" spans="1:6" x14ac:dyDescent="0.3">
      <c r="A4" s="22">
        <v>45913.589942129627</v>
      </c>
      <c r="B4" t="s">
        <v>32</v>
      </c>
      <c r="C4" t="s">
        <v>20</v>
      </c>
      <c r="D4">
        <v>33</v>
      </c>
      <c r="E4" t="s">
        <v>29</v>
      </c>
      <c r="F4" t="s">
        <v>30</v>
      </c>
    </row>
    <row r="5" spans="1:6" x14ac:dyDescent="0.3">
      <c r="A5" s="22">
        <v>45913.589942129627</v>
      </c>
      <c r="B5" t="s">
        <v>33</v>
      </c>
      <c r="C5" t="s">
        <v>23</v>
      </c>
      <c r="D5">
        <v>12</v>
      </c>
      <c r="E5" t="s">
        <v>29</v>
      </c>
      <c r="F5" t="s">
        <v>30</v>
      </c>
    </row>
    <row r="6" spans="1:6" x14ac:dyDescent="0.3">
      <c r="A6" s="22">
        <v>45913.590243055558</v>
      </c>
      <c r="B6" t="s">
        <v>34</v>
      </c>
      <c r="C6" t="s">
        <v>22</v>
      </c>
      <c r="D6">
        <v>11</v>
      </c>
      <c r="E6" t="s">
        <v>29</v>
      </c>
      <c r="F6" t="s">
        <v>30</v>
      </c>
    </row>
    <row r="7" spans="1:6" x14ac:dyDescent="0.3">
      <c r="A7" s="22">
        <v>45913.590243055558</v>
      </c>
      <c r="B7" t="s">
        <v>28</v>
      </c>
      <c r="C7" t="s">
        <v>21</v>
      </c>
      <c r="D7">
        <v>14</v>
      </c>
      <c r="E7" t="s">
        <v>29</v>
      </c>
      <c r="F7" t="s">
        <v>30</v>
      </c>
    </row>
    <row r="8" spans="1:6" x14ac:dyDescent="0.3">
      <c r="A8" s="22">
        <v>45913.590243055558</v>
      </c>
      <c r="B8" t="s">
        <v>31</v>
      </c>
      <c r="C8" t="s">
        <v>19</v>
      </c>
      <c r="D8">
        <v>33</v>
      </c>
      <c r="E8" t="s">
        <v>29</v>
      </c>
      <c r="F8" t="s">
        <v>30</v>
      </c>
    </row>
    <row r="9" spans="1:6" x14ac:dyDescent="0.3">
      <c r="A9" s="22">
        <v>45913.590243055558</v>
      </c>
      <c r="B9" t="s">
        <v>32</v>
      </c>
      <c r="C9" t="s">
        <v>20</v>
      </c>
      <c r="D9">
        <v>33</v>
      </c>
      <c r="E9" t="s">
        <v>29</v>
      </c>
      <c r="F9" t="s">
        <v>30</v>
      </c>
    </row>
    <row r="10" spans="1:6" x14ac:dyDescent="0.3">
      <c r="A10" s="22">
        <v>45913.590254629627</v>
      </c>
      <c r="B10" t="s">
        <v>33</v>
      </c>
      <c r="C10" t="s">
        <v>23</v>
      </c>
      <c r="D10">
        <v>12</v>
      </c>
      <c r="E10" t="s">
        <v>29</v>
      </c>
      <c r="F10" t="s">
        <v>30</v>
      </c>
    </row>
    <row r="11" spans="1:6" x14ac:dyDescent="0.3">
      <c r="A11" s="22">
        <v>45913.616481481484</v>
      </c>
      <c r="B11" t="s">
        <v>35</v>
      </c>
      <c r="C11" t="s">
        <v>23</v>
      </c>
      <c r="D11">
        <v>3</v>
      </c>
      <c r="E11" t="s">
        <v>29</v>
      </c>
      <c r="F11" t="s">
        <v>30</v>
      </c>
    </row>
    <row r="12" spans="1:6" x14ac:dyDescent="0.3">
      <c r="A12" s="22">
        <v>45913.617245370369</v>
      </c>
      <c r="B12" t="s">
        <v>36</v>
      </c>
      <c r="C12" t="s">
        <v>22</v>
      </c>
      <c r="D12">
        <v>0</v>
      </c>
      <c r="E12" t="s">
        <v>29</v>
      </c>
      <c r="F12" t="s">
        <v>30</v>
      </c>
    </row>
    <row r="13" spans="1:6" x14ac:dyDescent="0.3">
      <c r="A13" s="22">
        <v>45913.617245370369</v>
      </c>
      <c r="B13" t="s">
        <v>37</v>
      </c>
      <c r="C13" t="s">
        <v>21</v>
      </c>
      <c r="D13">
        <v>0</v>
      </c>
      <c r="E13" t="s">
        <v>29</v>
      </c>
      <c r="F13" t="s">
        <v>30</v>
      </c>
    </row>
    <row r="14" spans="1:6" x14ac:dyDescent="0.3">
      <c r="A14" s="22">
        <v>45913.617245370369</v>
      </c>
      <c r="B14" t="s">
        <v>38</v>
      </c>
      <c r="C14" t="s">
        <v>19</v>
      </c>
      <c r="D14">
        <v>7</v>
      </c>
      <c r="E14" t="s">
        <v>29</v>
      </c>
      <c r="F14" t="s">
        <v>30</v>
      </c>
    </row>
    <row r="15" spans="1:6" x14ac:dyDescent="0.3">
      <c r="A15" s="22">
        <v>45913.617245370369</v>
      </c>
      <c r="B15" t="s">
        <v>39</v>
      </c>
      <c r="C15" t="s">
        <v>20</v>
      </c>
      <c r="D15">
        <v>7</v>
      </c>
      <c r="E15" t="s">
        <v>29</v>
      </c>
      <c r="F15" t="s">
        <v>30</v>
      </c>
    </row>
    <row r="16" spans="1:6" x14ac:dyDescent="0.3">
      <c r="A16" s="22">
        <v>45913.617256944446</v>
      </c>
      <c r="B16" t="s">
        <v>35</v>
      </c>
      <c r="C16" t="s">
        <v>23</v>
      </c>
      <c r="D16">
        <v>3</v>
      </c>
      <c r="E16" t="s">
        <v>40</v>
      </c>
      <c r="F16" t="s">
        <v>41</v>
      </c>
    </row>
    <row r="17" spans="1:6" x14ac:dyDescent="0.3">
      <c r="A17" s="22">
        <v>45913.620682870373</v>
      </c>
      <c r="B17" t="s">
        <v>36</v>
      </c>
      <c r="C17" t="s">
        <v>22</v>
      </c>
      <c r="D17">
        <v>1</v>
      </c>
      <c r="E17" t="s">
        <v>29</v>
      </c>
      <c r="F17" t="s">
        <v>30</v>
      </c>
    </row>
    <row r="18" spans="1:6" x14ac:dyDescent="0.3">
      <c r="A18" s="22">
        <v>45913.620682870373</v>
      </c>
      <c r="B18" t="s">
        <v>37</v>
      </c>
      <c r="C18" t="s">
        <v>21</v>
      </c>
      <c r="D18">
        <v>1</v>
      </c>
      <c r="E18" t="s">
        <v>29</v>
      </c>
      <c r="F18" t="s">
        <v>30</v>
      </c>
    </row>
    <row r="19" spans="1:6" x14ac:dyDescent="0.3">
      <c r="A19" s="22">
        <v>45913.620682870373</v>
      </c>
      <c r="B19" t="s">
        <v>38</v>
      </c>
      <c r="C19" t="s">
        <v>19</v>
      </c>
      <c r="D19">
        <v>7</v>
      </c>
      <c r="E19" t="s">
        <v>29</v>
      </c>
      <c r="F19" t="s">
        <v>30</v>
      </c>
    </row>
    <row r="20" spans="1:6" x14ac:dyDescent="0.3">
      <c r="A20" s="22">
        <v>45913.620694444442</v>
      </c>
      <c r="B20" t="s">
        <v>39</v>
      </c>
      <c r="C20" t="s">
        <v>20</v>
      </c>
      <c r="D20">
        <v>7</v>
      </c>
      <c r="E20" t="s">
        <v>29</v>
      </c>
      <c r="F20" t="s">
        <v>30</v>
      </c>
    </row>
    <row r="21" spans="1:6" x14ac:dyDescent="0.3">
      <c r="A21" s="22">
        <v>45913.620694444442</v>
      </c>
      <c r="B21" t="s">
        <v>35</v>
      </c>
      <c r="C21" t="s">
        <v>23</v>
      </c>
      <c r="D21">
        <v>3</v>
      </c>
      <c r="E21" t="s">
        <v>29</v>
      </c>
      <c r="F21" t="s">
        <v>30</v>
      </c>
    </row>
    <row r="22" spans="1:6" x14ac:dyDescent="0.3">
      <c r="A22" s="22">
        <v>45913.621365740742</v>
      </c>
      <c r="B22" t="s">
        <v>36</v>
      </c>
      <c r="C22" t="s">
        <v>22</v>
      </c>
      <c r="D22">
        <v>1</v>
      </c>
      <c r="E22" t="s">
        <v>29</v>
      </c>
      <c r="F22" t="s">
        <v>30</v>
      </c>
    </row>
    <row r="23" spans="1:6" x14ac:dyDescent="0.3">
      <c r="A23" s="22">
        <v>45913.621365740742</v>
      </c>
      <c r="B23" t="s">
        <v>37</v>
      </c>
      <c r="C23" t="s">
        <v>21</v>
      </c>
      <c r="D23">
        <v>1</v>
      </c>
      <c r="E23" t="s">
        <v>29</v>
      </c>
      <c r="F23" t="s">
        <v>30</v>
      </c>
    </row>
    <row r="24" spans="1:6" x14ac:dyDescent="0.3">
      <c r="A24" s="22">
        <v>45913.621365740742</v>
      </c>
      <c r="B24" t="s">
        <v>38</v>
      </c>
      <c r="C24" t="s">
        <v>19</v>
      </c>
      <c r="D24">
        <v>7</v>
      </c>
      <c r="E24" t="s">
        <v>29</v>
      </c>
      <c r="F24" t="s">
        <v>30</v>
      </c>
    </row>
    <row r="25" spans="1:6" x14ac:dyDescent="0.3">
      <c r="A25" s="22">
        <v>45913.621365740742</v>
      </c>
      <c r="B25" t="s">
        <v>39</v>
      </c>
      <c r="C25" t="s">
        <v>20</v>
      </c>
      <c r="D25">
        <v>7</v>
      </c>
      <c r="E25" t="s">
        <v>29</v>
      </c>
      <c r="F25" t="s">
        <v>30</v>
      </c>
    </row>
    <row r="26" spans="1:6" x14ac:dyDescent="0.3">
      <c r="A26" s="22">
        <v>45913.621365740742</v>
      </c>
      <c r="B26" t="s">
        <v>35</v>
      </c>
      <c r="C26" t="s">
        <v>23</v>
      </c>
      <c r="D26">
        <v>3</v>
      </c>
      <c r="E26" t="s">
        <v>29</v>
      </c>
      <c r="F26" t="s">
        <v>30</v>
      </c>
    </row>
    <row r="27" spans="1:6" x14ac:dyDescent="0.3">
      <c r="A27" s="22">
        <v>45913.840555555558</v>
      </c>
      <c r="B27" t="s">
        <v>36</v>
      </c>
      <c r="C27" t="s">
        <v>22</v>
      </c>
      <c r="D27">
        <v>1</v>
      </c>
      <c r="E27" t="s">
        <v>29</v>
      </c>
    </row>
    <row r="28" spans="1:6" x14ac:dyDescent="0.3">
      <c r="A28" s="22">
        <v>45913.840555555558</v>
      </c>
      <c r="B28" t="s">
        <v>37</v>
      </c>
      <c r="C28" t="s">
        <v>21</v>
      </c>
      <c r="D28">
        <v>1</v>
      </c>
      <c r="E28" t="s">
        <v>29</v>
      </c>
    </row>
    <row r="29" spans="1:6" x14ac:dyDescent="0.3">
      <c r="A29" s="22">
        <v>45913.840555555558</v>
      </c>
      <c r="B29" t="s">
        <v>38</v>
      </c>
      <c r="C29" t="s">
        <v>19</v>
      </c>
      <c r="D29">
        <v>7</v>
      </c>
      <c r="E29" t="s">
        <v>29</v>
      </c>
    </row>
    <row r="30" spans="1:6" x14ac:dyDescent="0.3">
      <c r="A30" s="22">
        <v>45913.840555555558</v>
      </c>
      <c r="B30" t="s">
        <v>39</v>
      </c>
      <c r="C30" t="s">
        <v>20</v>
      </c>
      <c r="D30">
        <v>7</v>
      </c>
      <c r="E30" t="s">
        <v>29</v>
      </c>
    </row>
    <row r="31" spans="1:6" x14ac:dyDescent="0.3">
      <c r="A31" s="22">
        <v>45913.840567129628</v>
      </c>
      <c r="B31" t="s">
        <v>35</v>
      </c>
      <c r="C31" t="s">
        <v>23</v>
      </c>
      <c r="D31">
        <v>5</v>
      </c>
      <c r="E31" t="s">
        <v>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PVSKTC</vt:lpstr>
      <vt:lpstr>SKTC</vt:lpstr>
      <vt:lpstr>THTT</vt:lpstr>
      <vt:lpstr>BANGTINH</vt:lpstr>
      <vt:lpstr>SKTC!HTML_SKTC</vt:lpstr>
      <vt:lpstr>SKTC!HTML_SKTC_1</vt:lpstr>
      <vt:lpstr>SKTC!HTML_SKTC_2</vt:lpstr>
      <vt:lpstr>SKTC!HTML_SKTC_3</vt:lpstr>
      <vt:lpstr>BANGTINH!Print_Area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cp:lastPrinted>2026-01-06T08:19:04Z</cp:lastPrinted>
  <dcterms:created xsi:type="dcterms:W3CDTF">2025-08-10T08:27:57Z</dcterms:created>
  <dcterms:modified xsi:type="dcterms:W3CDTF">2026-04-19T17:51:19Z</dcterms:modified>
</cp:coreProperties>
</file>