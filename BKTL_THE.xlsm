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3040" windowHeight="8496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6" l="1"/>
  <c r="L13" i="6" s="1"/>
  <c r="F14" i="6"/>
  <c r="L14" i="6" s="1"/>
  <c r="F15" i="6"/>
  <c r="L15" i="6" s="1"/>
  <c r="F16" i="6"/>
  <c r="L16" i="6"/>
  <c r="F17" i="6"/>
  <c r="L17" i="6" s="1"/>
  <c r="F18" i="6"/>
  <c r="L18" i="6" s="1"/>
  <c r="F19" i="6"/>
  <c r="L19" i="6" s="1"/>
  <c r="F20" i="6"/>
  <c r="L20" i="6"/>
  <c r="F21" i="6"/>
  <c r="L21" i="6" s="1"/>
  <c r="F22" i="6"/>
  <c r="L22" i="6" s="1"/>
  <c r="F23" i="6"/>
  <c r="L23" i="6" s="1"/>
  <c r="F24" i="6"/>
  <c r="L24" i="6"/>
  <c r="F25" i="6"/>
  <c r="L25" i="6" s="1"/>
  <c r="F26" i="6"/>
  <c r="L26" i="6" s="1"/>
  <c r="F27" i="6"/>
  <c r="L27" i="6" s="1"/>
  <c r="F28" i="6"/>
  <c r="L28" i="6"/>
  <c r="F29" i="6"/>
  <c r="L29" i="6" s="1"/>
  <c r="F30" i="6"/>
  <c r="L30" i="6" s="1"/>
  <c r="F31" i="6"/>
  <c r="L31" i="6" s="1"/>
  <c r="F32" i="6"/>
  <c r="L32" i="6"/>
  <c r="F33" i="6"/>
  <c r="L33" i="6" s="1"/>
  <c r="F34" i="6"/>
  <c r="L34" i="6" s="1"/>
  <c r="F35" i="6"/>
  <c r="L35" i="6" s="1"/>
  <c r="F36" i="6"/>
  <c r="L36" i="6"/>
  <c r="F37" i="6"/>
  <c r="L37" i="6" s="1"/>
  <c r="F38" i="6"/>
  <c r="L38" i="6" s="1"/>
  <c r="F39" i="6"/>
  <c r="L39" i="6" s="1"/>
  <c r="F40" i="6"/>
  <c r="L40" i="6"/>
  <c r="F41" i="6"/>
  <c r="L41" i="6" s="1"/>
  <c r="F42" i="6"/>
  <c r="L42" i="6"/>
  <c r="F43" i="6"/>
  <c r="L43" i="6" s="1"/>
  <c r="F44" i="6"/>
  <c r="L44" i="6"/>
  <c r="F45" i="6"/>
  <c r="L45" i="6" s="1"/>
  <c r="F46" i="6"/>
  <c r="L46" i="6"/>
  <c r="F47" i="6"/>
  <c r="L47" i="6" s="1"/>
  <c r="F48" i="6"/>
  <c r="L48" i="6"/>
  <c r="F49" i="6"/>
  <c r="L49" i="6" s="1"/>
  <c r="F50" i="6"/>
  <c r="L50" i="6"/>
  <c r="F51" i="6"/>
  <c r="L51" i="6" s="1"/>
  <c r="F52" i="6"/>
  <c r="L52" i="6"/>
  <c r="F53" i="6"/>
  <c r="L53" i="6" s="1"/>
  <c r="F54" i="6"/>
  <c r="L54" i="6"/>
  <c r="F55" i="6"/>
  <c r="L55" i="6" s="1"/>
  <c r="F56" i="6"/>
  <c r="L56" i="6"/>
  <c r="F57" i="6"/>
  <c r="L57" i="6" s="1"/>
  <c r="F58" i="6"/>
  <c r="L58" i="6"/>
  <c r="F59" i="6"/>
  <c r="L59" i="6" s="1"/>
  <c r="F60" i="6"/>
  <c r="L60" i="6"/>
  <c r="F61" i="6"/>
  <c r="L61" i="6" s="1"/>
  <c r="F62" i="6"/>
  <c r="L62" i="6"/>
  <c r="F63" i="6"/>
  <c r="L63" i="6" s="1"/>
  <c r="F64" i="6"/>
  <c r="L64" i="6"/>
  <c r="F65" i="6"/>
  <c r="L65" i="6" s="1"/>
  <c r="F66" i="6"/>
  <c r="L66" i="6"/>
  <c r="F67" i="6"/>
  <c r="L67" i="6" s="1"/>
  <c r="F68" i="6"/>
  <c r="L68" i="6"/>
  <c r="F69" i="6"/>
  <c r="L69" i="6" s="1"/>
  <c r="F70" i="6"/>
  <c r="L70" i="6"/>
  <c r="F71" i="6"/>
  <c r="L71" i="6" s="1"/>
  <c r="F72" i="6"/>
  <c r="L72" i="6"/>
  <c r="F73" i="6"/>
  <c r="L73" i="6" s="1"/>
  <c r="F74" i="6"/>
  <c r="L74" i="6"/>
  <c r="F75" i="6"/>
  <c r="L75" i="6" s="1"/>
  <c r="F76" i="6"/>
  <c r="L76" i="6"/>
  <c r="F77" i="6"/>
  <c r="L77" i="6" s="1"/>
  <c r="F78" i="6"/>
  <c r="L78" i="6"/>
  <c r="F79" i="6"/>
  <c r="L79" i="6" s="1"/>
  <c r="F80" i="6"/>
  <c r="L80" i="6"/>
  <c r="F81" i="6"/>
  <c r="L81" i="6" s="1"/>
  <c r="F82" i="6"/>
  <c r="L82" i="6"/>
  <c r="F83" i="6"/>
  <c r="L83" i="6" s="1"/>
  <c r="F84" i="6"/>
  <c r="L84" i="6"/>
  <c r="F85" i="6"/>
  <c r="L85" i="6" s="1"/>
  <c r="F86" i="6"/>
  <c r="L86" i="6"/>
  <c r="F87" i="6"/>
  <c r="L87" i="6" s="1"/>
  <c r="F88" i="6"/>
  <c r="L88" i="6"/>
  <c r="F89" i="6"/>
  <c r="L89" i="6" s="1"/>
  <c r="F90" i="6"/>
  <c r="L90" i="6"/>
  <c r="F91" i="6"/>
  <c r="L91" i="6" s="1"/>
  <c r="F92" i="6"/>
  <c r="L92" i="6"/>
  <c r="F93" i="6"/>
  <c r="L93" i="6" s="1"/>
  <c r="F94" i="6"/>
  <c r="L94" i="6"/>
  <c r="F95" i="6"/>
  <c r="L95" i="6" s="1"/>
  <c r="F96" i="6"/>
  <c r="L96" i="6"/>
  <c r="F97" i="6"/>
  <c r="L97" i="6" s="1"/>
  <c r="F98" i="6"/>
  <c r="L98" i="6"/>
  <c r="F99" i="6"/>
  <c r="L99" i="6" s="1"/>
  <c r="F100" i="6"/>
  <c r="L100" i="6"/>
  <c r="F101" i="6"/>
  <c r="L101" i="6" s="1"/>
  <c r="F102" i="6"/>
  <c r="L102" i="6"/>
  <c r="F103" i="6"/>
  <c r="L103" i="6" s="1"/>
  <c r="F104" i="6"/>
  <c r="L104" i="6"/>
  <c r="F105" i="6"/>
  <c r="L105" i="6" s="1"/>
  <c r="F106" i="6"/>
  <c r="L106" i="6"/>
  <c r="F107" i="6"/>
  <c r="L107" i="6" s="1"/>
  <c r="F108" i="6"/>
  <c r="L108" i="6"/>
  <c r="F109" i="6"/>
  <c r="L109" i="6" s="1"/>
  <c r="F110" i="6"/>
  <c r="L110" i="6"/>
  <c r="F111" i="6"/>
  <c r="L111" i="6" s="1"/>
  <c r="F112" i="6"/>
  <c r="L112" i="6"/>
  <c r="F113" i="6"/>
  <c r="L113" i="6" s="1"/>
  <c r="F114" i="6"/>
  <c r="L114" i="6"/>
  <c r="F115" i="6"/>
  <c r="L115" i="6" s="1"/>
  <c r="F116" i="6"/>
  <c r="L116" i="6"/>
  <c r="F117" i="6"/>
  <c r="L117" i="6" s="1"/>
  <c r="F118" i="6"/>
  <c r="L118" i="6"/>
  <c r="F119" i="6"/>
  <c r="L119" i="6" s="1"/>
  <c r="F120" i="6"/>
  <c r="L120" i="6"/>
  <c r="F121" i="6"/>
  <c r="L121" i="6" s="1"/>
  <c r="F122" i="6"/>
  <c r="L122" i="6"/>
  <c r="F123" i="6"/>
  <c r="L123" i="6" s="1"/>
  <c r="F124" i="6"/>
  <c r="L124" i="6"/>
  <c r="F125" i="6"/>
  <c r="L125" i="6" s="1"/>
  <c r="F126" i="6"/>
  <c r="L126" i="6"/>
  <c r="F127" i="6"/>
  <c r="L127" i="6" s="1"/>
  <c r="F128" i="6"/>
  <c r="L128" i="6"/>
  <c r="F129" i="6"/>
  <c r="L129" i="6" s="1"/>
  <c r="F130" i="6"/>
  <c r="L130" i="6"/>
  <c r="F131" i="6"/>
  <c r="L131" i="6" s="1"/>
  <c r="F132" i="6"/>
  <c r="L132" i="6"/>
  <c r="F133" i="6"/>
  <c r="L133" i="6" s="1"/>
  <c r="F134" i="6"/>
  <c r="L134" i="6"/>
  <c r="F135" i="6"/>
  <c r="L135" i="6" s="1"/>
  <c r="F136" i="6"/>
  <c r="L136" i="6"/>
  <c r="F137" i="6"/>
  <c r="L137" i="6" s="1"/>
  <c r="F138" i="6"/>
  <c r="L138" i="6"/>
  <c r="F139" i="6"/>
  <c r="L139" i="6" s="1"/>
  <c r="F140" i="6"/>
  <c r="L140" i="6"/>
  <c r="F141" i="6"/>
  <c r="L141" i="6" s="1"/>
  <c r="F142" i="6"/>
  <c r="L142" i="6"/>
  <c r="F143" i="6"/>
  <c r="L143" i="6" s="1"/>
  <c r="F144" i="6"/>
  <c r="L144" i="6"/>
  <c r="F145" i="6"/>
  <c r="L145" i="6" s="1"/>
  <c r="F146" i="6"/>
  <c r="L146" i="6"/>
  <c r="F147" i="6"/>
  <c r="L147" i="6" s="1"/>
  <c r="F148" i="6"/>
  <c r="L148" i="6"/>
  <c r="F149" i="6"/>
  <c r="L149" i="6" s="1"/>
  <c r="F150" i="6"/>
  <c r="L150" i="6"/>
  <c r="E7" i="6"/>
  <c r="E115" i="3" l="1"/>
  <c r="E114" i="3"/>
  <c r="E113" i="3"/>
  <c r="F113" i="3" s="1"/>
  <c r="G113" i="3" s="1"/>
  <c r="E112" i="3"/>
  <c r="E111" i="3"/>
  <c r="E110" i="3"/>
  <c r="E109" i="3"/>
  <c r="E108" i="3"/>
  <c r="F108" i="3" s="1"/>
  <c r="G108" i="3" s="1"/>
  <c r="E107" i="3"/>
  <c r="E106" i="3"/>
  <c r="E105" i="3"/>
  <c r="E104" i="3"/>
  <c r="E103" i="3"/>
  <c r="E102" i="3"/>
  <c r="E101" i="3"/>
  <c r="E100" i="3"/>
  <c r="E99" i="3"/>
  <c r="E98" i="3"/>
  <c r="F98" i="3" s="1"/>
  <c r="G98" i="3" s="1"/>
  <c r="E97" i="3"/>
  <c r="F97" i="3" s="1"/>
  <c r="G97" i="3" s="1"/>
  <c r="E96" i="3"/>
  <c r="E95" i="3"/>
  <c r="E94" i="3"/>
  <c r="E93" i="3"/>
  <c r="E92" i="3"/>
  <c r="F92" i="3" s="1"/>
  <c r="G92" i="3" s="1"/>
  <c r="E91" i="3"/>
  <c r="E90" i="3"/>
  <c r="F89" i="3"/>
  <c r="G89" i="3" s="1"/>
  <c r="E89" i="3"/>
  <c r="E88" i="3"/>
  <c r="E87" i="3"/>
  <c r="E86" i="3"/>
  <c r="E85" i="3"/>
  <c r="F84" i="3"/>
  <c r="G84" i="3" s="1"/>
  <c r="E84" i="3"/>
  <c r="E83" i="3"/>
  <c r="E82" i="3"/>
  <c r="E81" i="3"/>
  <c r="F81" i="3" s="1"/>
  <c r="G81" i="3" s="1"/>
  <c r="E80" i="3"/>
  <c r="E79" i="3"/>
  <c r="E78" i="3"/>
  <c r="E77" i="3"/>
  <c r="E76" i="3"/>
  <c r="F76" i="3" s="1"/>
  <c r="G76" i="3" s="1"/>
  <c r="E75" i="3"/>
  <c r="E74" i="3"/>
  <c r="E73" i="3"/>
  <c r="E72" i="3"/>
  <c r="E71" i="3"/>
  <c r="E70" i="3"/>
  <c r="E69" i="3"/>
  <c r="E68" i="3"/>
  <c r="F68" i="3" s="1"/>
  <c r="G68" i="3" s="1"/>
  <c r="E67" i="3"/>
  <c r="E66" i="3"/>
  <c r="F66" i="3" s="1"/>
  <c r="G66" i="3" s="1"/>
  <c r="E65" i="3"/>
  <c r="F65" i="3" s="1"/>
  <c r="G65" i="3" s="1"/>
  <c r="E64" i="3"/>
  <c r="E63" i="3"/>
  <c r="E62" i="3"/>
  <c r="E61" i="3"/>
  <c r="E60" i="3"/>
  <c r="F60" i="3" s="1"/>
  <c r="G60" i="3" s="1"/>
  <c r="E59" i="3"/>
  <c r="E58" i="3"/>
  <c r="F57" i="3"/>
  <c r="G57" i="3" s="1"/>
  <c r="E57" i="3"/>
  <c r="E56" i="3"/>
  <c r="E55" i="3"/>
  <c r="E54" i="3"/>
  <c r="E53" i="3"/>
  <c r="F52" i="3"/>
  <c r="G52" i="3" s="1"/>
  <c r="E52" i="3"/>
  <c r="E51" i="3"/>
  <c r="E50" i="3"/>
  <c r="E49" i="3"/>
  <c r="F49" i="3" s="1"/>
  <c r="G49" i="3" s="1"/>
  <c r="E48" i="3"/>
  <c r="E47" i="3"/>
  <c r="E46" i="3"/>
  <c r="E45" i="3"/>
  <c r="E44" i="3"/>
  <c r="F44" i="3" s="1"/>
  <c r="G44" i="3" s="1"/>
  <c r="E43" i="3"/>
  <c r="E42" i="3"/>
  <c r="E41" i="3"/>
  <c r="F41" i="3" s="1"/>
  <c r="G41" i="3" s="1"/>
  <c r="E40" i="3"/>
  <c r="E39" i="3"/>
  <c r="E38" i="3"/>
  <c r="E37" i="3"/>
  <c r="E36" i="3"/>
  <c r="F36" i="3" s="1"/>
  <c r="G36" i="3" s="1"/>
  <c r="E35" i="3"/>
  <c r="E34" i="3"/>
  <c r="F34" i="3" s="1"/>
  <c r="G34" i="3" s="1"/>
  <c r="E33" i="3"/>
  <c r="F33" i="3" s="1"/>
  <c r="G33" i="3" s="1"/>
  <c r="E32" i="3"/>
  <c r="E31" i="3"/>
  <c r="E30" i="3"/>
  <c r="E29" i="3"/>
  <c r="E28" i="3"/>
  <c r="F28" i="3" s="1"/>
  <c r="G28" i="3" s="1"/>
  <c r="E27" i="3"/>
  <c r="E26" i="3"/>
  <c r="F25" i="3"/>
  <c r="G25" i="3" s="1"/>
  <c r="E25" i="3"/>
  <c r="E24" i="3"/>
  <c r="E23" i="3"/>
  <c r="E22" i="3"/>
  <c r="E21" i="3"/>
  <c r="F20" i="3"/>
  <c r="G20" i="3" s="1"/>
  <c r="E20" i="3"/>
  <c r="E19" i="3"/>
  <c r="E18" i="3"/>
  <c r="E17" i="3"/>
  <c r="F17" i="3" s="1"/>
  <c r="G17" i="3" s="1"/>
  <c r="E16" i="3"/>
  <c r="E15" i="3"/>
  <c r="F15" i="3" s="1"/>
  <c r="G15" i="3" s="1"/>
  <c r="E14" i="3"/>
  <c r="E13" i="3"/>
  <c r="E12" i="3"/>
  <c r="F12" i="3" s="1"/>
  <c r="G12" i="3" s="1"/>
  <c r="E11" i="3"/>
  <c r="F11" i="3" s="1"/>
  <c r="G11" i="3" s="1"/>
  <c r="E10" i="3"/>
  <c r="E9" i="3"/>
  <c r="F9" i="3" s="1"/>
  <c r="G9" i="3" s="1"/>
  <c r="E8" i="3"/>
  <c r="E7" i="3"/>
  <c r="F7" i="3" s="1"/>
  <c r="G7" i="3" s="1"/>
  <c r="F6" i="3"/>
  <c r="G6" i="3" s="1"/>
  <c r="E6" i="3"/>
  <c r="E5" i="3"/>
  <c r="E4" i="3"/>
  <c r="F102" i="3" s="1"/>
  <c r="G102" i="3" s="1"/>
  <c r="E3" i="3"/>
  <c r="E2" i="3"/>
  <c r="F16" i="3" s="1"/>
  <c r="G16" i="3" s="1"/>
  <c r="F3" i="3" l="1"/>
  <c r="G3" i="3" s="1"/>
  <c r="F30" i="3"/>
  <c r="G30" i="3" s="1"/>
  <c r="F35" i="3"/>
  <c r="G35" i="3" s="1"/>
  <c r="F39" i="3"/>
  <c r="G39" i="3" s="1"/>
  <c r="F53" i="3"/>
  <c r="G53" i="3" s="1"/>
  <c r="F62" i="3"/>
  <c r="G62" i="3" s="1"/>
  <c r="F67" i="3"/>
  <c r="G67" i="3" s="1"/>
  <c r="F71" i="3"/>
  <c r="G71" i="3" s="1"/>
  <c r="F103" i="3"/>
  <c r="G103" i="3" s="1"/>
  <c r="F85" i="3"/>
  <c r="G85" i="3" s="1"/>
  <c r="F94" i="3"/>
  <c r="G94" i="3" s="1"/>
  <c r="F99" i="3"/>
  <c r="G99" i="3" s="1"/>
  <c r="F26" i="3"/>
  <c r="G26" i="3" s="1"/>
  <c r="F58" i="3"/>
  <c r="G58" i="3" s="1"/>
  <c r="F90" i="3"/>
  <c r="G90" i="3" s="1"/>
  <c r="F22" i="3"/>
  <c r="G22" i="3" s="1"/>
  <c r="F63" i="3"/>
  <c r="G63" i="3" s="1"/>
  <c r="F77" i="3"/>
  <c r="G77" i="3" s="1"/>
  <c r="F86" i="3"/>
  <c r="G86" i="3" s="1"/>
  <c r="F91" i="3"/>
  <c r="G91" i="3" s="1"/>
  <c r="F95" i="3"/>
  <c r="G95" i="3" s="1"/>
  <c r="F109" i="3"/>
  <c r="G109" i="3" s="1"/>
  <c r="F27" i="3"/>
  <c r="G27" i="3" s="1"/>
  <c r="F45" i="3"/>
  <c r="G45" i="3" s="1"/>
  <c r="F59" i="3"/>
  <c r="G59" i="3" s="1"/>
  <c r="F4" i="3"/>
  <c r="G4" i="3" s="1"/>
  <c r="F73" i="3"/>
  <c r="G73" i="3" s="1"/>
  <c r="F82" i="3"/>
  <c r="G82" i="3" s="1"/>
  <c r="F105" i="3"/>
  <c r="G105" i="3" s="1"/>
  <c r="F23" i="3"/>
  <c r="G23" i="3" s="1"/>
  <c r="F46" i="3"/>
  <c r="G46" i="3" s="1"/>
  <c r="F51" i="3"/>
  <c r="G51" i="3" s="1"/>
  <c r="F69" i="3"/>
  <c r="G69" i="3" s="1"/>
  <c r="F78" i="3"/>
  <c r="G78" i="3" s="1"/>
  <c r="F83" i="3"/>
  <c r="G83" i="3" s="1"/>
  <c r="F101" i="3"/>
  <c r="G101" i="3" s="1"/>
  <c r="F110" i="3"/>
  <c r="G110" i="3" s="1"/>
  <c r="F115" i="3"/>
  <c r="G115" i="3" s="1"/>
  <c r="F31" i="3"/>
  <c r="G31" i="3" s="1"/>
  <c r="F54" i="3"/>
  <c r="G54" i="3" s="1"/>
  <c r="F18" i="3"/>
  <c r="G18" i="3" s="1"/>
  <c r="F50" i="3"/>
  <c r="G50" i="3" s="1"/>
  <c r="F100" i="3"/>
  <c r="G100" i="3" s="1"/>
  <c r="F114" i="3"/>
  <c r="G114" i="3" s="1"/>
  <c r="F14" i="3"/>
  <c r="G14" i="3" s="1"/>
  <c r="F19" i="3"/>
  <c r="G19" i="3" s="1"/>
  <c r="F37" i="3"/>
  <c r="G37" i="3" s="1"/>
  <c r="F55" i="3"/>
  <c r="G55" i="3" s="1"/>
  <c r="F87" i="3"/>
  <c r="G87" i="3" s="1"/>
  <c r="F10" i="3"/>
  <c r="G10" i="3" s="1"/>
  <c r="F42" i="3"/>
  <c r="G42" i="3" s="1"/>
  <c r="F74" i="3"/>
  <c r="G74" i="3" s="1"/>
  <c r="F106" i="3"/>
  <c r="G106" i="3" s="1"/>
  <c r="F29" i="3"/>
  <c r="G29" i="3" s="1"/>
  <c r="F38" i="3"/>
  <c r="G38" i="3" s="1"/>
  <c r="F43" i="3"/>
  <c r="G43" i="3" s="1"/>
  <c r="F47" i="3"/>
  <c r="G47" i="3" s="1"/>
  <c r="F61" i="3"/>
  <c r="G61" i="3" s="1"/>
  <c r="F70" i="3"/>
  <c r="G70" i="3" s="1"/>
  <c r="F75" i="3"/>
  <c r="G75" i="3" s="1"/>
  <c r="F79" i="3"/>
  <c r="G79" i="3" s="1"/>
  <c r="F93" i="3"/>
  <c r="G93" i="3" s="1"/>
  <c r="F107" i="3"/>
  <c r="G107" i="3" s="1"/>
  <c r="F111" i="3"/>
  <c r="G111" i="3" s="1"/>
  <c r="F2" i="3"/>
  <c r="G2" i="3" s="1"/>
  <c r="F5" i="3"/>
  <c r="G5" i="3" s="1"/>
  <c r="F13" i="3"/>
  <c r="G13" i="3" s="1"/>
  <c r="F21" i="3"/>
  <c r="G21" i="3" s="1"/>
  <c r="F24" i="3"/>
  <c r="G24" i="3" s="1"/>
  <c r="F32" i="3"/>
  <c r="G32" i="3" s="1"/>
  <c r="F40" i="3"/>
  <c r="G40" i="3" s="1"/>
  <c r="F48" i="3"/>
  <c r="G48" i="3" s="1"/>
  <c r="F56" i="3"/>
  <c r="G56" i="3" s="1"/>
  <c r="F64" i="3"/>
  <c r="G64" i="3" s="1"/>
  <c r="F72" i="3"/>
  <c r="G72" i="3" s="1"/>
  <c r="F80" i="3"/>
  <c r="G80" i="3" s="1"/>
  <c r="F88" i="3"/>
  <c r="G88" i="3" s="1"/>
  <c r="F96" i="3"/>
  <c r="G96" i="3" s="1"/>
  <c r="F104" i="3"/>
  <c r="G104" i="3" s="1"/>
  <c r="F112" i="3"/>
  <c r="G112" i="3" s="1"/>
  <c r="F8" i="3"/>
  <c r="G8" i="3" s="1"/>
  <c r="K151" i="6" l="1"/>
  <c r="J151" i="6"/>
  <c r="I151" i="6"/>
  <c r="E151" i="6"/>
  <c r="D151" i="6"/>
  <c r="F12" i="6"/>
  <c r="L12" i="6" s="1"/>
  <c r="E8" i="6"/>
  <c r="E4" i="6"/>
  <c r="E6" i="6" l="1"/>
  <c r="H151" i="6"/>
  <c r="H7" i="6"/>
  <c r="G151" i="6" l="1"/>
  <c r="L151" i="6"/>
  <c r="F151" i="6" l="1"/>
  <c r="E5" i="6"/>
  <c r="H6" i="6" s="1"/>
  <c r="H5" i="6" s="1"/>
  <c r="H2" i="5"/>
</calcChain>
</file>

<file path=xl/sharedStrings.xml><?xml version="1.0" encoding="utf-8"?>
<sst xmlns="http://schemas.openxmlformats.org/spreadsheetml/2006/main" count="873" uniqueCount="758">
  <si>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</si>
  <si>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</si>
  <si>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</si>
  <si>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</si>
  <si>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</si>
  <si>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</si>
  <si>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</si>
  <si>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</si>
  <si>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</si>
  <si>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</si>
  <si>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</si>
  <si>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</si>
  <si>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</si>
  <si>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</si>
  <si>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</si>
  <si>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</si>
  <si>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</si>
  <si>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</si>
  <si>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</si>
  <si>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</si>
  <si>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</si>
  <si>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</si>
  <si>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</si>
  <si>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</si>
  <si>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</si>
  <si>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</si>
  <si>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</si>
  <si>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</si>
  <si>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</si>
  <si>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</si>
  <si>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</si>
  <si>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</si>
  <si>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</si>
  <si>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</si>
  <si>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</si>
  <si>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</si>
  <si>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</si>
  <si>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</si>
  <si>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</si>
  <si>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</si>
  <si>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</si>
  <si>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</si>
  <si>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</si>
  <si>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</si>
  <si>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</si>
  <si>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</si>
  <si>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</si>
  <si>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</si>
  <si>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</si>
  <si>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</si>
  <si>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</si>
  <si>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</si>
  <si>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</si>
  <si>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Auto OVD payment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</si>
  <si>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</si>
  <si>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</si>
  <si>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</si>
  <si>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</si>
  <si>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</si>
  <si>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</si>
  <si>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</si>
  <si>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BHBA11 20234816094826407</t>
  </si>
  <si>
    <t>VINHTHANH GOLD AND JEWELR</t>
  </si>
  <si>
    <t>HIEU VANG VINH THANH 2</t>
  </si>
  <si>
    <t>AN PHUOC - GIA LAI</t>
  </si>
  <si>
    <t>ADIDAS PLEIKU</t>
  </si>
  <si>
    <t>Chỗ này úp file excel nha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</si>
  <si>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</si>
  <si>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</si>
  <si>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</si>
  <si>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</si>
  <si>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</si>
  <si>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</si>
  <si>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</si>
  <si>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</si>
  <si>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</si>
  <si>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</si>
  <si>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</si>
  <si>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</si>
  <si>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</si>
  <si>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</si>
  <si>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</si>
  <si>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</si>
  <si>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</si>
  <si>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</si>
  <si>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</si>
  <si>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</si>
  <si>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</si>
  <si>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</si>
  <si>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</si>
  <si>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</si>
  <si>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</si>
  <si>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</si>
  <si>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</si>
  <si>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</si>
  <si>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</si>
  <si>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</si>
  <si>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</si>
  <si>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</si>
  <si>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</si>
  <si>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</si>
  <si>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</si>
  <si>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</si>
  <si>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</si>
  <si>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</si>
  <si>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</si>
  <si>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</si>
  <si>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</si>
  <si>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</si>
  <si>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</si>
  <si>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</si>
  <si>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</si>
  <si>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</si>
  <si>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</si>
  <si>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</si>
  <si>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</si>
  <si>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</si>
  <si>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</si>
  <si>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</si>
  <si>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</si>
  <si>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</si>
  <si>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</si>
  <si>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</si>
  <si>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</si>
  <si>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</si>
  <si>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</si>
  <si>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</si>
  <si>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</si>
  <si>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</si>
  <si>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</si>
  <si>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</si>
  <si>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</si>
  <si>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</si>
  <si>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</si>
  <si>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</si>
  <si>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</si>
  <si>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</si>
  <si>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</si>
  <si>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</si>
  <si>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</si>
  <si>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</si>
  <si>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</si>
  <si>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</si>
  <si>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</si>
  <si>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</si>
  <si>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</si>
  <si>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</si>
  <si>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</si>
  <si>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</si>
  <si>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</si>
  <si>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</si>
  <si>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</si>
  <si>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</si>
  <si>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</si>
  <si>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</si>
  <si>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</si>
  <si>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</si>
  <si>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</si>
  <si>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</si>
  <si>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</si>
  <si>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</si>
  <si>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</si>
  <si>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</si>
  <si>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</si>
  <si>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</si>
  <si>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</si>
  <si>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</si>
  <si>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</si>
  <si>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</si>
  <si>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</si>
  <si>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</si>
  <si>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</si>
  <si>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</si>
  <si>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</si>
  <si>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</si>
  <si>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</si>
  <si>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</si>
  <si>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</si>
  <si>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</si>
  <si>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</si>
  <si>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</si>
  <si>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</si>
  <si>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</si>
  <si>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</si>
  <si>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</si>
  <si>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</si>
  <si>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</si>
  <si>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</si>
  <si>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</si>
  <si>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</si>
  <si>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</si>
  <si>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</si>
  <si>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</si>
  <si>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</si>
  <si>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</si>
  <si>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</si>
  <si>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</si>
  <si>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</si>
  <si>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</si>
  <si>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</si>
  <si>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</si>
  <si>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</si>
  <si>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</si>
  <si>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</si>
  <si>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</si>
  <si>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</si>
  <si>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</si>
  <si>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</si>
  <si>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</si>
  <si>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</si>
  <si>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</si>
  <si>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</si>
  <si>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</si>
  <si>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</si>
  <si>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</si>
  <si>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</si>
  <si>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</si>
  <si>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</si>
  <si>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</si>
  <si>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</si>
  <si>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</si>
  <si>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</si>
  <si>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</si>
  <si>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</si>
  <si>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</si>
  <si>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</si>
  <si>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</si>
  <si>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</si>
  <si>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</si>
  <si>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</si>
  <si>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</si>
  <si>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</si>
  <si>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</si>
  <si>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</si>
  <si>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</si>
  <si>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</si>
  <si>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</si>
  <si>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</si>
  <si>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</si>
  <si>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</si>
  <si>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</si>
  <si>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</si>
  <si>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</si>
  <si>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</si>
  <si>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</si>
  <si>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</si>
  <si>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</si>
  <si>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</si>
  <si>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</si>
  <si>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</si>
  <si>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</si>
  <si>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</si>
  <si>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</si>
  <si>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</si>
  <si>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</si>
  <si>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</si>
  <si>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</si>
  <si>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</si>
  <si>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</si>
  <si>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</si>
  <si>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</si>
  <si>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</si>
  <si>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</si>
  <si>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</si>
  <si>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</si>
  <si>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</si>
  <si>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</si>
  <si>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</si>
  <si>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</si>
  <si>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</si>
  <si>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</si>
  <si>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</si>
  <si>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</si>
  <si>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</si>
  <si>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</si>
  <si>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</si>
  <si>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</si>
  <si>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</si>
  <si>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</si>
  <si>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</si>
  <si>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</si>
  <si>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</si>
  <si>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</si>
  <si>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</si>
  <si>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</si>
  <si>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</si>
  <si>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</si>
  <si>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</si>
  <si>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</si>
  <si>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</si>
  <si>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</si>
  <si>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</si>
  <si>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</si>
  <si>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</si>
  <si>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</si>
  <si>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</si>
  <si>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</si>
  <si>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</si>
  <si>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</si>
  <si>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</si>
  <si>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</si>
  <si>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</si>
  <si>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</si>
  <si>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</si>
  <si>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</si>
  <si>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</si>
  <si>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</si>
  <si>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</si>
  <si>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</si>
  <si>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</si>
  <si>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</si>
  <si>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</si>
  <si>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</si>
  <si>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</si>
  <si>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</si>
  <si>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</si>
  <si>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</si>
  <si>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</si>
  <si>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</si>
  <si>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</si>
  <si>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</si>
  <si>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</si>
  <si>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</si>
  <si>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</si>
  <si>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</si>
  <si>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</si>
  <si>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</si>
  <si>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</si>
  <si>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</si>
  <si>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</si>
  <si>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</si>
  <si>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</si>
  <si>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</si>
  <si>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</si>
  <si>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</si>
  <si>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</si>
  <si>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</si>
  <si>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</si>
  <si>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</si>
  <si>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</si>
  <si>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</si>
  <si>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</si>
  <si>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</si>
  <si>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</si>
  <si>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</si>
  <si>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</si>
  <si>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</si>
  <si>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</si>
  <si>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</si>
  <si>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</si>
  <si>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</si>
  <si>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</si>
  <si>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</si>
  <si>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</si>
  <si>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</si>
  <si>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</si>
  <si>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</si>
  <si>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</si>
  <si>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</si>
  <si>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</si>
  <si>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</si>
  <si>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</si>
  <si>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</si>
  <si>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</si>
  <si>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</si>
  <si>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</si>
  <si>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</si>
  <si>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</si>
  <si>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</si>
  <si>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</si>
  <si>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</si>
  <si>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</si>
  <si>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</si>
  <si>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</si>
  <si>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</si>
  <si>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</si>
  <si>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</si>
  <si>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</si>
  <si>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</si>
  <si>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</si>
  <si>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</si>
  <si>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</si>
  <si>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</si>
  <si>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</si>
  <si>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</si>
  <si>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</si>
  <si>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</si>
  <si>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</si>
  <si>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</si>
  <si>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</si>
  <si>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</si>
  <si>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</si>
  <si>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</si>
  <si>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</si>
  <si>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</si>
  <si>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</si>
  <si>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</si>
  <si>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</si>
  <si>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</si>
  <si>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</si>
  <si>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</si>
  <si>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</si>
  <si>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</si>
  <si>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</si>
  <si>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</si>
  <si>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</si>
  <si>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</si>
  <si>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</si>
  <si>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</si>
  <si>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</si>
  <si>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</si>
  <si>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</si>
  <si>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</si>
  <si>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</si>
  <si>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</si>
  <si>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</si>
  <si>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</si>
  <si>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</si>
  <si>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</si>
  <si>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</si>
  <si>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</si>
  <si>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</si>
  <si>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</si>
  <si>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</si>
  <si>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</si>
  <si>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</si>
  <si>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</si>
  <si>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</si>
  <si>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</si>
  <si>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</si>
  <si>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</si>
  <si>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</si>
  <si>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</si>
  <si>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</si>
  <si>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</si>
  <si>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</si>
  <si>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</si>
  <si>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</si>
  <si>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</si>
  <si>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</si>
  <si>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</si>
  <si>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</si>
  <si>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</si>
  <si>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</si>
  <si>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</si>
  <si>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</si>
  <si>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</si>
  <si>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</si>
  <si>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</si>
  <si>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</si>
  <si>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</si>
  <si>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</si>
  <si>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</si>
  <si>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</si>
  <si>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</si>
  <si>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</si>
  <si>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</si>
  <si>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</si>
  <si>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</si>
  <si>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</si>
  <si>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</si>
  <si>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</si>
  <si>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</si>
  <si>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</si>
  <si>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</si>
  <si>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</si>
  <si>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</si>
  <si>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</si>
  <si>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</si>
  <si>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</si>
  <si>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</si>
  <si>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</si>
  <si>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</si>
  <si>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</si>
  <si>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</si>
  <si>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</si>
  <si>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</si>
  <si>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</si>
  <si>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</si>
  <si>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</si>
  <si>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</si>
  <si>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</si>
  <si>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</si>
  <si>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</si>
  <si>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</si>
  <si>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</si>
  <si>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</si>
  <si>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</si>
  <si>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</si>
  <si>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</si>
  <si>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</si>
  <si>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</si>
  <si>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</si>
  <si>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</si>
  <si>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</si>
  <si>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</si>
  <si>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</si>
  <si>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</si>
  <si>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</si>
  <si>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</si>
  <si>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</si>
  <si>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</si>
  <si>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</si>
  <si>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</si>
  <si>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</si>
  <si>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</si>
  <si>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</si>
  <si>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</si>
  <si>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</si>
  <si>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</si>
  <si>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</si>
  <si>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</si>
  <si>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</si>
  <si>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</si>
  <si>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</si>
  <si>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</si>
  <si>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</si>
  <si>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</si>
  <si>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</si>
  <si>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</si>
  <si>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</si>
  <si>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</si>
  <si>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</si>
  <si>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</si>
  <si>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</si>
  <si>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</si>
  <si>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</si>
  <si>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</si>
  <si>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</si>
  <si>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</si>
  <si>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</si>
  <si>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</si>
  <si>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</si>
  <si>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</si>
  <si>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</si>
  <si>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</si>
  <si>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</si>
  <si>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</si>
  <si>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</si>
  <si>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</si>
  <si>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</si>
  <si>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</si>
  <si>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</si>
  <si>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</si>
  <si>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</si>
  <si>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</si>
  <si>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</si>
  <si>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</si>
  <si>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</si>
  <si>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</si>
  <si>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</si>
  <si>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</si>
  <si>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</si>
  <si>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</si>
  <si>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</si>
  <si>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</si>
  <si>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</si>
  <si>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</si>
  <si>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</si>
  <si>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</si>
  <si>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</si>
  <si>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</si>
  <si>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</si>
  <si>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</si>
  <si>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</si>
  <si>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</si>
  <si>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</si>
  <si>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</si>
  <si>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</si>
  <si>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</si>
  <si>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</si>
  <si>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</si>
  <si>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</si>
  <si>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</si>
  <si>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</si>
  <si>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</si>
  <si>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</si>
  <si>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</si>
  <si>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</si>
  <si>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</si>
  <si>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</si>
  <si>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</si>
  <si>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</si>
  <si>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</si>
  <si>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</si>
  <si>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</si>
  <si>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</si>
  <si>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</si>
  <si>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</si>
  <si>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</si>
  <si>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</si>
  <si>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</si>
  <si>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</si>
  <si>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</si>
  <si>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</si>
  <si>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</si>
  <si>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</si>
  <si>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</si>
  <si>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</si>
  <si>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</si>
  <si>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</si>
  <si>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</si>
  <si>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</si>
  <si>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</si>
  <si>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</si>
  <si>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</si>
  <si>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</si>
  <si>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</si>
  <si>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</si>
  <si>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</si>
  <si>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</si>
  <si>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</si>
  <si>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</si>
  <si>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</si>
  <si>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</si>
  <si>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</si>
  <si>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</si>
  <si>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</si>
  <si>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</si>
  <si>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</si>
  <si>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</si>
  <si>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</si>
  <si>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</si>
  <si>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</si>
  <si>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</si>
  <si>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</si>
  <si>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</si>
  <si>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</si>
  <si>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</si>
  <si>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</si>
  <si>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</si>
  <si>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</si>
  <si>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</si>
  <si>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</si>
  <si>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</si>
  <si>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</si>
  <si>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</si>
  <si>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</si>
  <si>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</si>
  <si>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</si>
  <si>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</si>
  <si>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</si>
  <si>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</si>
  <si>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</si>
  <si>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</si>
  <si>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</si>
  <si>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</si>
  <si>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</si>
  <si>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</si>
  <si>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</si>
  <si>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</si>
  <si>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</si>
  <si>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</si>
  <si>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</si>
  <si>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</si>
  <si>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</si>
  <si>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</si>
  <si>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</si>
  <si>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</si>
  <si>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</si>
  <si>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</si>
  <si>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</si>
  <si>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</si>
  <si>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</si>
  <si>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</si>
  <si>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</si>
  <si>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</si>
  <si>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</si>
  <si>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</si>
  <si>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</si>
  <si>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</si>
  <si>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</si>
  <si>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</si>
  <si>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</si>
  <si>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</si>
  <si>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</si>
  <si>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</si>
  <si>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</si>
  <si>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</si>
  <si>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</si>
  <si>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</si>
  <si>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</si>
  <si>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</si>
  <si>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</si>
  <si>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</si>
  <si>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</si>
  <si>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</si>
  <si>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</si>
  <si>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</si>
  <si>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</si>
  <si>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</si>
  <si>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</si>
  <si>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</si>
  <si>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</si>
  <si>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</si>
  <si>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</si>
  <si>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</si>
  <si>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</si>
  <si>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</si>
  <si>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</si>
  <si>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</si>
  <si>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</si>
  <si>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</si>
  <si>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</si>
  <si>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</si>
  <si>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</si>
  <si>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</si>
  <si>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</si>
  <si>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</si>
  <si>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</si>
  <si>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</si>
  <si>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</si>
  <si>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</si>
  <si>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</si>
  <si>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</si>
  <si>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</si>
  <si>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</si>
  <si>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</si>
  <si>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</si>
  <si>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</si>
  <si>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</si>
  <si>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</si>
  <si>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</si>
  <si>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</si>
  <si>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</si>
  <si>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</si>
  <si>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</si>
  <si>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</si>
  <si>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</si>
  <si>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</si>
  <si>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</si>
  <si>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</si>
  <si>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</si>
  <si>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</si>
  <si>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</si>
  <si>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</si>
  <si>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</si>
  <si>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</si>
  <si>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</si>
  <si>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</si>
  <si>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</si>
  <si>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</si>
  <si>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</si>
  <si>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</si>
  <si>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</si>
  <si>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</si>
  <si>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</si>
  <si>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</si>
  <si>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</si>
  <si>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</si>
  <si>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</si>
  <si>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</si>
  <si>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</si>
  <si>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</si>
  <si>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</si>
  <si>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</si>
  <si>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</si>
  <si>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 xml:space="preserve">Nhập xong hiện " REF" là ok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</si>
</sst>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4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14" fontId="0" fillId="0" borderId="0" xfId="0" applyNumberFormat="1"/>
    <xf numFmtId="14" fontId="0" fillId="0" borderId="0" xfId="0" applyNumberFormat="1"/>
    <xf numFmtId="0" fontId="12" fillId="0" borderId="0" xfId="0" applyFont="1"/>
    <xf numFmtId="168" fontId="0" fillId="0" borderId="1" xfId="1" applyNumberFormat="1" applyFont="1" applyBorder="1"/>
    <xf numFmtId="0" fontId="2" fillId="2" borderId="0" xfId="0" applyFont="1" applyFill="1" applyAlignment="1">
      <alignment horizontal="center"/>
    </xf>
    <xf numFmtId="0" fontId="6" fillId="0" borderId="4" xfId="0" applyFont="1" applyBorder="1" applyAlignment="1">
      <alignment vertical="top" wrapText="1"/>
    </xf>
    <xf numFmtId="0" fontId="6" fillId="0" borderId="0" xfId="0" applyFont="1" applyAlignment="1">
      <alignment vertical="top" wrapText="1"/>
    </xf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2</xdr:row>
      <xdr:rowOff>168088</xdr:rowOff>
    </xdr:from>
    <xdr:to>
      <xdr:col>3</xdr:col>
      <xdr:colOff>829234</xdr:colOff>
      <xdr:row>12</xdr:row>
      <xdr:rowOff>92449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01469" y="907676"/>
          <a:ext cx="1759324" cy="1759324"/>
        </a:xfrm>
        <a:prstGeom prst="rect">
          <a:avLst/>
        </a:prstGeom>
      </xdr:spPr>
    </xdr:pic>
    <xdr:clientData/>
  </xdr:twoCellAnchor>
  <xdr:twoCellAnchor>
    <xdr:from>
      <xdr:col>0</xdr:col>
      <xdr:colOff>930090</xdr:colOff>
      <xdr:row>4</xdr:row>
      <xdr:rowOff>153395</xdr:rowOff>
    </xdr:from>
    <xdr:to>
      <xdr:col>2</xdr:col>
      <xdr:colOff>145677</xdr:colOff>
      <xdr:row>11</xdr:row>
      <xdr:rowOff>112059</xdr:rowOff>
    </xdr:to>
    <xdr:grpSp>
      <xdr:nvGrpSpPr>
        <xdr:cNvPr id="13" name="Group 12"/>
        <xdr:cNvGrpSpPr/>
      </xdr:nvGrpSpPr>
      <xdr:grpSpPr>
        <a:xfrm>
          <a:off x="930090" y="1312053"/>
          <a:ext cx="1679039" cy="1273896"/>
          <a:chOff x="717178" y="1568825"/>
          <a:chExt cx="2296498" cy="1647263"/>
        </a:xfrm>
      </xdr:grpSpPr>
      <xdr:pic macro="[0]!Upload_To_Saokethe_Safe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Upload_To_Saokethe_Safe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311731</xdr:colOff>
      <xdr:row>3</xdr:row>
      <xdr:rowOff>154920</xdr:rowOff>
    </xdr:from>
    <xdr:to>
      <xdr:col>7</xdr:col>
      <xdr:colOff>5160567</xdr:colOff>
      <xdr:row>34</xdr:row>
      <xdr:rowOff>83774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23375" y="1083934"/>
          <a:ext cx="6779932" cy="5795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9"/>
  <sheetViews>
    <sheetView zoomScale="70" zoomScaleNormal="100" workbookViewId="0">
      <selection activeCell="Y15" sqref="Y15"/>
    </sheetView>
  </sheetViews>
  <sheetFormatPr defaultRowHeight="14.4" x14ac:dyDescent="0.3"/>
  <cols>
    <col min="1" max="1" width="15.44140625" customWidth="1"/>
    <col min="2" max="2" width="21.109375" customWidth="1"/>
    <col min="3" max="3" width="18.5546875" customWidth="1"/>
    <col min="4" max="4" width="30.6640625" customWidth="1"/>
    <col min="5" max="5" width="20.6640625" style="9" customWidth="1"/>
    <col min="6" max="6" width="16.88671875" style="9" customWidth="1"/>
    <col min="7" max="10" width="15.44140625" style="9" customWidth="1"/>
    <col min="11" max="11" width="18.44140625" customWidth="1"/>
    <col min="12" max="12" width="27.109375" customWidth="1"/>
    <col min="13" max="13" width="9.109375" hidden="1" customWidth="1"/>
    <col min="14" max="14" width="15.44140625" hidden="1" customWidth="1"/>
    <col min="15" max="19" width="8.88671875" hidden="1" customWidth="1"/>
    <col min="20" max="20" width="8.88671875" customWidth="1"/>
    <col min="21" max="21" width="10.5546875" bestFit="1" customWidth="1"/>
  </cols>
  <sheetData>
    <row r="1" spans="1:21" x14ac:dyDescent="0.3">
      <c r="A1" s="61" t="s">
        <v>45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21" x14ac:dyDescent="0.3">
      <c r="B2" s="53"/>
    </row>
    <row r="3" spans="1:21" x14ac:dyDescent="0.3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3">
      <c r="A4" s="22" t="s">
        <v>1</v>
      </c>
      <c r="B4" s="18"/>
      <c r="D4" s="2" t="s">
        <v>24</v>
      </c>
      <c r="E4" s="14">
        <f>SUM(E12:E150)</f>
        <v>0</v>
      </c>
      <c r="F4" s="11"/>
      <c r="J4"/>
      <c r="K4" s="11"/>
    </row>
    <row r="5" spans="1:21" x14ac:dyDescent="0.3">
      <c r="A5" s="22" t="s">
        <v>2</v>
      </c>
      <c r="B5" s="31"/>
      <c r="D5" s="20" t="s">
        <v>26</v>
      </c>
      <c r="E5" s="13">
        <f>ROUND(SUM(F12:F150),0)</f>
        <v>0</v>
      </c>
      <c r="F5" s="11"/>
      <c r="G5" s="21" t="s">
        <v>19</v>
      </c>
      <c r="H5" s="37">
        <f>H6+H7</f>
        <v>0</v>
      </c>
      <c r="I5"/>
      <c r="J5"/>
      <c r="K5" s="43" t="s">
        <v>38</v>
      </c>
    </row>
    <row r="6" spans="1:21" x14ac:dyDescent="0.3">
      <c r="A6" s="36" t="s">
        <v>3</v>
      </c>
      <c r="B6" s="31"/>
      <c r="D6" s="20" t="s">
        <v>46</v>
      </c>
      <c r="E6" s="13">
        <f>ROUND(SUM(H12:H150),0)</f>
        <v>0</v>
      </c>
      <c r="F6" s="11"/>
      <c r="G6" s="21" t="s">
        <v>5</v>
      </c>
      <c r="H6" s="37">
        <f>ROUND(E8-E5,0)</f>
        <v>0</v>
      </c>
      <c r="I6"/>
      <c r="J6"/>
      <c r="K6" s="43" t="s">
        <v>39</v>
      </c>
    </row>
    <row r="7" spans="1:21" x14ac:dyDescent="0.3">
      <c r="A7" s="36" t="s">
        <v>4</v>
      </c>
      <c r="B7" s="30"/>
      <c r="D7" s="20" t="s">
        <v>47</v>
      </c>
      <c r="E7" s="60">
        <f>SUM(G12:G150)</f>
        <v>0</v>
      </c>
      <c r="G7" s="21" t="s">
        <v>6</v>
      </c>
      <c r="H7" s="37">
        <f>ROUND(SUM(K12:K150)+SUM(J12:J150)-SUM(H12:H150),0)</f>
        <v>0</v>
      </c>
      <c r="I7"/>
      <c r="J7"/>
      <c r="K7" s="43" t="s">
        <v>40</v>
      </c>
    </row>
    <row r="8" spans="1:21" x14ac:dyDescent="0.3">
      <c r="A8" s="36" t="s">
        <v>37</v>
      </c>
      <c r="B8" s="31"/>
      <c r="D8" s="2" t="s">
        <v>25</v>
      </c>
      <c r="E8" s="14">
        <f>SUM(D12:D150)</f>
        <v>0</v>
      </c>
      <c r="F8"/>
      <c r="K8" s="11"/>
      <c r="L8" s="11"/>
    </row>
    <row r="9" spans="1:21" x14ac:dyDescent="0.3">
      <c r="K9" s="11"/>
      <c r="L9" s="11"/>
    </row>
    <row r="11" spans="1:21" ht="50.25" customHeight="1" x14ac:dyDescent="0.3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50" t="s">
        <v>20</v>
      </c>
      <c r="G11" s="50" t="s">
        <v>21</v>
      </c>
      <c r="H11" s="50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3">
      <c r="A12" s="44"/>
      <c r="B12" s="44"/>
      <c r="C12" s="45"/>
      <c r="D12" s="46">
        <v>0</v>
      </c>
      <c r="E12" s="46">
        <v>0</v>
      </c>
      <c r="F12" s="46">
        <f>E12-G12-H12</f>
        <v>0</v>
      </c>
      <c r="G12" s="46">
        <v>0</v>
      </c>
      <c r="H12" s="46"/>
      <c r="I12" s="46">
        <v>0</v>
      </c>
      <c r="J12" s="46">
        <v>0</v>
      </c>
      <c r="K12" s="46">
        <v>0</v>
      </c>
      <c r="L12" s="47">
        <f>C12+J12+K12-H12-F12+D12</f>
        <v>0</v>
      </c>
      <c r="M12" s="48">
        <v>0</v>
      </c>
      <c r="N12" s="48">
        <v>0</v>
      </c>
      <c r="O12" s="49" t="s">
        <v>54</v>
      </c>
      <c r="P12" s="49" t="s">
        <v>55</v>
      </c>
      <c r="Q12" s="49" t="s">
        <v>56</v>
      </c>
      <c r="R12" s="49" t="s">
        <v>57</v>
      </c>
      <c r="S12" s="49" t="s">
        <v>58</v>
      </c>
      <c r="T12" s="49"/>
    </row>
    <row r="13" spans="1:21" x14ac:dyDescent="0.3">
      <c r="A13" s="44"/>
      <c r="B13" s="44"/>
      <c r="C13" s="45"/>
      <c r="D13" s="46">
        <v>0</v>
      </c>
      <c r="E13" s="46">
        <v>0</v>
      </c>
      <c r="F13" s="46">
        <f t="shared" ref="F13:F76" si="0">E13-G13-H13</f>
        <v>0</v>
      </c>
      <c r="G13" s="46">
        <v>0</v>
      </c>
      <c r="H13" s="46"/>
      <c r="I13" s="46">
        <v>0</v>
      </c>
      <c r="J13" s="46">
        <v>0</v>
      </c>
      <c r="K13" s="46">
        <v>0</v>
      </c>
      <c r="L13" s="47">
        <f t="shared" ref="L13:L76" si="1">C13+J13+K13-H13-F13+D13</f>
        <v>0</v>
      </c>
      <c r="M13" s="48">
        <v>0</v>
      </c>
      <c r="N13" s="48">
        <v>0</v>
      </c>
      <c r="O13" s="49" t="s">
        <v>67</v>
      </c>
      <c r="P13" s="49" t="s">
        <v>68</v>
      </c>
      <c r="Q13" s="49" t="s">
        <v>69</v>
      </c>
      <c r="R13" s="49" t="s">
        <v>70</v>
      </c>
      <c r="S13" s="49" t="s">
        <v>71</v>
      </c>
      <c r="T13" s="49"/>
    </row>
    <row r="14" spans="1:21" x14ac:dyDescent="0.3">
      <c r="A14" s="44"/>
      <c r="B14" s="44"/>
      <c r="C14" s="45"/>
      <c r="D14" s="46">
        <v>0</v>
      </c>
      <c r="E14" s="46">
        <v>0</v>
      </c>
      <c r="F14" s="46">
        <f t="shared" si="0"/>
        <v>0</v>
      </c>
      <c r="G14" s="46">
        <v>0</v>
      </c>
      <c r="H14" s="46"/>
      <c r="I14" s="46">
        <v>0</v>
      </c>
      <c r="J14" s="46">
        <v>0</v>
      </c>
      <c r="K14" s="46">
        <v>0</v>
      </c>
      <c r="L14" s="47">
        <f t="shared" si="1"/>
        <v>0</v>
      </c>
      <c r="M14" s="48">
        <v>0</v>
      </c>
      <c r="N14" s="48">
        <v>0</v>
      </c>
      <c r="O14" s="49" t="s">
        <v>72</v>
      </c>
      <c r="P14" s="49" t="s">
        <v>73</v>
      </c>
      <c r="Q14" s="49" t="s">
        <v>74</v>
      </c>
      <c r="R14" s="49" t="s">
        <v>75</v>
      </c>
      <c r="S14" s="49" t="s">
        <v>76</v>
      </c>
      <c r="T14" s="49"/>
      <c r="U14" s="10"/>
    </row>
    <row r="15" spans="1:21" x14ac:dyDescent="0.3">
      <c r="A15" s="44"/>
      <c r="B15" s="44"/>
      <c r="C15" s="45"/>
      <c r="D15" s="46">
        <v>0</v>
      </c>
      <c r="E15" s="46">
        <v>0</v>
      </c>
      <c r="F15" s="46">
        <f t="shared" si="0"/>
        <v>0</v>
      </c>
      <c r="G15" s="46">
        <v>0</v>
      </c>
      <c r="H15" s="46"/>
      <c r="I15" s="46">
        <v>0</v>
      </c>
      <c r="J15" s="46">
        <v>0</v>
      </c>
      <c r="K15" s="46">
        <v>0</v>
      </c>
      <c r="L15" s="47">
        <f t="shared" si="1"/>
        <v>0</v>
      </c>
      <c r="M15" s="48">
        <v>0</v>
      </c>
      <c r="N15" s="48">
        <v>0</v>
      </c>
      <c r="O15" s="49" t="s">
        <v>77</v>
      </c>
      <c r="P15" s="49" t="s">
        <v>78</v>
      </c>
      <c r="Q15" s="49" t="s">
        <v>79</v>
      </c>
      <c r="R15" s="49" t="s">
        <v>80</v>
      </c>
      <c r="S15" s="49" t="s">
        <v>81</v>
      </c>
      <c r="T15" s="49"/>
      <c r="U15" s="10"/>
    </row>
    <row r="16" spans="1:21" x14ac:dyDescent="0.3">
      <c r="A16" s="44"/>
      <c r="B16" s="44"/>
      <c r="C16" s="45"/>
      <c r="D16" s="46">
        <v>0</v>
      </c>
      <c r="E16" s="46">
        <v>0</v>
      </c>
      <c r="F16" s="46">
        <f t="shared" si="0"/>
        <v>0</v>
      </c>
      <c r="G16" s="46">
        <v>0</v>
      </c>
      <c r="H16" s="46"/>
      <c r="I16" s="46">
        <v>0</v>
      </c>
      <c r="J16" s="46">
        <v>0</v>
      </c>
      <c r="K16" s="46">
        <v>0</v>
      </c>
      <c r="L16" s="47">
        <f t="shared" si="1"/>
        <v>0</v>
      </c>
      <c r="M16" s="48">
        <v>0</v>
      </c>
      <c r="N16" s="48">
        <v>0</v>
      </c>
      <c r="O16" s="49" t="s">
        <v>82</v>
      </c>
      <c r="P16" s="49" t="s">
        <v>83</v>
      </c>
      <c r="Q16" s="49" t="s">
        <v>84</v>
      </c>
      <c r="R16" s="49" t="s">
        <v>85</v>
      </c>
      <c r="S16" s="49" t="s">
        <v>86</v>
      </c>
      <c r="T16" s="49"/>
      <c r="U16" s="10"/>
    </row>
    <row r="17" spans="1:21" ht="15.75" customHeight="1" x14ac:dyDescent="0.3">
      <c r="A17" s="44"/>
      <c r="B17" s="44"/>
      <c r="C17" s="45"/>
      <c r="D17" s="46">
        <v>0</v>
      </c>
      <c r="E17" s="46">
        <v>0</v>
      </c>
      <c r="F17" s="46">
        <f t="shared" si="0"/>
        <v>0</v>
      </c>
      <c r="G17" s="46">
        <v>0</v>
      </c>
      <c r="H17" s="46"/>
      <c r="I17" s="46">
        <v>0</v>
      </c>
      <c r="J17" s="46">
        <v>0</v>
      </c>
      <c r="K17" s="46">
        <v>0</v>
      </c>
      <c r="L17" s="47">
        <f t="shared" si="1"/>
        <v>0</v>
      </c>
      <c r="M17" s="48">
        <v>0</v>
      </c>
      <c r="N17" s="48">
        <v>0</v>
      </c>
      <c r="O17" s="49" t="s">
        <v>87</v>
      </c>
      <c r="P17" s="49" t="s">
        <v>88</v>
      </c>
      <c r="Q17" s="49" t="s">
        <v>89</v>
      </c>
      <c r="R17" s="49" t="s">
        <v>90</v>
      </c>
      <c r="S17" s="49" t="s">
        <v>91</v>
      </c>
      <c r="T17" s="49"/>
      <c r="U17" s="10"/>
    </row>
    <row r="18" spans="1:21" ht="15.75" customHeight="1" x14ac:dyDescent="0.3">
      <c r="A18" s="44"/>
      <c r="B18" s="44"/>
      <c r="C18" s="45"/>
      <c r="D18" s="46">
        <v>0</v>
      </c>
      <c r="E18" s="46">
        <v>0</v>
      </c>
      <c r="F18" s="46">
        <f t="shared" si="0"/>
        <v>0</v>
      </c>
      <c r="G18" s="46">
        <v>0</v>
      </c>
      <c r="H18" s="46"/>
      <c r="I18" s="46">
        <v>0</v>
      </c>
      <c r="J18" s="46">
        <v>0</v>
      </c>
      <c r="K18" s="46">
        <v>0</v>
      </c>
      <c r="L18" s="47">
        <f t="shared" si="1"/>
        <v>0</v>
      </c>
      <c r="M18" s="48">
        <v>0</v>
      </c>
      <c r="N18" s="48">
        <v>0</v>
      </c>
      <c r="O18" s="49" t="s">
        <v>92</v>
      </c>
      <c r="P18" s="49" t="s">
        <v>93</v>
      </c>
      <c r="Q18" s="49" t="s">
        <v>94</v>
      </c>
      <c r="R18" s="49" t="s">
        <v>95</v>
      </c>
      <c r="S18" s="49" t="s">
        <v>96</v>
      </c>
      <c r="T18" s="49"/>
      <c r="U18" s="10"/>
    </row>
    <row r="19" spans="1:21" ht="15.75" customHeight="1" x14ac:dyDescent="0.3">
      <c r="A19" s="44"/>
      <c r="B19" s="44"/>
      <c r="C19" s="45"/>
      <c r="D19" s="46">
        <v>0</v>
      </c>
      <c r="E19" s="46">
        <v>0</v>
      </c>
      <c r="F19" s="46">
        <f t="shared" si="0"/>
        <v>0</v>
      </c>
      <c r="G19" s="46">
        <v>0</v>
      </c>
      <c r="H19" s="46"/>
      <c r="I19" s="46">
        <v>0</v>
      </c>
      <c r="J19" s="46">
        <v>0</v>
      </c>
      <c r="K19" s="46">
        <v>0</v>
      </c>
      <c r="L19" s="47">
        <f t="shared" si="1"/>
        <v>0</v>
      </c>
      <c r="M19" s="48">
        <v>0</v>
      </c>
      <c r="N19" s="48">
        <v>0</v>
      </c>
      <c r="O19" s="49" t="s">
        <v>97</v>
      </c>
      <c r="P19" s="49" t="s">
        <v>98</v>
      </c>
      <c r="Q19" s="49" t="s">
        <v>99</v>
      </c>
      <c r="R19" s="49" t="s">
        <v>100</v>
      </c>
      <c r="S19" s="49" t="s">
        <v>101</v>
      </c>
      <c r="T19" s="49"/>
      <c r="U19" s="10"/>
    </row>
    <row r="20" spans="1:21" ht="15.75" customHeight="1" x14ac:dyDescent="0.3">
      <c r="A20" s="44"/>
      <c r="B20" s="44"/>
      <c r="C20" s="45"/>
      <c r="D20" s="46">
        <v>0</v>
      </c>
      <c r="E20" s="46">
        <v>0</v>
      </c>
      <c r="F20" s="46">
        <f t="shared" si="0"/>
        <v>0</v>
      </c>
      <c r="G20" s="46">
        <v>0</v>
      </c>
      <c r="H20" s="46"/>
      <c r="I20" s="46">
        <v>0</v>
      </c>
      <c r="J20" s="46">
        <v>0</v>
      </c>
      <c r="K20" s="46">
        <v>0</v>
      </c>
      <c r="L20" s="47">
        <f t="shared" si="1"/>
        <v>0</v>
      </c>
      <c r="M20" s="48">
        <v>0</v>
      </c>
      <c r="N20" s="48">
        <v>0</v>
      </c>
      <c r="O20" s="49" t="s">
        <v>102</v>
      </c>
      <c r="P20" s="49" t="s">
        <v>103</v>
      </c>
      <c r="Q20" s="49" t="s">
        <v>104</v>
      </c>
      <c r="R20" s="49" t="s">
        <v>105</v>
      </c>
      <c r="S20" s="49" t="s">
        <v>106</v>
      </c>
      <c r="T20" s="49"/>
      <c r="U20" s="10"/>
    </row>
    <row r="21" spans="1:21" ht="15.75" customHeight="1" x14ac:dyDescent="0.3">
      <c r="A21" s="44"/>
      <c r="B21" s="44"/>
      <c r="C21" s="45"/>
      <c r="D21" s="46">
        <v>0</v>
      </c>
      <c r="E21" s="46">
        <v>0</v>
      </c>
      <c r="F21" s="46">
        <f t="shared" si="0"/>
        <v>0</v>
      </c>
      <c r="G21" s="46">
        <v>0</v>
      </c>
      <c r="H21" s="46"/>
      <c r="I21" s="46">
        <v>0</v>
      </c>
      <c r="J21" s="46">
        <v>0</v>
      </c>
      <c r="K21" s="46">
        <v>0</v>
      </c>
      <c r="L21" s="47">
        <f t="shared" si="1"/>
        <v>0</v>
      </c>
      <c r="M21" s="48">
        <v>0</v>
      </c>
      <c r="N21" s="48">
        <v>0</v>
      </c>
      <c r="O21" s="49" t="s">
        <v>107</v>
      </c>
      <c r="P21" s="49" t="s">
        <v>108</v>
      </c>
      <c r="Q21" s="49" t="s">
        <v>109</v>
      </c>
      <c r="R21" s="49" t="s">
        <v>110</v>
      </c>
      <c r="S21" s="49" t="s">
        <v>111</v>
      </c>
      <c r="T21" s="49"/>
    </row>
    <row r="22" spans="1:21" x14ac:dyDescent="0.3">
      <c r="A22" s="44"/>
      <c r="B22" s="44"/>
      <c r="C22" s="45"/>
      <c r="D22" s="46">
        <v>0</v>
      </c>
      <c r="E22" s="46">
        <v>0</v>
      </c>
      <c r="F22" s="46">
        <f t="shared" si="0"/>
        <v>0</v>
      </c>
      <c r="G22" s="46">
        <v>0</v>
      </c>
      <c r="H22" s="46"/>
      <c r="I22" s="46">
        <v>0</v>
      </c>
      <c r="J22" s="46">
        <v>0</v>
      </c>
      <c r="K22" s="46">
        <v>0</v>
      </c>
      <c r="L22" s="47">
        <f t="shared" si="1"/>
        <v>0</v>
      </c>
      <c r="M22" s="48">
        <v>0</v>
      </c>
      <c r="N22" s="48">
        <v>0</v>
      </c>
      <c r="O22" s="49" t="s">
        <v>112</v>
      </c>
      <c r="P22" s="49" t="s">
        <v>113</v>
      </c>
      <c r="Q22" s="49" t="s">
        <v>114</v>
      </c>
      <c r="R22" s="49" t="s">
        <v>115</v>
      </c>
      <c r="S22" s="49" t="s">
        <v>116</v>
      </c>
      <c r="T22" s="49"/>
    </row>
    <row r="23" spans="1:21" x14ac:dyDescent="0.3">
      <c r="A23" s="44"/>
      <c r="B23" s="44"/>
      <c r="C23" s="45"/>
      <c r="D23" s="46">
        <v>0</v>
      </c>
      <c r="E23" s="46">
        <v>0</v>
      </c>
      <c r="F23" s="46">
        <f t="shared" si="0"/>
        <v>0</v>
      </c>
      <c r="G23" s="46">
        <v>0</v>
      </c>
      <c r="H23" s="46"/>
      <c r="I23" s="46">
        <v>0</v>
      </c>
      <c r="J23" s="46">
        <v>0</v>
      </c>
      <c r="K23" s="46">
        <v>0</v>
      </c>
      <c r="L23" s="47">
        <f t="shared" si="1"/>
        <v>0</v>
      </c>
      <c r="M23" s="48">
        <v>0</v>
      </c>
      <c r="N23" s="48">
        <v>0</v>
      </c>
      <c r="O23" s="49" t="s">
        <v>117</v>
      </c>
      <c r="P23" s="49" t="s">
        <v>118</v>
      </c>
      <c r="Q23" s="49" t="s">
        <v>119</v>
      </c>
      <c r="R23" s="49" t="s">
        <v>120</v>
      </c>
      <c r="S23" s="49" t="s">
        <v>121</v>
      </c>
      <c r="T23" s="49"/>
    </row>
    <row r="24" spans="1:21" x14ac:dyDescent="0.3">
      <c r="A24" s="44"/>
      <c r="B24" s="44"/>
      <c r="C24" s="45"/>
      <c r="D24" s="46">
        <v>0</v>
      </c>
      <c r="E24" s="46">
        <v>0</v>
      </c>
      <c r="F24" s="46">
        <f t="shared" si="0"/>
        <v>0</v>
      </c>
      <c r="G24" s="46">
        <v>0</v>
      </c>
      <c r="H24" s="46"/>
      <c r="I24" s="46">
        <v>0</v>
      </c>
      <c r="J24" s="46">
        <v>0</v>
      </c>
      <c r="K24" s="46">
        <v>0</v>
      </c>
      <c r="L24" s="47">
        <f t="shared" si="1"/>
        <v>0</v>
      </c>
      <c r="M24" s="48">
        <v>0</v>
      </c>
      <c r="N24" s="48">
        <v>0</v>
      </c>
      <c r="O24" s="49" t="s">
        <v>122</v>
      </c>
      <c r="P24" s="49" t="s">
        <v>123</v>
      </c>
      <c r="Q24" s="49" t="s">
        <v>124</v>
      </c>
      <c r="R24" s="49" t="s">
        <v>125</v>
      </c>
      <c r="S24" s="49" t="s">
        <v>126</v>
      </c>
      <c r="T24" s="49"/>
    </row>
    <row r="25" spans="1:21" x14ac:dyDescent="0.3">
      <c r="A25" s="44"/>
      <c r="B25" s="44"/>
      <c r="C25" s="45"/>
      <c r="D25" s="46">
        <v>0</v>
      </c>
      <c r="E25" s="46">
        <v>0</v>
      </c>
      <c r="F25" s="46">
        <f t="shared" si="0"/>
        <v>0</v>
      </c>
      <c r="G25" s="46">
        <v>0</v>
      </c>
      <c r="H25" s="46"/>
      <c r="I25" s="46">
        <v>0</v>
      </c>
      <c r="J25" s="46">
        <v>0</v>
      </c>
      <c r="K25" s="46">
        <v>0</v>
      </c>
      <c r="L25" s="47">
        <f t="shared" si="1"/>
        <v>0</v>
      </c>
      <c r="M25" s="48">
        <v>0</v>
      </c>
      <c r="N25" s="48">
        <v>0</v>
      </c>
      <c r="O25" s="49" t="s">
        <v>127</v>
      </c>
      <c r="P25" s="49" t="s">
        <v>128</v>
      </c>
      <c r="Q25" s="49" t="s">
        <v>129</v>
      </c>
      <c r="R25" s="49" t="s">
        <v>130</v>
      </c>
      <c r="S25" s="49" t="s">
        <v>131</v>
      </c>
      <c r="T25" s="49"/>
    </row>
    <row r="26" spans="1:21" x14ac:dyDescent="0.3">
      <c r="A26" s="44"/>
      <c r="B26" s="44"/>
      <c r="C26" s="45"/>
      <c r="D26" s="46">
        <v>0</v>
      </c>
      <c r="E26" s="46">
        <v>0</v>
      </c>
      <c r="F26" s="46">
        <f t="shared" si="0"/>
        <v>0</v>
      </c>
      <c r="G26" s="46">
        <v>0</v>
      </c>
      <c r="H26" s="46"/>
      <c r="I26" s="46">
        <v>0</v>
      </c>
      <c r="J26" s="46">
        <v>0</v>
      </c>
      <c r="K26" s="46">
        <v>0</v>
      </c>
      <c r="L26" s="47">
        <f t="shared" si="1"/>
        <v>0</v>
      </c>
      <c r="M26" s="48">
        <v>0</v>
      </c>
      <c r="N26" s="48">
        <v>0</v>
      </c>
      <c r="O26" s="49" t="s">
        <v>132</v>
      </c>
      <c r="P26" s="49" t="s">
        <v>133</v>
      </c>
      <c r="Q26" s="49" t="s">
        <v>134</v>
      </c>
      <c r="R26" s="49" t="s">
        <v>135</v>
      </c>
      <c r="S26" s="49" t="s">
        <v>136</v>
      </c>
      <c r="T26" s="49"/>
    </row>
    <row r="27" spans="1:21" x14ac:dyDescent="0.3">
      <c r="A27" s="44"/>
      <c r="B27" s="44"/>
      <c r="C27" s="45"/>
      <c r="D27" s="46">
        <v>0</v>
      </c>
      <c r="E27" s="46">
        <v>0</v>
      </c>
      <c r="F27" s="46">
        <f t="shared" si="0"/>
        <v>0</v>
      </c>
      <c r="G27" s="46">
        <v>0</v>
      </c>
      <c r="H27" s="46"/>
      <c r="I27" s="46">
        <v>0</v>
      </c>
      <c r="J27" s="46">
        <v>0</v>
      </c>
      <c r="K27" s="46">
        <v>0</v>
      </c>
      <c r="L27" s="47">
        <f t="shared" si="1"/>
        <v>0</v>
      </c>
      <c r="M27" s="48">
        <v>0</v>
      </c>
      <c r="N27" s="48">
        <v>0</v>
      </c>
      <c r="O27" s="49" t="s">
        <v>137</v>
      </c>
      <c r="P27" s="49" t="s">
        <v>138</v>
      </c>
      <c r="Q27" s="49" t="s">
        <v>139</v>
      </c>
      <c r="R27" s="49" t="s">
        <v>140</v>
      </c>
      <c r="S27" s="49" t="s">
        <v>141</v>
      </c>
      <c r="T27" s="49"/>
    </row>
    <row r="28" spans="1:21" x14ac:dyDescent="0.3">
      <c r="A28" s="44"/>
      <c r="B28" s="44"/>
      <c r="C28" s="45"/>
      <c r="D28" s="46">
        <v>0</v>
      </c>
      <c r="E28" s="46">
        <v>0</v>
      </c>
      <c r="F28" s="46">
        <f t="shared" si="0"/>
        <v>0</v>
      </c>
      <c r="G28" s="46">
        <v>0</v>
      </c>
      <c r="H28" s="46"/>
      <c r="I28" s="46">
        <v>0</v>
      </c>
      <c r="J28" s="46">
        <v>0</v>
      </c>
      <c r="K28" s="46">
        <v>0</v>
      </c>
      <c r="L28" s="47">
        <f t="shared" si="1"/>
        <v>0</v>
      </c>
      <c r="M28" s="48">
        <v>0</v>
      </c>
      <c r="N28" s="48">
        <v>0</v>
      </c>
      <c r="O28" s="49" t="s">
        <v>142</v>
      </c>
      <c r="P28" s="49" t="s">
        <v>143</v>
      </c>
      <c r="Q28" s="49" t="s">
        <v>144</v>
      </c>
      <c r="R28" s="49" t="s">
        <v>145</v>
      </c>
      <c r="S28" s="49" t="s">
        <v>146</v>
      </c>
      <c r="T28" s="49"/>
    </row>
    <row r="29" spans="1:21" x14ac:dyDescent="0.3">
      <c r="A29" s="44"/>
      <c r="B29" s="44"/>
      <c r="C29" s="45"/>
      <c r="D29" s="46">
        <v>0</v>
      </c>
      <c r="E29" s="46">
        <v>0</v>
      </c>
      <c r="F29" s="46">
        <f t="shared" si="0"/>
        <v>0</v>
      </c>
      <c r="G29" s="46">
        <v>0</v>
      </c>
      <c r="H29" s="46"/>
      <c r="I29" s="46">
        <v>0</v>
      </c>
      <c r="J29" s="46">
        <v>0</v>
      </c>
      <c r="K29" s="46">
        <v>0</v>
      </c>
      <c r="L29" s="47">
        <f t="shared" si="1"/>
        <v>0</v>
      </c>
      <c r="M29" s="48">
        <v>0</v>
      </c>
      <c r="N29" s="48">
        <v>0</v>
      </c>
      <c r="O29" s="49" t="s">
        <v>147</v>
      </c>
      <c r="P29" s="49" t="s">
        <v>148</v>
      </c>
      <c r="Q29" s="49" t="s">
        <v>149</v>
      </c>
      <c r="R29" s="49" t="s">
        <v>150</v>
      </c>
      <c r="S29" s="49" t="s">
        <v>151</v>
      </c>
      <c r="T29" s="49"/>
    </row>
    <row r="30" spans="1:21" x14ac:dyDescent="0.3">
      <c r="A30" s="44"/>
      <c r="B30" s="44"/>
      <c r="C30" s="45"/>
      <c r="D30" s="46">
        <v>0</v>
      </c>
      <c r="E30" s="46">
        <v>0</v>
      </c>
      <c r="F30" s="46">
        <f t="shared" si="0"/>
        <v>0</v>
      </c>
      <c r="G30" s="46">
        <v>0</v>
      </c>
      <c r="H30" s="46"/>
      <c r="I30" s="46">
        <v>0</v>
      </c>
      <c r="J30" s="46">
        <v>0</v>
      </c>
      <c r="K30" s="46">
        <v>0</v>
      </c>
      <c r="L30" s="47">
        <f t="shared" si="1"/>
        <v>0</v>
      </c>
      <c r="M30" s="48">
        <v>0</v>
      </c>
      <c r="N30" s="48">
        <v>0</v>
      </c>
      <c r="O30" s="49" t="s">
        <v>152</v>
      </c>
      <c r="P30" s="49" t="s">
        <v>153</v>
      </c>
      <c r="Q30" s="49" t="s">
        <v>154</v>
      </c>
      <c r="R30" s="49" t="s">
        <v>155</v>
      </c>
      <c r="S30" s="49" t="s">
        <v>156</v>
      </c>
      <c r="T30" s="49"/>
    </row>
    <row r="31" spans="1:21" x14ac:dyDescent="0.3">
      <c r="A31" s="44"/>
      <c r="B31" s="44"/>
      <c r="C31" s="45"/>
      <c r="D31" s="46">
        <v>0</v>
      </c>
      <c r="E31" s="46">
        <v>0</v>
      </c>
      <c r="F31" s="46">
        <f t="shared" si="0"/>
        <v>0</v>
      </c>
      <c r="G31" s="46">
        <v>0</v>
      </c>
      <c r="H31" s="46"/>
      <c r="I31" s="46">
        <v>0</v>
      </c>
      <c r="J31" s="46">
        <v>0</v>
      </c>
      <c r="K31" s="46">
        <v>0</v>
      </c>
      <c r="L31" s="47">
        <f t="shared" si="1"/>
        <v>0</v>
      </c>
      <c r="M31" s="48">
        <v>0</v>
      </c>
      <c r="N31" s="48">
        <v>0</v>
      </c>
      <c r="O31" s="49" t="s">
        <v>157</v>
      </c>
      <c r="P31" s="49" t="s">
        <v>158</v>
      </c>
      <c r="Q31" s="49" t="s">
        <v>159</v>
      </c>
      <c r="R31" s="49" t="s">
        <v>160</v>
      </c>
      <c r="S31" s="49" t="s">
        <v>161</v>
      </c>
      <c r="T31" s="49"/>
    </row>
    <row r="32" spans="1:21" x14ac:dyDescent="0.3">
      <c r="A32" s="44"/>
      <c r="B32" s="44"/>
      <c r="C32" s="45"/>
      <c r="D32" s="46">
        <v>0</v>
      </c>
      <c r="E32" s="46">
        <v>0</v>
      </c>
      <c r="F32" s="46">
        <f t="shared" si="0"/>
        <v>0</v>
      </c>
      <c r="G32" s="46">
        <v>0</v>
      </c>
      <c r="H32" s="46"/>
      <c r="I32" s="46">
        <v>0</v>
      </c>
      <c r="J32" s="46">
        <v>0</v>
      </c>
      <c r="K32" s="46">
        <v>0</v>
      </c>
      <c r="L32" s="47">
        <f t="shared" si="1"/>
        <v>0</v>
      </c>
      <c r="M32" s="48">
        <v>0</v>
      </c>
      <c r="N32" s="48">
        <v>0</v>
      </c>
      <c r="O32" s="49" t="s">
        <v>162</v>
      </c>
      <c r="P32" s="49" t="s">
        <v>163</v>
      </c>
      <c r="Q32" s="49" t="s">
        <v>164</v>
      </c>
      <c r="R32" s="49" t="s">
        <v>165</v>
      </c>
      <c r="S32" s="49" t="s">
        <v>166</v>
      </c>
      <c r="T32" s="49"/>
    </row>
    <row r="33" spans="1:20" x14ac:dyDescent="0.3">
      <c r="A33" s="44"/>
      <c r="B33" s="44"/>
      <c r="C33" s="45"/>
      <c r="D33" s="46">
        <v>0</v>
      </c>
      <c r="E33" s="46">
        <v>0</v>
      </c>
      <c r="F33" s="46">
        <f t="shared" si="0"/>
        <v>0</v>
      </c>
      <c r="G33" s="46">
        <v>0</v>
      </c>
      <c r="H33" s="46"/>
      <c r="I33" s="46">
        <v>0</v>
      </c>
      <c r="J33" s="46">
        <v>0</v>
      </c>
      <c r="K33" s="46">
        <v>0</v>
      </c>
      <c r="L33" s="47">
        <f t="shared" si="1"/>
        <v>0</v>
      </c>
      <c r="M33" s="48">
        <v>0</v>
      </c>
      <c r="N33" s="48">
        <v>0</v>
      </c>
      <c r="O33" s="49" t="s">
        <v>167</v>
      </c>
      <c r="P33" s="49" t="s">
        <v>168</v>
      </c>
      <c r="Q33" s="49" t="s">
        <v>169</v>
      </c>
      <c r="R33" s="49" t="s">
        <v>170</v>
      </c>
      <c r="S33" s="49" t="s">
        <v>171</v>
      </c>
      <c r="T33" s="49"/>
    </row>
    <row r="34" spans="1:20" x14ac:dyDescent="0.3">
      <c r="A34" s="44"/>
      <c r="B34" s="44"/>
      <c r="C34" s="45"/>
      <c r="D34" s="46">
        <v>0</v>
      </c>
      <c r="E34" s="46">
        <v>0</v>
      </c>
      <c r="F34" s="46">
        <f t="shared" si="0"/>
        <v>0</v>
      </c>
      <c r="G34" s="46">
        <v>0</v>
      </c>
      <c r="H34" s="46"/>
      <c r="I34" s="46">
        <v>0</v>
      </c>
      <c r="J34" s="46">
        <v>0</v>
      </c>
      <c r="K34" s="46">
        <v>0</v>
      </c>
      <c r="L34" s="47">
        <f t="shared" si="1"/>
        <v>0</v>
      </c>
      <c r="M34" s="48">
        <v>0</v>
      </c>
      <c r="N34" s="48">
        <v>0</v>
      </c>
      <c r="O34" s="49" t="s">
        <v>172</v>
      </c>
      <c r="P34" s="49" t="s">
        <v>173</v>
      </c>
      <c r="Q34" s="49" t="s">
        <v>174</v>
      </c>
      <c r="R34" s="49" t="s">
        <v>175</v>
      </c>
      <c r="S34" s="49" t="s">
        <v>176</v>
      </c>
      <c r="T34" s="49"/>
    </row>
    <row r="35" spans="1:20" x14ac:dyDescent="0.3">
      <c r="A35" s="44"/>
      <c r="B35" s="44"/>
      <c r="C35" s="45"/>
      <c r="D35" s="46">
        <v>0</v>
      </c>
      <c r="E35" s="46">
        <v>0</v>
      </c>
      <c r="F35" s="46">
        <f t="shared" si="0"/>
        <v>0</v>
      </c>
      <c r="G35" s="46">
        <v>0</v>
      </c>
      <c r="H35" s="46"/>
      <c r="I35" s="46">
        <v>0</v>
      </c>
      <c r="J35" s="46">
        <v>0</v>
      </c>
      <c r="K35" s="46">
        <v>0</v>
      </c>
      <c r="L35" s="47">
        <f t="shared" si="1"/>
        <v>0</v>
      </c>
      <c r="M35" s="48">
        <v>0</v>
      </c>
      <c r="N35" s="48">
        <v>0</v>
      </c>
      <c r="O35" s="49" t="s">
        <v>177</v>
      </c>
      <c r="P35" s="49" t="s">
        <v>178</v>
      </c>
      <c r="Q35" s="49" t="s">
        <v>179</v>
      </c>
      <c r="R35" s="49" t="s">
        <v>180</v>
      </c>
      <c r="S35" s="49" t="s">
        <v>181</v>
      </c>
      <c r="T35" s="49"/>
    </row>
    <row r="36" spans="1:20" x14ac:dyDescent="0.3">
      <c r="A36" s="44"/>
      <c r="B36" s="44"/>
      <c r="C36" s="45"/>
      <c r="D36" s="46">
        <v>0</v>
      </c>
      <c r="E36" s="46">
        <v>0</v>
      </c>
      <c r="F36" s="46">
        <f t="shared" si="0"/>
        <v>0</v>
      </c>
      <c r="G36" s="46">
        <v>0</v>
      </c>
      <c r="H36" s="46"/>
      <c r="I36" s="46">
        <v>0</v>
      </c>
      <c r="J36" s="46">
        <v>0</v>
      </c>
      <c r="K36" s="46">
        <v>0</v>
      </c>
      <c r="L36" s="47">
        <f t="shared" si="1"/>
        <v>0</v>
      </c>
      <c r="M36" s="48">
        <v>0</v>
      </c>
      <c r="N36" s="48">
        <v>0</v>
      </c>
      <c r="O36" s="49" t="s">
        <v>182</v>
      </c>
      <c r="P36" s="49" t="s">
        <v>183</v>
      </c>
      <c r="Q36" s="49" t="s">
        <v>184</v>
      </c>
      <c r="R36" s="49" t="s">
        <v>185</v>
      </c>
      <c r="S36" s="49" t="s">
        <v>186</v>
      </c>
      <c r="T36" s="49"/>
    </row>
    <row r="37" spans="1:20" x14ac:dyDescent="0.3">
      <c r="A37" s="44"/>
      <c r="B37" s="44"/>
      <c r="C37" s="45"/>
      <c r="D37" s="46">
        <v>0</v>
      </c>
      <c r="E37" s="46">
        <v>0</v>
      </c>
      <c r="F37" s="46">
        <f t="shared" si="0"/>
        <v>0</v>
      </c>
      <c r="G37" s="46">
        <v>0</v>
      </c>
      <c r="H37" s="46"/>
      <c r="I37" s="46">
        <v>0</v>
      </c>
      <c r="J37" s="46">
        <v>0</v>
      </c>
      <c r="K37" s="46">
        <v>0</v>
      </c>
      <c r="L37" s="47">
        <f t="shared" si="1"/>
        <v>0</v>
      </c>
      <c r="M37" s="48">
        <v>0</v>
      </c>
      <c r="N37" s="48">
        <v>0</v>
      </c>
      <c r="O37" s="49" t="s">
        <v>187</v>
      </c>
      <c r="P37" s="49" t="s">
        <v>188</v>
      </c>
      <c r="Q37" s="49" t="s">
        <v>189</v>
      </c>
      <c r="R37" s="49" t="s">
        <v>190</v>
      </c>
      <c r="S37" s="49" t="s">
        <v>191</v>
      </c>
      <c r="T37" s="49"/>
    </row>
    <row r="38" spans="1:20" x14ac:dyDescent="0.3">
      <c r="A38" s="44"/>
      <c r="B38" s="44"/>
      <c r="C38" s="45"/>
      <c r="D38" s="46">
        <v>0</v>
      </c>
      <c r="E38" s="46">
        <v>0</v>
      </c>
      <c r="F38" s="46">
        <f t="shared" si="0"/>
        <v>0</v>
      </c>
      <c r="G38" s="46">
        <v>0</v>
      </c>
      <c r="H38" s="46"/>
      <c r="I38" s="46">
        <v>0</v>
      </c>
      <c r="J38" s="46">
        <v>0</v>
      </c>
      <c r="K38" s="46">
        <v>0</v>
      </c>
      <c r="L38" s="47">
        <f t="shared" si="1"/>
        <v>0</v>
      </c>
      <c r="M38" s="48">
        <v>0</v>
      </c>
      <c r="N38" s="48">
        <v>0</v>
      </c>
      <c r="O38" s="49" t="s">
        <v>192</v>
      </c>
      <c r="P38" s="49" t="s">
        <v>193</v>
      </c>
      <c r="Q38" s="49" t="s">
        <v>194</v>
      </c>
      <c r="R38" s="49" t="s">
        <v>195</v>
      </c>
      <c r="S38" s="49" t="s">
        <v>196</v>
      </c>
      <c r="T38" s="49"/>
    </row>
    <row r="39" spans="1:20" x14ac:dyDescent="0.3">
      <c r="A39" s="44"/>
      <c r="B39" s="44"/>
      <c r="C39" s="45"/>
      <c r="D39" s="46">
        <v>0</v>
      </c>
      <c r="E39" s="46">
        <v>0</v>
      </c>
      <c r="F39" s="46">
        <f t="shared" si="0"/>
        <v>0</v>
      </c>
      <c r="G39" s="46">
        <v>0</v>
      </c>
      <c r="H39" s="46"/>
      <c r="I39" s="46">
        <v>0</v>
      </c>
      <c r="J39" s="46">
        <v>0</v>
      </c>
      <c r="K39" s="46">
        <v>0</v>
      </c>
      <c r="L39" s="47">
        <f t="shared" si="1"/>
        <v>0</v>
      </c>
      <c r="M39" s="48">
        <v>0</v>
      </c>
      <c r="N39" s="48">
        <v>0</v>
      </c>
      <c r="O39" s="49" t="s">
        <v>197</v>
      </c>
      <c r="P39" s="49" t="s">
        <v>198</v>
      </c>
      <c r="Q39" s="49" t="s">
        <v>199</v>
      </c>
      <c r="R39" s="49" t="s">
        <v>200</v>
      </c>
      <c r="S39" s="49" t="s">
        <v>201</v>
      </c>
      <c r="T39" s="49"/>
    </row>
    <row r="40" spans="1:20" x14ac:dyDescent="0.3">
      <c r="A40" s="44"/>
      <c r="B40" s="44"/>
      <c r="C40" s="45"/>
      <c r="D40" s="46">
        <v>0</v>
      </c>
      <c r="E40" s="46">
        <v>0</v>
      </c>
      <c r="F40" s="46">
        <f t="shared" si="0"/>
        <v>0</v>
      </c>
      <c r="G40" s="46">
        <v>0</v>
      </c>
      <c r="H40" s="46"/>
      <c r="I40" s="46">
        <v>0</v>
      </c>
      <c r="J40" s="46">
        <v>0</v>
      </c>
      <c r="K40" s="46">
        <v>0</v>
      </c>
      <c r="L40" s="47">
        <f t="shared" si="1"/>
        <v>0</v>
      </c>
      <c r="M40" s="48">
        <v>0</v>
      </c>
      <c r="N40" s="48">
        <v>0</v>
      </c>
      <c r="O40" s="49" t="s">
        <v>202</v>
      </c>
      <c r="P40" s="49" t="s">
        <v>203</v>
      </c>
      <c r="Q40" s="49" t="s">
        <v>204</v>
      </c>
      <c r="R40" s="49" t="s">
        <v>205</v>
      </c>
      <c r="S40" s="49" t="s">
        <v>206</v>
      </c>
      <c r="T40" s="49"/>
    </row>
    <row r="41" spans="1:20" x14ac:dyDescent="0.3">
      <c r="A41" s="44"/>
      <c r="B41" s="44"/>
      <c r="C41" s="45"/>
      <c r="D41" s="46">
        <v>0</v>
      </c>
      <c r="E41" s="46">
        <v>0</v>
      </c>
      <c r="F41" s="46">
        <f t="shared" si="0"/>
        <v>0</v>
      </c>
      <c r="G41" s="46">
        <v>0</v>
      </c>
      <c r="H41" s="46"/>
      <c r="I41" s="46">
        <v>0</v>
      </c>
      <c r="J41" s="46">
        <v>0</v>
      </c>
      <c r="K41" s="46">
        <v>0</v>
      </c>
      <c r="L41" s="47">
        <f t="shared" si="1"/>
        <v>0</v>
      </c>
      <c r="M41" s="48">
        <v>0</v>
      </c>
      <c r="N41" s="48">
        <v>0</v>
      </c>
      <c r="O41" s="49" t="s">
        <v>207</v>
      </c>
      <c r="P41" s="49" t="s">
        <v>208</v>
      </c>
      <c r="Q41" s="49" t="s">
        <v>209</v>
      </c>
      <c r="R41" s="49" t="s">
        <v>210</v>
      </c>
      <c r="S41" s="49" t="s">
        <v>211</v>
      </c>
      <c r="T41" s="49"/>
    </row>
    <row r="42" spans="1:20" x14ac:dyDescent="0.3">
      <c r="A42" s="44"/>
      <c r="B42" s="44"/>
      <c r="C42" s="45"/>
      <c r="D42" s="46">
        <v>0</v>
      </c>
      <c r="E42" s="46">
        <v>0</v>
      </c>
      <c r="F42" s="46">
        <f t="shared" si="0"/>
        <v>0</v>
      </c>
      <c r="G42" s="46">
        <v>0</v>
      </c>
      <c r="H42" s="46"/>
      <c r="I42" s="46">
        <v>0</v>
      </c>
      <c r="J42" s="46">
        <v>0</v>
      </c>
      <c r="K42" s="46">
        <v>0</v>
      </c>
      <c r="L42" s="47">
        <f t="shared" si="1"/>
        <v>0</v>
      </c>
      <c r="M42" s="48">
        <v>0</v>
      </c>
      <c r="N42" s="48">
        <v>0</v>
      </c>
      <c r="O42" s="49" t="s">
        <v>212</v>
      </c>
      <c r="P42" s="49" t="s">
        <v>213</v>
      </c>
      <c r="Q42" s="49" t="s">
        <v>214</v>
      </c>
      <c r="R42" s="49" t="s">
        <v>215</v>
      </c>
      <c r="S42" s="49" t="s">
        <v>216</v>
      </c>
      <c r="T42" s="49"/>
    </row>
    <row r="43" spans="1:20" x14ac:dyDescent="0.3">
      <c r="A43" s="44"/>
      <c r="B43" s="44"/>
      <c r="C43" s="45"/>
      <c r="D43" s="46">
        <v>0</v>
      </c>
      <c r="E43" s="46">
        <v>0</v>
      </c>
      <c r="F43" s="46">
        <f t="shared" si="0"/>
        <v>0</v>
      </c>
      <c r="G43" s="46">
        <v>0</v>
      </c>
      <c r="H43" s="46"/>
      <c r="I43" s="46">
        <v>0</v>
      </c>
      <c r="J43" s="46">
        <v>0</v>
      </c>
      <c r="K43" s="46">
        <v>0</v>
      </c>
      <c r="L43" s="47">
        <f t="shared" si="1"/>
        <v>0</v>
      </c>
      <c r="M43" s="48">
        <v>0</v>
      </c>
      <c r="N43" s="48">
        <v>0</v>
      </c>
      <c r="O43" s="49" t="s">
        <v>217</v>
      </c>
      <c r="P43" s="49" t="s">
        <v>218</v>
      </c>
      <c r="Q43" s="49" t="s">
        <v>219</v>
      </c>
      <c r="R43" s="49" t="s">
        <v>220</v>
      </c>
      <c r="S43" s="49" t="s">
        <v>221</v>
      </c>
      <c r="T43" s="49"/>
    </row>
    <row r="44" spans="1:20" x14ac:dyDescent="0.3">
      <c r="A44" s="44"/>
      <c r="B44" s="44"/>
      <c r="C44" s="45"/>
      <c r="D44" s="46">
        <v>0</v>
      </c>
      <c r="E44" s="46">
        <v>0</v>
      </c>
      <c r="F44" s="46">
        <f t="shared" si="0"/>
        <v>0</v>
      </c>
      <c r="G44" s="46">
        <v>0</v>
      </c>
      <c r="H44" s="46"/>
      <c r="I44" s="46">
        <v>0</v>
      </c>
      <c r="J44" s="46">
        <v>0</v>
      </c>
      <c r="K44" s="46">
        <v>0</v>
      </c>
      <c r="L44" s="47">
        <f t="shared" si="1"/>
        <v>0</v>
      </c>
      <c r="M44" s="48">
        <v>0</v>
      </c>
      <c r="N44" s="48">
        <v>0</v>
      </c>
      <c r="O44" s="49" t="s">
        <v>222</v>
      </c>
      <c r="P44" s="49" t="s">
        <v>223</v>
      </c>
      <c r="Q44" s="49" t="s">
        <v>224</v>
      </c>
      <c r="R44" s="49" t="s">
        <v>225</v>
      </c>
      <c r="S44" s="49" t="s">
        <v>226</v>
      </c>
      <c r="T44" s="49"/>
    </row>
    <row r="45" spans="1:20" x14ac:dyDescent="0.3">
      <c r="A45" s="44"/>
      <c r="B45" s="44"/>
      <c r="C45" s="45"/>
      <c r="D45" s="46">
        <v>0</v>
      </c>
      <c r="E45" s="46">
        <v>0</v>
      </c>
      <c r="F45" s="46">
        <f t="shared" si="0"/>
        <v>0</v>
      </c>
      <c r="G45" s="46">
        <v>0</v>
      </c>
      <c r="H45" s="46"/>
      <c r="I45" s="46">
        <v>0</v>
      </c>
      <c r="J45" s="46">
        <v>0</v>
      </c>
      <c r="K45" s="46">
        <v>0</v>
      </c>
      <c r="L45" s="47">
        <f t="shared" si="1"/>
        <v>0</v>
      </c>
      <c r="M45" s="48">
        <v>0</v>
      </c>
      <c r="N45" s="48">
        <v>0</v>
      </c>
      <c r="O45" s="49" t="s">
        <v>227</v>
      </c>
      <c r="P45" s="49" t="s">
        <v>228</v>
      </c>
      <c r="Q45" s="49" t="s">
        <v>229</v>
      </c>
      <c r="R45" s="49" t="s">
        <v>230</v>
      </c>
      <c r="S45" s="49" t="s">
        <v>231</v>
      </c>
      <c r="T45" s="49"/>
    </row>
    <row r="46" spans="1:20" x14ac:dyDescent="0.3">
      <c r="A46" s="44"/>
      <c r="B46" s="44"/>
      <c r="C46" s="45"/>
      <c r="D46" s="46">
        <v>0</v>
      </c>
      <c r="E46" s="46">
        <v>0</v>
      </c>
      <c r="F46" s="46">
        <f t="shared" si="0"/>
        <v>0</v>
      </c>
      <c r="G46" s="46">
        <v>0</v>
      </c>
      <c r="H46" s="46"/>
      <c r="I46" s="46">
        <v>0</v>
      </c>
      <c r="J46" s="46">
        <v>0</v>
      </c>
      <c r="K46" s="46">
        <v>0</v>
      </c>
      <c r="L46" s="47">
        <f t="shared" si="1"/>
        <v>0</v>
      </c>
      <c r="M46" s="48">
        <v>0</v>
      </c>
      <c r="N46" s="48">
        <v>0</v>
      </c>
      <c r="O46" s="49" t="s">
        <v>232</v>
      </c>
      <c r="P46" s="49" t="s">
        <v>233</v>
      </c>
      <c r="Q46" s="49" t="s">
        <v>234</v>
      </c>
      <c r="R46" s="49" t="s">
        <v>235</v>
      </c>
      <c r="S46" s="49" t="s">
        <v>236</v>
      </c>
      <c r="T46" s="49"/>
    </row>
    <row r="47" spans="1:20" x14ac:dyDescent="0.3">
      <c r="A47" s="44"/>
      <c r="B47" s="44"/>
      <c r="C47" s="45"/>
      <c r="D47" s="46">
        <v>0</v>
      </c>
      <c r="E47" s="46">
        <v>0</v>
      </c>
      <c r="F47" s="46">
        <f t="shared" si="0"/>
        <v>0</v>
      </c>
      <c r="G47" s="46">
        <v>0</v>
      </c>
      <c r="H47" s="46"/>
      <c r="I47" s="46">
        <v>0</v>
      </c>
      <c r="J47" s="46">
        <v>0</v>
      </c>
      <c r="K47" s="46">
        <v>0</v>
      </c>
      <c r="L47" s="47">
        <f t="shared" si="1"/>
        <v>0</v>
      </c>
      <c r="M47" s="48">
        <v>0</v>
      </c>
      <c r="N47" s="48">
        <v>0</v>
      </c>
      <c r="O47" s="49" t="s">
        <v>237</v>
      </c>
      <c r="P47" s="49" t="s">
        <v>238</v>
      </c>
      <c r="Q47" s="49" t="s">
        <v>239</v>
      </c>
      <c r="R47" s="49" t="s">
        <v>240</v>
      </c>
      <c r="S47" s="49" t="s">
        <v>241</v>
      </c>
      <c r="T47" s="49"/>
    </row>
    <row r="48" spans="1:20" x14ac:dyDescent="0.3">
      <c r="A48" s="44"/>
      <c r="B48" s="44"/>
      <c r="C48" s="45"/>
      <c r="D48" s="46">
        <v>0</v>
      </c>
      <c r="E48" s="46">
        <v>0</v>
      </c>
      <c r="F48" s="46">
        <f t="shared" si="0"/>
        <v>0</v>
      </c>
      <c r="G48" s="46">
        <v>0</v>
      </c>
      <c r="H48" s="46"/>
      <c r="I48" s="46">
        <v>0</v>
      </c>
      <c r="J48" s="46">
        <v>0</v>
      </c>
      <c r="K48" s="46">
        <v>0</v>
      </c>
      <c r="L48" s="47">
        <f t="shared" si="1"/>
        <v>0</v>
      </c>
      <c r="M48" s="48">
        <v>0</v>
      </c>
      <c r="N48" s="48">
        <v>0</v>
      </c>
      <c r="O48" s="49" t="s">
        <v>242</v>
      </c>
      <c r="P48" s="49" t="s">
        <v>243</v>
      </c>
      <c r="Q48" s="49" t="s">
        <v>244</v>
      </c>
      <c r="R48" s="49" t="s">
        <v>245</v>
      </c>
      <c r="S48" s="49" t="s">
        <v>246</v>
      </c>
      <c r="T48" s="49"/>
    </row>
    <row r="49" spans="1:20" x14ac:dyDescent="0.3">
      <c r="A49" s="44"/>
      <c r="B49" s="44"/>
      <c r="C49" s="45"/>
      <c r="D49" s="46">
        <v>0</v>
      </c>
      <c r="E49" s="46">
        <v>0</v>
      </c>
      <c r="F49" s="46">
        <f t="shared" si="0"/>
        <v>0</v>
      </c>
      <c r="G49" s="46">
        <v>0</v>
      </c>
      <c r="H49" s="46"/>
      <c r="I49" s="46">
        <v>0</v>
      </c>
      <c r="J49" s="46">
        <v>0</v>
      </c>
      <c r="K49" s="46">
        <v>0</v>
      </c>
      <c r="L49" s="47">
        <f t="shared" si="1"/>
        <v>0</v>
      </c>
      <c r="M49" s="48">
        <v>0</v>
      </c>
      <c r="N49" s="48">
        <v>0</v>
      </c>
      <c r="O49" s="49" t="s">
        <v>247</v>
      </c>
      <c r="P49" s="49" t="s">
        <v>248</v>
      </c>
      <c r="Q49" s="49" t="s">
        <v>249</v>
      </c>
      <c r="R49" s="49" t="s">
        <v>250</v>
      </c>
      <c r="S49" s="49" t="s">
        <v>251</v>
      </c>
      <c r="T49" s="49"/>
    </row>
    <row r="50" spans="1:20" x14ac:dyDescent="0.3">
      <c r="A50" s="44"/>
      <c r="B50" s="44"/>
      <c r="C50" s="45"/>
      <c r="D50" s="46">
        <v>0</v>
      </c>
      <c r="E50" s="46">
        <v>0</v>
      </c>
      <c r="F50" s="46">
        <f t="shared" si="0"/>
        <v>0</v>
      </c>
      <c r="G50" s="46">
        <v>0</v>
      </c>
      <c r="H50" s="46"/>
      <c r="I50" s="46">
        <v>0</v>
      </c>
      <c r="J50" s="46">
        <v>0</v>
      </c>
      <c r="K50" s="46">
        <v>0</v>
      </c>
      <c r="L50" s="47">
        <f t="shared" si="1"/>
        <v>0</v>
      </c>
      <c r="M50" s="48">
        <v>0</v>
      </c>
      <c r="N50" s="48">
        <v>0</v>
      </c>
      <c r="O50" s="49" t="s">
        <v>252</v>
      </c>
      <c r="P50" s="49" t="s">
        <v>253</v>
      </c>
      <c r="Q50" s="49" t="s">
        <v>254</v>
      </c>
      <c r="R50" s="49" t="s">
        <v>255</v>
      </c>
      <c r="S50" s="49" t="s">
        <v>256</v>
      </c>
      <c r="T50" s="49"/>
    </row>
    <row r="51" spans="1:20" x14ac:dyDescent="0.3">
      <c r="A51" s="44"/>
      <c r="B51" s="44"/>
      <c r="C51" s="45"/>
      <c r="D51" s="46">
        <v>0</v>
      </c>
      <c r="E51" s="46">
        <v>0</v>
      </c>
      <c r="F51" s="46">
        <f t="shared" si="0"/>
        <v>0</v>
      </c>
      <c r="G51" s="46">
        <v>0</v>
      </c>
      <c r="H51" s="46"/>
      <c r="I51" s="46">
        <v>0</v>
      </c>
      <c r="J51" s="46">
        <v>0</v>
      </c>
      <c r="K51" s="46">
        <v>0</v>
      </c>
      <c r="L51" s="47">
        <f t="shared" si="1"/>
        <v>0</v>
      </c>
      <c r="M51" s="48">
        <v>0</v>
      </c>
      <c r="N51" s="48">
        <v>0</v>
      </c>
      <c r="O51" s="49" t="s">
        <v>257</v>
      </c>
      <c r="P51" s="49" t="s">
        <v>258</v>
      </c>
      <c r="Q51" s="49" t="s">
        <v>259</v>
      </c>
      <c r="R51" s="49" t="s">
        <v>260</v>
      </c>
      <c r="S51" s="49" t="s">
        <v>261</v>
      </c>
      <c r="T51" s="49"/>
    </row>
    <row r="52" spans="1:20" x14ac:dyDescent="0.3">
      <c r="A52" s="44"/>
      <c r="B52" s="44"/>
      <c r="C52" s="45"/>
      <c r="D52" s="46">
        <v>0</v>
      </c>
      <c r="E52" s="46">
        <v>0</v>
      </c>
      <c r="F52" s="46">
        <f t="shared" si="0"/>
        <v>0</v>
      </c>
      <c r="G52" s="46">
        <v>0</v>
      </c>
      <c r="H52" s="46"/>
      <c r="I52" s="46">
        <v>0</v>
      </c>
      <c r="J52" s="46">
        <v>0</v>
      </c>
      <c r="K52" s="46">
        <v>0</v>
      </c>
      <c r="L52" s="47">
        <f t="shared" si="1"/>
        <v>0</v>
      </c>
      <c r="M52" s="48">
        <v>0</v>
      </c>
      <c r="N52" s="48">
        <v>0</v>
      </c>
      <c r="O52" s="49" t="s">
        <v>262</v>
      </c>
      <c r="P52" s="49" t="s">
        <v>263</v>
      </c>
      <c r="Q52" s="49" t="s">
        <v>264</v>
      </c>
      <c r="R52" s="49" t="s">
        <v>265</v>
      </c>
      <c r="S52" s="49" t="s">
        <v>266</v>
      </c>
      <c r="T52" s="49"/>
    </row>
    <row r="53" spans="1:20" x14ac:dyDescent="0.3">
      <c r="A53" s="44"/>
      <c r="B53" s="44"/>
      <c r="C53" s="45"/>
      <c r="D53" s="46">
        <v>0</v>
      </c>
      <c r="E53" s="46">
        <v>0</v>
      </c>
      <c r="F53" s="46">
        <f t="shared" si="0"/>
        <v>0</v>
      </c>
      <c r="G53" s="46">
        <v>0</v>
      </c>
      <c r="H53" s="46"/>
      <c r="I53" s="46">
        <v>0</v>
      </c>
      <c r="J53" s="46">
        <v>0</v>
      </c>
      <c r="K53" s="46">
        <v>0</v>
      </c>
      <c r="L53" s="47">
        <f t="shared" si="1"/>
        <v>0</v>
      </c>
      <c r="M53" s="48">
        <v>0</v>
      </c>
      <c r="N53" s="48">
        <v>0</v>
      </c>
      <c r="O53" s="49" t="s">
        <v>267</v>
      </c>
      <c r="P53" s="49" t="s">
        <v>268</v>
      </c>
      <c r="Q53" s="49" t="s">
        <v>269</v>
      </c>
      <c r="R53" s="49" t="s">
        <v>270</v>
      </c>
      <c r="S53" s="49" t="s">
        <v>271</v>
      </c>
      <c r="T53" s="49"/>
    </row>
    <row r="54" spans="1:20" x14ac:dyDescent="0.3">
      <c r="A54" s="44"/>
      <c r="B54" s="44"/>
      <c r="C54" s="45"/>
      <c r="D54" s="46">
        <v>0</v>
      </c>
      <c r="E54" s="46">
        <v>0</v>
      </c>
      <c r="F54" s="46">
        <f t="shared" si="0"/>
        <v>0</v>
      </c>
      <c r="G54" s="46">
        <v>0</v>
      </c>
      <c r="H54" s="46"/>
      <c r="I54" s="46">
        <v>0</v>
      </c>
      <c r="J54" s="46">
        <v>0</v>
      </c>
      <c r="K54" s="46">
        <v>0</v>
      </c>
      <c r="L54" s="47">
        <f t="shared" si="1"/>
        <v>0</v>
      </c>
      <c r="M54" s="48">
        <v>0</v>
      </c>
      <c r="N54" s="48">
        <v>0</v>
      </c>
      <c r="O54" s="49" t="s">
        <v>272</v>
      </c>
      <c r="P54" s="49" t="s">
        <v>273</v>
      </c>
      <c r="Q54" s="49" t="s">
        <v>274</v>
      </c>
      <c r="R54" s="49" t="s">
        <v>275</v>
      </c>
      <c r="S54" s="49" t="s">
        <v>276</v>
      </c>
      <c r="T54" s="49"/>
    </row>
    <row r="55" spans="1:20" x14ac:dyDescent="0.3">
      <c r="A55" s="44"/>
      <c r="B55" s="44"/>
      <c r="C55" s="45"/>
      <c r="D55" s="46">
        <v>0</v>
      </c>
      <c r="E55" s="46">
        <v>0</v>
      </c>
      <c r="F55" s="46">
        <f t="shared" si="0"/>
        <v>0</v>
      </c>
      <c r="G55" s="46">
        <v>0</v>
      </c>
      <c r="H55" s="46"/>
      <c r="I55" s="46">
        <v>0</v>
      </c>
      <c r="J55" s="46">
        <v>0</v>
      </c>
      <c r="K55" s="46">
        <v>0</v>
      </c>
      <c r="L55" s="47">
        <f t="shared" si="1"/>
        <v>0</v>
      </c>
      <c r="M55" s="48">
        <v>0</v>
      </c>
      <c r="N55" s="48">
        <v>0</v>
      </c>
      <c r="O55" s="49" t="s">
        <v>277</v>
      </c>
      <c r="P55" s="49" t="s">
        <v>278</v>
      </c>
      <c r="Q55" s="49" t="s">
        <v>279</v>
      </c>
      <c r="R55" s="49" t="s">
        <v>280</v>
      </c>
      <c r="S55" s="49" t="s">
        <v>281</v>
      </c>
      <c r="T55" s="49"/>
    </row>
    <row r="56" spans="1:20" x14ac:dyDescent="0.3">
      <c r="A56" s="44"/>
      <c r="B56" s="44"/>
      <c r="C56" s="45"/>
      <c r="D56" s="46">
        <v>0</v>
      </c>
      <c r="E56" s="46">
        <v>0</v>
      </c>
      <c r="F56" s="46">
        <f t="shared" si="0"/>
        <v>0</v>
      </c>
      <c r="G56" s="46">
        <v>0</v>
      </c>
      <c r="H56" s="46"/>
      <c r="I56" s="46">
        <v>0</v>
      </c>
      <c r="J56" s="46">
        <v>0</v>
      </c>
      <c r="K56" s="46">
        <v>0</v>
      </c>
      <c r="L56" s="47">
        <f t="shared" si="1"/>
        <v>0</v>
      </c>
      <c r="M56" s="48">
        <v>0</v>
      </c>
      <c r="N56" s="48">
        <v>0</v>
      </c>
      <c r="O56" s="49" t="s">
        <v>282</v>
      </c>
      <c r="P56" s="49" t="s">
        <v>283</v>
      </c>
      <c r="Q56" s="49" t="s">
        <v>284</v>
      </c>
      <c r="R56" s="49" t="s">
        <v>285</v>
      </c>
      <c r="S56" s="49" t="s">
        <v>286</v>
      </c>
      <c r="T56" s="49"/>
    </row>
    <row r="57" spans="1:20" x14ac:dyDescent="0.3">
      <c r="A57" s="44"/>
      <c r="B57" s="44"/>
      <c r="C57" s="45"/>
      <c r="D57" s="46">
        <v>0</v>
      </c>
      <c r="E57" s="46">
        <v>0</v>
      </c>
      <c r="F57" s="46">
        <f t="shared" si="0"/>
        <v>0</v>
      </c>
      <c r="G57" s="46">
        <v>0</v>
      </c>
      <c r="H57" s="46"/>
      <c r="I57" s="46">
        <v>0</v>
      </c>
      <c r="J57" s="46">
        <v>0</v>
      </c>
      <c r="K57" s="46">
        <v>0</v>
      </c>
      <c r="L57" s="47">
        <f t="shared" si="1"/>
        <v>0</v>
      </c>
      <c r="M57" s="48">
        <v>0</v>
      </c>
      <c r="N57" s="48">
        <v>0</v>
      </c>
      <c r="O57" s="49" t="s">
        <v>287</v>
      </c>
      <c r="P57" s="49" t="s">
        <v>288</v>
      </c>
      <c r="Q57" s="49" t="s">
        <v>289</v>
      </c>
      <c r="R57" s="49" t="s">
        <v>290</v>
      </c>
      <c r="S57" s="49" t="s">
        <v>291</v>
      </c>
      <c r="T57" s="49"/>
    </row>
    <row r="58" spans="1:20" x14ac:dyDescent="0.3">
      <c r="A58" s="44"/>
      <c r="B58" s="44"/>
      <c r="C58" s="45"/>
      <c r="D58" s="46">
        <v>0</v>
      </c>
      <c r="E58" s="46">
        <v>0</v>
      </c>
      <c r="F58" s="46">
        <f t="shared" si="0"/>
        <v>0</v>
      </c>
      <c r="G58" s="46">
        <v>0</v>
      </c>
      <c r="H58" s="46"/>
      <c r="I58" s="46">
        <v>0</v>
      </c>
      <c r="J58" s="46">
        <v>0</v>
      </c>
      <c r="K58" s="46">
        <v>0</v>
      </c>
      <c r="L58" s="47">
        <f t="shared" si="1"/>
        <v>0</v>
      </c>
      <c r="M58" s="48">
        <v>0</v>
      </c>
      <c r="N58" s="48">
        <v>0</v>
      </c>
      <c r="O58" s="49" t="s">
        <v>292</v>
      </c>
      <c r="P58" s="49" t="s">
        <v>293</v>
      </c>
      <c r="Q58" s="49" t="s">
        <v>294</v>
      </c>
      <c r="R58" s="49" t="s">
        <v>295</v>
      </c>
      <c r="S58" s="49" t="s">
        <v>296</v>
      </c>
      <c r="T58" s="49"/>
    </row>
    <row r="59" spans="1:20" x14ac:dyDescent="0.3">
      <c r="A59" s="44"/>
      <c r="B59" s="44"/>
      <c r="C59" s="45"/>
      <c r="D59" s="46">
        <v>0</v>
      </c>
      <c r="E59" s="46">
        <v>0</v>
      </c>
      <c r="F59" s="46">
        <f t="shared" si="0"/>
        <v>0</v>
      </c>
      <c r="G59" s="46">
        <v>0</v>
      </c>
      <c r="H59" s="46"/>
      <c r="I59" s="46">
        <v>0</v>
      </c>
      <c r="J59" s="46">
        <v>0</v>
      </c>
      <c r="K59" s="46">
        <v>0</v>
      </c>
      <c r="L59" s="47">
        <f t="shared" si="1"/>
        <v>0</v>
      </c>
      <c r="M59" s="48">
        <v>0</v>
      </c>
      <c r="N59" s="48">
        <v>0</v>
      </c>
      <c r="O59" s="49" t="s">
        <v>297</v>
      </c>
      <c r="P59" s="49" t="s">
        <v>298</v>
      </c>
      <c r="Q59" s="49" t="s">
        <v>299</v>
      </c>
      <c r="R59" s="49" t="s">
        <v>300</v>
      </c>
      <c r="S59" s="49" t="s">
        <v>301</v>
      </c>
      <c r="T59" s="49"/>
    </row>
    <row r="60" spans="1:20" x14ac:dyDescent="0.3">
      <c r="A60" s="44"/>
      <c r="B60" s="44"/>
      <c r="C60" s="45"/>
      <c r="D60" s="46">
        <v>0</v>
      </c>
      <c r="E60" s="46">
        <v>0</v>
      </c>
      <c r="F60" s="46">
        <f t="shared" si="0"/>
        <v>0</v>
      </c>
      <c r="G60" s="46">
        <v>0</v>
      </c>
      <c r="H60" s="46"/>
      <c r="I60" s="46">
        <v>0</v>
      </c>
      <c r="J60" s="46">
        <v>0</v>
      </c>
      <c r="K60" s="46">
        <v>0</v>
      </c>
      <c r="L60" s="47">
        <f t="shared" si="1"/>
        <v>0</v>
      </c>
      <c r="M60" s="48">
        <v>0</v>
      </c>
      <c r="N60" s="48">
        <v>0</v>
      </c>
      <c r="O60" s="49" t="s">
        <v>302</v>
      </c>
      <c r="P60" s="49" t="s">
        <v>303</v>
      </c>
      <c r="Q60" s="49" t="s">
        <v>304</v>
      </c>
      <c r="R60" s="49" t="s">
        <v>305</v>
      </c>
      <c r="S60" s="49" t="s">
        <v>306</v>
      </c>
      <c r="T60" s="49"/>
    </row>
    <row r="61" spans="1:20" x14ac:dyDescent="0.3">
      <c r="A61" s="44"/>
      <c r="B61" s="44"/>
      <c r="C61" s="45"/>
      <c r="D61" s="46">
        <v>0</v>
      </c>
      <c r="E61" s="46">
        <v>0</v>
      </c>
      <c r="F61" s="46">
        <f t="shared" si="0"/>
        <v>0</v>
      </c>
      <c r="G61" s="46">
        <v>0</v>
      </c>
      <c r="H61" s="46"/>
      <c r="I61" s="46">
        <v>0</v>
      </c>
      <c r="J61" s="46">
        <v>0</v>
      </c>
      <c r="K61" s="46">
        <v>0</v>
      </c>
      <c r="L61" s="47">
        <f t="shared" si="1"/>
        <v>0</v>
      </c>
      <c r="M61" s="48">
        <v>0</v>
      </c>
      <c r="N61" s="48">
        <v>0</v>
      </c>
      <c r="O61" s="49" t="s">
        <v>307</v>
      </c>
      <c r="P61" s="49" t="s">
        <v>308</v>
      </c>
      <c r="Q61" s="49" t="s">
        <v>309</v>
      </c>
      <c r="R61" s="49" t="s">
        <v>310</v>
      </c>
      <c r="S61" s="49" t="s">
        <v>311</v>
      </c>
      <c r="T61" s="49"/>
    </row>
    <row r="62" spans="1:20" x14ac:dyDescent="0.3">
      <c r="A62" s="44"/>
      <c r="B62" s="44"/>
      <c r="C62" s="45"/>
      <c r="D62" s="46">
        <v>0</v>
      </c>
      <c r="E62" s="46">
        <v>0</v>
      </c>
      <c r="F62" s="46">
        <f t="shared" si="0"/>
        <v>0</v>
      </c>
      <c r="G62" s="46">
        <v>0</v>
      </c>
      <c r="H62" s="46"/>
      <c r="I62" s="46">
        <v>0</v>
      </c>
      <c r="J62" s="46">
        <v>0</v>
      </c>
      <c r="K62" s="46">
        <v>0</v>
      </c>
      <c r="L62" s="47">
        <f t="shared" si="1"/>
        <v>0</v>
      </c>
      <c r="M62" s="48">
        <v>0</v>
      </c>
      <c r="N62" s="48">
        <v>0</v>
      </c>
      <c r="O62" s="49" t="s">
        <v>312</v>
      </c>
      <c r="P62" s="49" t="s">
        <v>313</v>
      </c>
      <c r="Q62" s="49" t="s">
        <v>314</v>
      </c>
      <c r="R62" s="49" t="s">
        <v>315</v>
      </c>
      <c r="S62" s="49" t="s">
        <v>316</v>
      </c>
      <c r="T62" s="49"/>
    </row>
    <row r="63" spans="1:20" x14ac:dyDescent="0.3">
      <c r="A63" s="44"/>
      <c r="B63" s="44"/>
      <c r="C63" s="45"/>
      <c r="D63" s="46">
        <v>0</v>
      </c>
      <c r="E63" s="46">
        <v>0</v>
      </c>
      <c r="F63" s="46">
        <f t="shared" si="0"/>
        <v>0</v>
      </c>
      <c r="G63" s="46">
        <v>0</v>
      </c>
      <c r="H63" s="46"/>
      <c r="I63" s="46">
        <v>0</v>
      </c>
      <c r="J63" s="46">
        <v>0</v>
      </c>
      <c r="K63" s="46">
        <v>0</v>
      </c>
      <c r="L63" s="47">
        <f t="shared" si="1"/>
        <v>0</v>
      </c>
      <c r="M63" s="48">
        <v>0</v>
      </c>
      <c r="N63" s="48">
        <v>0</v>
      </c>
      <c r="O63" s="49" t="s">
        <v>317</v>
      </c>
      <c r="P63" s="49" t="s">
        <v>318</v>
      </c>
      <c r="Q63" s="49" t="s">
        <v>319</v>
      </c>
      <c r="R63" s="49" t="s">
        <v>320</v>
      </c>
      <c r="S63" s="49" t="s">
        <v>321</v>
      </c>
      <c r="T63" s="49"/>
    </row>
    <row r="64" spans="1:20" x14ac:dyDescent="0.3">
      <c r="A64" s="44"/>
      <c r="B64" s="44"/>
      <c r="C64" s="45"/>
      <c r="D64" s="46">
        <v>0</v>
      </c>
      <c r="E64" s="46">
        <v>0</v>
      </c>
      <c r="F64" s="46">
        <f t="shared" si="0"/>
        <v>0</v>
      </c>
      <c r="G64" s="46">
        <v>0</v>
      </c>
      <c r="H64" s="46"/>
      <c r="I64" s="46">
        <v>0</v>
      </c>
      <c r="J64" s="46">
        <v>0</v>
      </c>
      <c r="K64" s="46">
        <v>0</v>
      </c>
      <c r="L64" s="47">
        <f t="shared" si="1"/>
        <v>0</v>
      </c>
      <c r="M64" s="48">
        <v>0</v>
      </c>
      <c r="N64" s="48">
        <v>0</v>
      </c>
      <c r="O64" s="49" t="s">
        <v>322</v>
      </c>
      <c r="P64" s="49" t="s">
        <v>323</v>
      </c>
      <c r="Q64" s="49" t="s">
        <v>324</v>
      </c>
      <c r="R64" s="49" t="s">
        <v>325</v>
      </c>
      <c r="S64" s="49" t="s">
        <v>326</v>
      </c>
      <c r="T64" s="49"/>
    </row>
    <row r="65" spans="1:20" x14ac:dyDescent="0.3">
      <c r="A65" s="44"/>
      <c r="B65" s="44"/>
      <c r="C65" s="45"/>
      <c r="D65" s="46">
        <v>0</v>
      </c>
      <c r="E65" s="46">
        <v>0</v>
      </c>
      <c r="F65" s="46">
        <f t="shared" si="0"/>
        <v>0</v>
      </c>
      <c r="G65" s="46">
        <v>0</v>
      </c>
      <c r="H65" s="46"/>
      <c r="I65" s="46">
        <v>0</v>
      </c>
      <c r="J65" s="46">
        <v>0</v>
      </c>
      <c r="K65" s="46">
        <v>0</v>
      </c>
      <c r="L65" s="47">
        <f t="shared" si="1"/>
        <v>0</v>
      </c>
      <c r="M65" s="48">
        <v>0</v>
      </c>
      <c r="N65" s="48">
        <v>0</v>
      </c>
      <c r="O65" s="49" t="s">
        <v>327</v>
      </c>
      <c r="P65" s="49" t="s">
        <v>328</v>
      </c>
      <c r="Q65" s="49" t="s">
        <v>329</v>
      </c>
      <c r="R65" s="49" t="s">
        <v>330</v>
      </c>
      <c r="S65" s="49" t="s">
        <v>331</v>
      </c>
      <c r="T65" s="49"/>
    </row>
    <row r="66" spans="1:20" x14ac:dyDescent="0.3">
      <c r="A66" s="44"/>
      <c r="B66" s="44"/>
      <c r="C66" s="45"/>
      <c r="D66" s="46">
        <v>0</v>
      </c>
      <c r="E66" s="46">
        <v>0</v>
      </c>
      <c r="F66" s="46">
        <f t="shared" si="0"/>
        <v>0</v>
      </c>
      <c r="G66" s="46">
        <v>0</v>
      </c>
      <c r="H66" s="46"/>
      <c r="I66" s="46">
        <v>0</v>
      </c>
      <c r="J66" s="46">
        <v>0</v>
      </c>
      <c r="K66" s="46">
        <v>0</v>
      </c>
      <c r="L66" s="47">
        <f t="shared" si="1"/>
        <v>0</v>
      </c>
      <c r="M66" s="48">
        <v>0</v>
      </c>
      <c r="N66" s="48">
        <v>0</v>
      </c>
      <c r="O66" s="49" t="s">
        <v>332</v>
      </c>
      <c r="P66" s="49" t="s">
        <v>333</v>
      </c>
      <c r="Q66" s="49" t="s">
        <v>334</v>
      </c>
      <c r="R66" s="49" t="s">
        <v>335</v>
      </c>
      <c r="S66" s="49" t="s">
        <v>336</v>
      </c>
      <c r="T66" s="49"/>
    </row>
    <row r="67" spans="1:20" x14ac:dyDescent="0.3">
      <c r="A67" s="44"/>
      <c r="B67" s="44"/>
      <c r="C67" s="45"/>
      <c r="D67" s="46">
        <v>0</v>
      </c>
      <c r="E67" s="46">
        <v>0</v>
      </c>
      <c r="F67" s="46">
        <f t="shared" si="0"/>
        <v>0</v>
      </c>
      <c r="G67" s="46">
        <v>0</v>
      </c>
      <c r="H67" s="46"/>
      <c r="I67" s="46">
        <v>0</v>
      </c>
      <c r="J67" s="46">
        <v>0</v>
      </c>
      <c r="K67" s="46">
        <v>0</v>
      </c>
      <c r="L67" s="47">
        <f t="shared" si="1"/>
        <v>0</v>
      </c>
      <c r="M67" s="48">
        <v>0</v>
      </c>
      <c r="N67" s="48">
        <v>0</v>
      </c>
      <c r="O67" s="49" t="s">
        <v>337</v>
      </c>
      <c r="P67" s="49" t="s">
        <v>338</v>
      </c>
      <c r="Q67" s="49" t="s">
        <v>339</v>
      </c>
      <c r="R67" s="49" t="s">
        <v>340</v>
      </c>
      <c r="S67" s="49" t="s">
        <v>341</v>
      </c>
      <c r="T67" s="49"/>
    </row>
    <row r="68" spans="1:20" x14ac:dyDescent="0.3">
      <c r="A68" s="44"/>
      <c r="B68" s="44"/>
      <c r="C68" s="45"/>
      <c r="D68" s="46">
        <v>0</v>
      </c>
      <c r="E68" s="46">
        <v>0</v>
      </c>
      <c r="F68" s="46">
        <f t="shared" si="0"/>
        <v>0</v>
      </c>
      <c r="G68" s="46">
        <v>0</v>
      </c>
      <c r="H68" s="46"/>
      <c r="I68" s="46">
        <v>0</v>
      </c>
      <c r="J68" s="46">
        <v>0</v>
      </c>
      <c r="K68" s="46">
        <v>0</v>
      </c>
      <c r="L68" s="47">
        <f t="shared" si="1"/>
        <v>0</v>
      </c>
      <c r="M68" s="48">
        <v>0</v>
      </c>
      <c r="N68" s="48">
        <v>0</v>
      </c>
      <c r="O68" s="49" t="s">
        <v>342</v>
      </c>
      <c r="P68" s="49" t="s">
        <v>343</v>
      </c>
      <c r="Q68" s="49" t="s">
        <v>344</v>
      </c>
      <c r="R68" s="49" t="s">
        <v>345</v>
      </c>
      <c r="S68" s="49" t="s">
        <v>346</v>
      </c>
      <c r="T68" s="49"/>
    </row>
    <row r="69" spans="1:20" x14ac:dyDescent="0.3">
      <c r="A69" s="44"/>
      <c r="B69" s="44"/>
      <c r="C69" s="45"/>
      <c r="D69" s="46">
        <v>0</v>
      </c>
      <c r="E69" s="46">
        <v>0</v>
      </c>
      <c r="F69" s="46">
        <f t="shared" si="0"/>
        <v>0</v>
      </c>
      <c r="G69" s="46">
        <v>0</v>
      </c>
      <c r="H69" s="46"/>
      <c r="I69" s="46">
        <v>0</v>
      </c>
      <c r="J69" s="46">
        <v>0</v>
      </c>
      <c r="K69" s="46">
        <v>0</v>
      </c>
      <c r="L69" s="47">
        <f t="shared" si="1"/>
        <v>0</v>
      </c>
      <c r="M69" s="48">
        <v>0</v>
      </c>
      <c r="N69" s="48">
        <v>0</v>
      </c>
      <c r="O69" s="49" t="s">
        <v>347</v>
      </c>
      <c r="P69" s="49" t="s">
        <v>348</v>
      </c>
      <c r="Q69" s="49" t="s">
        <v>349</v>
      </c>
      <c r="R69" s="49" t="s">
        <v>350</v>
      </c>
      <c r="S69" s="49" t="s">
        <v>351</v>
      </c>
      <c r="T69" s="49"/>
    </row>
    <row r="70" spans="1:20" x14ac:dyDescent="0.3">
      <c r="A70" s="44"/>
      <c r="B70" s="44"/>
      <c r="C70" s="45"/>
      <c r="D70" s="46">
        <v>0</v>
      </c>
      <c r="E70" s="46">
        <v>0</v>
      </c>
      <c r="F70" s="46">
        <f t="shared" si="0"/>
        <v>0</v>
      </c>
      <c r="G70" s="46">
        <v>0</v>
      </c>
      <c r="H70" s="46"/>
      <c r="I70" s="46">
        <v>0</v>
      </c>
      <c r="J70" s="46">
        <v>0</v>
      </c>
      <c r="K70" s="46">
        <v>0</v>
      </c>
      <c r="L70" s="47">
        <f t="shared" si="1"/>
        <v>0</v>
      </c>
      <c r="M70" s="48">
        <v>0</v>
      </c>
      <c r="N70" s="48">
        <v>0</v>
      </c>
      <c r="O70" s="49" t="s">
        <v>352</v>
      </c>
      <c r="P70" s="49" t="s">
        <v>353</v>
      </c>
      <c r="Q70" s="49" t="s">
        <v>354</v>
      </c>
      <c r="R70" s="49" t="s">
        <v>355</v>
      </c>
      <c r="S70" s="49" t="s">
        <v>356</v>
      </c>
      <c r="T70" s="49"/>
    </row>
    <row r="71" spans="1:20" x14ac:dyDescent="0.3">
      <c r="A71" s="44"/>
      <c r="B71" s="44"/>
      <c r="C71" s="45"/>
      <c r="D71" s="46">
        <v>0</v>
      </c>
      <c r="E71" s="46">
        <v>0</v>
      </c>
      <c r="F71" s="46">
        <f t="shared" si="0"/>
        <v>0</v>
      </c>
      <c r="G71" s="46">
        <v>0</v>
      </c>
      <c r="H71" s="46"/>
      <c r="I71" s="46">
        <v>0</v>
      </c>
      <c r="J71" s="46">
        <v>0</v>
      </c>
      <c r="K71" s="46">
        <v>0</v>
      </c>
      <c r="L71" s="47">
        <f t="shared" si="1"/>
        <v>0</v>
      </c>
      <c r="M71" s="48">
        <v>0</v>
      </c>
      <c r="N71" s="48">
        <v>0</v>
      </c>
      <c r="O71" s="49" t="s">
        <v>357</v>
      </c>
      <c r="P71" s="49" t="s">
        <v>358</v>
      </c>
      <c r="Q71" s="49" t="s">
        <v>359</v>
      </c>
      <c r="R71" s="49" t="s">
        <v>360</v>
      </c>
      <c r="S71" s="49" t="s">
        <v>361</v>
      </c>
      <c r="T71" s="49"/>
    </row>
    <row r="72" spans="1:20" x14ac:dyDescent="0.3">
      <c r="A72" s="44"/>
      <c r="B72" s="44"/>
      <c r="C72" s="45"/>
      <c r="D72" s="46">
        <v>0</v>
      </c>
      <c r="E72" s="46">
        <v>0</v>
      </c>
      <c r="F72" s="46">
        <f t="shared" si="0"/>
        <v>0</v>
      </c>
      <c r="G72" s="46">
        <v>0</v>
      </c>
      <c r="H72" s="46"/>
      <c r="I72" s="46">
        <v>0</v>
      </c>
      <c r="J72" s="46">
        <v>0</v>
      </c>
      <c r="K72" s="46">
        <v>0</v>
      </c>
      <c r="L72" s="47">
        <f t="shared" si="1"/>
        <v>0</v>
      </c>
      <c r="M72" s="48">
        <v>0</v>
      </c>
      <c r="N72" s="48">
        <v>0</v>
      </c>
      <c r="O72" s="49" t="s">
        <v>362</v>
      </c>
      <c r="P72" s="49" t="s">
        <v>363</v>
      </c>
      <c r="Q72" s="49" t="s">
        <v>364</v>
      </c>
      <c r="R72" s="49" t="s">
        <v>365</v>
      </c>
      <c r="S72" s="49" t="s">
        <v>366</v>
      </c>
      <c r="T72" s="49"/>
    </row>
    <row r="73" spans="1:20" x14ac:dyDescent="0.3">
      <c r="A73" s="44"/>
      <c r="B73" s="44"/>
      <c r="C73" s="45"/>
      <c r="D73" s="46">
        <v>0</v>
      </c>
      <c r="E73" s="46">
        <v>0</v>
      </c>
      <c r="F73" s="46">
        <f t="shared" si="0"/>
        <v>0</v>
      </c>
      <c r="G73" s="46">
        <v>0</v>
      </c>
      <c r="H73" s="46"/>
      <c r="I73" s="46">
        <v>0</v>
      </c>
      <c r="J73" s="46">
        <v>0</v>
      </c>
      <c r="K73" s="46">
        <v>0</v>
      </c>
      <c r="L73" s="47">
        <f t="shared" si="1"/>
        <v>0</v>
      </c>
      <c r="M73" s="48">
        <v>0</v>
      </c>
      <c r="N73" s="48">
        <v>0</v>
      </c>
      <c r="O73" s="49" t="s">
        <v>367</v>
      </c>
      <c r="P73" s="49" t="s">
        <v>368</v>
      </c>
      <c r="Q73" s="49" t="s">
        <v>369</v>
      </c>
      <c r="R73" s="49" t="s">
        <v>370</v>
      </c>
      <c r="S73" s="49" t="s">
        <v>371</v>
      </c>
      <c r="T73" s="49"/>
    </row>
    <row r="74" spans="1:20" x14ac:dyDescent="0.3">
      <c r="A74" s="44"/>
      <c r="B74" s="44"/>
      <c r="C74" s="45"/>
      <c r="D74" s="46">
        <v>0</v>
      </c>
      <c r="E74" s="46">
        <v>0</v>
      </c>
      <c r="F74" s="46">
        <f t="shared" si="0"/>
        <v>0</v>
      </c>
      <c r="G74" s="46">
        <v>0</v>
      </c>
      <c r="H74" s="46"/>
      <c r="I74" s="46">
        <v>0</v>
      </c>
      <c r="J74" s="46">
        <v>0</v>
      </c>
      <c r="K74" s="46">
        <v>0</v>
      </c>
      <c r="L74" s="47">
        <f t="shared" si="1"/>
        <v>0</v>
      </c>
      <c r="M74" s="48">
        <v>0</v>
      </c>
      <c r="N74" s="48">
        <v>0</v>
      </c>
      <c r="O74" s="49" t="s">
        <v>372</v>
      </c>
      <c r="P74" s="49" t="s">
        <v>373</v>
      </c>
      <c r="Q74" s="49" t="s">
        <v>374</v>
      </c>
      <c r="R74" s="49" t="s">
        <v>375</v>
      </c>
      <c r="S74" s="49" t="s">
        <v>376</v>
      </c>
      <c r="T74" s="49"/>
    </row>
    <row r="75" spans="1:20" x14ac:dyDescent="0.3">
      <c r="A75" s="44"/>
      <c r="B75" s="44"/>
      <c r="C75" s="45"/>
      <c r="D75" s="46">
        <v>0</v>
      </c>
      <c r="E75" s="46">
        <v>0</v>
      </c>
      <c r="F75" s="46">
        <f t="shared" si="0"/>
        <v>0</v>
      </c>
      <c r="G75" s="46">
        <v>0</v>
      </c>
      <c r="H75" s="46"/>
      <c r="I75" s="46">
        <v>0</v>
      </c>
      <c r="J75" s="46">
        <v>0</v>
      </c>
      <c r="K75" s="46">
        <v>0</v>
      </c>
      <c r="L75" s="47">
        <f t="shared" si="1"/>
        <v>0</v>
      </c>
      <c r="M75" s="48">
        <v>0</v>
      </c>
      <c r="N75" s="48">
        <v>0</v>
      </c>
      <c r="O75" s="49" t="s">
        <v>377</v>
      </c>
      <c r="P75" s="49" t="s">
        <v>378</v>
      </c>
      <c r="Q75" s="49" t="s">
        <v>379</v>
      </c>
      <c r="R75" s="49" t="s">
        <v>380</v>
      </c>
      <c r="S75" s="49" t="s">
        <v>381</v>
      </c>
      <c r="T75" s="49"/>
    </row>
    <row r="76" spans="1:20" x14ac:dyDescent="0.3">
      <c r="A76" s="44"/>
      <c r="B76" s="44"/>
      <c r="C76" s="45"/>
      <c r="D76" s="46">
        <v>0</v>
      </c>
      <c r="E76" s="46">
        <v>0</v>
      </c>
      <c r="F76" s="46">
        <f t="shared" si="0"/>
        <v>0</v>
      </c>
      <c r="G76" s="46">
        <v>0</v>
      </c>
      <c r="H76" s="46"/>
      <c r="I76" s="46">
        <v>0</v>
      </c>
      <c r="J76" s="46">
        <v>0</v>
      </c>
      <c r="K76" s="46">
        <v>0</v>
      </c>
      <c r="L76" s="47">
        <f t="shared" si="1"/>
        <v>0</v>
      </c>
      <c r="M76" s="48">
        <v>0</v>
      </c>
      <c r="N76" s="48">
        <v>0</v>
      </c>
      <c r="O76" s="49" t="s">
        <v>382</v>
      </c>
      <c r="P76" s="49" t="s">
        <v>383</v>
      </c>
      <c r="Q76" s="49" t="s">
        <v>384</v>
      </c>
      <c r="R76" s="49" t="s">
        <v>385</v>
      </c>
      <c r="S76" s="49" t="s">
        <v>386</v>
      </c>
      <c r="T76" s="49"/>
    </row>
    <row r="77" spans="1:20" x14ac:dyDescent="0.3">
      <c r="A77" s="44"/>
      <c r="B77" s="44"/>
      <c r="C77" s="45"/>
      <c r="D77" s="46">
        <v>0</v>
      </c>
      <c r="E77" s="46">
        <v>0</v>
      </c>
      <c r="F77" s="46">
        <f t="shared" ref="F77:F140" si="2">E77-G77-H77</f>
        <v>0</v>
      </c>
      <c r="G77" s="46">
        <v>0</v>
      </c>
      <c r="H77" s="46"/>
      <c r="I77" s="46">
        <v>0</v>
      </c>
      <c r="J77" s="46">
        <v>0</v>
      </c>
      <c r="K77" s="46">
        <v>0</v>
      </c>
      <c r="L77" s="47">
        <f t="shared" ref="L77:L140" si="3">C77+J77+K77-H77-F77+D77</f>
        <v>0</v>
      </c>
      <c r="M77" s="48">
        <v>0</v>
      </c>
      <c r="N77" s="48">
        <v>0</v>
      </c>
      <c r="O77" s="49" t="s">
        <v>387</v>
      </c>
      <c r="P77" s="49" t="s">
        <v>388</v>
      </c>
      <c r="Q77" s="49" t="s">
        <v>389</v>
      </c>
      <c r="R77" s="49" t="s">
        <v>390</v>
      </c>
      <c r="S77" s="49" t="s">
        <v>391</v>
      </c>
      <c r="T77" s="49"/>
    </row>
    <row r="78" spans="1:20" x14ac:dyDescent="0.3">
      <c r="A78" s="44"/>
      <c r="B78" s="44"/>
      <c r="C78" s="45"/>
      <c r="D78" s="46">
        <v>0</v>
      </c>
      <c r="E78" s="46">
        <v>0</v>
      </c>
      <c r="F78" s="46">
        <f t="shared" si="2"/>
        <v>0</v>
      </c>
      <c r="G78" s="46">
        <v>0</v>
      </c>
      <c r="H78" s="46"/>
      <c r="I78" s="46">
        <v>0</v>
      </c>
      <c r="J78" s="46">
        <v>0</v>
      </c>
      <c r="K78" s="46">
        <v>0</v>
      </c>
      <c r="L78" s="47">
        <f t="shared" si="3"/>
        <v>0</v>
      </c>
      <c r="M78" s="48">
        <v>0</v>
      </c>
      <c r="N78" s="48">
        <v>0</v>
      </c>
      <c r="O78" s="49" t="s">
        <v>392</v>
      </c>
      <c r="P78" s="49" t="s">
        <v>393</v>
      </c>
      <c r="Q78" s="49" t="s">
        <v>394</v>
      </c>
      <c r="R78" s="49" t="s">
        <v>395</v>
      </c>
      <c r="S78" s="49" t="s">
        <v>396</v>
      </c>
      <c r="T78" s="49"/>
    </row>
    <row r="79" spans="1:20" x14ac:dyDescent="0.3">
      <c r="A79" s="44"/>
      <c r="B79" s="44"/>
      <c r="C79" s="45"/>
      <c r="D79" s="46">
        <v>0</v>
      </c>
      <c r="E79" s="46">
        <v>0</v>
      </c>
      <c r="F79" s="46">
        <f t="shared" si="2"/>
        <v>0</v>
      </c>
      <c r="G79" s="46">
        <v>0</v>
      </c>
      <c r="H79" s="46"/>
      <c r="I79" s="46">
        <v>0</v>
      </c>
      <c r="J79" s="46">
        <v>0</v>
      </c>
      <c r="K79" s="46">
        <v>0</v>
      </c>
      <c r="L79" s="47">
        <f t="shared" si="3"/>
        <v>0</v>
      </c>
      <c r="M79" s="48">
        <v>0</v>
      </c>
      <c r="N79" s="48">
        <v>0</v>
      </c>
      <c r="O79" s="49" t="s">
        <v>397</v>
      </c>
      <c r="P79" s="49" t="s">
        <v>398</v>
      </c>
      <c r="Q79" s="49" t="s">
        <v>399</v>
      </c>
      <c r="R79" s="49" t="s">
        <v>400</v>
      </c>
      <c r="S79" s="49" t="s">
        <v>401</v>
      </c>
      <c r="T79" s="49"/>
    </row>
    <row r="80" spans="1:20" x14ac:dyDescent="0.3">
      <c r="A80" s="44"/>
      <c r="B80" s="44"/>
      <c r="C80" s="45"/>
      <c r="D80" s="46">
        <v>0</v>
      </c>
      <c r="E80" s="46">
        <v>0</v>
      </c>
      <c r="F80" s="46">
        <f t="shared" si="2"/>
        <v>0</v>
      </c>
      <c r="G80" s="46">
        <v>0</v>
      </c>
      <c r="H80" s="46"/>
      <c r="I80" s="46">
        <v>0</v>
      </c>
      <c r="J80" s="46">
        <v>0</v>
      </c>
      <c r="K80" s="46">
        <v>0</v>
      </c>
      <c r="L80" s="47">
        <f t="shared" si="3"/>
        <v>0</v>
      </c>
      <c r="M80" s="48">
        <v>0</v>
      </c>
      <c r="N80" s="48">
        <v>0</v>
      </c>
      <c r="O80" s="49" t="s">
        <v>402</v>
      </c>
      <c r="P80" s="49" t="s">
        <v>403</v>
      </c>
      <c r="Q80" s="49" t="s">
        <v>404</v>
      </c>
      <c r="R80" s="49" t="s">
        <v>405</v>
      </c>
      <c r="S80" s="49" t="s">
        <v>406</v>
      </c>
      <c r="T80" s="49"/>
    </row>
    <row r="81" spans="1:20" x14ac:dyDescent="0.3">
      <c r="A81" s="44"/>
      <c r="B81" s="44"/>
      <c r="C81" s="45"/>
      <c r="D81" s="46">
        <v>0</v>
      </c>
      <c r="E81" s="46">
        <v>0</v>
      </c>
      <c r="F81" s="46">
        <f t="shared" si="2"/>
        <v>0</v>
      </c>
      <c r="G81" s="46">
        <v>0</v>
      </c>
      <c r="H81" s="46"/>
      <c r="I81" s="46">
        <v>0</v>
      </c>
      <c r="J81" s="46">
        <v>0</v>
      </c>
      <c r="K81" s="46">
        <v>0</v>
      </c>
      <c r="L81" s="47">
        <f t="shared" si="3"/>
        <v>0</v>
      </c>
      <c r="M81" s="48">
        <v>0</v>
      </c>
      <c r="N81" s="48">
        <v>0</v>
      </c>
      <c r="O81" s="49" t="s">
        <v>407</v>
      </c>
      <c r="P81" s="49" t="s">
        <v>408</v>
      </c>
      <c r="Q81" s="49" t="s">
        <v>409</v>
      </c>
      <c r="R81" s="49" t="s">
        <v>410</v>
      </c>
      <c r="S81" s="49" t="s">
        <v>411</v>
      </c>
      <c r="T81" s="49"/>
    </row>
    <row r="82" spans="1:20" x14ac:dyDescent="0.3">
      <c r="A82" s="44"/>
      <c r="B82" s="44"/>
      <c r="C82" s="45"/>
      <c r="D82" s="46">
        <v>0</v>
      </c>
      <c r="E82" s="46">
        <v>0</v>
      </c>
      <c r="F82" s="46">
        <f t="shared" si="2"/>
        <v>0</v>
      </c>
      <c r="G82" s="46">
        <v>0</v>
      </c>
      <c r="H82" s="46"/>
      <c r="I82" s="46">
        <v>0</v>
      </c>
      <c r="J82" s="46">
        <v>0</v>
      </c>
      <c r="K82" s="46">
        <v>0</v>
      </c>
      <c r="L82" s="47">
        <f t="shared" si="3"/>
        <v>0</v>
      </c>
      <c r="M82" s="48">
        <v>0</v>
      </c>
      <c r="N82" s="48">
        <v>0</v>
      </c>
      <c r="O82" s="49" t="s">
        <v>412</v>
      </c>
      <c r="P82" s="49" t="s">
        <v>413</v>
      </c>
      <c r="Q82" s="49" t="s">
        <v>414</v>
      </c>
      <c r="R82" s="49" t="s">
        <v>415</v>
      </c>
      <c r="S82" s="49" t="s">
        <v>416</v>
      </c>
      <c r="T82" s="49"/>
    </row>
    <row r="83" spans="1:20" x14ac:dyDescent="0.3">
      <c r="A83" s="44"/>
      <c r="B83" s="44"/>
      <c r="C83" s="45"/>
      <c r="D83" s="46">
        <v>0</v>
      </c>
      <c r="E83" s="46">
        <v>0</v>
      </c>
      <c r="F83" s="46">
        <f t="shared" si="2"/>
        <v>0</v>
      </c>
      <c r="G83" s="46">
        <v>0</v>
      </c>
      <c r="H83" s="46"/>
      <c r="I83" s="46">
        <v>0</v>
      </c>
      <c r="J83" s="46">
        <v>0</v>
      </c>
      <c r="K83" s="46">
        <v>0</v>
      </c>
      <c r="L83" s="47">
        <f t="shared" si="3"/>
        <v>0</v>
      </c>
      <c r="M83" s="48">
        <v>0</v>
      </c>
      <c r="N83" s="48">
        <v>0</v>
      </c>
      <c r="O83" s="49" t="s">
        <v>417</v>
      </c>
      <c r="P83" s="49" t="s">
        <v>418</v>
      </c>
      <c r="Q83" s="49" t="s">
        <v>419</v>
      </c>
      <c r="R83" s="49" t="s">
        <v>420</v>
      </c>
      <c r="S83" s="49" t="s">
        <v>421</v>
      </c>
      <c r="T83" s="49"/>
    </row>
    <row r="84" spans="1:20" x14ac:dyDescent="0.3">
      <c r="A84" s="44"/>
      <c r="B84" s="44"/>
      <c r="C84" s="45"/>
      <c r="D84" s="46">
        <v>0</v>
      </c>
      <c r="E84" s="46">
        <v>0</v>
      </c>
      <c r="F84" s="46">
        <f t="shared" si="2"/>
        <v>0</v>
      </c>
      <c r="G84" s="46">
        <v>0</v>
      </c>
      <c r="H84" s="46"/>
      <c r="I84" s="46">
        <v>0</v>
      </c>
      <c r="J84" s="46">
        <v>0</v>
      </c>
      <c r="K84" s="46">
        <v>0</v>
      </c>
      <c r="L84" s="47">
        <f t="shared" si="3"/>
        <v>0</v>
      </c>
      <c r="M84" s="48">
        <v>0</v>
      </c>
      <c r="N84" s="48">
        <v>0</v>
      </c>
      <c r="O84" s="49" t="s">
        <v>422</v>
      </c>
      <c r="P84" s="49" t="s">
        <v>423</v>
      </c>
      <c r="Q84" s="49" t="s">
        <v>424</v>
      </c>
      <c r="R84" s="49" t="s">
        <v>425</v>
      </c>
      <c r="S84" s="49" t="s">
        <v>426</v>
      </c>
      <c r="T84" s="49"/>
    </row>
    <row r="85" spans="1:20" x14ac:dyDescent="0.3">
      <c r="A85" s="44"/>
      <c r="B85" s="44"/>
      <c r="C85" s="45"/>
      <c r="D85" s="46">
        <v>0</v>
      </c>
      <c r="E85" s="46">
        <v>0</v>
      </c>
      <c r="F85" s="46">
        <f t="shared" si="2"/>
        <v>0</v>
      </c>
      <c r="G85" s="46">
        <v>0</v>
      </c>
      <c r="H85" s="46"/>
      <c r="I85" s="46">
        <v>0</v>
      </c>
      <c r="J85" s="46">
        <v>0</v>
      </c>
      <c r="K85" s="46">
        <v>0</v>
      </c>
      <c r="L85" s="47">
        <f t="shared" si="3"/>
        <v>0</v>
      </c>
      <c r="M85" s="48">
        <v>0</v>
      </c>
      <c r="N85" s="48">
        <v>0</v>
      </c>
      <c r="O85" s="49" t="s">
        <v>427</v>
      </c>
      <c r="P85" s="49" t="s">
        <v>428</v>
      </c>
      <c r="Q85" s="49" t="s">
        <v>429</v>
      </c>
      <c r="R85" s="49" t="s">
        <v>430</v>
      </c>
      <c r="S85" s="49" t="s">
        <v>431</v>
      </c>
      <c r="T85" s="49"/>
    </row>
    <row r="86" spans="1:20" x14ac:dyDescent="0.3">
      <c r="A86" s="44"/>
      <c r="B86" s="44"/>
      <c r="C86" s="45"/>
      <c r="D86" s="46">
        <v>0</v>
      </c>
      <c r="E86" s="46">
        <v>0</v>
      </c>
      <c r="F86" s="46">
        <f t="shared" si="2"/>
        <v>0</v>
      </c>
      <c r="G86" s="46">
        <v>0</v>
      </c>
      <c r="H86" s="46"/>
      <c r="I86" s="46">
        <v>0</v>
      </c>
      <c r="J86" s="46">
        <v>0</v>
      </c>
      <c r="K86" s="46">
        <v>0</v>
      </c>
      <c r="L86" s="47">
        <f t="shared" si="3"/>
        <v>0</v>
      </c>
      <c r="M86" s="48">
        <v>0</v>
      </c>
      <c r="N86" s="48">
        <v>0</v>
      </c>
      <c r="O86" s="49" t="s">
        <v>432</v>
      </c>
      <c r="P86" s="49" t="s">
        <v>433</v>
      </c>
      <c r="Q86" s="49" t="s">
        <v>434</v>
      </c>
      <c r="R86" s="49" t="s">
        <v>435</v>
      </c>
      <c r="S86" s="49" t="s">
        <v>436</v>
      </c>
      <c r="T86" s="49"/>
    </row>
    <row r="87" spans="1:20" x14ac:dyDescent="0.3">
      <c r="A87" s="44"/>
      <c r="B87" s="44"/>
      <c r="C87" s="45"/>
      <c r="D87" s="46">
        <v>0</v>
      </c>
      <c r="E87" s="46">
        <v>0</v>
      </c>
      <c r="F87" s="46">
        <f t="shared" si="2"/>
        <v>0</v>
      </c>
      <c r="G87" s="46">
        <v>0</v>
      </c>
      <c r="H87" s="46"/>
      <c r="I87" s="46">
        <v>0</v>
      </c>
      <c r="J87" s="46">
        <v>0</v>
      </c>
      <c r="K87" s="46">
        <v>0</v>
      </c>
      <c r="L87" s="47">
        <f t="shared" si="3"/>
        <v>0</v>
      </c>
      <c r="M87" s="48">
        <v>0</v>
      </c>
      <c r="N87" s="48">
        <v>0</v>
      </c>
      <c r="O87" s="49" t="s">
        <v>437</v>
      </c>
      <c r="P87" s="49" t="s">
        <v>438</v>
      </c>
      <c r="Q87" s="49" t="s">
        <v>439</v>
      </c>
      <c r="R87" s="49" t="s">
        <v>440</v>
      </c>
      <c r="S87" s="49" t="s">
        <v>441</v>
      </c>
      <c r="T87" s="49"/>
    </row>
    <row r="88" spans="1:20" x14ac:dyDescent="0.3">
      <c r="A88" s="44"/>
      <c r="B88" s="44"/>
      <c r="C88" s="45"/>
      <c r="D88" s="46">
        <v>0</v>
      </c>
      <c r="E88" s="46">
        <v>0</v>
      </c>
      <c r="F88" s="46">
        <f t="shared" si="2"/>
        <v>0</v>
      </c>
      <c r="G88" s="46">
        <v>0</v>
      </c>
      <c r="H88" s="46"/>
      <c r="I88" s="46">
        <v>0</v>
      </c>
      <c r="J88" s="46">
        <v>0</v>
      </c>
      <c r="K88" s="46">
        <v>0</v>
      </c>
      <c r="L88" s="47">
        <f t="shared" si="3"/>
        <v>0</v>
      </c>
      <c r="M88" s="48">
        <v>0</v>
      </c>
      <c r="N88" s="48">
        <v>0</v>
      </c>
      <c r="O88" s="49" t="s">
        <v>442</v>
      </c>
      <c r="P88" s="49" t="s">
        <v>443</v>
      </c>
      <c r="Q88" s="49" t="s">
        <v>444</v>
      </c>
      <c r="R88" s="49" t="s">
        <v>445</v>
      </c>
      <c r="S88" s="49" t="s">
        <v>446</v>
      </c>
      <c r="T88" s="49"/>
    </row>
    <row r="89" spans="1:20" x14ac:dyDescent="0.3">
      <c r="A89" s="44"/>
      <c r="B89" s="44"/>
      <c r="C89" s="45"/>
      <c r="D89" s="46">
        <v>0</v>
      </c>
      <c r="E89" s="46">
        <v>0</v>
      </c>
      <c r="F89" s="46">
        <f t="shared" si="2"/>
        <v>0</v>
      </c>
      <c r="G89" s="46">
        <v>0</v>
      </c>
      <c r="H89" s="46"/>
      <c r="I89" s="46">
        <v>0</v>
      </c>
      <c r="J89" s="46">
        <v>0</v>
      </c>
      <c r="K89" s="46">
        <v>0</v>
      </c>
      <c r="L89" s="47">
        <f t="shared" si="3"/>
        <v>0</v>
      </c>
      <c r="M89" s="48">
        <v>0</v>
      </c>
      <c r="N89" s="48">
        <v>0</v>
      </c>
      <c r="O89" s="49" t="s">
        <v>447</v>
      </c>
      <c r="P89" s="49" t="s">
        <v>448</v>
      </c>
      <c r="Q89" s="49" t="s">
        <v>449</v>
      </c>
      <c r="R89" s="49" t="s">
        <v>450</v>
      </c>
      <c r="S89" s="49" t="s">
        <v>451</v>
      </c>
      <c r="T89" s="49"/>
    </row>
    <row r="90" spans="1:20" x14ac:dyDescent="0.3">
      <c r="A90" s="44"/>
      <c r="B90" s="44"/>
      <c r="C90" s="45"/>
      <c r="D90" s="46">
        <v>0</v>
      </c>
      <c r="E90" s="46">
        <v>0</v>
      </c>
      <c r="F90" s="46">
        <f t="shared" si="2"/>
        <v>0</v>
      </c>
      <c r="G90" s="46">
        <v>0</v>
      </c>
      <c r="H90" s="46"/>
      <c r="I90" s="46">
        <v>0</v>
      </c>
      <c r="J90" s="46">
        <v>0</v>
      </c>
      <c r="K90" s="46">
        <v>0</v>
      </c>
      <c r="L90" s="47">
        <f t="shared" si="3"/>
        <v>0</v>
      </c>
      <c r="M90" s="48">
        <v>0</v>
      </c>
      <c r="N90" s="48">
        <v>0</v>
      </c>
      <c r="O90" s="49" t="s">
        <v>452</v>
      </c>
      <c r="P90" s="49" t="s">
        <v>453</v>
      </c>
      <c r="Q90" s="49" t="s">
        <v>454</v>
      </c>
      <c r="R90" s="49" t="s">
        <v>455</v>
      </c>
      <c r="S90" s="49" t="s">
        <v>456</v>
      </c>
      <c r="T90" s="49"/>
    </row>
    <row r="91" spans="1:20" x14ac:dyDescent="0.3">
      <c r="A91" s="44"/>
      <c r="B91" s="44"/>
      <c r="C91" s="45"/>
      <c r="D91" s="46">
        <v>0</v>
      </c>
      <c r="E91" s="46">
        <v>0</v>
      </c>
      <c r="F91" s="46">
        <f t="shared" si="2"/>
        <v>0</v>
      </c>
      <c r="G91" s="46">
        <v>0</v>
      </c>
      <c r="H91" s="46"/>
      <c r="I91" s="46">
        <v>0</v>
      </c>
      <c r="J91" s="46">
        <v>0</v>
      </c>
      <c r="K91" s="46">
        <v>0</v>
      </c>
      <c r="L91" s="47">
        <f t="shared" si="3"/>
        <v>0</v>
      </c>
      <c r="M91" s="48">
        <v>0</v>
      </c>
      <c r="N91" s="48">
        <v>0</v>
      </c>
      <c r="O91" s="49" t="s">
        <v>457</v>
      </c>
      <c r="P91" s="49" t="s">
        <v>458</v>
      </c>
      <c r="Q91" s="49" t="s">
        <v>459</v>
      </c>
      <c r="R91" s="49" t="s">
        <v>460</v>
      </c>
      <c r="S91" s="49" t="s">
        <v>461</v>
      </c>
      <c r="T91" s="49"/>
    </row>
    <row r="92" spans="1:20" x14ac:dyDescent="0.3">
      <c r="A92" s="44"/>
      <c r="B92" s="44"/>
      <c r="C92" s="45"/>
      <c r="D92" s="46">
        <v>0</v>
      </c>
      <c r="E92" s="46">
        <v>0</v>
      </c>
      <c r="F92" s="46">
        <f t="shared" si="2"/>
        <v>0</v>
      </c>
      <c r="G92" s="46">
        <v>0</v>
      </c>
      <c r="H92" s="46"/>
      <c r="I92" s="46">
        <v>0</v>
      </c>
      <c r="J92" s="46">
        <v>0</v>
      </c>
      <c r="K92" s="46">
        <v>0</v>
      </c>
      <c r="L92" s="47">
        <f t="shared" si="3"/>
        <v>0</v>
      </c>
      <c r="M92" s="48">
        <v>0</v>
      </c>
      <c r="N92" s="48">
        <v>0</v>
      </c>
      <c r="O92" s="49" t="s">
        <v>462</v>
      </c>
      <c r="P92" s="49" t="s">
        <v>463</v>
      </c>
      <c r="Q92" s="49" t="s">
        <v>464</v>
      </c>
      <c r="R92" s="49" t="s">
        <v>465</v>
      </c>
      <c r="S92" s="49" t="s">
        <v>466</v>
      </c>
      <c r="T92" s="49"/>
    </row>
    <row r="93" spans="1:20" x14ac:dyDescent="0.3">
      <c r="A93" s="44"/>
      <c r="B93" s="44"/>
      <c r="C93" s="45"/>
      <c r="D93" s="46">
        <v>0</v>
      </c>
      <c r="E93" s="46">
        <v>0</v>
      </c>
      <c r="F93" s="46">
        <f t="shared" si="2"/>
        <v>0</v>
      </c>
      <c r="G93" s="46">
        <v>0</v>
      </c>
      <c r="H93" s="46"/>
      <c r="I93" s="46">
        <v>0</v>
      </c>
      <c r="J93" s="46">
        <v>0</v>
      </c>
      <c r="K93" s="46">
        <v>0</v>
      </c>
      <c r="L93" s="47">
        <f t="shared" si="3"/>
        <v>0</v>
      </c>
      <c r="M93" s="48">
        <v>0</v>
      </c>
      <c r="N93" s="48">
        <v>0</v>
      </c>
      <c r="O93" s="49" t="s">
        <v>467</v>
      </c>
      <c r="P93" s="49" t="s">
        <v>468</v>
      </c>
      <c r="Q93" s="49" t="s">
        <v>469</v>
      </c>
      <c r="R93" s="49" t="s">
        <v>470</v>
      </c>
      <c r="S93" s="49" t="s">
        <v>471</v>
      </c>
      <c r="T93" s="49"/>
    </row>
    <row r="94" spans="1:20" x14ac:dyDescent="0.3">
      <c r="A94" s="44"/>
      <c r="B94" s="44"/>
      <c r="C94" s="45"/>
      <c r="D94" s="46">
        <v>0</v>
      </c>
      <c r="E94" s="46">
        <v>0</v>
      </c>
      <c r="F94" s="46">
        <f t="shared" si="2"/>
        <v>0</v>
      </c>
      <c r="G94" s="46">
        <v>0</v>
      </c>
      <c r="H94" s="46"/>
      <c r="I94" s="46">
        <v>0</v>
      </c>
      <c r="J94" s="46">
        <v>0</v>
      </c>
      <c r="K94" s="46">
        <v>0</v>
      </c>
      <c r="L94" s="47">
        <f t="shared" si="3"/>
        <v>0</v>
      </c>
      <c r="M94" s="48">
        <v>0</v>
      </c>
      <c r="N94" s="48">
        <v>0</v>
      </c>
      <c r="O94" s="49" t="s">
        <v>472</v>
      </c>
      <c r="P94" s="49" t="s">
        <v>473</v>
      </c>
      <c r="Q94" s="49" t="s">
        <v>474</v>
      </c>
      <c r="R94" s="49" t="s">
        <v>475</v>
      </c>
      <c r="S94" s="49" t="s">
        <v>476</v>
      </c>
      <c r="T94" s="49"/>
    </row>
    <row r="95" spans="1:20" x14ac:dyDescent="0.3">
      <c r="A95" s="44"/>
      <c r="B95" s="44"/>
      <c r="C95" s="45"/>
      <c r="D95" s="46">
        <v>0</v>
      </c>
      <c r="E95" s="46">
        <v>0</v>
      </c>
      <c r="F95" s="46">
        <f t="shared" si="2"/>
        <v>0</v>
      </c>
      <c r="G95" s="46">
        <v>0</v>
      </c>
      <c r="H95" s="46"/>
      <c r="I95" s="46">
        <v>0</v>
      </c>
      <c r="J95" s="46">
        <v>0</v>
      </c>
      <c r="K95" s="46">
        <v>0</v>
      </c>
      <c r="L95" s="47">
        <f t="shared" si="3"/>
        <v>0</v>
      </c>
      <c r="M95" s="48">
        <v>0</v>
      </c>
      <c r="N95" s="48">
        <v>0</v>
      </c>
      <c r="O95" s="49" t="s">
        <v>477</v>
      </c>
      <c r="P95" s="49" t="s">
        <v>478</v>
      </c>
      <c r="Q95" s="49" t="s">
        <v>479</v>
      </c>
      <c r="R95" s="49" t="s">
        <v>480</v>
      </c>
      <c r="S95" s="49" t="s">
        <v>481</v>
      </c>
      <c r="T95" s="49"/>
    </row>
    <row r="96" spans="1:20" x14ac:dyDescent="0.3">
      <c r="A96" s="44"/>
      <c r="B96" s="44"/>
      <c r="C96" s="45"/>
      <c r="D96" s="46">
        <v>0</v>
      </c>
      <c r="E96" s="46">
        <v>0</v>
      </c>
      <c r="F96" s="46">
        <f t="shared" si="2"/>
        <v>0</v>
      </c>
      <c r="G96" s="46">
        <v>0</v>
      </c>
      <c r="H96" s="46"/>
      <c r="I96" s="46">
        <v>0</v>
      </c>
      <c r="J96" s="46">
        <v>0</v>
      </c>
      <c r="K96" s="46">
        <v>0</v>
      </c>
      <c r="L96" s="47">
        <f t="shared" si="3"/>
        <v>0</v>
      </c>
      <c r="M96" s="48">
        <v>0</v>
      </c>
      <c r="N96" s="48">
        <v>0</v>
      </c>
      <c r="O96" s="49" t="s">
        <v>482</v>
      </c>
      <c r="P96" s="49" t="s">
        <v>483</v>
      </c>
      <c r="Q96" s="49" t="s">
        <v>484</v>
      </c>
      <c r="R96" s="49" t="s">
        <v>485</v>
      </c>
      <c r="S96" s="49" t="s">
        <v>486</v>
      </c>
      <c r="T96" s="49"/>
    </row>
    <row r="97" spans="1:20" x14ac:dyDescent="0.3">
      <c r="A97" s="44"/>
      <c r="B97" s="44"/>
      <c r="C97" s="45"/>
      <c r="D97" s="46">
        <v>0</v>
      </c>
      <c r="E97" s="46">
        <v>0</v>
      </c>
      <c r="F97" s="46">
        <f t="shared" si="2"/>
        <v>0</v>
      </c>
      <c r="G97" s="46">
        <v>0</v>
      </c>
      <c r="H97" s="46"/>
      <c r="I97" s="46">
        <v>0</v>
      </c>
      <c r="J97" s="46">
        <v>0</v>
      </c>
      <c r="K97" s="46">
        <v>0</v>
      </c>
      <c r="L97" s="47">
        <f t="shared" si="3"/>
        <v>0</v>
      </c>
      <c r="M97" s="48">
        <v>0</v>
      </c>
      <c r="N97" s="48">
        <v>0</v>
      </c>
      <c r="O97" s="49" t="s">
        <v>487</v>
      </c>
      <c r="P97" s="49" t="s">
        <v>488</v>
      </c>
      <c r="Q97" s="49" t="s">
        <v>489</v>
      </c>
      <c r="R97" s="49" t="s">
        <v>490</v>
      </c>
      <c r="S97" s="49" t="s">
        <v>491</v>
      </c>
      <c r="T97" s="49"/>
    </row>
    <row r="98" spans="1:20" x14ac:dyDescent="0.3">
      <c r="A98" s="44"/>
      <c r="B98" s="44"/>
      <c r="C98" s="45"/>
      <c r="D98" s="46">
        <v>0</v>
      </c>
      <c r="E98" s="46">
        <v>0</v>
      </c>
      <c r="F98" s="46">
        <f t="shared" si="2"/>
        <v>0</v>
      </c>
      <c r="G98" s="46">
        <v>0</v>
      </c>
      <c r="H98" s="46"/>
      <c r="I98" s="46">
        <v>0</v>
      </c>
      <c r="J98" s="46">
        <v>0</v>
      </c>
      <c r="K98" s="46">
        <v>0</v>
      </c>
      <c r="L98" s="47">
        <f t="shared" si="3"/>
        <v>0</v>
      </c>
      <c r="M98" s="48">
        <v>0</v>
      </c>
      <c r="N98" s="48">
        <v>0</v>
      </c>
      <c r="O98" s="49" t="s">
        <v>492</v>
      </c>
      <c r="P98" s="49" t="s">
        <v>493</v>
      </c>
      <c r="Q98" s="49" t="s">
        <v>494</v>
      </c>
      <c r="R98" s="49" t="s">
        <v>495</v>
      </c>
      <c r="S98" s="49" t="s">
        <v>496</v>
      </c>
      <c r="T98" s="49"/>
    </row>
    <row r="99" spans="1:20" x14ac:dyDescent="0.3">
      <c r="A99" s="44"/>
      <c r="B99" s="44"/>
      <c r="C99" s="45"/>
      <c r="D99" s="46">
        <v>0</v>
      </c>
      <c r="E99" s="46">
        <v>0</v>
      </c>
      <c r="F99" s="46">
        <f t="shared" si="2"/>
        <v>0</v>
      </c>
      <c r="G99" s="46">
        <v>0</v>
      </c>
      <c r="H99" s="46"/>
      <c r="I99" s="46">
        <v>0</v>
      </c>
      <c r="J99" s="46">
        <v>0</v>
      </c>
      <c r="K99" s="46">
        <v>0</v>
      </c>
      <c r="L99" s="47">
        <f t="shared" si="3"/>
        <v>0</v>
      </c>
      <c r="M99" s="48">
        <v>0</v>
      </c>
      <c r="N99" s="48">
        <v>0</v>
      </c>
      <c r="O99" s="49" t="s">
        <v>497</v>
      </c>
      <c r="P99" s="49" t="s">
        <v>498</v>
      </c>
      <c r="Q99" s="49" t="s">
        <v>499</v>
      </c>
      <c r="R99" s="49" t="s">
        <v>500</v>
      </c>
      <c r="S99" s="49" t="s">
        <v>501</v>
      </c>
      <c r="T99" s="49"/>
    </row>
    <row r="100" spans="1:20" x14ac:dyDescent="0.3">
      <c r="A100" s="44"/>
      <c r="B100" s="44"/>
      <c r="C100" s="45"/>
      <c r="D100" s="46">
        <v>0</v>
      </c>
      <c r="E100" s="46">
        <v>0</v>
      </c>
      <c r="F100" s="46">
        <f t="shared" si="2"/>
        <v>0</v>
      </c>
      <c r="G100" s="46">
        <v>0</v>
      </c>
      <c r="H100" s="46"/>
      <c r="I100" s="46">
        <v>0</v>
      </c>
      <c r="J100" s="46">
        <v>0</v>
      </c>
      <c r="K100" s="46">
        <v>0</v>
      </c>
      <c r="L100" s="47">
        <f t="shared" si="3"/>
        <v>0</v>
      </c>
      <c r="M100" s="48">
        <v>0</v>
      </c>
      <c r="N100" s="48">
        <v>0</v>
      </c>
      <c r="O100" s="49" t="s">
        <v>502</v>
      </c>
      <c r="P100" s="49" t="s">
        <v>503</v>
      </c>
      <c r="Q100" s="49" t="s">
        <v>504</v>
      </c>
      <c r="R100" s="49" t="s">
        <v>505</v>
      </c>
      <c r="S100" s="49" t="s">
        <v>506</v>
      </c>
      <c r="T100" s="49"/>
    </row>
    <row r="101" spans="1:20" x14ac:dyDescent="0.3">
      <c r="A101" s="44"/>
      <c r="B101" s="44"/>
      <c r="C101" s="45"/>
      <c r="D101" s="46">
        <v>0</v>
      </c>
      <c r="E101" s="46">
        <v>0</v>
      </c>
      <c r="F101" s="46">
        <f t="shared" si="2"/>
        <v>0</v>
      </c>
      <c r="G101" s="46">
        <v>0</v>
      </c>
      <c r="H101" s="46"/>
      <c r="I101" s="46">
        <v>0</v>
      </c>
      <c r="J101" s="46">
        <v>0</v>
      </c>
      <c r="K101" s="46">
        <v>0</v>
      </c>
      <c r="L101" s="47">
        <f t="shared" si="3"/>
        <v>0</v>
      </c>
      <c r="M101" s="48">
        <v>0</v>
      </c>
      <c r="N101" s="48">
        <v>0</v>
      </c>
      <c r="O101" s="49" t="s">
        <v>507</v>
      </c>
      <c r="P101" s="49" t="s">
        <v>508</v>
      </c>
      <c r="Q101" s="49" t="s">
        <v>509</v>
      </c>
      <c r="R101" s="49" t="s">
        <v>510</v>
      </c>
      <c r="S101" s="49" t="s">
        <v>511</v>
      </c>
      <c r="T101" s="49"/>
    </row>
    <row r="102" spans="1:20" x14ac:dyDescent="0.3">
      <c r="A102" s="44"/>
      <c r="B102" s="44"/>
      <c r="C102" s="45"/>
      <c r="D102" s="46">
        <v>0</v>
      </c>
      <c r="E102" s="46">
        <v>0</v>
      </c>
      <c r="F102" s="46">
        <f t="shared" si="2"/>
        <v>0</v>
      </c>
      <c r="G102" s="46">
        <v>0</v>
      </c>
      <c r="H102" s="46"/>
      <c r="I102" s="46">
        <v>0</v>
      </c>
      <c r="J102" s="46">
        <v>0</v>
      </c>
      <c r="K102" s="46">
        <v>0</v>
      </c>
      <c r="L102" s="47">
        <f t="shared" si="3"/>
        <v>0</v>
      </c>
      <c r="M102" s="48">
        <v>0</v>
      </c>
      <c r="N102" s="48">
        <v>0</v>
      </c>
      <c r="O102" s="49" t="s">
        <v>512</v>
      </c>
      <c r="P102" s="49" t="s">
        <v>513</v>
      </c>
      <c r="Q102" s="49" t="s">
        <v>514</v>
      </c>
      <c r="R102" s="49" t="s">
        <v>515</v>
      </c>
      <c r="S102" s="49" t="s">
        <v>516</v>
      </c>
      <c r="T102" s="49"/>
    </row>
    <row r="103" spans="1:20" x14ac:dyDescent="0.3">
      <c r="A103" s="44"/>
      <c r="B103" s="44"/>
      <c r="C103" s="45"/>
      <c r="D103" s="46">
        <v>0</v>
      </c>
      <c r="E103" s="46">
        <v>0</v>
      </c>
      <c r="F103" s="46">
        <f t="shared" si="2"/>
        <v>0</v>
      </c>
      <c r="G103" s="46">
        <v>0</v>
      </c>
      <c r="H103" s="46"/>
      <c r="I103" s="46">
        <v>0</v>
      </c>
      <c r="J103" s="46">
        <v>0</v>
      </c>
      <c r="K103" s="46">
        <v>0</v>
      </c>
      <c r="L103" s="47">
        <f t="shared" si="3"/>
        <v>0</v>
      </c>
      <c r="M103" s="48">
        <v>0</v>
      </c>
      <c r="N103" s="48">
        <v>0</v>
      </c>
      <c r="O103" s="49" t="s">
        <v>517</v>
      </c>
      <c r="P103" s="49" t="s">
        <v>518</v>
      </c>
      <c r="Q103" s="49" t="s">
        <v>519</v>
      </c>
      <c r="R103" s="49" t="s">
        <v>520</v>
      </c>
      <c r="S103" s="49" t="s">
        <v>521</v>
      </c>
      <c r="T103" s="49"/>
    </row>
    <row r="104" spans="1:20" x14ac:dyDescent="0.3">
      <c r="A104" s="44"/>
      <c r="B104" s="44"/>
      <c r="C104" s="45"/>
      <c r="D104" s="46">
        <v>0</v>
      </c>
      <c r="E104" s="46">
        <v>0</v>
      </c>
      <c r="F104" s="46">
        <f t="shared" si="2"/>
        <v>0</v>
      </c>
      <c r="G104" s="46">
        <v>0</v>
      </c>
      <c r="H104" s="46"/>
      <c r="I104" s="46">
        <v>0</v>
      </c>
      <c r="J104" s="46">
        <v>0</v>
      </c>
      <c r="K104" s="46">
        <v>0</v>
      </c>
      <c r="L104" s="47">
        <f t="shared" si="3"/>
        <v>0</v>
      </c>
      <c r="M104" s="48">
        <v>0</v>
      </c>
      <c r="N104" s="48">
        <v>0</v>
      </c>
      <c r="O104" s="49" t="s">
        <v>522</v>
      </c>
      <c r="P104" s="49" t="s">
        <v>523</v>
      </c>
      <c r="Q104" s="49" t="s">
        <v>524</v>
      </c>
      <c r="R104" s="49" t="s">
        <v>525</v>
      </c>
      <c r="S104" s="49" t="s">
        <v>526</v>
      </c>
      <c r="T104" s="49"/>
    </row>
    <row r="105" spans="1:20" x14ac:dyDescent="0.3">
      <c r="A105" s="44"/>
      <c r="B105" s="44"/>
      <c r="C105" s="45"/>
      <c r="D105" s="46">
        <v>0</v>
      </c>
      <c r="E105" s="46">
        <v>0</v>
      </c>
      <c r="F105" s="46">
        <f t="shared" si="2"/>
        <v>0</v>
      </c>
      <c r="G105" s="46">
        <v>0</v>
      </c>
      <c r="H105" s="46"/>
      <c r="I105" s="46">
        <v>0</v>
      </c>
      <c r="J105" s="46">
        <v>0</v>
      </c>
      <c r="K105" s="46">
        <v>0</v>
      </c>
      <c r="L105" s="47">
        <f t="shared" si="3"/>
        <v>0</v>
      </c>
      <c r="M105" s="48">
        <v>0</v>
      </c>
      <c r="N105" s="48">
        <v>0</v>
      </c>
      <c r="O105" s="49" t="s">
        <v>527</v>
      </c>
      <c r="P105" s="49" t="s">
        <v>528</v>
      </c>
      <c r="Q105" s="49" t="s">
        <v>529</v>
      </c>
      <c r="R105" s="49" t="s">
        <v>530</v>
      </c>
      <c r="S105" s="49" t="s">
        <v>531</v>
      </c>
      <c r="T105" s="49"/>
    </row>
    <row r="106" spans="1:20" x14ac:dyDescent="0.3">
      <c r="A106" s="44"/>
      <c r="B106" s="44"/>
      <c r="C106" s="45"/>
      <c r="D106" s="46">
        <v>0</v>
      </c>
      <c r="E106" s="46">
        <v>0</v>
      </c>
      <c r="F106" s="46">
        <f t="shared" si="2"/>
        <v>0</v>
      </c>
      <c r="G106" s="46">
        <v>0</v>
      </c>
      <c r="H106" s="46"/>
      <c r="I106" s="46">
        <v>0</v>
      </c>
      <c r="J106" s="46">
        <v>0</v>
      </c>
      <c r="K106" s="46">
        <v>0</v>
      </c>
      <c r="L106" s="47">
        <f t="shared" si="3"/>
        <v>0</v>
      </c>
      <c r="M106" s="48">
        <v>0</v>
      </c>
      <c r="N106" s="48">
        <v>0</v>
      </c>
      <c r="O106" s="49" t="s">
        <v>532</v>
      </c>
      <c r="P106" s="49" t="s">
        <v>533</v>
      </c>
      <c r="Q106" s="49" t="s">
        <v>534</v>
      </c>
      <c r="R106" s="49" t="s">
        <v>535</v>
      </c>
      <c r="S106" s="49" t="s">
        <v>536</v>
      </c>
      <c r="T106" s="49"/>
    </row>
    <row r="107" spans="1:20" x14ac:dyDescent="0.3">
      <c r="A107" s="44"/>
      <c r="B107" s="44"/>
      <c r="C107" s="45"/>
      <c r="D107" s="46">
        <v>0</v>
      </c>
      <c r="E107" s="46">
        <v>0</v>
      </c>
      <c r="F107" s="46">
        <f t="shared" si="2"/>
        <v>0</v>
      </c>
      <c r="G107" s="46">
        <v>0</v>
      </c>
      <c r="H107" s="46"/>
      <c r="I107" s="46">
        <v>0</v>
      </c>
      <c r="J107" s="46">
        <v>0</v>
      </c>
      <c r="K107" s="46">
        <v>0</v>
      </c>
      <c r="L107" s="47">
        <f t="shared" si="3"/>
        <v>0</v>
      </c>
      <c r="M107" s="48">
        <v>0</v>
      </c>
      <c r="N107" s="48">
        <v>0</v>
      </c>
      <c r="O107" s="49" t="s">
        <v>537</v>
      </c>
      <c r="P107" s="49" t="s">
        <v>538</v>
      </c>
      <c r="Q107" s="49" t="s">
        <v>539</v>
      </c>
      <c r="R107" s="49" t="s">
        <v>540</v>
      </c>
      <c r="S107" s="49" t="s">
        <v>541</v>
      </c>
      <c r="T107" s="49"/>
    </row>
    <row r="108" spans="1:20" x14ac:dyDescent="0.3">
      <c r="A108" s="44"/>
      <c r="B108" s="44"/>
      <c r="C108" s="45"/>
      <c r="D108" s="46">
        <v>0</v>
      </c>
      <c r="E108" s="46">
        <v>0</v>
      </c>
      <c r="F108" s="46">
        <f t="shared" si="2"/>
        <v>0</v>
      </c>
      <c r="G108" s="46">
        <v>0</v>
      </c>
      <c r="H108" s="46"/>
      <c r="I108" s="46">
        <v>0</v>
      </c>
      <c r="J108" s="46">
        <v>0</v>
      </c>
      <c r="K108" s="46">
        <v>0</v>
      </c>
      <c r="L108" s="47">
        <f t="shared" si="3"/>
        <v>0</v>
      </c>
      <c r="M108" s="48">
        <v>0</v>
      </c>
      <c r="N108" s="48">
        <v>0</v>
      </c>
      <c r="O108" s="49" t="s">
        <v>542</v>
      </c>
      <c r="P108" s="49" t="s">
        <v>543</v>
      </c>
      <c r="Q108" s="49" t="s">
        <v>544</v>
      </c>
      <c r="R108" s="49" t="s">
        <v>545</v>
      </c>
      <c r="S108" s="49" t="s">
        <v>546</v>
      </c>
      <c r="T108" s="49"/>
    </row>
    <row r="109" spans="1:20" x14ac:dyDescent="0.3">
      <c r="A109" s="44"/>
      <c r="B109" s="44"/>
      <c r="C109" s="45"/>
      <c r="D109" s="46">
        <v>0</v>
      </c>
      <c r="E109" s="46">
        <v>0</v>
      </c>
      <c r="F109" s="46">
        <f t="shared" si="2"/>
        <v>0</v>
      </c>
      <c r="G109" s="46">
        <v>0</v>
      </c>
      <c r="H109" s="46"/>
      <c r="I109" s="46">
        <v>0</v>
      </c>
      <c r="J109" s="46">
        <v>0</v>
      </c>
      <c r="K109" s="46">
        <v>0</v>
      </c>
      <c r="L109" s="47">
        <f t="shared" si="3"/>
        <v>0</v>
      </c>
      <c r="M109" s="48">
        <v>0</v>
      </c>
      <c r="N109" s="48">
        <v>0</v>
      </c>
      <c r="O109" s="49" t="s">
        <v>547</v>
      </c>
      <c r="P109" s="49" t="s">
        <v>548</v>
      </c>
      <c r="Q109" s="49" t="s">
        <v>549</v>
      </c>
      <c r="R109" s="49" t="s">
        <v>550</v>
      </c>
      <c r="S109" s="49" t="s">
        <v>551</v>
      </c>
      <c r="T109" s="49"/>
    </row>
    <row r="110" spans="1:20" x14ac:dyDescent="0.3">
      <c r="A110" s="44"/>
      <c r="B110" s="44"/>
      <c r="C110" s="45"/>
      <c r="D110" s="46">
        <v>0</v>
      </c>
      <c r="E110" s="46">
        <v>0</v>
      </c>
      <c r="F110" s="46">
        <f t="shared" si="2"/>
        <v>0</v>
      </c>
      <c r="G110" s="46">
        <v>0</v>
      </c>
      <c r="H110" s="46"/>
      <c r="I110" s="46">
        <v>0</v>
      </c>
      <c r="J110" s="46">
        <v>0</v>
      </c>
      <c r="K110" s="46">
        <v>0</v>
      </c>
      <c r="L110" s="47">
        <f t="shared" si="3"/>
        <v>0</v>
      </c>
      <c r="M110" s="48">
        <v>0</v>
      </c>
      <c r="N110" s="48">
        <v>0</v>
      </c>
      <c r="O110" s="49" t="s">
        <v>552</v>
      </c>
      <c r="P110" s="49" t="s">
        <v>553</v>
      </c>
      <c r="Q110" s="49" t="s">
        <v>554</v>
      </c>
      <c r="R110" s="49" t="s">
        <v>555</v>
      </c>
      <c r="S110" s="49" t="s">
        <v>556</v>
      </c>
      <c r="T110" s="49"/>
    </row>
    <row r="111" spans="1:20" x14ac:dyDescent="0.3">
      <c r="A111" s="44"/>
      <c r="B111" s="44"/>
      <c r="C111" s="45"/>
      <c r="D111" s="46">
        <v>0</v>
      </c>
      <c r="E111" s="46">
        <v>0</v>
      </c>
      <c r="F111" s="46">
        <f t="shared" si="2"/>
        <v>0</v>
      </c>
      <c r="G111" s="46">
        <v>0</v>
      </c>
      <c r="H111" s="46"/>
      <c r="I111" s="46">
        <v>0</v>
      </c>
      <c r="J111" s="46">
        <v>0</v>
      </c>
      <c r="K111" s="46">
        <v>0</v>
      </c>
      <c r="L111" s="47">
        <f t="shared" si="3"/>
        <v>0</v>
      </c>
      <c r="M111" s="48">
        <v>0</v>
      </c>
      <c r="N111" s="48">
        <v>0</v>
      </c>
      <c r="O111" s="49" t="s">
        <v>557</v>
      </c>
      <c r="P111" s="49" t="s">
        <v>558</v>
      </c>
      <c r="Q111" s="49" t="s">
        <v>559</v>
      </c>
      <c r="R111" s="49" t="s">
        <v>560</v>
      </c>
      <c r="S111" s="49" t="s">
        <v>561</v>
      </c>
      <c r="T111" s="49"/>
    </row>
    <row r="112" spans="1:20" x14ac:dyDescent="0.3">
      <c r="A112" s="44"/>
      <c r="B112" s="44"/>
      <c r="C112" s="45"/>
      <c r="D112" s="46">
        <v>0</v>
      </c>
      <c r="E112" s="46">
        <v>0</v>
      </c>
      <c r="F112" s="46">
        <f t="shared" si="2"/>
        <v>0</v>
      </c>
      <c r="G112" s="46">
        <v>0</v>
      </c>
      <c r="H112" s="46"/>
      <c r="I112" s="46">
        <v>0</v>
      </c>
      <c r="J112" s="46">
        <v>0</v>
      </c>
      <c r="K112" s="46">
        <v>0</v>
      </c>
      <c r="L112" s="47">
        <f t="shared" si="3"/>
        <v>0</v>
      </c>
      <c r="M112" s="48">
        <v>0</v>
      </c>
      <c r="N112" s="48">
        <v>0</v>
      </c>
      <c r="O112" s="49" t="s">
        <v>562</v>
      </c>
      <c r="P112" s="49" t="s">
        <v>563</v>
      </c>
      <c r="Q112" s="49" t="s">
        <v>564</v>
      </c>
      <c r="R112" s="49" t="s">
        <v>565</v>
      </c>
      <c r="S112" s="49" t="s">
        <v>566</v>
      </c>
      <c r="T112" s="49"/>
    </row>
    <row r="113" spans="1:20" x14ac:dyDescent="0.3">
      <c r="A113" s="44"/>
      <c r="B113" s="44"/>
      <c r="C113" s="45"/>
      <c r="D113" s="46">
        <v>0</v>
      </c>
      <c r="E113" s="46">
        <v>0</v>
      </c>
      <c r="F113" s="46">
        <f t="shared" si="2"/>
        <v>0</v>
      </c>
      <c r="G113" s="46">
        <v>0</v>
      </c>
      <c r="H113" s="46"/>
      <c r="I113" s="46">
        <v>0</v>
      </c>
      <c r="J113" s="46">
        <v>0</v>
      </c>
      <c r="K113" s="46">
        <v>0</v>
      </c>
      <c r="L113" s="47">
        <f t="shared" si="3"/>
        <v>0</v>
      </c>
      <c r="M113" s="48">
        <v>0</v>
      </c>
      <c r="N113" s="48">
        <v>0</v>
      </c>
      <c r="O113" s="49" t="s">
        <v>567</v>
      </c>
      <c r="P113" s="49" t="s">
        <v>568</v>
      </c>
      <c r="Q113" s="49" t="s">
        <v>569</v>
      </c>
      <c r="R113" s="49" t="s">
        <v>570</v>
      </c>
      <c r="S113" s="49" t="s">
        <v>571</v>
      </c>
      <c r="T113" s="49"/>
    </row>
    <row r="114" spans="1:20" x14ac:dyDescent="0.3">
      <c r="A114" s="44"/>
      <c r="B114" s="44"/>
      <c r="C114" s="45"/>
      <c r="D114" s="46">
        <v>0</v>
      </c>
      <c r="E114" s="46">
        <v>0</v>
      </c>
      <c r="F114" s="46">
        <f t="shared" si="2"/>
        <v>0</v>
      </c>
      <c r="G114" s="46">
        <v>0</v>
      </c>
      <c r="H114" s="46"/>
      <c r="I114" s="46">
        <v>0</v>
      </c>
      <c r="J114" s="46">
        <v>0</v>
      </c>
      <c r="K114" s="46">
        <v>0</v>
      </c>
      <c r="L114" s="47">
        <f t="shared" si="3"/>
        <v>0</v>
      </c>
      <c r="M114" s="48">
        <v>0</v>
      </c>
      <c r="N114" s="48">
        <v>0</v>
      </c>
      <c r="O114" s="49" t="s">
        <v>572</v>
      </c>
      <c r="P114" s="49" t="s">
        <v>573</v>
      </c>
      <c r="Q114" s="49" t="s">
        <v>574</v>
      </c>
      <c r="R114" s="49" t="s">
        <v>575</v>
      </c>
      <c r="S114" s="49" t="s">
        <v>576</v>
      </c>
      <c r="T114" s="49"/>
    </row>
    <row r="115" spans="1:20" x14ac:dyDescent="0.3">
      <c r="A115" s="44"/>
      <c r="B115" s="44"/>
      <c r="C115" s="45"/>
      <c r="D115" s="46">
        <v>0</v>
      </c>
      <c r="E115" s="46">
        <v>0</v>
      </c>
      <c r="F115" s="46">
        <f t="shared" si="2"/>
        <v>0</v>
      </c>
      <c r="G115" s="46">
        <v>0</v>
      </c>
      <c r="H115" s="46"/>
      <c r="I115" s="46">
        <v>0</v>
      </c>
      <c r="J115" s="46">
        <v>0</v>
      </c>
      <c r="K115" s="46">
        <v>0</v>
      </c>
      <c r="L115" s="47">
        <f t="shared" si="3"/>
        <v>0</v>
      </c>
      <c r="M115" s="48">
        <v>0</v>
      </c>
      <c r="N115" s="48">
        <v>0</v>
      </c>
      <c r="O115" s="49" t="s">
        <v>577</v>
      </c>
      <c r="P115" s="49" t="s">
        <v>578</v>
      </c>
      <c r="Q115" s="49" t="s">
        <v>579</v>
      </c>
      <c r="R115" s="49" t="s">
        <v>580</v>
      </c>
      <c r="S115" s="49" t="s">
        <v>581</v>
      </c>
      <c r="T115" s="49"/>
    </row>
    <row r="116" spans="1:20" x14ac:dyDescent="0.3">
      <c r="A116" s="44"/>
      <c r="B116" s="44"/>
      <c r="C116" s="45"/>
      <c r="D116" s="46">
        <v>0</v>
      </c>
      <c r="E116" s="46">
        <v>0</v>
      </c>
      <c r="F116" s="46">
        <f t="shared" si="2"/>
        <v>0</v>
      </c>
      <c r="G116" s="46">
        <v>0</v>
      </c>
      <c r="H116" s="46"/>
      <c r="I116" s="46">
        <v>0</v>
      </c>
      <c r="J116" s="46">
        <v>0</v>
      </c>
      <c r="K116" s="46">
        <v>0</v>
      </c>
      <c r="L116" s="47">
        <f t="shared" si="3"/>
        <v>0</v>
      </c>
      <c r="M116" s="48">
        <v>0</v>
      </c>
      <c r="N116" s="48">
        <v>0</v>
      </c>
      <c r="O116" s="49" t="s">
        <v>582</v>
      </c>
      <c r="P116" s="49" t="s">
        <v>583</v>
      </c>
      <c r="Q116" s="49" t="s">
        <v>584</v>
      </c>
      <c r="R116" s="49" t="s">
        <v>585</v>
      </c>
      <c r="S116" s="49" t="s">
        <v>586</v>
      </c>
      <c r="T116" s="49"/>
    </row>
    <row r="117" spans="1:20" x14ac:dyDescent="0.3">
      <c r="A117" s="44"/>
      <c r="B117" s="44"/>
      <c r="C117" s="45"/>
      <c r="D117" s="46">
        <v>0</v>
      </c>
      <c r="E117" s="46">
        <v>0</v>
      </c>
      <c r="F117" s="46">
        <f t="shared" si="2"/>
        <v>0</v>
      </c>
      <c r="G117" s="46">
        <v>0</v>
      </c>
      <c r="H117" s="46"/>
      <c r="I117" s="46">
        <v>0</v>
      </c>
      <c r="J117" s="46">
        <v>0</v>
      </c>
      <c r="K117" s="46">
        <v>0</v>
      </c>
      <c r="L117" s="47">
        <f t="shared" si="3"/>
        <v>0</v>
      </c>
      <c r="M117" s="48">
        <v>0</v>
      </c>
      <c r="N117" s="48">
        <v>0</v>
      </c>
      <c r="O117" s="49" t="s">
        <v>587</v>
      </c>
      <c r="P117" s="49" t="s">
        <v>588</v>
      </c>
      <c r="Q117" s="49" t="s">
        <v>589</v>
      </c>
      <c r="R117" s="49" t="s">
        <v>590</v>
      </c>
      <c r="S117" s="49" t="s">
        <v>591</v>
      </c>
      <c r="T117" s="49"/>
    </row>
    <row r="118" spans="1:20" x14ac:dyDescent="0.3">
      <c r="A118" s="44"/>
      <c r="B118" s="44"/>
      <c r="C118" s="45"/>
      <c r="D118" s="46">
        <v>0</v>
      </c>
      <c r="E118" s="46">
        <v>0</v>
      </c>
      <c r="F118" s="46">
        <f t="shared" si="2"/>
        <v>0</v>
      </c>
      <c r="G118" s="46">
        <v>0</v>
      </c>
      <c r="H118" s="46"/>
      <c r="I118" s="46">
        <v>0</v>
      </c>
      <c r="J118" s="46">
        <v>0</v>
      </c>
      <c r="K118" s="46">
        <v>0</v>
      </c>
      <c r="L118" s="47">
        <f t="shared" si="3"/>
        <v>0</v>
      </c>
      <c r="M118" s="48">
        <v>0</v>
      </c>
      <c r="N118" s="48">
        <v>0</v>
      </c>
      <c r="O118" s="49" t="s">
        <v>592</v>
      </c>
      <c r="P118" s="49" t="s">
        <v>593</v>
      </c>
      <c r="Q118" s="49" t="s">
        <v>594</v>
      </c>
      <c r="R118" s="49" t="s">
        <v>595</v>
      </c>
      <c r="S118" s="49" t="s">
        <v>596</v>
      </c>
      <c r="T118" s="49"/>
    </row>
    <row r="119" spans="1:20" x14ac:dyDescent="0.3">
      <c r="A119" s="44"/>
      <c r="B119" s="44"/>
      <c r="C119" s="45"/>
      <c r="D119" s="46">
        <v>0</v>
      </c>
      <c r="E119" s="46">
        <v>0</v>
      </c>
      <c r="F119" s="46">
        <f t="shared" si="2"/>
        <v>0</v>
      </c>
      <c r="G119" s="46">
        <v>0</v>
      </c>
      <c r="H119" s="46"/>
      <c r="I119" s="46">
        <v>0</v>
      </c>
      <c r="J119" s="46">
        <v>0</v>
      </c>
      <c r="K119" s="46">
        <v>0</v>
      </c>
      <c r="L119" s="47">
        <f t="shared" si="3"/>
        <v>0</v>
      </c>
      <c r="M119" s="48">
        <v>0</v>
      </c>
      <c r="N119" s="48">
        <v>0</v>
      </c>
      <c r="O119" s="49" t="s">
        <v>597</v>
      </c>
      <c r="P119" s="49" t="s">
        <v>598</v>
      </c>
      <c r="Q119" s="49" t="s">
        <v>599</v>
      </c>
      <c r="R119" s="49" t="s">
        <v>600</v>
      </c>
      <c r="S119" s="49" t="s">
        <v>601</v>
      </c>
      <c r="T119" s="49"/>
    </row>
    <row r="120" spans="1:20" x14ac:dyDescent="0.3">
      <c r="A120" s="44"/>
      <c r="B120" s="44"/>
      <c r="C120" s="45"/>
      <c r="D120" s="46">
        <v>0</v>
      </c>
      <c r="E120" s="46">
        <v>0</v>
      </c>
      <c r="F120" s="46">
        <f t="shared" si="2"/>
        <v>0</v>
      </c>
      <c r="G120" s="46">
        <v>0</v>
      </c>
      <c r="H120" s="46"/>
      <c r="I120" s="46">
        <v>0</v>
      </c>
      <c r="J120" s="46">
        <v>0</v>
      </c>
      <c r="K120" s="46">
        <v>0</v>
      </c>
      <c r="L120" s="47">
        <f t="shared" si="3"/>
        <v>0</v>
      </c>
      <c r="M120" s="48">
        <v>0</v>
      </c>
      <c r="N120" s="48">
        <v>0</v>
      </c>
      <c r="O120" s="49" t="s">
        <v>602</v>
      </c>
      <c r="P120" s="49" t="s">
        <v>603</v>
      </c>
      <c r="Q120" s="49" t="s">
        <v>604</v>
      </c>
      <c r="R120" s="49" t="s">
        <v>605</v>
      </c>
      <c r="S120" s="49" t="s">
        <v>606</v>
      </c>
      <c r="T120" s="49"/>
    </row>
    <row r="121" spans="1:20" x14ac:dyDescent="0.3">
      <c r="A121" s="44"/>
      <c r="B121" s="44"/>
      <c r="C121" s="45"/>
      <c r="D121" s="46">
        <v>0</v>
      </c>
      <c r="E121" s="46">
        <v>0</v>
      </c>
      <c r="F121" s="46">
        <f t="shared" si="2"/>
        <v>0</v>
      </c>
      <c r="G121" s="46">
        <v>0</v>
      </c>
      <c r="H121" s="46"/>
      <c r="I121" s="46">
        <v>0</v>
      </c>
      <c r="J121" s="46">
        <v>0</v>
      </c>
      <c r="K121" s="46">
        <v>0</v>
      </c>
      <c r="L121" s="47">
        <f t="shared" si="3"/>
        <v>0</v>
      </c>
      <c r="M121" s="48">
        <v>0</v>
      </c>
      <c r="N121" s="48">
        <v>0</v>
      </c>
      <c r="O121" s="49" t="s">
        <v>607</v>
      </c>
      <c r="P121" s="49" t="s">
        <v>608</v>
      </c>
      <c r="Q121" s="49" t="s">
        <v>609</v>
      </c>
      <c r="R121" s="49" t="s">
        <v>610</v>
      </c>
      <c r="S121" s="49" t="s">
        <v>611</v>
      </c>
      <c r="T121" s="49"/>
    </row>
    <row r="122" spans="1:20" x14ac:dyDescent="0.3">
      <c r="A122" s="44"/>
      <c r="B122" s="44"/>
      <c r="C122" s="45"/>
      <c r="D122" s="46">
        <v>0</v>
      </c>
      <c r="E122" s="46">
        <v>0</v>
      </c>
      <c r="F122" s="46">
        <f t="shared" si="2"/>
        <v>0</v>
      </c>
      <c r="G122" s="46">
        <v>0</v>
      </c>
      <c r="H122" s="46"/>
      <c r="I122" s="46">
        <v>0</v>
      </c>
      <c r="J122" s="46">
        <v>0</v>
      </c>
      <c r="K122" s="46">
        <v>0</v>
      </c>
      <c r="L122" s="47">
        <f t="shared" si="3"/>
        <v>0</v>
      </c>
      <c r="M122" s="48">
        <v>0</v>
      </c>
      <c r="N122" s="48">
        <v>0</v>
      </c>
      <c r="O122" s="49" t="s">
        <v>612</v>
      </c>
      <c r="P122" s="49" t="s">
        <v>613</v>
      </c>
      <c r="Q122" s="49" t="s">
        <v>614</v>
      </c>
      <c r="R122" s="49" t="s">
        <v>615</v>
      </c>
      <c r="S122" s="49" t="s">
        <v>616</v>
      </c>
      <c r="T122" s="49"/>
    </row>
    <row r="123" spans="1:20" x14ac:dyDescent="0.3">
      <c r="A123" s="44"/>
      <c r="B123" s="44"/>
      <c r="C123" s="45"/>
      <c r="D123" s="46">
        <v>0</v>
      </c>
      <c r="E123" s="46">
        <v>0</v>
      </c>
      <c r="F123" s="46">
        <f t="shared" si="2"/>
        <v>0</v>
      </c>
      <c r="G123" s="46">
        <v>0</v>
      </c>
      <c r="H123" s="46"/>
      <c r="I123" s="46">
        <v>0</v>
      </c>
      <c r="J123" s="46">
        <v>0</v>
      </c>
      <c r="K123" s="46">
        <v>0</v>
      </c>
      <c r="L123" s="47">
        <f t="shared" si="3"/>
        <v>0</v>
      </c>
      <c r="M123" s="48">
        <v>0</v>
      </c>
      <c r="N123" s="48">
        <v>0</v>
      </c>
      <c r="O123" s="49" t="s">
        <v>617</v>
      </c>
      <c r="P123" s="49" t="s">
        <v>618</v>
      </c>
      <c r="Q123" s="49" t="s">
        <v>619</v>
      </c>
      <c r="R123" s="49" t="s">
        <v>620</v>
      </c>
      <c r="S123" s="49" t="s">
        <v>621</v>
      </c>
      <c r="T123" s="49"/>
    </row>
    <row r="124" spans="1:20" x14ac:dyDescent="0.3">
      <c r="A124" s="44"/>
      <c r="B124" s="44"/>
      <c r="C124" s="45"/>
      <c r="D124" s="46">
        <v>0</v>
      </c>
      <c r="E124" s="46">
        <v>0</v>
      </c>
      <c r="F124" s="46">
        <f t="shared" si="2"/>
        <v>0</v>
      </c>
      <c r="G124" s="46">
        <v>0</v>
      </c>
      <c r="H124" s="46"/>
      <c r="I124" s="46">
        <v>0</v>
      </c>
      <c r="J124" s="46">
        <v>0</v>
      </c>
      <c r="K124" s="46">
        <v>0</v>
      </c>
      <c r="L124" s="47">
        <f t="shared" si="3"/>
        <v>0</v>
      </c>
      <c r="M124" s="48">
        <v>0</v>
      </c>
      <c r="N124" s="48">
        <v>0</v>
      </c>
      <c r="O124" s="49" t="s">
        <v>622</v>
      </c>
      <c r="P124" s="49" t="s">
        <v>623</v>
      </c>
      <c r="Q124" s="49" t="s">
        <v>624</v>
      </c>
      <c r="R124" s="49" t="s">
        <v>625</v>
      </c>
      <c r="S124" s="49" t="s">
        <v>626</v>
      </c>
      <c r="T124" s="49"/>
    </row>
    <row r="125" spans="1:20" x14ac:dyDescent="0.3">
      <c r="A125" s="44"/>
      <c r="B125" s="44"/>
      <c r="C125" s="45"/>
      <c r="D125" s="46">
        <v>0</v>
      </c>
      <c r="E125" s="46">
        <v>0</v>
      </c>
      <c r="F125" s="46">
        <f t="shared" si="2"/>
        <v>0</v>
      </c>
      <c r="G125" s="46">
        <v>0</v>
      </c>
      <c r="H125" s="46"/>
      <c r="I125" s="46">
        <v>0</v>
      </c>
      <c r="J125" s="46">
        <v>0</v>
      </c>
      <c r="K125" s="46">
        <v>0</v>
      </c>
      <c r="L125" s="47">
        <f t="shared" si="3"/>
        <v>0</v>
      </c>
      <c r="M125" s="48">
        <v>0</v>
      </c>
      <c r="N125" s="48">
        <v>0</v>
      </c>
      <c r="O125" s="49" t="s">
        <v>627</v>
      </c>
      <c r="P125" s="49" t="s">
        <v>628</v>
      </c>
      <c r="Q125" s="49" t="s">
        <v>629</v>
      </c>
      <c r="R125" s="49" t="s">
        <v>630</v>
      </c>
      <c r="S125" s="49" t="s">
        <v>631</v>
      </c>
      <c r="T125" s="49"/>
    </row>
    <row r="126" spans="1:20" x14ac:dyDescent="0.3">
      <c r="A126" s="44"/>
      <c r="B126" s="44"/>
      <c r="C126" s="45"/>
      <c r="D126" s="46">
        <v>0</v>
      </c>
      <c r="E126" s="46">
        <v>0</v>
      </c>
      <c r="F126" s="46">
        <f t="shared" si="2"/>
        <v>0</v>
      </c>
      <c r="G126" s="46">
        <v>0</v>
      </c>
      <c r="H126" s="46"/>
      <c r="I126" s="46">
        <v>0</v>
      </c>
      <c r="J126" s="46">
        <v>0</v>
      </c>
      <c r="K126" s="46">
        <v>0</v>
      </c>
      <c r="L126" s="47">
        <f t="shared" si="3"/>
        <v>0</v>
      </c>
      <c r="M126" s="48">
        <v>0</v>
      </c>
      <c r="N126" s="48">
        <v>0</v>
      </c>
      <c r="O126" s="49" t="s">
        <v>632</v>
      </c>
      <c r="P126" s="49" t="s">
        <v>633</v>
      </c>
      <c r="Q126" s="49" t="s">
        <v>634</v>
      </c>
      <c r="R126" s="49" t="s">
        <v>635</v>
      </c>
      <c r="S126" s="49" t="s">
        <v>636</v>
      </c>
      <c r="T126" s="49"/>
    </row>
    <row r="127" spans="1:20" x14ac:dyDescent="0.3">
      <c r="A127" s="44"/>
      <c r="B127" s="44"/>
      <c r="C127" s="45"/>
      <c r="D127" s="46">
        <v>0</v>
      </c>
      <c r="E127" s="46">
        <v>0</v>
      </c>
      <c r="F127" s="46">
        <f t="shared" si="2"/>
        <v>0</v>
      </c>
      <c r="G127" s="46">
        <v>0</v>
      </c>
      <c r="H127" s="46"/>
      <c r="I127" s="46">
        <v>0</v>
      </c>
      <c r="J127" s="46">
        <v>0</v>
      </c>
      <c r="K127" s="46">
        <v>0</v>
      </c>
      <c r="L127" s="47">
        <f t="shared" si="3"/>
        <v>0</v>
      </c>
      <c r="M127" s="48">
        <v>0</v>
      </c>
      <c r="N127" s="48">
        <v>0</v>
      </c>
      <c r="O127" s="49" t="s">
        <v>637</v>
      </c>
      <c r="P127" s="49" t="s">
        <v>638</v>
      </c>
      <c r="Q127" s="49" t="s">
        <v>639</v>
      </c>
      <c r="R127" s="49" t="s">
        <v>640</v>
      </c>
      <c r="S127" s="49" t="s">
        <v>641</v>
      </c>
      <c r="T127" s="49"/>
    </row>
    <row r="128" spans="1:20" x14ac:dyDescent="0.3">
      <c r="A128" s="44"/>
      <c r="B128" s="44"/>
      <c r="C128" s="45"/>
      <c r="D128" s="46">
        <v>0</v>
      </c>
      <c r="E128" s="46">
        <v>0</v>
      </c>
      <c r="F128" s="46">
        <f t="shared" si="2"/>
        <v>0</v>
      </c>
      <c r="G128" s="46">
        <v>0</v>
      </c>
      <c r="H128" s="46"/>
      <c r="I128" s="46">
        <v>0</v>
      </c>
      <c r="J128" s="46">
        <v>0</v>
      </c>
      <c r="K128" s="46">
        <v>0</v>
      </c>
      <c r="L128" s="47">
        <f t="shared" si="3"/>
        <v>0</v>
      </c>
      <c r="M128" s="48">
        <v>0</v>
      </c>
      <c r="N128" s="48">
        <v>0</v>
      </c>
      <c r="O128" s="49" t="s">
        <v>642</v>
      </c>
      <c r="P128" s="49" t="s">
        <v>643</v>
      </c>
      <c r="Q128" s="49" t="s">
        <v>644</v>
      </c>
      <c r="R128" s="49" t="s">
        <v>645</v>
      </c>
      <c r="S128" s="49" t="s">
        <v>646</v>
      </c>
      <c r="T128" s="49"/>
    </row>
    <row r="129" spans="1:20" x14ac:dyDescent="0.3">
      <c r="A129" s="44"/>
      <c r="B129" s="44"/>
      <c r="C129" s="45"/>
      <c r="D129" s="46">
        <v>0</v>
      </c>
      <c r="E129" s="46">
        <v>0</v>
      </c>
      <c r="F129" s="46">
        <f t="shared" si="2"/>
        <v>0</v>
      </c>
      <c r="G129" s="46">
        <v>0</v>
      </c>
      <c r="H129" s="46"/>
      <c r="I129" s="46">
        <v>0</v>
      </c>
      <c r="J129" s="46">
        <v>0</v>
      </c>
      <c r="K129" s="46">
        <v>0</v>
      </c>
      <c r="L129" s="47">
        <f t="shared" si="3"/>
        <v>0</v>
      </c>
      <c r="M129" s="48">
        <v>0</v>
      </c>
      <c r="N129" s="48">
        <v>0</v>
      </c>
      <c r="O129" s="49" t="s">
        <v>647</v>
      </c>
      <c r="P129" s="49" t="s">
        <v>648</v>
      </c>
      <c r="Q129" s="49" t="s">
        <v>649</v>
      </c>
      <c r="R129" s="49" t="s">
        <v>650</v>
      </c>
      <c r="S129" s="49" t="s">
        <v>651</v>
      </c>
      <c r="T129" s="49"/>
    </row>
    <row r="130" spans="1:20" x14ac:dyDescent="0.3">
      <c r="A130" s="44"/>
      <c r="B130" s="44"/>
      <c r="C130" s="45"/>
      <c r="D130" s="46">
        <v>0</v>
      </c>
      <c r="E130" s="46">
        <v>0</v>
      </c>
      <c r="F130" s="46">
        <f t="shared" si="2"/>
        <v>0</v>
      </c>
      <c r="G130" s="46">
        <v>0</v>
      </c>
      <c r="H130" s="46"/>
      <c r="I130" s="46">
        <v>0</v>
      </c>
      <c r="J130" s="46">
        <v>0</v>
      </c>
      <c r="K130" s="46">
        <v>0</v>
      </c>
      <c r="L130" s="47">
        <f t="shared" si="3"/>
        <v>0</v>
      </c>
      <c r="M130" s="48">
        <v>0</v>
      </c>
      <c r="N130" s="48">
        <v>0</v>
      </c>
      <c r="O130" s="49" t="s">
        <v>652</v>
      </c>
      <c r="P130" s="49" t="s">
        <v>653</v>
      </c>
      <c r="Q130" s="49" t="s">
        <v>654</v>
      </c>
      <c r="R130" s="49" t="s">
        <v>655</v>
      </c>
      <c r="S130" s="49" t="s">
        <v>656</v>
      </c>
      <c r="T130" s="49"/>
    </row>
    <row r="131" spans="1:20" x14ac:dyDescent="0.3">
      <c r="A131" s="44"/>
      <c r="B131" s="44"/>
      <c r="C131" s="45"/>
      <c r="D131" s="46">
        <v>0</v>
      </c>
      <c r="E131" s="46">
        <v>0</v>
      </c>
      <c r="F131" s="46">
        <f t="shared" si="2"/>
        <v>0</v>
      </c>
      <c r="G131" s="46">
        <v>0</v>
      </c>
      <c r="H131" s="46"/>
      <c r="I131" s="46">
        <v>0</v>
      </c>
      <c r="J131" s="46">
        <v>0</v>
      </c>
      <c r="K131" s="46">
        <v>0</v>
      </c>
      <c r="L131" s="47">
        <f t="shared" si="3"/>
        <v>0</v>
      </c>
      <c r="M131" s="48">
        <v>0</v>
      </c>
      <c r="N131" s="48">
        <v>0</v>
      </c>
      <c r="O131" s="49" t="s">
        <v>657</v>
      </c>
      <c r="P131" s="49" t="s">
        <v>658</v>
      </c>
      <c r="Q131" s="49" t="s">
        <v>659</v>
      </c>
      <c r="R131" s="49" t="s">
        <v>660</v>
      </c>
      <c r="S131" s="49" t="s">
        <v>661</v>
      </c>
      <c r="T131" s="49"/>
    </row>
    <row r="132" spans="1:20" x14ac:dyDescent="0.3">
      <c r="A132" s="44"/>
      <c r="B132" s="44"/>
      <c r="C132" s="45"/>
      <c r="D132" s="46">
        <v>0</v>
      </c>
      <c r="E132" s="46">
        <v>0</v>
      </c>
      <c r="F132" s="46">
        <f t="shared" si="2"/>
        <v>0</v>
      </c>
      <c r="G132" s="46">
        <v>0</v>
      </c>
      <c r="H132" s="46"/>
      <c r="I132" s="46">
        <v>0</v>
      </c>
      <c r="J132" s="46">
        <v>0</v>
      </c>
      <c r="K132" s="46">
        <v>0</v>
      </c>
      <c r="L132" s="47">
        <f t="shared" si="3"/>
        <v>0</v>
      </c>
      <c r="M132" s="48">
        <v>0</v>
      </c>
      <c r="N132" s="48">
        <v>0</v>
      </c>
      <c r="O132" s="49" t="s">
        <v>662</v>
      </c>
      <c r="P132" s="49" t="s">
        <v>663</v>
      </c>
      <c r="Q132" s="49" t="s">
        <v>664</v>
      </c>
      <c r="R132" s="49" t="s">
        <v>665</v>
      </c>
      <c r="S132" s="49" t="s">
        <v>666</v>
      </c>
      <c r="T132" s="49"/>
    </row>
    <row r="133" spans="1:20" x14ac:dyDescent="0.3">
      <c r="A133" s="44"/>
      <c r="B133" s="44"/>
      <c r="C133" s="45"/>
      <c r="D133" s="46">
        <v>0</v>
      </c>
      <c r="E133" s="46">
        <v>0</v>
      </c>
      <c r="F133" s="46">
        <f t="shared" si="2"/>
        <v>0</v>
      </c>
      <c r="G133" s="46">
        <v>0</v>
      </c>
      <c r="H133" s="46"/>
      <c r="I133" s="46">
        <v>0</v>
      </c>
      <c r="J133" s="46">
        <v>0</v>
      </c>
      <c r="K133" s="46">
        <v>0</v>
      </c>
      <c r="L133" s="47">
        <f t="shared" si="3"/>
        <v>0</v>
      </c>
      <c r="M133" s="48">
        <v>0</v>
      </c>
      <c r="N133" s="48">
        <v>0</v>
      </c>
      <c r="O133" s="49" t="s">
        <v>667</v>
      </c>
      <c r="P133" s="49" t="s">
        <v>668</v>
      </c>
      <c r="Q133" s="49" t="s">
        <v>669</v>
      </c>
      <c r="R133" s="49" t="s">
        <v>670</v>
      </c>
      <c r="S133" s="49" t="s">
        <v>671</v>
      </c>
      <c r="T133" s="49"/>
    </row>
    <row r="134" spans="1:20" x14ac:dyDescent="0.3">
      <c r="A134" s="44"/>
      <c r="B134" s="44"/>
      <c r="C134" s="45"/>
      <c r="D134" s="46">
        <v>0</v>
      </c>
      <c r="E134" s="46">
        <v>0</v>
      </c>
      <c r="F134" s="46">
        <f t="shared" si="2"/>
        <v>0</v>
      </c>
      <c r="G134" s="46">
        <v>0</v>
      </c>
      <c r="H134" s="46"/>
      <c r="I134" s="46">
        <v>0</v>
      </c>
      <c r="J134" s="46">
        <v>0</v>
      </c>
      <c r="K134" s="46">
        <v>0</v>
      </c>
      <c r="L134" s="47">
        <f t="shared" si="3"/>
        <v>0</v>
      </c>
      <c r="M134" s="48">
        <v>0</v>
      </c>
      <c r="N134" s="48">
        <v>0</v>
      </c>
      <c r="O134" s="49" t="s">
        <v>672</v>
      </c>
      <c r="P134" s="49" t="s">
        <v>673</v>
      </c>
      <c r="Q134" s="49" t="s">
        <v>674</v>
      </c>
      <c r="R134" s="49" t="s">
        <v>675</v>
      </c>
      <c r="S134" s="49" t="s">
        <v>676</v>
      </c>
      <c r="T134" s="49"/>
    </row>
    <row r="135" spans="1:20" x14ac:dyDescent="0.3">
      <c r="A135" s="44"/>
      <c r="B135" s="44"/>
      <c r="C135" s="45"/>
      <c r="D135" s="46">
        <v>0</v>
      </c>
      <c r="E135" s="46">
        <v>0</v>
      </c>
      <c r="F135" s="46">
        <f t="shared" si="2"/>
        <v>0</v>
      </c>
      <c r="G135" s="46">
        <v>0</v>
      </c>
      <c r="H135" s="46"/>
      <c r="I135" s="46">
        <v>0</v>
      </c>
      <c r="J135" s="46">
        <v>0</v>
      </c>
      <c r="K135" s="46">
        <v>0</v>
      </c>
      <c r="L135" s="47">
        <f t="shared" si="3"/>
        <v>0</v>
      </c>
      <c r="M135" s="48">
        <v>0</v>
      </c>
      <c r="N135" s="48">
        <v>0</v>
      </c>
      <c r="O135" s="49" t="s">
        <v>677</v>
      </c>
      <c r="P135" s="49" t="s">
        <v>678</v>
      </c>
      <c r="Q135" s="49" t="s">
        <v>679</v>
      </c>
      <c r="R135" s="49" t="s">
        <v>680</v>
      </c>
      <c r="S135" s="49" t="s">
        <v>681</v>
      </c>
      <c r="T135" s="49"/>
    </row>
    <row r="136" spans="1:20" x14ac:dyDescent="0.3">
      <c r="A136" s="44"/>
      <c r="B136" s="44"/>
      <c r="C136" s="45"/>
      <c r="D136" s="46">
        <v>0</v>
      </c>
      <c r="E136" s="46">
        <v>0</v>
      </c>
      <c r="F136" s="46">
        <f t="shared" si="2"/>
        <v>0</v>
      </c>
      <c r="G136" s="46">
        <v>0</v>
      </c>
      <c r="H136" s="46"/>
      <c r="I136" s="46">
        <v>0</v>
      </c>
      <c r="J136" s="46">
        <v>0</v>
      </c>
      <c r="K136" s="46">
        <v>0</v>
      </c>
      <c r="L136" s="47">
        <f t="shared" si="3"/>
        <v>0</v>
      </c>
      <c r="M136" s="48">
        <v>0</v>
      </c>
      <c r="N136" s="48">
        <v>0</v>
      </c>
      <c r="O136" s="49" t="s">
        <v>682</v>
      </c>
      <c r="P136" s="49" t="s">
        <v>683</v>
      </c>
      <c r="Q136" s="49" t="s">
        <v>684</v>
      </c>
      <c r="R136" s="49" t="s">
        <v>685</v>
      </c>
      <c r="S136" s="49" t="s">
        <v>686</v>
      </c>
      <c r="T136" s="49"/>
    </row>
    <row r="137" spans="1:20" x14ac:dyDescent="0.3">
      <c r="A137" s="44"/>
      <c r="B137" s="44"/>
      <c r="C137" s="45"/>
      <c r="D137" s="46">
        <v>0</v>
      </c>
      <c r="E137" s="46">
        <v>0</v>
      </c>
      <c r="F137" s="46">
        <f t="shared" si="2"/>
        <v>0</v>
      </c>
      <c r="G137" s="46">
        <v>0</v>
      </c>
      <c r="H137" s="46"/>
      <c r="I137" s="46">
        <v>0</v>
      </c>
      <c r="J137" s="46">
        <v>0</v>
      </c>
      <c r="K137" s="46">
        <v>0</v>
      </c>
      <c r="L137" s="47">
        <f t="shared" si="3"/>
        <v>0</v>
      </c>
      <c r="M137" s="48">
        <v>0</v>
      </c>
      <c r="N137" s="48">
        <v>0</v>
      </c>
      <c r="O137" s="49" t="s">
        <v>687</v>
      </c>
      <c r="P137" s="49" t="s">
        <v>688</v>
      </c>
      <c r="Q137" s="49" t="s">
        <v>689</v>
      </c>
      <c r="R137" s="49" t="s">
        <v>690</v>
      </c>
      <c r="S137" s="49" t="s">
        <v>691</v>
      </c>
      <c r="T137" s="49"/>
    </row>
    <row r="138" spans="1:20" x14ac:dyDescent="0.3">
      <c r="A138" s="44"/>
      <c r="B138" s="44"/>
      <c r="C138" s="45"/>
      <c r="D138" s="46">
        <v>0</v>
      </c>
      <c r="E138" s="46">
        <v>0</v>
      </c>
      <c r="F138" s="46">
        <f t="shared" si="2"/>
        <v>0</v>
      </c>
      <c r="G138" s="46">
        <v>0</v>
      </c>
      <c r="H138" s="46"/>
      <c r="I138" s="46">
        <v>0</v>
      </c>
      <c r="J138" s="46">
        <v>0</v>
      </c>
      <c r="K138" s="46">
        <v>0</v>
      </c>
      <c r="L138" s="47">
        <f t="shared" si="3"/>
        <v>0</v>
      </c>
      <c r="M138" s="48">
        <v>0</v>
      </c>
      <c r="N138" s="48">
        <v>0</v>
      </c>
      <c r="O138" s="49" t="s">
        <v>692</v>
      </c>
      <c r="P138" s="49" t="s">
        <v>693</v>
      </c>
      <c r="Q138" s="49" t="s">
        <v>694</v>
      </c>
      <c r="R138" s="49" t="s">
        <v>695</v>
      </c>
      <c r="S138" s="49" t="s">
        <v>696</v>
      </c>
      <c r="T138" s="49"/>
    </row>
    <row r="139" spans="1:20" x14ac:dyDescent="0.3">
      <c r="A139" s="44"/>
      <c r="B139" s="44"/>
      <c r="C139" s="45"/>
      <c r="D139" s="46">
        <v>0</v>
      </c>
      <c r="E139" s="46">
        <v>0</v>
      </c>
      <c r="F139" s="46">
        <f t="shared" si="2"/>
        <v>0</v>
      </c>
      <c r="G139" s="46">
        <v>0</v>
      </c>
      <c r="H139" s="46"/>
      <c r="I139" s="46">
        <v>0</v>
      </c>
      <c r="J139" s="46">
        <v>0</v>
      </c>
      <c r="K139" s="46">
        <v>0</v>
      </c>
      <c r="L139" s="47">
        <f t="shared" si="3"/>
        <v>0</v>
      </c>
      <c r="M139" s="48">
        <v>0</v>
      </c>
      <c r="N139" s="48">
        <v>0</v>
      </c>
      <c r="O139" s="49" t="s">
        <v>697</v>
      </c>
      <c r="P139" s="49" t="s">
        <v>698</v>
      </c>
      <c r="Q139" s="49" t="s">
        <v>699</v>
      </c>
      <c r="R139" s="49" t="s">
        <v>700</v>
      </c>
      <c r="S139" s="49" t="s">
        <v>701</v>
      </c>
      <c r="T139" s="49"/>
    </row>
    <row r="140" spans="1:20" x14ac:dyDescent="0.3">
      <c r="A140" s="44"/>
      <c r="B140" s="44"/>
      <c r="C140" s="45"/>
      <c r="D140" s="46">
        <v>0</v>
      </c>
      <c r="E140" s="46">
        <v>0</v>
      </c>
      <c r="F140" s="46">
        <f t="shared" si="2"/>
        <v>0</v>
      </c>
      <c r="G140" s="46">
        <v>0</v>
      </c>
      <c r="H140" s="46"/>
      <c r="I140" s="46">
        <v>0</v>
      </c>
      <c r="J140" s="46">
        <v>0</v>
      </c>
      <c r="K140" s="46">
        <v>0</v>
      </c>
      <c r="L140" s="47">
        <f t="shared" si="3"/>
        <v>0</v>
      </c>
      <c r="M140" s="48">
        <v>0</v>
      </c>
      <c r="N140" s="48">
        <v>0</v>
      </c>
      <c r="O140" s="49" t="s">
        <v>702</v>
      </c>
      <c r="P140" s="49" t="s">
        <v>703</v>
      </c>
      <c r="Q140" s="49" t="s">
        <v>704</v>
      </c>
      <c r="R140" s="49" t="s">
        <v>705</v>
      </c>
      <c r="S140" s="49" t="s">
        <v>706</v>
      </c>
      <c r="T140" s="49"/>
    </row>
    <row r="141" spans="1:20" x14ac:dyDescent="0.3">
      <c r="A141" s="44"/>
      <c r="B141" s="44"/>
      <c r="C141" s="45"/>
      <c r="D141" s="46">
        <v>0</v>
      </c>
      <c r="E141" s="46">
        <v>0</v>
      </c>
      <c r="F141" s="46">
        <f t="shared" ref="F141:F150" si="4">E141-G141-H141</f>
        <v>0</v>
      </c>
      <c r="G141" s="46">
        <v>0</v>
      </c>
      <c r="H141" s="46"/>
      <c r="I141" s="46">
        <v>0</v>
      </c>
      <c r="J141" s="46">
        <v>0</v>
      </c>
      <c r="K141" s="46">
        <v>0</v>
      </c>
      <c r="L141" s="47">
        <f t="shared" ref="L141:L150" si="5">C141+J141+K141-H141-F141+D141</f>
        <v>0</v>
      </c>
      <c r="M141" s="48">
        <v>0</v>
      </c>
      <c r="N141" s="48">
        <v>0</v>
      </c>
      <c r="O141" s="49" t="s">
        <v>707</v>
      </c>
      <c r="P141" s="49" t="s">
        <v>708</v>
      </c>
      <c r="Q141" s="49" t="s">
        <v>709</v>
      </c>
      <c r="R141" s="49" t="s">
        <v>710</v>
      </c>
      <c r="S141" s="49" t="s">
        <v>711</v>
      </c>
      <c r="T141" s="49"/>
    </row>
    <row r="142" spans="1:20" x14ac:dyDescent="0.3">
      <c r="A142" s="44"/>
      <c r="B142" s="44"/>
      <c r="C142" s="45"/>
      <c r="D142" s="46">
        <v>0</v>
      </c>
      <c r="E142" s="46">
        <v>0</v>
      </c>
      <c r="F142" s="46">
        <f t="shared" si="4"/>
        <v>0</v>
      </c>
      <c r="G142" s="46">
        <v>0</v>
      </c>
      <c r="H142" s="46"/>
      <c r="I142" s="46">
        <v>0</v>
      </c>
      <c r="J142" s="46">
        <v>0</v>
      </c>
      <c r="K142" s="46">
        <v>0</v>
      </c>
      <c r="L142" s="47">
        <f t="shared" si="5"/>
        <v>0</v>
      </c>
      <c r="M142" s="48">
        <v>0</v>
      </c>
      <c r="N142" s="48">
        <v>0</v>
      </c>
      <c r="O142" s="49" t="s">
        <v>712</v>
      </c>
      <c r="P142" s="49" t="s">
        <v>713</v>
      </c>
      <c r="Q142" s="49" t="s">
        <v>714</v>
      </c>
      <c r="R142" s="49" t="s">
        <v>715</v>
      </c>
      <c r="S142" s="49" t="s">
        <v>716</v>
      </c>
      <c r="T142" s="49"/>
    </row>
    <row r="143" spans="1:20" x14ac:dyDescent="0.3">
      <c r="A143" s="44"/>
      <c r="B143" s="44"/>
      <c r="C143" s="45"/>
      <c r="D143" s="46">
        <v>0</v>
      </c>
      <c r="E143" s="46">
        <v>0</v>
      </c>
      <c r="F143" s="46">
        <f t="shared" si="4"/>
        <v>0</v>
      </c>
      <c r="G143" s="46">
        <v>0</v>
      </c>
      <c r="H143" s="46"/>
      <c r="I143" s="46">
        <v>0</v>
      </c>
      <c r="J143" s="46">
        <v>0</v>
      </c>
      <c r="K143" s="46">
        <v>0</v>
      </c>
      <c r="L143" s="47">
        <f t="shared" si="5"/>
        <v>0</v>
      </c>
      <c r="M143" s="48">
        <v>0</v>
      </c>
      <c r="N143" s="48">
        <v>0</v>
      </c>
      <c r="O143" s="49" t="s">
        <v>717</v>
      </c>
      <c r="P143" s="49" t="s">
        <v>718</v>
      </c>
      <c r="Q143" s="49" t="s">
        <v>719</v>
      </c>
      <c r="R143" s="49" t="s">
        <v>720</v>
      </c>
      <c r="S143" s="49" t="s">
        <v>721</v>
      </c>
      <c r="T143" s="49"/>
    </row>
    <row r="144" spans="1:20" x14ac:dyDescent="0.3">
      <c r="A144" s="44"/>
      <c r="B144" s="44"/>
      <c r="C144" s="45"/>
      <c r="D144" s="46">
        <v>0</v>
      </c>
      <c r="E144" s="46">
        <v>0</v>
      </c>
      <c r="F144" s="46">
        <f t="shared" si="4"/>
        <v>0</v>
      </c>
      <c r="G144" s="46">
        <v>0</v>
      </c>
      <c r="H144" s="46"/>
      <c r="I144" s="46">
        <v>0</v>
      </c>
      <c r="J144" s="46">
        <v>0</v>
      </c>
      <c r="K144" s="46">
        <v>0</v>
      </c>
      <c r="L144" s="47">
        <f t="shared" si="5"/>
        <v>0</v>
      </c>
      <c r="M144" s="48">
        <v>0</v>
      </c>
      <c r="N144" s="48">
        <v>0</v>
      </c>
      <c r="O144" s="49" t="s">
        <v>722</v>
      </c>
      <c r="P144" s="49" t="s">
        <v>723</v>
      </c>
      <c r="Q144" s="49" t="s">
        <v>724</v>
      </c>
      <c r="R144" s="49" t="s">
        <v>725</v>
      </c>
      <c r="S144" s="49" t="s">
        <v>726</v>
      </c>
      <c r="T144" s="49"/>
    </row>
    <row r="145" spans="1:20" x14ac:dyDescent="0.3">
      <c r="A145" s="44"/>
      <c r="B145" s="44"/>
      <c r="C145" s="45"/>
      <c r="D145" s="46">
        <v>0</v>
      </c>
      <c r="E145" s="46">
        <v>0</v>
      </c>
      <c r="F145" s="46">
        <f t="shared" si="4"/>
        <v>0</v>
      </c>
      <c r="G145" s="46">
        <v>0</v>
      </c>
      <c r="H145" s="46"/>
      <c r="I145" s="46">
        <v>0</v>
      </c>
      <c r="J145" s="46">
        <v>0</v>
      </c>
      <c r="K145" s="46">
        <v>0</v>
      </c>
      <c r="L145" s="47">
        <f t="shared" si="5"/>
        <v>0</v>
      </c>
      <c r="M145" s="48">
        <v>0</v>
      </c>
      <c r="N145" s="48">
        <v>0</v>
      </c>
      <c r="O145" s="49" t="s">
        <v>727</v>
      </c>
      <c r="P145" s="49" t="s">
        <v>728</v>
      </c>
      <c r="Q145" s="49" t="s">
        <v>729</v>
      </c>
      <c r="R145" s="49" t="s">
        <v>730</v>
      </c>
      <c r="S145" s="49" t="s">
        <v>731</v>
      </c>
      <c r="T145" s="49"/>
    </row>
    <row r="146" spans="1:20" x14ac:dyDescent="0.3">
      <c r="A146" s="44"/>
      <c r="B146" s="44"/>
      <c r="C146" s="45"/>
      <c r="D146" s="46">
        <v>0</v>
      </c>
      <c r="E146" s="46">
        <v>0</v>
      </c>
      <c r="F146" s="46">
        <f t="shared" si="4"/>
        <v>0</v>
      </c>
      <c r="G146" s="46">
        <v>0</v>
      </c>
      <c r="H146" s="46"/>
      <c r="I146" s="46">
        <v>0</v>
      </c>
      <c r="J146" s="46">
        <v>0</v>
      </c>
      <c r="K146" s="46">
        <v>0</v>
      </c>
      <c r="L146" s="47">
        <f t="shared" si="5"/>
        <v>0</v>
      </c>
      <c r="M146" s="48">
        <v>0</v>
      </c>
      <c r="N146" s="48">
        <v>0</v>
      </c>
      <c r="O146" s="49" t="s">
        <v>732</v>
      </c>
      <c r="P146" s="49" t="s">
        <v>733</v>
      </c>
      <c r="Q146" s="49" t="s">
        <v>734</v>
      </c>
      <c r="R146" s="49" t="s">
        <v>735</v>
      </c>
      <c r="S146" s="49" t="s">
        <v>736</v>
      </c>
      <c r="T146" s="49"/>
    </row>
    <row r="147" spans="1:20" x14ac:dyDescent="0.3">
      <c r="A147" s="44"/>
      <c r="B147" s="44"/>
      <c r="C147" s="45"/>
      <c r="D147" s="46">
        <v>0</v>
      </c>
      <c r="E147" s="46">
        <v>0</v>
      </c>
      <c r="F147" s="46">
        <f t="shared" si="4"/>
        <v>0</v>
      </c>
      <c r="G147" s="46">
        <v>0</v>
      </c>
      <c r="H147" s="46"/>
      <c r="I147" s="46">
        <v>0</v>
      </c>
      <c r="J147" s="46">
        <v>0</v>
      </c>
      <c r="K147" s="46">
        <v>0</v>
      </c>
      <c r="L147" s="47">
        <f t="shared" si="5"/>
        <v>0</v>
      </c>
      <c r="M147" s="48">
        <v>0</v>
      </c>
      <c r="N147" s="48">
        <v>0</v>
      </c>
      <c r="O147" s="49" t="s">
        <v>737</v>
      </c>
      <c r="P147" s="49" t="s">
        <v>738</v>
      </c>
      <c r="Q147" s="49" t="s">
        <v>739</v>
      </c>
      <c r="R147" s="49" t="s">
        <v>740</v>
      </c>
      <c r="S147" s="49" t="s">
        <v>741</v>
      </c>
      <c r="T147" s="49"/>
    </row>
    <row r="148" spans="1:20" x14ac:dyDescent="0.3">
      <c r="A148" s="44"/>
      <c r="B148" s="44"/>
      <c r="C148" s="45"/>
      <c r="D148" s="46">
        <v>0</v>
      </c>
      <c r="E148" s="46">
        <v>0</v>
      </c>
      <c r="F148" s="46">
        <f t="shared" si="4"/>
        <v>0</v>
      </c>
      <c r="G148" s="46">
        <v>0</v>
      </c>
      <c r="H148" s="46"/>
      <c r="I148" s="46">
        <v>0</v>
      </c>
      <c r="J148" s="46">
        <v>0</v>
      </c>
      <c r="K148" s="46">
        <v>0</v>
      </c>
      <c r="L148" s="47">
        <f t="shared" si="5"/>
        <v>0</v>
      </c>
      <c r="M148" s="48">
        <v>0</v>
      </c>
      <c r="N148" s="48">
        <v>0</v>
      </c>
      <c r="O148" s="49" t="s">
        <v>742</v>
      </c>
      <c r="P148" s="49" t="s">
        <v>743</v>
      </c>
      <c r="Q148" s="49" t="s">
        <v>744</v>
      </c>
      <c r="R148" s="49" t="s">
        <v>745</v>
      </c>
      <c r="S148" s="49" t="s">
        <v>746</v>
      </c>
      <c r="T148" s="49"/>
    </row>
    <row r="149" spans="1:20" x14ac:dyDescent="0.3">
      <c r="A149" s="44"/>
      <c r="B149" s="44"/>
      <c r="C149" s="45"/>
      <c r="D149" s="46">
        <v>0</v>
      </c>
      <c r="E149" s="46">
        <v>0</v>
      </c>
      <c r="F149" s="46">
        <f t="shared" si="4"/>
        <v>0</v>
      </c>
      <c r="G149" s="46">
        <v>0</v>
      </c>
      <c r="H149" s="46"/>
      <c r="I149" s="46">
        <v>0</v>
      </c>
      <c r="J149" s="46">
        <v>0</v>
      </c>
      <c r="K149" s="46">
        <v>0</v>
      </c>
      <c r="L149" s="47">
        <f t="shared" si="5"/>
        <v>0</v>
      </c>
      <c r="M149" s="48">
        <v>0</v>
      </c>
      <c r="N149" s="48">
        <v>0</v>
      </c>
      <c r="O149" s="49" t="s">
        <v>747</v>
      </c>
      <c r="P149" s="49" t="s">
        <v>748</v>
      </c>
      <c r="Q149" s="49" t="s">
        <v>749</v>
      </c>
      <c r="R149" s="49" t="s">
        <v>750</v>
      </c>
      <c r="S149" s="49" t="s">
        <v>751</v>
      </c>
      <c r="T149" s="49"/>
    </row>
    <row r="150" spans="1:20" x14ac:dyDescent="0.3">
      <c r="A150" s="44"/>
      <c r="B150" s="44"/>
      <c r="C150" s="45"/>
      <c r="D150" s="46">
        <v>0</v>
      </c>
      <c r="E150" s="46">
        <v>0</v>
      </c>
      <c r="F150" s="46">
        <f t="shared" si="4"/>
        <v>0</v>
      </c>
      <c r="G150" s="46">
        <v>0</v>
      </c>
      <c r="H150" s="46"/>
      <c r="I150" s="46">
        <v>0</v>
      </c>
      <c r="J150" s="46">
        <v>0</v>
      </c>
      <c r="K150" s="46">
        <v>0</v>
      </c>
      <c r="L150" s="47">
        <f t="shared" si="5"/>
        <v>0</v>
      </c>
      <c r="M150" s="48">
        <v>0</v>
      </c>
      <c r="N150" s="48">
        <v>0</v>
      </c>
      <c r="O150" s="49" t="s">
        <v>752</v>
      </c>
      <c r="P150" s="49" t="s">
        <v>753</v>
      </c>
      <c r="Q150" s="49" t="s">
        <v>754</v>
      </c>
      <c r="R150" s="49" t="s">
        <v>755</v>
      </c>
      <c r="S150" s="49" t="s">
        <v>756</v>
      </c>
      <c r="T150" s="49"/>
    </row>
    <row r="151" spans="1:20" x14ac:dyDescent="0.3">
      <c r="A151" s="2"/>
      <c r="B151" s="18" t="s">
        <v>7</v>
      </c>
      <c r="C151" s="2"/>
      <c r="D151" s="14">
        <f t="shared" ref="D151:K151" si="6">SUM(D12:D150)</f>
        <v>0</v>
      </c>
      <c r="E151" s="14">
        <f t="shared" si="6"/>
        <v>0</v>
      </c>
      <c r="F151" s="14">
        <f t="shared" si="6"/>
        <v>0</v>
      </c>
      <c r="G151" s="14">
        <f t="shared" si="6"/>
        <v>0</v>
      </c>
      <c r="H151" s="14">
        <f t="shared" si="6"/>
        <v>0</v>
      </c>
      <c r="I151" s="14">
        <f t="shared" si="6"/>
        <v>0</v>
      </c>
      <c r="J151" s="14">
        <f t="shared" si="6"/>
        <v>0</v>
      </c>
      <c r="K151" s="14">
        <f t="shared" si="6"/>
        <v>0</v>
      </c>
      <c r="L151" s="14">
        <f>INDEX(L12:L150, COUNTA(L12:L150))</f>
        <v>0</v>
      </c>
    </row>
    <row r="152" spans="1:20" x14ac:dyDescent="0.3">
      <c r="D152" s="10"/>
    </row>
    <row r="153" spans="1:20" x14ac:dyDescent="0.3">
      <c r="D153" s="10"/>
      <c r="E153" s="15"/>
      <c r="F153"/>
    </row>
    <row r="154" spans="1:20" x14ac:dyDescent="0.3">
      <c r="D154" s="10"/>
    </row>
    <row r="155" spans="1:20" x14ac:dyDescent="0.3">
      <c r="D155" s="10"/>
    </row>
    <row r="156" spans="1:20" x14ac:dyDescent="0.3">
      <c r="D156" s="10"/>
    </row>
    <row r="159" spans="1:20" x14ac:dyDescent="0.3">
      <c r="D159" s="10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tabSelected="1" zoomScale="73" zoomScaleNormal="310" workbookViewId="0">
      <selection activeCell="K13" sqref="K13"/>
    </sheetView>
  </sheetViews>
  <sheetFormatPr defaultRowHeight="14.4" x14ac:dyDescent="0.3"/>
  <cols>
    <col min="1" max="1" width="18.88671875" customWidth="1"/>
    <col min="2" max="2" width="17.109375" customWidth="1"/>
    <col min="3" max="3" width="18.33203125" customWidth="1"/>
    <col min="4" max="4" width="18.6640625" customWidth="1"/>
    <col min="5" max="5" width="21.33203125" customWidth="1"/>
    <col min="6" max="6" width="31.33203125" customWidth="1"/>
    <col min="7" max="7" width="28.109375" customWidth="1"/>
    <col min="8" max="8" width="83.5546875" customWidth="1"/>
    <col min="9" max="9" width="11.44140625" customWidth="1"/>
  </cols>
  <sheetData>
    <row r="1" spans="1:9" ht="39.75" customHeight="1" x14ac:dyDescent="0.3">
      <c r="A1" s="40" t="s">
        <v>31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36</v>
      </c>
      <c r="G1" s="40" t="s">
        <v>43</v>
      </c>
      <c r="H1" s="40" t="s">
        <v>44</v>
      </c>
      <c r="I1" s="19"/>
    </row>
    <row r="2" spans="1:9" ht="18.75" customHeight="1" x14ac:dyDescent="0.3">
      <c r="A2" s="23"/>
      <c r="B2" s="23"/>
      <c r="C2" s="41"/>
      <c r="D2" s="41"/>
      <c r="E2" s="41"/>
      <c r="F2" s="29"/>
      <c r="G2" s="42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3">
      <c r="A3" s="24"/>
      <c r="B3" s="24"/>
      <c r="C3" s="24"/>
      <c r="D3" s="24"/>
      <c r="F3" s="24"/>
      <c r="H3" s="62" t="s">
        <v>757</v>
      </c>
    </row>
    <row r="4" spans="1:9" ht="18" x14ac:dyDescent="0.35">
      <c r="A4" s="59" t="s">
        <v>66</v>
      </c>
      <c r="H4" s="63"/>
    </row>
    <row r="6" spans="1:9" x14ac:dyDescent="0.3">
      <c r="A6" s="54"/>
    </row>
    <row r="7" spans="1:9" x14ac:dyDescent="0.3">
      <c r="A7" s="56"/>
    </row>
    <row r="10" spans="1:9" x14ac:dyDescent="0.3">
      <c r="A10" s="54"/>
    </row>
    <row r="11" spans="1:9" x14ac:dyDescent="0.3">
      <c r="A11" s="55"/>
      <c r="D11" s="51"/>
    </row>
    <row r="12" spans="1:9" x14ac:dyDescent="0.3">
      <c r="A12" s="55"/>
    </row>
    <row r="13" spans="1:9" x14ac:dyDescent="0.3">
      <c r="A13" s="55"/>
    </row>
    <row r="802" spans="1:2" x14ac:dyDescent="0.3">
      <c r="A802" t="s">
        <v>59</v>
      </c>
      <c r="B802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15"/>
  <sheetViews>
    <sheetView workbookViewId="0">
      <selection activeCell="K12" sqref="K12"/>
    </sheetView>
  </sheetViews>
  <sheetFormatPr defaultRowHeight="14.4" x14ac:dyDescent="0.3"/>
  <cols>
    <col min="1" max="1" width="10" style="58" customWidth="1"/>
    <col min="2" max="13" width="10" customWidth="1"/>
    <col min="14" max="14" width="10" style="58" customWidth="1"/>
    <col min="15" max="17" width="10" customWidth="1"/>
  </cols>
  <sheetData>
    <row r="1" spans="1:14" x14ac:dyDescent="0.3">
      <c r="A1"/>
      <c r="N1"/>
    </row>
    <row r="2" spans="1:14" x14ac:dyDescent="0.3">
      <c r="A2"/>
      <c r="N2"/>
    </row>
    <row r="3" spans="1:14" x14ac:dyDescent="0.3">
      <c r="A3"/>
      <c r="N3"/>
    </row>
    <row r="4" spans="1:14" x14ac:dyDescent="0.3">
      <c r="A4"/>
      <c r="N4"/>
    </row>
    <row r="5" spans="1:14" x14ac:dyDescent="0.3">
      <c r="A5"/>
      <c r="N5"/>
    </row>
    <row r="6" spans="1:14" x14ac:dyDescent="0.3">
      <c r="A6"/>
      <c r="N6"/>
    </row>
    <row r="7" spans="1:14" x14ac:dyDescent="0.3">
      <c r="A7"/>
      <c r="N7"/>
    </row>
    <row r="8" spans="1:14" x14ac:dyDescent="0.3">
      <c r="A8"/>
      <c r="N8"/>
    </row>
    <row r="9" spans="1:14" x14ac:dyDescent="0.3">
      <c r="A9"/>
      <c r="N9"/>
    </row>
    <row r="10" spans="1:14" x14ac:dyDescent="0.3">
      <c r="A10"/>
      <c r="N10"/>
    </row>
    <row r="11" spans="1:14" x14ac:dyDescent="0.3">
      <c r="A11"/>
      <c r="N11"/>
    </row>
    <row r="12" spans="1:14" x14ac:dyDescent="0.3">
      <c r="A12"/>
      <c r="N12"/>
    </row>
    <row r="13" spans="1:14" x14ac:dyDescent="0.3">
      <c r="A13"/>
      <c r="N13"/>
    </row>
    <row r="14" spans="1:14" x14ac:dyDescent="0.3">
      <c r="A14"/>
      <c r="N14"/>
    </row>
    <row r="15" spans="1:14" x14ac:dyDescent="0.3">
      <c r="A15"/>
      <c r="N15"/>
    </row>
    <row r="16" spans="1:14" x14ac:dyDescent="0.3">
      <c r="A16"/>
      <c r="N16"/>
    </row>
    <row r="17" spans="1:14" x14ac:dyDescent="0.3">
      <c r="A17"/>
      <c r="N17"/>
    </row>
    <row r="18" spans="1:14" x14ac:dyDescent="0.3">
      <c r="A18"/>
      <c r="N18"/>
    </row>
    <row r="19" spans="1:14" x14ac:dyDescent="0.3">
      <c r="A19"/>
      <c r="N19"/>
    </row>
    <row r="20" spans="1:14" x14ac:dyDescent="0.3">
      <c r="A20"/>
      <c r="N20"/>
    </row>
    <row r="21" spans="1:14" x14ac:dyDescent="0.3">
      <c r="A21"/>
      <c r="N21"/>
    </row>
    <row r="22" spans="1:14" x14ac:dyDescent="0.3">
      <c r="A22"/>
      <c r="N22"/>
    </row>
    <row r="23" spans="1:14" x14ac:dyDescent="0.3">
      <c r="A23"/>
      <c r="N23"/>
    </row>
    <row r="24" spans="1:14" x14ac:dyDescent="0.3">
      <c r="A24"/>
      <c r="N24"/>
    </row>
    <row r="25" spans="1:14" x14ac:dyDescent="0.3">
      <c r="A25"/>
      <c r="N25"/>
    </row>
    <row r="26" spans="1:14" x14ac:dyDescent="0.3">
      <c r="A26"/>
      <c r="N26"/>
    </row>
    <row r="27" spans="1:14" x14ac:dyDescent="0.3">
      <c r="A27"/>
      <c r="N27"/>
    </row>
    <row r="28" spans="1:14" x14ac:dyDescent="0.3">
      <c r="A28"/>
      <c r="N28"/>
    </row>
    <row r="29" spans="1:14" x14ac:dyDescent="0.3">
      <c r="A29"/>
      <c r="N29"/>
    </row>
    <row r="30" spans="1:14" x14ac:dyDescent="0.3">
      <c r="A30"/>
      <c r="N30"/>
    </row>
    <row r="31" spans="1:14" x14ac:dyDescent="0.3">
      <c r="A31"/>
      <c r="N31"/>
    </row>
    <row r="32" spans="1:14" x14ac:dyDescent="0.3">
      <c r="A32"/>
      <c r="N32"/>
    </row>
    <row r="33" spans="1:14" x14ac:dyDescent="0.3">
      <c r="A33"/>
      <c r="N33"/>
    </row>
    <row r="34" spans="1:14" x14ac:dyDescent="0.3">
      <c r="A34"/>
      <c r="N34"/>
    </row>
    <row r="35" spans="1:14" x14ac:dyDescent="0.3">
      <c r="A35"/>
      <c r="N35"/>
    </row>
    <row r="36" spans="1:14" x14ac:dyDescent="0.3">
      <c r="A36"/>
      <c r="N36"/>
    </row>
    <row r="37" spans="1:14" x14ac:dyDescent="0.3">
      <c r="A37"/>
      <c r="N37"/>
    </row>
    <row r="38" spans="1:14" x14ac:dyDescent="0.3">
      <c r="A38"/>
      <c r="N38"/>
    </row>
    <row r="39" spans="1:14" x14ac:dyDescent="0.3">
      <c r="A39"/>
      <c r="N39"/>
    </row>
    <row r="40" spans="1:14" x14ac:dyDescent="0.3">
      <c r="A40"/>
      <c r="N40"/>
    </row>
    <row r="41" spans="1:14" x14ac:dyDescent="0.3">
      <c r="A41"/>
      <c r="N41"/>
    </row>
    <row r="42" spans="1:14" x14ac:dyDescent="0.3">
      <c r="A42"/>
      <c r="N42"/>
    </row>
    <row r="43" spans="1:14" x14ac:dyDescent="0.3">
      <c r="A43"/>
      <c r="N43"/>
    </row>
    <row r="44" spans="1:14" x14ac:dyDescent="0.3">
      <c r="A44"/>
      <c r="N44"/>
    </row>
    <row r="45" spans="1:14" x14ac:dyDescent="0.3">
      <c r="A45"/>
      <c r="N45"/>
    </row>
    <row r="46" spans="1:14" x14ac:dyDescent="0.3">
      <c r="A46"/>
      <c r="N46"/>
    </row>
    <row r="47" spans="1:14" x14ac:dyDescent="0.3">
      <c r="A47"/>
      <c r="N47"/>
    </row>
    <row r="48" spans="1:14" x14ac:dyDescent="0.3">
      <c r="A48"/>
      <c r="N48"/>
    </row>
    <row r="49" spans="1:14" x14ac:dyDescent="0.3">
      <c r="A49"/>
      <c r="N49"/>
    </row>
    <row r="50" spans="1:14" x14ac:dyDescent="0.3">
      <c r="A50"/>
      <c r="N50"/>
    </row>
    <row r="51" spans="1:14" x14ac:dyDescent="0.3">
      <c r="A51"/>
      <c r="N51"/>
    </row>
    <row r="52" spans="1:14" x14ac:dyDescent="0.3">
      <c r="A52"/>
      <c r="N52"/>
    </row>
    <row r="53" spans="1:14" x14ac:dyDescent="0.3">
      <c r="A53"/>
      <c r="N53"/>
    </row>
    <row r="54" spans="1:14" x14ac:dyDescent="0.3">
      <c r="A54"/>
      <c r="N54"/>
    </row>
    <row r="55" spans="1:14" x14ac:dyDescent="0.3">
      <c r="A55"/>
      <c r="N55"/>
    </row>
    <row r="56" spans="1:14" x14ac:dyDescent="0.3">
      <c r="A56"/>
      <c r="N56"/>
    </row>
    <row r="57" spans="1:14" x14ac:dyDescent="0.3">
      <c r="A57"/>
      <c r="N57"/>
    </row>
    <row r="58" spans="1:14" x14ac:dyDescent="0.3">
      <c r="A58"/>
      <c r="N58"/>
    </row>
    <row r="59" spans="1:14" x14ac:dyDescent="0.3">
      <c r="A59"/>
      <c r="N59"/>
    </row>
    <row r="60" spans="1:14" x14ac:dyDescent="0.3">
      <c r="A60"/>
      <c r="N60"/>
    </row>
    <row r="61" spans="1:14" x14ac:dyDescent="0.3">
      <c r="A61"/>
      <c r="N61"/>
    </row>
    <row r="62" spans="1:14" x14ac:dyDescent="0.3">
      <c r="A62"/>
      <c r="N62"/>
    </row>
    <row r="63" spans="1:14" x14ac:dyDescent="0.3">
      <c r="A63"/>
      <c r="N63"/>
    </row>
    <row r="64" spans="1:14" x14ac:dyDescent="0.3">
      <c r="A64"/>
      <c r="N64"/>
    </row>
    <row r="65" spans="1:14" x14ac:dyDescent="0.3">
      <c r="A65"/>
      <c r="N65"/>
    </row>
    <row r="66" spans="1:14" x14ac:dyDescent="0.3">
      <c r="A66"/>
      <c r="N66"/>
    </row>
    <row r="67" spans="1:14" x14ac:dyDescent="0.3">
      <c r="A67"/>
      <c r="N67"/>
    </row>
    <row r="68" spans="1:14" x14ac:dyDescent="0.3">
      <c r="A68"/>
      <c r="N68"/>
    </row>
    <row r="69" spans="1:14" x14ac:dyDescent="0.3">
      <c r="A69"/>
      <c r="N69"/>
    </row>
    <row r="70" spans="1:14" x14ac:dyDescent="0.3">
      <c r="A70"/>
      <c r="N70"/>
    </row>
    <row r="71" spans="1:14" x14ac:dyDescent="0.3">
      <c r="A71"/>
      <c r="N71"/>
    </row>
    <row r="72" spans="1:14" x14ac:dyDescent="0.3">
      <c r="A72"/>
      <c r="N72"/>
    </row>
    <row r="73" spans="1:14" x14ac:dyDescent="0.3">
      <c r="A73"/>
      <c r="N73"/>
    </row>
    <row r="74" spans="1:14" x14ac:dyDescent="0.3">
      <c r="A74"/>
      <c r="N74"/>
    </row>
    <row r="75" spans="1:14" x14ac:dyDescent="0.3">
      <c r="A75"/>
      <c r="N75"/>
    </row>
    <row r="76" spans="1:14" x14ac:dyDescent="0.3">
      <c r="A76"/>
      <c r="N76"/>
    </row>
    <row r="77" spans="1:14" x14ac:dyDescent="0.3">
      <c r="A77"/>
      <c r="N77"/>
    </row>
    <row r="78" spans="1:14" x14ac:dyDescent="0.3">
      <c r="A78"/>
      <c r="N78"/>
    </row>
    <row r="79" spans="1:14" x14ac:dyDescent="0.3">
      <c r="A79"/>
      <c r="N79"/>
    </row>
    <row r="80" spans="1:14" x14ac:dyDescent="0.3">
      <c r="A80"/>
      <c r="N80"/>
    </row>
    <row r="81" spans="1:14" x14ac:dyDescent="0.3">
      <c r="A81"/>
      <c r="N81"/>
    </row>
    <row r="82" spans="1:14" x14ac:dyDescent="0.3">
      <c r="A82"/>
      <c r="N82"/>
    </row>
    <row r="83" spans="1:14" x14ac:dyDescent="0.3">
      <c r="A83"/>
      <c r="N83"/>
    </row>
    <row r="84" spans="1:14" x14ac:dyDescent="0.3">
      <c r="A84"/>
      <c r="N84"/>
    </row>
    <row r="85" spans="1:14" x14ac:dyDescent="0.3">
      <c r="A85"/>
      <c r="N85"/>
    </row>
    <row r="86" spans="1:14" x14ac:dyDescent="0.3">
      <c r="A86"/>
      <c r="N86"/>
    </row>
    <row r="87" spans="1:14" x14ac:dyDescent="0.3">
      <c r="A87"/>
      <c r="N87"/>
    </row>
    <row r="88" spans="1:14" x14ac:dyDescent="0.3">
      <c r="A88"/>
      <c r="N88"/>
    </row>
    <row r="89" spans="1:14" x14ac:dyDescent="0.3">
      <c r="A89"/>
      <c r="N89"/>
    </row>
    <row r="90" spans="1:14" x14ac:dyDescent="0.3">
      <c r="A90"/>
      <c r="N90"/>
    </row>
    <row r="91" spans="1:14" x14ac:dyDescent="0.3">
      <c r="A91"/>
      <c r="N91"/>
    </row>
    <row r="92" spans="1:14" x14ac:dyDescent="0.3">
      <c r="A92"/>
      <c r="N92"/>
    </row>
    <row r="93" spans="1:14" x14ac:dyDescent="0.3">
      <c r="A93"/>
      <c r="N93"/>
    </row>
    <row r="94" spans="1:14" x14ac:dyDescent="0.3">
      <c r="A94"/>
      <c r="N94"/>
    </row>
    <row r="95" spans="1:14" x14ac:dyDescent="0.3">
      <c r="A95"/>
      <c r="N95"/>
    </row>
    <row r="96" spans="1:14" x14ac:dyDescent="0.3">
      <c r="A96"/>
      <c r="N96"/>
    </row>
    <row r="97" spans="1:14" x14ac:dyDescent="0.3">
      <c r="A97"/>
      <c r="N97"/>
    </row>
    <row r="98" spans="1:14" x14ac:dyDescent="0.3">
      <c r="A98"/>
      <c r="N98"/>
    </row>
    <row r="99" spans="1:14" x14ac:dyDescent="0.3">
      <c r="A99"/>
      <c r="N99"/>
    </row>
    <row r="100" spans="1:14" x14ac:dyDescent="0.3">
      <c r="A100"/>
      <c r="N100"/>
    </row>
    <row r="101" spans="1:14" x14ac:dyDescent="0.3">
      <c r="A101"/>
      <c r="N101"/>
    </row>
    <row r="102" spans="1:14" x14ac:dyDescent="0.3">
      <c r="A102"/>
      <c r="N102"/>
    </row>
    <row r="103" spans="1:14" x14ac:dyDescent="0.3">
      <c r="A103"/>
      <c r="N103"/>
    </row>
    <row r="104" spans="1:14" x14ac:dyDescent="0.3">
      <c r="A104"/>
      <c r="N104"/>
    </row>
    <row r="105" spans="1:14" x14ac:dyDescent="0.3">
      <c r="A105"/>
      <c r="N105"/>
    </row>
    <row r="106" spans="1:14" x14ac:dyDescent="0.3">
      <c r="A106"/>
      <c r="N106"/>
    </row>
    <row r="107" spans="1:14" x14ac:dyDescent="0.3">
      <c r="A107"/>
      <c r="N107"/>
    </row>
    <row r="108" spans="1:14" x14ac:dyDescent="0.3">
      <c r="A108"/>
      <c r="N108"/>
    </row>
    <row r="109" spans="1:14" x14ac:dyDescent="0.3">
      <c r="A109"/>
      <c r="N109"/>
    </row>
    <row r="110" spans="1:14" x14ac:dyDescent="0.3">
      <c r="A110"/>
      <c r="N110"/>
    </row>
    <row r="111" spans="1:14" x14ac:dyDescent="0.3">
      <c r="A111"/>
      <c r="N111"/>
    </row>
    <row r="112" spans="1:14" x14ac:dyDescent="0.3">
      <c r="A112"/>
      <c r="N112"/>
    </row>
    <row r="113" spans="1:14" x14ac:dyDescent="0.3">
      <c r="A113"/>
      <c r="N113"/>
    </row>
    <row r="114" spans="1:14" x14ac:dyDescent="0.3">
      <c r="A114"/>
      <c r="N114"/>
    </row>
    <row r="115" spans="1:14" x14ac:dyDescent="0.3">
      <c r="A115"/>
      <c r="N1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4.4" x14ac:dyDescent="0.3"/>
  <cols>
    <col min="1" max="1" width="23" style="17" hidden="1" customWidth="1"/>
    <col min="2" max="2" width="26" style="33" hidden="1" customWidth="1"/>
    <col min="3" max="3" width="26.88671875" hidden="1" customWidth="1"/>
    <col min="4" max="4" width="83.33203125" hidden="1" customWidth="1"/>
    <col min="5" max="5" width="20.6640625" hidden="1" customWidth="1"/>
    <col min="6" max="6" width="33.109375" hidden="1" customWidth="1"/>
    <col min="7" max="7" width="18.5546875" hidden="1" customWidth="1"/>
    <col min="8" max="8" width="21.5546875" customWidth="1"/>
    <col min="9" max="9" width="19.109375" bestFit="1" customWidth="1"/>
    <col min="221" max="221" width="10.109375" bestFit="1" customWidth="1"/>
    <col min="222" max="222" width="18.33203125" customWidth="1"/>
    <col min="223" max="223" width="11.88671875" bestFit="1" customWidth="1"/>
    <col min="224" max="224" width="13.44140625" customWidth="1"/>
    <col min="225" max="225" width="30.88671875" bestFit="1" customWidth="1"/>
    <col min="226" max="226" width="21.109375" customWidth="1"/>
    <col min="227" max="227" width="44.5546875" customWidth="1"/>
    <col min="228" max="228" width="17.44140625" customWidth="1"/>
    <col min="229" max="229" width="30.88671875" customWidth="1"/>
    <col min="230" max="230" width="11.88671875" customWidth="1"/>
    <col min="231" max="231" width="41.6640625" customWidth="1"/>
    <col min="232" max="237" width="30.88671875" bestFit="1" customWidth="1"/>
    <col min="238" max="238" width="10.5546875" bestFit="1" customWidth="1"/>
    <col min="477" max="477" width="10.109375" bestFit="1" customWidth="1"/>
    <col min="478" max="478" width="18.33203125" customWidth="1"/>
    <col min="479" max="479" width="11.88671875" bestFit="1" customWidth="1"/>
    <col min="480" max="480" width="13.44140625" customWidth="1"/>
    <col min="481" max="481" width="30.88671875" bestFit="1" customWidth="1"/>
    <col min="482" max="482" width="21.109375" customWidth="1"/>
    <col min="483" max="483" width="44.5546875" customWidth="1"/>
    <col min="484" max="484" width="17.44140625" customWidth="1"/>
    <col min="485" max="485" width="30.88671875" customWidth="1"/>
    <col min="486" max="486" width="11.88671875" customWidth="1"/>
    <col min="487" max="487" width="41.6640625" customWidth="1"/>
    <col min="488" max="493" width="30.88671875" bestFit="1" customWidth="1"/>
    <col min="494" max="494" width="10.5546875" bestFit="1" customWidth="1"/>
    <col min="733" max="733" width="10.109375" bestFit="1" customWidth="1"/>
    <col min="734" max="734" width="18.33203125" customWidth="1"/>
    <col min="735" max="735" width="11.88671875" bestFit="1" customWidth="1"/>
    <col min="736" max="736" width="13.44140625" customWidth="1"/>
    <col min="737" max="737" width="30.88671875" bestFit="1" customWidth="1"/>
    <col min="738" max="738" width="21.109375" customWidth="1"/>
    <col min="739" max="739" width="44.5546875" customWidth="1"/>
    <col min="740" max="740" width="17.44140625" customWidth="1"/>
    <col min="741" max="741" width="30.88671875" customWidth="1"/>
    <col min="742" max="742" width="11.88671875" customWidth="1"/>
    <col min="743" max="743" width="41.6640625" customWidth="1"/>
    <col min="744" max="749" width="30.88671875" bestFit="1" customWidth="1"/>
    <col min="750" max="750" width="10.5546875" bestFit="1" customWidth="1"/>
    <col min="989" max="989" width="10.109375" bestFit="1" customWidth="1"/>
    <col min="990" max="990" width="18.33203125" customWidth="1"/>
    <col min="991" max="991" width="11.88671875" bestFit="1" customWidth="1"/>
    <col min="992" max="992" width="13.44140625" customWidth="1"/>
    <col min="993" max="993" width="30.88671875" bestFit="1" customWidth="1"/>
    <col min="994" max="994" width="21.109375" customWidth="1"/>
    <col min="995" max="995" width="44.5546875" customWidth="1"/>
    <col min="996" max="996" width="17.44140625" customWidth="1"/>
    <col min="997" max="997" width="30.88671875" customWidth="1"/>
    <col min="998" max="998" width="11.88671875" customWidth="1"/>
    <col min="999" max="999" width="41.6640625" customWidth="1"/>
    <col min="1000" max="1005" width="30.88671875" bestFit="1" customWidth="1"/>
    <col min="1006" max="1006" width="10.5546875" bestFit="1" customWidth="1"/>
    <col min="1245" max="1245" width="10.109375" bestFit="1" customWidth="1"/>
    <col min="1246" max="1246" width="18.33203125" customWidth="1"/>
    <col min="1247" max="1247" width="11.88671875" bestFit="1" customWidth="1"/>
    <col min="1248" max="1248" width="13.44140625" customWidth="1"/>
    <col min="1249" max="1249" width="30.88671875" bestFit="1" customWidth="1"/>
    <col min="1250" max="1250" width="21.109375" customWidth="1"/>
    <col min="1251" max="1251" width="44.5546875" customWidth="1"/>
    <col min="1252" max="1252" width="17.44140625" customWidth="1"/>
    <col min="1253" max="1253" width="30.88671875" customWidth="1"/>
    <col min="1254" max="1254" width="11.88671875" customWidth="1"/>
    <col min="1255" max="1255" width="41.6640625" customWidth="1"/>
    <col min="1256" max="1261" width="30.88671875" bestFit="1" customWidth="1"/>
    <col min="1262" max="1262" width="10.5546875" bestFit="1" customWidth="1"/>
    <col min="1501" max="1501" width="10.109375" bestFit="1" customWidth="1"/>
    <col min="1502" max="1502" width="18.33203125" customWidth="1"/>
    <col min="1503" max="1503" width="11.88671875" bestFit="1" customWidth="1"/>
    <col min="1504" max="1504" width="13.44140625" customWidth="1"/>
    <col min="1505" max="1505" width="30.88671875" bestFit="1" customWidth="1"/>
    <col min="1506" max="1506" width="21.109375" customWidth="1"/>
    <col min="1507" max="1507" width="44.5546875" customWidth="1"/>
    <col min="1508" max="1508" width="17.44140625" customWidth="1"/>
    <col min="1509" max="1509" width="30.88671875" customWidth="1"/>
    <col min="1510" max="1510" width="11.88671875" customWidth="1"/>
    <col min="1511" max="1511" width="41.6640625" customWidth="1"/>
    <col min="1512" max="1517" width="30.88671875" bestFit="1" customWidth="1"/>
    <col min="1518" max="1518" width="10.5546875" bestFit="1" customWidth="1"/>
    <col min="1757" max="1757" width="10.109375" bestFit="1" customWidth="1"/>
    <col min="1758" max="1758" width="18.33203125" customWidth="1"/>
    <col min="1759" max="1759" width="11.88671875" bestFit="1" customWidth="1"/>
    <col min="1760" max="1760" width="13.44140625" customWidth="1"/>
    <col min="1761" max="1761" width="30.88671875" bestFit="1" customWidth="1"/>
    <col min="1762" max="1762" width="21.109375" customWidth="1"/>
    <col min="1763" max="1763" width="44.5546875" customWidth="1"/>
    <col min="1764" max="1764" width="17.44140625" customWidth="1"/>
    <col min="1765" max="1765" width="30.88671875" customWidth="1"/>
    <col min="1766" max="1766" width="11.88671875" customWidth="1"/>
    <col min="1767" max="1767" width="41.6640625" customWidth="1"/>
    <col min="1768" max="1773" width="30.88671875" bestFit="1" customWidth="1"/>
    <col min="1774" max="1774" width="10.5546875" bestFit="1" customWidth="1"/>
    <col min="2013" max="2013" width="10.109375" bestFit="1" customWidth="1"/>
    <col min="2014" max="2014" width="18.33203125" customWidth="1"/>
    <col min="2015" max="2015" width="11.88671875" bestFit="1" customWidth="1"/>
    <col min="2016" max="2016" width="13.44140625" customWidth="1"/>
    <col min="2017" max="2017" width="30.88671875" bestFit="1" customWidth="1"/>
    <col min="2018" max="2018" width="21.109375" customWidth="1"/>
    <col min="2019" max="2019" width="44.5546875" customWidth="1"/>
    <col min="2020" max="2020" width="17.44140625" customWidth="1"/>
    <col min="2021" max="2021" width="30.88671875" customWidth="1"/>
    <col min="2022" max="2022" width="11.88671875" customWidth="1"/>
    <col min="2023" max="2023" width="41.6640625" customWidth="1"/>
    <col min="2024" max="2029" width="30.88671875" bestFit="1" customWidth="1"/>
    <col min="2030" max="2030" width="10.5546875" bestFit="1" customWidth="1"/>
    <col min="2269" max="2269" width="10.109375" bestFit="1" customWidth="1"/>
    <col min="2270" max="2270" width="18.33203125" customWidth="1"/>
    <col min="2271" max="2271" width="11.88671875" bestFit="1" customWidth="1"/>
    <col min="2272" max="2272" width="13.44140625" customWidth="1"/>
    <col min="2273" max="2273" width="30.88671875" bestFit="1" customWidth="1"/>
    <col min="2274" max="2274" width="21.109375" customWidth="1"/>
    <col min="2275" max="2275" width="44.5546875" customWidth="1"/>
    <col min="2276" max="2276" width="17.44140625" customWidth="1"/>
    <col min="2277" max="2277" width="30.88671875" customWidth="1"/>
    <col min="2278" max="2278" width="11.88671875" customWidth="1"/>
    <col min="2279" max="2279" width="41.6640625" customWidth="1"/>
    <col min="2280" max="2285" width="30.88671875" bestFit="1" customWidth="1"/>
    <col min="2286" max="2286" width="10.5546875" bestFit="1" customWidth="1"/>
    <col min="2525" max="2525" width="10.109375" bestFit="1" customWidth="1"/>
    <col min="2526" max="2526" width="18.33203125" customWidth="1"/>
    <col min="2527" max="2527" width="11.88671875" bestFit="1" customWidth="1"/>
    <col min="2528" max="2528" width="13.44140625" customWidth="1"/>
    <col min="2529" max="2529" width="30.88671875" bestFit="1" customWidth="1"/>
    <col min="2530" max="2530" width="21.109375" customWidth="1"/>
    <col min="2531" max="2531" width="44.5546875" customWidth="1"/>
    <col min="2532" max="2532" width="17.44140625" customWidth="1"/>
    <col min="2533" max="2533" width="30.88671875" customWidth="1"/>
    <col min="2534" max="2534" width="11.88671875" customWidth="1"/>
    <col min="2535" max="2535" width="41.6640625" customWidth="1"/>
    <col min="2536" max="2541" width="30.88671875" bestFit="1" customWidth="1"/>
    <col min="2542" max="2542" width="10.5546875" bestFit="1" customWidth="1"/>
    <col min="2781" max="2781" width="10.109375" bestFit="1" customWidth="1"/>
    <col min="2782" max="2782" width="18.33203125" customWidth="1"/>
    <col min="2783" max="2783" width="11.88671875" bestFit="1" customWidth="1"/>
    <col min="2784" max="2784" width="13.44140625" customWidth="1"/>
    <col min="2785" max="2785" width="30.88671875" bestFit="1" customWidth="1"/>
    <col min="2786" max="2786" width="21.109375" customWidth="1"/>
    <col min="2787" max="2787" width="44.5546875" customWidth="1"/>
    <col min="2788" max="2788" width="17.44140625" customWidth="1"/>
    <col min="2789" max="2789" width="30.88671875" customWidth="1"/>
    <col min="2790" max="2790" width="11.88671875" customWidth="1"/>
    <col min="2791" max="2791" width="41.6640625" customWidth="1"/>
    <col min="2792" max="2797" width="30.88671875" bestFit="1" customWidth="1"/>
    <col min="2798" max="2798" width="10.5546875" bestFit="1" customWidth="1"/>
    <col min="3037" max="3037" width="10.109375" bestFit="1" customWidth="1"/>
    <col min="3038" max="3038" width="18.33203125" customWidth="1"/>
    <col min="3039" max="3039" width="11.88671875" bestFit="1" customWidth="1"/>
    <col min="3040" max="3040" width="13.44140625" customWidth="1"/>
    <col min="3041" max="3041" width="30.88671875" bestFit="1" customWidth="1"/>
    <col min="3042" max="3042" width="21.109375" customWidth="1"/>
    <col min="3043" max="3043" width="44.5546875" customWidth="1"/>
    <col min="3044" max="3044" width="17.44140625" customWidth="1"/>
    <col min="3045" max="3045" width="30.88671875" customWidth="1"/>
    <col min="3046" max="3046" width="11.88671875" customWidth="1"/>
    <col min="3047" max="3047" width="41.6640625" customWidth="1"/>
    <col min="3048" max="3053" width="30.88671875" bestFit="1" customWidth="1"/>
    <col min="3054" max="3054" width="10.5546875" bestFit="1" customWidth="1"/>
    <col min="3293" max="3293" width="10.109375" bestFit="1" customWidth="1"/>
    <col min="3294" max="3294" width="18.33203125" customWidth="1"/>
    <col min="3295" max="3295" width="11.88671875" bestFit="1" customWidth="1"/>
    <col min="3296" max="3296" width="13.44140625" customWidth="1"/>
    <col min="3297" max="3297" width="30.88671875" bestFit="1" customWidth="1"/>
    <col min="3298" max="3298" width="21.109375" customWidth="1"/>
    <col min="3299" max="3299" width="44.5546875" customWidth="1"/>
    <col min="3300" max="3300" width="17.44140625" customWidth="1"/>
    <col min="3301" max="3301" width="30.88671875" customWidth="1"/>
    <col min="3302" max="3302" width="11.88671875" customWidth="1"/>
    <col min="3303" max="3303" width="41.6640625" customWidth="1"/>
    <col min="3304" max="3309" width="30.88671875" bestFit="1" customWidth="1"/>
    <col min="3310" max="3310" width="10.5546875" bestFit="1" customWidth="1"/>
    <col min="3549" max="3549" width="10.109375" bestFit="1" customWidth="1"/>
    <col min="3550" max="3550" width="18.33203125" customWidth="1"/>
    <col min="3551" max="3551" width="11.88671875" bestFit="1" customWidth="1"/>
    <col min="3552" max="3552" width="13.44140625" customWidth="1"/>
    <col min="3553" max="3553" width="30.88671875" bestFit="1" customWidth="1"/>
    <col min="3554" max="3554" width="21.109375" customWidth="1"/>
    <col min="3555" max="3555" width="44.5546875" customWidth="1"/>
    <col min="3556" max="3556" width="17.44140625" customWidth="1"/>
    <col min="3557" max="3557" width="30.88671875" customWidth="1"/>
    <col min="3558" max="3558" width="11.88671875" customWidth="1"/>
    <col min="3559" max="3559" width="41.6640625" customWidth="1"/>
    <col min="3560" max="3565" width="30.88671875" bestFit="1" customWidth="1"/>
    <col min="3566" max="3566" width="10.5546875" bestFit="1" customWidth="1"/>
    <col min="3805" max="3805" width="10.109375" bestFit="1" customWidth="1"/>
    <col min="3806" max="3806" width="18.33203125" customWidth="1"/>
    <col min="3807" max="3807" width="11.88671875" bestFit="1" customWidth="1"/>
    <col min="3808" max="3808" width="13.44140625" customWidth="1"/>
    <col min="3809" max="3809" width="30.88671875" bestFit="1" customWidth="1"/>
    <col min="3810" max="3810" width="21.109375" customWidth="1"/>
    <col min="3811" max="3811" width="44.5546875" customWidth="1"/>
    <col min="3812" max="3812" width="17.44140625" customWidth="1"/>
    <col min="3813" max="3813" width="30.88671875" customWidth="1"/>
    <col min="3814" max="3814" width="11.88671875" customWidth="1"/>
    <col min="3815" max="3815" width="41.6640625" customWidth="1"/>
    <col min="3816" max="3821" width="30.88671875" bestFit="1" customWidth="1"/>
    <col min="3822" max="3822" width="10.5546875" bestFit="1" customWidth="1"/>
    <col min="4061" max="4061" width="10.109375" bestFit="1" customWidth="1"/>
    <col min="4062" max="4062" width="18.33203125" customWidth="1"/>
    <col min="4063" max="4063" width="11.88671875" bestFit="1" customWidth="1"/>
    <col min="4064" max="4064" width="13.44140625" customWidth="1"/>
    <col min="4065" max="4065" width="30.88671875" bestFit="1" customWidth="1"/>
    <col min="4066" max="4066" width="21.109375" customWidth="1"/>
    <col min="4067" max="4067" width="44.5546875" customWidth="1"/>
    <col min="4068" max="4068" width="17.44140625" customWidth="1"/>
    <col min="4069" max="4069" width="30.88671875" customWidth="1"/>
    <col min="4070" max="4070" width="11.88671875" customWidth="1"/>
    <col min="4071" max="4071" width="41.6640625" customWidth="1"/>
    <col min="4072" max="4077" width="30.88671875" bestFit="1" customWidth="1"/>
    <col min="4078" max="4078" width="10.5546875" bestFit="1" customWidth="1"/>
    <col min="4317" max="4317" width="10.109375" bestFit="1" customWidth="1"/>
    <col min="4318" max="4318" width="18.33203125" customWidth="1"/>
    <col min="4319" max="4319" width="11.88671875" bestFit="1" customWidth="1"/>
    <col min="4320" max="4320" width="13.44140625" customWidth="1"/>
    <col min="4321" max="4321" width="30.88671875" bestFit="1" customWidth="1"/>
    <col min="4322" max="4322" width="21.109375" customWidth="1"/>
    <col min="4323" max="4323" width="44.5546875" customWidth="1"/>
    <col min="4324" max="4324" width="17.44140625" customWidth="1"/>
    <col min="4325" max="4325" width="30.88671875" customWidth="1"/>
    <col min="4326" max="4326" width="11.88671875" customWidth="1"/>
    <col min="4327" max="4327" width="41.6640625" customWidth="1"/>
    <col min="4328" max="4333" width="30.88671875" bestFit="1" customWidth="1"/>
    <col min="4334" max="4334" width="10.5546875" bestFit="1" customWidth="1"/>
    <col min="4573" max="4573" width="10.109375" bestFit="1" customWidth="1"/>
    <col min="4574" max="4574" width="18.33203125" customWidth="1"/>
    <col min="4575" max="4575" width="11.88671875" bestFit="1" customWidth="1"/>
    <col min="4576" max="4576" width="13.44140625" customWidth="1"/>
    <col min="4577" max="4577" width="30.88671875" bestFit="1" customWidth="1"/>
    <col min="4578" max="4578" width="21.109375" customWidth="1"/>
    <col min="4579" max="4579" width="44.5546875" customWidth="1"/>
    <col min="4580" max="4580" width="17.44140625" customWidth="1"/>
    <col min="4581" max="4581" width="30.88671875" customWidth="1"/>
    <col min="4582" max="4582" width="11.88671875" customWidth="1"/>
    <col min="4583" max="4583" width="41.6640625" customWidth="1"/>
    <col min="4584" max="4589" width="30.88671875" bestFit="1" customWidth="1"/>
    <col min="4590" max="4590" width="10.5546875" bestFit="1" customWidth="1"/>
    <col min="4829" max="4829" width="10.109375" bestFit="1" customWidth="1"/>
    <col min="4830" max="4830" width="18.33203125" customWidth="1"/>
    <col min="4831" max="4831" width="11.88671875" bestFit="1" customWidth="1"/>
    <col min="4832" max="4832" width="13.44140625" customWidth="1"/>
    <col min="4833" max="4833" width="30.88671875" bestFit="1" customWidth="1"/>
    <col min="4834" max="4834" width="21.109375" customWidth="1"/>
    <col min="4835" max="4835" width="44.5546875" customWidth="1"/>
    <col min="4836" max="4836" width="17.44140625" customWidth="1"/>
    <col min="4837" max="4837" width="30.88671875" customWidth="1"/>
    <col min="4838" max="4838" width="11.88671875" customWidth="1"/>
    <col min="4839" max="4839" width="41.6640625" customWidth="1"/>
    <col min="4840" max="4845" width="30.88671875" bestFit="1" customWidth="1"/>
    <col min="4846" max="4846" width="10.5546875" bestFit="1" customWidth="1"/>
    <col min="5085" max="5085" width="10.109375" bestFit="1" customWidth="1"/>
    <col min="5086" max="5086" width="18.33203125" customWidth="1"/>
    <col min="5087" max="5087" width="11.88671875" bestFit="1" customWidth="1"/>
    <col min="5088" max="5088" width="13.44140625" customWidth="1"/>
    <col min="5089" max="5089" width="30.88671875" bestFit="1" customWidth="1"/>
    <col min="5090" max="5090" width="21.109375" customWidth="1"/>
    <col min="5091" max="5091" width="44.5546875" customWidth="1"/>
    <col min="5092" max="5092" width="17.44140625" customWidth="1"/>
    <col min="5093" max="5093" width="30.88671875" customWidth="1"/>
    <col min="5094" max="5094" width="11.88671875" customWidth="1"/>
    <col min="5095" max="5095" width="41.6640625" customWidth="1"/>
    <col min="5096" max="5101" width="30.88671875" bestFit="1" customWidth="1"/>
    <col min="5102" max="5102" width="10.5546875" bestFit="1" customWidth="1"/>
    <col min="5341" max="5341" width="10.109375" bestFit="1" customWidth="1"/>
    <col min="5342" max="5342" width="18.33203125" customWidth="1"/>
    <col min="5343" max="5343" width="11.88671875" bestFit="1" customWidth="1"/>
    <col min="5344" max="5344" width="13.44140625" customWidth="1"/>
    <col min="5345" max="5345" width="30.88671875" bestFit="1" customWidth="1"/>
    <col min="5346" max="5346" width="21.109375" customWidth="1"/>
    <col min="5347" max="5347" width="44.5546875" customWidth="1"/>
    <col min="5348" max="5348" width="17.44140625" customWidth="1"/>
    <col min="5349" max="5349" width="30.88671875" customWidth="1"/>
    <col min="5350" max="5350" width="11.88671875" customWidth="1"/>
    <col min="5351" max="5351" width="41.6640625" customWidth="1"/>
    <col min="5352" max="5357" width="30.88671875" bestFit="1" customWidth="1"/>
    <col min="5358" max="5358" width="10.5546875" bestFit="1" customWidth="1"/>
    <col min="5597" max="5597" width="10.109375" bestFit="1" customWidth="1"/>
    <col min="5598" max="5598" width="18.33203125" customWidth="1"/>
    <col min="5599" max="5599" width="11.88671875" bestFit="1" customWidth="1"/>
    <col min="5600" max="5600" width="13.44140625" customWidth="1"/>
    <col min="5601" max="5601" width="30.88671875" bestFit="1" customWidth="1"/>
    <col min="5602" max="5602" width="21.109375" customWidth="1"/>
    <col min="5603" max="5603" width="44.5546875" customWidth="1"/>
    <col min="5604" max="5604" width="17.44140625" customWidth="1"/>
    <col min="5605" max="5605" width="30.88671875" customWidth="1"/>
    <col min="5606" max="5606" width="11.88671875" customWidth="1"/>
    <col min="5607" max="5607" width="41.6640625" customWidth="1"/>
    <col min="5608" max="5613" width="30.88671875" bestFit="1" customWidth="1"/>
    <col min="5614" max="5614" width="10.5546875" bestFit="1" customWidth="1"/>
    <col min="5853" max="5853" width="10.109375" bestFit="1" customWidth="1"/>
    <col min="5854" max="5854" width="18.33203125" customWidth="1"/>
    <col min="5855" max="5855" width="11.88671875" bestFit="1" customWidth="1"/>
    <col min="5856" max="5856" width="13.44140625" customWidth="1"/>
    <col min="5857" max="5857" width="30.88671875" bestFit="1" customWidth="1"/>
    <col min="5858" max="5858" width="21.109375" customWidth="1"/>
    <col min="5859" max="5859" width="44.5546875" customWidth="1"/>
    <col min="5860" max="5860" width="17.44140625" customWidth="1"/>
    <col min="5861" max="5861" width="30.88671875" customWidth="1"/>
    <col min="5862" max="5862" width="11.88671875" customWidth="1"/>
    <col min="5863" max="5863" width="41.6640625" customWidth="1"/>
    <col min="5864" max="5869" width="30.88671875" bestFit="1" customWidth="1"/>
    <col min="5870" max="5870" width="10.5546875" bestFit="1" customWidth="1"/>
    <col min="6109" max="6109" width="10.109375" bestFit="1" customWidth="1"/>
    <col min="6110" max="6110" width="18.33203125" customWidth="1"/>
    <col min="6111" max="6111" width="11.88671875" bestFit="1" customWidth="1"/>
    <col min="6112" max="6112" width="13.44140625" customWidth="1"/>
    <col min="6113" max="6113" width="30.88671875" bestFit="1" customWidth="1"/>
    <col min="6114" max="6114" width="21.109375" customWidth="1"/>
    <col min="6115" max="6115" width="44.5546875" customWidth="1"/>
    <col min="6116" max="6116" width="17.44140625" customWidth="1"/>
    <col min="6117" max="6117" width="30.88671875" customWidth="1"/>
    <col min="6118" max="6118" width="11.88671875" customWidth="1"/>
    <col min="6119" max="6119" width="41.6640625" customWidth="1"/>
    <col min="6120" max="6125" width="30.88671875" bestFit="1" customWidth="1"/>
    <col min="6126" max="6126" width="10.5546875" bestFit="1" customWidth="1"/>
    <col min="6365" max="6365" width="10.109375" bestFit="1" customWidth="1"/>
    <col min="6366" max="6366" width="18.33203125" customWidth="1"/>
    <col min="6367" max="6367" width="11.88671875" bestFit="1" customWidth="1"/>
    <col min="6368" max="6368" width="13.44140625" customWidth="1"/>
    <col min="6369" max="6369" width="30.88671875" bestFit="1" customWidth="1"/>
    <col min="6370" max="6370" width="21.109375" customWidth="1"/>
    <col min="6371" max="6371" width="44.5546875" customWidth="1"/>
    <col min="6372" max="6372" width="17.44140625" customWidth="1"/>
    <col min="6373" max="6373" width="30.88671875" customWidth="1"/>
    <col min="6374" max="6374" width="11.88671875" customWidth="1"/>
    <col min="6375" max="6375" width="41.6640625" customWidth="1"/>
    <col min="6376" max="6381" width="30.88671875" bestFit="1" customWidth="1"/>
    <col min="6382" max="6382" width="10.5546875" bestFit="1" customWidth="1"/>
    <col min="6621" max="6621" width="10.109375" bestFit="1" customWidth="1"/>
    <col min="6622" max="6622" width="18.33203125" customWidth="1"/>
    <col min="6623" max="6623" width="11.88671875" bestFit="1" customWidth="1"/>
    <col min="6624" max="6624" width="13.44140625" customWidth="1"/>
    <col min="6625" max="6625" width="30.88671875" bestFit="1" customWidth="1"/>
    <col min="6626" max="6626" width="21.109375" customWidth="1"/>
    <col min="6627" max="6627" width="44.5546875" customWidth="1"/>
    <col min="6628" max="6628" width="17.44140625" customWidth="1"/>
    <col min="6629" max="6629" width="30.88671875" customWidth="1"/>
    <col min="6630" max="6630" width="11.88671875" customWidth="1"/>
    <col min="6631" max="6631" width="41.6640625" customWidth="1"/>
    <col min="6632" max="6637" width="30.88671875" bestFit="1" customWidth="1"/>
    <col min="6638" max="6638" width="10.5546875" bestFit="1" customWidth="1"/>
    <col min="6877" max="6877" width="10.109375" bestFit="1" customWidth="1"/>
    <col min="6878" max="6878" width="18.33203125" customWidth="1"/>
    <col min="6879" max="6879" width="11.88671875" bestFit="1" customWidth="1"/>
    <col min="6880" max="6880" width="13.44140625" customWidth="1"/>
    <col min="6881" max="6881" width="30.88671875" bestFit="1" customWidth="1"/>
    <col min="6882" max="6882" width="21.109375" customWidth="1"/>
    <col min="6883" max="6883" width="44.5546875" customWidth="1"/>
    <col min="6884" max="6884" width="17.44140625" customWidth="1"/>
    <col min="6885" max="6885" width="30.88671875" customWidth="1"/>
    <col min="6886" max="6886" width="11.88671875" customWidth="1"/>
    <col min="6887" max="6887" width="41.6640625" customWidth="1"/>
    <col min="6888" max="6893" width="30.88671875" bestFit="1" customWidth="1"/>
    <col min="6894" max="6894" width="10.5546875" bestFit="1" customWidth="1"/>
    <col min="7133" max="7133" width="10.109375" bestFit="1" customWidth="1"/>
    <col min="7134" max="7134" width="18.33203125" customWidth="1"/>
    <col min="7135" max="7135" width="11.88671875" bestFit="1" customWidth="1"/>
    <col min="7136" max="7136" width="13.44140625" customWidth="1"/>
    <col min="7137" max="7137" width="30.88671875" bestFit="1" customWidth="1"/>
    <col min="7138" max="7138" width="21.109375" customWidth="1"/>
    <col min="7139" max="7139" width="44.5546875" customWidth="1"/>
    <col min="7140" max="7140" width="17.44140625" customWidth="1"/>
    <col min="7141" max="7141" width="30.88671875" customWidth="1"/>
    <col min="7142" max="7142" width="11.88671875" customWidth="1"/>
    <col min="7143" max="7143" width="41.6640625" customWidth="1"/>
    <col min="7144" max="7149" width="30.88671875" bestFit="1" customWidth="1"/>
    <col min="7150" max="7150" width="10.5546875" bestFit="1" customWidth="1"/>
    <col min="7389" max="7389" width="10.109375" bestFit="1" customWidth="1"/>
    <col min="7390" max="7390" width="18.33203125" customWidth="1"/>
    <col min="7391" max="7391" width="11.88671875" bestFit="1" customWidth="1"/>
    <col min="7392" max="7392" width="13.44140625" customWidth="1"/>
    <col min="7393" max="7393" width="30.88671875" bestFit="1" customWidth="1"/>
    <col min="7394" max="7394" width="21.109375" customWidth="1"/>
    <col min="7395" max="7395" width="44.5546875" customWidth="1"/>
    <col min="7396" max="7396" width="17.44140625" customWidth="1"/>
    <col min="7397" max="7397" width="30.88671875" customWidth="1"/>
    <col min="7398" max="7398" width="11.88671875" customWidth="1"/>
    <col min="7399" max="7399" width="41.6640625" customWidth="1"/>
    <col min="7400" max="7405" width="30.88671875" bestFit="1" customWidth="1"/>
    <col min="7406" max="7406" width="10.5546875" bestFit="1" customWidth="1"/>
    <col min="7645" max="7645" width="10.109375" bestFit="1" customWidth="1"/>
    <col min="7646" max="7646" width="18.33203125" customWidth="1"/>
    <col min="7647" max="7647" width="11.88671875" bestFit="1" customWidth="1"/>
    <col min="7648" max="7648" width="13.44140625" customWidth="1"/>
    <col min="7649" max="7649" width="30.88671875" bestFit="1" customWidth="1"/>
    <col min="7650" max="7650" width="21.109375" customWidth="1"/>
    <col min="7651" max="7651" width="44.5546875" customWidth="1"/>
    <col min="7652" max="7652" width="17.44140625" customWidth="1"/>
    <col min="7653" max="7653" width="30.88671875" customWidth="1"/>
    <col min="7654" max="7654" width="11.88671875" customWidth="1"/>
    <col min="7655" max="7655" width="41.6640625" customWidth="1"/>
    <col min="7656" max="7661" width="30.88671875" bestFit="1" customWidth="1"/>
    <col min="7662" max="7662" width="10.5546875" bestFit="1" customWidth="1"/>
    <col min="7901" max="7901" width="10.109375" bestFit="1" customWidth="1"/>
    <col min="7902" max="7902" width="18.33203125" customWidth="1"/>
    <col min="7903" max="7903" width="11.88671875" bestFit="1" customWidth="1"/>
    <col min="7904" max="7904" width="13.44140625" customWidth="1"/>
    <col min="7905" max="7905" width="30.88671875" bestFit="1" customWidth="1"/>
    <col min="7906" max="7906" width="21.109375" customWidth="1"/>
    <col min="7907" max="7907" width="44.5546875" customWidth="1"/>
    <col min="7908" max="7908" width="17.44140625" customWidth="1"/>
    <col min="7909" max="7909" width="30.88671875" customWidth="1"/>
    <col min="7910" max="7910" width="11.88671875" customWidth="1"/>
    <col min="7911" max="7911" width="41.6640625" customWidth="1"/>
    <col min="7912" max="7917" width="30.88671875" bestFit="1" customWidth="1"/>
    <col min="7918" max="7918" width="10.5546875" bestFit="1" customWidth="1"/>
    <col min="8157" max="8157" width="10.109375" bestFit="1" customWidth="1"/>
    <col min="8158" max="8158" width="18.33203125" customWidth="1"/>
    <col min="8159" max="8159" width="11.88671875" bestFit="1" customWidth="1"/>
    <col min="8160" max="8160" width="13.44140625" customWidth="1"/>
    <col min="8161" max="8161" width="30.88671875" bestFit="1" customWidth="1"/>
    <col min="8162" max="8162" width="21.109375" customWidth="1"/>
    <col min="8163" max="8163" width="44.5546875" customWidth="1"/>
    <col min="8164" max="8164" width="17.44140625" customWidth="1"/>
    <col min="8165" max="8165" width="30.88671875" customWidth="1"/>
    <col min="8166" max="8166" width="11.88671875" customWidth="1"/>
    <col min="8167" max="8167" width="41.6640625" customWidth="1"/>
    <col min="8168" max="8173" width="30.88671875" bestFit="1" customWidth="1"/>
    <col min="8174" max="8174" width="10.5546875" bestFit="1" customWidth="1"/>
    <col min="8413" max="8413" width="10.109375" bestFit="1" customWidth="1"/>
    <col min="8414" max="8414" width="18.33203125" customWidth="1"/>
    <col min="8415" max="8415" width="11.88671875" bestFit="1" customWidth="1"/>
    <col min="8416" max="8416" width="13.44140625" customWidth="1"/>
    <col min="8417" max="8417" width="30.88671875" bestFit="1" customWidth="1"/>
    <col min="8418" max="8418" width="21.109375" customWidth="1"/>
    <col min="8419" max="8419" width="44.5546875" customWidth="1"/>
    <col min="8420" max="8420" width="17.44140625" customWidth="1"/>
    <col min="8421" max="8421" width="30.88671875" customWidth="1"/>
    <col min="8422" max="8422" width="11.88671875" customWidth="1"/>
    <col min="8423" max="8423" width="41.6640625" customWidth="1"/>
    <col min="8424" max="8429" width="30.88671875" bestFit="1" customWidth="1"/>
    <col min="8430" max="8430" width="10.5546875" bestFit="1" customWidth="1"/>
    <col min="8669" max="8669" width="10.109375" bestFit="1" customWidth="1"/>
    <col min="8670" max="8670" width="18.33203125" customWidth="1"/>
    <col min="8671" max="8671" width="11.88671875" bestFit="1" customWidth="1"/>
    <col min="8672" max="8672" width="13.44140625" customWidth="1"/>
    <col min="8673" max="8673" width="30.88671875" bestFit="1" customWidth="1"/>
    <col min="8674" max="8674" width="21.109375" customWidth="1"/>
    <col min="8675" max="8675" width="44.5546875" customWidth="1"/>
    <col min="8676" max="8676" width="17.44140625" customWidth="1"/>
    <col min="8677" max="8677" width="30.88671875" customWidth="1"/>
    <col min="8678" max="8678" width="11.88671875" customWidth="1"/>
    <col min="8679" max="8679" width="41.6640625" customWidth="1"/>
    <col min="8680" max="8685" width="30.88671875" bestFit="1" customWidth="1"/>
    <col min="8686" max="8686" width="10.5546875" bestFit="1" customWidth="1"/>
    <col min="8925" max="8925" width="10.109375" bestFit="1" customWidth="1"/>
    <col min="8926" max="8926" width="18.33203125" customWidth="1"/>
    <col min="8927" max="8927" width="11.88671875" bestFit="1" customWidth="1"/>
    <col min="8928" max="8928" width="13.44140625" customWidth="1"/>
    <col min="8929" max="8929" width="30.88671875" bestFit="1" customWidth="1"/>
    <col min="8930" max="8930" width="21.109375" customWidth="1"/>
    <col min="8931" max="8931" width="44.5546875" customWidth="1"/>
    <col min="8932" max="8932" width="17.44140625" customWidth="1"/>
    <col min="8933" max="8933" width="30.88671875" customWidth="1"/>
    <col min="8934" max="8934" width="11.88671875" customWidth="1"/>
    <col min="8935" max="8935" width="41.6640625" customWidth="1"/>
    <col min="8936" max="8941" width="30.88671875" bestFit="1" customWidth="1"/>
    <col min="8942" max="8942" width="10.5546875" bestFit="1" customWidth="1"/>
    <col min="9181" max="9181" width="10.109375" bestFit="1" customWidth="1"/>
    <col min="9182" max="9182" width="18.33203125" customWidth="1"/>
    <col min="9183" max="9183" width="11.88671875" bestFit="1" customWidth="1"/>
    <col min="9184" max="9184" width="13.44140625" customWidth="1"/>
    <col min="9185" max="9185" width="30.88671875" bestFit="1" customWidth="1"/>
    <col min="9186" max="9186" width="21.109375" customWidth="1"/>
    <col min="9187" max="9187" width="44.5546875" customWidth="1"/>
    <col min="9188" max="9188" width="17.44140625" customWidth="1"/>
    <col min="9189" max="9189" width="30.88671875" customWidth="1"/>
    <col min="9190" max="9190" width="11.88671875" customWidth="1"/>
    <col min="9191" max="9191" width="41.6640625" customWidth="1"/>
    <col min="9192" max="9197" width="30.88671875" bestFit="1" customWidth="1"/>
    <col min="9198" max="9198" width="10.5546875" bestFit="1" customWidth="1"/>
    <col min="9437" max="9437" width="10.109375" bestFit="1" customWidth="1"/>
    <col min="9438" max="9438" width="18.33203125" customWidth="1"/>
    <col min="9439" max="9439" width="11.88671875" bestFit="1" customWidth="1"/>
    <col min="9440" max="9440" width="13.44140625" customWidth="1"/>
    <col min="9441" max="9441" width="30.88671875" bestFit="1" customWidth="1"/>
    <col min="9442" max="9442" width="21.109375" customWidth="1"/>
    <col min="9443" max="9443" width="44.5546875" customWidth="1"/>
    <col min="9444" max="9444" width="17.44140625" customWidth="1"/>
    <col min="9445" max="9445" width="30.88671875" customWidth="1"/>
    <col min="9446" max="9446" width="11.88671875" customWidth="1"/>
    <col min="9447" max="9447" width="41.6640625" customWidth="1"/>
    <col min="9448" max="9453" width="30.88671875" bestFit="1" customWidth="1"/>
    <col min="9454" max="9454" width="10.5546875" bestFit="1" customWidth="1"/>
    <col min="9693" max="9693" width="10.109375" bestFit="1" customWidth="1"/>
    <col min="9694" max="9694" width="18.33203125" customWidth="1"/>
    <col min="9695" max="9695" width="11.88671875" bestFit="1" customWidth="1"/>
    <col min="9696" max="9696" width="13.44140625" customWidth="1"/>
    <col min="9697" max="9697" width="30.88671875" bestFit="1" customWidth="1"/>
    <col min="9698" max="9698" width="21.109375" customWidth="1"/>
    <col min="9699" max="9699" width="44.5546875" customWidth="1"/>
    <col min="9700" max="9700" width="17.44140625" customWidth="1"/>
    <col min="9701" max="9701" width="30.88671875" customWidth="1"/>
    <col min="9702" max="9702" width="11.88671875" customWidth="1"/>
    <col min="9703" max="9703" width="41.6640625" customWidth="1"/>
    <col min="9704" max="9709" width="30.88671875" bestFit="1" customWidth="1"/>
    <col min="9710" max="9710" width="10.5546875" bestFit="1" customWidth="1"/>
    <col min="9949" max="9949" width="10.109375" bestFit="1" customWidth="1"/>
    <col min="9950" max="9950" width="18.33203125" customWidth="1"/>
    <col min="9951" max="9951" width="11.88671875" bestFit="1" customWidth="1"/>
    <col min="9952" max="9952" width="13.44140625" customWidth="1"/>
    <col min="9953" max="9953" width="30.88671875" bestFit="1" customWidth="1"/>
    <col min="9954" max="9954" width="21.109375" customWidth="1"/>
    <col min="9955" max="9955" width="44.5546875" customWidth="1"/>
    <col min="9956" max="9956" width="17.44140625" customWidth="1"/>
    <col min="9957" max="9957" width="30.88671875" customWidth="1"/>
    <col min="9958" max="9958" width="11.88671875" customWidth="1"/>
    <col min="9959" max="9959" width="41.6640625" customWidth="1"/>
    <col min="9960" max="9965" width="30.88671875" bestFit="1" customWidth="1"/>
    <col min="9966" max="9966" width="10.5546875" bestFit="1" customWidth="1"/>
    <col min="10205" max="10205" width="10.109375" bestFit="1" customWidth="1"/>
    <col min="10206" max="10206" width="18.33203125" customWidth="1"/>
    <col min="10207" max="10207" width="11.88671875" bestFit="1" customWidth="1"/>
    <col min="10208" max="10208" width="13.44140625" customWidth="1"/>
    <col min="10209" max="10209" width="30.88671875" bestFit="1" customWidth="1"/>
    <col min="10210" max="10210" width="21.109375" customWidth="1"/>
    <col min="10211" max="10211" width="44.5546875" customWidth="1"/>
    <col min="10212" max="10212" width="17.44140625" customWidth="1"/>
    <col min="10213" max="10213" width="30.88671875" customWidth="1"/>
    <col min="10214" max="10214" width="11.88671875" customWidth="1"/>
    <col min="10215" max="10215" width="41.6640625" customWidth="1"/>
    <col min="10216" max="10221" width="30.88671875" bestFit="1" customWidth="1"/>
    <col min="10222" max="10222" width="10.5546875" bestFit="1" customWidth="1"/>
    <col min="10461" max="10461" width="10.109375" bestFit="1" customWidth="1"/>
    <col min="10462" max="10462" width="18.33203125" customWidth="1"/>
    <col min="10463" max="10463" width="11.88671875" bestFit="1" customWidth="1"/>
    <col min="10464" max="10464" width="13.44140625" customWidth="1"/>
    <col min="10465" max="10465" width="30.88671875" bestFit="1" customWidth="1"/>
    <col min="10466" max="10466" width="21.109375" customWidth="1"/>
    <col min="10467" max="10467" width="44.5546875" customWidth="1"/>
    <col min="10468" max="10468" width="17.44140625" customWidth="1"/>
    <col min="10469" max="10469" width="30.88671875" customWidth="1"/>
    <col min="10470" max="10470" width="11.88671875" customWidth="1"/>
    <col min="10471" max="10471" width="41.6640625" customWidth="1"/>
    <col min="10472" max="10477" width="30.88671875" bestFit="1" customWidth="1"/>
    <col min="10478" max="10478" width="10.5546875" bestFit="1" customWidth="1"/>
    <col min="10717" max="10717" width="10.109375" bestFit="1" customWidth="1"/>
    <col min="10718" max="10718" width="18.33203125" customWidth="1"/>
    <col min="10719" max="10719" width="11.88671875" bestFit="1" customWidth="1"/>
    <col min="10720" max="10720" width="13.44140625" customWidth="1"/>
    <col min="10721" max="10721" width="30.88671875" bestFit="1" customWidth="1"/>
    <col min="10722" max="10722" width="21.109375" customWidth="1"/>
    <col min="10723" max="10723" width="44.5546875" customWidth="1"/>
    <col min="10724" max="10724" width="17.44140625" customWidth="1"/>
    <col min="10725" max="10725" width="30.88671875" customWidth="1"/>
    <col min="10726" max="10726" width="11.88671875" customWidth="1"/>
    <col min="10727" max="10727" width="41.6640625" customWidth="1"/>
    <col min="10728" max="10733" width="30.88671875" bestFit="1" customWidth="1"/>
    <col min="10734" max="10734" width="10.5546875" bestFit="1" customWidth="1"/>
    <col min="10973" max="10973" width="10.109375" bestFit="1" customWidth="1"/>
    <col min="10974" max="10974" width="18.33203125" customWidth="1"/>
    <col min="10975" max="10975" width="11.88671875" bestFit="1" customWidth="1"/>
    <col min="10976" max="10976" width="13.44140625" customWidth="1"/>
    <col min="10977" max="10977" width="30.88671875" bestFit="1" customWidth="1"/>
    <col min="10978" max="10978" width="21.109375" customWidth="1"/>
    <col min="10979" max="10979" width="44.5546875" customWidth="1"/>
    <col min="10980" max="10980" width="17.44140625" customWidth="1"/>
    <col min="10981" max="10981" width="30.88671875" customWidth="1"/>
    <col min="10982" max="10982" width="11.88671875" customWidth="1"/>
    <col min="10983" max="10983" width="41.6640625" customWidth="1"/>
    <col min="10984" max="10989" width="30.88671875" bestFit="1" customWidth="1"/>
    <col min="10990" max="10990" width="10.5546875" bestFit="1" customWidth="1"/>
    <col min="11229" max="11229" width="10.109375" bestFit="1" customWidth="1"/>
    <col min="11230" max="11230" width="18.33203125" customWidth="1"/>
    <col min="11231" max="11231" width="11.88671875" bestFit="1" customWidth="1"/>
    <col min="11232" max="11232" width="13.44140625" customWidth="1"/>
    <col min="11233" max="11233" width="30.88671875" bestFit="1" customWidth="1"/>
    <col min="11234" max="11234" width="21.109375" customWidth="1"/>
    <col min="11235" max="11235" width="44.5546875" customWidth="1"/>
    <col min="11236" max="11236" width="17.44140625" customWidth="1"/>
    <col min="11237" max="11237" width="30.88671875" customWidth="1"/>
    <col min="11238" max="11238" width="11.88671875" customWidth="1"/>
    <col min="11239" max="11239" width="41.6640625" customWidth="1"/>
    <col min="11240" max="11245" width="30.88671875" bestFit="1" customWidth="1"/>
    <col min="11246" max="11246" width="10.5546875" bestFit="1" customWidth="1"/>
    <col min="11485" max="11485" width="10.109375" bestFit="1" customWidth="1"/>
    <col min="11486" max="11486" width="18.33203125" customWidth="1"/>
    <col min="11487" max="11487" width="11.88671875" bestFit="1" customWidth="1"/>
    <col min="11488" max="11488" width="13.44140625" customWidth="1"/>
    <col min="11489" max="11489" width="30.88671875" bestFit="1" customWidth="1"/>
    <col min="11490" max="11490" width="21.109375" customWidth="1"/>
    <col min="11491" max="11491" width="44.5546875" customWidth="1"/>
    <col min="11492" max="11492" width="17.44140625" customWidth="1"/>
    <col min="11493" max="11493" width="30.88671875" customWidth="1"/>
    <col min="11494" max="11494" width="11.88671875" customWidth="1"/>
    <col min="11495" max="11495" width="41.6640625" customWidth="1"/>
    <col min="11496" max="11501" width="30.88671875" bestFit="1" customWidth="1"/>
    <col min="11502" max="11502" width="10.5546875" bestFit="1" customWidth="1"/>
    <col min="11741" max="11741" width="10.109375" bestFit="1" customWidth="1"/>
    <col min="11742" max="11742" width="18.33203125" customWidth="1"/>
    <col min="11743" max="11743" width="11.88671875" bestFit="1" customWidth="1"/>
    <col min="11744" max="11744" width="13.44140625" customWidth="1"/>
    <col min="11745" max="11745" width="30.88671875" bestFit="1" customWidth="1"/>
    <col min="11746" max="11746" width="21.109375" customWidth="1"/>
    <col min="11747" max="11747" width="44.5546875" customWidth="1"/>
    <col min="11748" max="11748" width="17.44140625" customWidth="1"/>
    <col min="11749" max="11749" width="30.88671875" customWidth="1"/>
    <col min="11750" max="11750" width="11.88671875" customWidth="1"/>
    <col min="11751" max="11751" width="41.6640625" customWidth="1"/>
    <col min="11752" max="11757" width="30.88671875" bestFit="1" customWidth="1"/>
    <col min="11758" max="11758" width="10.5546875" bestFit="1" customWidth="1"/>
    <col min="11997" max="11997" width="10.109375" bestFit="1" customWidth="1"/>
    <col min="11998" max="11998" width="18.33203125" customWidth="1"/>
    <col min="11999" max="11999" width="11.88671875" bestFit="1" customWidth="1"/>
    <col min="12000" max="12000" width="13.44140625" customWidth="1"/>
    <col min="12001" max="12001" width="30.88671875" bestFit="1" customWidth="1"/>
    <col min="12002" max="12002" width="21.109375" customWidth="1"/>
    <col min="12003" max="12003" width="44.5546875" customWidth="1"/>
    <col min="12004" max="12004" width="17.44140625" customWidth="1"/>
    <col min="12005" max="12005" width="30.88671875" customWidth="1"/>
    <col min="12006" max="12006" width="11.88671875" customWidth="1"/>
    <col min="12007" max="12007" width="41.6640625" customWidth="1"/>
    <col min="12008" max="12013" width="30.88671875" bestFit="1" customWidth="1"/>
    <col min="12014" max="12014" width="10.5546875" bestFit="1" customWidth="1"/>
    <col min="12253" max="12253" width="10.109375" bestFit="1" customWidth="1"/>
    <col min="12254" max="12254" width="18.33203125" customWidth="1"/>
    <col min="12255" max="12255" width="11.88671875" bestFit="1" customWidth="1"/>
    <col min="12256" max="12256" width="13.44140625" customWidth="1"/>
    <col min="12257" max="12257" width="30.88671875" bestFit="1" customWidth="1"/>
    <col min="12258" max="12258" width="21.109375" customWidth="1"/>
    <col min="12259" max="12259" width="44.5546875" customWidth="1"/>
    <col min="12260" max="12260" width="17.44140625" customWidth="1"/>
    <col min="12261" max="12261" width="30.88671875" customWidth="1"/>
    <col min="12262" max="12262" width="11.88671875" customWidth="1"/>
    <col min="12263" max="12263" width="41.6640625" customWidth="1"/>
    <col min="12264" max="12269" width="30.88671875" bestFit="1" customWidth="1"/>
    <col min="12270" max="12270" width="10.5546875" bestFit="1" customWidth="1"/>
    <col min="12509" max="12509" width="10.109375" bestFit="1" customWidth="1"/>
    <col min="12510" max="12510" width="18.33203125" customWidth="1"/>
    <col min="12511" max="12511" width="11.88671875" bestFit="1" customWidth="1"/>
    <col min="12512" max="12512" width="13.44140625" customWidth="1"/>
    <col min="12513" max="12513" width="30.88671875" bestFit="1" customWidth="1"/>
    <col min="12514" max="12514" width="21.109375" customWidth="1"/>
    <col min="12515" max="12515" width="44.5546875" customWidth="1"/>
    <col min="12516" max="12516" width="17.44140625" customWidth="1"/>
    <col min="12517" max="12517" width="30.88671875" customWidth="1"/>
    <col min="12518" max="12518" width="11.88671875" customWidth="1"/>
    <col min="12519" max="12519" width="41.6640625" customWidth="1"/>
    <col min="12520" max="12525" width="30.88671875" bestFit="1" customWidth="1"/>
    <col min="12526" max="12526" width="10.5546875" bestFit="1" customWidth="1"/>
    <col min="12765" max="12765" width="10.109375" bestFit="1" customWidth="1"/>
    <col min="12766" max="12766" width="18.33203125" customWidth="1"/>
    <col min="12767" max="12767" width="11.88671875" bestFit="1" customWidth="1"/>
    <col min="12768" max="12768" width="13.44140625" customWidth="1"/>
    <col min="12769" max="12769" width="30.88671875" bestFit="1" customWidth="1"/>
    <col min="12770" max="12770" width="21.109375" customWidth="1"/>
    <col min="12771" max="12771" width="44.5546875" customWidth="1"/>
    <col min="12772" max="12772" width="17.44140625" customWidth="1"/>
    <col min="12773" max="12773" width="30.88671875" customWidth="1"/>
    <col min="12774" max="12774" width="11.88671875" customWidth="1"/>
    <col min="12775" max="12775" width="41.6640625" customWidth="1"/>
    <col min="12776" max="12781" width="30.88671875" bestFit="1" customWidth="1"/>
    <col min="12782" max="12782" width="10.5546875" bestFit="1" customWidth="1"/>
    <col min="13021" max="13021" width="10.109375" bestFit="1" customWidth="1"/>
    <col min="13022" max="13022" width="18.33203125" customWidth="1"/>
    <col min="13023" max="13023" width="11.88671875" bestFit="1" customWidth="1"/>
    <col min="13024" max="13024" width="13.44140625" customWidth="1"/>
    <col min="13025" max="13025" width="30.88671875" bestFit="1" customWidth="1"/>
    <col min="13026" max="13026" width="21.109375" customWidth="1"/>
    <col min="13027" max="13027" width="44.5546875" customWidth="1"/>
    <col min="13028" max="13028" width="17.44140625" customWidth="1"/>
    <col min="13029" max="13029" width="30.88671875" customWidth="1"/>
    <col min="13030" max="13030" width="11.88671875" customWidth="1"/>
    <col min="13031" max="13031" width="41.6640625" customWidth="1"/>
    <col min="13032" max="13037" width="30.88671875" bestFit="1" customWidth="1"/>
    <col min="13038" max="13038" width="10.5546875" bestFit="1" customWidth="1"/>
    <col min="13277" max="13277" width="10.109375" bestFit="1" customWidth="1"/>
    <col min="13278" max="13278" width="18.33203125" customWidth="1"/>
    <col min="13279" max="13279" width="11.88671875" bestFit="1" customWidth="1"/>
    <col min="13280" max="13280" width="13.44140625" customWidth="1"/>
    <col min="13281" max="13281" width="30.88671875" bestFit="1" customWidth="1"/>
    <col min="13282" max="13282" width="21.109375" customWidth="1"/>
    <col min="13283" max="13283" width="44.5546875" customWidth="1"/>
    <col min="13284" max="13284" width="17.44140625" customWidth="1"/>
    <col min="13285" max="13285" width="30.88671875" customWidth="1"/>
    <col min="13286" max="13286" width="11.88671875" customWidth="1"/>
    <col min="13287" max="13287" width="41.6640625" customWidth="1"/>
    <col min="13288" max="13293" width="30.88671875" bestFit="1" customWidth="1"/>
    <col min="13294" max="13294" width="10.5546875" bestFit="1" customWidth="1"/>
    <col min="13533" max="13533" width="10.109375" bestFit="1" customWidth="1"/>
    <col min="13534" max="13534" width="18.33203125" customWidth="1"/>
    <col min="13535" max="13535" width="11.88671875" bestFit="1" customWidth="1"/>
    <col min="13536" max="13536" width="13.44140625" customWidth="1"/>
    <col min="13537" max="13537" width="30.88671875" bestFit="1" customWidth="1"/>
    <col min="13538" max="13538" width="21.109375" customWidth="1"/>
    <col min="13539" max="13539" width="44.5546875" customWidth="1"/>
    <col min="13540" max="13540" width="17.44140625" customWidth="1"/>
    <col min="13541" max="13541" width="30.88671875" customWidth="1"/>
    <col min="13542" max="13542" width="11.88671875" customWidth="1"/>
    <col min="13543" max="13543" width="41.6640625" customWidth="1"/>
    <col min="13544" max="13549" width="30.88671875" bestFit="1" customWidth="1"/>
    <col min="13550" max="13550" width="10.5546875" bestFit="1" customWidth="1"/>
    <col min="13789" max="13789" width="10.109375" bestFit="1" customWidth="1"/>
    <col min="13790" max="13790" width="18.33203125" customWidth="1"/>
    <col min="13791" max="13791" width="11.88671875" bestFit="1" customWidth="1"/>
    <col min="13792" max="13792" width="13.44140625" customWidth="1"/>
    <col min="13793" max="13793" width="30.88671875" bestFit="1" customWidth="1"/>
    <col min="13794" max="13794" width="21.109375" customWidth="1"/>
    <col min="13795" max="13795" width="44.5546875" customWidth="1"/>
    <col min="13796" max="13796" width="17.44140625" customWidth="1"/>
    <col min="13797" max="13797" width="30.88671875" customWidth="1"/>
    <col min="13798" max="13798" width="11.88671875" customWidth="1"/>
    <col min="13799" max="13799" width="41.6640625" customWidth="1"/>
    <col min="13800" max="13805" width="30.88671875" bestFit="1" customWidth="1"/>
    <col min="13806" max="13806" width="10.5546875" bestFit="1" customWidth="1"/>
    <col min="14045" max="14045" width="10.109375" bestFit="1" customWidth="1"/>
    <col min="14046" max="14046" width="18.33203125" customWidth="1"/>
    <col min="14047" max="14047" width="11.88671875" bestFit="1" customWidth="1"/>
    <col min="14048" max="14048" width="13.44140625" customWidth="1"/>
    <col min="14049" max="14049" width="30.88671875" bestFit="1" customWidth="1"/>
    <col min="14050" max="14050" width="21.109375" customWidth="1"/>
    <col min="14051" max="14051" width="44.5546875" customWidth="1"/>
    <col min="14052" max="14052" width="17.44140625" customWidth="1"/>
    <col min="14053" max="14053" width="30.88671875" customWidth="1"/>
    <col min="14054" max="14054" width="11.88671875" customWidth="1"/>
    <col min="14055" max="14055" width="41.6640625" customWidth="1"/>
    <col min="14056" max="14061" width="30.88671875" bestFit="1" customWidth="1"/>
    <col min="14062" max="14062" width="10.5546875" bestFit="1" customWidth="1"/>
    <col min="14301" max="14301" width="10.109375" bestFit="1" customWidth="1"/>
    <col min="14302" max="14302" width="18.33203125" customWidth="1"/>
    <col min="14303" max="14303" width="11.88671875" bestFit="1" customWidth="1"/>
    <col min="14304" max="14304" width="13.44140625" customWidth="1"/>
    <col min="14305" max="14305" width="30.88671875" bestFit="1" customWidth="1"/>
    <col min="14306" max="14306" width="21.109375" customWidth="1"/>
    <col min="14307" max="14307" width="44.5546875" customWidth="1"/>
    <col min="14308" max="14308" width="17.44140625" customWidth="1"/>
    <col min="14309" max="14309" width="30.88671875" customWidth="1"/>
    <col min="14310" max="14310" width="11.88671875" customWidth="1"/>
    <col min="14311" max="14311" width="41.6640625" customWidth="1"/>
    <col min="14312" max="14317" width="30.88671875" bestFit="1" customWidth="1"/>
    <col min="14318" max="14318" width="10.5546875" bestFit="1" customWidth="1"/>
    <col min="14557" max="14557" width="10.109375" bestFit="1" customWidth="1"/>
    <col min="14558" max="14558" width="18.33203125" customWidth="1"/>
    <col min="14559" max="14559" width="11.88671875" bestFit="1" customWidth="1"/>
    <col min="14560" max="14560" width="13.44140625" customWidth="1"/>
    <col min="14561" max="14561" width="30.88671875" bestFit="1" customWidth="1"/>
    <col min="14562" max="14562" width="21.109375" customWidth="1"/>
    <col min="14563" max="14563" width="44.5546875" customWidth="1"/>
    <col min="14564" max="14564" width="17.44140625" customWidth="1"/>
    <col min="14565" max="14565" width="30.88671875" customWidth="1"/>
    <col min="14566" max="14566" width="11.88671875" customWidth="1"/>
    <col min="14567" max="14567" width="41.6640625" customWidth="1"/>
    <col min="14568" max="14573" width="30.88671875" bestFit="1" customWidth="1"/>
    <col min="14574" max="14574" width="10.5546875" bestFit="1" customWidth="1"/>
    <col min="14813" max="14813" width="10.109375" bestFit="1" customWidth="1"/>
    <col min="14814" max="14814" width="18.33203125" customWidth="1"/>
    <col min="14815" max="14815" width="11.88671875" bestFit="1" customWidth="1"/>
    <col min="14816" max="14816" width="13.44140625" customWidth="1"/>
    <col min="14817" max="14817" width="30.88671875" bestFit="1" customWidth="1"/>
    <col min="14818" max="14818" width="21.109375" customWidth="1"/>
    <col min="14819" max="14819" width="44.5546875" customWidth="1"/>
    <col min="14820" max="14820" width="17.44140625" customWidth="1"/>
    <col min="14821" max="14821" width="30.88671875" customWidth="1"/>
    <col min="14822" max="14822" width="11.88671875" customWidth="1"/>
    <col min="14823" max="14823" width="41.6640625" customWidth="1"/>
    <col min="14824" max="14829" width="30.88671875" bestFit="1" customWidth="1"/>
    <col min="14830" max="14830" width="10.5546875" bestFit="1" customWidth="1"/>
    <col min="15069" max="15069" width="10.109375" bestFit="1" customWidth="1"/>
    <col min="15070" max="15070" width="18.33203125" customWidth="1"/>
    <col min="15071" max="15071" width="11.88671875" bestFit="1" customWidth="1"/>
    <col min="15072" max="15072" width="13.44140625" customWidth="1"/>
    <col min="15073" max="15073" width="30.88671875" bestFit="1" customWidth="1"/>
    <col min="15074" max="15074" width="21.109375" customWidth="1"/>
    <col min="15075" max="15075" width="44.5546875" customWidth="1"/>
    <col min="15076" max="15076" width="17.44140625" customWidth="1"/>
    <col min="15077" max="15077" width="30.88671875" customWidth="1"/>
    <col min="15078" max="15078" width="11.88671875" customWidth="1"/>
    <col min="15079" max="15079" width="41.6640625" customWidth="1"/>
    <col min="15080" max="15085" width="30.88671875" bestFit="1" customWidth="1"/>
    <col min="15086" max="15086" width="10.5546875" bestFit="1" customWidth="1"/>
    <col min="15325" max="15325" width="10.109375" bestFit="1" customWidth="1"/>
    <col min="15326" max="15326" width="18.33203125" customWidth="1"/>
    <col min="15327" max="15327" width="11.88671875" bestFit="1" customWidth="1"/>
    <col min="15328" max="15328" width="13.44140625" customWidth="1"/>
    <col min="15329" max="15329" width="30.88671875" bestFit="1" customWidth="1"/>
    <col min="15330" max="15330" width="21.109375" customWidth="1"/>
    <col min="15331" max="15331" width="44.5546875" customWidth="1"/>
    <col min="15332" max="15332" width="17.44140625" customWidth="1"/>
    <col min="15333" max="15333" width="30.88671875" customWidth="1"/>
    <col min="15334" max="15334" width="11.88671875" customWidth="1"/>
    <col min="15335" max="15335" width="41.6640625" customWidth="1"/>
    <col min="15336" max="15341" width="30.88671875" bestFit="1" customWidth="1"/>
    <col min="15342" max="15342" width="10.5546875" bestFit="1" customWidth="1"/>
    <col min="15581" max="15581" width="10.109375" bestFit="1" customWidth="1"/>
    <col min="15582" max="15582" width="18.33203125" customWidth="1"/>
    <col min="15583" max="15583" width="11.88671875" bestFit="1" customWidth="1"/>
    <col min="15584" max="15584" width="13.44140625" customWidth="1"/>
    <col min="15585" max="15585" width="30.88671875" bestFit="1" customWidth="1"/>
    <col min="15586" max="15586" width="21.109375" customWidth="1"/>
    <col min="15587" max="15587" width="44.5546875" customWidth="1"/>
    <col min="15588" max="15588" width="17.44140625" customWidth="1"/>
    <col min="15589" max="15589" width="30.88671875" customWidth="1"/>
    <col min="15590" max="15590" width="11.88671875" customWidth="1"/>
    <col min="15591" max="15591" width="41.6640625" customWidth="1"/>
    <col min="15592" max="15597" width="30.88671875" bestFit="1" customWidth="1"/>
    <col min="15598" max="15598" width="10.5546875" bestFit="1" customWidth="1"/>
    <col min="15837" max="15837" width="10.109375" bestFit="1" customWidth="1"/>
    <col min="15838" max="15838" width="18.33203125" customWidth="1"/>
    <col min="15839" max="15839" width="11.88671875" bestFit="1" customWidth="1"/>
    <col min="15840" max="15840" width="13.44140625" customWidth="1"/>
    <col min="15841" max="15841" width="30.88671875" bestFit="1" customWidth="1"/>
    <col min="15842" max="15842" width="21.109375" customWidth="1"/>
    <col min="15843" max="15843" width="44.5546875" customWidth="1"/>
    <col min="15844" max="15844" width="17.44140625" customWidth="1"/>
    <col min="15845" max="15845" width="30.88671875" customWidth="1"/>
    <col min="15846" max="15846" width="11.88671875" customWidth="1"/>
    <col min="15847" max="15847" width="41.6640625" customWidth="1"/>
    <col min="15848" max="15853" width="30.88671875" bestFit="1" customWidth="1"/>
    <col min="15854" max="15854" width="10.5546875" bestFit="1" customWidth="1"/>
    <col min="16093" max="16093" width="10.109375" bestFit="1" customWidth="1"/>
    <col min="16094" max="16094" width="18.33203125" customWidth="1"/>
    <col min="16095" max="16095" width="11.88671875" bestFit="1" customWidth="1"/>
    <col min="16096" max="16096" width="13.44140625" customWidth="1"/>
    <col min="16097" max="16097" width="30.88671875" bestFit="1" customWidth="1"/>
    <col min="16098" max="16098" width="21.109375" customWidth="1"/>
    <col min="16099" max="16099" width="44.5546875" customWidth="1"/>
    <col min="16100" max="16100" width="17.44140625" customWidth="1"/>
    <col min="16101" max="16101" width="30.88671875" customWidth="1"/>
    <col min="16102" max="16102" width="11.88671875" customWidth="1"/>
    <col min="16103" max="16103" width="41.6640625" customWidth="1"/>
    <col min="16104" max="16109" width="30.88671875" bestFit="1" customWidth="1"/>
    <col min="16110" max="16110" width="10.5546875" bestFit="1" customWidth="1"/>
  </cols>
  <sheetData>
    <row r="1" spans="1:26" x14ac:dyDescent="0.3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2" t="s">
        <v>48</v>
      </c>
    </row>
    <row r="2" spans="1:26" x14ac:dyDescent="0.3">
      <c r="A2" s="58">
        <v>45897</v>
      </c>
      <c r="B2" s="35">
        <v>-1990775.95</v>
      </c>
      <c r="C2" t="s">
        <v>49</v>
      </c>
      <c r="D2" s="25"/>
      <c r="E2" s="26" t="str">
        <f t="shared" ref="E2:E33" si="0"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TEXT(EDATE(IF(DAY(A2)&gt;=28, A2, EDATE(A2,-1)), -1),"yyyy-mm"), TEXT(IF(DAY(A2)&gt;=28, A2, EDATE(A2,-1)),"yyyy-mm"))</f>
        <v>Lai 2025-07</v>
      </c>
      <c r="F2" s="27">
        <f t="shared" ref="F2:F33" si="1">IF(ISNUMBER(B2), ROUND(SUMIFS($B$2:$B$10000, $E$2:$E$10000, E2, $B$2:$B$10000, IF(B2&lt;0, "&lt;0", "&gt;0")), 0), "")</f>
        <v>-4547500</v>
      </c>
      <c r="G2" s="28" t="str">
        <f t="shared" ref="G2:G33" si="2"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3">
      <c r="A3" s="58">
        <v>45897</v>
      </c>
      <c r="B3" s="35">
        <v>-73820.27</v>
      </c>
      <c r="C3" t="s">
        <v>49</v>
      </c>
      <c r="D3" s="25"/>
      <c r="E3" s="26" t="str">
        <f t="shared" si="0"/>
        <v>Lai 2025-07</v>
      </c>
      <c r="F3" s="27">
        <f t="shared" si="1"/>
        <v>-4547500</v>
      </c>
      <c r="G3" s="28" t="str">
        <f t="shared" si="2"/>
        <v>Lai phat sinh</v>
      </c>
    </row>
    <row r="4" spans="1:26" x14ac:dyDescent="0.3">
      <c r="A4" s="58">
        <v>45897</v>
      </c>
      <c r="B4" s="35">
        <v>-2482903.42</v>
      </c>
      <c r="C4" t="s">
        <v>49</v>
      </c>
      <c r="D4" s="25"/>
      <c r="E4" s="26" t="str">
        <f t="shared" si="0"/>
        <v>Lai 2025-07</v>
      </c>
      <c r="F4" s="27">
        <f t="shared" si="1"/>
        <v>-4547500</v>
      </c>
      <c r="G4" s="28" t="str">
        <f t="shared" si="2"/>
        <v>Lai phat sinh</v>
      </c>
    </row>
    <row r="5" spans="1:26" x14ac:dyDescent="0.3">
      <c r="A5" s="58">
        <v>45866</v>
      </c>
      <c r="B5" s="35">
        <v>-1808700.01</v>
      </c>
      <c r="C5" t="s">
        <v>49</v>
      </c>
      <c r="D5" s="7"/>
      <c r="E5" s="26" t="str">
        <f t="shared" si="0"/>
        <v>Lai 2025-06</v>
      </c>
      <c r="F5" s="27">
        <f t="shared" si="1"/>
        <v>-4282949</v>
      </c>
      <c r="G5" s="28" t="str">
        <f t="shared" si="2"/>
        <v>Lai phat sinh</v>
      </c>
    </row>
    <row r="6" spans="1:26" x14ac:dyDescent="0.3">
      <c r="A6" s="58">
        <v>45866</v>
      </c>
      <c r="B6" s="35">
        <v>-71438.97</v>
      </c>
      <c r="C6" t="s">
        <v>49</v>
      </c>
      <c r="D6" s="25"/>
      <c r="E6" s="26" t="str">
        <f t="shared" si="0"/>
        <v>Lai 2025-06</v>
      </c>
      <c r="F6" s="27">
        <f t="shared" si="1"/>
        <v>-4282949</v>
      </c>
      <c r="G6" s="28" t="str">
        <f t="shared" si="2"/>
        <v>Lai phat sinh</v>
      </c>
    </row>
    <row r="7" spans="1:26" x14ac:dyDescent="0.3">
      <c r="A7" s="58">
        <v>45866</v>
      </c>
      <c r="B7" s="35">
        <v>-2402809.7599999998</v>
      </c>
      <c r="C7" t="s">
        <v>49</v>
      </c>
      <c r="D7" s="25"/>
      <c r="E7" s="26" t="str">
        <f t="shared" si="0"/>
        <v>Lai 2025-06</v>
      </c>
      <c r="F7" s="27">
        <f t="shared" si="1"/>
        <v>-4282949</v>
      </c>
      <c r="G7" s="28" t="str">
        <f t="shared" si="2"/>
        <v>Lai phat sinh</v>
      </c>
    </row>
    <row r="8" spans="1:26" x14ac:dyDescent="0.3">
      <c r="A8" s="58">
        <v>45836</v>
      </c>
      <c r="B8" s="35">
        <v>-1746624.02</v>
      </c>
      <c r="C8" t="s">
        <v>49</v>
      </c>
      <c r="D8" s="25"/>
      <c r="E8" s="26" t="str">
        <f t="shared" si="0"/>
        <v>Lai 2025-05</v>
      </c>
      <c r="F8" s="27">
        <f t="shared" si="1"/>
        <v>-4303348</v>
      </c>
      <c r="G8" s="28" t="str">
        <f t="shared" si="2"/>
        <v>Lai phat sinh</v>
      </c>
    </row>
    <row r="9" spans="1:26" x14ac:dyDescent="0.3">
      <c r="A9" s="58">
        <v>45836</v>
      </c>
      <c r="B9" s="35">
        <v>-73820.27</v>
      </c>
      <c r="C9" t="s">
        <v>49</v>
      </c>
      <c r="D9" s="25"/>
      <c r="E9" s="26" t="str">
        <f t="shared" si="0"/>
        <v>Lai 2025-05</v>
      </c>
      <c r="F9" s="27">
        <f t="shared" si="1"/>
        <v>-4303348</v>
      </c>
      <c r="G9" s="28" t="str">
        <f t="shared" si="2"/>
        <v>Lai phat sinh</v>
      </c>
    </row>
    <row r="10" spans="1:26" x14ac:dyDescent="0.3">
      <c r="A10" s="58">
        <v>45836</v>
      </c>
      <c r="B10" s="35">
        <v>-2482903.42</v>
      </c>
      <c r="C10" t="s">
        <v>49</v>
      </c>
      <c r="D10" s="25"/>
      <c r="E10" s="26" t="str">
        <f t="shared" si="0"/>
        <v>Lai 2025-05</v>
      </c>
      <c r="F10" s="27">
        <f t="shared" si="1"/>
        <v>-4303348</v>
      </c>
      <c r="G10" s="28" t="str">
        <f t="shared" si="2"/>
        <v>Lai phat sinh</v>
      </c>
    </row>
    <row r="11" spans="1:26" ht="16.5" customHeight="1" x14ac:dyDescent="0.3">
      <c r="A11" s="58">
        <v>45805</v>
      </c>
      <c r="B11" s="35">
        <v>-1578751.62</v>
      </c>
      <c r="C11" t="s">
        <v>49</v>
      </c>
      <c r="D11" s="25"/>
      <c r="E11" s="26" t="str">
        <f t="shared" si="0"/>
        <v>Lai 2025-04</v>
      </c>
      <c r="F11" s="27">
        <f t="shared" si="1"/>
        <v>-4053000</v>
      </c>
      <c r="G11" s="28" t="str">
        <f t="shared" si="2"/>
        <v>Lai phat sinh</v>
      </c>
    </row>
    <row r="12" spans="1:26" x14ac:dyDescent="0.3">
      <c r="A12" s="58">
        <v>45805</v>
      </c>
      <c r="B12" s="35">
        <v>-71438.97</v>
      </c>
      <c r="C12" t="s">
        <v>49</v>
      </c>
      <c r="D12" s="25"/>
      <c r="E12" s="26" t="str">
        <f t="shared" si="0"/>
        <v>Lai 2025-04</v>
      </c>
      <c r="F12" s="27">
        <f t="shared" si="1"/>
        <v>-4053000</v>
      </c>
      <c r="G12" s="28" t="str">
        <f t="shared" si="2"/>
        <v>Lai phat sinh</v>
      </c>
    </row>
    <row r="13" spans="1:26" x14ac:dyDescent="0.3">
      <c r="A13" s="58">
        <v>45805</v>
      </c>
      <c r="B13" s="35">
        <v>-2402809.7599999998</v>
      </c>
      <c r="C13" t="s">
        <v>49</v>
      </c>
      <c r="D13" s="25"/>
      <c r="E13" s="26" t="str">
        <f t="shared" si="0"/>
        <v>Lai 2025-04</v>
      </c>
      <c r="F13" s="27">
        <f t="shared" si="1"/>
        <v>-4053000</v>
      </c>
      <c r="G13" s="28" t="str">
        <f t="shared" si="2"/>
        <v>Lai phat sinh</v>
      </c>
    </row>
    <row r="14" spans="1:26" x14ac:dyDescent="0.3">
      <c r="A14" s="58">
        <v>45775</v>
      </c>
      <c r="B14" s="35">
        <v>-1515580.43</v>
      </c>
      <c r="C14" t="s">
        <v>49</v>
      </c>
      <c r="D14" s="25"/>
      <c r="E14" s="26" t="str">
        <f t="shared" si="0"/>
        <v>Lai 2025-03</v>
      </c>
      <c r="F14" s="27">
        <f t="shared" si="1"/>
        <v>-4072304</v>
      </c>
      <c r="G14" s="28" t="str">
        <f t="shared" si="2"/>
        <v>Lai phat sinh</v>
      </c>
    </row>
    <row r="15" spans="1:26" x14ac:dyDescent="0.3">
      <c r="A15" s="58">
        <v>45775</v>
      </c>
      <c r="B15" s="35">
        <v>-73820.27</v>
      </c>
      <c r="C15" t="s">
        <v>49</v>
      </c>
      <c r="D15" s="25"/>
      <c r="E15" s="26" t="str">
        <f t="shared" si="0"/>
        <v>Lai 2025-03</v>
      </c>
      <c r="F15" s="27">
        <f t="shared" si="1"/>
        <v>-4072304</v>
      </c>
      <c r="G15" s="28" t="str">
        <f t="shared" si="2"/>
        <v>Lai phat sinh</v>
      </c>
    </row>
    <row r="16" spans="1:26" x14ac:dyDescent="0.3">
      <c r="A16" s="58">
        <v>45775</v>
      </c>
      <c r="B16" s="35">
        <v>-2482903.42</v>
      </c>
      <c r="C16" t="s">
        <v>49</v>
      </c>
      <c r="D16" s="25"/>
      <c r="E16" s="26" t="str">
        <f t="shared" si="0"/>
        <v>Lai 2025-03</v>
      </c>
      <c r="F16" s="27">
        <f t="shared" si="1"/>
        <v>-4072304</v>
      </c>
      <c r="G16" s="28" t="str">
        <f t="shared" si="2"/>
        <v>Lai phat sinh</v>
      </c>
    </row>
    <row r="17" spans="1:7" x14ac:dyDescent="0.3">
      <c r="A17" s="58">
        <v>45744</v>
      </c>
      <c r="B17" s="35">
        <v>-1276808.3400000001</v>
      </c>
      <c r="C17" t="s">
        <v>49</v>
      </c>
      <c r="D17" s="25"/>
      <c r="E17" s="26" t="str">
        <f t="shared" si="0"/>
        <v>Lai 2025-02</v>
      </c>
      <c r="F17" s="27">
        <f t="shared" si="1"/>
        <v>-3586107</v>
      </c>
      <c r="G17" s="28" t="str">
        <f t="shared" si="2"/>
        <v>Lai phat sinh</v>
      </c>
    </row>
    <row r="18" spans="1:7" x14ac:dyDescent="0.3">
      <c r="A18" s="58">
        <v>45744</v>
      </c>
      <c r="B18" s="35">
        <v>-66676.37</v>
      </c>
      <c r="C18" t="s">
        <v>49</v>
      </c>
      <c r="D18" s="25"/>
      <c r="E18" s="26" t="str">
        <f t="shared" si="0"/>
        <v>Lai 2025-02</v>
      </c>
      <c r="F18" s="27">
        <f t="shared" si="1"/>
        <v>-3586107</v>
      </c>
      <c r="G18" s="28" t="str">
        <f t="shared" si="2"/>
        <v>Lai phat sinh</v>
      </c>
    </row>
    <row r="19" spans="1:7" x14ac:dyDescent="0.3">
      <c r="A19" s="58">
        <v>45744</v>
      </c>
      <c r="B19" s="35">
        <v>-2242622.44</v>
      </c>
      <c r="C19" t="s">
        <v>49</v>
      </c>
      <c r="D19" s="25"/>
      <c r="E19" s="26" t="str">
        <f t="shared" si="0"/>
        <v>Lai 2025-02</v>
      </c>
      <c r="F19" s="27">
        <f t="shared" si="1"/>
        <v>-3586107</v>
      </c>
      <c r="G19" s="28" t="str">
        <f t="shared" si="2"/>
        <v>Lai phat sinh</v>
      </c>
    </row>
    <row r="20" spans="1:7" x14ac:dyDescent="0.3">
      <c r="A20" s="58">
        <v>45716</v>
      </c>
      <c r="B20" s="35">
        <v>-1303834.01</v>
      </c>
      <c r="C20" t="s">
        <v>49</v>
      </c>
      <c r="D20" s="17"/>
      <c r="E20" s="26" t="str">
        <f t="shared" si="0"/>
        <v>Lai 2025-01</v>
      </c>
      <c r="F20" s="27">
        <f t="shared" si="1"/>
        <v>-3860558</v>
      </c>
      <c r="G20" s="28" t="str">
        <f t="shared" si="2"/>
        <v>Lai phat sinh</v>
      </c>
    </row>
    <row r="21" spans="1:7" x14ac:dyDescent="0.3">
      <c r="A21" s="58">
        <v>45716</v>
      </c>
      <c r="B21" s="35">
        <v>-73820.27</v>
      </c>
      <c r="C21" t="s">
        <v>49</v>
      </c>
      <c r="D21" s="17"/>
      <c r="E21" s="26" t="str">
        <f t="shared" si="0"/>
        <v>Lai 2025-01</v>
      </c>
      <c r="F21" s="27">
        <f t="shared" si="1"/>
        <v>-3860558</v>
      </c>
      <c r="G21" s="28" t="str">
        <f t="shared" si="2"/>
        <v>Lai phat sinh</v>
      </c>
    </row>
    <row r="22" spans="1:7" x14ac:dyDescent="0.3">
      <c r="A22" s="58">
        <v>45716</v>
      </c>
      <c r="B22" s="35">
        <v>-2482903.42</v>
      </c>
      <c r="C22" t="s">
        <v>49</v>
      </c>
      <c r="D22" s="17"/>
      <c r="E22" s="26" t="str">
        <f t="shared" si="0"/>
        <v>Lai 2025-01</v>
      </c>
      <c r="F22" s="27">
        <f t="shared" si="1"/>
        <v>-3860558</v>
      </c>
      <c r="G22" s="28" t="str">
        <f t="shared" si="2"/>
        <v>Lai phat sinh</v>
      </c>
    </row>
    <row r="23" spans="1:7" x14ac:dyDescent="0.3">
      <c r="A23" s="58">
        <v>45685</v>
      </c>
      <c r="B23" s="35">
        <v>-1197093.94</v>
      </c>
      <c r="C23" t="s">
        <v>49</v>
      </c>
      <c r="D23" s="25"/>
      <c r="E23" s="26" t="str">
        <f t="shared" si="0"/>
        <v>Lai 2024-12</v>
      </c>
      <c r="F23" s="27">
        <f t="shared" si="1"/>
        <v>-3753818</v>
      </c>
      <c r="G23" s="28" t="str">
        <f t="shared" si="2"/>
        <v>Lai phat sinh</v>
      </c>
    </row>
    <row r="24" spans="1:7" x14ac:dyDescent="0.3">
      <c r="A24" s="58">
        <v>45685</v>
      </c>
      <c r="B24" s="35">
        <v>-73820.27</v>
      </c>
      <c r="C24" t="s">
        <v>49</v>
      </c>
      <c r="D24" s="25"/>
      <c r="E24" s="26" t="str">
        <f t="shared" si="0"/>
        <v>Lai 2024-12</v>
      </c>
      <c r="F24" s="27">
        <f t="shared" si="1"/>
        <v>-3753818</v>
      </c>
      <c r="G24" s="28" t="str">
        <f t="shared" si="2"/>
        <v>Lai phat sinh</v>
      </c>
    </row>
    <row r="25" spans="1:7" x14ac:dyDescent="0.3">
      <c r="A25" s="58">
        <v>45685</v>
      </c>
      <c r="B25" s="35">
        <v>-2482903.42</v>
      </c>
      <c r="C25" t="s">
        <v>49</v>
      </c>
      <c r="D25" s="25"/>
      <c r="E25" s="26" t="str">
        <f t="shared" si="0"/>
        <v>Lai 2024-12</v>
      </c>
      <c r="F25" s="27">
        <f t="shared" si="1"/>
        <v>-3753818</v>
      </c>
      <c r="G25" s="28" t="str">
        <f t="shared" si="2"/>
        <v>Lai phat sinh</v>
      </c>
    </row>
    <row r="26" spans="1:7" x14ac:dyDescent="0.3">
      <c r="A26" s="58">
        <v>45654</v>
      </c>
      <c r="B26" s="35">
        <v>-1061190.47</v>
      </c>
      <c r="C26" t="s">
        <v>49</v>
      </c>
      <c r="D26" s="25"/>
      <c r="E26" s="26" t="str">
        <f t="shared" si="0"/>
        <v>Lai 2024-11</v>
      </c>
      <c r="F26" s="27">
        <f t="shared" si="1"/>
        <v>-3535439</v>
      </c>
      <c r="G26" s="28" t="str">
        <f t="shared" si="2"/>
        <v>Lai phat sinh</v>
      </c>
    </row>
    <row r="27" spans="1:7" x14ac:dyDescent="0.3">
      <c r="A27" s="58">
        <v>45654</v>
      </c>
      <c r="B27" s="35">
        <v>-71438.97</v>
      </c>
      <c r="C27" t="s">
        <v>49</v>
      </c>
      <c r="D27" s="25"/>
      <c r="E27" s="26" t="str">
        <f t="shared" si="0"/>
        <v>Lai 2024-11</v>
      </c>
      <c r="F27" s="27">
        <f t="shared" si="1"/>
        <v>-3535439</v>
      </c>
      <c r="G27" s="28" t="str">
        <f t="shared" si="2"/>
        <v>Lai phat sinh</v>
      </c>
    </row>
    <row r="28" spans="1:7" x14ac:dyDescent="0.3">
      <c r="A28" s="58">
        <v>45654</v>
      </c>
      <c r="B28" s="35">
        <v>-2402809.7599999998</v>
      </c>
      <c r="C28" t="s">
        <v>49</v>
      </c>
      <c r="D28" s="25"/>
      <c r="E28" s="26" t="str">
        <f t="shared" si="0"/>
        <v>Lai 2024-11</v>
      </c>
      <c r="F28" s="27">
        <f t="shared" si="1"/>
        <v>-3535439</v>
      </c>
      <c r="G28" s="28" t="str">
        <f t="shared" si="2"/>
        <v>Lai phat sinh</v>
      </c>
    </row>
    <row r="29" spans="1:7" x14ac:dyDescent="0.3">
      <c r="A29" s="58">
        <v>45624</v>
      </c>
      <c r="B29" s="35">
        <v>-995554.22</v>
      </c>
      <c r="C29" t="s">
        <v>49</v>
      </c>
      <c r="D29" s="25"/>
      <c r="E29" s="26" t="str">
        <f t="shared" si="0"/>
        <v>Lai 2024-10</v>
      </c>
      <c r="F29" s="27">
        <f t="shared" si="1"/>
        <v>-3552278</v>
      </c>
      <c r="G29" s="28" t="str">
        <f t="shared" si="2"/>
        <v>Lai phat sinh</v>
      </c>
    </row>
    <row r="30" spans="1:7" x14ac:dyDescent="0.3">
      <c r="A30" s="58">
        <v>45624</v>
      </c>
      <c r="B30" s="35">
        <v>-73820.27</v>
      </c>
      <c r="C30" t="s">
        <v>49</v>
      </c>
      <c r="D30" s="25"/>
      <c r="E30" s="26" t="str">
        <f t="shared" si="0"/>
        <v>Lai 2024-10</v>
      </c>
      <c r="F30" s="27">
        <f t="shared" si="1"/>
        <v>-3552278</v>
      </c>
      <c r="G30" s="28" t="str">
        <f t="shared" si="2"/>
        <v>Lai phat sinh</v>
      </c>
    </row>
    <row r="31" spans="1:7" x14ac:dyDescent="0.3">
      <c r="A31" s="58">
        <v>45624</v>
      </c>
      <c r="B31" s="35">
        <v>-2482903.42</v>
      </c>
      <c r="C31" t="s">
        <v>49</v>
      </c>
      <c r="D31" s="25"/>
      <c r="E31" s="26" t="str">
        <f t="shared" si="0"/>
        <v>Lai 2024-10</v>
      </c>
      <c r="F31" s="27">
        <f t="shared" si="1"/>
        <v>-3552278</v>
      </c>
      <c r="G31" s="28" t="str">
        <f t="shared" si="2"/>
        <v>Lai phat sinh</v>
      </c>
    </row>
    <row r="32" spans="1:7" x14ac:dyDescent="0.3">
      <c r="A32" s="58">
        <v>45593</v>
      </c>
      <c r="B32" s="35">
        <v>-871375.33</v>
      </c>
      <c r="C32" t="s">
        <v>49</v>
      </c>
      <c r="D32" s="25"/>
      <c r="E32" s="26" t="str">
        <f t="shared" si="0"/>
        <v>Lai 2024-09</v>
      </c>
      <c r="F32" s="27">
        <f t="shared" si="1"/>
        <v>-3345624</v>
      </c>
      <c r="G32" s="28" t="str">
        <f t="shared" si="2"/>
        <v>Lai phat sinh</v>
      </c>
    </row>
    <row r="33" spans="1:7" x14ac:dyDescent="0.3">
      <c r="A33" s="58">
        <v>45593</v>
      </c>
      <c r="B33" s="35">
        <v>-71438.97</v>
      </c>
      <c r="C33" t="s">
        <v>49</v>
      </c>
      <c r="D33" s="25"/>
      <c r="E33" s="26" t="str">
        <f t="shared" si="0"/>
        <v>Lai 2024-09</v>
      </c>
      <c r="F33" s="27">
        <f t="shared" si="1"/>
        <v>-3345624</v>
      </c>
      <c r="G33" s="28" t="str">
        <f t="shared" si="2"/>
        <v>Lai phat sinh</v>
      </c>
    </row>
    <row r="34" spans="1:7" x14ac:dyDescent="0.3">
      <c r="A34" s="58">
        <v>45593</v>
      </c>
      <c r="B34" s="35">
        <v>-2402809.7599999998</v>
      </c>
      <c r="C34" t="s">
        <v>49</v>
      </c>
      <c r="D34" s="25"/>
      <c r="E34" s="26" t="str">
        <f t="shared" ref="E34:E65" si="3">IF(OR(C34="Transaction",C34="Interests",C34="Misc",C34="Account Transfer"), IF(C34="Transaction", IF(B34&lt;0, "Du no", "Da thanh toan"), IF(C34="Interests", "Lai", IF(C34="Misc", "Phi", IF(C34="Account Transfer", IF(OR(ISNUMBER(SEARCH("Trich lai tra gop the TD", D34)), ISNUMBER(SEARCH("Chuyen lai tra gop con lai sang du no thong thuong khi BadDebt", D34))), IF(B34&lt;0, "Lai tra gop", ""), "" )))))) &amp; " " &amp; IF(C34="Interests", TEXT(EDATE(IF(DAY(A34)&gt;=28, A34, EDATE(A34,-1)), -1),"yyyy-mm"), TEXT(IF(DAY(A34)&gt;=28, A34, EDATE(A34,-1)),"yyyy-mm"))</f>
        <v>Lai 2024-09</v>
      </c>
      <c r="F34" s="27">
        <f t="shared" ref="F34:F65" si="4">IF(ISNUMBER(B34), ROUND(SUMIFS($B$2:$B$10000, $E$2:$E$10000, E34, $B$2:$B$10000, IF(B34&lt;0, "&lt;0", "&gt;0")), 0), "")</f>
        <v>-3345624</v>
      </c>
      <c r="G34" s="28" t="str">
        <f t="shared" ref="G34:G65" si="5">IF(F34&gt;0, IF(C34="Transaction", "Da thanh toan", "Duong"), IF(F34&lt;0, IF(C34="Transaction", "Du no", IF(C34="Interests", "Lai phat sinh", IF(C34="Misc", "Phi", IF(C34="Account Transfer", "Lai tra gop", "Am")))), "Bang 0"))</f>
        <v>Lai phat sinh</v>
      </c>
    </row>
    <row r="35" spans="1:7" x14ac:dyDescent="0.3">
      <c r="A35" s="58">
        <v>45563</v>
      </c>
      <c r="B35" s="35">
        <v>-804835.02</v>
      </c>
      <c r="C35" t="s">
        <v>49</v>
      </c>
      <c r="D35" s="25"/>
      <c r="E35" s="26" t="str">
        <f t="shared" si="3"/>
        <v>Lai 2024-08</v>
      </c>
      <c r="F35" s="27">
        <f t="shared" si="4"/>
        <v>-3361559</v>
      </c>
      <c r="G35" s="28" t="str">
        <f t="shared" si="5"/>
        <v>Lai phat sinh</v>
      </c>
    </row>
    <row r="36" spans="1:7" x14ac:dyDescent="0.3">
      <c r="A36" s="58">
        <v>45563</v>
      </c>
      <c r="B36" s="35">
        <v>-73820.27</v>
      </c>
      <c r="C36" t="s">
        <v>49</v>
      </c>
      <c r="D36" s="25"/>
      <c r="E36" s="26" t="str">
        <f t="shared" si="3"/>
        <v>Lai 2024-08</v>
      </c>
      <c r="F36" s="27">
        <f t="shared" si="4"/>
        <v>-3361559</v>
      </c>
      <c r="G36" s="28" t="str">
        <f t="shared" si="5"/>
        <v>Lai phat sinh</v>
      </c>
    </row>
    <row r="37" spans="1:7" x14ac:dyDescent="0.3">
      <c r="A37" s="58">
        <v>45563</v>
      </c>
      <c r="B37" s="35">
        <v>-2482903.42</v>
      </c>
      <c r="C37" t="s">
        <v>49</v>
      </c>
      <c r="D37" s="25"/>
      <c r="E37" s="26" t="str">
        <f t="shared" si="3"/>
        <v>Lai 2024-08</v>
      </c>
      <c r="F37" s="27">
        <f t="shared" si="4"/>
        <v>-3361559</v>
      </c>
      <c r="G37" s="28" t="str">
        <f t="shared" si="5"/>
        <v>Lai phat sinh</v>
      </c>
    </row>
    <row r="38" spans="1:7" x14ac:dyDescent="0.3">
      <c r="A38" s="58">
        <v>45532</v>
      </c>
      <c r="B38" s="35">
        <v>-711891.72</v>
      </c>
      <c r="C38" t="s">
        <v>49</v>
      </c>
      <c r="D38" s="25"/>
      <c r="E38" s="26" t="str">
        <f t="shared" si="3"/>
        <v>Lai 2024-07</v>
      </c>
      <c r="F38" s="27">
        <f t="shared" si="4"/>
        <v>-3268615</v>
      </c>
      <c r="G38" s="28" t="str">
        <f t="shared" si="5"/>
        <v>Lai phat sinh</v>
      </c>
    </row>
    <row r="39" spans="1:7" x14ac:dyDescent="0.3">
      <c r="A39" s="58">
        <v>45532</v>
      </c>
      <c r="B39" s="35">
        <v>-73820.27</v>
      </c>
      <c r="C39" t="s">
        <v>49</v>
      </c>
      <c r="D39" s="25"/>
      <c r="E39" s="26" t="str">
        <f t="shared" si="3"/>
        <v>Lai 2024-07</v>
      </c>
      <c r="F39" s="27">
        <f t="shared" si="4"/>
        <v>-3268615</v>
      </c>
      <c r="G39" s="28" t="str">
        <f t="shared" si="5"/>
        <v>Lai phat sinh</v>
      </c>
    </row>
    <row r="40" spans="1:7" x14ac:dyDescent="0.3">
      <c r="A40" s="58">
        <v>45532</v>
      </c>
      <c r="B40" s="35">
        <v>-2482903.42</v>
      </c>
      <c r="C40" t="s">
        <v>49</v>
      </c>
      <c r="D40" s="17"/>
      <c r="E40" s="26" t="str">
        <f t="shared" si="3"/>
        <v>Lai 2024-07</v>
      </c>
      <c r="F40" s="27">
        <f t="shared" si="4"/>
        <v>-3268615</v>
      </c>
      <c r="G40" s="28" t="str">
        <f t="shared" si="5"/>
        <v>Lai phat sinh</v>
      </c>
    </row>
    <row r="41" spans="1:7" x14ac:dyDescent="0.3">
      <c r="A41" s="58">
        <v>45501</v>
      </c>
      <c r="B41" s="35">
        <v>-604214.9</v>
      </c>
      <c r="C41" t="s">
        <v>49</v>
      </c>
      <c r="D41" s="17"/>
      <c r="E41" s="26" t="str">
        <f t="shared" si="3"/>
        <v>Lai 2024-06</v>
      </c>
      <c r="F41" s="27">
        <f t="shared" si="4"/>
        <v>-3078464</v>
      </c>
      <c r="G41" s="28" t="str">
        <f t="shared" si="5"/>
        <v>Lai phat sinh</v>
      </c>
    </row>
    <row r="42" spans="1:7" x14ac:dyDescent="0.3">
      <c r="A42" s="58">
        <v>45501</v>
      </c>
      <c r="B42" s="35">
        <v>-71438.97</v>
      </c>
      <c r="C42" t="s">
        <v>49</v>
      </c>
      <c r="D42" s="25"/>
      <c r="E42" s="26" t="str">
        <f t="shared" si="3"/>
        <v>Lai 2024-06</v>
      </c>
      <c r="F42" s="27">
        <f t="shared" si="4"/>
        <v>-3078464</v>
      </c>
      <c r="G42" s="28" t="str">
        <f t="shared" si="5"/>
        <v>Lai phat sinh</v>
      </c>
    </row>
    <row r="43" spans="1:7" x14ac:dyDescent="0.3">
      <c r="A43" s="58">
        <v>45501</v>
      </c>
      <c r="B43" s="35">
        <v>-2402809.7599999998</v>
      </c>
      <c r="C43" t="s">
        <v>49</v>
      </c>
      <c r="D43" s="17"/>
      <c r="E43" s="26" t="str">
        <f t="shared" si="3"/>
        <v>Lai 2024-06</v>
      </c>
      <c r="F43" s="27">
        <f t="shared" si="4"/>
        <v>-3078464</v>
      </c>
      <c r="G43" s="28" t="str">
        <f t="shared" si="5"/>
        <v>Lai phat sinh</v>
      </c>
    </row>
    <row r="44" spans="1:7" x14ac:dyDescent="0.3">
      <c r="A44" s="58">
        <v>45471</v>
      </c>
      <c r="B44" s="35">
        <v>-2322716.1</v>
      </c>
      <c r="C44" t="s">
        <v>49</v>
      </c>
      <c r="D44" s="17"/>
      <c r="E44" s="26" t="str">
        <f t="shared" si="3"/>
        <v>Lai 2024-05</v>
      </c>
      <c r="F44" s="27">
        <f t="shared" si="4"/>
        <v>-3092815</v>
      </c>
      <c r="G44" s="28" t="str">
        <f t="shared" si="5"/>
        <v>Lai phat sinh</v>
      </c>
    </row>
    <row r="45" spans="1:7" x14ac:dyDescent="0.3">
      <c r="A45" s="58">
        <v>45471</v>
      </c>
      <c r="B45" s="35">
        <v>-69057.67</v>
      </c>
      <c r="C45" t="s">
        <v>49</v>
      </c>
      <c r="D45" s="17"/>
      <c r="E45" s="26" t="str">
        <f t="shared" si="3"/>
        <v>Lai 2024-05</v>
      </c>
      <c r="F45" s="27">
        <f t="shared" si="4"/>
        <v>-3092815</v>
      </c>
      <c r="G45" s="28" t="str">
        <f t="shared" si="5"/>
        <v>Lai phat sinh</v>
      </c>
    </row>
    <row r="46" spans="1:7" x14ac:dyDescent="0.3">
      <c r="A46" s="58">
        <v>45471</v>
      </c>
      <c r="B46" s="35">
        <v>-501505.16</v>
      </c>
      <c r="C46" t="s">
        <v>49</v>
      </c>
      <c r="D46" s="17"/>
      <c r="E46" s="26" t="str">
        <f t="shared" si="3"/>
        <v>Lai 2024-05</v>
      </c>
      <c r="F46" s="27">
        <f t="shared" si="4"/>
        <v>-3092815</v>
      </c>
      <c r="G46" s="28" t="str">
        <f t="shared" si="5"/>
        <v>Lai phat sinh</v>
      </c>
    </row>
    <row r="47" spans="1:7" x14ac:dyDescent="0.3">
      <c r="A47" s="58">
        <v>45471</v>
      </c>
      <c r="B47" s="35">
        <v>-34586.559999999998</v>
      </c>
      <c r="C47" t="s">
        <v>49</v>
      </c>
      <c r="D47" s="17"/>
      <c r="E47" s="26" t="str">
        <f t="shared" si="3"/>
        <v>Lai 2024-05</v>
      </c>
      <c r="F47" s="27">
        <f t="shared" si="4"/>
        <v>-3092815</v>
      </c>
      <c r="G47" s="28" t="str">
        <f t="shared" si="5"/>
        <v>Lai phat sinh</v>
      </c>
    </row>
    <row r="48" spans="1:7" x14ac:dyDescent="0.3">
      <c r="A48" s="58">
        <v>45471</v>
      </c>
      <c r="B48" s="35">
        <v>-4762.6000000000004</v>
      </c>
      <c r="C48" t="s">
        <v>49</v>
      </c>
      <c r="D48" s="17"/>
      <c r="E48" s="26" t="str">
        <f t="shared" si="3"/>
        <v>Lai 2024-05</v>
      </c>
      <c r="F48" s="27">
        <f t="shared" si="4"/>
        <v>-3092815</v>
      </c>
      <c r="G48" s="28" t="str">
        <f t="shared" si="5"/>
        <v>Lai phat sinh</v>
      </c>
    </row>
    <row r="49" spans="1:7" x14ac:dyDescent="0.3">
      <c r="A49" s="58">
        <v>45471</v>
      </c>
      <c r="B49" s="35">
        <v>-160187.32</v>
      </c>
      <c r="C49" t="s">
        <v>49</v>
      </c>
      <c r="D49" s="17"/>
      <c r="E49" s="26" t="str">
        <f t="shared" si="3"/>
        <v>Lai 2024-05</v>
      </c>
      <c r="F49" s="27">
        <f t="shared" si="4"/>
        <v>-3092815</v>
      </c>
      <c r="G49" s="28" t="str">
        <f t="shared" si="5"/>
        <v>Lai phat sinh</v>
      </c>
    </row>
    <row r="50" spans="1:7" x14ac:dyDescent="0.3">
      <c r="A50" s="58">
        <v>45469</v>
      </c>
      <c r="B50" s="35">
        <v>-11227.43</v>
      </c>
      <c r="C50" t="s">
        <v>49</v>
      </c>
      <c r="D50" s="25"/>
      <c r="E50" s="26" t="str">
        <f t="shared" si="3"/>
        <v>Lai 2024-04</v>
      </c>
      <c r="F50" s="27">
        <f t="shared" si="4"/>
        <v>-2924118</v>
      </c>
      <c r="G50" s="28" t="str">
        <f t="shared" si="5"/>
        <v>Lai phat sinh</v>
      </c>
    </row>
    <row r="51" spans="1:7" x14ac:dyDescent="0.3">
      <c r="A51" s="58">
        <v>45440</v>
      </c>
      <c r="B51" s="35">
        <v>-2402809.7599999998</v>
      </c>
      <c r="C51" t="s">
        <v>49</v>
      </c>
      <c r="D51" s="25"/>
      <c r="E51" s="26" t="str">
        <f t="shared" si="3"/>
        <v>Lai 2024-04</v>
      </c>
      <c r="F51" s="27">
        <f t="shared" si="4"/>
        <v>-2924118</v>
      </c>
      <c r="G51" s="28" t="str">
        <f t="shared" si="5"/>
        <v>Lai phat sinh</v>
      </c>
    </row>
    <row r="52" spans="1:7" x14ac:dyDescent="0.3">
      <c r="A52" s="58">
        <v>45440</v>
      </c>
      <c r="B52" s="35">
        <v>-71438.97</v>
      </c>
      <c r="C52" t="s">
        <v>49</v>
      </c>
      <c r="D52" s="25"/>
      <c r="E52" s="26" t="str">
        <f t="shared" si="3"/>
        <v>Lai 2024-04</v>
      </c>
      <c r="F52" s="27">
        <f t="shared" si="4"/>
        <v>-2924118</v>
      </c>
      <c r="G52" s="28" t="str">
        <f t="shared" si="5"/>
        <v>Lai phat sinh</v>
      </c>
    </row>
    <row r="53" spans="1:7" x14ac:dyDescent="0.3">
      <c r="A53" s="58">
        <v>45440</v>
      </c>
      <c r="B53" s="35">
        <v>-438642.07</v>
      </c>
      <c r="C53" t="s">
        <v>49</v>
      </c>
      <c r="D53" s="25"/>
      <c r="E53" s="26" t="str">
        <f t="shared" si="3"/>
        <v>Lai 2024-04</v>
      </c>
      <c r="F53" s="27">
        <f t="shared" si="4"/>
        <v>-2924118</v>
      </c>
      <c r="G53" s="28" t="str">
        <f t="shared" si="5"/>
        <v>Lai phat sinh</v>
      </c>
    </row>
    <row r="54" spans="1:7" x14ac:dyDescent="0.3">
      <c r="A54" s="58">
        <v>45410</v>
      </c>
      <c r="B54" s="35">
        <v>-1201404.8799999999</v>
      </c>
      <c r="C54" t="s">
        <v>49</v>
      </c>
      <c r="D54" s="25"/>
      <c r="E54" s="26" t="str">
        <f t="shared" si="3"/>
        <v>Lai 2024-03</v>
      </c>
      <c r="F54" s="27">
        <f t="shared" si="4"/>
        <v>-2926764</v>
      </c>
      <c r="G54" s="28" t="str">
        <f t="shared" si="5"/>
        <v>Lai phat sinh</v>
      </c>
    </row>
    <row r="55" spans="1:7" x14ac:dyDescent="0.3">
      <c r="A55" s="58">
        <v>45410</v>
      </c>
      <c r="B55" s="35">
        <v>-12954.72</v>
      </c>
      <c r="C55" t="s">
        <v>49</v>
      </c>
      <c r="D55" s="17"/>
      <c r="E55" s="26" t="str">
        <f t="shared" si="3"/>
        <v>Lai 2024-03</v>
      </c>
      <c r="F55" s="27">
        <f t="shared" si="4"/>
        <v>-2926764</v>
      </c>
      <c r="G55" s="28" t="str">
        <f t="shared" si="5"/>
        <v>Lai phat sinh</v>
      </c>
    </row>
    <row r="56" spans="1:7" x14ac:dyDescent="0.3">
      <c r="A56" s="58">
        <v>45410</v>
      </c>
      <c r="B56" s="35">
        <v>-22764.76</v>
      </c>
      <c r="C56" t="s">
        <v>49</v>
      </c>
      <c r="D56" s="17"/>
      <c r="E56" s="26" t="str">
        <f t="shared" si="3"/>
        <v>Lai 2024-03</v>
      </c>
      <c r="F56" s="27">
        <f t="shared" si="4"/>
        <v>-2926764</v>
      </c>
      <c r="G56" s="28" t="str">
        <f t="shared" si="5"/>
        <v>Lai phat sinh</v>
      </c>
    </row>
    <row r="57" spans="1:7" x14ac:dyDescent="0.3">
      <c r="A57" s="58">
        <v>45410</v>
      </c>
      <c r="B57" s="35">
        <v>-179051.97</v>
      </c>
      <c r="C57" t="s">
        <v>49</v>
      </c>
      <c r="D57" s="17"/>
      <c r="E57" s="26" t="str">
        <f t="shared" si="3"/>
        <v>Lai 2024-03</v>
      </c>
      <c r="F57" s="27">
        <f t="shared" si="4"/>
        <v>-2926764</v>
      </c>
      <c r="G57" s="28" t="str">
        <f t="shared" si="5"/>
        <v>Lai phat sinh</v>
      </c>
    </row>
    <row r="58" spans="1:7" x14ac:dyDescent="0.3">
      <c r="A58" s="58">
        <v>45410</v>
      </c>
      <c r="B58" s="35">
        <v>-1281498.54</v>
      </c>
      <c r="C58" t="s">
        <v>49</v>
      </c>
      <c r="D58" s="17"/>
      <c r="E58" s="26" t="str">
        <f t="shared" si="3"/>
        <v>Lai 2024-03</v>
      </c>
      <c r="F58" s="27">
        <f t="shared" si="4"/>
        <v>-2926764</v>
      </c>
      <c r="G58" s="28" t="str">
        <f t="shared" si="5"/>
        <v>Lai phat sinh</v>
      </c>
    </row>
    <row r="59" spans="1:7" x14ac:dyDescent="0.3">
      <c r="A59" s="58">
        <v>45410</v>
      </c>
      <c r="B59" s="35">
        <v>-38100.79</v>
      </c>
      <c r="C59" t="s">
        <v>49</v>
      </c>
      <c r="D59" s="17"/>
      <c r="E59" s="26" t="str">
        <f t="shared" si="3"/>
        <v>Lai 2024-03</v>
      </c>
      <c r="F59" s="27">
        <f t="shared" si="4"/>
        <v>-2926764</v>
      </c>
      <c r="G59" s="28" t="str">
        <f t="shared" si="5"/>
        <v>Lai phat sinh</v>
      </c>
    </row>
    <row r="60" spans="1:7" x14ac:dyDescent="0.3">
      <c r="A60" s="58">
        <v>45410</v>
      </c>
      <c r="B60" s="35">
        <v>-190988.76</v>
      </c>
      <c r="C60" t="s">
        <v>49</v>
      </c>
      <c r="D60" s="25"/>
      <c r="E60" s="26" t="str">
        <f t="shared" si="3"/>
        <v>Lai 2024-03</v>
      </c>
      <c r="F60" s="27">
        <f t="shared" si="4"/>
        <v>-2926764</v>
      </c>
      <c r="G60" s="28" t="str">
        <f t="shared" si="5"/>
        <v>Lai phat sinh</v>
      </c>
    </row>
    <row r="61" spans="1:7" x14ac:dyDescent="0.3">
      <c r="A61" s="58">
        <v>45379</v>
      </c>
      <c r="B61" s="35">
        <v>-7630.26</v>
      </c>
      <c r="C61" t="s">
        <v>49</v>
      </c>
      <c r="D61" s="25"/>
      <c r="E61" s="26" t="str">
        <f t="shared" si="3"/>
        <v>Lai 2024-02</v>
      </c>
      <c r="F61" s="27">
        <f t="shared" si="4"/>
        <v>-2650033</v>
      </c>
      <c r="G61" s="28" t="str">
        <f t="shared" si="5"/>
        <v>Lai phat sinh</v>
      </c>
    </row>
    <row r="62" spans="1:7" x14ac:dyDescent="0.3">
      <c r="A62" s="58">
        <v>45379</v>
      </c>
      <c r="B62" s="35">
        <v>-2322716.1</v>
      </c>
      <c r="C62" t="s">
        <v>49</v>
      </c>
      <c r="D62" s="25"/>
      <c r="E62" s="26" t="str">
        <f t="shared" si="3"/>
        <v>Lai 2024-02</v>
      </c>
      <c r="F62" s="27">
        <f t="shared" si="4"/>
        <v>-2650033</v>
      </c>
      <c r="G62" s="28" t="str">
        <f t="shared" si="5"/>
        <v>Lai phat sinh</v>
      </c>
    </row>
    <row r="63" spans="1:7" x14ac:dyDescent="0.3">
      <c r="A63" s="58">
        <v>45379</v>
      </c>
      <c r="B63" s="35">
        <v>-9537.82</v>
      </c>
      <c r="C63" t="s">
        <v>49</v>
      </c>
      <c r="D63" s="25"/>
      <c r="E63" s="26" t="str">
        <f t="shared" si="3"/>
        <v>Lai 2024-02</v>
      </c>
      <c r="F63" s="27">
        <f t="shared" si="4"/>
        <v>-2650033</v>
      </c>
      <c r="G63" s="28" t="str">
        <f t="shared" si="5"/>
        <v>Lai phat sinh</v>
      </c>
    </row>
    <row r="64" spans="1:7" x14ac:dyDescent="0.3">
      <c r="A64" s="58">
        <v>45379</v>
      </c>
      <c r="B64" s="35">
        <v>-34474.050000000003</v>
      </c>
      <c r="C64" t="s">
        <v>49</v>
      </c>
      <c r="D64" s="25"/>
      <c r="E64" s="26" t="str">
        <f t="shared" si="3"/>
        <v>Lai 2024-02</v>
      </c>
      <c r="F64" s="27">
        <f t="shared" si="4"/>
        <v>-2650033</v>
      </c>
      <c r="G64" s="28" t="str">
        <f t="shared" si="5"/>
        <v>Lai phat sinh</v>
      </c>
    </row>
    <row r="65" spans="1:7" x14ac:dyDescent="0.3">
      <c r="A65" s="58">
        <v>45379</v>
      </c>
      <c r="B65" s="35">
        <v>-275674.8</v>
      </c>
      <c r="C65" t="s">
        <v>49</v>
      </c>
      <c r="D65" s="25"/>
      <c r="E65" s="26" t="str">
        <f t="shared" si="3"/>
        <v>Lai 2024-02</v>
      </c>
      <c r="F65" s="27">
        <f t="shared" si="4"/>
        <v>-2650033</v>
      </c>
      <c r="G65" s="28" t="str">
        <f t="shared" si="5"/>
        <v>Lai phat sinh</v>
      </c>
    </row>
    <row r="66" spans="1:7" x14ac:dyDescent="0.3">
      <c r="A66" s="58">
        <v>45366</v>
      </c>
      <c r="B66" s="35">
        <v>-941552.02</v>
      </c>
      <c r="C66" t="s">
        <v>50</v>
      </c>
      <c r="D66" s="25"/>
      <c r="E66" s="26" t="str">
        <f t="shared" ref="E66:E97" si="6"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TEXT(EDATE(IF(DAY(A66)&gt;=28, A66, EDATE(A66,-1)), -1),"yyyy-mm"), TEXT(IF(DAY(A66)&gt;=28, A66, EDATE(A66,-1)),"yyyy-mm"))</f>
        <v>Phi 2024-02</v>
      </c>
      <c r="F66" s="27">
        <f t="shared" ref="F66:F97" si="7">IF(ISNUMBER(B66), ROUND(SUMIFS($B$2:$B$10000, $E$2:$E$10000, E66, $B$2:$B$10000, IF(B66&lt;0, "&lt;0", "&gt;0")), 0), "")</f>
        <v>-941552</v>
      </c>
      <c r="G66" s="28" t="str">
        <f t="shared" ref="G66:G97" si="8">IF(F66&gt;0, IF(C66="Transaction", "Da thanh toan", "Duong"), IF(F66&lt;0, IF(C66="Transaction", "Du no", IF(C66="Interests", "Lai phat sinh", IF(C66="Misc", "Phi", IF(C66="Account Transfer", "Lai tra gop", "Am")))), "Bang 0"))</f>
        <v>Phi</v>
      </c>
    </row>
    <row r="67" spans="1:7" x14ac:dyDescent="0.3">
      <c r="A67" s="58">
        <v>45350</v>
      </c>
      <c r="B67" s="35">
        <v>-6238.79</v>
      </c>
      <c r="C67" t="s">
        <v>49</v>
      </c>
      <c r="D67" s="25"/>
      <c r="E67" s="26" t="str">
        <f t="shared" si="6"/>
        <v>Lai 2024-01</v>
      </c>
      <c r="F67" s="27">
        <f t="shared" si="7"/>
        <v>-2733439</v>
      </c>
      <c r="G67" s="28" t="str">
        <f t="shared" si="8"/>
        <v>Lai phat sinh</v>
      </c>
    </row>
    <row r="68" spans="1:7" x14ac:dyDescent="0.3">
      <c r="A68" s="58">
        <v>45350</v>
      </c>
      <c r="B68" s="35">
        <v>-2482903.42</v>
      </c>
      <c r="C68" t="s">
        <v>49</v>
      </c>
      <c r="D68" s="17"/>
      <c r="E68" s="26" t="str">
        <f t="shared" si="6"/>
        <v>Lai 2024-01</v>
      </c>
      <c r="F68" s="27">
        <f t="shared" si="7"/>
        <v>-2733439</v>
      </c>
      <c r="G68" s="28" t="str">
        <f t="shared" si="8"/>
        <v>Lai phat sinh</v>
      </c>
    </row>
    <row r="69" spans="1:7" x14ac:dyDescent="0.3">
      <c r="A69" s="58">
        <v>45350</v>
      </c>
      <c r="B69" s="35">
        <v>-7902.47</v>
      </c>
      <c r="C69" t="s">
        <v>49</v>
      </c>
      <c r="D69" s="17"/>
      <c r="E69" s="26" t="str">
        <f t="shared" si="6"/>
        <v>Lai 2024-01</v>
      </c>
      <c r="F69" s="27">
        <f t="shared" si="7"/>
        <v>-2733439</v>
      </c>
      <c r="G69" s="28" t="str">
        <f t="shared" si="8"/>
        <v>Lai phat sinh</v>
      </c>
    </row>
    <row r="70" spans="1:7" x14ac:dyDescent="0.3">
      <c r="A70" s="58">
        <v>45350</v>
      </c>
      <c r="B70" s="35">
        <v>-19433.2</v>
      </c>
      <c r="C70" t="s">
        <v>49</v>
      </c>
      <c r="D70" s="17"/>
      <c r="E70" s="26" t="str">
        <f t="shared" si="6"/>
        <v>Lai 2024-01</v>
      </c>
      <c r="F70" s="27">
        <f t="shared" si="7"/>
        <v>-2733439</v>
      </c>
      <c r="G70" s="28" t="str">
        <f t="shared" si="8"/>
        <v>Lai phat sinh</v>
      </c>
    </row>
    <row r="71" spans="1:7" x14ac:dyDescent="0.3">
      <c r="A71" s="58">
        <v>45350</v>
      </c>
      <c r="B71" s="35">
        <v>-216961.33</v>
      </c>
      <c r="C71" t="s">
        <v>49</v>
      </c>
      <c r="D71" s="17"/>
      <c r="E71" s="26" t="str">
        <f t="shared" si="6"/>
        <v>Lai 2024-01</v>
      </c>
      <c r="F71" s="27">
        <f t="shared" si="7"/>
        <v>-2733439</v>
      </c>
      <c r="G71" s="28" t="str">
        <f t="shared" si="8"/>
        <v>Lai phat sinh</v>
      </c>
    </row>
    <row r="72" spans="1:7" x14ac:dyDescent="0.3">
      <c r="A72" s="58">
        <v>45338</v>
      </c>
      <c r="B72" s="35">
        <v>-693211.01</v>
      </c>
      <c r="C72" t="s">
        <v>50</v>
      </c>
      <c r="D72" s="25"/>
      <c r="E72" s="26" t="str">
        <f t="shared" si="6"/>
        <v>Phi 2024-01</v>
      </c>
      <c r="F72" s="27">
        <f t="shared" si="7"/>
        <v>-693211</v>
      </c>
      <c r="G72" s="28" t="str">
        <f t="shared" si="8"/>
        <v>Phi</v>
      </c>
    </row>
    <row r="73" spans="1:7" x14ac:dyDescent="0.3">
      <c r="A73" s="58">
        <v>45319</v>
      </c>
      <c r="B73" s="35">
        <v>-3261.14</v>
      </c>
      <c r="C73" t="s">
        <v>49</v>
      </c>
      <c r="D73" s="25"/>
      <c r="E73" s="26" t="str">
        <f t="shared" si="6"/>
        <v>Lai 2023-12</v>
      </c>
      <c r="F73" s="27">
        <f t="shared" si="7"/>
        <v>-2642430</v>
      </c>
      <c r="G73" s="28" t="str">
        <f t="shared" si="8"/>
        <v>Lai phat sinh</v>
      </c>
    </row>
    <row r="74" spans="1:7" x14ac:dyDescent="0.3">
      <c r="A74" s="58">
        <v>45319</v>
      </c>
      <c r="B74" s="35">
        <v>-2482903.42</v>
      </c>
      <c r="C74" t="s">
        <v>49</v>
      </c>
      <c r="D74" s="17"/>
      <c r="E74" s="26" t="str">
        <f t="shared" si="6"/>
        <v>Lai 2023-12</v>
      </c>
      <c r="F74" s="27">
        <f t="shared" si="7"/>
        <v>-2642430</v>
      </c>
      <c r="G74" s="28" t="str">
        <f t="shared" si="8"/>
        <v>Lai phat sinh</v>
      </c>
    </row>
    <row r="75" spans="1:7" x14ac:dyDescent="0.3">
      <c r="A75" s="58">
        <v>45319</v>
      </c>
      <c r="B75" s="35">
        <v>-3494.07</v>
      </c>
      <c r="C75" t="s">
        <v>49</v>
      </c>
      <c r="D75" s="17"/>
      <c r="E75" s="26" t="str">
        <f t="shared" si="6"/>
        <v>Lai 2023-12</v>
      </c>
      <c r="F75" s="27">
        <f t="shared" si="7"/>
        <v>-2642430</v>
      </c>
      <c r="G75" s="28" t="str">
        <f t="shared" si="8"/>
        <v>Lai phat sinh</v>
      </c>
    </row>
    <row r="76" spans="1:7" x14ac:dyDescent="0.3">
      <c r="A76" s="58">
        <v>45319</v>
      </c>
      <c r="B76" s="35">
        <v>-10948.1</v>
      </c>
      <c r="C76" t="s">
        <v>49</v>
      </c>
      <c r="D76" s="17"/>
      <c r="E76" s="26" t="str">
        <f t="shared" si="6"/>
        <v>Lai 2023-12</v>
      </c>
      <c r="F76" s="27">
        <f t="shared" si="7"/>
        <v>-2642430</v>
      </c>
      <c r="G76" s="28" t="str">
        <f t="shared" si="8"/>
        <v>Lai phat sinh</v>
      </c>
    </row>
    <row r="77" spans="1:7" x14ac:dyDescent="0.3">
      <c r="A77" s="58">
        <v>45319</v>
      </c>
      <c r="B77" s="35">
        <v>-141823.65</v>
      </c>
      <c r="C77" t="s">
        <v>49</v>
      </c>
      <c r="D77" s="17"/>
      <c r="E77" s="26" t="str">
        <f t="shared" si="6"/>
        <v>Lai 2023-12</v>
      </c>
      <c r="F77" s="27">
        <f t="shared" si="7"/>
        <v>-2642430</v>
      </c>
      <c r="G77" s="28" t="str">
        <f t="shared" si="8"/>
        <v>Lai phat sinh</v>
      </c>
    </row>
    <row r="78" spans="1:7" x14ac:dyDescent="0.3">
      <c r="A78" s="58">
        <v>45304</v>
      </c>
      <c r="B78" s="35">
        <v>-453436.62</v>
      </c>
      <c r="C78" t="s">
        <v>50</v>
      </c>
      <c r="D78" s="17"/>
      <c r="E78" s="26" t="str">
        <f t="shared" si="6"/>
        <v>Phi 2023-12</v>
      </c>
      <c r="F78" s="27">
        <f t="shared" si="7"/>
        <v>-453437</v>
      </c>
      <c r="G78" s="28" t="str">
        <f t="shared" si="8"/>
        <v>Phi</v>
      </c>
    </row>
    <row r="79" spans="1:7" x14ac:dyDescent="0.3">
      <c r="A79" s="58">
        <v>45293</v>
      </c>
      <c r="B79" s="35">
        <v>3</v>
      </c>
      <c r="C79" t="s">
        <v>51</v>
      </c>
      <c r="D79" s="17" t="s">
        <v>53</v>
      </c>
      <c r="E79" s="26" t="str">
        <f t="shared" si="6"/>
        <v>Da thanh toan 2023-12</v>
      </c>
      <c r="F79" s="27">
        <f t="shared" si="7"/>
        <v>3</v>
      </c>
      <c r="G79" s="28" t="str">
        <f t="shared" si="8"/>
        <v>Da thanh toan</v>
      </c>
    </row>
    <row r="80" spans="1:7" x14ac:dyDescent="0.3">
      <c r="A80" s="58">
        <v>45288</v>
      </c>
      <c r="B80" s="35">
        <v>-416.07</v>
      </c>
      <c r="C80" t="s">
        <v>49</v>
      </c>
      <c r="D80" s="17"/>
      <c r="E80" s="26" t="str">
        <f t="shared" si="6"/>
        <v>Lai 2023-11</v>
      </c>
      <c r="F80" s="27">
        <f t="shared" si="7"/>
        <v>-2483566</v>
      </c>
      <c r="G80" s="28" t="str">
        <f t="shared" si="8"/>
        <v>Lai phat sinh</v>
      </c>
    </row>
    <row r="81" spans="1:7" x14ac:dyDescent="0.3">
      <c r="A81" s="58">
        <v>45288</v>
      </c>
      <c r="B81" s="35">
        <v>-3274.76</v>
      </c>
      <c r="C81" t="s">
        <v>49</v>
      </c>
      <c r="D81" s="17"/>
      <c r="E81" s="26" t="str">
        <f t="shared" si="6"/>
        <v>Lai 2023-11</v>
      </c>
      <c r="F81" s="27">
        <f t="shared" si="7"/>
        <v>-2483566</v>
      </c>
      <c r="G81" s="28" t="str">
        <f t="shared" si="8"/>
        <v>Lai phat sinh</v>
      </c>
    </row>
    <row r="82" spans="1:7" x14ac:dyDescent="0.3">
      <c r="A82" s="58">
        <v>45288</v>
      </c>
      <c r="B82" s="35">
        <v>-520.09</v>
      </c>
      <c r="C82" t="s">
        <v>49</v>
      </c>
      <c r="D82" s="17"/>
      <c r="E82" s="26" t="str">
        <f t="shared" si="6"/>
        <v>Lai 2023-11</v>
      </c>
      <c r="F82" s="27">
        <f t="shared" si="7"/>
        <v>-2483566</v>
      </c>
      <c r="G82" s="28" t="str">
        <f t="shared" si="8"/>
        <v>Lai phat sinh</v>
      </c>
    </row>
    <row r="83" spans="1:7" x14ac:dyDescent="0.3">
      <c r="A83" s="58">
        <v>45288</v>
      </c>
      <c r="B83" s="35">
        <v>-2402289.67</v>
      </c>
      <c r="C83" t="s">
        <v>49</v>
      </c>
      <c r="D83" s="17"/>
      <c r="E83" s="26" t="str">
        <f t="shared" si="6"/>
        <v>Lai 2023-11</v>
      </c>
      <c r="F83" s="27">
        <f t="shared" si="7"/>
        <v>-2483566</v>
      </c>
      <c r="G83" s="28" t="str">
        <f t="shared" si="8"/>
        <v>Lai phat sinh</v>
      </c>
    </row>
    <row r="84" spans="1:7" x14ac:dyDescent="0.3">
      <c r="A84" s="58">
        <v>45288</v>
      </c>
      <c r="B84" s="35">
        <v>-3494.07</v>
      </c>
      <c r="C84" t="s">
        <v>49</v>
      </c>
      <c r="D84" s="17"/>
      <c r="E84" s="26" t="str">
        <f t="shared" si="6"/>
        <v>Lai 2023-11</v>
      </c>
      <c r="F84" s="27">
        <f t="shared" si="7"/>
        <v>-2483566</v>
      </c>
      <c r="G84" s="28" t="str">
        <f t="shared" si="8"/>
        <v>Lai phat sinh</v>
      </c>
    </row>
    <row r="85" spans="1:7" x14ac:dyDescent="0.3">
      <c r="A85" s="58">
        <v>45288</v>
      </c>
      <c r="B85" s="35">
        <v>-3494.07</v>
      </c>
      <c r="C85" t="s">
        <v>49</v>
      </c>
      <c r="D85" s="17"/>
      <c r="E85" s="26" t="str">
        <f t="shared" si="6"/>
        <v>Lai 2023-11</v>
      </c>
      <c r="F85" s="27">
        <f t="shared" si="7"/>
        <v>-2483566</v>
      </c>
      <c r="G85" s="28" t="str">
        <f t="shared" si="8"/>
        <v>Lai phat sinh</v>
      </c>
    </row>
    <row r="86" spans="1:7" x14ac:dyDescent="0.3">
      <c r="A86" s="58">
        <v>45288</v>
      </c>
      <c r="B86" s="35">
        <v>-70077.13</v>
      </c>
      <c r="C86" t="s">
        <v>49</v>
      </c>
      <c r="D86" s="25"/>
      <c r="E86" s="26" t="str">
        <f t="shared" si="6"/>
        <v>Lai 2023-11</v>
      </c>
      <c r="F86" s="27">
        <f t="shared" si="7"/>
        <v>-2483566</v>
      </c>
      <c r="G86" s="28" t="str">
        <f t="shared" si="8"/>
        <v>Lai phat sinh</v>
      </c>
    </row>
    <row r="87" spans="1:7" x14ac:dyDescent="0.3">
      <c r="A87" s="58">
        <v>45274</v>
      </c>
      <c r="B87" s="35">
        <v>79766</v>
      </c>
      <c r="C87" t="s">
        <v>51</v>
      </c>
      <c r="D87" s="17" t="s">
        <v>53</v>
      </c>
      <c r="E87" s="26" t="str">
        <f t="shared" si="6"/>
        <v>Da thanh toan 2023-11</v>
      </c>
      <c r="F87" s="27">
        <f t="shared" si="7"/>
        <v>79766</v>
      </c>
      <c r="G87" s="28" t="str">
        <f t="shared" si="8"/>
        <v>Da thanh toan</v>
      </c>
    </row>
    <row r="88" spans="1:7" x14ac:dyDescent="0.3">
      <c r="A88" s="58">
        <v>45274</v>
      </c>
      <c r="B88" s="35">
        <v>-249000</v>
      </c>
      <c r="C88" t="s">
        <v>50</v>
      </c>
      <c r="D88" s="17"/>
      <c r="E88" s="26" t="str">
        <f t="shared" si="6"/>
        <v>Phi 2023-11</v>
      </c>
      <c r="F88" s="27">
        <f t="shared" si="7"/>
        <v>-253950</v>
      </c>
      <c r="G88" s="28" t="str">
        <f t="shared" si="8"/>
        <v>Phi</v>
      </c>
    </row>
    <row r="89" spans="1:7" x14ac:dyDescent="0.3">
      <c r="A89" s="58">
        <v>45274</v>
      </c>
      <c r="B89" s="35">
        <v>-450</v>
      </c>
      <c r="C89" t="s">
        <v>50</v>
      </c>
      <c r="D89" s="17"/>
      <c r="E89" s="26" t="str">
        <f t="shared" si="6"/>
        <v>Phi 2023-11</v>
      </c>
      <c r="F89" s="27">
        <f t="shared" si="7"/>
        <v>-253950</v>
      </c>
      <c r="G89" s="28" t="str">
        <f t="shared" si="8"/>
        <v>Phi</v>
      </c>
    </row>
    <row r="90" spans="1:7" x14ac:dyDescent="0.3">
      <c r="A90" s="58">
        <v>45274</v>
      </c>
      <c r="B90" s="35">
        <v>-4500</v>
      </c>
      <c r="C90" t="s">
        <v>50</v>
      </c>
      <c r="D90" s="17"/>
      <c r="E90" s="26" t="str">
        <f t="shared" si="6"/>
        <v>Phi 2023-11</v>
      </c>
      <c r="F90" s="27">
        <f t="shared" si="7"/>
        <v>-253950</v>
      </c>
      <c r="G90" s="28" t="str">
        <f t="shared" si="8"/>
        <v>Phi</v>
      </c>
    </row>
    <row r="91" spans="1:7" x14ac:dyDescent="0.3">
      <c r="A91" s="58">
        <v>45258</v>
      </c>
      <c r="B91" s="35">
        <v>-22014.25</v>
      </c>
      <c r="C91" t="s">
        <v>49</v>
      </c>
      <c r="D91" s="17"/>
      <c r="E91" s="26" t="str">
        <f t="shared" si="6"/>
        <v>Lai 2023-10</v>
      </c>
      <c r="F91" s="27">
        <f t="shared" si="7"/>
        <v>-2583834</v>
      </c>
      <c r="G91" s="28" t="str">
        <f t="shared" si="8"/>
        <v>Lai phat sinh</v>
      </c>
    </row>
    <row r="92" spans="1:7" x14ac:dyDescent="0.3">
      <c r="A92" s="58">
        <v>45258</v>
      </c>
      <c r="B92" s="35">
        <v>-187121.1</v>
      </c>
      <c r="C92" t="s">
        <v>49</v>
      </c>
      <c r="D92" s="17"/>
      <c r="E92" s="26" t="str">
        <f t="shared" si="6"/>
        <v>Lai 2023-10</v>
      </c>
      <c r="F92" s="27">
        <f t="shared" si="7"/>
        <v>-2583834</v>
      </c>
      <c r="G92" s="28" t="str">
        <f t="shared" si="8"/>
        <v>Lai phat sinh</v>
      </c>
    </row>
    <row r="93" spans="1:7" x14ac:dyDescent="0.3">
      <c r="A93" s="58">
        <v>45258</v>
      </c>
      <c r="B93" s="35">
        <v>-2336595.7000000002</v>
      </c>
      <c r="C93" t="s">
        <v>49</v>
      </c>
      <c r="D93" s="17"/>
      <c r="E93" s="26" t="str">
        <f t="shared" si="6"/>
        <v>Lai 2023-10</v>
      </c>
      <c r="F93" s="27">
        <f t="shared" si="7"/>
        <v>-2583834</v>
      </c>
      <c r="G93" s="28" t="str">
        <f t="shared" si="8"/>
        <v>Lai phat sinh</v>
      </c>
    </row>
    <row r="94" spans="1:7" x14ac:dyDescent="0.3">
      <c r="A94" s="58">
        <v>45258</v>
      </c>
      <c r="B94" s="35">
        <v>-38103.370000000003</v>
      </c>
      <c r="C94" t="s">
        <v>49</v>
      </c>
      <c r="D94" s="17"/>
      <c r="E94" s="26" t="str">
        <f t="shared" si="6"/>
        <v>Lai 2023-10</v>
      </c>
      <c r="F94" s="27">
        <f t="shared" si="7"/>
        <v>-2583834</v>
      </c>
      <c r="G94" s="28" t="str">
        <f t="shared" si="8"/>
        <v>Lai phat sinh</v>
      </c>
    </row>
    <row r="95" spans="1:7" x14ac:dyDescent="0.3">
      <c r="A95" s="58">
        <v>45246</v>
      </c>
      <c r="B95" s="35">
        <v>4520240</v>
      </c>
      <c r="C95" t="s">
        <v>51</v>
      </c>
      <c r="D95" s="17" t="s">
        <v>52</v>
      </c>
      <c r="E95" s="26" t="str">
        <f t="shared" si="6"/>
        <v>Da thanh toan 2023-10</v>
      </c>
      <c r="F95" s="27">
        <f t="shared" si="7"/>
        <v>4593714</v>
      </c>
      <c r="G95" s="28" t="str">
        <f t="shared" si="8"/>
        <v>Da thanh toan</v>
      </c>
    </row>
    <row r="96" spans="1:7" x14ac:dyDescent="0.3">
      <c r="A96" s="58">
        <v>45246</v>
      </c>
      <c r="B96" s="35">
        <v>-37800</v>
      </c>
      <c r="C96" t="s">
        <v>51</v>
      </c>
      <c r="D96" s="17" t="s">
        <v>61</v>
      </c>
      <c r="E96" s="26" t="str">
        <f t="shared" si="6"/>
        <v>Du no 2023-10</v>
      </c>
      <c r="F96" s="27">
        <f t="shared" si="7"/>
        <v>-37800</v>
      </c>
      <c r="G96" s="28" t="str">
        <f t="shared" si="8"/>
        <v>Du no</v>
      </c>
    </row>
    <row r="97" spans="1:7" x14ac:dyDescent="0.3">
      <c r="A97" s="58">
        <v>45245</v>
      </c>
      <c r="B97" s="35">
        <v>73474</v>
      </c>
      <c r="C97" t="s">
        <v>51</v>
      </c>
      <c r="D97" s="17" t="s">
        <v>53</v>
      </c>
      <c r="E97" s="26" t="str">
        <f t="shared" si="6"/>
        <v>Da thanh toan 2023-10</v>
      </c>
      <c r="F97" s="27">
        <f t="shared" si="7"/>
        <v>4593714</v>
      </c>
      <c r="G97" s="28" t="str">
        <f t="shared" si="8"/>
        <v>Da thanh toan</v>
      </c>
    </row>
    <row r="98" spans="1:7" x14ac:dyDescent="0.3">
      <c r="A98" s="58">
        <v>45244</v>
      </c>
      <c r="B98" s="35">
        <v>-249000</v>
      </c>
      <c r="C98" t="s">
        <v>50</v>
      </c>
      <c r="D98" s="17"/>
      <c r="E98" s="26" t="str">
        <f t="shared" ref="E98:E115" si="9">IF(OR(C98="Transaction",C98="Interests",C98="Misc",C98="Account Transfer"), IF(C98="Transaction", IF(B98&lt;0, "Du no", "Da thanh toan"), IF(C98="Interests", "Lai", IF(C98="Misc", "Phi", IF(C98="Account Transfer", IF(OR(ISNUMBER(SEARCH("Trich lai tra gop the TD", D98)), ISNUMBER(SEARCH("Chuyen lai tra gop con lai sang du no thong thuong khi BadDebt", D98))), IF(B98&lt;0, "Lai tra gop", ""), "" )))))) &amp; " " &amp; IF(C98="Interests", TEXT(EDATE(IF(DAY(A98)&gt;=28, A98, EDATE(A98,-1)), -1),"yyyy-mm"), TEXT(IF(DAY(A98)&gt;=28, A98, EDATE(A98,-1)),"yyyy-mm"))</f>
        <v>Phi 2023-10</v>
      </c>
      <c r="F98" s="27">
        <f t="shared" ref="F98:F115" si="10">IF(ISNUMBER(B98), ROUND(SUMIFS($B$2:$B$10000, $E$2:$E$10000, E98, $B$2:$B$10000, IF(B98&lt;0, "&lt;0", "&gt;0")), 0), "")</f>
        <v>-253950</v>
      </c>
      <c r="G98" s="28" t="str">
        <f t="shared" ref="G98:G115" si="11">IF(F98&gt;0, IF(C98="Transaction", "Da thanh toan", "Duong"), IF(F98&lt;0, IF(C98="Transaction", "Du no", IF(C98="Interests", "Lai phat sinh", IF(C98="Misc", "Phi", IF(C98="Account Transfer", "Lai tra gop", "Am")))), "Bang 0"))</f>
        <v>Phi</v>
      </c>
    </row>
    <row r="99" spans="1:7" x14ac:dyDescent="0.3">
      <c r="A99" s="58">
        <v>45241</v>
      </c>
      <c r="B99" s="35">
        <v>-450</v>
      </c>
      <c r="C99" t="s">
        <v>50</v>
      </c>
      <c r="D99" s="17"/>
      <c r="E99" s="26" t="str">
        <f t="shared" si="9"/>
        <v>Phi 2023-10</v>
      </c>
      <c r="F99" s="27">
        <f t="shared" si="10"/>
        <v>-253950</v>
      </c>
      <c r="G99" s="28" t="str">
        <f t="shared" si="11"/>
        <v>Phi</v>
      </c>
    </row>
    <row r="100" spans="1:7" x14ac:dyDescent="0.3">
      <c r="A100" s="58">
        <v>45241</v>
      </c>
      <c r="B100" s="35">
        <v>-4500</v>
      </c>
      <c r="C100" t="s">
        <v>50</v>
      </c>
      <c r="D100" s="17"/>
      <c r="E100" s="26" t="str">
        <f t="shared" si="9"/>
        <v>Phi 2023-10</v>
      </c>
      <c r="F100" s="27">
        <f t="shared" si="10"/>
        <v>-253950</v>
      </c>
      <c r="G100" s="28" t="str">
        <f t="shared" si="11"/>
        <v>Phi</v>
      </c>
    </row>
    <row r="101" spans="1:7" x14ac:dyDescent="0.3">
      <c r="A101" s="58">
        <v>45227</v>
      </c>
      <c r="B101" s="35">
        <v>-4.54</v>
      </c>
      <c r="C101" t="s">
        <v>49</v>
      </c>
      <c r="D101" s="25"/>
      <c r="E101" s="26" t="str">
        <f t="shared" si="9"/>
        <v>Lai 2023-09</v>
      </c>
      <c r="F101" s="27">
        <f t="shared" si="10"/>
        <v>-2190205</v>
      </c>
      <c r="G101" s="28" t="str">
        <f t="shared" si="11"/>
        <v>Lai phat sinh</v>
      </c>
    </row>
    <row r="102" spans="1:7" x14ac:dyDescent="0.3">
      <c r="A102" s="58">
        <v>45227</v>
      </c>
      <c r="B102" s="35">
        <v>-2149715.4300000002</v>
      </c>
      <c r="C102" t="s">
        <v>49</v>
      </c>
      <c r="D102" s="17"/>
      <c r="E102" s="26" t="str">
        <f t="shared" si="9"/>
        <v>Lai 2023-09</v>
      </c>
      <c r="F102" s="27">
        <f t="shared" si="10"/>
        <v>-2190205</v>
      </c>
      <c r="G102" s="28" t="str">
        <f t="shared" si="11"/>
        <v>Lai phat sinh</v>
      </c>
    </row>
    <row r="103" spans="1:7" x14ac:dyDescent="0.3">
      <c r="A103" s="58">
        <v>45227</v>
      </c>
      <c r="B103" s="35">
        <v>-63.57</v>
      </c>
      <c r="C103" t="s">
        <v>49</v>
      </c>
      <c r="D103" s="17"/>
      <c r="E103" s="26" t="str">
        <f t="shared" si="9"/>
        <v>Lai 2023-09</v>
      </c>
      <c r="F103" s="27">
        <f t="shared" si="10"/>
        <v>-2190205</v>
      </c>
      <c r="G103" s="28" t="str">
        <f t="shared" si="11"/>
        <v>Lai phat sinh</v>
      </c>
    </row>
    <row r="104" spans="1:7" x14ac:dyDescent="0.3">
      <c r="A104" s="58">
        <v>45227</v>
      </c>
      <c r="B104" s="35">
        <v>-40421</v>
      </c>
      <c r="C104" t="s">
        <v>49</v>
      </c>
      <c r="D104" s="17"/>
      <c r="E104" s="26" t="str">
        <f t="shared" si="9"/>
        <v>Lai 2023-09</v>
      </c>
      <c r="F104" s="27">
        <f t="shared" si="10"/>
        <v>-2190205</v>
      </c>
      <c r="G104" s="28" t="str">
        <f t="shared" si="11"/>
        <v>Lai phat sinh</v>
      </c>
    </row>
    <row r="105" spans="1:7" x14ac:dyDescent="0.3">
      <c r="A105" s="58">
        <v>45225</v>
      </c>
      <c r="B105" s="35">
        <v>-12000000</v>
      </c>
      <c r="C105" t="s">
        <v>51</v>
      </c>
      <c r="D105" s="17" t="s">
        <v>62</v>
      </c>
      <c r="E105" s="26" t="str">
        <f t="shared" si="9"/>
        <v>Du no 2023-09</v>
      </c>
      <c r="F105" s="27">
        <f t="shared" si="10"/>
        <v>-12000000</v>
      </c>
      <c r="G105" s="28" t="str">
        <f t="shared" si="11"/>
        <v>Du no</v>
      </c>
    </row>
    <row r="106" spans="1:7" x14ac:dyDescent="0.3">
      <c r="A106" s="58">
        <v>45211</v>
      </c>
      <c r="B106" s="35">
        <v>4088635</v>
      </c>
      <c r="C106" t="s">
        <v>51</v>
      </c>
      <c r="D106" s="17" t="s">
        <v>52</v>
      </c>
      <c r="E106" s="26" t="str">
        <f t="shared" si="9"/>
        <v>Da thanh toan 2023-09</v>
      </c>
      <c r="F106" s="27">
        <f t="shared" si="10"/>
        <v>4088635</v>
      </c>
      <c r="G106" s="28" t="str">
        <f t="shared" si="11"/>
        <v>Da thanh toan</v>
      </c>
    </row>
    <row r="107" spans="1:7" x14ac:dyDescent="0.3">
      <c r="A107" s="58">
        <v>45197</v>
      </c>
      <c r="B107" s="35">
        <v>-855148.91</v>
      </c>
      <c r="C107" t="s">
        <v>49</v>
      </c>
      <c r="D107" s="17"/>
      <c r="E107" s="26" t="str">
        <f t="shared" si="9"/>
        <v>Lai 2023-08</v>
      </c>
      <c r="F107" s="27">
        <f t="shared" si="10"/>
        <v>-3147650</v>
      </c>
      <c r="G107" s="28" t="str">
        <f t="shared" si="11"/>
        <v>Lai phat sinh</v>
      </c>
    </row>
    <row r="108" spans="1:7" x14ac:dyDescent="0.3">
      <c r="A108" s="58">
        <v>45197</v>
      </c>
      <c r="B108" s="35">
        <v>-1138659.3899999999</v>
      </c>
      <c r="C108" t="s">
        <v>49</v>
      </c>
      <c r="D108" s="17"/>
      <c r="E108" s="26" t="str">
        <f t="shared" si="9"/>
        <v>Lai 2023-08</v>
      </c>
      <c r="F108" s="27">
        <f t="shared" si="10"/>
        <v>-3147650</v>
      </c>
      <c r="G108" s="28" t="str">
        <f t="shared" si="11"/>
        <v>Lai phat sinh</v>
      </c>
    </row>
    <row r="109" spans="1:7" x14ac:dyDescent="0.3">
      <c r="A109" s="58">
        <v>45197</v>
      </c>
      <c r="B109" s="35">
        <v>-1153841.51</v>
      </c>
      <c r="C109" t="s">
        <v>49</v>
      </c>
      <c r="D109" s="17"/>
      <c r="E109" s="26" t="str">
        <f t="shared" si="9"/>
        <v>Lai 2023-08</v>
      </c>
      <c r="F109" s="27">
        <f t="shared" si="10"/>
        <v>-3147650</v>
      </c>
      <c r="G109" s="28" t="str">
        <f t="shared" si="11"/>
        <v>Lai phat sinh</v>
      </c>
    </row>
    <row r="110" spans="1:7" x14ac:dyDescent="0.3">
      <c r="A110" s="58">
        <v>45196</v>
      </c>
      <c r="B110" s="35">
        <v>-450</v>
      </c>
      <c r="C110" t="s">
        <v>50</v>
      </c>
      <c r="D110" s="17"/>
      <c r="E110" s="26" t="str">
        <f t="shared" si="9"/>
        <v>Phi 2023-08</v>
      </c>
      <c r="F110" s="27">
        <f t="shared" si="10"/>
        <v>-4950</v>
      </c>
      <c r="G110" s="28" t="str">
        <f t="shared" si="11"/>
        <v>Phi</v>
      </c>
    </row>
    <row r="111" spans="1:7" x14ac:dyDescent="0.3">
      <c r="A111" s="58">
        <v>45196</v>
      </c>
      <c r="B111" s="35">
        <v>-4500</v>
      </c>
      <c r="C111" t="s">
        <v>50</v>
      </c>
      <c r="D111" s="17"/>
      <c r="E111" s="26" t="str">
        <f t="shared" si="9"/>
        <v>Phi 2023-08</v>
      </c>
      <c r="F111" s="27">
        <f t="shared" si="10"/>
        <v>-4950</v>
      </c>
      <c r="G111" s="28" t="str">
        <f t="shared" si="11"/>
        <v>Phi</v>
      </c>
    </row>
    <row r="112" spans="1:7" x14ac:dyDescent="0.3">
      <c r="A112" s="58">
        <v>45181</v>
      </c>
      <c r="B112" s="35">
        <v>4137900</v>
      </c>
      <c r="C112" t="s">
        <v>51</v>
      </c>
      <c r="D112" s="17" t="s">
        <v>52</v>
      </c>
      <c r="E112" s="26" t="str">
        <f t="shared" si="9"/>
        <v>Da thanh toan 2023-08</v>
      </c>
      <c r="F112" s="27">
        <f t="shared" si="10"/>
        <v>4137900</v>
      </c>
      <c r="G112" s="28" t="str">
        <f t="shared" si="11"/>
        <v>Da thanh toan</v>
      </c>
    </row>
    <row r="113" spans="1:7" x14ac:dyDescent="0.3">
      <c r="A113" s="58">
        <v>45155</v>
      </c>
      <c r="B113" s="35">
        <v>-80000000</v>
      </c>
      <c r="C113" t="s">
        <v>51</v>
      </c>
      <c r="D113" s="17" t="s">
        <v>63</v>
      </c>
      <c r="E113" s="26" t="str">
        <f t="shared" si="9"/>
        <v>Du no 2023-07</v>
      </c>
      <c r="F113" s="27">
        <f t="shared" si="10"/>
        <v>-82758000</v>
      </c>
      <c r="G113" s="28" t="str">
        <f t="shared" si="11"/>
        <v>Du no</v>
      </c>
    </row>
    <row r="114" spans="1:7" x14ac:dyDescent="0.3">
      <c r="A114" s="58">
        <v>45149</v>
      </c>
      <c r="B114" s="35">
        <v>-958000</v>
      </c>
      <c r="C114" t="s">
        <v>51</v>
      </c>
      <c r="D114" s="17" t="s">
        <v>64</v>
      </c>
      <c r="E114" s="26" t="str">
        <f t="shared" si="9"/>
        <v>Du no 2023-07</v>
      </c>
      <c r="F114" s="27">
        <f t="shared" si="10"/>
        <v>-82758000</v>
      </c>
      <c r="G114" s="28" t="str">
        <f t="shared" si="11"/>
        <v>Du no</v>
      </c>
    </row>
    <row r="115" spans="1:7" x14ac:dyDescent="0.3">
      <c r="A115" s="58">
        <v>45146</v>
      </c>
      <c r="B115" s="35">
        <v>-1800000</v>
      </c>
      <c r="C115" t="s">
        <v>51</v>
      </c>
      <c r="D115" s="25" t="s">
        <v>65</v>
      </c>
      <c r="E115" s="26" t="str">
        <f t="shared" si="9"/>
        <v>Du no 2023-07</v>
      </c>
      <c r="F115" s="27">
        <f t="shared" si="10"/>
        <v>-82758000</v>
      </c>
      <c r="G115" s="28" t="str">
        <f t="shared" si="11"/>
        <v>Du no</v>
      </c>
    </row>
    <row r="116" spans="1:7" x14ac:dyDescent="0.3">
      <c r="A116" s="58"/>
      <c r="B116" s="35"/>
      <c r="D116" s="17"/>
      <c r="E116" s="26"/>
      <c r="F116" s="27"/>
      <c r="G116" s="28"/>
    </row>
    <row r="117" spans="1:7" x14ac:dyDescent="0.3">
      <c r="A117" s="58"/>
      <c r="B117" s="35"/>
      <c r="D117" s="17"/>
      <c r="E117" s="26"/>
      <c r="F117" s="27"/>
      <c r="G117" s="28"/>
    </row>
    <row r="118" spans="1:7" x14ac:dyDescent="0.3">
      <c r="A118" s="58"/>
      <c r="B118" s="35"/>
      <c r="D118" s="17"/>
      <c r="E118" s="26"/>
      <c r="F118" s="27"/>
      <c r="G118" s="28"/>
    </row>
    <row r="119" spans="1:7" x14ac:dyDescent="0.3">
      <c r="A119" s="58"/>
      <c r="B119" s="35"/>
      <c r="D119" s="17"/>
      <c r="E119" s="26"/>
      <c r="F119" s="27"/>
      <c r="G119" s="28"/>
    </row>
    <row r="120" spans="1:7" x14ac:dyDescent="0.3">
      <c r="A120" s="58"/>
      <c r="B120" s="35"/>
      <c r="D120" s="17"/>
      <c r="E120" s="26"/>
      <c r="F120" s="27"/>
      <c r="G120" s="28"/>
    </row>
    <row r="121" spans="1:7" x14ac:dyDescent="0.3">
      <c r="A121" s="58"/>
      <c r="B121" s="35"/>
      <c r="D121" s="17"/>
      <c r="E121" s="26"/>
      <c r="F121" s="27"/>
      <c r="G121" s="28"/>
    </row>
    <row r="122" spans="1:7" x14ac:dyDescent="0.3">
      <c r="A122" s="58"/>
      <c r="B122" s="35"/>
      <c r="D122" s="17"/>
      <c r="E122" s="26"/>
      <c r="F122" s="27"/>
      <c r="G122" s="28"/>
    </row>
    <row r="123" spans="1:7" x14ac:dyDescent="0.3">
      <c r="A123" s="58"/>
      <c r="B123" s="35"/>
      <c r="D123" s="17"/>
      <c r="E123" s="26"/>
      <c r="F123" s="27"/>
      <c r="G123" s="28"/>
    </row>
    <row r="124" spans="1:7" x14ac:dyDescent="0.3">
      <c r="A124" s="58"/>
      <c r="B124" s="35"/>
      <c r="D124" s="17"/>
      <c r="E124" s="26"/>
      <c r="F124" s="27"/>
      <c r="G124" s="28"/>
    </row>
    <row r="125" spans="1:7" x14ac:dyDescent="0.3">
      <c r="A125" s="58"/>
      <c r="B125" s="35"/>
      <c r="D125" s="17"/>
      <c r="E125" s="26"/>
      <c r="F125" s="27"/>
      <c r="G125" s="28"/>
    </row>
    <row r="126" spans="1:7" x14ac:dyDescent="0.3">
      <c r="A126" s="58"/>
      <c r="B126" s="35"/>
      <c r="D126" s="17"/>
      <c r="E126" s="26"/>
      <c r="F126" s="27"/>
      <c r="G126" s="28"/>
    </row>
    <row r="127" spans="1:7" x14ac:dyDescent="0.3">
      <c r="A127" s="58"/>
      <c r="B127" s="35"/>
      <c r="D127" s="17"/>
      <c r="E127" s="26"/>
      <c r="F127" s="27"/>
      <c r="G127" s="28"/>
    </row>
    <row r="128" spans="1:7" x14ac:dyDescent="0.3">
      <c r="A128" s="58"/>
      <c r="B128" s="35"/>
      <c r="D128" s="17"/>
      <c r="E128" s="26"/>
      <c r="F128" s="27"/>
      <c r="G128" s="28"/>
    </row>
    <row r="129" spans="1:7" x14ac:dyDescent="0.3">
      <c r="A129" s="58"/>
      <c r="B129" s="35"/>
      <c r="D129" s="17"/>
      <c r="E129" s="26"/>
      <c r="F129" s="27"/>
      <c r="G129" s="28"/>
    </row>
    <row r="130" spans="1:7" x14ac:dyDescent="0.3">
      <c r="A130" s="58"/>
      <c r="B130" s="35"/>
      <c r="D130" s="17"/>
      <c r="E130" s="26"/>
      <c r="F130" s="27"/>
      <c r="G130" s="28"/>
    </row>
    <row r="131" spans="1:7" x14ac:dyDescent="0.3">
      <c r="A131" s="58"/>
      <c r="B131" s="35"/>
      <c r="D131" s="17"/>
      <c r="E131" s="26"/>
      <c r="F131" s="27"/>
      <c r="G131" s="28"/>
    </row>
    <row r="132" spans="1:7" x14ac:dyDescent="0.3">
      <c r="A132" s="58"/>
      <c r="B132" s="35"/>
      <c r="D132" s="17"/>
      <c r="E132" s="26"/>
      <c r="F132" s="27"/>
      <c r="G132" s="28"/>
    </row>
    <row r="133" spans="1:7" x14ac:dyDescent="0.3">
      <c r="A133" s="58"/>
      <c r="B133" s="35"/>
      <c r="D133" s="17"/>
      <c r="E133" s="26"/>
      <c r="F133" s="27"/>
      <c r="G133" s="28"/>
    </row>
    <row r="134" spans="1:7" x14ac:dyDescent="0.3">
      <c r="A134" s="58"/>
      <c r="B134" s="35"/>
      <c r="D134" s="17"/>
      <c r="E134" s="26"/>
      <c r="F134" s="27"/>
      <c r="G134" s="28"/>
    </row>
    <row r="135" spans="1:7" x14ac:dyDescent="0.3">
      <c r="A135" s="58"/>
      <c r="B135" s="35"/>
      <c r="D135" s="17"/>
      <c r="E135" s="26"/>
      <c r="F135" s="27"/>
      <c r="G135" s="28"/>
    </row>
    <row r="136" spans="1:7" x14ac:dyDescent="0.3">
      <c r="A136" s="58"/>
      <c r="B136" s="35"/>
      <c r="D136" s="34"/>
      <c r="E136" s="26"/>
      <c r="F136" s="27"/>
      <c r="G136" s="28"/>
    </row>
    <row r="137" spans="1:7" x14ac:dyDescent="0.3">
      <c r="A137" s="57"/>
      <c r="B137" s="35"/>
      <c r="D137" s="17"/>
      <c r="E137" s="26"/>
      <c r="F137" s="27"/>
      <c r="G137" s="28"/>
    </row>
    <row r="138" spans="1:7" x14ac:dyDescent="0.3">
      <c r="A138" s="57"/>
      <c r="B138" s="35"/>
      <c r="D138" s="17"/>
      <c r="E138" s="26"/>
      <c r="F138" s="27"/>
      <c r="G138" s="28"/>
    </row>
    <row r="139" spans="1:7" x14ac:dyDescent="0.3">
      <c r="A139" s="57"/>
      <c r="B139" s="35"/>
      <c r="D139" s="17"/>
      <c r="E139" s="26"/>
      <c r="F139" s="27"/>
      <c r="G139" s="28"/>
    </row>
    <row r="140" spans="1:7" x14ac:dyDescent="0.3">
      <c r="A140" s="57"/>
      <c r="B140" s="35"/>
      <c r="D140" s="17"/>
      <c r="E140" s="26"/>
      <c r="F140" s="27"/>
      <c r="G140" s="28"/>
    </row>
    <row r="141" spans="1:7" x14ac:dyDescent="0.3">
      <c r="A141" s="57"/>
      <c r="B141" s="35"/>
      <c r="D141" s="17"/>
      <c r="E141" s="26"/>
      <c r="F141" s="27"/>
      <c r="G141" s="28"/>
    </row>
    <row r="142" spans="1:7" x14ac:dyDescent="0.3">
      <c r="A142" s="57"/>
      <c r="B142" s="35"/>
      <c r="D142" s="17"/>
      <c r="E142" s="26"/>
      <c r="F142" s="27"/>
      <c r="G142" s="28"/>
    </row>
    <row r="143" spans="1:7" x14ac:dyDescent="0.3">
      <c r="A143" s="57"/>
      <c r="B143" s="35"/>
      <c r="D143" s="17"/>
      <c r="E143" s="26"/>
      <c r="F143" s="27"/>
      <c r="G143" s="28"/>
    </row>
    <row r="144" spans="1:7" x14ac:dyDescent="0.3">
      <c r="A144" s="57"/>
      <c r="B144" s="35"/>
      <c r="D144" s="17"/>
      <c r="E144" s="26"/>
      <c r="F144" s="27"/>
      <c r="G144" s="28"/>
    </row>
    <row r="145" spans="1:7" x14ac:dyDescent="0.3">
      <c r="A145" s="57"/>
      <c r="B145" s="35"/>
      <c r="D145" s="17"/>
      <c r="E145" s="26"/>
      <c r="F145" s="27"/>
      <c r="G145" s="28"/>
    </row>
    <row r="146" spans="1:7" x14ac:dyDescent="0.3">
      <c r="A146" s="57"/>
      <c r="B146" s="35"/>
      <c r="D146" s="17"/>
      <c r="E146" s="26"/>
      <c r="F146" s="27"/>
      <c r="G146" s="28"/>
    </row>
    <row r="147" spans="1:7" x14ac:dyDescent="0.3">
      <c r="A147" s="57"/>
      <c r="B147" s="35"/>
      <c r="D147" s="17"/>
      <c r="E147" s="26"/>
      <c r="F147" s="27"/>
      <c r="G147" s="28"/>
    </row>
    <row r="148" spans="1:7" x14ac:dyDescent="0.3">
      <c r="A148" s="57"/>
      <c r="B148" s="35"/>
      <c r="D148" s="17"/>
      <c r="E148" s="26"/>
      <c r="F148" s="27"/>
      <c r="G148" s="28"/>
    </row>
    <row r="149" spans="1:7" x14ac:dyDescent="0.3">
      <c r="A149" s="57"/>
      <c r="B149" s="35"/>
      <c r="D149" s="17"/>
      <c r="E149" s="26"/>
      <c r="F149" s="27"/>
      <c r="G149" s="28"/>
    </row>
    <row r="150" spans="1:7" x14ac:dyDescent="0.3">
      <c r="A150" s="57"/>
      <c r="B150" s="35"/>
      <c r="D150" s="17"/>
      <c r="E150" s="26"/>
      <c r="F150" s="27"/>
      <c r="G150" s="28"/>
    </row>
    <row r="151" spans="1:7" x14ac:dyDescent="0.3">
      <c r="A151" s="57"/>
      <c r="B151" s="35"/>
      <c r="D151" s="17"/>
      <c r="E151" s="26"/>
      <c r="F151" s="27"/>
      <c r="G151" s="28"/>
    </row>
    <row r="152" spans="1:7" x14ac:dyDescent="0.3">
      <c r="A152" s="57"/>
      <c r="B152" s="35"/>
      <c r="D152" s="17"/>
      <c r="E152" s="26"/>
      <c r="F152" s="27"/>
      <c r="G152" s="28"/>
    </row>
    <row r="153" spans="1:7" x14ac:dyDescent="0.3">
      <c r="A153" s="57"/>
      <c r="B153" s="35"/>
      <c r="D153" s="17"/>
      <c r="E153" s="26"/>
      <c r="F153" s="27"/>
      <c r="G153" s="28"/>
    </row>
    <row r="154" spans="1:7" x14ac:dyDescent="0.3">
      <c r="A154" s="57"/>
      <c r="B154" s="35"/>
      <c r="D154" s="17"/>
      <c r="E154" s="26"/>
      <c r="F154" s="27"/>
      <c r="G154" s="28"/>
    </row>
    <row r="155" spans="1:7" x14ac:dyDescent="0.3">
      <c r="A155" s="57"/>
      <c r="B155" s="35"/>
      <c r="D155" s="17"/>
      <c r="E155" s="26"/>
      <c r="F155" s="27"/>
      <c r="G155" s="28"/>
    </row>
    <row r="156" spans="1:7" x14ac:dyDescent="0.3">
      <c r="A156" s="57"/>
      <c r="B156" s="35"/>
      <c r="D156" s="17"/>
      <c r="E156" s="26"/>
      <c r="F156" s="27"/>
      <c r="G156" s="28"/>
    </row>
    <row r="157" spans="1:7" x14ac:dyDescent="0.3">
      <c r="A157" s="57"/>
      <c r="B157" s="35"/>
      <c r="D157" s="17"/>
      <c r="E157" s="26"/>
      <c r="F157" s="27"/>
      <c r="G157" s="28"/>
    </row>
    <row r="158" spans="1:7" x14ac:dyDescent="0.3">
      <c r="A158" s="57"/>
      <c r="B158" s="35"/>
      <c r="D158" s="17"/>
      <c r="E158" s="26"/>
      <c r="F158" s="27"/>
      <c r="G158" s="28"/>
    </row>
    <row r="159" spans="1:7" x14ac:dyDescent="0.3">
      <c r="A159" s="57"/>
      <c r="B159" s="35"/>
      <c r="D159" s="17"/>
      <c r="E159" s="26"/>
      <c r="F159" s="27"/>
      <c r="G159" s="28"/>
    </row>
    <row r="160" spans="1:7" x14ac:dyDescent="0.3">
      <c r="A160" s="57"/>
      <c r="B160" s="35"/>
      <c r="D160" s="17"/>
      <c r="E160" s="26"/>
      <c r="F160" s="27"/>
      <c r="G160" s="28"/>
    </row>
    <row r="161" spans="1:7" x14ac:dyDescent="0.3">
      <c r="A161" s="57"/>
      <c r="B161" s="35"/>
      <c r="D161" s="17"/>
      <c r="E161" s="26"/>
      <c r="F161" s="27"/>
      <c r="G161" s="28"/>
    </row>
    <row r="162" spans="1:7" x14ac:dyDescent="0.3">
      <c r="A162" s="57"/>
      <c r="B162" s="35"/>
      <c r="D162" s="17"/>
      <c r="E162" s="26"/>
      <c r="F162" s="27"/>
      <c r="G162" s="28"/>
    </row>
    <row r="163" spans="1:7" x14ac:dyDescent="0.3">
      <c r="A163" s="57"/>
      <c r="B163" s="35"/>
      <c r="D163" s="17"/>
      <c r="E163" s="26"/>
      <c r="F163" s="27"/>
      <c r="G163" s="28"/>
    </row>
    <row r="164" spans="1:7" x14ac:dyDescent="0.3">
      <c r="A164" s="57"/>
      <c r="B164" s="35"/>
      <c r="D164" s="17"/>
      <c r="E164" s="26"/>
      <c r="F164" s="27"/>
      <c r="G164" s="28"/>
    </row>
    <row r="165" spans="1:7" x14ac:dyDescent="0.3">
      <c r="A165" s="57"/>
      <c r="B165" s="35"/>
      <c r="D165" s="17"/>
      <c r="E165" s="26"/>
      <c r="F165" s="27"/>
      <c r="G165" s="28"/>
    </row>
    <row r="166" spans="1:7" x14ac:dyDescent="0.3">
      <c r="A166" s="57"/>
      <c r="B166" s="35"/>
      <c r="D166" s="17"/>
      <c r="E166" s="26"/>
      <c r="F166" s="27"/>
      <c r="G166" s="28"/>
    </row>
    <row r="167" spans="1:7" x14ac:dyDescent="0.3">
      <c r="A167" s="57"/>
      <c r="B167" s="35"/>
      <c r="D167" s="17"/>
      <c r="E167" s="26"/>
      <c r="F167" s="27"/>
      <c r="G167" s="28"/>
    </row>
    <row r="168" spans="1:7" x14ac:dyDescent="0.3">
      <c r="A168" s="57"/>
      <c r="B168" s="35"/>
      <c r="D168" s="17"/>
      <c r="E168" s="26"/>
      <c r="F168" s="27"/>
      <c r="G168" s="28"/>
    </row>
    <row r="169" spans="1:7" x14ac:dyDescent="0.3">
      <c r="A169" s="57"/>
      <c r="B169" s="35"/>
      <c r="D169" s="17"/>
      <c r="E169" s="26"/>
      <c r="F169" s="27"/>
      <c r="G169" s="28"/>
    </row>
    <row r="170" spans="1:7" x14ac:dyDescent="0.3">
      <c r="A170" s="57"/>
      <c r="B170" s="35"/>
      <c r="D170" s="17"/>
      <c r="E170" s="26"/>
      <c r="F170" s="27"/>
      <c r="G170" s="28"/>
    </row>
    <row r="171" spans="1:7" x14ac:dyDescent="0.3">
      <c r="A171" s="57"/>
      <c r="B171" s="35"/>
      <c r="D171" s="17"/>
      <c r="E171" s="26"/>
      <c r="F171" s="27"/>
      <c r="G171" s="28"/>
    </row>
    <row r="172" spans="1:7" x14ac:dyDescent="0.3">
      <c r="A172" s="57"/>
      <c r="B172" s="35"/>
      <c r="D172" s="17"/>
      <c r="E172" s="26"/>
      <c r="F172" s="27"/>
      <c r="G172" s="28"/>
    </row>
    <row r="173" spans="1:7" x14ac:dyDescent="0.3">
      <c r="A173" s="57"/>
      <c r="B173" s="35"/>
      <c r="D173" s="17"/>
      <c r="E173" s="26"/>
      <c r="F173" s="27"/>
      <c r="G173" s="28"/>
    </row>
    <row r="174" spans="1:7" x14ac:dyDescent="0.3">
      <c r="A174" s="57"/>
      <c r="B174" s="35"/>
      <c r="D174" s="17"/>
      <c r="E174" s="26"/>
      <c r="F174" s="27"/>
      <c r="G174" s="28"/>
    </row>
    <row r="175" spans="1:7" x14ac:dyDescent="0.3">
      <c r="A175" s="57"/>
      <c r="B175" s="35"/>
      <c r="D175" s="17"/>
      <c r="E175" s="26"/>
      <c r="F175" s="27"/>
      <c r="G175" s="28"/>
    </row>
    <row r="176" spans="1:7" x14ac:dyDescent="0.3">
      <c r="A176" s="57"/>
      <c r="B176" s="35"/>
      <c r="D176" s="17"/>
      <c r="E176" s="26"/>
      <c r="F176" s="27"/>
      <c r="G176" s="28"/>
    </row>
    <row r="177" spans="1:7" x14ac:dyDescent="0.3">
      <c r="A177" s="57"/>
      <c r="B177" s="35"/>
      <c r="D177" s="17"/>
      <c r="E177" s="26"/>
      <c r="F177" s="27"/>
      <c r="G177" s="28"/>
    </row>
    <row r="178" spans="1:7" x14ac:dyDescent="0.3">
      <c r="A178" s="57"/>
      <c r="B178" s="35"/>
      <c r="D178" s="17"/>
      <c r="E178" s="26"/>
      <c r="F178" s="27"/>
      <c r="G178" s="28"/>
    </row>
    <row r="179" spans="1:7" x14ac:dyDescent="0.3">
      <c r="A179" s="57"/>
      <c r="B179" s="35"/>
      <c r="D179" s="17"/>
      <c r="E179" s="26"/>
      <c r="F179" s="27"/>
      <c r="G179" s="28"/>
    </row>
    <row r="180" spans="1:7" x14ac:dyDescent="0.3">
      <c r="A180" s="57"/>
      <c r="B180" s="35"/>
      <c r="D180" s="17"/>
      <c r="E180" s="26"/>
      <c r="F180" s="27"/>
      <c r="G180" s="28"/>
    </row>
    <row r="181" spans="1:7" x14ac:dyDescent="0.3">
      <c r="A181" s="57"/>
      <c r="B181" s="35"/>
      <c r="D181" s="17"/>
      <c r="E181" s="26"/>
      <c r="F181" s="27"/>
      <c r="G181" s="28"/>
    </row>
    <row r="182" spans="1:7" x14ac:dyDescent="0.3">
      <c r="A182" s="57"/>
      <c r="B182" s="35"/>
      <c r="D182" s="17"/>
      <c r="E182" s="26"/>
      <c r="F182" s="27"/>
      <c r="G182" s="28"/>
    </row>
    <row r="183" spans="1:7" x14ac:dyDescent="0.3">
      <c r="A183" s="57"/>
      <c r="B183" s="35"/>
      <c r="D183" s="17"/>
      <c r="E183" s="26"/>
      <c r="F183" s="27"/>
      <c r="G183" s="28"/>
    </row>
    <row r="184" spans="1:7" x14ac:dyDescent="0.3">
      <c r="A184" s="57"/>
      <c r="B184" s="35"/>
      <c r="D184" s="17"/>
      <c r="E184" s="26"/>
      <c r="F184" s="27"/>
      <c r="G184" s="28"/>
    </row>
    <row r="185" spans="1:7" x14ac:dyDescent="0.3">
      <c r="A185" s="57"/>
      <c r="B185" s="35"/>
      <c r="D185" s="17"/>
      <c r="E185" s="26"/>
      <c r="F185" s="27"/>
      <c r="G185" s="28"/>
    </row>
    <row r="186" spans="1:7" x14ac:dyDescent="0.3">
      <c r="A186" s="57"/>
      <c r="B186" s="35"/>
      <c r="D186" s="17"/>
      <c r="E186" s="26"/>
      <c r="F186" s="27"/>
      <c r="G186" s="28"/>
    </row>
    <row r="187" spans="1:7" x14ac:dyDescent="0.3">
      <c r="A187" s="57"/>
      <c r="B187" s="35"/>
      <c r="D187" s="17"/>
      <c r="E187" s="26"/>
      <c r="F187" s="27"/>
      <c r="G187" s="28"/>
    </row>
    <row r="188" spans="1:7" x14ac:dyDescent="0.3">
      <c r="A188" s="57"/>
      <c r="B188" s="35"/>
      <c r="D188" s="17"/>
      <c r="E188" s="26"/>
      <c r="F188" s="27"/>
      <c r="G188" s="28"/>
    </row>
    <row r="189" spans="1:7" x14ac:dyDescent="0.3">
      <c r="A189" s="57"/>
      <c r="B189" s="35"/>
      <c r="D189" s="25"/>
      <c r="E189" s="26"/>
      <c r="F189" s="27"/>
      <c r="G189" s="28"/>
    </row>
    <row r="190" spans="1:7" x14ac:dyDescent="0.3">
      <c r="A190" s="57"/>
      <c r="B190" s="35"/>
      <c r="D190" s="17"/>
      <c r="E190" s="26"/>
      <c r="F190" s="27"/>
      <c r="G190" s="28"/>
    </row>
    <row r="191" spans="1:7" x14ac:dyDescent="0.3">
      <c r="A191" s="57"/>
      <c r="B191" s="35"/>
      <c r="D191" s="17"/>
      <c r="E191" s="26"/>
      <c r="F191" s="27"/>
      <c r="G191" s="28"/>
    </row>
    <row r="192" spans="1:7" x14ac:dyDescent="0.3">
      <c r="A192" s="57"/>
      <c r="B192" s="35"/>
      <c r="D192" s="17"/>
      <c r="E192" s="26"/>
      <c r="F192" s="27"/>
      <c r="G192" s="28"/>
    </row>
    <row r="193" spans="1:7" x14ac:dyDescent="0.3">
      <c r="A193" s="57"/>
      <c r="B193" s="35"/>
      <c r="D193" s="17"/>
      <c r="E193" s="26"/>
      <c r="F193" s="27"/>
      <c r="G193" s="28"/>
    </row>
    <row r="194" spans="1:7" x14ac:dyDescent="0.3">
      <c r="A194" s="57"/>
      <c r="F194" s="7"/>
      <c r="G194" s="8"/>
    </row>
    <row r="195" spans="1:7" x14ac:dyDescent="0.3">
      <c r="A195" s="57"/>
      <c r="F195" s="7"/>
      <c r="G195" s="8"/>
    </row>
    <row r="196" spans="1:7" x14ac:dyDescent="0.3">
      <c r="A196" s="57"/>
      <c r="F196" s="7"/>
      <c r="G196" s="8"/>
    </row>
    <row r="197" spans="1:7" x14ac:dyDescent="0.3">
      <c r="A197" s="57"/>
      <c r="F197" s="7"/>
      <c r="G197" s="8"/>
    </row>
    <row r="198" spans="1:7" x14ac:dyDescent="0.3">
      <c r="A198" s="57"/>
      <c r="F198" s="7"/>
      <c r="G198" s="8"/>
    </row>
    <row r="199" spans="1:7" x14ac:dyDescent="0.3">
      <c r="A199" s="57"/>
      <c r="F199" s="7"/>
      <c r="G199" s="8"/>
    </row>
    <row r="200" spans="1:7" x14ac:dyDescent="0.3">
      <c r="A200" s="57"/>
      <c r="F200" s="7"/>
      <c r="G200" s="8"/>
    </row>
    <row r="201" spans="1:7" x14ac:dyDescent="0.3">
      <c r="A201" s="57"/>
      <c r="F201" s="7"/>
      <c r="G201" s="8"/>
    </row>
    <row r="202" spans="1:7" x14ac:dyDescent="0.3">
      <c r="A202" s="57"/>
      <c r="F202" s="7"/>
      <c r="G202" s="8"/>
    </row>
    <row r="203" spans="1:7" x14ac:dyDescent="0.3">
      <c r="A203" s="57"/>
      <c r="F203" s="7"/>
      <c r="G203" s="8"/>
    </row>
    <row r="204" spans="1:7" x14ac:dyDescent="0.3">
      <c r="A204" s="57"/>
      <c r="F204" s="7"/>
      <c r="G204" s="8"/>
    </row>
    <row r="205" spans="1:7" x14ac:dyDescent="0.3">
      <c r="A205" s="57"/>
      <c r="F205" s="7"/>
      <c r="G205" s="8"/>
    </row>
    <row r="206" spans="1:7" x14ac:dyDescent="0.3">
      <c r="A206" s="57"/>
      <c r="F206" s="7"/>
      <c r="G206" s="8"/>
    </row>
    <row r="207" spans="1:7" x14ac:dyDescent="0.3">
      <c r="A207" s="57"/>
      <c r="F207" s="7"/>
      <c r="G207" s="8"/>
    </row>
    <row r="208" spans="1:7" x14ac:dyDescent="0.3">
      <c r="A208" s="57"/>
      <c r="F208" s="7"/>
      <c r="G208" s="8"/>
    </row>
    <row r="209" spans="1:7" x14ac:dyDescent="0.3">
      <c r="A209" s="57"/>
      <c r="F209" s="7"/>
      <c r="G209" s="8"/>
    </row>
    <row r="210" spans="1:7" x14ac:dyDescent="0.3">
      <c r="A210" s="57"/>
      <c r="F210" s="7"/>
      <c r="G210" s="8"/>
    </row>
    <row r="211" spans="1:7" x14ac:dyDescent="0.3">
      <c r="A211" s="57"/>
      <c r="F211" s="7"/>
      <c r="G211" s="8"/>
    </row>
    <row r="212" spans="1:7" x14ac:dyDescent="0.3">
      <c r="A212" s="57"/>
      <c r="F212" s="7"/>
      <c r="G212" s="8"/>
    </row>
    <row r="213" spans="1:7" x14ac:dyDescent="0.3">
      <c r="A213" s="57"/>
      <c r="F213" s="7"/>
      <c r="G213" s="8"/>
    </row>
    <row r="214" spans="1:7" x14ac:dyDescent="0.3">
      <c r="A214" s="57"/>
      <c r="F214" s="7"/>
      <c r="G214" s="8"/>
    </row>
    <row r="215" spans="1:7" x14ac:dyDescent="0.3">
      <c r="A215" s="57"/>
      <c r="F215" s="7"/>
      <c r="G215" s="8"/>
    </row>
    <row r="216" spans="1:7" x14ac:dyDescent="0.3">
      <c r="A216" s="57"/>
      <c r="F216" s="7"/>
      <c r="G216" s="8"/>
    </row>
    <row r="217" spans="1:7" x14ac:dyDescent="0.3">
      <c r="A217" s="57"/>
      <c r="F217" s="7"/>
      <c r="G217" s="8"/>
    </row>
    <row r="218" spans="1:7" x14ac:dyDescent="0.3">
      <c r="A218" s="57"/>
      <c r="F218" s="7"/>
      <c r="G218" s="8"/>
    </row>
    <row r="219" spans="1:7" x14ac:dyDescent="0.3">
      <c r="A219" s="57"/>
      <c r="F219" s="7"/>
      <c r="G219" s="8"/>
    </row>
    <row r="220" spans="1:7" x14ac:dyDescent="0.3">
      <c r="A220" s="57"/>
      <c r="F220" s="7"/>
      <c r="G220" s="8"/>
    </row>
    <row r="221" spans="1:7" x14ac:dyDescent="0.3">
      <c r="A221" s="57"/>
      <c r="F221" s="7"/>
      <c r="G221" s="8"/>
    </row>
    <row r="222" spans="1:7" x14ac:dyDescent="0.3">
      <c r="A222" s="57"/>
      <c r="F222" s="7"/>
      <c r="G222" s="8"/>
    </row>
    <row r="223" spans="1:7" x14ac:dyDescent="0.3">
      <c r="A223" s="57"/>
      <c r="F223" s="7"/>
      <c r="G223" s="8"/>
    </row>
    <row r="224" spans="1:7" x14ac:dyDescent="0.3">
      <c r="A224" s="57"/>
      <c r="F224" s="7"/>
      <c r="G224" s="8"/>
    </row>
    <row r="225" spans="1:7" x14ac:dyDescent="0.3">
      <c r="A225" s="57"/>
      <c r="F225" s="7"/>
      <c r="G225" s="8"/>
    </row>
    <row r="226" spans="1:7" x14ac:dyDescent="0.3">
      <c r="A226" s="57"/>
      <c r="F226" s="7"/>
      <c r="G226" s="8"/>
    </row>
    <row r="227" spans="1:7" x14ac:dyDescent="0.3">
      <c r="A227" s="57"/>
      <c r="F227" s="7"/>
      <c r="G227" s="8"/>
    </row>
    <row r="228" spans="1:7" x14ac:dyDescent="0.3">
      <c r="A228" s="57"/>
      <c r="F228" s="7"/>
      <c r="G228" s="8"/>
    </row>
    <row r="229" spans="1:7" x14ac:dyDescent="0.3">
      <c r="A229" s="57"/>
      <c r="F229" s="7"/>
      <c r="G229" s="8"/>
    </row>
    <row r="230" spans="1:7" x14ac:dyDescent="0.3">
      <c r="A230" s="57"/>
      <c r="F230" s="7"/>
      <c r="G230" s="8"/>
    </row>
    <row r="231" spans="1:7" x14ac:dyDescent="0.3">
      <c r="A231" s="57"/>
      <c r="F231" s="7"/>
      <c r="G231" s="8"/>
    </row>
    <row r="232" spans="1:7" x14ac:dyDescent="0.3">
      <c r="A232" s="57"/>
      <c r="F232" s="7"/>
      <c r="G232" s="8"/>
    </row>
    <row r="233" spans="1:7" x14ac:dyDescent="0.3">
      <c r="A233" s="57"/>
      <c r="F233" s="7"/>
      <c r="G233" s="8"/>
    </row>
    <row r="234" spans="1:7" x14ac:dyDescent="0.3">
      <c r="A234" s="57"/>
      <c r="F234" s="7"/>
      <c r="G234" s="8"/>
    </row>
    <row r="235" spans="1:7" x14ac:dyDescent="0.3">
      <c r="A235" s="57"/>
    </row>
    <row r="236" spans="1:7" x14ac:dyDescent="0.3">
      <c r="A236" s="57"/>
    </row>
    <row r="237" spans="1:7" x14ac:dyDescent="0.3">
      <c r="A237" s="57"/>
    </row>
    <row r="238" spans="1:7" x14ac:dyDescent="0.3">
      <c r="A238" s="57"/>
    </row>
    <row r="239" spans="1:7" x14ac:dyDescent="0.3">
      <c r="A239" s="57"/>
    </row>
    <row r="240" spans="1:7" x14ac:dyDescent="0.3">
      <c r="A240" s="57"/>
    </row>
    <row r="241" spans="1:1" x14ac:dyDescent="0.3">
      <c r="A241" s="57"/>
    </row>
    <row r="242" spans="1:1" x14ac:dyDescent="0.3">
      <c r="A242" s="57"/>
    </row>
    <row r="243" spans="1:1" x14ac:dyDescent="0.3">
      <c r="A243" s="57"/>
    </row>
    <row r="244" spans="1:1" x14ac:dyDescent="0.3">
      <c r="A244" s="57"/>
    </row>
    <row r="245" spans="1:1" x14ac:dyDescent="0.3">
      <c r="A245" s="57"/>
    </row>
    <row r="246" spans="1:1" x14ac:dyDescent="0.3">
      <c r="A246" s="57"/>
    </row>
    <row r="247" spans="1:1" x14ac:dyDescent="0.3">
      <c r="A247" s="57"/>
    </row>
    <row r="248" spans="1:1" x14ac:dyDescent="0.3">
      <c r="A248" s="57"/>
    </row>
    <row r="249" spans="1:1" x14ac:dyDescent="0.3">
      <c r="A249" s="57"/>
    </row>
    <row r="250" spans="1:1" x14ac:dyDescent="0.3">
      <c r="A250" s="57"/>
    </row>
    <row r="251" spans="1:1" x14ac:dyDescent="0.3">
      <c r="A251" s="57"/>
    </row>
    <row r="252" spans="1:1" x14ac:dyDescent="0.3">
      <c r="A252" s="57"/>
    </row>
    <row r="253" spans="1:1" x14ac:dyDescent="0.3">
      <c r="A253" s="57"/>
    </row>
    <row r="254" spans="1:1" x14ac:dyDescent="0.3">
      <c r="A254" s="57"/>
    </row>
    <row r="255" spans="1:1" x14ac:dyDescent="0.3">
      <c r="A255" s="57"/>
    </row>
    <row r="256" spans="1:1" x14ac:dyDescent="0.3">
      <c r="A256" s="57"/>
    </row>
    <row r="257" spans="1:1" x14ac:dyDescent="0.3">
      <c r="A257" s="57"/>
    </row>
    <row r="258" spans="1:1" x14ac:dyDescent="0.3">
      <c r="A258" s="57"/>
    </row>
    <row r="259" spans="1:1" x14ac:dyDescent="0.3">
      <c r="A259" s="57"/>
    </row>
    <row r="260" spans="1:1" x14ac:dyDescent="0.3">
      <c r="A260" s="57"/>
    </row>
    <row r="261" spans="1:1" x14ac:dyDescent="0.3">
      <c r="A261" s="57"/>
    </row>
    <row r="262" spans="1:1" x14ac:dyDescent="0.3">
      <c r="A262" s="57"/>
    </row>
    <row r="263" spans="1:1" x14ac:dyDescent="0.3">
      <c r="A263" s="57"/>
    </row>
    <row r="264" spans="1:1" x14ac:dyDescent="0.3">
      <c r="A264" s="57"/>
    </row>
    <row r="265" spans="1:1" x14ac:dyDescent="0.3">
      <c r="A265" s="57"/>
    </row>
    <row r="266" spans="1:1" x14ac:dyDescent="0.3">
      <c r="A266" s="57"/>
    </row>
    <row r="267" spans="1:1" x14ac:dyDescent="0.3">
      <c r="A267" s="57"/>
    </row>
    <row r="268" spans="1:1" x14ac:dyDescent="0.3">
      <c r="A268" s="57"/>
    </row>
    <row r="269" spans="1:1" x14ac:dyDescent="0.3">
      <c r="A269" s="57"/>
    </row>
    <row r="270" spans="1:1" x14ac:dyDescent="0.3">
      <c r="A270" s="57"/>
    </row>
    <row r="271" spans="1:1" x14ac:dyDescent="0.3">
      <c r="A271" s="57"/>
    </row>
    <row r="272" spans="1:1" x14ac:dyDescent="0.3">
      <c r="A272" s="57"/>
    </row>
    <row r="273" spans="1:1" x14ac:dyDescent="0.3">
      <c r="A273" s="57"/>
    </row>
    <row r="274" spans="1:1" x14ac:dyDescent="0.3">
      <c r="A274" s="57"/>
    </row>
    <row r="275" spans="1:1" x14ac:dyDescent="0.3">
      <c r="A275" s="57"/>
    </row>
    <row r="276" spans="1:1" x14ac:dyDescent="0.3">
      <c r="A276" s="57"/>
    </row>
    <row r="277" spans="1:1" x14ac:dyDescent="0.3">
      <c r="A277" s="57"/>
    </row>
    <row r="278" spans="1:1" x14ac:dyDescent="0.3">
      <c r="A278" s="57"/>
    </row>
    <row r="279" spans="1:1" x14ac:dyDescent="0.3">
      <c r="A279" s="57"/>
    </row>
    <row r="280" spans="1:1" x14ac:dyDescent="0.3">
      <c r="A280" s="57"/>
    </row>
    <row r="281" spans="1:1" x14ac:dyDescent="0.3">
      <c r="A281" s="57"/>
    </row>
    <row r="282" spans="1:1" x14ac:dyDescent="0.3">
      <c r="A282" s="57"/>
    </row>
    <row r="283" spans="1:1" x14ac:dyDescent="0.3">
      <c r="A283" s="57"/>
    </row>
    <row r="284" spans="1:1" x14ac:dyDescent="0.3">
      <c r="A284" s="57"/>
    </row>
    <row r="285" spans="1:1" x14ac:dyDescent="0.3">
      <c r="A285" s="57"/>
    </row>
    <row r="286" spans="1:1" x14ac:dyDescent="0.3">
      <c r="A286" s="57"/>
    </row>
    <row r="287" spans="1:1" x14ac:dyDescent="0.3">
      <c r="A287" s="57"/>
    </row>
    <row r="288" spans="1:1" x14ac:dyDescent="0.3">
      <c r="A288" s="57"/>
    </row>
    <row r="289" spans="1:1" x14ac:dyDescent="0.3">
      <c r="A289" s="57"/>
    </row>
    <row r="290" spans="1:1" x14ac:dyDescent="0.3">
      <c r="A290" s="57"/>
    </row>
    <row r="291" spans="1:1" x14ac:dyDescent="0.3">
      <c r="A291" s="57"/>
    </row>
    <row r="292" spans="1:1" x14ac:dyDescent="0.3">
      <c r="A292" s="57"/>
    </row>
    <row r="293" spans="1:1" x14ac:dyDescent="0.3">
      <c r="A293" s="57"/>
    </row>
    <row r="294" spans="1:1" x14ac:dyDescent="0.3">
      <c r="A294" s="57"/>
    </row>
    <row r="295" spans="1:1" x14ac:dyDescent="0.3">
      <c r="A295" s="57"/>
    </row>
    <row r="296" spans="1:1" x14ac:dyDescent="0.3">
      <c r="A296" s="57"/>
    </row>
    <row r="297" spans="1:1" x14ac:dyDescent="0.3">
      <c r="A297" s="57"/>
    </row>
    <row r="298" spans="1:1" x14ac:dyDescent="0.3">
      <c r="A298" s="57"/>
    </row>
    <row r="299" spans="1:1" x14ac:dyDescent="0.3">
      <c r="A299" s="57"/>
    </row>
    <row r="300" spans="1:1" x14ac:dyDescent="0.3">
      <c r="A300" s="57"/>
    </row>
    <row r="301" spans="1:1" x14ac:dyDescent="0.3">
      <c r="A301" s="57"/>
    </row>
    <row r="302" spans="1:1" x14ac:dyDescent="0.3">
      <c r="A302" s="57"/>
    </row>
    <row r="303" spans="1:1" x14ac:dyDescent="0.3">
      <c r="A303" s="57"/>
    </row>
    <row r="304" spans="1:1" x14ac:dyDescent="0.3">
      <c r="A304" s="57"/>
    </row>
    <row r="305" spans="1:1" x14ac:dyDescent="0.3">
      <c r="A305" s="57"/>
    </row>
    <row r="306" spans="1:1" x14ac:dyDescent="0.3">
      <c r="A306" s="57"/>
    </row>
    <row r="307" spans="1:1" x14ac:dyDescent="0.3">
      <c r="A307" s="57"/>
    </row>
    <row r="308" spans="1:1" x14ac:dyDescent="0.3">
      <c r="A308" s="57"/>
    </row>
    <row r="309" spans="1:1" x14ac:dyDescent="0.3">
      <c r="A309" s="57"/>
    </row>
    <row r="310" spans="1:1" x14ac:dyDescent="0.3">
      <c r="A310" s="57"/>
    </row>
    <row r="311" spans="1:1" x14ac:dyDescent="0.3">
      <c r="A311" s="57"/>
    </row>
    <row r="312" spans="1:1" x14ac:dyDescent="0.3">
      <c r="A312" s="57"/>
    </row>
    <row r="313" spans="1:1" x14ac:dyDescent="0.3">
      <c r="A313" s="57"/>
    </row>
    <row r="314" spans="1:1" x14ac:dyDescent="0.3">
      <c r="A314" s="57"/>
    </row>
    <row r="315" spans="1:1" x14ac:dyDescent="0.3">
      <c r="A315" s="57"/>
    </row>
    <row r="316" spans="1:1" x14ac:dyDescent="0.3">
      <c r="A316" s="57"/>
    </row>
    <row r="317" spans="1:1" x14ac:dyDescent="0.3">
      <c r="A317" s="57"/>
    </row>
    <row r="318" spans="1:1" x14ac:dyDescent="0.3">
      <c r="A318" s="57"/>
    </row>
    <row r="319" spans="1:1" x14ac:dyDescent="0.3">
      <c r="A319" s="57"/>
    </row>
    <row r="320" spans="1:1" x14ac:dyDescent="0.3">
      <c r="A320" s="57"/>
    </row>
    <row r="321" spans="1:1" x14ac:dyDescent="0.3">
      <c r="A321" s="57"/>
    </row>
    <row r="322" spans="1:1" x14ac:dyDescent="0.3">
      <c r="A322" s="57"/>
    </row>
    <row r="323" spans="1:1" x14ac:dyDescent="0.3">
      <c r="A323" s="57"/>
    </row>
    <row r="324" spans="1:1" x14ac:dyDescent="0.3">
      <c r="A324" s="57"/>
    </row>
    <row r="325" spans="1:1" x14ac:dyDescent="0.3">
      <c r="A325" s="57"/>
    </row>
    <row r="326" spans="1:1" x14ac:dyDescent="0.3">
      <c r="A326" s="57"/>
    </row>
    <row r="327" spans="1:1" x14ac:dyDescent="0.3">
      <c r="A327" s="57"/>
    </row>
    <row r="328" spans="1:1" x14ac:dyDescent="0.3">
      <c r="A328" s="57"/>
    </row>
    <row r="329" spans="1:1" x14ac:dyDescent="0.3">
      <c r="A329" s="57"/>
    </row>
    <row r="330" spans="1:1" x14ac:dyDescent="0.3">
      <c r="A330" s="57"/>
    </row>
    <row r="331" spans="1:1" x14ac:dyDescent="0.3">
      <c r="A331" s="57"/>
    </row>
    <row r="332" spans="1:1" x14ac:dyDescent="0.3">
      <c r="A332" s="57"/>
    </row>
    <row r="333" spans="1:1" x14ac:dyDescent="0.3">
      <c r="A333" s="57"/>
    </row>
    <row r="334" spans="1:1" x14ac:dyDescent="0.3">
      <c r="A334" s="57"/>
    </row>
    <row r="335" spans="1:1" x14ac:dyDescent="0.3">
      <c r="A335" s="57"/>
    </row>
    <row r="336" spans="1:1" x14ac:dyDescent="0.3">
      <c r="A336" s="57"/>
    </row>
    <row r="337" spans="1:1" x14ac:dyDescent="0.3">
      <c r="A337" s="57"/>
    </row>
    <row r="338" spans="1:1" x14ac:dyDescent="0.3">
      <c r="A338" s="57"/>
    </row>
    <row r="339" spans="1:1" x14ac:dyDescent="0.3">
      <c r="A339" s="57"/>
    </row>
    <row r="340" spans="1:1" x14ac:dyDescent="0.3">
      <c r="A340" s="57"/>
    </row>
    <row r="341" spans="1:1" x14ac:dyDescent="0.3">
      <c r="A341" s="57"/>
    </row>
    <row r="342" spans="1:1" x14ac:dyDescent="0.3">
      <c r="A342" s="57"/>
    </row>
    <row r="343" spans="1:1" x14ac:dyDescent="0.3">
      <c r="A343" s="57"/>
    </row>
    <row r="344" spans="1:1" x14ac:dyDescent="0.3">
      <c r="A344" s="57"/>
    </row>
    <row r="345" spans="1:1" x14ac:dyDescent="0.3">
      <c r="A345" s="57"/>
    </row>
    <row r="346" spans="1:1" x14ac:dyDescent="0.3">
      <c r="A346" s="57"/>
    </row>
    <row r="347" spans="1:1" x14ac:dyDescent="0.3">
      <c r="A347" s="57"/>
    </row>
    <row r="348" spans="1:1" x14ac:dyDescent="0.3">
      <c r="A348" s="57"/>
    </row>
    <row r="349" spans="1:1" x14ac:dyDescent="0.3">
      <c r="A349" s="57"/>
    </row>
    <row r="350" spans="1:1" x14ac:dyDescent="0.3">
      <c r="A350" s="57"/>
    </row>
    <row r="351" spans="1:1" x14ac:dyDescent="0.3">
      <c r="A351" s="57"/>
    </row>
    <row r="352" spans="1:1" x14ac:dyDescent="0.3">
      <c r="A352" s="57"/>
    </row>
    <row r="353" spans="1:1" x14ac:dyDescent="0.3">
      <c r="A353" s="57"/>
    </row>
    <row r="354" spans="1:1" x14ac:dyDescent="0.3">
      <c r="A354" s="57"/>
    </row>
    <row r="355" spans="1:1" x14ac:dyDescent="0.3">
      <c r="A355" s="57"/>
    </row>
    <row r="356" spans="1:1" x14ac:dyDescent="0.3">
      <c r="A356" s="57"/>
    </row>
    <row r="357" spans="1:1" x14ac:dyDescent="0.3">
      <c r="A357" s="57"/>
    </row>
    <row r="358" spans="1:1" x14ac:dyDescent="0.3">
      <c r="A358" s="57"/>
    </row>
    <row r="359" spans="1:1" x14ac:dyDescent="0.3">
      <c r="A359" s="57"/>
    </row>
    <row r="360" spans="1:1" x14ac:dyDescent="0.3">
      <c r="A360" s="57"/>
    </row>
    <row r="361" spans="1:1" x14ac:dyDescent="0.3">
      <c r="A361" s="57"/>
    </row>
    <row r="362" spans="1:1" x14ac:dyDescent="0.3">
      <c r="A362" s="57"/>
    </row>
    <row r="363" spans="1:1" x14ac:dyDescent="0.3">
      <c r="A363" s="57"/>
    </row>
    <row r="364" spans="1:1" x14ac:dyDescent="0.3">
      <c r="A364" s="57"/>
    </row>
    <row r="365" spans="1:1" x14ac:dyDescent="0.3">
      <c r="A365" s="57"/>
    </row>
    <row r="366" spans="1:1" x14ac:dyDescent="0.3">
      <c r="A366" s="57"/>
    </row>
    <row r="367" spans="1:1" x14ac:dyDescent="0.3">
      <c r="A367" s="57"/>
    </row>
    <row r="368" spans="1:1" x14ac:dyDescent="0.3">
      <c r="A368" s="57"/>
    </row>
    <row r="369" spans="1:1" x14ac:dyDescent="0.3">
      <c r="A369" s="57"/>
    </row>
    <row r="370" spans="1:1" x14ac:dyDescent="0.3">
      <c r="A370" s="57"/>
    </row>
    <row r="371" spans="1:1" x14ac:dyDescent="0.3">
      <c r="A371" s="57"/>
    </row>
    <row r="372" spans="1:1" x14ac:dyDescent="0.3">
      <c r="A372" s="57"/>
    </row>
    <row r="373" spans="1:1" x14ac:dyDescent="0.3">
      <c r="A373" s="57"/>
    </row>
    <row r="374" spans="1:1" x14ac:dyDescent="0.3">
      <c r="A374" s="57"/>
    </row>
    <row r="375" spans="1:1" x14ac:dyDescent="0.3">
      <c r="A375" s="57"/>
    </row>
    <row r="376" spans="1:1" x14ac:dyDescent="0.3">
      <c r="A376" s="57"/>
    </row>
    <row r="377" spans="1:1" x14ac:dyDescent="0.3">
      <c r="A377" s="57"/>
    </row>
    <row r="378" spans="1:1" x14ac:dyDescent="0.3">
      <c r="A378" s="57"/>
    </row>
    <row r="379" spans="1:1" x14ac:dyDescent="0.3">
      <c r="A379" s="57"/>
    </row>
    <row r="380" spans="1:1" x14ac:dyDescent="0.3">
      <c r="A380" s="57"/>
    </row>
    <row r="381" spans="1:1" x14ac:dyDescent="0.3">
      <c r="A381" s="57"/>
    </row>
    <row r="382" spans="1:1" x14ac:dyDescent="0.3">
      <c r="A382" s="57"/>
    </row>
    <row r="383" spans="1:1" x14ac:dyDescent="0.3">
      <c r="A383" s="57"/>
    </row>
    <row r="384" spans="1:1" x14ac:dyDescent="0.3">
      <c r="A384" s="57"/>
    </row>
    <row r="385" spans="1:1" x14ac:dyDescent="0.3">
      <c r="A385" s="57"/>
    </row>
    <row r="386" spans="1:1" x14ac:dyDescent="0.3">
      <c r="A386" s="57"/>
    </row>
    <row r="387" spans="1:1" x14ac:dyDescent="0.3">
      <c r="A387" s="57"/>
    </row>
    <row r="388" spans="1:1" x14ac:dyDescent="0.3">
      <c r="A388" s="57"/>
    </row>
    <row r="389" spans="1:1" x14ac:dyDescent="0.3">
      <c r="A389" s="57"/>
    </row>
    <row r="390" spans="1:1" x14ac:dyDescent="0.3">
      <c r="A390" s="57"/>
    </row>
    <row r="391" spans="1:1" x14ac:dyDescent="0.3">
      <c r="A391" s="57"/>
    </row>
    <row r="392" spans="1:1" x14ac:dyDescent="0.3">
      <c r="A392" s="57"/>
    </row>
    <row r="393" spans="1:1" x14ac:dyDescent="0.3">
      <c r="A393" s="57"/>
    </row>
    <row r="394" spans="1:1" x14ac:dyDescent="0.3">
      <c r="A394" s="57"/>
    </row>
    <row r="395" spans="1:1" x14ac:dyDescent="0.3">
      <c r="A395" s="57"/>
    </row>
    <row r="396" spans="1:1" x14ac:dyDescent="0.3">
      <c r="A396" s="57"/>
    </row>
    <row r="397" spans="1:1" x14ac:dyDescent="0.3">
      <c r="A397" s="57"/>
    </row>
    <row r="398" spans="1:1" x14ac:dyDescent="0.3">
      <c r="A398" s="57"/>
    </row>
    <row r="399" spans="1:1" x14ac:dyDescent="0.3">
      <c r="A399" s="57"/>
    </row>
    <row r="400" spans="1:1" x14ac:dyDescent="0.3">
      <c r="A400" s="57"/>
    </row>
    <row r="401" spans="1:1" x14ac:dyDescent="0.3">
      <c r="A401" s="57"/>
    </row>
    <row r="402" spans="1:1" x14ac:dyDescent="0.3">
      <c r="A402" s="57"/>
    </row>
    <row r="403" spans="1:1" x14ac:dyDescent="0.3">
      <c r="A403" s="57"/>
    </row>
    <row r="404" spans="1:1" x14ac:dyDescent="0.3">
      <c r="A404" s="57"/>
    </row>
    <row r="405" spans="1:1" x14ac:dyDescent="0.3">
      <c r="A405" s="57"/>
    </row>
    <row r="406" spans="1:1" x14ac:dyDescent="0.3">
      <c r="A406" s="57"/>
    </row>
    <row r="407" spans="1:1" x14ac:dyDescent="0.3">
      <c r="A407" s="57"/>
    </row>
    <row r="408" spans="1:1" x14ac:dyDescent="0.3">
      <c r="A408" s="57"/>
    </row>
    <row r="409" spans="1:1" x14ac:dyDescent="0.3">
      <c r="A409" s="57"/>
    </row>
    <row r="410" spans="1:1" x14ac:dyDescent="0.3">
      <c r="A410" s="57"/>
    </row>
    <row r="411" spans="1:1" x14ac:dyDescent="0.3">
      <c r="A411" s="57"/>
    </row>
    <row r="412" spans="1:1" x14ac:dyDescent="0.3">
      <c r="A412" s="57"/>
    </row>
    <row r="413" spans="1:1" x14ac:dyDescent="0.3">
      <c r="A413" s="57"/>
    </row>
    <row r="414" spans="1:1" x14ac:dyDescent="0.3">
      <c r="A414" s="57"/>
    </row>
    <row r="415" spans="1:1" x14ac:dyDescent="0.3">
      <c r="A415" s="57"/>
    </row>
    <row r="416" spans="1:1" x14ac:dyDescent="0.3">
      <c r="A416" s="57"/>
    </row>
    <row r="417" spans="1:1" x14ac:dyDescent="0.3">
      <c r="A417" s="57"/>
    </row>
    <row r="418" spans="1:1" x14ac:dyDescent="0.3">
      <c r="A418" s="57"/>
    </row>
    <row r="419" spans="1:1" x14ac:dyDescent="0.3">
      <c r="A419" s="57"/>
    </row>
    <row r="420" spans="1:1" x14ac:dyDescent="0.3">
      <c r="A420" s="57"/>
    </row>
    <row r="421" spans="1:1" x14ac:dyDescent="0.3">
      <c r="A421" s="57"/>
    </row>
    <row r="422" spans="1:1" x14ac:dyDescent="0.3">
      <c r="A422" s="57"/>
    </row>
    <row r="423" spans="1:1" x14ac:dyDescent="0.3">
      <c r="A423" s="57"/>
    </row>
    <row r="424" spans="1:1" x14ac:dyDescent="0.3">
      <c r="A424" s="57"/>
    </row>
    <row r="425" spans="1:1" x14ac:dyDescent="0.3">
      <c r="A425" s="57"/>
    </row>
    <row r="426" spans="1:1" x14ac:dyDescent="0.3">
      <c r="A426" s="57"/>
    </row>
    <row r="427" spans="1:1" x14ac:dyDescent="0.3">
      <c r="A427" s="57"/>
    </row>
    <row r="428" spans="1:1" x14ac:dyDescent="0.3">
      <c r="A428" s="57"/>
    </row>
    <row r="429" spans="1:1" x14ac:dyDescent="0.3">
      <c r="A429" s="57"/>
    </row>
    <row r="430" spans="1:1" x14ac:dyDescent="0.3">
      <c r="A430" s="57"/>
    </row>
    <row r="431" spans="1:1" x14ac:dyDescent="0.3">
      <c r="A431" s="57"/>
    </row>
    <row r="432" spans="1:1" x14ac:dyDescent="0.3">
      <c r="A432" s="57"/>
    </row>
    <row r="433" spans="1:1" x14ac:dyDescent="0.3">
      <c r="A433" s="57"/>
    </row>
    <row r="434" spans="1:1" x14ac:dyDescent="0.3">
      <c r="A434" s="57"/>
    </row>
    <row r="435" spans="1:1" x14ac:dyDescent="0.3">
      <c r="A435" s="57"/>
    </row>
    <row r="436" spans="1:1" x14ac:dyDescent="0.3">
      <c r="A436" s="57"/>
    </row>
    <row r="437" spans="1:1" x14ac:dyDescent="0.3">
      <c r="A437" s="57"/>
    </row>
    <row r="438" spans="1:1" x14ac:dyDescent="0.3">
      <c r="A438" s="57"/>
    </row>
    <row r="439" spans="1:1" x14ac:dyDescent="0.3">
      <c r="A439" s="57"/>
    </row>
    <row r="440" spans="1:1" x14ac:dyDescent="0.3">
      <c r="A440" s="57"/>
    </row>
    <row r="441" spans="1:1" x14ac:dyDescent="0.3">
      <c r="A441" s="57"/>
    </row>
    <row r="442" spans="1:1" x14ac:dyDescent="0.3">
      <c r="A442" s="57"/>
    </row>
    <row r="443" spans="1:1" x14ac:dyDescent="0.3">
      <c r="A443" s="57"/>
    </row>
    <row r="444" spans="1:1" x14ac:dyDescent="0.3">
      <c r="A444" s="57"/>
    </row>
    <row r="445" spans="1:1" x14ac:dyDescent="0.3">
      <c r="A445" s="57"/>
    </row>
    <row r="446" spans="1:1" x14ac:dyDescent="0.3">
      <c r="A446" s="57"/>
    </row>
    <row r="447" spans="1:1" x14ac:dyDescent="0.3">
      <c r="A447" s="57"/>
    </row>
    <row r="448" spans="1:1" x14ac:dyDescent="0.3">
      <c r="A448" s="57"/>
    </row>
    <row r="449" spans="1:1" x14ac:dyDescent="0.3">
      <c r="A449" s="57"/>
    </row>
    <row r="450" spans="1:1" x14ac:dyDescent="0.3">
      <c r="A450" s="57"/>
    </row>
    <row r="451" spans="1:1" x14ac:dyDescent="0.3">
      <c r="A451" s="57"/>
    </row>
    <row r="452" spans="1:1" x14ac:dyDescent="0.3">
      <c r="A452" s="57"/>
    </row>
    <row r="453" spans="1:1" x14ac:dyDescent="0.3">
      <c r="A453" s="57"/>
    </row>
    <row r="454" spans="1:1" x14ac:dyDescent="0.3">
      <c r="A454" s="57"/>
    </row>
    <row r="455" spans="1:1" x14ac:dyDescent="0.3">
      <c r="A455" s="57"/>
    </row>
    <row r="456" spans="1:1" x14ac:dyDescent="0.3">
      <c r="A456" s="57"/>
    </row>
    <row r="457" spans="1:1" x14ac:dyDescent="0.3">
      <c r="A457" s="57"/>
    </row>
    <row r="458" spans="1:1" x14ac:dyDescent="0.3">
      <c r="A458" s="57"/>
    </row>
    <row r="459" spans="1:1" x14ac:dyDescent="0.3">
      <c r="A459" s="57"/>
    </row>
    <row r="460" spans="1:1" x14ac:dyDescent="0.3">
      <c r="A460" s="57"/>
    </row>
    <row r="461" spans="1:1" x14ac:dyDescent="0.3">
      <c r="A461" s="57"/>
    </row>
    <row r="462" spans="1:1" x14ac:dyDescent="0.3">
      <c r="A462" s="57"/>
    </row>
    <row r="463" spans="1:1" x14ac:dyDescent="0.3">
      <c r="A463" s="57"/>
    </row>
    <row r="464" spans="1:1" x14ac:dyDescent="0.3">
      <c r="A464" s="57"/>
    </row>
    <row r="465" spans="1:1" x14ac:dyDescent="0.3">
      <c r="A465" s="57"/>
    </row>
    <row r="466" spans="1:1" x14ac:dyDescent="0.3">
      <c r="A466" s="57"/>
    </row>
    <row r="467" spans="1:1" x14ac:dyDescent="0.3">
      <c r="A467" s="57"/>
    </row>
    <row r="468" spans="1:1" x14ac:dyDescent="0.3">
      <c r="A468" s="57"/>
    </row>
    <row r="469" spans="1:1" x14ac:dyDescent="0.3">
      <c r="A469" s="57"/>
    </row>
    <row r="470" spans="1:1" x14ac:dyDescent="0.3">
      <c r="A470" s="57"/>
    </row>
    <row r="471" spans="1:1" x14ac:dyDescent="0.3">
      <c r="A471" s="57"/>
    </row>
    <row r="472" spans="1:1" x14ac:dyDescent="0.3">
      <c r="A472" s="57"/>
    </row>
    <row r="473" spans="1:1" x14ac:dyDescent="0.3">
      <c r="A473" s="57"/>
    </row>
    <row r="474" spans="1:1" x14ac:dyDescent="0.3">
      <c r="A474" s="57"/>
    </row>
    <row r="475" spans="1:1" x14ac:dyDescent="0.3">
      <c r="A475" s="57"/>
    </row>
    <row r="476" spans="1:1" x14ac:dyDescent="0.3">
      <c r="A476" s="57"/>
    </row>
    <row r="477" spans="1:1" x14ac:dyDescent="0.3">
      <c r="A477" s="57"/>
    </row>
    <row r="478" spans="1:1" x14ac:dyDescent="0.3">
      <c r="A478" s="57"/>
    </row>
    <row r="479" spans="1:1" x14ac:dyDescent="0.3">
      <c r="A479" s="57"/>
    </row>
    <row r="480" spans="1:1" x14ac:dyDescent="0.3">
      <c r="A480" s="57"/>
    </row>
    <row r="481" spans="1:1" x14ac:dyDescent="0.3">
      <c r="A481" s="57"/>
    </row>
    <row r="482" spans="1:1" x14ac:dyDescent="0.3">
      <c r="A482" s="57"/>
    </row>
    <row r="483" spans="1:1" x14ac:dyDescent="0.3">
      <c r="A483" s="57"/>
    </row>
    <row r="484" spans="1:1" x14ac:dyDescent="0.3">
      <c r="A484" s="57"/>
    </row>
    <row r="485" spans="1:1" x14ac:dyDescent="0.3">
      <c r="A485" s="57"/>
    </row>
    <row r="486" spans="1:1" x14ac:dyDescent="0.3">
      <c r="A486" s="57"/>
    </row>
    <row r="487" spans="1:1" x14ac:dyDescent="0.3">
      <c r="A487" s="57"/>
    </row>
    <row r="488" spans="1:1" x14ac:dyDescent="0.3">
      <c r="A488" s="57"/>
    </row>
    <row r="489" spans="1:1" x14ac:dyDescent="0.3">
      <c r="A489" s="57"/>
    </row>
    <row r="490" spans="1:1" x14ac:dyDescent="0.3">
      <c r="A490" s="57"/>
    </row>
    <row r="491" spans="1:1" x14ac:dyDescent="0.3">
      <c r="A491" s="57"/>
    </row>
    <row r="492" spans="1:1" x14ac:dyDescent="0.3">
      <c r="A492" s="57"/>
    </row>
    <row r="493" spans="1:1" x14ac:dyDescent="0.3">
      <c r="A493" s="57"/>
    </row>
    <row r="494" spans="1:1" x14ac:dyDescent="0.3">
      <c r="A494" s="57"/>
    </row>
    <row r="495" spans="1:1" x14ac:dyDescent="0.3">
      <c r="A495" s="57"/>
    </row>
    <row r="496" spans="1:1" x14ac:dyDescent="0.3">
      <c r="A496" s="57"/>
    </row>
    <row r="497" spans="1:1" x14ac:dyDescent="0.3">
      <c r="A497" s="57"/>
    </row>
    <row r="498" spans="1:1" x14ac:dyDescent="0.3">
      <c r="A498" s="57"/>
    </row>
    <row r="499" spans="1:1" x14ac:dyDescent="0.3">
      <c r="A499" s="57"/>
    </row>
    <row r="500" spans="1:1" x14ac:dyDescent="0.3">
      <c r="A500" s="57"/>
    </row>
    <row r="501" spans="1:1" x14ac:dyDescent="0.3">
      <c r="A501" s="57"/>
    </row>
    <row r="502" spans="1:1" x14ac:dyDescent="0.3">
      <c r="A502" s="57"/>
    </row>
    <row r="503" spans="1:1" x14ac:dyDescent="0.3">
      <c r="A503" s="57"/>
    </row>
    <row r="504" spans="1:1" x14ac:dyDescent="0.3">
      <c r="A504" s="57"/>
    </row>
    <row r="505" spans="1:1" x14ac:dyDescent="0.3">
      <c r="A505" s="57"/>
    </row>
    <row r="506" spans="1:1" x14ac:dyDescent="0.3">
      <c r="A506" s="57"/>
    </row>
    <row r="507" spans="1:1" x14ac:dyDescent="0.3">
      <c r="A507" s="57"/>
    </row>
    <row r="508" spans="1:1" x14ac:dyDescent="0.3">
      <c r="A508" s="57"/>
    </row>
    <row r="509" spans="1:1" x14ac:dyDescent="0.3">
      <c r="A509" s="57"/>
    </row>
    <row r="510" spans="1:1" x14ac:dyDescent="0.3">
      <c r="A510" s="57"/>
    </row>
    <row r="511" spans="1:1" x14ac:dyDescent="0.3">
      <c r="A511" s="57"/>
    </row>
    <row r="512" spans="1:1" x14ac:dyDescent="0.3">
      <c r="A512" s="57"/>
    </row>
    <row r="513" spans="1:1" x14ac:dyDescent="0.3">
      <c r="A513" s="57"/>
    </row>
    <row r="514" spans="1:1" x14ac:dyDescent="0.3">
      <c r="A514" s="57"/>
    </row>
    <row r="515" spans="1:1" x14ac:dyDescent="0.3">
      <c r="A515" s="57"/>
    </row>
    <row r="516" spans="1:1" x14ac:dyDescent="0.3">
      <c r="A516" s="57"/>
    </row>
    <row r="517" spans="1:1" x14ac:dyDescent="0.3">
      <c r="A517" s="57"/>
    </row>
    <row r="518" spans="1:1" x14ac:dyDescent="0.3">
      <c r="A518" s="57"/>
    </row>
    <row r="519" spans="1:1" x14ac:dyDescent="0.3">
      <c r="A519" s="57"/>
    </row>
    <row r="520" spans="1:1" x14ac:dyDescent="0.3">
      <c r="A520" s="57"/>
    </row>
    <row r="521" spans="1:1" x14ac:dyDescent="0.3">
      <c r="A521" s="57"/>
    </row>
    <row r="522" spans="1:1" x14ac:dyDescent="0.3">
      <c r="A522" s="57"/>
    </row>
    <row r="523" spans="1:1" x14ac:dyDescent="0.3">
      <c r="A523" s="57"/>
    </row>
    <row r="524" spans="1:1" x14ac:dyDescent="0.3">
      <c r="A524" s="57"/>
    </row>
    <row r="525" spans="1:1" x14ac:dyDescent="0.3">
      <c r="A525" s="57"/>
    </row>
    <row r="526" spans="1:1" x14ac:dyDescent="0.3">
      <c r="A526" s="57"/>
    </row>
    <row r="527" spans="1:1" x14ac:dyDescent="0.3">
      <c r="A527" s="57"/>
    </row>
    <row r="528" spans="1:1" x14ac:dyDescent="0.3">
      <c r="A528" s="57"/>
    </row>
    <row r="529" spans="1:1" x14ac:dyDescent="0.3">
      <c r="A529" s="57"/>
    </row>
    <row r="530" spans="1:1" x14ac:dyDescent="0.3">
      <c r="A530" s="57"/>
    </row>
    <row r="531" spans="1:1" x14ac:dyDescent="0.3">
      <c r="A531" s="57"/>
    </row>
    <row r="532" spans="1:1" x14ac:dyDescent="0.3">
      <c r="A532" s="57"/>
    </row>
    <row r="533" spans="1:1" x14ac:dyDescent="0.3">
      <c r="A533" s="57"/>
    </row>
    <row r="534" spans="1:1" x14ac:dyDescent="0.3">
      <c r="A534" s="57"/>
    </row>
    <row r="535" spans="1:1" x14ac:dyDescent="0.3">
      <c r="A535" s="57"/>
    </row>
    <row r="536" spans="1:1" x14ac:dyDescent="0.3">
      <c r="A536" s="57"/>
    </row>
    <row r="537" spans="1:1" x14ac:dyDescent="0.3">
      <c r="A537" s="57"/>
    </row>
    <row r="538" spans="1:1" x14ac:dyDescent="0.3">
      <c r="A538" s="57"/>
    </row>
    <row r="539" spans="1:1" x14ac:dyDescent="0.3">
      <c r="A539" s="57"/>
    </row>
    <row r="540" spans="1:1" x14ac:dyDescent="0.3">
      <c r="A540" s="57"/>
    </row>
    <row r="541" spans="1:1" x14ac:dyDescent="0.3">
      <c r="A541" s="57"/>
    </row>
    <row r="542" spans="1:1" x14ac:dyDescent="0.3">
      <c r="A542" s="57"/>
    </row>
    <row r="543" spans="1:1" x14ac:dyDescent="0.3">
      <c r="A543" s="57"/>
    </row>
    <row r="544" spans="1:1" x14ac:dyDescent="0.3">
      <c r="A544" s="57"/>
    </row>
    <row r="545" spans="1:1" x14ac:dyDescent="0.3">
      <c r="A545" s="57"/>
    </row>
    <row r="546" spans="1:1" x14ac:dyDescent="0.3">
      <c r="A546" s="57"/>
    </row>
    <row r="547" spans="1:1" x14ac:dyDescent="0.3">
      <c r="A547" s="57"/>
    </row>
    <row r="548" spans="1:1" x14ac:dyDescent="0.3">
      <c r="A548" s="57"/>
    </row>
    <row r="549" spans="1:1" x14ac:dyDescent="0.3">
      <c r="A549" s="57"/>
    </row>
    <row r="550" spans="1:1" x14ac:dyDescent="0.3">
      <c r="A550" s="57"/>
    </row>
    <row r="551" spans="1:1" x14ac:dyDescent="0.3">
      <c r="A551" s="57"/>
    </row>
    <row r="552" spans="1:1" x14ac:dyDescent="0.3">
      <c r="A552" s="57"/>
    </row>
    <row r="553" spans="1:1" x14ac:dyDescent="0.3">
      <c r="A553" s="57"/>
    </row>
    <row r="554" spans="1:1" x14ac:dyDescent="0.3">
      <c r="A554" s="57"/>
    </row>
    <row r="555" spans="1:1" x14ac:dyDescent="0.3">
      <c r="A555" s="57"/>
    </row>
    <row r="556" spans="1:1" x14ac:dyDescent="0.3">
      <c r="A556" s="57"/>
    </row>
    <row r="557" spans="1:1" x14ac:dyDescent="0.3">
      <c r="A557" s="57"/>
    </row>
    <row r="558" spans="1:1" x14ac:dyDescent="0.3">
      <c r="A558" s="57"/>
    </row>
    <row r="559" spans="1:1" x14ac:dyDescent="0.3">
      <c r="A559" s="57"/>
    </row>
    <row r="560" spans="1:1" x14ac:dyDescent="0.3">
      <c r="A560" s="57"/>
    </row>
    <row r="561" spans="1:1" x14ac:dyDescent="0.3">
      <c r="A561" s="57"/>
    </row>
    <row r="562" spans="1:1" x14ac:dyDescent="0.3">
      <c r="A562" s="57"/>
    </row>
    <row r="563" spans="1:1" x14ac:dyDescent="0.3">
      <c r="A563" s="57"/>
    </row>
    <row r="564" spans="1:1" x14ac:dyDescent="0.3">
      <c r="A564" s="57"/>
    </row>
    <row r="565" spans="1:1" x14ac:dyDescent="0.3">
      <c r="A565" s="57"/>
    </row>
    <row r="566" spans="1:1" x14ac:dyDescent="0.3">
      <c r="A566" s="57"/>
    </row>
    <row r="567" spans="1:1" x14ac:dyDescent="0.3">
      <c r="A567" s="57"/>
    </row>
    <row r="568" spans="1:1" x14ac:dyDescent="0.3">
      <c r="A568" s="57"/>
    </row>
    <row r="569" spans="1:1" x14ac:dyDescent="0.3">
      <c r="A569" s="57"/>
    </row>
    <row r="570" spans="1:1" x14ac:dyDescent="0.3">
      <c r="A570" s="57"/>
    </row>
    <row r="571" spans="1:1" x14ac:dyDescent="0.3">
      <c r="A571" s="57"/>
    </row>
    <row r="572" spans="1:1" x14ac:dyDescent="0.3">
      <c r="A572" s="57"/>
    </row>
    <row r="573" spans="1:1" x14ac:dyDescent="0.3">
      <c r="A573" s="57"/>
    </row>
    <row r="574" spans="1:1" x14ac:dyDescent="0.3">
      <c r="A574" s="57"/>
    </row>
    <row r="575" spans="1:1" x14ac:dyDescent="0.3">
      <c r="A575" s="57"/>
    </row>
    <row r="576" spans="1:1" x14ac:dyDescent="0.3">
      <c r="A576" s="57"/>
    </row>
    <row r="577" spans="1:1" x14ac:dyDescent="0.3">
      <c r="A577" s="57"/>
    </row>
    <row r="578" spans="1:1" x14ac:dyDescent="0.3">
      <c r="A578" s="57"/>
    </row>
    <row r="579" spans="1:1" x14ac:dyDescent="0.3">
      <c r="A579" s="57"/>
    </row>
    <row r="580" spans="1:1" x14ac:dyDescent="0.3">
      <c r="A580" s="57"/>
    </row>
    <row r="581" spans="1:1" x14ac:dyDescent="0.3">
      <c r="A581" s="57"/>
    </row>
    <row r="582" spans="1:1" x14ac:dyDescent="0.3">
      <c r="A582" s="57"/>
    </row>
    <row r="583" spans="1:1" x14ac:dyDescent="0.3">
      <c r="A583" s="57"/>
    </row>
    <row r="584" spans="1:1" x14ac:dyDescent="0.3">
      <c r="A584" s="57"/>
    </row>
    <row r="585" spans="1:1" x14ac:dyDescent="0.3">
      <c r="A585" s="57"/>
    </row>
    <row r="586" spans="1:1" x14ac:dyDescent="0.3">
      <c r="A586" s="57"/>
    </row>
    <row r="587" spans="1:1" x14ac:dyDescent="0.3">
      <c r="A587" s="57"/>
    </row>
    <row r="588" spans="1:1" x14ac:dyDescent="0.3">
      <c r="A588" s="57"/>
    </row>
    <row r="589" spans="1:1" x14ac:dyDescent="0.3">
      <c r="A589" s="57"/>
    </row>
    <row r="590" spans="1:1" x14ac:dyDescent="0.3">
      <c r="A590" s="57"/>
    </row>
    <row r="591" spans="1:1" x14ac:dyDescent="0.3">
      <c r="A591" s="57"/>
    </row>
    <row r="592" spans="1:1" x14ac:dyDescent="0.3">
      <c r="A592" s="57"/>
    </row>
    <row r="593" spans="1:1" x14ac:dyDescent="0.3">
      <c r="A593" s="57"/>
    </row>
    <row r="594" spans="1:1" x14ac:dyDescent="0.3">
      <c r="A594" s="57"/>
    </row>
    <row r="595" spans="1:1" x14ac:dyDescent="0.3">
      <c r="A595" s="57"/>
    </row>
    <row r="596" spans="1:1" x14ac:dyDescent="0.3">
      <c r="A596" s="57"/>
    </row>
    <row r="597" spans="1:1" x14ac:dyDescent="0.3">
      <c r="A597" s="57"/>
    </row>
    <row r="598" spans="1:1" x14ac:dyDescent="0.3">
      <c r="A598" s="57"/>
    </row>
    <row r="599" spans="1:1" x14ac:dyDescent="0.3">
      <c r="A599" s="57"/>
    </row>
    <row r="600" spans="1:1" x14ac:dyDescent="0.3">
      <c r="A600" s="57"/>
    </row>
    <row r="601" spans="1:1" x14ac:dyDescent="0.3">
      <c r="A601" s="57"/>
    </row>
    <row r="602" spans="1:1" x14ac:dyDescent="0.3">
      <c r="A602" s="57"/>
    </row>
    <row r="603" spans="1:1" x14ac:dyDescent="0.3">
      <c r="A603" s="57"/>
    </row>
    <row r="604" spans="1:1" x14ac:dyDescent="0.3">
      <c r="A604" s="57"/>
    </row>
    <row r="605" spans="1:1" x14ac:dyDescent="0.3">
      <c r="A605" s="57"/>
    </row>
    <row r="606" spans="1:1" x14ac:dyDescent="0.3">
      <c r="A606" s="57"/>
    </row>
    <row r="607" spans="1:1" x14ac:dyDescent="0.3">
      <c r="A607" s="57"/>
    </row>
    <row r="608" spans="1:1" x14ac:dyDescent="0.3">
      <c r="A608" s="57"/>
    </row>
    <row r="609" spans="1:1" x14ac:dyDescent="0.3">
      <c r="A609" s="57"/>
    </row>
    <row r="610" spans="1:1" x14ac:dyDescent="0.3">
      <c r="A610" s="57"/>
    </row>
    <row r="611" spans="1:1" x14ac:dyDescent="0.3">
      <c r="A611" s="57"/>
    </row>
    <row r="612" spans="1:1" x14ac:dyDescent="0.3">
      <c r="A612" s="57"/>
    </row>
    <row r="613" spans="1:1" x14ac:dyDescent="0.3">
      <c r="A613" s="57"/>
    </row>
    <row r="614" spans="1:1" x14ac:dyDescent="0.3">
      <c r="A614" s="57"/>
    </row>
    <row r="615" spans="1:1" x14ac:dyDescent="0.3">
      <c r="A615" s="57"/>
    </row>
    <row r="616" spans="1:1" x14ac:dyDescent="0.3">
      <c r="A616" s="57"/>
    </row>
    <row r="617" spans="1:1" x14ac:dyDescent="0.3">
      <c r="A617" s="57"/>
    </row>
    <row r="618" spans="1:1" x14ac:dyDescent="0.3">
      <c r="A618" s="57"/>
    </row>
    <row r="619" spans="1:1" x14ac:dyDescent="0.3">
      <c r="A619" s="57"/>
    </row>
    <row r="620" spans="1:1" x14ac:dyDescent="0.3">
      <c r="A620" s="57"/>
    </row>
    <row r="621" spans="1:1" x14ac:dyDescent="0.3">
      <c r="A621" s="57"/>
    </row>
    <row r="622" spans="1:1" x14ac:dyDescent="0.3">
      <c r="A622" s="57"/>
    </row>
    <row r="623" spans="1:1" x14ac:dyDescent="0.3">
      <c r="A623" s="57"/>
    </row>
    <row r="624" spans="1:1" x14ac:dyDescent="0.3">
      <c r="A624" s="57"/>
    </row>
    <row r="625" spans="1:1" x14ac:dyDescent="0.3">
      <c r="A625" s="57"/>
    </row>
    <row r="626" spans="1:1" x14ac:dyDescent="0.3">
      <c r="A626" s="57"/>
    </row>
    <row r="627" spans="1:1" x14ac:dyDescent="0.3">
      <c r="A627" s="57"/>
    </row>
    <row r="628" spans="1:1" x14ac:dyDescent="0.3">
      <c r="A628" s="57"/>
    </row>
    <row r="629" spans="1:1" x14ac:dyDescent="0.3">
      <c r="A629" s="57"/>
    </row>
    <row r="630" spans="1:1" x14ac:dyDescent="0.3">
      <c r="A630" s="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BKTL</vt:lpstr>
      <vt:lpstr>THTT</vt:lpstr>
      <vt:lpstr>saokethe</vt:lpstr>
      <vt:lpstr>tinhnhanh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2025-11-09T15:35:05Z</dcterms:modified>
</cp:coreProperties>
</file>