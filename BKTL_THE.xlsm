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4000" windowHeight="9480" tabRatio="596" firstSheet="1" activeTab="1"/>
  </bookViews>
  <sheets>
    <sheet name="BKTL" sheetId="6" state="hidden" r:id="rId1"/>
    <sheet name="THTT" sheetId="5" r:id="rId2"/>
    <sheet name="saokethe" sheetId="19" state="hidden" r:id="rId3"/>
    <sheet name="tinhnhanh" sheetId="3" state="hidden" r:id="rId4"/>
  </sheets>
  <functionGroups builtInGroupCount="18"/>
  <definedNames>
    <definedName name="_xlnm._FilterDatabase" localSheetId="2" hidden="1">saokethe!$A$1:$Q$191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30" i="3" l="1"/>
  <c r="E629" i="3"/>
  <c r="E628" i="3"/>
  <c r="E627" i="3"/>
  <c r="E626" i="3"/>
  <c r="E625" i="3"/>
  <c r="E624" i="3"/>
  <c r="E623" i="3"/>
  <c r="E622" i="3"/>
  <c r="E621" i="3"/>
  <c r="E620" i="3"/>
  <c r="E619" i="3"/>
  <c r="E618" i="3"/>
  <c r="E617" i="3"/>
  <c r="E616" i="3"/>
  <c r="E615" i="3"/>
  <c r="E614" i="3"/>
  <c r="E613" i="3"/>
  <c r="E612" i="3"/>
  <c r="E611" i="3"/>
  <c r="E610" i="3"/>
  <c r="E609" i="3"/>
  <c r="E608" i="3"/>
  <c r="E607" i="3"/>
  <c r="E606" i="3"/>
  <c r="E605" i="3"/>
  <c r="E604" i="3"/>
  <c r="E603" i="3"/>
  <c r="E602" i="3"/>
  <c r="E601" i="3"/>
  <c r="E600" i="3"/>
  <c r="E599" i="3"/>
  <c r="E598" i="3"/>
  <c r="E597" i="3"/>
  <c r="E596" i="3"/>
  <c r="E595" i="3"/>
  <c r="E594" i="3"/>
  <c r="E593" i="3"/>
  <c r="E592" i="3"/>
  <c r="E591" i="3"/>
  <c r="E590" i="3"/>
  <c r="E589" i="3"/>
  <c r="E588" i="3"/>
  <c r="E587" i="3"/>
  <c r="E586" i="3"/>
  <c r="E585" i="3"/>
  <c r="E584" i="3"/>
  <c r="E583" i="3"/>
  <c r="E582" i="3"/>
  <c r="E581" i="3"/>
  <c r="E580" i="3"/>
  <c r="E579" i="3"/>
  <c r="E578" i="3"/>
  <c r="E577" i="3"/>
  <c r="E576" i="3"/>
  <c r="E575" i="3"/>
  <c r="E574" i="3"/>
  <c r="E573" i="3"/>
  <c r="E572" i="3"/>
  <c r="E571" i="3"/>
  <c r="E570" i="3"/>
  <c r="E569" i="3"/>
  <c r="E568" i="3"/>
  <c r="E567" i="3"/>
  <c r="E566" i="3"/>
  <c r="E565" i="3"/>
  <c r="E564" i="3"/>
  <c r="E563" i="3"/>
  <c r="E562" i="3"/>
  <c r="E561" i="3"/>
  <c r="E560" i="3"/>
  <c r="E559" i="3"/>
  <c r="E558" i="3"/>
  <c r="E557" i="3"/>
  <c r="E556" i="3"/>
  <c r="E555" i="3"/>
  <c r="E554" i="3"/>
  <c r="E553" i="3"/>
  <c r="E552" i="3"/>
  <c r="E551" i="3"/>
  <c r="E550" i="3"/>
  <c r="E549" i="3"/>
  <c r="E548" i="3"/>
  <c r="E547" i="3"/>
  <c r="E546" i="3"/>
  <c r="E545" i="3"/>
  <c r="E544" i="3"/>
  <c r="E543" i="3"/>
  <c r="E542" i="3"/>
  <c r="E541" i="3"/>
  <c r="E540" i="3"/>
  <c r="E539" i="3"/>
  <c r="E538" i="3"/>
  <c r="E537" i="3"/>
  <c r="E536" i="3"/>
  <c r="E535" i="3"/>
  <c r="E534" i="3"/>
  <c r="E533" i="3"/>
  <c r="E532" i="3"/>
  <c r="E531" i="3"/>
  <c r="E530" i="3"/>
  <c r="E529" i="3"/>
  <c r="E528" i="3"/>
  <c r="E527" i="3"/>
  <c r="E526" i="3"/>
  <c r="E525" i="3"/>
  <c r="E524" i="3"/>
  <c r="E523" i="3"/>
  <c r="E522" i="3"/>
  <c r="E521" i="3"/>
  <c r="E520" i="3"/>
  <c r="E519" i="3"/>
  <c r="E518" i="3"/>
  <c r="E517" i="3"/>
  <c r="E516" i="3"/>
  <c r="E515" i="3"/>
  <c r="E514" i="3"/>
  <c r="E513" i="3"/>
  <c r="E512" i="3"/>
  <c r="E511" i="3"/>
  <c r="E510" i="3"/>
  <c r="E509" i="3"/>
  <c r="E508" i="3"/>
  <c r="E507" i="3"/>
  <c r="E506" i="3"/>
  <c r="E505" i="3"/>
  <c r="E504" i="3"/>
  <c r="E503" i="3"/>
  <c r="E502" i="3"/>
  <c r="E501" i="3"/>
  <c r="E500" i="3"/>
  <c r="E499" i="3"/>
  <c r="E498" i="3"/>
  <c r="E497" i="3"/>
  <c r="E496" i="3"/>
  <c r="E495" i="3"/>
  <c r="E494" i="3"/>
  <c r="E493" i="3"/>
  <c r="E492" i="3"/>
  <c r="E491" i="3"/>
  <c r="E490" i="3"/>
  <c r="E489" i="3"/>
  <c r="E488" i="3"/>
  <c r="E487" i="3"/>
  <c r="E486" i="3"/>
  <c r="E485" i="3"/>
  <c r="E484" i="3"/>
  <c r="E483" i="3"/>
  <c r="E482" i="3"/>
  <c r="E481" i="3"/>
  <c r="E480" i="3"/>
  <c r="E479" i="3"/>
  <c r="E478" i="3"/>
  <c r="E477" i="3"/>
  <c r="E476" i="3"/>
  <c r="E475" i="3"/>
  <c r="E474" i="3"/>
  <c r="E473" i="3"/>
  <c r="E472" i="3"/>
  <c r="E471" i="3"/>
  <c r="E470" i="3"/>
  <c r="E469" i="3"/>
  <c r="E468" i="3"/>
  <c r="E467" i="3"/>
  <c r="E466" i="3"/>
  <c r="E465" i="3"/>
  <c r="E464" i="3"/>
  <c r="E463" i="3"/>
  <c r="E462" i="3"/>
  <c r="E461" i="3"/>
  <c r="E460" i="3"/>
  <c r="E459" i="3"/>
  <c r="E458" i="3"/>
  <c r="E457" i="3"/>
  <c r="E456" i="3"/>
  <c r="E455" i="3"/>
  <c r="E454" i="3"/>
  <c r="E453" i="3"/>
  <c r="E452" i="3"/>
  <c r="E451" i="3"/>
  <c r="E450" i="3"/>
  <c r="E449" i="3"/>
  <c r="E448" i="3"/>
  <c r="E447" i="3"/>
  <c r="E446" i="3"/>
  <c r="E445" i="3"/>
  <c r="E444" i="3"/>
  <c r="E443" i="3"/>
  <c r="E442" i="3"/>
  <c r="E441" i="3"/>
  <c r="E440" i="3"/>
  <c r="E439" i="3"/>
  <c r="E438" i="3"/>
  <c r="E437" i="3"/>
  <c r="E436" i="3"/>
  <c r="E435" i="3"/>
  <c r="E434" i="3"/>
  <c r="E433" i="3"/>
  <c r="E432" i="3"/>
  <c r="E431" i="3"/>
  <c r="E430" i="3"/>
  <c r="E429" i="3"/>
  <c r="E428" i="3"/>
  <c r="E427" i="3"/>
  <c r="E426" i="3"/>
  <c r="E425" i="3"/>
  <c r="E424" i="3"/>
  <c r="E423" i="3"/>
  <c r="E422" i="3"/>
  <c r="E421" i="3"/>
  <c r="E420" i="3"/>
  <c r="E419" i="3"/>
  <c r="E418" i="3"/>
  <c r="E417" i="3"/>
  <c r="E416" i="3"/>
  <c r="E415" i="3"/>
  <c r="E414" i="3"/>
  <c r="E413" i="3"/>
  <c r="E412" i="3"/>
  <c r="E411" i="3"/>
  <c r="E410" i="3"/>
  <c r="E409" i="3"/>
  <c r="E408" i="3"/>
  <c r="E407" i="3"/>
  <c r="E406" i="3"/>
  <c r="E405" i="3"/>
  <c r="E404" i="3"/>
  <c r="E403" i="3"/>
  <c r="E402" i="3"/>
  <c r="E401" i="3"/>
  <c r="E400" i="3"/>
  <c r="E399" i="3"/>
  <c r="E398" i="3"/>
  <c r="E397" i="3"/>
  <c r="E396" i="3"/>
  <c r="E395" i="3"/>
  <c r="E394" i="3"/>
  <c r="E393" i="3"/>
  <c r="E392" i="3"/>
  <c r="E391" i="3"/>
  <c r="E390" i="3"/>
  <c r="E389" i="3"/>
  <c r="E388" i="3"/>
  <c r="E387" i="3"/>
  <c r="E386" i="3"/>
  <c r="E385" i="3"/>
  <c r="E384" i="3"/>
  <c r="E383" i="3"/>
  <c r="E382" i="3"/>
  <c r="E381" i="3"/>
  <c r="E380" i="3"/>
  <c r="E379" i="3"/>
  <c r="E378" i="3"/>
  <c r="E377" i="3"/>
  <c r="E376" i="3"/>
  <c r="E375" i="3"/>
  <c r="E374" i="3"/>
  <c r="E373" i="3"/>
  <c r="E372" i="3"/>
  <c r="E371" i="3"/>
  <c r="E370" i="3"/>
  <c r="E369" i="3"/>
  <c r="E368" i="3"/>
  <c r="E367" i="3"/>
  <c r="E366" i="3"/>
  <c r="E365" i="3"/>
  <c r="E364" i="3"/>
  <c r="E363" i="3"/>
  <c r="E362" i="3"/>
  <c r="E361" i="3"/>
  <c r="E360" i="3"/>
  <c r="E359" i="3"/>
  <c r="E358" i="3"/>
  <c r="E357" i="3"/>
  <c r="E356" i="3"/>
  <c r="E355" i="3"/>
  <c r="E354" i="3"/>
  <c r="E353" i="3"/>
  <c r="E352" i="3"/>
  <c r="E351" i="3"/>
  <c r="E350" i="3"/>
  <c r="E349" i="3"/>
  <c r="E348" i="3"/>
  <c r="E347" i="3"/>
  <c r="E346" i="3"/>
  <c r="E345" i="3"/>
  <c r="E344" i="3"/>
  <c r="E343" i="3"/>
  <c r="E342" i="3"/>
  <c r="E341" i="3"/>
  <c r="E340" i="3"/>
  <c r="E339" i="3"/>
  <c r="E338" i="3"/>
  <c r="E337" i="3"/>
  <c r="E336" i="3"/>
  <c r="E335" i="3"/>
  <c r="E334" i="3"/>
  <c r="E333" i="3"/>
  <c r="E332" i="3"/>
  <c r="E331" i="3"/>
  <c r="E330" i="3"/>
  <c r="E329" i="3"/>
  <c r="E328" i="3"/>
  <c r="E327" i="3"/>
  <c r="E326" i="3"/>
  <c r="E325" i="3"/>
  <c r="E324" i="3"/>
  <c r="E323" i="3"/>
  <c r="E322" i="3"/>
  <c r="E321" i="3"/>
  <c r="E320" i="3"/>
  <c r="E319" i="3"/>
  <c r="E318" i="3"/>
  <c r="E317" i="3"/>
  <c r="E316" i="3"/>
  <c r="E315" i="3"/>
  <c r="E314" i="3"/>
  <c r="E313" i="3"/>
  <c r="E312" i="3"/>
  <c r="E311" i="3"/>
  <c r="E310" i="3"/>
  <c r="E309" i="3"/>
  <c r="E308" i="3"/>
  <c r="E307" i="3"/>
  <c r="E306" i="3"/>
  <c r="E305" i="3"/>
  <c r="E304" i="3"/>
  <c r="E303" i="3"/>
  <c r="E302" i="3"/>
  <c r="E301" i="3"/>
  <c r="E300" i="3"/>
  <c r="E299" i="3"/>
  <c r="E298" i="3"/>
  <c r="E297" i="3"/>
  <c r="E296" i="3"/>
  <c r="E295" i="3"/>
  <c r="E294" i="3"/>
  <c r="E293" i="3"/>
  <c r="E292" i="3"/>
  <c r="E291" i="3"/>
  <c r="E290" i="3"/>
  <c r="E289" i="3"/>
  <c r="E288" i="3"/>
  <c r="E287" i="3"/>
  <c r="E286" i="3"/>
  <c r="E285" i="3"/>
  <c r="E284" i="3"/>
  <c r="E283" i="3"/>
  <c r="E282" i="3"/>
  <c r="E281" i="3"/>
  <c r="E280" i="3"/>
  <c r="E279" i="3"/>
  <c r="E278" i="3"/>
  <c r="E277" i="3"/>
  <c r="E276" i="3"/>
  <c r="E275" i="3"/>
  <c r="E274" i="3"/>
  <c r="E273" i="3"/>
  <c r="E272" i="3"/>
  <c r="E271" i="3"/>
  <c r="E270" i="3"/>
  <c r="E269" i="3"/>
  <c r="E268" i="3"/>
  <c r="E267" i="3"/>
  <c r="E266" i="3"/>
  <c r="E265" i="3"/>
  <c r="E264" i="3"/>
  <c r="E263" i="3"/>
  <c r="E262" i="3"/>
  <c r="E261" i="3"/>
  <c r="E260" i="3"/>
  <c r="E259" i="3"/>
  <c r="E258" i="3"/>
  <c r="E257" i="3"/>
  <c r="E256" i="3"/>
  <c r="E255" i="3"/>
  <c r="E254" i="3"/>
  <c r="E253" i="3"/>
  <c r="E252" i="3"/>
  <c r="E251" i="3"/>
  <c r="E250" i="3"/>
  <c r="E249" i="3"/>
  <c r="E248" i="3"/>
  <c r="E247" i="3"/>
  <c r="E246" i="3"/>
  <c r="E245" i="3"/>
  <c r="E244" i="3"/>
  <c r="E243" i="3"/>
  <c r="E242" i="3"/>
  <c r="E241" i="3"/>
  <c r="E240" i="3"/>
  <c r="E239" i="3"/>
  <c r="E238" i="3"/>
  <c r="E237" i="3"/>
  <c r="E236" i="3"/>
  <c r="E235" i="3"/>
  <c r="E234" i="3"/>
  <c r="E233" i="3"/>
  <c r="E232" i="3"/>
  <c r="E231" i="3"/>
  <c r="E230" i="3"/>
  <c r="E229" i="3"/>
  <c r="E228" i="3"/>
  <c r="E227" i="3"/>
  <c r="E226" i="3"/>
  <c r="E225" i="3"/>
  <c r="E224" i="3"/>
  <c r="E223" i="3"/>
  <c r="E222" i="3"/>
  <c r="E221" i="3"/>
  <c r="E220" i="3"/>
  <c r="E219" i="3"/>
  <c r="E218" i="3"/>
  <c r="E217" i="3"/>
  <c r="E216" i="3"/>
  <c r="E215" i="3"/>
  <c r="E214" i="3"/>
  <c r="E213" i="3"/>
  <c r="E212" i="3"/>
  <c r="E211" i="3"/>
  <c r="E210" i="3"/>
  <c r="E209" i="3"/>
  <c r="E208" i="3"/>
  <c r="E207" i="3"/>
  <c r="E206" i="3"/>
  <c r="E205" i="3"/>
  <c r="E204" i="3"/>
  <c r="E203" i="3"/>
  <c r="E202" i="3"/>
  <c r="E201" i="3"/>
  <c r="E200" i="3"/>
  <c r="E199" i="3"/>
  <c r="E198" i="3"/>
  <c r="E197" i="3"/>
  <c r="E196" i="3"/>
  <c r="E195" i="3"/>
  <c r="E194" i="3"/>
  <c r="E193" i="3"/>
  <c r="E192" i="3"/>
  <c r="E191" i="3"/>
  <c r="E190" i="3"/>
  <c r="E189" i="3"/>
  <c r="E188" i="3"/>
  <c r="E187" i="3"/>
  <c r="E186" i="3"/>
  <c r="E185" i="3"/>
  <c r="E184" i="3"/>
  <c r="E183" i="3"/>
  <c r="E182" i="3"/>
  <c r="E181" i="3"/>
  <c r="E180" i="3"/>
  <c r="E179" i="3"/>
  <c r="E178" i="3"/>
  <c r="E177" i="3"/>
  <c r="E176" i="3"/>
  <c r="E175" i="3"/>
  <c r="E174" i="3"/>
  <c r="E173" i="3"/>
  <c r="E172" i="3"/>
  <c r="E171" i="3"/>
  <c r="E170" i="3"/>
  <c r="E169" i="3"/>
  <c r="E168" i="3"/>
  <c r="E167" i="3"/>
  <c r="E166" i="3"/>
  <c r="E165" i="3"/>
  <c r="E164" i="3"/>
  <c r="E163" i="3"/>
  <c r="E162" i="3"/>
  <c r="E161" i="3"/>
  <c r="E160" i="3"/>
  <c r="E159" i="3"/>
  <c r="E158" i="3"/>
  <c r="E157" i="3"/>
  <c r="E156" i="3"/>
  <c r="E155" i="3"/>
  <c r="E154" i="3"/>
  <c r="E153" i="3"/>
  <c r="E152" i="3"/>
  <c r="E151" i="3"/>
  <c r="E150" i="3"/>
  <c r="E149" i="3"/>
  <c r="E148" i="3"/>
  <c r="E147" i="3"/>
  <c r="E146" i="3"/>
  <c r="E145" i="3"/>
  <c r="E144" i="3"/>
  <c r="E143" i="3"/>
  <c r="E142" i="3"/>
  <c r="E141" i="3"/>
  <c r="E140" i="3"/>
  <c r="E139" i="3"/>
  <c r="E138" i="3"/>
  <c r="E137" i="3"/>
  <c r="E136" i="3"/>
  <c r="E135" i="3"/>
  <c r="E134" i="3"/>
  <c r="E133" i="3"/>
  <c r="E132" i="3"/>
  <c r="E131" i="3"/>
  <c r="E130" i="3"/>
  <c r="E129" i="3"/>
  <c r="E128" i="3"/>
  <c r="E127" i="3"/>
  <c r="E126" i="3"/>
  <c r="E125" i="3"/>
  <c r="E124" i="3"/>
  <c r="E123" i="3"/>
  <c r="E122" i="3"/>
  <c r="E121" i="3"/>
  <c r="E120" i="3"/>
  <c r="E119" i="3"/>
  <c r="E118" i="3"/>
  <c r="E117" i="3"/>
  <c r="E116" i="3"/>
  <c r="E115" i="3"/>
  <c r="E114" i="3"/>
  <c r="E113" i="3"/>
  <c r="E112" i="3"/>
  <c r="E111" i="3"/>
  <c r="E110" i="3"/>
  <c r="E109" i="3"/>
  <c r="E108" i="3"/>
  <c r="E107" i="3"/>
  <c r="E106" i="3"/>
  <c r="E105" i="3"/>
  <c r="E104" i="3"/>
  <c r="E103" i="3"/>
  <c r="E102" i="3"/>
  <c r="E101" i="3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F50" i="3" s="1"/>
  <c r="G50" i="3" s="1"/>
  <c r="E4" i="3"/>
  <c r="E3" i="3"/>
  <c r="E2" i="3"/>
  <c r="F23" i="3" l="1"/>
  <c r="G23" i="3" s="1"/>
  <c r="F55" i="3"/>
  <c r="G55" i="3" s="1"/>
  <c r="F63" i="3"/>
  <c r="G63" i="3" s="1"/>
  <c r="F8" i="3"/>
  <c r="G8" i="3" s="1"/>
  <c r="F48" i="3"/>
  <c r="G48" i="3" s="1"/>
  <c r="F16" i="3"/>
  <c r="G16" i="3" s="1"/>
  <c r="F452" i="3"/>
  <c r="G452" i="3" s="1"/>
  <c r="F2" i="3"/>
  <c r="G2" i="3" s="1"/>
  <c r="F152" i="3"/>
  <c r="G152" i="3" s="1"/>
  <c r="F11" i="3"/>
  <c r="G11" i="3" s="1"/>
  <c r="F29" i="3"/>
  <c r="G29" i="3" s="1"/>
  <c r="F79" i="3"/>
  <c r="G79" i="3" s="1"/>
  <c r="F17" i="3"/>
  <c r="G17" i="3" s="1"/>
  <c r="F30" i="3"/>
  <c r="G30" i="3" s="1"/>
  <c r="F42" i="3"/>
  <c r="G42" i="3" s="1"/>
  <c r="F49" i="3"/>
  <c r="G49" i="3" s="1"/>
  <c r="F56" i="3"/>
  <c r="G56" i="3" s="1"/>
  <c r="F64" i="3"/>
  <c r="G64" i="3" s="1"/>
  <c r="F72" i="3"/>
  <c r="G72" i="3" s="1"/>
  <c r="F80" i="3"/>
  <c r="G80" i="3" s="1"/>
  <c r="F88" i="3"/>
  <c r="G88" i="3" s="1"/>
  <c r="F96" i="3"/>
  <c r="G96" i="3" s="1"/>
  <c r="F10" i="3"/>
  <c r="G10" i="3" s="1"/>
  <c r="F24" i="3"/>
  <c r="G24" i="3" s="1"/>
  <c r="F65" i="3"/>
  <c r="G65" i="3" s="1"/>
  <c r="F81" i="3"/>
  <c r="G81" i="3" s="1"/>
  <c r="F89" i="3"/>
  <c r="G89" i="3" s="1"/>
  <c r="F97" i="3"/>
  <c r="G97" i="3" s="1"/>
  <c r="F105" i="3"/>
  <c r="G105" i="3" s="1"/>
  <c r="F129" i="3"/>
  <c r="G129" i="3" s="1"/>
  <c r="F137" i="3"/>
  <c r="G137" i="3" s="1"/>
  <c r="F145" i="3"/>
  <c r="G145" i="3" s="1"/>
  <c r="F153" i="3"/>
  <c r="G153" i="3" s="1"/>
  <c r="F161" i="3"/>
  <c r="G161" i="3" s="1"/>
  <c r="F57" i="3"/>
  <c r="G57" i="3" s="1"/>
  <c r="F73" i="3"/>
  <c r="G73" i="3" s="1"/>
  <c r="F6" i="3"/>
  <c r="G6" i="3" s="1"/>
  <c r="F18" i="3"/>
  <c r="G18" i="3" s="1"/>
  <c r="F25" i="3"/>
  <c r="G25" i="3" s="1"/>
  <c r="F38" i="3"/>
  <c r="G38" i="3" s="1"/>
  <c r="F98" i="3"/>
  <c r="G98" i="3" s="1"/>
  <c r="F106" i="3"/>
  <c r="G106" i="3" s="1"/>
  <c r="F87" i="3"/>
  <c r="G87" i="3" s="1"/>
  <c r="F37" i="3"/>
  <c r="G37" i="3" s="1"/>
  <c r="F7" i="3"/>
  <c r="G7" i="3" s="1"/>
  <c r="F19" i="3"/>
  <c r="G19" i="3" s="1"/>
  <c r="F45" i="3"/>
  <c r="G45" i="3" s="1"/>
  <c r="F99" i="3"/>
  <c r="G99" i="3" s="1"/>
  <c r="F115" i="3"/>
  <c r="G115" i="3" s="1"/>
  <c r="F123" i="3"/>
  <c r="G123" i="3" s="1"/>
  <c r="F71" i="3"/>
  <c r="G71" i="3" s="1"/>
  <c r="F90" i="3"/>
  <c r="G90" i="3" s="1"/>
  <c r="F82" i="3"/>
  <c r="G82" i="3" s="1"/>
  <c r="F74" i="3"/>
  <c r="G74" i="3" s="1"/>
  <c r="F102" i="3"/>
  <c r="G102" i="3" s="1"/>
  <c r="F20" i="3"/>
  <c r="G20" i="3" s="1"/>
  <c r="F12" i="3"/>
  <c r="G12" i="3" s="1"/>
  <c r="F4" i="3"/>
  <c r="G4" i="3" s="1"/>
  <c r="F192" i="3"/>
  <c r="G192" i="3" s="1"/>
  <c r="F121" i="3"/>
  <c r="G121" i="3" s="1"/>
  <c r="F118" i="3"/>
  <c r="G118" i="3" s="1"/>
  <c r="F93" i="3"/>
  <c r="G93" i="3" s="1"/>
  <c r="F58" i="3"/>
  <c r="G58" i="3" s="1"/>
  <c r="F183" i="3"/>
  <c r="G183" i="3" s="1"/>
  <c r="F174" i="3"/>
  <c r="G174" i="3" s="1"/>
  <c r="F206" i="3"/>
  <c r="G206" i="3" s="1"/>
  <c r="F85" i="3"/>
  <c r="G85" i="3" s="1"/>
  <c r="F5" i="3"/>
  <c r="G5" i="3" s="1"/>
  <c r="F66" i="3"/>
  <c r="G66" i="3" s="1"/>
  <c r="F31" i="3"/>
  <c r="G31" i="3" s="1"/>
  <c r="F13" i="3"/>
  <c r="G13" i="3" s="1"/>
  <c r="F32" i="3"/>
  <c r="G32" i="3" s="1"/>
  <c r="F39" i="3"/>
  <c r="G39" i="3" s="1"/>
  <c r="F14" i="3"/>
  <c r="G14" i="3" s="1"/>
  <c r="F26" i="3"/>
  <c r="G26" i="3" s="1"/>
  <c r="F33" i="3"/>
  <c r="G33" i="3" s="1"/>
  <c r="F46" i="3"/>
  <c r="G46" i="3" s="1"/>
  <c r="F15" i="3"/>
  <c r="G15" i="3" s="1"/>
  <c r="F21" i="3"/>
  <c r="G21" i="3" s="1"/>
  <c r="F40" i="3"/>
  <c r="G40" i="3" s="1"/>
  <c r="F47" i="3"/>
  <c r="G47" i="3" s="1"/>
  <c r="F53" i="3"/>
  <c r="G53" i="3" s="1"/>
  <c r="F61" i="3"/>
  <c r="G61" i="3" s="1"/>
  <c r="F69" i="3"/>
  <c r="G69" i="3" s="1"/>
  <c r="F77" i="3"/>
  <c r="G77" i="3" s="1"/>
  <c r="F9" i="3"/>
  <c r="G9" i="3" s="1"/>
  <c r="F22" i="3"/>
  <c r="G22" i="3" s="1"/>
  <c r="F34" i="3"/>
  <c r="G34" i="3" s="1"/>
  <c r="F41" i="3"/>
  <c r="G41" i="3" s="1"/>
  <c r="F54" i="3"/>
  <c r="G54" i="3" s="1"/>
  <c r="F62" i="3"/>
  <c r="G62" i="3" s="1"/>
  <c r="F70" i="3"/>
  <c r="G70" i="3" s="1"/>
  <c r="F78" i="3"/>
  <c r="G78" i="3" s="1"/>
  <c r="F86" i="3"/>
  <c r="G86" i="3" s="1"/>
  <c r="F94" i="3"/>
  <c r="G94" i="3" s="1"/>
  <c r="F110" i="3"/>
  <c r="G110" i="3" s="1"/>
  <c r="F440" i="3"/>
  <c r="G440" i="3" s="1"/>
  <c r="F109" i="3"/>
  <c r="G109" i="3" s="1"/>
  <c r="F122" i="3"/>
  <c r="G122" i="3" s="1"/>
  <c r="F171" i="3"/>
  <c r="G171" i="3" s="1"/>
  <c r="F180" i="3"/>
  <c r="G180" i="3" s="1"/>
  <c r="F189" i="3"/>
  <c r="G189" i="3" s="1"/>
  <c r="F193" i="3"/>
  <c r="G193" i="3" s="1"/>
  <c r="F203" i="3"/>
  <c r="G203" i="3" s="1"/>
  <c r="F212" i="3"/>
  <c r="G212" i="3" s="1"/>
  <c r="F217" i="3"/>
  <c r="G217" i="3" s="1"/>
  <c r="F222" i="3"/>
  <c r="G222" i="3" s="1"/>
  <c r="F228" i="3"/>
  <c r="G228" i="3" s="1"/>
  <c r="F233" i="3"/>
  <c r="G233" i="3" s="1"/>
  <c r="F238" i="3"/>
  <c r="G238" i="3" s="1"/>
  <c r="F245" i="3"/>
  <c r="G245" i="3" s="1"/>
  <c r="F258" i="3"/>
  <c r="G258" i="3" s="1"/>
  <c r="F265" i="3"/>
  <c r="G265" i="3" s="1"/>
  <c r="F271" i="3"/>
  <c r="G271" i="3" s="1"/>
  <c r="F277" i="3"/>
  <c r="G277" i="3" s="1"/>
  <c r="F290" i="3"/>
  <c r="G290" i="3" s="1"/>
  <c r="F297" i="3"/>
  <c r="G297" i="3" s="1"/>
  <c r="F303" i="3"/>
  <c r="G303" i="3" s="1"/>
  <c r="F309" i="3"/>
  <c r="G309" i="3" s="1"/>
  <c r="F327" i="3"/>
  <c r="G327" i="3" s="1"/>
  <c r="F362" i="3"/>
  <c r="G362" i="3" s="1"/>
  <c r="F383" i="3"/>
  <c r="G383" i="3" s="1"/>
  <c r="F426" i="3"/>
  <c r="G426" i="3" s="1"/>
  <c r="F464" i="3"/>
  <c r="G464" i="3" s="1"/>
  <c r="F296" i="3"/>
  <c r="G296" i="3" s="1"/>
  <c r="F418" i="3"/>
  <c r="G418" i="3" s="1"/>
  <c r="F43" i="3"/>
  <c r="G43" i="3" s="1"/>
  <c r="F67" i="3"/>
  <c r="G67" i="3" s="1"/>
  <c r="F91" i="3"/>
  <c r="G91" i="3" s="1"/>
  <c r="F112" i="3"/>
  <c r="G112" i="3" s="1"/>
  <c r="F126" i="3"/>
  <c r="G126" i="3" s="1"/>
  <c r="F130" i="3"/>
  <c r="G130" i="3" s="1"/>
  <c r="F134" i="3"/>
  <c r="G134" i="3" s="1"/>
  <c r="F138" i="3"/>
  <c r="G138" i="3" s="1"/>
  <c r="F142" i="3"/>
  <c r="G142" i="3" s="1"/>
  <c r="F146" i="3"/>
  <c r="G146" i="3" s="1"/>
  <c r="F150" i="3"/>
  <c r="G150" i="3" s="1"/>
  <c r="F154" i="3"/>
  <c r="G154" i="3" s="1"/>
  <c r="F158" i="3"/>
  <c r="G158" i="3" s="1"/>
  <c r="F162" i="3"/>
  <c r="G162" i="3" s="1"/>
  <c r="F166" i="3"/>
  <c r="G166" i="3" s="1"/>
  <c r="F175" i="3"/>
  <c r="G175" i="3" s="1"/>
  <c r="F184" i="3"/>
  <c r="G184" i="3" s="1"/>
  <c r="F194" i="3"/>
  <c r="G194" i="3" s="1"/>
  <c r="F198" i="3"/>
  <c r="G198" i="3" s="1"/>
  <c r="F207" i="3"/>
  <c r="G207" i="3" s="1"/>
  <c r="F218" i="3"/>
  <c r="G218" i="3" s="1"/>
  <c r="F234" i="3"/>
  <c r="G234" i="3" s="1"/>
  <c r="F266" i="3"/>
  <c r="G266" i="3" s="1"/>
  <c r="F298" i="3"/>
  <c r="G298" i="3" s="1"/>
  <c r="F322" i="3"/>
  <c r="G322" i="3" s="1"/>
  <c r="F328" i="3"/>
  <c r="G328" i="3" s="1"/>
  <c r="F370" i="3"/>
  <c r="G370" i="3" s="1"/>
  <c r="F434" i="3"/>
  <c r="G434" i="3" s="1"/>
  <c r="F276" i="3"/>
  <c r="G276" i="3" s="1"/>
  <c r="F308" i="3"/>
  <c r="G308" i="3" s="1"/>
  <c r="F3" i="3"/>
  <c r="G3" i="3" s="1"/>
  <c r="F35" i="3"/>
  <c r="G35" i="3" s="1"/>
  <c r="F59" i="3"/>
  <c r="G59" i="3" s="1"/>
  <c r="F83" i="3"/>
  <c r="G83" i="3" s="1"/>
  <c r="F100" i="3"/>
  <c r="G100" i="3" s="1"/>
  <c r="F116" i="3"/>
  <c r="G116" i="3" s="1"/>
  <c r="F119" i="3"/>
  <c r="G119" i="3" s="1"/>
  <c r="F147" i="3"/>
  <c r="G147" i="3" s="1"/>
  <c r="F163" i="3"/>
  <c r="G163" i="3" s="1"/>
  <c r="F172" i="3"/>
  <c r="G172" i="3" s="1"/>
  <c r="F181" i="3"/>
  <c r="G181" i="3" s="1"/>
  <c r="F185" i="3"/>
  <c r="G185" i="3" s="1"/>
  <c r="F195" i="3"/>
  <c r="G195" i="3" s="1"/>
  <c r="F204" i="3"/>
  <c r="G204" i="3" s="1"/>
  <c r="F213" i="3"/>
  <c r="G213" i="3" s="1"/>
  <c r="F219" i="3"/>
  <c r="G219" i="3" s="1"/>
  <c r="F223" i="3"/>
  <c r="G223" i="3" s="1"/>
  <c r="F229" i="3"/>
  <c r="G229" i="3" s="1"/>
  <c r="F235" i="3"/>
  <c r="G235" i="3" s="1"/>
  <c r="F246" i="3"/>
  <c r="G246" i="3" s="1"/>
  <c r="F252" i="3"/>
  <c r="G252" i="3" s="1"/>
  <c r="F272" i="3"/>
  <c r="G272" i="3" s="1"/>
  <c r="F278" i="3"/>
  <c r="G278" i="3" s="1"/>
  <c r="F284" i="3"/>
  <c r="G284" i="3" s="1"/>
  <c r="F304" i="3"/>
  <c r="G304" i="3" s="1"/>
  <c r="F310" i="3"/>
  <c r="G310" i="3" s="1"/>
  <c r="F316" i="3"/>
  <c r="G316" i="3" s="1"/>
  <c r="F329" i="3"/>
  <c r="G329" i="3" s="1"/>
  <c r="F335" i="3"/>
  <c r="G335" i="3" s="1"/>
  <c r="F342" i="3"/>
  <c r="G342" i="3" s="1"/>
  <c r="F371" i="3"/>
  <c r="G371" i="3" s="1"/>
  <c r="F378" i="3"/>
  <c r="G378" i="3" s="1"/>
  <c r="F385" i="3"/>
  <c r="G385" i="3" s="1"/>
  <c r="F202" i="3"/>
  <c r="G202" i="3" s="1"/>
  <c r="F264" i="3"/>
  <c r="G264" i="3" s="1"/>
  <c r="F375" i="3"/>
  <c r="G375" i="3" s="1"/>
  <c r="F27" i="3"/>
  <c r="G27" i="3" s="1"/>
  <c r="F51" i="3"/>
  <c r="G51" i="3" s="1"/>
  <c r="F75" i="3"/>
  <c r="G75" i="3" s="1"/>
  <c r="F103" i="3"/>
  <c r="G103" i="3" s="1"/>
  <c r="F131" i="3"/>
  <c r="G131" i="3" s="1"/>
  <c r="F139" i="3"/>
  <c r="G139" i="3" s="1"/>
  <c r="F155" i="3"/>
  <c r="G155" i="3" s="1"/>
  <c r="F167" i="3"/>
  <c r="G167" i="3" s="1"/>
  <c r="F176" i="3"/>
  <c r="G176" i="3" s="1"/>
  <c r="F186" i="3"/>
  <c r="G186" i="3" s="1"/>
  <c r="F190" i="3"/>
  <c r="G190" i="3" s="1"/>
  <c r="F199" i="3"/>
  <c r="G199" i="3" s="1"/>
  <c r="F208" i="3"/>
  <c r="G208" i="3" s="1"/>
  <c r="F241" i="3"/>
  <c r="G241" i="3" s="1"/>
  <c r="F261" i="3"/>
  <c r="G261" i="3" s="1"/>
  <c r="F273" i="3"/>
  <c r="G273" i="3" s="1"/>
  <c r="F293" i="3"/>
  <c r="G293" i="3" s="1"/>
  <c r="F305" i="3"/>
  <c r="G305" i="3" s="1"/>
  <c r="F343" i="3"/>
  <c r="G343" i="3" s="1"/>
  <c r="F429" i="3"/>
  <c r="G429" i="3" s="1"/>
  <c r="F459" i="3"/>
  <c r="G459" i="3" s="1"/>
  <c r="F483" i="3"/>
  <c r="G483" i="3" s="1"/>
  <c r="F28" i="3"/>
  <c r="G28" i="3" s="1"/>
  <c r="F36" i="3"/>
  <c r="G36" i="3" s="1"/>
  <c r="F44" i="3"/>
  <c r="G44" i="3" s="1"/>
  <c r="F52" i="3"/>
  <c r="G52" i="3" s="1"/>
  <c r="F60" i="3"/>
  <c r="G60" i="3" s="1"/>
  <c r="F68" i="3"/>
  <c r="G68" i="3" s="1"/>
  <c r="F76" i="3"/>
  <c r="G76" i="3" s="1"/>
  <c r="F84" i="3"/>
  <c r="G84" i="3" s="1"/>
  <c r="F92" i="3"/>
  <c r="G92" i="3" s="1"/>
  <c r="F101" i="3"/>
  <c r="G101" i="3" s="1"/>
  <c r="F107" i="3"/>
  <c r="G107" i="3" s="1"/>
  <c r="F113" i="3"/>
  <c r="G113" i="3" s="1"/>
  <c r="F117" i="3"/>
  <c r="G117" i="3" s="1"/>
  <c r="F120" i="3"/>
  <c r="G120" i="3" s="1"/>
  <c r="F132" i="3"/>
  <c r="G132" i="3" s="1"/>
  <c r="F135" i="3"/>
  <c r="G135" i="3" s="1"/>
  <c r="F140" i="3"/>
  <c r="G140" i="3" s="1"/>
  <c r="F143" i="3"/>
  <c r="G143" i="3" s="1"/>
  <c r="F148" i="3"/>
  <c r="G148" i="3" s="1"/>
  <c r="F151" i="3"/>
  <c r="G151" i="3" s="1"/>
  <c r="F156" i="3"/>
  <c r="G156" i="3" s="1"/>
  <c r="F159" i="3"/>
  <c r="G159" i="3" s="1"/>
  <c r="F164" i="3"/>
  <c r="G164" i="3" s="1"/>
  <c r="F173" i="3"/>
  <c r="G173" i="3" s="1"/>
  <c r="F177" i="3"/>
  <c r="G177" i="3" s="1"/>
  <c r="F187" i="3"/>
  <c r="G187" i="3" s="1"/>
  <c r="F196" i="3"/>
  <c r="G196" i="3" s="1"/>
  <c r="F205" i="3"/>
  <c r="G205" i="3" s="1"/>
  <c r="F209" i="3"/>
  <c r="G209" i="3" s="1"/>
  <c r="F214" i="3"/>
  <c r="G214" i="3" s="1"/>
  <c r="F220" i="3"/>
  <c r="G220" i="3" s="1"/>
  <c r="F225" i="3"/>
  <c r="G225" i="3" s="1"/>
  <c r="F230" i="3"/>
  <c r="G230" i="3" s="1"/>
  <c r="F236" i="3"/>
  <c r="G236" i="3" s="1"/>
  <c r="F242" i="3"/>
  <c r="G242" i="3" s="1"/>
  <c r="F268" i="3"/>
  <c r="G268" i="3" s="1"/>
  <c r="F274" i="3"/>
  <c r="G274" i="3" s="1"/>
  <c r="F300" i="3"/>
  <c r="G300" i="3" s="1"/>
  <c r="F306" i="3"/>
  <c r="G306" i="3" s="1"/>
  <c r="F351" i="3"/>
  <c r="G351" i="3" s="1"/>
  <c r="F394" i="3"/>
  <c r="G394" i="3" s="1"/>
  <c r="F170" i="3"/>
  <c r="G170" i="3" s="1"/>
  <c r="F244" i="3"/>
  <c r="G244" i="3" s="1"/>
  <c r="F124" i="3"/>
  <c r="G124" i="3" s="1"/>
  <c r="F127" i="3"/>
  <c r="G127" i="3" s="1"/>
  <c r="F625" i="3"/>
  <c r="G625" i="3" s="1"/>
  <c r="F617" i="3"/>
  <c r="G617" i="3" s="1"/>
  <c r="F609" i="3"/>
  <c r="G609" i="3" s="1"/>
  <c r="F601" i="3"/>
  <c r="G601" i="3" s="1"/>
  <c r="F593" i="3"/>
  <c r="G593" i="3" s="1"/>
  <c r="F585" i="3"/>
  <c r="G585" i="3" s="1"/>
  <c r="F577" i="3"/>
  <c r="G577" i="3" s="1"/>
  <c r="F569" i="3"/>
  <c r="G569" i="3" s="1"/>
  <c r="F561" i="3"/>
  <c r="G561" i="3" s="1"/>
  <c r="F553" i="3"/>
  <c r="G553" i="3" s="1"/>
  <c r="F545" i="3"/>
  <c r="G545" i="3" s="1"/>
  <c r="F537" i="3"/>
  <c r="G537" i="3" s="1"/>
  <c r="F529" i="3"/>
  <c r="G529" i="3" s="1"/>
  <c r="F521" i="3"/>
  <c r="G521" i="3" s="1"/>
  <c r="F627" i="3"/>
  <c r="G627" i="3" s="1"/>
  <c r="F619" i="3"/>
  <c r="G619" i="3" s="1"/>
  <c r="F611" i="3"/>
  <c r="G611" i="3" s="1"/>
  <c r="F603" i="3"/>
  <c r="G603" i="3" s="1"/>
  <c r="F595" i="3"/>
  <c r="G595" i="3" s="1"/>
  <c r="F587" i="3"/>
  <c r="G587" i="3" s="1"/>
  <c r="F579" i="3"/>
  <c r="G579" i="3" s="1"/>
  <c r="F571" i="3"/>
  <c r="G571" i="3" s="1"/>
  <c r="F563" i="3"/>
  <c r="G563" i="3" s="1"/>
  <c r="F555" i="3"/>
  <c r="G555" i="3" s="1"/>
  <c r="F547" i="3"/>
  <c r="G547" i="3" s="1"/>
  <c r="F624" i="3"/>
  <c r="G624" i="3" s="1"/>
  <c r="F616" i="3"/>
  <c r="G616" i="3" s="1"/>
  <c r="F608" i="3"/>
  <c r="G608" i="3" s="1"/>
  <c r="F600" i="3"/>
  <c r="G600" i="3" s="1"/>
  <c r="F592" i="3"/>
  <c r="G592" i="3" s="1"/>
  <c r="F584" i="3"/>
  <c r="G584" i="3" s="1"/>
  <c r="F576" i="3"/>
  <c r="G576" i="3" s="1"/>
  <c r="F568" i="3"/>
  <c r="G568" i="3" s="1"/>
  <c r="F560" i="3"/>
  <c r="G560" i="3" s="1"/>
  <c r="F552" i="3"/>
  <c r="G552" i="3" s="1"/>
  <c r="F544" i="3"/>
  <c r="G544" i="3" s="1"/>
  <c r="F536" i="3"/>
  <c r="G536" i="3" s="1"/>
  <c r="F528" i="3"/>
  <c r="G528" i="3" s="1"/>
  <c r="F501" i="3"/>
  <c r="G501" i="3" s="1"/>
  <c r="F493" i="3"/>
  <c r="G493" i="3" s="1"/>
  <c r="F485" i="3"/>
  <c r="G485" i="3" s="1"/>
  <c r="F477" i="3"/>
  <c r="G477" i="3" s="1"/>
  <c r="F469" i="3"/>
  <c r="G469" i="3" s="1"/>
  <c r="F465" i="3"/>
  <c r="G465" i="3" s="1"/>
  <c r="F445" i="3"/>
  <c r="G445" i="3" s="1"/>
  <c r="F436" i="3"/>
  <c r="G436" i="3" s="1"/>
  <c r="F428" i="3"/>
  <c r="G428" i="3" s="1"/>
  <c r="F420" i="3"/>
  <c r="G420" i="3" s="1"/>
  <c r="F412" i="3"/>
  <c r="G412" i="3" s="1"/>
  <c r="F404" i="3"/>
  <c r="G404" i="3" s="1"/>
  <c r="F396" i="3"/>
  <c r="G396" i="3" s="1"/>
  <c r="F599" i="3"/>
  <c r="G599" i="3" s="1"/>
  <c r="F567" i="3"/>
  <c r="G567" i="3" s="1"/>
  <c r="F535" i="3"/>
  <c r="G535" i="3" s="1"/>
  <c r="F512" i="3"/>
  <c r="G512" i="3" s="1"/>
  <c r="F504" i="3"/>
  <c r="G504" i="3" s="1"/>
  <c r="F496" i="3"/>
  <c r="G496" i="3" s="1"/>
  <c r="F488" i="3"/>
  <c r="G488" i="3" s="1"/>
  <c r="F480" i="3"/>
  <c r="G480" i="3" s="1"/>
  <c r="F472" i="3"/>
  <c r="G472" i="3" s="1"/>
  <c r="F461" i="3"/>
  <c r="G461" i="3" s="1"/>
  <c r="F457" i="3"/>
  <c r="G457" i="3" s="1"/>
  <c r="F441" i="3"/>
  <c r="G441" i="3" s="1"/>
  <c r="F438" i="3"/>
  <c r="G438" i="3" s="1"/>
  <c r="F430" i="3"/>
  <c r="G430" i="3" s="1"/>
  <c r="F623" i="3"/>
  <c r="G623" i="3" s="1"/>
  <c r="F591" i="3"/>
  <c r="G591" i="3" s="1"/>
  <c r="F559" i="3"/>
  <c r="G559" i="3" s="1"/>
  <c r="F527" i="3"/>
  <c r="G527" i="3" s="1"/>
  <c r="F511" i="3"/>
  <c r="G511" i="3" s="1"/>
  <c r="F503" i="3"/>
  <c r="G503" i="3" s="1"/>
  <c r="F495" i="3"/>
  <c r="G495" i="3" s="1"/>
  <c r="F487" i="3"/>
  <c r="G487" i="3" s="1"/>
  <c r="F479" i="3"/>
  <c r="G479" i="3" s="1"/>
  <c r="F471" i="3"/>
  <c r="G471" i="3" s="1"/>
  <c r="F520" i="3"/>
  <c r="G520" i="3" s="1"/>
  <c r="F467" i="3"/>
  <c r="G467" i="3" s="1"/>
  <c r="F453" i="3"/>
  <c r="G453" i="3" s="1"/>
  <c r="F432" i="3"/>
  <c r="G432" i="3" s="1"/>
  <c r="F424" i="3"/>
  <c r="G424" i="3" s="1"/>
  <c r="F615" i="3"/>
  <c r="G615" i="3" s="1"/>
  <c r="F583" i="3"/>
  <c r="G583" i="3" s="1"/>
  <c r="F551" i="3"/>
  <c r="G551" i="3" s="1"/>
  <c r="F463" i="3"/>
  <c r="G463" i="3" s="1"/>
  <c r="F519" i="3"/>
  <c r="G519" i="3" s="1"/>
  <c r="F505" i="3"/>
  <c r="G505" i="3" s="1"/>
  <c r="F497" i="3"/>
  <c r="G497" i="3" s="1"/>
  <c r="F489" i="3"/>
  <c r="G489" i="3" s="1"/>
  <c r="F607" i="3"/>
  <c r="G607" i="3" s="1"/>
  <c r="F439" i="3"/>
  <c r="G439" i="3" s="1"/>
  <c r="F423" i="3"/>
  <c r="G423" i="3" s="1"/>
  <c r="F415" i="3"/>
  <c r="G415" i="3" s="1"/>
  <c r="F407" i="3"/>
  <c r="G407" i="3" s="1"/>
  <c r="F399" i="3"/>
  <c r="G399" i="3" s="1"/>
  <c r="F388" i="3"/>
  <c r="G388" i="3" s="1"/>
  <c r="F384" i="3"/>
  <c r="G384" i="3" s="1"/>
  <c r="F356" i="3"/>
  <c r="G356" i="3" s="1"/>
  <c r="F352" i="3"/>
  <c r="G352" i="3" s="1"/>
  <c r="F481" i="3"/>
  <c r="G481" i="3" s="1"/>
  <c r="F391" i="3"/>
  <c r="G391" i="3" s="1"/>
  <c r="F366" i="3"/>
  <c r="G366" i="3" s="1"/>
  <c r="F359" i="3"/>
  <c r="G359" i="3" s="1"/>
  <c r="F334" i="3"/>
  <c r="G334" i="3" s="1"/>
  <c r="F318" i="3"/>
  <c r="G318" i="3" s="1"/>
  <c r="F312" i="3"/>
  <c r="G312" i="3" s="1"/>
  <c r="F292" i="3"/>
  <c r="G292" i="3" s="1"/>
  <c r="F289" i="3"/>
  <c r="G289" i="3" s="1"/>
  <c r="F286" i="3"/>
  <c r="G286" i="3" s="1"/>
  <c r="F280" i="3"/>
  <c r="G280" i="3" s="1"/>
  <c r="F260" i="3"/>
  <c r="G260" i="3" s="1"/>
  <c r="F257" i="3"/>
  <c r="G257" i="3" s="1"/>
  <c r="F254" i="3"/>
  <c r="G254" i="3" s="1"/>
  <c r="F248" i="3"/>
  <c r="G248" i="3" s="1"/>
  <c r="F240" i="3"/>
  <c r="G240" i="3" s="1"/>
  <c r="F232" i="3"/>
  <c r="G232" i="3" s="1"/>
  <c r="F224" i="3"/>
  <c r="G224" i="3" s="1"/>
  <c r="F216" i="3"/>
  <c r="G216" i="3" s="1"/>
  <c r="F575" i="3"/>
  <c r="G575" i="3" s="1"/>
  <c r="F455" i="3"/>
  <c r="G455" i="3" s="1"/>
  <c r="F422" i="3"/>
  <c r="G422" i="3" s="1"/>
  <c r="F414" i="3"/>
  <c r="G414" i="3" s="1"/>
  <c r="F406" i="3"/>
  <c r="G406" i="3" s="1"/>
  <c r="F398" i="3"/>
  <c r="G398" i="3" s="1"/>
  <c r="F380" i="3"/>
  <c r="G380" i="3" s="1"/>
  <c r="F376" i="3"/>
  <c r="G376" i="3" s="1"/>
  <c r="F348" i="3"/>
  <c r="G348" i="3" s="1"/>
  <c r="F344" i="3"/>
  <c r="G344" i="3" s="1"/>
  <c r="F473" i="3"/>
  <c r="G473" i="3" s="1"/>
  <c r="F449" i="3"/>
  <c r="G449" i="3" s="1"/>
  <c r="F390" i="3"/>
  <c r="G390" i="3" s="1"/>
  <c r="F358" i="3"/>
  <c r="G358" i="3" s="1"/>
  <c r="F324" i="3"/>
  <c r="G324" i="3" s="1"/>
  <c r="F294" i="3"/>
  <c r="G294" i="3" s="1"/>
  <c r="F262" i="3"/>
  <c r="G262" i="3" s="1"/>
  <c r="F543" i="3"/>
  <c r="G543" i="3" s="1"/>
  <c r="F513" i="3"/>
  <c r="G513" i="3" s="1"/>
  <c r="F431" i="3"/>
  <c r="G431" i="3" s="1"/>
  <c r="F386" i="3"/>
  <c r="G386" i="3" s="1"/>
  <c r="F372" i="3"/>
  <c r="G372" i="3" s="1"/>
  <c r="F368" i="3"/>
  <c r="G368" i="3" s="1"/>
  <c r="F354" i="3"/>
  <c r="G354" i="3" s="1"/>
  <c r="F340" i="3"/>
  <c r="G340" i="3" s="1"/>
  <c r="F336" i="3"/>
  <c r="G336" i="3" s="1"/>
  <c r="F333" i="3"/>
  <c r="G333" i="3" s="1"/>
  <c r="F330" i="3"/>
  <c r="G330" i="3" s="1"/>
  <c r="F320" i="3"/>
  <c r="G320" i="3" s="1"/>
  <c r="F317" i="3"/>
  <c r="G317" i="3" s="1"/>
  <c r="F314" i="3"/>
  <c r="G314" i="3" s="1"/>
  <c r="F311" i="3"/>
  <c r="G311" i="3" s="1"/>
  <c r="F285" i="3"/>
  <c r="G285" i="3" s="1"/>
  <c r="F282" i="3"/>
  <c r="G282" i="3" s="1"/>
  <c r="F279" i="3"/>
  <c r="G279" i="3" s="1"/>
  <c r="F253" i="3"/>
  <c r="G253" i="3" s="1"/>
  <c r="F250" i="3"/>
  <c r="G250" i="3" s="1"/>
  <c r="F247" i="3"/>
  <c r="G247" i="3" s="1"/>
  <c r="F239" i="3"/>
  <c r="G239" i="3" s="1"/>
  <c r="F416" i="3"/>
  <c r="G416" i="3" s="1"/>
  <c r="F408" i="3"/>
  <c r="G408" i="3" s="1"/>
  <c r="F400" i="3"/>
  <c r="G400" i="3" s="1"/>
  <c r="F382" i="3"/>
  <c r="G382" i="3" s="1"/>
  <c r="F350" i="3"/>
  <c r="G350" i="3" s="1"/>
  <c r="F326" i="3"/>
  <c r="G326" i="3" s="1"/>
  <c r="F302" i="3"/>
  <c r="G302" i="3" s="1"/>
  <c r="F270" i="3"/>
  <c r="G270" i="3" s="1"/>
  <c r="F392" i="3"/>
  <c r="G392" i="3" s="1"/>
  <c r="F364" i="3"/>
  <c r="G364" i="3" s="1"/>
  <c r="F360" i="3"/>
  <c r="G360" i="3" s="1"/>
  <c r="F95" i="3"/>
  <c r="G95" i="3" s="1"/>
  <c r="F104" i="3"/>
  <c r="G104" i="3" s="1"/>
  <c r="F168" i="3"/>
  <c r="G168" i="3" s="1"/>
  <c r="F178" i="3"/>
  <c r="G178" i="3" s="1"/>
  <c r="F182" i="3"/>
  <c r="G182" i="3" s="1"/>
  <c r="F191" i="3"/>
  <c r="G191" i="3" s="1"/>
  <c r="F200" i="3"/>
  <c r="G200" i="3" s="1"/>
  <c r="F210" i="3"/>
  <c r="G210" i="3" s="1"/>
  <c r="F226" i="3"/>
  <c r="G226" i="3" s="1"/>
  <c r="F243" i="3"/>
  <c r="G243" i="3" s="1"/>
  <c r="F255" i="3"/>
  <c r="G255" i="3" s="1"/>
  <c r="F263" i="3"/>
  <c r="G263" i="3" s="1"/>
  <c r="F269" i="3"/>
  <c r="G269" i="3" s="1"/>
  <c r="F287" i="3"/>
  <c r="G287" i="3" s="1"/>
  <c r="F295" i="3"/>
  <c r="G295" i="3" s="1"/>
  <c r="F301" i="3"/>
  <c r="G301" i="3" s="1"/>
  <c r="F325" i="3"/>
  <c r="G325" i="3" s="1"/>
  <c r="F338" i="3"/>
  <c r="G338" i="3" s="1"/>
  <c r="F402" i="3"/>
  <c r="G402" i="3" s="1"/>
  <c r="F446" i="3"/>
  <c r="G446" i="3" s="1"/>
  <c r="F108" i="3"/>
  <c r="G108" i="3" s="1"/>
  <c r="F111" i="3"/>
  <c r="G111" i="3" s="1"/>
  <c r="F114" i="3"/>
  <c r="G114" i="3" s="1"/>
  <c r="F125" i="3"/>
  <c r="G125" i="3" s="1"/>
  <c r="F128" i="3"/>
  <c r="G128" i="3" s="1"/>
  <c r="F133" i="3"/>
  <c r="G133" i="3" s="1"/>
  <c r="F136" i="3"/>
  <c r="G136" i="3" s="1"/>
  <c r="F141" i="3"/>
  <c r="G141" i="3" s="1"/>
  <c r="F144" i="3"/>
  <c r="G144" i="3" s="1"/>
  <c r="F149" i="3"/>
  <c r="G149" i="3" s="1"/>
  <c r="F157" i="3"/>
  <c r="G157" i="3" s="1"/>
  <c r="F160" i="3"/>
  <c r="G160" i="3" s="1"/>
  <c r="F165" i="3"/>
  <c r="G165" i="3" s="1"/>
  <c r="F169" i="3"/>
  <c r="G169" i="3" s="1"/>
  <c r="F179" i="3"/>
  <c r="G179" i="3" s="1"/>
  <c r="F188" i="3"/>
  <c r="G188" i="3" s="1"/>
  <c r="F197" i="3"/>
  <c r="G197" i="3" s="1"/>
  <c r="F201" i="3"/>
  <c r="G201" i="3" s="1"/>
  <c r="F211" i="3"/>
  <c r="G211" i="3" s="1"/>
  <c r="F215" i="3"/>
  <c r="G215" i="3" s="1"/>
  <c r="F221" i="3"/>
  <c r="G221" i="3" s="1"/>
  <c r="F227" i="3"/>
  <c r="G227" i="3" s="1"/>
  <c r="F231" i="3"/>
  <c r="G231" i="3" s="1"/>
  <c r="F237" i="3"/>
  <c r="G237" i="3" s="1"/>
  <c r="F249" i="3"/>
  <c r="G249" i="3" s="1"/>
  <c r="F256" i="3"/>
  <c r="G256" i="3" s="1"/>
  <c r="F281" i="3"/>
  <c r="G281" i="3" s="1"/>
  <c r="F288" i="3"/>
  <c r="G288" i="3" s="1"/>
  <c r="F313" i="3"/>
  <c r="G313" i="3" s="1"/>
  <c r="F319" i="3"/>
  <c r="G319" i="3" s="1"/>
  <c r="F332" i="3"/>
  <c r="G332" i="3" s="1"/>
  <c r="F339" i="3"/>
  <c r="G339" i="3" s="1"/>
  <c r="F346" i="3"/>
  <c r="G346" i="3" s="1"/>
  <c r="F353" i="3"/>
  <c r="G353" i="3" s="1"/>
  <c r="F367" i="3"/>
  <c r="G367" i="3" s="1"/>
  <c r="F374" i="3"/>
  <c r="G374" i="3" s="1"/>
  <c r="F410" i="3"/>
  <c r="G410" i="3" s="1"/>
  <c r="F470" i="3"/>
  <c r="G470" i="3" s="1"/>
  <c r="F267" i="3"/>
  <c r="G267" i="3" s="1"/>
  <c r="F299" i="3"/>
  <c r="G299" i="3" s="1"/>
  <c r="F323" i="3"/>
  <c r="G323" i="3" s="1"/>
  <c r="F357" i="3"/>
  <c r="G357" i="3" s="1"/>
  <c r="F389" i="3"/>
  <c r="G389" i="3" s="1"/>
  <c r="F435" i="3"/>
  <c r="G435" i="3" s="1"/>
  <c r="F447" i="3"/>
  <c r="G447" i="3" s="1"/>
  <c r="F491" i="3"/>
  <c r="G491" i="3" s="1"/>
  <c r="F347" i="3"/>
  <c r="G347" i="3" s="1"/>
  <c r="F361" i="3"/>
  <c r="G361" i="3" s="1"/>
  <c r="F379" i="3"/>
  <c r="G379" i="3" s="1"/>
  <c r="F393" i="3"/>
  <c r="G393" i="3" s="1"/>
  <c r="F397" i="3"/>
  <c r="G397" i="3" s="1"/>
  <c r="F405" i="3"/>
  <c r="G405" i="3" s="1"/>
  <c r="F413" i="3"/>
  <c r="G413" i="3" s="1"/>
  <c r="F421" i="3"/>
  <c r="G421" i="3" s="1"/>
  <c r="F425" i="3"/>
  <c r="G425" i="3" s="1"/>
  <c r="F448" i="3"/>
  <c r="G448" i="3" s="1"/>
  <c r="F466" i="3"/>
  <c r="G466" i="3" s="1"/>
  <c r="F478" i="3"/>
  <c r="G478" i="3" s="1"/>
  <c r="F499" i="3"/>
  <c r="G499" i="3" s="1"/>
  <c r="F550" i="3"/>
  <c r="G550" i="3" s="1"/>
  <c r="F259" i="3"/>
  <c r="G259" i="3" s="1"/>
  <c r="F291" i="3"/>
  <c r="G291" i="3" s="1"/>
  <c r="F365" i="3"/>
  <c r="G365" i="3" s="1"/>
  <c r="F401" i="3"/>
  <c r="G401" i="3" s="1"/>
  <c r="F409" i="3"/>
  <c r="G409" i="3" s="1"/>
  <c r="F417" i="3"/>
  <c r="G417" i="3" s="1"/>
  <c r="F507" i="3"/>
  <c r="G507" i="3" s="1"/>
  <c r="F321" i="3"/>
  <c r="G321" i="3" s="1"/>
  <c r="F337" i="3"/>
  <c r="G337" i="3" s="1"/>
  <c r="F355" i="3"/>
  <c r="G355" i="3" s="1"/>
  <c r="F369" i="3"/>
  <c r="G369" i="3" s="1"/>
  <c r="F387" i="3"/>
  <c r="G387" i="3" s="1"/>
  <c r="F437" i="3"/>
  <c r="G437" i="3" s="1"/>
  <c r="F443" i="3"/>
  <c r="G443" i="3" s="1"/>
  <c r="F582" i="3"/>
  <c r="G582" i="3" s="1"/>
  <c r="F251" i="3"/>
  <c r="G251" i="3" s="1"/>
  <c r="F283" i="3"/>
  <c r="G283" i="3" s="1"/>
  <c r="F315" i="3"/>
  <c r="G315" i="3" s="1"/>
  <c r="F331" i="3"/>
  <c r="G331" i="3" s="1"/>
  <c r="F341" i="3"/>
  <c r="G341" i="3" s="1"/>
  <c r="F373" i="3"/>
  <c r="G373" i="3" s="1"/>
  <c r="F427" i="3"/>
  <c r="G427" i="3" s="1"/>
  <c r="F444" i="3"/>
  <c r="G444" i="3" s="1"/>
  <c r="F345" i="3"/>
  <c r="G345" i="3" s="1"/>
  <c r="F363" i="3"/>
  <c r="G363" i="3" s="1"/>
  <c r="F377" i="3"/>
  <c r="G377" i="3" s="1"/>
  <c r="F395" i="3"/>
  <c r="G395" i="3" s="1"/>
  <c r="F403" i="3"/>
  <c r="G403" i="3" s="1"/>
  <c r="F411" i="3"/>
  <c r="G411" i="3" s="1"/>
  <c r="F419" i="3"/>
  <c r="G419" i="3" s="1"/>
  <c r="F433" i="3"/>
  <c r="G433" i="3" s="1"/>
  <c r="F451" i="3"/>
  <c r="G451" i="3" s="1"/>
  <c r="F456" i="3"/>
  <c r="G456" i="3" s="1"/>
  <c r="F475" i="3"/>
  <c r="G475" i="3" s="1"/>
  <c r="F531" i="3"/>
  <c r="G531" i="3" s="1"/>
  <c r="F614" i="3"/>
  <c r="G614" i="3" s="1"/>
  <c r="F275" i="3"/>
  <c r="G275" i="3" s="1"/>
  <c r="F307" i="3"/>
  <c r="G307" i="3" s="1"/>
  <c r="F349" i="3"/>
  <c r="G349" i="3" s="1"/>
  <c r="F381" i="3"/>
  <c r="G381" i="3" s="1"/>
  <c r="F486" i="3"/>
  <c r="G486" i="3" s="1"/>
  <c r="F494" i="3"/>
  <c r="G494" i="3" s="1"/>
  <c r="F502" i="3"/>
  <c r="G502" i="3" s="1"/>
  <c r="F510" i="3"/>
  <c r="G510" i="3" s="1"/>
  <c r="F514" i="3"/>
  <c r="G514" i="3" s="1"/>
  <c r="F525" i="3"/>
  <c r="G525" i="3" s="1"/>
  <c r="F532" i="3"/>
  <c r="G532" i="3" s="1"/>
  <c r="F538" i="3"/>
  <c r="G538" i="3" s="1"/>
  <c r="F557" i="3"/>
  <c r="G557" i="3" s="1"/>
  <c r="F564" i="3"/>
  <c r="G564" i="3" s="1"/>
  <c r="F570" i="3"/>
  <c r="G570" i="3" s="1"/>
  <c r="F589" i="3"/>
  <c r="G589" i="3" s="1"/>
  <c r="F596" i="3"/>
  <c r="G596" i="3" s="1"/>
  <c r="F602" i="3"/>
  <c r="G602" i="3" s="1"/>
  <c r="F621" i="3"/>
  <c r="G621" i="3" s="1"/>
  <c r="F628" i="3"/>
  <c r="G628" i="3" s="1"/>
  <c r="F460" i="3"/>
  <c r="G460" i="3" s="1"/>
  <c r="F474" i="3"/>
  <c r="G474" i="3" s="1"/>
  <c r="F482" i="3"/>
  <c r="G482" i="3" s="1"/>
  <c r="F490" i="3"/>
  <c r="G490" i="3" s="1"/>
  <c r="F498" i="3"/>
  <c r="G498" i="3" s="1"/>
  <c r="F506" i="3"/>
  <c r="G506" i="3" s="1"/>
  <c r="F515" i="3"/>
  <c r="G515" i="3" s="1"/>
  <c r="F526" i="3"/>
  <c r="G526" i="3" s="1"/>
  <c r="F539" i="3"/>
  <c r="G539" i="3" s="1"/>
  <c r="F558" i="3"/>
  <c r="G558" i="3" s="1"/>
  <c r="F590" i="3"/>
  <c r="G590" i="3" s="1"/>
  <c r="F622" i="3"/>
  <c r="G622" i="3" s="1"/>
  <c r="F450" i="3"/>
  <c r="G450" i="3" s="1"/>
  <c r="F516" i="3"/>
  <c r="G516" i="3" s="1"/>
  <c r="F533" i="3"/>
  <c r="G533" i="3" s="1"/>
  <c r="F540" i="3"/>
  <c r="G540" i="3" s="1"/>
  <c r="F546" i="3"/>
  <c r="G546" i="3" s="1"/>
  <c r="F565" i="3"/>
  <c r="G565" i="3" s="1"/>
  <c r="F572" i="3"/>
  <c r="G572" i="3" s="1"/>
  <c r="F578" i="3"/>
  <c r="G578" i="3" s="1"/>
  <c r="F597" i="3"/>
  <c r="G597" i="3" s="1"/>
  <c r="F604" i="3"/>
  <c r="G604" i="3" s="1"/>
  <c r="F610" i="3"/>
  <c r="G610" i="3" s="1"/>
  <c r="F629" i="3"/>
  <c r="G629" i="3" s="1"/>
  <c r="F468" i="3"/>
  <c r="G468" i="3" s="1"/>
  <c r="F534" i="3"/>
  <c r="G534" i="3" s="1"/>
  <c r="F566" i="3"/>
  <c r="G566" i="3" s="1"/>
  <c r="F598" i="3"/>
  <c r="G598" i="3" s="1"/>
  <c r="F630" i="3"/>
  <c r="G630" i="3" s="1"/>
  <c r="F454" i="3"/>
  <c r="G454" i="3" s="1"/>
  <c r="F476" i="3"/>
  <c r="G476" i="3" s="1"/>
  <c r="F484" i="3"/>
  <c r="G484" i="3" s="1"/>
  <c r="F492" i="3"/>
  <c r="G492" i="3" s="1"/>
  <c r="F500" i="3"/>
  <c r="G500" i="3" s="1"/>
  <c r="F508" i="3"/>
  <c r="G508" i="3" s="1"/>
  <c r="F517" i="3"/>
  <c r="G517" i="3" s="1"/>
  <c r="F522" i="3"/>
  <c r="G522" i="3" s="1"/>
  <c r="F541" i="3"/>
  <c r="G541" i="3" s="1"/>
  <c r="F548" i="3"/>
  <c r="G548" i="3" s="1"/>
  <c r="F554" i="3"/>
  <c r="G554" i="3" s="1"/>
  <c r="F573" i="3"/>
  <c r="G573" i="3" s="1"/>
  <c r="F580" i="3"/>
  <c r="G580" i="3" s="1"/>
  <c r="F586" i="3"/>
  <c r="G586" i="3" s="1"/>
  <c r="F605" i="3"/>
  <c r="G605" i="3" s="1"/>
  <c r="F612" i="3"/>
  <c r="G612" i="3" s="1"/>
  <c r="F618" i="3"/>
  <c r="G618" i="3" s="1"/>
  <c r="F458" i="3"/>
  <c r="G458" i="3" s="1"/>
  <c r="F523" i="3"/>
  <c r="G523" i="3" s="1"/>
  <c r="F542" i="3"/>
  <c r="G542" i="3" s="1"/>
  <c r="F574" i="3"/>
  <c r="G574" i="3" s="1"/>
  <c r="F606" i="3"/>
  <c r="G606" i="3" s="1"/>
  <c r="F442" i="3"/>
  <c r="G442" i="3" s="1"/>
  <c r="F462" i="3"/>
  <c r="G462" i="3" s="1"/>
  <c r="F509" i="3"/>
  <c r="G509" i="3" s="1"/>
  <c r="F518" i="3"/>
  <c r="G518" i="3" s="1"/>
  <c r="F524" i="3"/>
  <c r="G524" i="3" s="1"/>
  <c r="F530" i="3"/>
  <c r="G530" i="3" s="1"/>
  <c r="F549" i="3"/>
  <c r="G549" i="3" s="1"/>
  <c r="F556" i="3"/>
  <c r="G556" i="3" s="1"/>
  <c r="F562" i="3"/>
  <c r="G562" i="3" s="1"/>
  <c r="F581" i="3"/>
  <c r="G581" i="3" s="1"/>
  <c r="F588" i="3"/>
  <c r="G588" i="3" s="1"/>
  <c r="F594" i="3"/>
  <c r="G594" i="3" s="1"/>
  <c r="F613" i="3"/>
  <c r="G613" i="3" s="1"/>
  <c r="F620" i="3"/>
  <c r="G620" i="3" s="1"/>
  <c r="F626" i="3"/>
  <c r="G626" i="3" s="1"/>
  <c r="F13" i="6" l="1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E7" i="6"/>
  <c r="K151" i="6" l="1"/>
  <c r="J151" i="6"/>
  <c r="I151" i="6"/>
  <c r="E151" i="6"/>
  <c r="D151" i="6"/>
  <c r="F12" i="6"/>
  <c r="L12" i="6" s="1"/>
  <c r="C13" i="6" s="1"/>
  <c r="L13" i="6" s="1"/>
  <c r="C14" i="6" s="1"/>
  <c r="L14" i="6" s="1"/>
  <c r="C15" i="6" s="1"/>
  <c r="L15" i="6" s="1"/>
  <c r="C16" i="6" s="1"/>
  <c r="L16" i="6" s="1"/>
  <c r="C17" i="6" s="1"/>
  <c r="L17" i="6" s="1"/>
  <c r="C18" i="6" s="1"/>
  <c r="L18" i="6" s="1"/>
  <c r="C19" i="6" s="1"/>
  <c r="L19" i="6" s="1"/>
  <c r="C20" i="6" s="1"/>
  <c r="L20" i="6" s="1"/>
  <c r="C21" i="6" s="1"/>
  <c r="L21" i="6" s="1"/>
  <c r="C22" i="6" s="1"/>
  <c r="L22" i="6" s="1"/>
  <c r="C23" i="6" s="1"/>
  <c r="L23" i="6" s="1"/>
  <c r="C24" i="6" s="1"/>
  <c r="L24" i="6" s="1"/>
  <c r="C25" i="6" s="1"/>
  <c r="L25" i="6" s="1"/>
  <c r="C26" i="6" s="1"/>
  <c r="L26" i="6" s="1"/>
  <c r="C27" i="6" s="1"/>
  <c r="L27" i="6" s="1"/>
  <c r="C28" i="6" s="1"/>
  <c r="L28" i="6" s="1"/>
  <c r="C29" i="6" s="1"/>
  <c r="L29" i="6" s="1"/>
  <c r="C30" i="6" s="1"/>
  <c r="L30" i="6" s="1"/>
  <c r="C31" i="6" s="1"/>
  <c r="L31" i="6" s="1"/>
  <c r="C32" i="6" s="1"/>
  <c r="L32" i="6" s="1"/>
  <c r="C33" i="6" s="1"/>
  <c r="L33" i="6" s="1"/>
  <c r="C34" i="6" s="1"/>
  <c r="L34" i="6" s="1"/>
  <c r="C35" i="6" s="1"/>
  <c r="L35" i="6" s="1"/>
  <c r="C36" i="6" s="1"/>
  <c r="L36" i="6" s="1"/>
  <c r="C37" i="6" s="1"/>
  <c r="L37" i="6" s="1"/>
  <c r="C38" i="6" s="1"/>
  <c r="L38" i="6" s="1"/>
  <c r="C39" i="6" s="1"/>
  <c r="L39" i="6" s="1"/>
  <c r="C40" i="6" s="1"/>
  <c r="L40" i="6" s="1"/>
  <c r="C41" i="6" s="1"/>
  <c r="L41" i="6" s="1"/>
  <c r="C42" i="6" s="1"/>
  <c r="L42" i="6" s="1"/>
  <c r="C43" i="6" s="1"/>
  <c r="L43" i="6" s="1"/>
  <c r="C44" i="6" s="1"/>
  <c r="L44" i="6" s="1"/>
  <c r="C45" i="6" s="1"/>
  <c r="L45" i="6" s="1"/>
  <c r="C46" i="6" s="1"/>
  <c r="L46" i="6" s="1"/>
  <c r="C47" i="6" s="1"/>
  <c r="L47" i="6" s="1"/>
  <c r="C48" i="6" s="1"/>
  <c r="L48" i="6" s="1"/>
  <c r="C49" i="6" s="1"/>
  <c r="L49" i="6" s="1"/>
  <c r="C50" i="6" s="1"/>
  <c r="L50" i="6" s="1"/>
  <c r="C51" i="6" s="1"/>
  <c r="L51" i="6" s="1"/>
  <c r="C52" i="6" s="1"/>
  <c r="L52" i="6" s="1"/>
  <c r="C53" i="6" s="1"/>
  <c r="L53" i="6" s="1"/>
  <c r="C54" i="6" s="1"/>
  <c r="L54" i="6" s="1"/>
  <c r="C55" i="6" s="1"/>
  <c r="L55" i="6" s="1"/>
  <c r="C56" i="6" s="1"/>
  <c r="L56" i="6" s="1"/>
  <c r="C57" i="6" s="1"/>
  <c r="L57" i="6" s="1"/>
  <c r="C58" i="6" s="1"/>
  <c r="L58" i="6" s="1"/>
  <c r="C59" i="6" s="1"/>
  <c r="L59" i="6" s="1"/>
  <c r="C60" i="6" s="1"/>
  <c r="L60" i="6" s="1"/>
  <c r="C61" i="6" s="1"/>
  <c r="L61" i="6" s="1"/>
  <c r="C62" i="6" s="1"/>
  <c r="L62" i="6" s="1"/>
  <c r="C63" i="6" s="1"/>
  <c r="L63" i="6" s="1"/>
  <c r="C64" i="6" s="1"/>
  <c r="L64" i="6" s="1"/>
  <c r="C65" i="6" s="1"/>
  <c r="L65" i="6" s="1"/>
  <c r="C66" i="6" s="1"/>
  <c r="L66" i="6" s="1"/>
  <c r="C67" i="6" s="1"/>
  <c r="L67" i="6" s="1"/>
  <c r="C68" i="6" s="1"/>
  <c r="L68" i="6" s="1"/>
  <c r="C69" i="6" s="1"/>
  <c r="L69" i="6" s="1"/>
  <c r="C70" i="6" s="1"/>
  <c r="L70" i="6" s="1"/>
  <c r="C71" i="6" s="1"/>
  <c r="L71" i="6" s="1"/>
  <c r="C72" i="6" s="1"/>
  <c r="L72" i="6" s="1"/>
  <c r="C73" i="6" s="1"/>
  <c r="L73" i="6" s="1"/>
  <c r="C74" i="6" s="1"/>
  <c r="L74" i="6" s="1"/>
  <c r="C75" i="6" s="1"/>
  <c r="L75" i="6" s="1"/>
  <c r="C76" i="6" s="1"/>
  <c r="L76" i="6" s="1"/>
  <c r="C77" i="6" s="1"/>
  <c r="L77" i="6" s="1"/>
  <c r="C78" i="6" s="1"/>
  <c r="L78" i="6" s="1"/>
  <c r="C79" i="6" s="1"/>
  <c r="L79" i="6" s="1"/>
  <c r="C80" i="6" s="1"/>
  <c r="L80" i="6" s="1"/>
  <c r="C81" i="6" s="1"/>
  <c r="L81" i="6" s="1"/>
  <c r="C82" i="6" s="1"/>
  <c r="L82" i="6" s="1"/>
  <c r="C83" i="6" s="1"/>
  <c r="L83" i="6" s="1"/>
  <c r="C84" i="6" s="1"/>
  <c r="L84" i="6" s="1"/>
  <c r="C85" i="6" s="1"/>
  <c r="L85" i="6" s="1"/>
  <c r="C86" i="6" s="1"/>
  <c r="L86" i="6" s="1"/>
  <c r="C87" i="6" s="1"/>
  <c r="L87" i="6" s="1"/>
  <c r="C88" i="6" s="1"/>
  <c r="L88" i="6" s="1"/>
  <c r="C89" i="6" s="1"/>
  <c r="L89" i="6" s="1"/>
  <c r="C90" i="6" s="1"/>
  <c r="L90" i="6" s="1"/>
  <c r="C91" i="6" s="1"/>
  <c r="L91" i="6" s="1"/>
  <c r="C92" i="6" s="1"/>
  <c r="L92" i="6" s="1"/>
  <c r="C93" i="6" s="1"/>
  <c r="L93" i="6" s="1"/>
  <c r="C94" i="6" s="1"/>
  <c r="L94" i="6" s="1"/>
  <c r="C95" i="6" s="1"/>
  <c r="L95" i="6" s="1"/>
  <c r="C96" i="6" s="1"/>
  <c r="L96" i="6" s="1"/>
  <c r="C97" i="6" s="1"/>
  <c r="L97" i="6" s="1"/>
  <c r="C98" i="6" s="1"/>
  <c r="L98" i="6" s="1"/>
  <c r="C99" i="6" s="1"/>
  <c r="L99" i="6" s="1"/>
  <c r="C100" i="6" s="1"/>
  <c r="L100" i="6" s="1"/>
  <c r="C101" i="6" s="1"/>
  <c r="L101" i="6" s="1"/>
  <c r="C102" i="6" s="1"/>
  <c r="L102" i="6" s="1"/>
  <c r="C103" i="6" s="1"/>
  <c r="L103" i="6" s="1"/>
  <c r="C104" i="6" s="1"/>
  <c r="L104" i="6" s="1"/>
  <c r="C105" i="6" s="1"/>
  <c r="L105" i="6" s="1"/>
  <c r="C106" i="6" s="1"/>
  <c r="L106" i="6" s="1"/>
  <c r="C107" i="6" s="1"/>
  <c r="L107" i="6" s="1"/>
  <c r="C108" i="6" s="1"/>
  <c r="L108" i="6" s="1"/>
  <c r="C109" i="6" s="1"/>
  <c r="L109" i="6" s="1"/>
  <c r="C110" i="6" s="1"/>
  <c r="L110" i="6" s="1"/>
  <c r="C111" i="6" s="1"/>
  <c r="L111" i="6" s="1"/>
  <c r="C112" i="6" s="1"/>
  <c r="L112" i="6" s="1"/>
  <c r="C113" i="6" s="1"/>
  <c r="L113" i="6" s="1"/>
  <c r="C114" i="6" s="1"/>
  <c r="L114" i="6" s="1"/>
  <c r="C115" i="6" s="1"/>
  <c r="L115" i="6" s="1"/>
  <c r="C116" i="6" s="1"/>
  <c r="L116" i="6" s="1"/>
  <c r="C117" i="6" s="1"/>
  <c r="L117" i="6" s="1"/>
  <c r="C118" i="6" s="1"/>
  <c r="L118" i="6" s="1"/>
  <c r="C119" i="6" s="1"/>
  <c r="L119" i="6" s="1"/>
  <c r="C120" i="6" s="1"/>
  <c r="L120" i="6" s="1"/>
  <c r="C121" i="6" s="1"/>
  <c r="L121" i="6" s="1"/>
  <c r="C122" i="6" s="1"/>
  <c r="L122" i="6" s="1"/>
  <c r="C123" i="6" s="1"/>
  <c r="L123" i="6" s="1"/>
  <c r="C124" i="6" s="1"/>
  <c r="L124" i="6" s="1"/>
  <c r="C125" i="6" s="1"/>
  <c r="L125" i="6" s="1"/>
  <c r="C126" i="6" s="1"/>
  <c r="L126" i="6" s="1"/>
  <c r="C127" i="6" s="1"/>
  <c r="L127" i="6" s="1"/>
  <c r="C128" i="6" s="1"/>
  <c r="L128" i="6" s="1"/>
  <c r="C129" i="6" s="1"/>
  <c r="L129" i="6" s="1"/>
  <c r="C130" i="6" s="1"/>
  <c r="L130" i="6" s="1"/>
  <c r="C131" i="6" s="1"/>
  <c r="L131" i="6" s="1"/>
  <c r="C132" i="6" s="1"/>
  <c r="L132" i="6" s="1"/>
  <c r="C133" i="6" s="1"/>
  <c r="L133" i="6" s="1"/>
  <c r="C134" i="6" s="1"/>
  <c r="L134" i="6" s="1"/>
  <c r="C135" i="6" s="1"/>
  <c r="L135" i="6" s="1"/>
  <c r="C136" i="6" s="1"/>
  <c r="L136" i="6" s="1"/>
  <c r="C137" i="6" s="1"/>
  <c r="L137" i="6" s="1"/>
  <c r="C138" i="6" s="1"/>
  <c r="L138" i="6" s="1"/>
  <c r="C139" i="6" s="1"/>
  <c r="L139" i="6" s="1"/>
  <c r="C140" i="6" s="1"/>
  <c r="L140" i="6" s="1"/>
  <c r="C141" i="6" s="1"/>
  <c r="L141" i="6" s="1"/>
  <c r="C142" i="6" s="1"/>
  <c r="L142" i="6" s="1"/>
  <c r="C143" i="6" s="1"/>
  <c r="L143" i="6" s="1"/>
  <c r="C144" i="6" s="1"/>
  <c r="L144" i="6" s="1"/>
  <c r="C145" i="6" s="1"/>
  <c r="L145" i="6" s="1"/>
  <c r="C146" i="6" s="1"/>
  <c r="L146" i="6" s="1"/>
  <c r="C147" i="6" s="1"/>
  <c r="L147" i="6" s="1"/>
  <c r="C148" i="6" s="1"/>
  <c r="L148" i="6" s="1"/>
  <c r="C149" i="6" s="1"/>
  <c r="L149" i="6" s="1"/>
  <c r="C150" i="6" s="1"/>
  <c r="L150" i="6" s="1"/>
  <c r="E8" i="6"/>
  <c r="E4" i="6"/>
  <c r="E6" i="6" l="1"/>
  <c r="H151" i="6"/>
  <c r="H7" i="6"/>
  <c r="G151" i="6" l="1"/>
  <c r="L151" i="6"/>
  <c r="F151" i="6" l="1"/>
  <c r="E5" i="6"/>
  <c r="H6" i="6" s="1"/>
  <c r="H5" i="6" s="1"/>
  <c r="H2" i="5" l="1"/>
</calcChain>
</file>

<file path=xl/sharedStrings.xml><?xml version="1.0" encoding="utf-8"?>
<sst xmlns="http://schemas.openxmlformats.org/spreadsheetml/2006/main" count="1600" uniqueCount="822">
  <si>
    <t>Khách hàng</t>
  </si>
  <si>
    <t>Số thẻ</t>
  </si>
  <si>
    <t>Ngày mở thẻ</t>
  </si>
  <si>
    <t>Ngày quá hạn</t>
  </si>
  <si>
    <t>Số ngày quá hạn</t>
  </si>
  <si>
    <t>Nợ gốc</t>
  </si>
  <si>
    <t>Nợ lãi</t>
  </si>
  <si>
    <t>Tổng</t>
  </si>
  <si>
    <t>Ngày bắt đầu sao kê</t>
  </si>
  <si>
    <t>Ngày sao kê</t>
  </si>
  <si>
    <t>Dư nợ đầu kỳ</t>
  </si>
  <si>
    <t>Dư nợ cuối kỳ</t>
  </si>
  <si>
    <t>Lãi phát sinh</t>
  </si>
  <si>
    <t>TỔNG</t>
  </si>
  <si>
    <t>TÔNG SỐ</t>
  </si>
  <si>
    <t>THÁNG TÍNH</t>
  </si>
  <si>
    <t>tổng tiền</t>
  </si>
  <si>
    <t>Dấu</t>
  </si>
  <si>
    <t>loại</t>
  </si>
  <si>
    <t>Tổng dư nợ</t>
  </si>
  <si>
    <t>Gốc đã trả </t>
  </si>
  <si>
    <t>Phí đã trả </t>
  </si>
  <si>
    <t>Lãi đã trả</t>
  </si>
  <si>
    <t>Tổng tiền trả trong  kỳ (gốc/lãi/phí) </t>
  </si>
  <si>
    <t>Tổng tiền khách hàng đã trả</t>
  </si>
  <si>
    <t>Tổng tiền khách hàng đã sử dụng</t>
  </si>
  <si>
    <t>+ Gốc đã trả</t>
  </si>
  <si>
    <t>Số thẻ (*)</t>
  </si>
  <si>
    <t>Ngày mở thẻ (*)</t>
  </si>
  <si>
    <t>Ngày quá hạn (*)</t>
  </si>
  <si>
    <t>Ngày cần tính (*)</t>
  </si>
  <si>
    <t>Tên KH (*)</t>
  </si>
  <si>
    <t>Ghi chú</t>
  </si>
  <si>
    <t>Lãi trả góp 
phát sinh</t>
  </si>
  <si>
    <t>Phí phát sinh
(ẩn khi xong)</t>
  </si>
  <si>
    <t>Tổng tiền sử dụng trong kỳ</t>
  </si>
  <si>
    <t>Ngày bắt đầu sao kê! Ví dụ: 26</t>
  </si>
  <si>
    <t>Ngày cần tính</t>
  </si>
  <si>
    <t>Nợ gốc = Tổng tiền sử dụng - gốc đã trả</t>
  </si>
  <si>
    <t>Nợ lãi = Lãi phát sính - lãi đã trả</t>
  </si>
  <si>
    <t>(*) Nếu có trả góp thì lãi cộng thêm phần lãi trả góp</t>
  </si>
  <si>
    <t>Phí lỹ kế</t>
  </si>
  <si>
    <t>Lãi lũy kế</t>
  </si>
  <si>
    <t>Nhập dư nợ gốc trên fin (*)</t>
  </si>
  <si>
    <t>Tự động</t>
  </si>
  <si>
    <t>BẢNG TÓM TẮT SAO KÊ THẺ</t>
  </si>
  <si>
    <t>+ Lãi đã trả</t>
  </si>
  <si>
    <t>+ Phí đã trả</t>
  </si>
  <si>
    <t>© boi baotg10 - ban quyen bao ve</t>
  </si>
  <si>
    <t>Interests</t>
  </si>
  <si>
    <t>Misc</t>
  </si>
  <si>
    <t>Transaction</t>
  </si>
  <si>
    <t>Virtual Card payment;</t>
  </si>
  <si>
    <t>Auto OVD payment</t>
  </si>
  <si>
    <t>Du no 1900-01</t>
  </si>
  <si>
    <t>Phi 1900-01</t>
  </si>
  <si>
    <t>Da thanh toan 1900-01</t>
  </si>
  <si>
    <t>Lai 1900-01</t>
  </si>
  <si>
    <t>Lai tra gop 1900-01</t>
  </si>
  <si>
    <t>bao</t>
  </si>
  <si>
    <t>tg10</t>
  </si>
  <si>
    <t>Du no 1900-02</t>
  </si>
  <si>
    <t>Phi 1900-02</t>
  </si>
  <si>
    <t>Da thanh toan 1900-02</t>
  </si>
  <si>
    <t>Lai 1900-02</t>
  </si>
  <si>
    <t>Lai tra gop 1900-02</t>
  </si>
  <si>
    <t>Du no 1900-03</t>
  </si>
  <si>
    <t>Phi 1900-03</t>
  </si>
  <si>
    <t>Da thanh toan 1900-03</t>
  </si>
  <si>
    <t>Lai 1900-03</t>
  </si>
  <si>
    <t>Lai tra gop 1900-03</t>
  </si>
  <si>
    <t>Du no 1900-04</t>
  </si>
  <si>
    <t>Phi 1900-04</t>
  </si>
  <si>
    <t>Da thanh toan 1900-04</t>
  </si>
  <si>
    <t>Lai 1900-04</t>
  </si>
  <si>
    <t>Lai tra gop 1900-04</t>
  </si>
  <si>
    <t>Du no 1900-05</t>
  </si>
  <si>
    <t>Phi 1900-05</t>
  </si>
  <si>
    <t>Da thanh toan 1900-05</t>
  </si>
  <si>
    <t>Lai 1900-05</t>
  </si>
  <si>
    <t>Lai tra gop 1900-05</t>
  </si>
  <si>
    <t>Du no 1900-06</t>
  </si>
  <si>
    <t>Phi 1900-06</t>
  </si>
  <si>
    <t>Da thanh toan 1900-06</t>
  </si>
  <si>
    <t>Lai 1900-06</t>
  </si>
  <si>
    <t>Lai tra gop 1900-06</t>
  </si>
  <si>
    <t>Du no 1900-07</t>
  </si>
  <si>
    <t>Phi 1900-07</t>
  </si>
  <si>
    <t>Da thanh toan 1900-07</t>
  </si>
  <si>
    <t>Lai 1900-07</t>
  </si>
  <si>
    <t>Lai tra gop 1900-07</t>
  </si>
  <si>
    <t>Du no 1900-08</t>
  </si>
  <si>
    <t>Phi 1900-08</t>
  </si>
  <si>
    <t>Da thanh toan 1900-08</t>
  </si>
  <si>
    <t>Lai 1900-08</t>
  </si>
  <si>
    <t>Lai tra gop 1900-08</t>
  </si>
  <si>
    <t>Du no 1900-09</t>
  </si>
  <si>
    <t>Phi 1900-09</t>
  </si>
  <si>
    <t>Da thanh toan 1900-09</t>
  </si>
  <si>
    <t>Lai 1900-09</t>
  </si>
  <si>
    <t>Lai tra gop 1900-09</t>
  </si>
  <si>
    <t>Du no 1900-10</t>
  </si>
  <si>
    <t>Phi 1900-10</t>
  </si>
  <si>
    <t>Da thanh toan 1900-10</t>
  </si>
  <si>
    <t>Lai 1900-10</t>
  </si>
  <si>
    <t>Lai tra gop 1900-10</t>
  </si>
  <si>
    <t>Du no 1900-11</t>
  </si>
  <si>
    <t>Phi 1900-11</t>
  </si>
  <si>
    <t>Da thanh toan 1900-11</t>
  </si>
  <si>
    <t>Lai 1900-11</t>
  </si>
  <si>
    <t>Lai tra gop 1900-11</t>
  </si>
  <si>
    <t>Du no 1900-12</t>
  </si>
  <si>
    <t>Phi 1900-12</t>
  </si>
  <si>
    <t>Da thanh toan 1900-12</t>
  </si>
  <si>
    <t>Lai 1900-12</t>
  </si>
  <si>
    <t>Lai tra gop 1900-12</t>
  </si>
  <si>
    <t>Du no 1900-13</t>
  </si>
  <si>
    <t>Phi 1900-13</t>
  </si>
  <si>
    <t>Da thanh toan 1900-13</t>
  </si>
  <si>
    <t>Lai 1900-13</t>
  </si>
  <si>
    <t>Lai tra gop 1900-13</t>
  </si>
  <si>
    <t>Du no 1900-14</t>
  </si>
  <si>
    <t>Phi 1900-14</t>
  </si>
  <si>
    <t>Da thanh toan 1900-14</t>
  </si>
  <si>
    <t>Lai 1900-14</t>
  </si>
  <si>
    <t>Lai tra gop 1900-14</t>
  </si>
  <si>
    <t>Du no 1900-15</t>
  </si>
  <si>
    <t>Phi 1900-15</t>
  </si>
  <si>
    <t>Da thanh toan 1900-15</t>
  </si>
  <si>
    <t>Lai 1900-15</t>
  </si>
  <si>
    <t>Lai tra gop 1900-15</t>
  </si>
  <si>
    <t>Du no 1900-16</t>
  </si>
  <si>
    <t>Phi 1900-16</t>
  </si>
  <si>
    <t>Da thanh toan 1900-16</t>
  </si>
  <si>
    <t>Lai 1900-16</t>
  </si>
  <si>
    <t>Lai tra gop 1900-16</t>
  </si>
  <si>
    <t>Du no 1900-17</t>
  </si>
  <si>
    <t>Phi 1900-17</t>
  </si>
  <si>
    <t>Da thanh toan 1900-17</t>
  </si>
  <si>
    <t>Lai 1900-17</t>
  </si>
  <si>
    <t>Lai tra gop 1900-17</t>
  </si>
  <si>
    <t>Du no 1900-18</t>
  </si>
  <si>
    <t>Phi 1900-18</t>
  </si>
  <si>
    <t>Da thanh toan 1900-18</t>
  </si>
  <si>
    <t>Lai 1900-18</t>
  </si>
  <si>
    <t>Lai tra gop 1900-18</t>
  </si>
  <si>
    <t>Du no 1900-19</t>
  </si>
  <si>
    <t>Phi 1900-19</t>
  </si>
  <si>
    <t>Da thanh toan 1900-19</t>
  </si>
  <si>
    <t>Lai 1900-19</t>
  </si>
  <si>
    <t>Lai tra gop 1900-19</t>
  </si>
  <si>
    <t>Du no 1900-20</t>
  </si>
  <si>
    <t>Phi 1900-20</t>
  </si>
  <si>
    <t>Da thanh toan 1900-20</t>
  </si>
  <si>
    <t>Lai 1900-20</t>
  </si>
  <si>
    <t>Lai tra gop 1900-20</t>
  </si>
  <si>
    <t>Du no 1900-21</t>
  </si>
  <si>
    <t>Phi 1900-21</t>
  </si>
  <si>
    <t>Da thanh toan 1900-21</t>
  </si>
  <si>
    <t>Lai 1900-21</t>
  </si>
  <si>
    <t>Lai tra gop 1900-21</t>
  </si>
  <si>
    <t>Du no 1900-22</t>
  </si>
  <si>
    <t>Phi 1900-22</t>
  </si>
  <si>
    <t>Da thanh toan 1900-22</t>
  </si>
  <si>
    <t>Lai 1900-22</t>
  </si>
  <si>
    <t>Lai tra gop 1900-22</t>
  </si>
  <si>
    <t>Du no 1900-23</t>
  </si>
  <si>
    <t>Phi 1900-23</t>
  </si>
  <si>
    <t>Da thanh toan 1900-23</t>
  </si>
  <si>
    <t>Lai 1900-23</t>
  </si>
  <si>
    <t>Lai tra gop 1900-23</t>
  </si>
  <si>
    <t>Du no 1900-24</t>
  </si>
  <si>
    <t>Phi 1900-24</t>
  </si>
  <si>
    <t>Da thanh toan 1900-24</t>
  </si>
  <si>
    <t>Lai 1900-24</t>
  </si>
  <si>
    <t>Lai tra gop 1900-24</t>
  </si>
  <si>
    <t>Du no 1900-25</t>
  </si>
  <si>
    <t>Phi 1900-25</t>
  </si>
  <si>
    <t>Da thanh toan 1900-25</t>
  </si>
  <si>
    <t>Lai 1900-25</t>
  </si>
  <si>
    <t>Lai tra gop 1900-25</t>
  </si>
  <si>
    <t>Du no 1900-26</t>
  </si>
  <si>
    <t>Phi 1900-26</t>
  </si>
  <si>
    <t>Da thanh toan 1900-26</t>
  </si>
  <si>
    <t>Lai 1900-26</t>
  </si>
  <si>
    <t>Lai tra gop 1900-26</t>
  </si>
  <si>
    <t>Du no 1900-27</t>
  </si>
  <si>
    <t>Phi 1900-27</t>
  </si>
  <si>
    <t>Da thanh toan 1900-27</t>
  </si>
  <si>
    <t>Lai 1900-27</t>
  </si>
  <si>
    <t>Lai tra gop 1900-27</t>
  </si>
  <si>
    <t>Du no 1900-28</t>
  </si>
  <si>
    <t>Phi 1900-28</t>
  </si>
  <si>
    <t>Da thanh toan 1900-28</t>
  </si>
  <si>
    <t>Lai 1900-28</t>
  </si>
  <si>
    <t>Lai tra gop 1900-28</t>
  </si>
  <si>
    <t>Du no 1900-29</t>
  </si>
  <si>
    <t>Phi 1900-29</t>
  </si>
  <si>
    <t>Da thanh toan 1900-29</t>
  </si>
  <si>
    <t>Lai 1900-29</t>
  </si>
  <si>
    <t>Lai tra gop 1900-29</t>
  </si>
  <si>
    <t>Du no 1900-30</t>
  </si>
  <si>
    <t>Phi 1900-30</t>
  </si>
  <si>
    <t>Da thanh toan 1900-30</t>
  </si>
  <si>
    <t>Lai 1900-30</t>
  </si>
  <si>
    <t>Lai tra gop 1900-30</t>
  </si>
  <si>
    <t>Du no 1900-31</t>
  </si>
  <si>
    <t>Phi 1900-31</t>
  </si>
  <si>
    <t>Da thanh toan 1900-31</t>
  </si>
  <si>
    <t>Lai 1900-31</t>
  </si>
  <si>
    <t>Lai tra gop 1900-31</t>
  </si>
  <si>
    <t>Du no 1900-32</t>
  </si>
  <si>
    <t>Phi 1900-32</t>
  </si>
  <si>
    <t>Da thanh toan 1900-32</t>
  </si>
  <si>
    <t>Lai 1900-32</t>
  </si>
  <si>
    <t>Lai tra gop 1900-32</t>
  </si>
  <si>
    <t>Du no 1900-33</t>
  </si>
  <si>
    <t>Phi 1900-33</t>
  </si>
  <si>
    <t>Da thanh toan 1900-33</t>
  </si>
  <si>
    <t>Lai 1900-33</t>
  </si>
  <si>
    <t>Lai tra gop 1900-33</t>
  </si>
  <si>
    <t>Du no 1900-34</t>
  </si>
  <si>
    <t>Phi 1900-34</t>
  </si>
  <si>
    <t>Da thanh toan 1900-34</t>
  </si>
  <si>
    <t>Lai 1900-34</t>
  </si>
  <si>
    <t>Lai tra gop 1900-34</t>
  </si>
  <si>
    <t>Du no 1900-35</t>
  </si>
  <si>
    <t>Phi 1900-35</t>
  </si>
  <si>
    <t>Da thanh toan 1900-35</t>
  </si>
  <si>
    <t>Lai 1900-35</t>
  </si>
  <si>
    <t>Lai tra gop 1900-35</t>
  </si>
  <si>
    <t>Du no 1900-36</t>
  </si>
  <si>
    <t>Phi 1900-36</t>
  </si>
  <si>
    <t>Da thanh toan 1900-36</t>
  </si>
  <si>
    <t>Lai 1900-36</t>
  </si>
  <si>
    <t>Lai tra gop 1900-36</t>
  </si>
  <si>
    <t>Du no 1900-37</t>
  </si>
  <si>
    <t>Phi 1900-37</t>
  </si>
  <si>
    <t>Da thanh toan 1900-37</t>
  </si>
  <si>
    <t>Lai 1900-37</t>
  </si>
  <si>
    <t>Lai tra gop 1900-37</t>
  </si>
  <si>
    <t>Du no 1900-38</t>
  </si>
  <si>
    <t>Phi 1900-38</t>
  </si>
  <si>
    <t>Da thanh toan 1900-38</t>
  </si>
  <si>
    <t>Lai 1900-38</t>
  </si>
  <si>
    <t>Lai tra gop 1900-38</t>
  </si>
  <si>
    <t>Du no 1900-39</t>
  </si>
  <si>
    <t>Phi 1900-39</t>
  </si>
  <si>
    <t>Da thanh toan 1900-39</t>
  </si>
  <si>
    <t>Lai 1900-39</t>
  </si>
  <si>
    <t>Lai tra gop 1900-39</t>
  </si>
  <si>
    <t>Du no 1900-40</t>
  </si>
  <si>
    <t>Phi 1900-40</t>
  </si>
  <si>
    <t>Da thanh toan 1900-40</t>
  </si>
  <si>
    <t>Lai 1900-40</t>
  </si>
  <si>
    <t>Lai tra gop 1900-40</t>
  </si>
  <si>
    <t>Du no 1900-41</t>
  </si>
  <si>
    <t>Phi 1900-41</t>
  </si>
  <si>
    <t>Da thanh toan 1900-41</t>
  </si>
  <si>
    <t>Lai 1900-41</t>
  </si>
  <si>
    <t>Lai tra gop 1900-41</t>
  </si>
  <si>
    <t>Du no 1900-42</t>
  </si>
  <si>
    <t>Phi 1900-42</t>
  </si>
  <si>
    <t>Da thanh toan 1900-42</t>
  </si>
  <si>
    <t>Lai 1900-42</t>
  </si>
  <si>
    <t>Lai tra gop 1900-42</t>
  </si>
  <si>
    <t>Du no 1900-43</t>
  </si>
  <si>
    <t>Phi 1900-43</t>
  </si>
  <si>
    <t>Da thanh toan 1900-43</t>
  </si>
  <si>
    <t>Lai 1900-43</t>
  </si>
  <si>
    <t>Lai tra gop 1900-43</t>
  </si>
  <si>
    <t>Du no 1900-44</t>
  </si>
  <si>
    <t>Phi 1900-44</t>
  </si>
  <si>
    <t>Da thanh toan 1900-44</t>
  </si>
  <si>
    <t>Lai 1900-44</t>
  </si>
  <si>
    <t>Lai tra gop 1900-44</t>
  </si>
  <si>
    <t>Du no 1900-45</t>
  </si>
  <si>
    <t>Phi 1900-45</t>
  </si>
  <si>
    <t>Da thanh toan 1900-45</t>
  </si>
  <si>
    <t>Lai 1900-45</t>
  </si>
  <si>
    <t>Lai tra gop 1900-45</t>
  </si>
  <si>
    <t>Du no 1900-46</t>
  </si>
  <si>
    <t>Phi 1900-46</t>
  </si>
  <si>
    <t>Da thanh toan 1900-46</t>
  </si>
  <si>
    <t>Lai 1900-46</t>
  </si>
  <si>
    <t>Lai tra gop 1900-46</t>
  </si>
  <si>
    <t>Du no 1900-47</t>
  </si>
  <si>
    <t>Phi 1900-47</t>
  </si>
  <si>
    <t>Da thanh toan 1900-47</t>
  </si>
  <si>
    <t>Lai 1900-47</t>
  </si>
  <si>
    <t>Lai tra gop 1900-47</t>
  </si>
  <si>
    <t>Du no 1900-48</t>
  </si>
  <si>
    <t>Phi 1900-48</t>
  </si>
  <si>
    <t>Da thanh toan 1900-48</t>
  </si>
  <si>
    <t>Lai 1900-48</t>
  </si>
  <si>
    <t>Lai tra gop 1900-48</t>
  </si>
  <si>
    <t>Du no 1900-49</t>
  </si>
  <si>
    <t>Phi 1900-49</t>
  </si>
  <si>
    <t>Da thanh toan 1900-49</t>
  </si>
  <si>
    <t>Lai 1900-49</t>
  </si>
  <si>
    <t>Lai tra gop 1900-49</t>
  </si>
  <si>
    <t>Du no 1900-50</t>
  </si>
  <si>
    <t>Phi 1900-50</t>
  </si>
  <si>
    <t>Da thanh toan 1900-50</t>
  </si>
  <si>
    <t>Lai 1900-50</t>
  </si>
  <si>
    <t>Lai tra gop 1900-50</t>
  </si>
  <si>
    <t>Du no 1900-51</t>
  </si>
  <si>
    <t>Phi 1900-51</t>
  </si>
  <si>
    <t>Da thanh toan 1900-51</t>
  </si>
  <si>
    <t>Lai 1900-51</t>
  </si>
  <si>
    <t>Lai tra gop 1900-51</t>
  </si>
  <si>
    <t>Du no 1900-52</t>
  </si>
  <si>
    <t>Phi 1900-52</t>
  </si>
  <si>
    <t>Da thanh toan 1900-52</t>
  </si>
  <si>
    <t>Lai 1900-52</t>
  </si>
  <si>
    <t>Lai tra gop 1900-52</t>
  </si>
  <si>
    <t>Du no 1900-53</t>
  </si>
  <si>
    <t>Phi 1900-53</t>
  </si>
  <si>
    <t>Da thanh toan 1900-53</t>
  </si>
  <si>
    <t>Lai 1900-53</t>
  </si>
  <si>
    <t>Lai tra gop 1900-53</t>
  </si>
  <si>
    <t>Du no 1900-54</t>
  </si>
  <si>
    <t>Phi 1900-54</t>
  </si>
  <si>
    <t>Da thanh toan 1900-54</t>
  </si>
  <si>
    <t>Lai 1900-54</t>
  </si>
  <si>
    <t>Lai tra gop 1900-54</t>
  </si>
  <si>
    <t>Du no 1900-55</t>
  </si>
  <si>
    <t>Phi 1900-55</t>
  </si>
  <si>
    <t>Da thanh toan 1900-55</t>
  </si>
  <si>
    <t>Lai 1900-55</t>
  </si>
  <si>
    <t>Lai tra gop 1900-55</t>
  </si>
  <si>
    <t>Du no 1900-56</t>
  </si>
  <si>
    <t>Phi 1900-56</t>
  </si>
  <si>
    <t>Da thanh toan 1900-56</t>
  </si>
  <si>
    <t>Lai 1900-56</t>
  </si>
  <si>
    <t>Lai tra gop 1900-56</t>
  </si>
  <si>
    <t>Du no 1900-57</t>
  </si>
  <si>
    <t>Phi 1900-57</t>
  </si>
  <si>
    <t>Da thanh toan 1900-57</t>
  </si>
  <si>
    <t>Lai 1900-57</t>
  </si>
  <si>
    <t>Lai tra gop 1900-57</t>
  </si>
  <si>
    <t>Du no 1900-58</t>
  </si>
  <si>
    <t>Phi 1900-58</t>
  </si>
  <si>
    <t>Da thanh toan 1900-58</t>
  </si>
  <si>
    <t>Lai 1900-58</t>
  </si>
  <si>
    <t>Lai tra gop 1900-58</t>
  </si>
  <si>
    <t>Du no 1900-59</t>
  </si>
  <si>
    <t>Phi 1900-59</t>
  </si>
  <si>
    <t>Da thanh toan 1900-59</t>
  </si>
  <si>
    <t>Lai 1900-59</t>
  </si>
  <si>
    <t>Lai tra gop 1900-59</t>
  </si>
  <si>
    <t>Du no 1900-60</t>
  </si>
  <si>
    <t>Phi 1900-60</t>
  </si>
  <si>
    <t>Da thanh toan 1900-60</t>
  </si>
  <si>
    <t>Lai 1900-60</t>
  </si>
  <si>
    <t>Lai tra gop 1900-60</t>
  </si>
  <si>
    <t>Du no 1900-61</t>
  </si>
  <si>
    <t>Phi 1900-61</t>
  </si>
  <si>
    <t>Da thanh toan 1900-61</t>
  </si>
  <si>
    <t>Lai 1900-61</t>
  </si>
  <si>
    <t>Lai tra gop 1900-61</t>
  </si>
  <si>
    <t>Du no 1900-62</t>
  </si>
  <si>
    <t>Phi 1900-62</t>
  </si>
  <si>
    <t>Da thanh toan 1900-62</t>
  </si>
  <si>
    <t>Lai 1900-62</t>
  </si>
  <si>
    <t>Lai tra gop 1900-62</t>
  </si>
  <si>
    <t>Du no 1900-63</t>
  </si>
  <si>
    <t>Phi 1900-63</t>
  </si>
  <si>
    <t>Da thanh toan 1900-63</t>
  </si>
  <si>
    <t>Lai 1900-63</t>
  </si>
  <si>
    <t>Lai tra gop 1900-63</t>
  </si>
  <si>
    <t>Du no 1900-64</t>
  </si>
  <si>
    <t>Phi 1900-64</t>
  </si>
  <si>
    <t>Da thanh toan 1900-64</t>
  </si>
  <si>
    <t>Lai 1900-64</t>
  </si>
  <si>
    <t>Lai tra gop 1900-64</t>
  </si>
  <si>
    <t>Du no 1900-65</t>
  </si>
  <si>
    <t>Phi 1900-65</t>
  </si>
  <si>
    <t>Da thanh toan 1900-65</t>
  </si>
  <si>
    <t>Lai 1900-65</t>
  </si>
  <si>
    <t>Lai tra gop 1900-65</t>
  </si>
  <si>
    <t>Du no 1900-66</t>
  </si>
  <si>
    <t>Phi 1900-66</t>
  </si>
  <si>
    <t>Da thanh toan 1900-66</t>
  </si>
  <si>
    <t>Lai 1900-66</t>
  </si>
  <si>
    <t>Lai tra gop 1900-66</t>
  </si>
  <si>
    <t>Du no 1900-67</t>
  </si>
  <si>
    <t>Phi 1900-67</t>
  </si>
  <si>
    <t>Da thanh toan 1900-67</t>
  </si>
  <si>
    <t>Lai 1900-67</t>
  </si>
  <si>
    <t>Lai tra gop 1900-67</t>
  </si>
  <si>
    <t>Du no 1900-68</t>
  </si>
  <si>
    <t>Phi 1900-68</t>
  </si>
  <si>
    <t>Da thanh toan 1900-68</t>
  </si>
  <si>
    <t>Lai 1900-68</t>
  </si>
  <si>
    <t>Lai tra gop 1900-68</t>
  </si>
  <si>
    <t>Du no 1900-69</t>
  </si>
  <si>
    <t>Phi 1900-69</t>
  </si>
  <si>
    <t>Da thanh toan 1900-69</t>
  </si>
  <si>
    <t>Lai 1900-69</t>
  </si>
  <si>
    <t>Lai tra gop 1900-69</t>
  </si>
  <si>
    <t>Du no 1900-70</t>
  </si>
  <si>
    <t>Phi 1900-70</t>
  </si>
  <si>
    <t>Da thanh toan 1900-70</t>
  </si>
  <si>
    <t>Lai 1900-70</t>
  </si>
  <si>
    <t>Lai tra gop 1900-70</t>
  </si>
  <si>
    <t>Du no 1900-71</t>
  </si>
  <si>
    <t>Phi 1900-71</t>
  </si>
  <si>
    <t>Da thanh toan 1900-71</t>
  </si>
  <si>
    <t>Lai 1900-71</t>
  </si>
  <si>
    <t>Lai tra gop 1900-71</t>
  </si>
  <si>
    <t>Du no 1900-72</t>
  </si>
  <si>
    <t>Phi 1900-72</t>
  </si>
  <si>
    <t>Da thanh toan 1900-72</t>
  </si>
  <si>
    <t>Lai 1900-72</t>
  </si>
  <si>
    <t>Lai tra gop 1900-72</t>
  </si>
  <si>
    <t>Du no 1900-73</t>
  </si>
  <si>
    <t>Phi 1900-73</t>
  </si>
  <si>
    <t>Da thanh toan 1900-73</t>
  </si>
  <si>
    <t>Lai 1900-73</t>
  </si>
  <si>
    <t>Lai tra gop 1900-73</t>
  </si>
  <si>
    <t>Du no 1900-74</t>
  </si>
  <si>
    <t>Phi 1900-74</t>
  </si>
  <si>
    <t>Da thanh toan 1900-74</t>
  </si>
  <si>
    <t>Lai 1900-74</t>
  </si>
  <si>
    <t>Lai tra gop 1900-74</t>
  </si>
  <si>
    <t>Du no 1900-75</t>
  </si>
  <si>
    <t>Phi 1900-75</t>
  </si>
  <si>
    <t>Da thanh toan 1900-75</t>
  </si>
  <si>
    <t>Lai 1900-75</t>
  </si>
  <si>
    <t>Lai tra gop 1900-75</t>
  </si>
  <si>
    <t>Du no 1900-76</t>
  </si>
  <si>
    <t>Phi 1900-76</t>
  </si>
  <si>
    <t>Da thanh toan 1900-76</t>
  </si>
  <si>
    <t>Lai 1900-76</t>
  </si>
  <si>
    <t>Lai tra gop 1900-76</t>
  </si>
  <si>
    <t>Du no 1900-77</t>
  </si>
  <si>
    <t>Phi 1900-77</t>
  </si>
  <si>
    <t>Da thanh toan 1900-77</t>
  </si>
  <si>
    <t>Lai 1900-77</t>
  </si>
  <si>
    <t>Lai tra gop 1900-77</t>
  </si>
  <si>
    <t>Du no 1900-78</t>
  </si>
  <si>
    <t>Phi 1900-78</t>
  </si>
  <si>
    <t>Da thanh toan 1900-78</t>
  </si>
  <si>
    <t>Lai 1900-78</t>
  </si>
  <si>
    <t>Lai tra gop 1900-78</t>
  </si>
  <si>
    <t>Du no 1900-79</t>
  </si>
  <si>
    <t>Phi 1900-79</t>
  </si>
  <si>
    <t>Da thanh toan 1900-79</t>
  </si>
  <si>
    <t>Lai 1900-79</t>
  </si>
  <si>
    <t>Lai tra gop 1900-79</t>
  </si>
  <si>
    <t>Du no 1900-80</t>
  </si>
  <si>
    <t>Phi 1900-80</t>
  </si>
  <si>
    <t>Da thanh toan 1900-80</t>
  </si>
  <si>
    <t>Lai 1900-80</t>
  </si>
  <si>
    <t>Lai tra gop 1900-80</t>
  </si>
  <si>
    <t>Du no 1900-81</t>
  </si>
  <si>
    <t>Phi 1900-81</t>
  </si>
  <si>
    <t>Da thanh toan 1900-81</t>
  </si>
  <si>
    <t>Lai 1900-81</t>
  </si>
  <si>
    <t>Lai tra gop 1900-81</t>
  </si>
  <si>
    <t>Du no 1900-82</t>
  </si>
  <si>
    <t>Phi 1900-82</t>
  </si>
  <si>
    <t>Da thanh toan 1900-82</t>
  </si>
  <si>
    <t>Lai 1900-82</t>
  </si>
  <si>
    <t>Lai tra gop 1900-82</t>
  </si>
  <si>
    <t>Du no 1900-83</t>
  </si>
  <si>
    <t>Phi 1900-83</t>
  </si>
  <si>
    <t>Da thanh toan 1900-83</t>
  </si>
  <si>
    <t>Lai 1900-83</t>
  </si>
  <si>
    <t>Lai tra gop 1900-83</t>
  </si>
  <si>
    <t>Du no 1900-84</t>
  </si>
  <si>
    <t>Phi 1900-84</t>
  </si>
  <si>
    <t>Da thanh toan 1900-84</t>
  </si>
  <si>
    <t>Lai 1900-84</t>
  </si>
  <si>
    <t>Lai tra gop 1900-84</t>
  </si>
  <si>
    <t>Du no 1900-85</t>
  </si>
  <si>
    <t>Phi 1900-85</t>
  </si>
  <si>
    <t>Da thanh toan 1900-85</t>
  </si>
  <si>
    <t>Lai 1900-85</t>
  </si>
  <si>
    <t>Lai tra gop 1900-85</t>
  </si>
  <si>
    <t>Du no 1900-86</t>
  </si>
  <si>
    <t>Phi 1900-86</t>
  </si>
  <si>
    <t>Da thanh toan 1900-86</t>
  </si>
  <si>
    <t>Lai 1900-86</t>
  </si>
  <si>
    <t>Lai tra gop 1900-86</t>
  </si>
  <si>
    <t>Du no 1900-87</t>
  </si>
  <si>
    <t>Phi 1900-87</t>
  </si>
  <si>
    <t>Da thanh toan 1900-87</t>
  </si>
  <si>
    <t>Lai 1900-87</t>
  </si>
  <si>
    <t>Lai tra gop 1900-87</t>
  </si>
  <si>
    <t>Du no 1900-88</t>
  </si>
  <si>
    <t>Phi 1900-88</t>
  </si>
  <si>
    <t>Da thanh toan 1900-88</t>
  </si>
  <si>
    <t>Lai 1900-88</t>
  </si>
  <si>
    <t>Lai tra gop 1900-88</t>
  </si>
  <si>
    <t>Du no 1900-89</t>
  </si>
  <si>
    <t>Phi 1900-89</t>
  </si>
  <si>
    <t>Da thanh toan 1900-89</t>
  </si>
  <si>
    <t>Lai 1900-89</t>
  </si>
  <si>
    <t>Lai tra gop 1900-89</t>
  </si>
  <si>
    <t>Du no 1900-90</t>
  </si>
  <si>
    <t>Phi 1900-90</t>
  </si>
  <si>
    <t>Da thanh toan 1900-90</t>
  </si>
  <si>
    <t>Lai 1900-90</t>
  </si>
  <si>
    <t>Lai tra gop 1900-90</t>
  </si>
  <si>
    <t>Du no 1900-91</t>
  </si>
  <si>
    <t>Phi 1900-91</t>
  </si>
  <si>
    <t>Da thanh toan 1900-91</t>
  </si>
  <si>
    <t>Lai 1900-91</t>
  </si>
  <si>
    <t>Lai tra gop 1900-91</t>
  </si>
  <si>
    <t>Du no 1900-92</t>
  </si>
  <si>
    <t>Phi 1900-92</t>
  </si>
  <si>
    <t>Da thanh toan 1900-92</t>
  </si>
  <si>
    <t>Lai 1900-92</t>
  </si>
  <si>
    <t>Lai tra gop 1900-92</t>
  </si>
  <si>
    <t>Du no 1900-93</t>
  </si>
  <si>
    <t>Phi 1900-93</t>
  </si>
  <si>
    <t>Da thanh toan 1900-93</t>
  </si>
  <si>
    <t>Lai 1900-93</t>
  </si>
  <si>
    <t>Lai tra gop 1900-93</t>
  </si>
  <si>
    <t>Du no 1900-94</t>
  </si>
  <si>
    <t>Phi 1900-94</t>
  </si>
  <si>
    <t>Da thanh toan 1900-94</t>
  </si>
  <si>
    <t>Lai 1900-94</t>
  </si>
  <si>
    <t>Lai tra gop 1900-94</t>
  </si>
  <si>
    <t>Du no 1900-95</t>
  </si>
  <si>
    <t>Phi 1900-95</t>
  </si>
  <si>
    <t>Da thanh toan 1900-95</t>
  </si>
  <si>
    <t>Lai 1900-95</t>
  </si>
  <si>
    <t>Lai tra gop 1900-95</t>
  </si>
  <si>
    <t>Du no 1900-96</t>
  </si>
  <si>
    <t>Phi 1900-96</t>
  </si>
  <si>
    <t>Da thanh toan 1900-96</t>
  </si>
  <si>
    <t>Lai 1900-96</t>
  </si>
  <si>
    <t>Lai tra gop 1900-96</t>
  </si>
  <si>
    <t>Du no 1900-97</t>
  </si>
  <si>
    <t>Phi 1900-97</t>
  </si>
  <si>
    <t>Da thanh toan 1900-97</t>
  </si>
  <si>
    <t>Lai 1900-97</t>
  </si>
  <si>
    <t>Lai tra gop 1900-97</t>
  </si>
  <si>
    <t>Du no 1900-98</t>
  </si>
  <si>
    <t>Phi 1900-98</t>
  </si>
  <si>
    <t>Da thanh toan 1900-98</t>
  </si>
  <si>
    <t>Lai 1900-98</t>
  </si>
  <si>
    <t>Lai tra gop 1900-98</t>
  </si>
  <si>
    <t>Du no 1900-99</t>
  </si>
  <si>
    <t>Phi 1900-99</t>
  </si>
  <si>
    <t>Da thanh toan 1900-99</t>
  </si>
  <si>
    <t>Lai 1900-99</t>
  </si>
  <si>
    <t>Lai tra gop 1900-99</t>
  </si>
  <si>
    <t>Du no 1900-100</t>
  </si>
  <si>
    <t>Phi 1900-100</t>
  </si>
  <si>
    <t>Da thanh toan 1900-100</t>
  </si>
  <si>
    <t>Lai 1900-100</t>
  </si>
  <si>
    <t>Lai tra gop 1900-100</t>
  </si>
  <si>
    <t>Du no 1900-101</t>
  </si>
  <si>
    <t>Phi 1900-101</t>
  </si>
  <si>
    <t>Da thanh toan 1900-101</t>
  </si>
  <si>
    <t>Lai 1900-101</t>
  </si>
  <si>
    <t>Lai tra gop 1900-101</t>
  </si>
  <si>
    <t>Du no 1900-102</t>
  </si>
  <si>
    <t>Phi 1900-102</t>
  </si>
  <si>
    <t>Da thanh toan 1900-102</t>
  </si>
  <si>
    <t>Lai 1900-102</t>
  </si>
  <si>
    <t>Lai tra gop 1900-102</t>
  </si>
  <si>
    <t>Du no 1900-103</t>
  </si>
  <si>
    <t>Phi 1900-103</t>
  </si>
  <si>
    <t>Da thanh toan 1900-103</t>
  </si>
  <si>
    <t>Lai 1900-103</t>
  </si>
  <si>
    <t>Lai tra gop 1900-103</t>
  </si>
  <si>
    <t>Du no 1900-104</t>
  </si>
  <si>
    <t>Phi 1900-104</t>
  </si>
  <si>
    <t>Da thanh toan 1900-104</t>
  </si>
  <si>
    <t>Lai 1900-104</t>
  </si>
  <si>
    <t>Lai tra gop 1900-104</t>
  </si>
  <si>
    <t>Du no 1900-105</t>
  </si>
  <si>
    <t>Phi 1900-105</t>
  </si>
  <si>
    <t>Da thanh toan 1900-105</t>
  </si>
  <si>
    <t>Lai 1900-105</t>
  </si>
  <si>
    <t>Lai tra gop 1900-105</t>
  </si>
  <si>
    <t>Du no 1900-106</t>
  </si>
  <si>
    <t>Phi 1900-106</t>
  </si>
  <si>
    <t>Da thanh toan 1900-106</t>
  </si>
  <si>
    <t>Lai 1900-106</t>
  </si>
  <si>
    <t>Lai tra gop 1900-106</t>
  </si>
  <si>
    <t>Du no 1900-107</t>
  </si>
  <si>
    <t>Phi 1900-107</t>
  </si>
  <si>
    <t>Da thanh toan 1900-107</t>
  </si>
  <si>
    <t>Lai 1900-107</t>
  </si>
  <si>
    <t>Lai tra gop 1900-107</t>
  </si>
  <si>
    <t>Du no 1900-108</t>
  </si>
  <si>
    <t>Phi 1900-108</t>
  </si>
  <si>
    <t>Da thanh toan 1900-108</t>
  </si>
  <si>
    <t>Lai 1900-108</t>
  </si>
  <si>
    <t>Lai tra gop 1900-108</t>
  </si>
  <si>
    <t>Du no 1900-109</t>
  </si>
  <si>
    <t>Phi 1900-109</t>
  </si>
  <si>
    <t>Da thanh toan 1900-109</t>
  </si>
  <si>
    <t>Lai 1900-109</t>
  </si>
  <si>
    <t>Lai tra gop 1900-109</t>
  </si>
  <si>
    <t>Du no 1900-110</t>
  </si>
  <si>
    <t>Phi 1900-110</t>
  </si>
  <si>
    <t>Da thanh toan 1900-110</t>
  </si>
  <si>
    <t>Lai 1900-110</t>
  </si>
  <si>
    <t>Lai tra gop 1900-110</t>
  </si>
  <si>
    <t>Du no 1900-111</t>
  </si>
  <si>
    <t>Phi 1900-111</t>
  </si>
  <si>
    <t>Da thanh toan 1900-111</t>
  </si>
  <si>
    <t>Lai 1900-111</t>
  </si>
  <si>
    <t>Lai tra gop 1900-111</t>
  </si>
  <si>
    <t>Du no 1900-112</t>
  </si>
  <si>
    <t>Phi 1900-112</t>
  </si>
  <si>
    <t>Da thanh toan 1900-112</t>
  </si>
  <si>
    <t>Lai 1900-112</t>
  </si>
  <si>
    <t>Lai tra gop 1900-112</t>
  </si>
  <si>
    <t>Du no 1900-113</t>
  </si>
  <si>
    <t>Phi 1900-113</t>
  </si>
  <si>
    <t>Da thanh toan 1900-113</t>
  </si>
  <si>
    <t>Lai 1900-113</t>
  </si>
  <si>
    <t>Lai tra gop 1900-113</t>
  </si>
  <si>
    <t>Du no 1900-114</t>
  </si>
  <si>
    <t>Phi 1900-114</t>
  </si>
  <si>
    <t>Da thanh toan 1900-114</t>
  </si>
  <si>
    <t>Lai 1900-114</t>
  </si>
  <si>
    <t>Lai tra gop 1900-114</t>
  </si>
  <si>
    <t>Du no 1900-115</t>
  </si>
  <si>
    <t>Phi 1900-115</t>
  </si>
  <si>
    <t>Da thanh toan 1900-115</t>
  </si>
  <si>
    <t>Lai 1900-115</t>
  </si>
  <si>
    <t>Lai tra gop 1900-115</t>
  </si>
  <si>
    <t>Du no 1900-116</t>
  </si>
  <si>
    <t>Phi 1900-116</t>
  </si>
  <si>
    <t>Da thanh toan 1900-116</t>
  </si>
  <si>
    <t>Lai 1900-116</t>
  </si>
  <si>
    <t>Lai tra gop 1900-116</t>
  </si>
  <si>
    <t>Du no 1900-117</t>
  </si>
  <si>
    <t>Phi 1900-117</t>
  </si>
  <si>
    <t>Da thanh toan 1900-117</t>
  </si>
  <si>
    <t>Lai 1900-117</t>
  </si>
  <si>
    <t>Lai tra gop 1900-117</t>
  </si>
  <si>
    <t>Du no 1900-118</t>
  </si>
  <si>
    <t>Phi 1900-118</t>
  </si>
  <si>
    <t>Da thanh toan 1900-118</t>
  </si>
  <si>
    <t>Lai 1900-118</t>
  </si>
  <si>
    <t>Lai tra gop 1900-118</t>
  </si>
  <si>
    <t>Du no 1900-119</t>
  </si>
  <si>
    <t>Phi 1900-119</t>
  </si>
  <si>
    <t>Da thanh toan 1900-119</t>
  </si>
  <si>
    <t>Lai 1900-119</t>
  </si>
  <si>
    <t>Lai tra gop 1900-119</t>
  </si>
  <si>
    <t>Du no 1900-120</t>
  </si>
  <si>
    <t>Phi 1900-120</t>
  </si>
  <si>
    <t>Da thanh toan 1900-120</t>
  </si>
  <si>
    <t>Lai 1900-120</t>
  </si>
  <si>
    <t>Lai tra gop 1900-120</t>
  </si>
  <si>
    <t>Du no 1900-121</t>
  </si>
  <si>
    <t>Phi 1900-121</t>
  </si>
  <si>
    <t>Da thanh toan 1900-121</t>
  </si>
  <si>
    <t>Lai 1900-121</t>
  </si>
  <si>
    <t>Lai tra gop 1900-121</t>
  </si>
  <si>
    <t>Du no 1900-122</t>
  </si>
  <si>
    <t>Phi 1900-122</t>
  </si>
  <si>
    <t>Da thanh toan 1900-122</t>
  </si>
  <si>
    <t>Lai 1900-122</t>
  </si>
  <si>
    <t>Lai tra gop 1900-122</t>
  </si>
  <si>
    <t>Du no 1900-123</t>
  </si>
  <si>
    <t>Phi 1900-123</t>
  </si>
  <si>
    <t>Da thanh toan 1900-123</t>
  </si>
  <si>
    <t>Lai 1900-123</t>
  </si>
  <si>
    <t>Lai tra gop 1900-123</t>
  </si>
  <si>
    <t>Du no 1900-124</t>
  </si>
  <si>
    <t>Phi 1900-124</t>
  </si>
  <si>
    <t>Da thanh toan 1900-124</t>
  </si>
  <si>
    <t>Lai 1900-124</t>
  </si>
  <si>
    <t>Lai tra gop 1900-124</t>
  </si>
  <si>
    <t>Du no 1900-125</t>
  </si>
  <si>
    <t>Phi 1900-125</t>
  </si>
  <si>
    <t>Da thanh toan 1900-125</t>
  </si>
  <si>
    <t>Lai 1900-125</t>
  </si>
  <si>
    <t>Lai tra gop 1900-125</t>
  </si>
  <si>
    <t>Du no 1900-126</t>
  </si>
  <si>
    <t>Phi 1900-126</t>
  </si>
  <si>
    <t>Da thanh toan 1900-126</t>
  </si>
  <si>
    <t>Lai 1900-126</t>
  </si>
  <si>
    <t>Lai tra gop 1900-126</t>
  </si>
  <si>
    <t>Du no 1900-127</t>
  </si>
  <si>
    <t>Phi 1900-127</t>
  </si>
  <si>
    <t>Da thanh toan 1900-127</t>
  </si>
  <si>
    <t>Lai 1900-127</t>
  </si>
  <si>
    <t>Lai tra gop 1900-127</t>
  </si>
  <si>
    <t>Du no 1900-128</t>
  </si>
  <si>
    <t>Phi 1900-128</t>
  </si>
  <si>
    <t>Da thanh toan 1900-128</t>
  </si>
  <si>
    <t>Lai 1900-128</t>
  </si>
  <si>
    <t>Lai tra gop 1900-128</t>
  </si>
  <si>
    <t>Du no 1900-129</t>
  </si>
  <si>
    <t>Phi 1900-129</t>
  </si>
  <si>
    <t>Da thanh toan 1900-129</t>
  </si>
  <si>
    <t>Lai 1900-129</t>
  </si>
  <si>
    <t>Lai tra gop 1900-129</t>
  </si>
  <si>
    <t>Du no 1900-130</t>
  </si>
  <si>
    <t>Phi 1900-130</t>
  </si>
  <si>
    <t>Da thanh toan 1900-130</t>
  </si>
  <si>
    <t>Lai 1900-130</t>
  </si>
  <si>
    <t>Lai tra gop 1900-130</t>
  </si>
  <si>
    <t>Du no 1900-131</t>
  </si>
  <si>
    <t>Phi 1900-131</t>
  </si>
  <si>
    <t>Da thanh toan 1900-131</t>
  </si>
  <si>
    <t>Lai 1900-131</t>
  </si>
  <si>
    <t>Lai tra gop 1900-131</t>
  </si>
  <si>
    <t>Du no 1900-132</t>
  </si>
  <si>
    <t>Phi 1900-132</t>
  </si>
  <si>
    <t>Da thanh toan 1900-132</t>
  </si>
  <si>
    <t>Lai 1900-132</t>
  </si>
  <si>
    <t>Lai tra gop 1900-132</t>
  </si>
  <si>
    <t>Du no 1900-133</t>
  </si>
  <si>
    <t>Phi 1900-133</t>
  </si>
  <si>
    <t>Da thanh toan 1900-133</t>
  </si>
  <si>
    <t>Lai 1900-133</t>
  </si>
  <si>
    <t>Lai tra gop 1900-133</t>
  </si>
  <si>
    <t>Du no 1900-134</t>
  </si>
  <si>
    <t>Phi 1900-134</t>
  </si>
  <si>
    <t>Da thanh toan 1900-134</t>
  </si>
  <si>
    <t>Lai 1900-134</t>
  </si>
  <si>
    <t>Lai tra gop 1900-134</t>
  </si>
  <si>
    <t>Du no 1900-135</t>
  </si>
  <si>
    <t>Phi 1900-135</t>
  </si>
  <si>
    <t>Da thanh toan 1900-135</t>
  </si>
  <si>
    <t>Lai 1900-135</t>
  </si>
  <si>
    <t>Lai tra gop 1900-135</t>
  </si>
  <si>
    <t>Du no 1900-136</t>
  </si>
  <si>
    <t>Phi 1900-136</t>
  </si>
  <si>
    <t>Da thanh toan 1900-136</t>
  </si>
  <si>
    <t>Lai 1900-136</t>
  </si>
  <si>
    <t>Lai tra gop 1900-136</t>
  </si>
  <si>
    <t>Du no 1900-137</t>
  </si>
  <si>
    <t>Phi 1900-137</t>
  </si>
  <si>
    <t>Da thanh toan 1900-137</t>
  </si>
  <si>
    <t>Lai 1900-137</t>
  </si>
  <si>
    <t>Lai tra gop 1900-137</t>
  </si>
  <si>
    <t>Du no 1900-138</t>
  </si>
  <si>
    <t>Phi 1900-138</t>
  </si>
  <si>
    <t>Da thanh toan 1900-138</t>
  </si>
  <si>
    <t>Lai 1900-138</t>
  </si>
  <si>
    <t>Lai tra gop 1900-138</t>
  </si>
  <si>
    <t>Du no 1900-139</t>
  </si>
  <si>
    <t>Phi 1900-139</t>
  </si>
  <si>
    <t>Da thanh toan 1900-139</t>
  </si>
  <si>
    <t>Lai 1900-139</t>
  </si>
  <si>
    <t>Lai tra gop 1900-139</t>
  </si>
  <si>
    <t>Link hướng dẫn : https://giabao1881.github.io/BKTL/</t>
  </si>
  <si>
    <t>Account Transfer</t>
  </si>
  <si>
    <t>VPB_INSTALMENT=CASH-Chuyen goc tra gop con lai sang du no thong thuong khi BadDebt</t>
  </si>
  <si>
    <t>VPB_INSTALMENT=CASH-Chuyen goc tra gop sang qua han</t>
  </si>
  <si>
    <t>VPB_INSTALMENT=CASH-Chuyen lai tra gop sang qua han</t>
  </si>
  <si>
    <t>VPB_INSTALMENT=RETAIL-Chuyen goc tra gop Aged sang du no thong thuong khi BadDebt</t>
  </si>
  <si>
    <t>VPB_INSTALMENT=CASH-Chuyen goc tra gop Aged sang du no thong thuong khi BadDebt</t>
  </si>
  <si>
    <t>CASH-Chuyen lai tra gop con lai sang du no thong thuong khi BadDebt</t>
  </si>
  <si>
    <t>VPB_INSTALMENT=CASH-Chuyen lai tra gop Aged sang du no thong thuong khi BadDebt</t>
  </si>
  <si>
    <t>VPB_INSTALMENT=CASH-Trich no hang thang tra gop the TD</t>
  </si>
  <si>
    <t>CASH-Trich lai tra gop the TD</t>
  </si>
  <si>
    <t>FTL202313104EB749374</t>
  </si>
  <si>
    <t>VPB_INSTALMENT=CASH-Chuyen doi giao dich sang tra gop</t>
  </si>
  <si>
    <t>OCB</t>
  </si>
  <si>
    <t>IBT Receive money</t>
  </si>
  <si>
    <t>FTL202333031EB352432</t>
  </si>
  <si>
    <t>BHBA1 20235705035703629</t>
  </si>
  <si>
    <t>FTL202232354EB010452</t>
  </si>
  <si>
    <t>BHBA12 20223403113406729</t>
  </si>
  <si>
    <t>FTL202232320EB784125</t>
  </si>
  <si>
    <t>BHBA11 20221303121307255</t>
  </si>
  <si>
    <t>FTL202222290EB602008</t>
  </si>
  <si>
    <t>BHBA10 20220705010728444</t>
  </si>
  <si>
    <t>BHBA9 20225705095738336</t>
  </si>
  <si>
    <t>BHBA8 20222602072657300</t>
  </si>
  <si>
    <t>BHBA7 20222702022727358</t>
  </si>
  <si>
    <t>BHBA6 20224601104648830</t>
  </si>
  <si>
    <t>BHBA5 20223705063718499</t>
  </si>
  <si>
    <t>BHBA4 20221905031950655</t>
  </si>
  <si>
    <t>BHBA3 20223004083031728</t>
  </si>
  <si>
    <t>BHBA2 20222809082803077</t>
  </si>
  <si>
    <t>BHBA1 20224805064801354</t>
  </si>
  <si>
    <t>VPB_INSTALMENT=RETAIL-Chuyen goc tra gop sang qua han</t>
  </si>
  <si>
    <t>BHBA11 20215202115256560</t>
  </si>
  <si>
    <t>VPB_INSTALMENT=RETAIL-Trich no hang thang tra gop the TD</t>
  </si>
  <si>
    <t>BHBA10 20213704033750838</t>
  </si>
  <si>
    <t>BHBA9 20211206011218306</t>
  </si>
  <si>
    <t>BHBA8 20215203115212310</t>
  </si>
  <si>
    <t>FTL202111190EB936079</t>
  </si>
  <si>
    <t>BHBA7 20211402111440959</t>
  </si>
  <si>
    <t>FT21165B00000893</t>
  </si>
  <si>
    <t>FTL202111160EB769896</t>
  </si>
  <si>
    <t>BHBA6 20215404015444901</t>
  </si>
  <si>
    <t>VPB_INSTALMENT=RETAIL-Chuyen doi giao dich sang tra gop</t>
  </si>
  <si>
    <t>NGAN LUONG INTERPAY .,</t>
  </si>
  <si>
    <t>BHBA5 20214004054002232</t>
  </si>
  <si>
    <t>BHBA4 20213301063325725</t>
  </si>
  <si>
    <t>BHBA3 20213902123908030</t>
  </si>
  <si>
    <t>BHBA2 20213207023200619</t>
  </si>
  <si>
    <t>BHBA1 20214609074643560</t>
  </si>
  <si>
    <t>BHBA12 20200403020441937</t>
  </si>
  <si>
    <t>BHBA11 20202102072118622</t>
  </si>
  <si>
    <t>000000062000013 TSCN</t>
  </si>
  <si>
    <t>000000062200008 NHCT</t>
  </si>
  <si>
    <t>BHBA10 20204802064801372</t>
  </si>
  <si>
    <t>BHBA9 20202202052216870</t>
  </si>
  <si>
    <t>ACB ATM PGD DI LINH</t>
  </si>
  <si>
    <t>BARD 693 quoc lo 20,</t>
  </si>
  <si>
    <t>PGD DUC TRONG</t>
  </si>
  <si>
    <t>BHBA8 20201502121532387</t>
  </si>
  <si>
    <t>DAKLAK QUY TD DAKRUC</t>
  </si>
  <si>
    <t>61 NGUYEN TAT THANH,</t>
  </si>
  <si>
    <t>BHBA7 20201214101224511</t>
  </si>
  <si>
    <t>BHTHE20200611210805579</t>
  </si>
  <si>
    <t>BIG C DA LAT</t>
  </si>
  <si>
    <r>
      <t> File → Options → Trust Center → Trust Center Settings → Protected View →</t>
    </r>
    <r>
      <rPr>
        <b/>
        <sz val="14"/>
        <color theme="1"/>
        <rFont val="Calibri"/>
        <family val="2"/>
        <scheme val="minor"/>
      </rPr>
      <t xml:space="preserve"> bỏ chọn</t>
    </r>
    <r>
      <rPr>
        <b/>
        <sz val="14"/>
        <color rgb="FFFF0000"/>
        <rFont val="Calibri"/>
        <family val="2"/>
        <scheme val="minor"/>
      </rPr>
      <t xml:space="preserve"> các ô “Enable Protected View” → OK</t>
    </r>
  </si>
  <si>
    <r>
      <t xml:space="preserve"> File → Options → Trust Center → Trust Center Settings → Macro Settings → </t>
    </r>
    <r>
      <rPr>
        <b/>
        <sz val="14"/>
        <color theme="1"/>
        <rFont val="Calibri"/>
        <family val="2"/>
        <scheme val="minor"/>
      </rPr>
      <t>Tíck chọn</t>
    </r>
    <r>
      <rPr>
        <b/>
        <sz val="14"/>
        <color rgb="FFFF0000"/>
        <rFont val="Calibri"/>
        <family val="2"/>
        <scheme val="minor"/>
      </rPr>
      <t xml:space="preserve"> ”Enable ….. Và Trust access…"→ OK</t>
    </r>
  </si>
  <si>
    <t>Nếu up file bị văng ra thì bạn nên tải lại file và up file trước rồi nhập thông tin sau</t>
  </si>
  <si>
    <t>Nếu bấm chạy không được thì làm theo 02 dòng đỏ bên dưới và cày đặt máy theo hướng dẫn trên link</t>
  </si>
  <si>
    <t xml:space="preserve">Nhập số G2 xong ô H2 hiện " REF" là ok </t>
  </si>
  <si>
    <r>
      <t>Chỗ này úp file .</t>
    </r>
    <r>
      <rPr>
        <b/>
        <sz val="14"/>
        <color theme="1"/>
        <rFont val="Calibri"/>
        <family val="2"/>
        <scheme val="minor"/>
      </rPr>
      <t>TXT nha (TXT đỡ lỗi hơn EXCEL</t>
    </r>
    <r>
      <rPr>
        <b/>
        <sz val="14"/>
        <color rgb="FFFF0000"/>
        <rFont val="Calibri"/>
        <family val="2"/>
        <scheme val="minor"/>
      </rPr>
      <t>, nhiều máy lỗi nên anh em ưu tiên up TXT nha)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</si>
</sst>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1" formatCode="_-* #,##0_-;\-* #,##0_-;_-* &quot;-&quot;_-;_-@_-"/>
    <numFmt numFmtId="43" formatCode="_-* #,##0.00_-;\-* #,##0.00_-;_-* &quot;-&quot;??_-;_-@_-"/>
    <numFmt numFmtId="164" formatCode="_(* #,##0.00_);_(* \(#,##0.00\);_(* &quot;-&quot;??_);_(@_)"/>
    <numFmt numFmtId="165" formatCode="_(* #,##0_);_(* \(#,##0\);_(* &quot;-&quot;??_);_(@_)"/>
    <numFmt numFmtId="166" formatCode="_-* #,##0_-;\-* #,##0_-;_-* &quot;-&quot;??_-;_-@_-"/>
    <numFmt numFmtId="167" formatCode="_-* #,##0.00_-;\-* #,##0.00_-;_-* &quot;-&quot;_-;_-@_-"/>
    <numFmt numFmtId="168" formatCode="_-* #,##0.0_-;\-* #,##0.0_-;_-* &quot;-&quot;??_-;_-@_-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theme="1"/>
      <name val="Times New Roman"/>
      <family val="1"/>
    </font>
    <font>
      <b/>
      <i/>
      <sz val="11"/>
      <color rgb="FFFF0000"/>
      <name val="Calibri"/>
      <family val="2"/>
      <scheme val="minor"/>
    </font>
    <font>
      <b/>
      <i/>
      <sz val="10"/>
      <color rgb="FFFF0000"/>
      <name val="Calibri"/>
      <family val="2"/>
      <scheme val="minor"/>
    </font>
    <font>
      <sz val="11"/>
      <color theme="1"/>
      <name val="Wingdings"/>
      <charset val="2"/>
    </font>
    <font>
      <sz val="11"/>
      <color rgb="FFFFFFFF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rgb="FFFF0000"/>
      <name val="Times New Roman"/>
      <family val="1"/>
    </font>
    <font>
      <b/>
      <sz val="14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4"/>
      <color rgb="FF00B050"/>
      <name val="Calibri"/>
      <family val="2"/>
      <scheme val="minor"/>
    </font>
    <font>
      <b/>
      <i/>
      <sz val="14"/>
      <color rgb="FF00B0F0"/>
      <name val="Calibri"/>
      <family val="2"/>
      <scheme val="minor"/>
    </font>
    <font>
      <sz val="12"/>
      <color rgb="FF000066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164" fontId="3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68">
    <xf numFmtId="0" fontId="0" fillId="0" borderId="0" xfId="0"/>
    <xf numFmtId="0" fontId="2" fillId="3" borderId="1" xfId="0" applyFont="1" applyFill="1" applyBorder="1" applyAlignment="1">
      <alignment horizontal="center" vertical="center" wrapText="1"/>
    </xf>
    <xf numFmtId="0" fontId="2" fillId="0" borderId="1" xfId="0" applyFont="1" applyBorder="1"/>
    <xf numFmtId="0" fontId="3" fillId="5" borderId="0" xfId="0" applyFont="1" applyFill="1"/>
    <xf numFmtId="165" fontId="3" fillId="5" borderId="0" xfId="1" applyNumberFormat="1" applyFont="1" applyFill="1"/>
    <xf numFmtId="165" fontId="3" fillId="5" borderId="0" xfId="2" applyNumberFormat="1" applyFont="1" applyFill="1"/>
    <xf numFmtId="0" fontId="4" fillId="5" borderId="0" xfId="0" applyFont="1" applyFill="1" applyAlignment="1">
      <alignment horizontal="center"/>
    </xf>
    <xf numFmtId="165" fontId="0" fillId="0" borderId="0" xfId="2" applyNumberFormat="1" applyFont="1"/>
    <xf numFmtId="2" fontId="0" fillId="0" borderId="0" xfId="0" applyNumberFormat="1"/>
    <xf numFmtId="43" fontId="0" fillId="0" borderId="0" xfId="1" applyFont="1"/>
    <xf numFmtId="166" fontId="0" fillId="0" borderId="0" xfId="0" applyNumberFormat="1"/>
    <xf numFmtId="43" fontId="0" fillId="0" borderId="0" xfId="1" applyFont="1" applyBorder="1"/>
    <xf numFmtId="43" fontId="2" fillId="3" borderId="1" xfId="1" applyFont="1" applyFill="1" applyBorder="1" applyAlignment="1">
      <alignment horizontal="center" vertical="center" wrapText="1"/>
    </xf>
    <xf numFmtId="166" fontId="0" fillId="0" borderId="1" xfId="0" applyNumberFormat="1" applyBorder="1"/>
    <xf numFmtId="166" fontId="2" fillId="0" borderId="1" xfId="0" applyNumberFormat="1" applyFont="1" applyBorder="1"/>
    <xf numFmtId="166" fontId="0" fillId="0" borderId="0" xfId="1" applyNumberFormat="1" applyFont="1"/>
    <xf numFmtId="14" fontId="3" fillId="5" borderId="0" xfId="0" applyNumberFormat="1" applyFont="1" applyFill="1"/>
    <xf numFmtId="14" fontId="0" fillId="0" borderId="0" xfId="0" applyNumberFormat="1"/>
    <xf numFmtId="0" fontId="2" fillId="0" borderId="1" xfId="0" applyFont="1" applyBorder="1" applyAlignment="1">
      <alignment horizontal="center"/>
    </xf>
    <xf numFmtId="41" fontId="0" fillId="0" borderId="0" xfId="3" applyFont="1"/>
    <xf numFmtId="0" fontId="2" fillId="0" borderId="1" xfId="0" quotePrefix="1" applyFont="1" applyBorder="1"/>
    <xf numFmtId="43" fontId="2" fillId="0" borderId="1" xfId="1" applyFont="1" applyBorder="1"/>
    <xf numFmtId="0" fontId="2" fillId="0" borderId="2" xfId="0" applyFont="1" applyBorder="1" applyAlignment="1">
      <alignment horizontal="left"/>
    </xf>
    <xf numFmtId="0" fontId="2" fillId="0" borderId="1" xfId="0" applyFont="1" applyBorder="1" applyAlignment="1">
      <alignment horizontal="center" vertical="center"/>
    </xf>
    <xf numFmtId="0" fontId="0" fillId="0" borderId="0" xfId="0" applyAlignment="1">
      <alignment vertical="center"/>
    </xf>
    <xf numFmtId="22" fontId="0" fillId="0" borderId="0" xfId="0" applyNumberFormat="1"/>
    <xf numFmtId="0" fontId="5" fillId="0" borderId="0" xfId="0" applyFont="1"/>
    <xf numFmtId="165" fontId="5" fillId="0" borderId="0" xfId="2" applyNumberFormat="1" applyFont="1"/>
    <xf numFmtId="2" fontId="5" fillId="0" borderId="0" xfId="0" applyNumberFormat="1" applyFont="1"/>
    <xf numFmtId="1" fontId="2" fillId="0" borderId="1" xfId="0" applyNumberFormat="1" applyFont="1" applyBorder="1" applyAlignment="1">
      <alignment horizontal="center" vertical="center"/>
    </xf>
    <xf numFmtId="0" fontId="2" fillId="0" borderId="1" xfId="0" applyNumberFormat="1" applyFont="1" applyBorder="1" applyAlignment="1">
      <alignment horizontal="center"/>
    </xf>
    <xf numFmtId="14" fontId="2" fillId="0" borderId="1" xfId="0" applyNumberFormat="1" applyFont="1" applyBorder="1" applyAlignment="1">
      <alignment horizontal="center"/>
    </xf>
    <xf numFmtId="167" fontId="3" fillId="5" borderId="0" xfId="3" applyNumberFormat="1" applyFont="1" applyFill="1"/>
    <xf numFmtId="167" fontId="0" fillId="0" borderId="0" xfId="3" applyNumberFormat="1" applyFont="1"/>
    <xf numFmtId="14" fontId="0" fillId="0" borderId="0" xfId="0" applyNumberFormat="1"/>
    <xf numFmtId="1" fontId="0" fillId="0" borderId="0" xfId="3" applyNumberFormat="1" applyFont="1"/>
    <xf numFmtId="0" fontId="2" fillId="0" borderId="1" xfId="0" applyFont="1" applyBorder="1" applyAlignment="1">
      <alignment horizontal="left"/>
    </xf>
    <xf numFmtId="166" fontId="2" fillId="0" borderId="1" xfId="1" applyNumberFormat="1" applyFont="1" applyBorder="1"/>
    <xf numFmtId="43" fontId="2" fillId="3" borderId="3" xfId="1" applyFont="1" applyFill="1" applyBorder="1" applyAlignment="1">
      <alignment horizontal="center" vertical="center" wrapText="1"/>
    </xf>
    <xf numFmtId="43" fontId="2" fillId="3" borderId="0" xfId="1" applyFont="1" applyFill="1" applyBorder="1" applyAlignment="1">
      <alignment horizontal="center" vertical="center" wrapText="1"/>
    </xf>
    <xf numFmtId="14" fontId="2" fillId="0" borderId="1" xfId="0" applyNumberFormat="1" applyFont="1" applyBorder="1" applyAlignment="1">
      <alignment vertical="center"/>
    </xf>
    <xf numFmtId="3" fontId="2" fillId="0" borderId="1" xfId="0" applyNumberFormat="1" applyFont="1" applyBorder="1"/>
    <xf numFmtId="43" fontId="7" fillId="0" borderId="0" xfId="1" applyFont="1" applyBorder="1"/>
    <xf numFmtId="14" fontId="0" fillId="0" borderId="1" xfId="0" applyNumberFormat="1" applyBorder="1" applyProtection="1">
      <protection hidden="1"/>
    </xf>
    <xf numFmtId="0" fontId="0" fillId="0" borderId="1" xfId="0" applyBorder="1" applyProtection="1">
      <protection hidden="1"/>
    </xf>
    <xf numFmtId="166" fontId="0" fillId="0" borderId="1" xfId="1" applyNumberFormat="1" applyFont="1" applyBorder="1" applyProtection="1">
      <protection hidden="1"/>
    </xf>
    <xf numFmtId="166" fontId="0" fillId="0" borderId="1" xfId="0" applyNumberFormat="1" applyBorder="1" applyProtection="1">
      <protection hidden="1"/>
    </xf>
    <xf numFmtId="166" fontId="0" fillId="0" borderId="0" xfId="0" applyNumberFormat="1" applyProtection="1">
      <protection hidden="1"/>
    </xf>
    <xf numFmtId="0" fontId="0" fillId="0" borderId="0" xfId="0" applyProtection="1">
      <protection hidden="1"/>
    </xf>
    <xf numFmtId="43" fontId="2" fillId="4" borderId="1" xfId="1" applyFont="1" applyFill="1" applyBorder="1" applyAlignment="1">
      <alignment horizontal="center" vertical="center" wrapText="1"/>
    </xf>
    <xf numFmtId="0" fontId="8" fillId="0" borderId="0" xfId="0" applyFont="1"/>
    <xf numFmtId="0" fontId="9" fillId="0" borderId="0" xfId="0" applyFont="1"/>
    <xf numFmtId="14" fontId="0" fillId="0" borderId="0" xfId="0" applyNumberFormat="1"/>
    <xf numFmtId="0" fontId="10" fillId="0" borderId="0" xfId="0" applyFont="1"/>
    <xf numFmtId="0" fontId="6" fillId="0" borderId="0" xfId="0" quotePrefix="1" applyFont="1"/>
    <xf numFmtId="0" fontId="11" fillId="0" borderId="0" xfId="0" quotePrefix="1" applyFont="1"/>
    <xf numFmtId="0" fontId="12" fillId="0" borderId="0" xfId="0" applyFont="1"/>
    <xf numFmtId="168" fontId="0" fillId="0" borderId="1" xfId="1" applyNumberFormat="1" applyFont="1" applyBorder="1"/>
    <xf numFmtId="0" fontId="6" fillId="0" borderId="0" xfId="0" applyFont="1" applyAlignment="1">
      <alignment vertical="top" wrapText="1"/>
    </xf>
    <xf numFmtId="14" fontId="0" fillId="0" borderId="0" xfId="0" applyNumberFormat="1"/>
    <xf numFmtId="0" fontId="2" fillId="6" borderId="1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  <xf numFmtId="0" fontId="16" fillId="0" borderId="0" xfId="0" applyFont="1" applyFill="1"/>
    <xf numFmtId="0" fontId="6" fillId="0" borderId="4" xfId="0" applyFont="1" applyBorder="1" applyAlignment="1">
      <alignment horizontal="center" vertical="top" wrapText="1"/>
    </xf>
    <xf numFmtId="14" fontId="0" fillId="0" borderId="0" xfId="0" applyNumberFormat="1"/>
    <xf numFmtId="0" fontId="0" fillId="0" borderId="0" xfId="0" applyNumberFormat="1"/>
    <xf numFmtId="0" fontId="2" fillId="2" borderId="0" xfId="0" applyFont="1" applyFill="1" applyAlignment="1">
      <alignment horizontal="center"/>
    </xf>
  </cellXfs>
  <cellStyles count="4">
    <cellStyle name="Comma" xfId="1" builtinId="3"/>
    <cellStyle name="Comma [0]" xfId="3" builtinId="6"/>
    <cellStyle name="Comma 2" xfId="2"/>
    <cellStyle name="Normal" xfId="0" builtinId="0"/>
  </cellStyles>
  <dxfs count="0"/>
  <tableStyles count="0" defaultTableStyle="TableStyleMedium2" defaultPivotStyle="PivotStyleLight16"/>
  <colors>
    <mruColors>
      <color rgb="FF000066"/>
      <color rgb="FFF53B3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1559858</xdr:colOff>
      <xdr:row>10</xdr:row>
      <xdr:rowOff>94129</xdr:rowOff>
    </xdr:from>
    <xdr:ext cx="65" cy="172227"/>
    <xdr:sp macro="" textlink="">
      <xdr:nvSpPr>
        <xdr:cNvPr id="3" name="TextBox 2"/>
        <xdr:cNvSpPr txBox="1"/>
      </xdr:nvSpPr>
      <xdr:spPr>
        <a:xfrm>
          <a:off x="8032376" y="258631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5</xdr:col>
      <xdr:colOff>1559858</xdr:colOff>
      <xdr:row>10</xdr:row>
      <xdr:rowOff>94129</xdr:rowOff>
    </xdr:from>
    <xdr:ext cx="65" cy="172227"/>
    <xdr:sp macro="" textlink="">
      <xdr:nvSpPr>
        <xdr:cNvPr id="4" name="TextBox 3"/>
        <xdr:cNvSpPr txBox="1"/>
      </xdr:nvSpPr>
      <xdr:spPr>
        <a:xfrm>
          <a:off x="8032376" y="2263588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twoCellAnchor editAs="oneCell">
    <xdr:from>
      <xdr:col>2</xdr:col>
      <xdr:colOff>324969</xdr:colOff>
      <xdr:row>4</xdr:row>
      <xdr:rowOff>24561</xdr:rowOff>
    </xdr:from>
    <xdr:to>
      <xdr:col>3</xdr:col>
      <xdr:colOff>829234</xdr:colOff>
      <xdr:row>13</xdr:row>
      <xdr:rowOff>183784</xdr:rowOff>
    </xdr:to>
    <xdr:pic macro="[0]!Module3.CapNhatToanBo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2725791" y="1198876"/>
          <a:ext cx="1717724" cy="1920696"/>
        </a:xfrm>
        <a:prstGeom prst="rect">
          <a:avLst/>
        </a:prstGeom>
      </xdr:spPr>
    </xdr:pic>
    <xdr:clientData/>
  </xdr:twoCellAnchor>
  <xdr:twoCellAnchor>
    <xdr:from>
      <xdr:col>0</xdr:col>
      <xdr:colOff>917042</xdr:colOff>
      <xdr:row>5</xdr:row>
      <xdr:rowOff>192538</xdr:rowOff>
    </xdr:from>
    <xdr:to>
      <xdr:col>2</xdr:col>
      <xdr:colOff>132629</xdr:colOff>
      <xdr:row>12</xdr:row>
      <xdr:rowOff>151202</xdr:rowOff>
    </xdr:to>
    <xdr:grpSp>
      <xdr:nvGrpSpPr>
        <xdr:cNvPr id="13" name="Group 12"/>
        <xdr:cNvGrpSpPr/>
      </xdr:nvGrpSpPr>
      <xdr:grpSpPr>
        <a:xfrm>
          <a:off x="917042" y="1562572"/>
          <a:ext cx="1616409" cy="1328698"/>
          <a:chOff x="717178" y="1568825"/>
          <a:chExt cx="2296498" cy="1647263"/>
        </a:xfrm>
      </xdr:grpSpPr>
      <xdr:pic macro="[0]!Upload_To_Saokethe_Safe">
        <xdr:nvPicPr>
          <xdr:cNvPr id="11" name="Picture 10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2640193">
            <a:off x="2558413" y="1966868"/>
            <a:ext cx="455263" cy="455263"/>
          </a:xfrm>
          <a:prstGeom prst="rect">
            <a:avLst/>
          </a:prstGeom>
        </xdr:spPr>
      </xdr:pic>
      <xdr:pic macro="[0]!Upload_To_Saokethe_Safe">
        <xdr:nvPicPr>
          <xdr:cNvPr id="10" name="Picture 9"/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17178" y="1568825"/>
            <a:ext cx="1647263" cy="1647263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59"/>
  <sheetViews>
    <sheetView zoomScale="70" zoomScaleNormal="100" workbookViewId="0">
      <selection activeCell="D15" sqref="D15"/>
    </sheetView>
  </sheetViews>
  <sheetFormatPr defaultRowHeight="15" x14ac:dyDescent="0.25"/>
  <cols>
    <col min="1" max="1" width="15.42578125" customWidth="1"/>
    <col min="2" max="2" width="21.140625" customWidth="1"/>
    <col min="3" max="3" width="18.5703125" customWidth="1"/>
    <col min="4" max="4" width="30.7109375" customWidth="1"/>
    <col min="5" max="5" width="20.7109375" style="9" customWidth="1"/>
    <col min="6" max="6" width="16.85546875" style="9" customWidth="1"/>
    <col min="7" max="10" width="15.42578125" style="9" customWidth="1"/>
    <col min="11" max="11" width="18.42578125" customWidth="1"/>
    <col min="12" max="12" width="27.140625" customWidth="1"/>
    <col min="13" max="13" width="9.140625" hidden="1" customWidth="1"/>
    <col min="14" max="14" width="15.42578125" hidden="1" customWidth="1"/>
    <col min="15" max="19" width="8.85546875" hidden="1" customWidth="1"/>
    <col min="20" max="20" width="8.85546875" customWidth="1"/>
    <col min="21" max="21" width="10.5703125" bestFit="1" customWidth="1"/>
  </cols>
  <sheetData>
    <row r="1" spans="1:21" x14ac:dyDescent="0.25">
      <c r="A1" s="67" t="s">
        <v>45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21" x14ac:dyDescent="0.25">
      <c r="B2" s="52"/>
    </row>
    <row r="3" spans="1:21" x14ac:dyDescent="0.25">
      <c r="A3" s="22" t="s">
        <v>0</v>
      </c>
      <c r="B3" s="30"/>
      <c r="D3" s="9"/>
      <c r="F3" s="11"/>
      <c r="G3" s="11"/>
      <c r="H3" s="11"/>
      <c r="I3" s="11"/>
      <c r="J3" s="11"/>
      <c r="K3" s="11"/>
    </row>
    <row r="4" spans="1:21" x14ac:dyDescent="0.25">
      <c r="A4" s="22" t="s">
        <v>1</v>
      </c>
      <c r="B4" s="18"/>
      <c r="D4" s="2" t="s">
        <v>24</v>
      </c>
      <c r="E4" s="14">
        <f>SUM(E12:E150)</f>
        <v>0</v>
      </c>
      <c r="F4" s="11"/>
      <c r="J4"/>
      <c r="K4" s="11"/>
    </row>
    <row r="5" spans="1:21" x14ac:dyDescent="0.25">
      <c r="A5" s="22" t="s">
        <v>2</v>
      </c>
      <c r="B5" s="31"/>
      <c r="D5" s="20" t="s">
        <v>26</v>
      </c>
      <c r="E5" s="13">
        <f>ROUND(SUM(F12:F150),0)</f>
        <v>0</v>
      </c>
      <c r="F5" s="11"/>
      <c r="G5" s="21" t="s">
        <v>19</v>
      </c>
      <c r="H5" s="37">
        <f>H6+H7</f>
        <v>0</v>
      </c>
      <c r="I5"/>
      <c r="J5"/>
      <c r="K5" s="42" t="s">
        <v>38</v>
      </c>
    </row>
    <row r="6" spans="1:21" x14ac:dyDescent="0.25">
      <c r="A6" s="36" t="s">
        <v>3</v>
      </c>
      <c r="B6" s="31"/>
      <c r="D6" s="20" t="s">
        <v>46</v>
      </c>
      <c r="E6" s="13">
        <f>ROUND(SUM(H12:H150),0)</f>
        <v>0</v>
      </c>
      <c r="F6" s="11"/>
      <c r="G6" s="21" t="s">
        <v>5</v>
      </c>
      <c r="H6" s="37">
        <f>ROUND(E8-E5,0)</f>
        <v>0</v>
      </c>
      <c r="I6"/>
      <c r="J6"/>
      <c r="K6" s="42" t="s">
        <v>39</v>
      </c>
    </row>
    <row r="7" spans="1:21" x14ac:dyDescent="0.25">
      <c r="A7" s="36" t="s">
        <v>4</v>
      </c>
      <c r="B7" s="30"/>
      <c r="D7" s="20" t="s">
        <v>47</v>
      </c>
      <c r="E7" s="57">
        <f>SUM(G12:G150)</f>
        <v>0</v>
      </c>
      <c r="G7" s="21" t="s">
        <v>6</v>
      </c>
      <c r="H7" s="37">
        <f>ROUND(SUM(K12:K150)+SUM(J12:J150)-SUM(H12:H150),0)</f>
        <v>0</v>
      </c>
      <c r="I7"/>
      <c r="J7"/>
      <c r="K7" s="42" t="s">
        <v>40</v>
      </c>
    </row>
    <row r="8" spans="1:21" x14ac:dyDescent="0.25">
      <c r="A8" s="36" t="s">
        <v>37</v>
      </c>
      <c r="B8" s="31"/>
      <c r="D8" s="2" t="s">
        <v>25</v>
      </c>
      <c r="E8" s="14">
        <f>SUM(D12:D150)</f>
        <v>0</v>
      </c>
      <c r="F8"/>
      <c r="K8" s="11"/>
      <c r="L8" s="11"/>
    </row>
    <row r="9" spans="1:21" x14ac:dyDescent="0.25">
      <c r="K9" s="11"/>
      <c r="L9" s="11"/>
    </row>
    <row r="11" spans="1:21" ht="50.25" customHeight="1" x14ac:dyDescent="0.25">
      <c r="A11" s="1" t="s">
        <v>8</v>
      </c>
      <c r="B11" s="1" t="s">
        <v>9</v>
      </c>
      <c r="C11" s="1" t="s">
        <v>10</v>
      </c>
      <c r="D11" s="1" t="s">
        <v>35</v>
      </c>
      <c r="E11" s="12" t="s">
        <v>23</v>
      </c>
      <c r="F11" s="49" t="s">
        <v>20</v>
      </c>
      <c r="G11" s="49" t="s">
        <v>21</v>
      </c>
      <c r="H11" s="49" t="s">
        <v>22</v>
      </c>
      <c r="I11" s="12" t="s">
        <v>34</v>
      </c>
      <c r="J11" s="12" t="s">
        <v>33</v>
      </c>
      <c r="K11" s="1" t="s">
        <v>12</v>
      </c>
      <c r="L11" s="1" t="s">
        <v>11</v>
      </c>
      <c r="M11" s="38" t="s">
        <v>41</v>
      </c>
      <c r="N11" s="39" t="s">
        <v>42</v>
      </c>
    </row>
    <row r="12" spans="1:21" x14ac:dyDescent="0.25">
      <c r="A12" s="43"/>
      <c r="B12" s="43"/>
      <c r="C12" s="44"/>
      <c r="D12" s="45">
        <v>0</v>
      </c>
      <c r="E12" s="45">
        <v>0</v>
      </c>
      <c r="F12" s="45">
        <f>E12-G12-H12</f>
        <v>0</v>
      </c>
      <c r="G12" s="45">
        <v>0</v>
      </c>
      <c r="H12" s="45"/>
      <c r="I12" s="45">
        <v>0</v>
      </c>
      <c r="J12" s="45">
        <v>0</v>
      </c>
      <c r="K12" s="45">
        <v>0</v>
      </c>
      <c r="L12" s="46">
        <f>C12+J12+K12-H12-F12+D12</f>
        <v>0</v>
      </c>
      <c r="M12" s="47">
        <v>0</v>
      </c>
      <c r="N12" s="47">
        <v>0</v>
      </c>
      <c r="O12" s="48" t="s">
        <v>54</v>
      </c>
      <c r="P12" s="48" t="s">
        <v>55</v>
      </c>
      <c r="Q12" s="48" t="s">
        <v>56</v>
      </c>
      <c r="R12" s="48" t="s">
        <v>57</v>
      </c>
      <c r="S12" s="48" t="s">
        <v>58</v>
      </c>
      <c r="T12" s="48"/>
    </row>
    <row r="13" spans="1:21" x14ac:dyDescent="0.25">
      <c r="A13" s="43"/>
      <c r="B13" s="43"/>
      <c r="C13" s="46">
        <f>L12</f>
        <v>0</v>
      </c>
      <c r="D13" s="45">
        <v>0</v>
      </c>
      <c r="E13" s="45">
        <v>0</v>
      </c>
      <c r="F13" s="45">
        <f t="shared" ref="F13:F76" si="0">E13-G13-H13</f>
        <v>0</v>
      </c>
      <c r="G13" s="45">
        <v>0</v>
      </c>
      <c r="H13" s="45"/>
      <c r="I13" s="45">
        <v>0</v>
      </c>
      <c r="J13" s="45">
        <v>0</v>
      </c>
      <c r="K13" s="45">
        <v>0</v>
      </c>
      <c r="L13" s="46">
        <f t="shared" ref="L13:L76" si="1">C13+J13+K13-H13-F13+D13</f>
        <v>0</v>
      </c>
      <c r="M13" s="47">
        <v>0</v>
      </c>
      <c r="N13" s="47">
        <v>0</v>
      </c>
      <c r="O13" s="48" t="s">
        <v>61</v>
      </c>
      <c r="P13" s="48" t="s">
        <v>62</v>
      </c>
      <c r="Q13" s="48" t="s">
        <v>63</v>
      </c>
      <c r="R13" s="48" t="s">
        <v>64</v>
      </c>
      <c r="S13" s="48" t="s">
        <v>65</v>
      </c>
      <c r="T13" s="48"/>
    </row>
    <row r="14" spans="1:21" x14ac:dyDescent="0.25">
      <c r="A14" s="43"/>
      <c r="B14" s="43"/>
      <c r="C14" s="46">
        <f t="shared" ref="C14:C77" si="2">L13</f>
        <v>0</v>
      </c>
      <c r="D14" s="45">
        <v>0</v>
      </c>
      <c r="E14" s="45">
        <v>0</v>
      </c>
      <c r="F14" s="45">
        <f t="shared" si="0"/>
        <v>0</v>
      </c>
      <c r="G14" s="45">
        <v>0</v>
      </c>
      <c r="H14" s="45"/>
      <c r="I14" s="45">
        <v>0</v>
      </c>
      <c r="J14" s="45">
        <v>0</v>
      </c>
      <c r="K14" s="45">
        <v>0</v>
      </c>
      <c r="L14" s="46">
        <f t="shared" si="1"/>
        <v>0</v>
      </c>
      <c r="M14" s="47">
        <v>0</v>
      </c>
      <c r="N14" s="47">
        <v>0</v>
      </c>
      <c r="O14" s="48" t="s">
        <v>66</v>
      </c>
      <c r="P14" s="48" t="s">
        <v>67</v>
      </c>
      <c r="Q14" s="48" t="s">
        <v>68</v>
      </c>
      <c r="R14" s="48" t="s">
        <v>69</v>
      </c>
      <c r="S14" s="48" t="s">
        <v>70</v>
      </c>
      <c r="T14" s="48"/>
      <c r="U14" s="10"/>
    </row>
    <row r="15" spans="1:21" x14ac:dyDescent="0.25">
      <c r="A15" s="43"/>
      <c r="B15" s="43"/>
      <c r="C15" s="46">
        <f t="shared" si="2"/>
        <v>0</v>
      </c>
      <c r="D15" s="45">
        <v>0</v>
      </c>
      <c r="E15" s="45">
        <v>0</v>
      </c>
      <c r="F15" s="45">
        <f t="shared" si="0"/>
        <v>0</v>
      </c>
      <c r="G15" s="45">
        <v>0</v>
      </c>
      <c r="H15" s="45"/>
      <c r="I15" s="45">
        <v>0</v>
      </c>
      <c r="J15" s="45">
        <v>0</v>
      </c>
      <c r="K15" s="45">
        <v>0</v>
      </c>
      <c r="L15" s="46">
        <f t="shared" si="1"/>
        <v>0</v>
      </c>
      <c r="M15" s="47">
        <v>0</v>
      </c>
      <c r="N15" s="47">
        <v>0</v>
      </c>
      <c r="O15" s="48" t="s">
        <v>71</v>
      </c>
      <c r="P15" s="48" t="s">
        <v>72</v>
      </c>
      <c r="Q15" s="48" t="s">
        <v>73</v>
      </c>
      <c r="R15" s="48" t="s">
        <v>74</v>
      </c>
      <c r="S15" s="48" t="s">
        <v>75</v>
      </c>
      <c r="T15" s="48"/>
      <c r="U15" s="10"/>
    </row>
    <row r="16" spans="1:21" x14ac:dyDescent="0.25">
      <c r="A16" s="43"/>
      <c r="B16" s="43"/>
      <c r="C16" s="46">
        <f t="shared" si="2"/>
        <v>0</v>
      </c>
      <c r="D16" s="45">
        <v>0</v>
      </c>
      <c r="E16" s="45">
        <v>0</v>
      </c>
      <c r="F16" s="45">
        <f t="shared" si="0"/>
        <v>0</v>
      </c>
      <c r="G16" s="45">
        <v>0</v>
      </c>
      <c r="H16" s="45"/>
      <c r="I16" s="45">
        <v>0</v>
      </c>
      <c r="J16" s="45">
        <v>0</v>
      </c>
      <c r="K16" s="45">
        <v>0</v>
      </c>
      <c r="L16" s="46">
        <f t="shared" si="1"/>
        <v>0</v>
      </c>
      <c r="M16" s="47">
        <v>0</v>
      </c>
      <c r="N16" s="47">
        <v>0</v>
      </c>
      <c r="O16" s="48" t="s">
        <v>76</v>
      </c>
      <c r="P16" s="48" t="s">
        <v>77</v>
      </c>
      <c r="Q16" s="48" t="s">
        <v>78</v>
      </c>
      <c r="R16" s="48" t="s">
        <v>79</v>
      </c>
      <c r="S16" s="48" t="s">
        <v>80</v>
      </c>
      <c r="T16" s="48"/>
      <c r="U16" s="10"/>
    </row>
    <row r="17" spans="1:21" ht="15.75" customHeight="1" x14ac:dyDescent="0.25">
      <c r="A17" s="43"/>
      <c r="B17" s="43"/>
      <c r="C17" s="46">
        <f t="shared" si="2"/>
        <v>0</v>
      </c>
      <c r="D17" s="45">
        <v>0</v>
      </c>
      <c r="E17" s="45">
        <v>0</v>
      </c>
      <c r="F17" s="45">
        <f t="shared" si="0"/>
        <v>0</v>
      </c>
      <c r="G17" s="45">
        <v>0</v>
      </c>
      <c r="H17" s="45"/>
      <c r="I17" s="45">
        <v>0</v>
      </c>
      <c r="J17" s="45">
        <v>0</v>
      </c>
      <c r="K17" s="45">
        <v>0</v>
      </c>
      <c r="L17" s="46">
        <f t="shared" si="1"/>
        <v>0</v>
      </c>
      <c r="M17" s="47">
        <v>0</v>
      </c>
      <c r="N17" s="47">
        <v>0</v>
      </c>
      <c r="O17" s="48" t="s">
        <v>81</v>
      </c>
      <c r="P17" s="48" t="s">
        <v>82</v>
      </c>
      <c r="Q17" s="48" t="s">
        <v>83</v>
      </c>
      <c r="R17" s="48" t="s">
        <v>84</v>
      </c>
      <c r="S17" s="48" t="s">
        <v>85</v>
      </c>
      <c r="T17" s="48"/>
      <c r="U17" s="10"/>
    </row>
    <row r="18" spans="1:21" ht="15.75" customHeight="1" x14ac:dyDescent="0.25">
      <c r="A18" s="43"/>
      <c r="B18" s="43"/>
      <c r="C18" s="46">
        <f t="shared" si="2"/>
        <v>0</v>
      </c>
      <c r="D18" s="45">
        <v>0</v>
      </c>
      <c r="E18" s="45">
        <v>0</v>
      </c>
      <c r="F18" s="45">
        <f t="shared" si="0"/>
        <v>0</v>
      </c>
      <c r="G18" s="45">
        <v>0</v>
      </c>
      <c r="H18" s="45"/>
      <c r="I18" s="45">
        <v>0</v>
      </c>
      <c r="J18" s="45">
        <v>0</v>
      </c>
      <c r="K18" s="45">
        <v>0</v>
      </c>
      <c r="L18" s="46">
        <f t="shared" si="1"/>
        <v>0</v>
      </c>
      <c r="M18" s="47">
        <v>0</v>
      </c>
      <c r="N18" s="47">
        <v>0</v>
      </c>
      <c r="O18" s="48" t="s">
        <v>86</v>
      </c>
      <c r="P18" s="48" t="s">
        <v>87</v>
      </c>
      <c r="Q18" s="48" t="s">
        <v>88</v>
      </c>
      <c r="R18" s="48" t="s">
        <v>89</v>
      </c>
      <c r="S18" s="48" t="s">
        <v>90</v>
      </c>
      <c r="T18" s="48"/>
      <c r="U18" s="10"/>
    </row>
    <row r="19" spans="1:21" ht="15.75" customHeight="1" x14ac:dyDescent="0.25">
      <c r="A19" s="43"/>
      <c r="B19" s="43"/>
      <c r="C19" s="46">
        <f t="shared" si="2"/>
        <v>0</v>
      </c>
      <c r="D19" s="45">
        <v>0</v>
      </c>
      <c r="E19" s="45">
        <v>0</v>
      </c>
      <c r="F19" s="45">
        <f t="shared" si="0"/>
        <v>0</v>
      </c>
      <c r="G19" s="45">
        <v>0</v>
      </c>
      <c r="H19" s="45"/>
      <c r="I19" s="45">
        <v>0</v>
      </c>
      <c r="J19" s="45">
        <v>0</v>
      </c>
      <c r="K19" s="45">
        <v>0</v>
      </c>
      <c r="L19" s="46">
        <f t="shared" si="1"/>
        <v>0</v>
      </c>
      <c r="M19" s="47">
        <v>0</v>
      </c>
      <c r="N19" s="47">
        <v>0</v>
      </c>
      <c r="O19" s="48" t="s">
        <v>91</v>
      </c>
      <c r="P19" s="48" t="s">
        <v>92</v>
      </c>
      <c r="Q19" s="48" t="s">
        <v>93</v>
      </c>
      <c r="R19" s="48" t="s">
        <v>94</v>
      </c>
      <c r="S19" s="48" t="s">
        <v>95</v>
      </c>
      <c r="T19" s="48"/>
      <c r="U19" s="10"/>
    </row>
    <row r="20" spans="1:21" ht="15.75" customHeight="1" x14ac:dyDescent="0.25">
      <c r="A20" s="43"/>
      <c r="B20" s="43"/>
      <c r="C20" s="46">
        <f t="shared" si="2"/>
        <v>0</v>
      </c>
      <c r="D20" s="45">
        <v>0</v>
      </c>
      <c r="E20" s="45">
        <v>0</v>
      </c>
      <c r="F20" s="45">
        <f t="shared" si="0"/>
        <v>0</v>
      </c>
      <c r="G20" s="45">
        <v>0</v>
      </c>
      <c r="H20" s="45"/>
      <c r="I20" s="45">
        <v>0</v>
      </c>
      <c r="J20" s="45">
        <v>0</v>
      </c>
      <c r="K20" s="45">
        <v>0</v>
      </c>
      <c r="L20" s="46">
        <f t="shared" si="1"/>
        <v>0</v>
      </c>
      <c r="M20" s="47">
        <v>0</v>
      </c>
      <c r="N20" s="47">
        <v>0</v>
      </c>
      <c r="O20" s="48" t="s">
        <v>96</v>
      </c>
      <c r="P20" s="48" t="s">
        <v>97</v>
      </c>
      <c r="Q20" s="48" t="s">
        <v>98</v>
      </c>
      <c r="R20" s="48" t="s">
        <v>99</v>
      </c>
      <c r="S20" s="48" t="s">
        <v>100</v>
      </c>
      <c r="T20" s="48"/>
      <c r="U20" s="10"/>
    </row>
    <row r="21" spans="1:21" ht="15.75" customHeight="1" x14ac:dyDescent="0.25">
      <c r="A21" s="43"/>
      <c r="B21" s="43"/>
      <c r="C21" s="46">
        <f t="shared" si="2"/>
        <v>0</v>
      </c>
      <c r="D21" s="45">
        <v>0</v>
      </c>
      <c r="E21" s="45">
        <v>0</v>
      </c>
      <c r="F21" s="45">
        <f t="shared" si="0"/>
        <v>0</v>
      </c>
      <c r="G21" s="45">
        <v>0</v>
      </c>
      <c r="H21" s="45"/>
      <c r="I21" s="45">
        <v>0</v>
      </c>
      <c r="J21" s="45">
        <v>0</v>
      </c>
      <c r="K21" s="45">
        <v>0</v>
      </c>
      <c r="L21" s="46">
        <f t="shared" si="1"/>
        <v>0</v>
      </c>
      <c r="M21" s="47">
        <v>0</v>
      </c>
      <c r="N21" s="47">
        <v>0</v>
      </c>
      <c r="O21" s="48" t="s">
        <v>101</v>
      </c>
      <c r="P21" s="48" t="s">
        <v>102</v>
      </c>
      <c r="Q21" s="48" t="s">
        <v>103</v>
      </c>
      <c r="R21" s="48" t="s">
        <v>104</v>
      </c>
      <c r="S21" s="48" t="s">
        <v>105</v>
      </c>
      <c r="T21" s="48"/>
    </row>
    <row r="22" spans="1:21" x14ac:dyDescent="0.25">
      <c r="A22" s="43"/>
      <c r="B22" s="43"/>
      <c r="C22" s="46">
        <f t="shared" si="2"/>
        <v>0</v>
      </c>
      <c r="D22" s="45">
        <v>0</v>
      </c>
      <c r="E22" s="45">
        <v>0</v>
      </c>
      <c r="F22" s="45">
        <f t="shared" si="0"/>
        <v>0</v>
      </c>
      <c r="G22" s="45">
        <v>0</v>
      </c>
      <c r="H22" s="45"/>
      <c r="I22" s="45">
        <v>0</v>
      </c>
      <c r="J22" s="45">
        <v>0</v>
      </c>
      <c r="K22" s="45">
        <v>0</v>
      </c>
      <c r="L22" s="46">
        <f t="shared" si="1"/>
        <v>0</v>
      </c>
      <c r="M22" s="47">
        <v>0</v>
      </c>
      <c r="N22" s="47">
        <v>0</v>
      </c>
      <c r="O22" s="48" t="s">
        <v>106</v>
      </c>
      <c r="P22" s="48" t="s">
        <v>107</v>
      </c>
      <c r="Q22" s="48" t="s">
        <v>108</v>
      </c>
      <c r="R22" s="48" t="s">
        <v>109</v>
      </c>
      <c r="S22" s="48" t="s">
        <v>110</v>
      </c>
      <c r="T22" s="48"/>
    </row>
    <row r="23" spans="1:21" x14ac:dyDescent="0.25">
      <c r="A23" s="43"/>
      <c r="B23" s="43"/>
      <c r="C23" s="46">
        <f t="shared" si="2"/>
        <v>0</v>
      </c>
      <c r="D23" s="45">
        <v>0</v>
      </c>
      <c r="E23" s="45">
        <v>0</v>
      </c>
      <c r="F23" s="45">
        <f t="shared" si="0"/>
        <v>0</v>
      </c>
      <c r="G23" s="45">
        <v>0</v>
      </c>
      <c r="H23" s="45"/>
      <c r="I23" s="45">
        <v>0</v>
      </c>
      <c r="J23" s="45">
        <v>0</v>
      </c>
      <c r="K23" s="45">
        <v>0</v>
      </c>
      <c r="L23" s="46">
        <f t="shared" si="1"/>
        <v>0</v>
      </c>
      <c r="M23" s="47">
        <v>0</v>
      </c>
      <c r="N23" s="47">
        <v>0</v>
      </c>
      <c r="O23" s="48" t="s">
        <v>111</v>
      </c>
      <c r="P23" s="48" t="s">
        <v>112</v>
      </c>
      <c r="Q23" s="48" t="s">
        <v>113</v>
      </c>
      <c r="R23" s="48" t="s">
        <v>114</v>
      </c>
      <c r="S23" s="48" t="s">
        <v>115</v>
      </c>
      <c r="T23" s="48"/>
    </row>
    <row r="24" spans="1:21" x14ac:dyDescent="0.25">
      <c r="A24" s="43"/>
      <c r="B24" s="43"/>
      <c r="C24" s="46">
        <f t="shared" si="2"/>
        <v>0</v>
      </c>
      <c r="D24" s="45">
        <v>0</v>
      </c>
      <c r="E24" s="45">
        <v>0</v>
      </c>
      <c r="F24" s="45">
        <f t="shared" si="0"/>
        <v>0</v>
      </c>
      <c r="G24" s="45">
        <v>0</v>
      </c>
      <c r="H24" s="45"/>
      <c r="I24" s="45">
        <v>0</v>
      </c>
      <c r="J24" s="45">
        <v>0</v>
      </c>
      <c r="K24" s="45">
        <v>0</v>
      </c>
      <c r="L24" s="46">
        <f t="shared" si="1"/>
        <v>0</v>
      </c>
      <c r="M24" s="47">
        <v>0</v>
      </c>
      <c r="N24" s="47">
        <v>0</v>
      </c>
      <c r="O24" s="48" t="s">
        <v>116</v>
      </c>
      <c r="P24" s="48" t="s">
        <v>117</v>
      </c>
      <c r="Q24" s="48" t="s">
        <v>118</v>
      </c>
      <c r="R24" s="48" t="s">
        <v>119</v>
      </c>
      <c r="S24" s="48" t="s">
        <v>120</v>
      </c>
      <c r="T24" s="48"/>
    </row>
    <row r="25" spans="1:21" x14ac:dyDescent="0.25">
      <c r="A25" s="43"/>
      <c r="B25" s="43"/>
      <c r="C25" s="46">
        <f t="shared" si="2"/>
        <v>0</v>
      </c>
      <c r="D25" s="45">
        <v>0</v>
      </c>
      <c r="E25" s="45">
        <v>0</v>
      </c>
      <c r="F25" s="45">
        <f t="shared" si="0"/>
        <v>0</v>
      </c>
      <c r="G25" s="45">
        <v>0</v>
      </c>
      <c r="H25" s="45"/>
      <c r="I25" s="45">
        <v>0</v>
      </c>
      <c r="J25" s="45">
        <v>0</v>
      </c>
      <c r="K25" s="45">
        <v>0</v>
      </c>
      <c r="L25" s="46">
        <f t="shared" si="1"/>
        <v>0</v>
      </c>
      <c r="M25" s="47">
        <v>0</v>
      </c>
      <c r="N25" s="47">
        <v>0</v>
      </c>
      <c r="O25" s="48" t="s">
        <v>121</v>
      </c>
      <c r="P25" s="48" t="s">
        <v>122</v>
      </c>
      <c r="Q25" s="48" t="s">
        <v>123</v>
      </c>
      <c r="R25" s="48" t="s">
        <v>124</v>
      </c>
      <c r="S25" s="48" t="s">
        <v>125</v>
      </c>
      <c r="T25" s="48"/>
    </row>
    <row r="26" spans="1:21" x14ac:dyDescent="0.25">
      <c r="A26" s="43"/>
      <c r="B26" s="43"/>
      <c r="C26" s="46">
        <f t="shared" si="2"/>
        <v>0</v>
      </c>
      <c r="D26" s="45">
        <v>0</v>
      </c>
      <c r="E26" s="45">
        <v>0</v>
      </c>
      <c r="F26" s="45">
        <f t="shared" si="0"/>
        <v>0</v>
      </c>
      <c r="G26" s="45">
        <v>0</v>
      </c>
      <c r="H26" s="45"/>
      <c r="I26" s="45">
        <v>0</v>
      </c>
      <c r="J26" s="45">
        <v>0</v>
      </c>
      <c r="K26" s="45">
        <v>0</v>
      </c>
      <c r="L26" s="46">
        <f t="shared" si="1"/>
        <v>0</v>
      </c>
      <c r="M26" s="47">
        <v>0</v>
      </c>
      <c r="N26" s="47">
        <v>0</v>
      </c>
      <c r="O26" s="48" t="s">
        <v>126</v>
      </c>
      <c r="P26" s="48" t="s">
        <v>127</v>
      </c>
      <c r="Q26" s="48" t="s">
        <v>128</v>
      </c>
      <c r="R26" s="48" t="s">
        <v>129</v>
      </c>
      <c r="S26" s="48" t="s">
        <v>130</v>
      </c>
      <c r="T26" s="48"/>
    </row>
    <row r="27" spans="1:21" x14ac:dyDescent="0.25">
      <c r="A27" s="43"/>
      <c r="B27" s="43"/>
      <c r="C27" s="46">
        <f t="shared" si="2"/>
        <v>0</v>
      </c>
      <c r="D27" s="45">
        <v>0</v>
      </c>
      <c r="E27" s="45">
        <v>0</v>
      </c>
      <c r="F27" s="45">
        <f t="shared" si="0"/>
        <v>0</v>
      </c>
      <c r="G27" s="45">
        <v>0</v>
      </c>
      <c r="H27" s="45"/>
      <c r="I27" s="45">
        <v>0</v>
      </c>
      <c r="J27" s="45">
        <v>0</v>
      </c>
      <c r="K27" s="45">
        <v>0</v>
      </c>
      <c r="L27" s="46">
        <f t="shared" si="1"/>
        <v>0</v>
      </c>
      <c r="M27" s="47">
        <v>0</v>
      </c>
      <c r="N27" s="47">
        <v>0</v>
      </c>
      <c r="O27" s="48" t="s">
        <v>131</v>
      </c>
      <c r="P27" s="48" t="s">
        <v>132</v>
      </c>
      <c r="Q27" s="48" t="s">
        <v>133</v>
      </c>
      <c r="R27" s="48" t="s">
        <v>134</v>
      </c>
      <c r="S27" s="48" t="s">
        <v>135</v>
      </c>
      <c r="T27" s="48"/>
    </row>
    <row r="28" spans="1:21" x14ac:dyDescent="0.25">
      <c r="A28" s="43"/>
      <c r="B28" s="43"/>
      <c r="C28" s="46">
        <f t="shared" si="2"/>
        <v>0</v>
      </c>
      <c r="D28" s="45">
        <v>0</v>
      </c>
      <c r="E28" s="45">
        <v>0</v>
      </c>
      <c r="F28" s="45">
        <f t="shared" si="0"/>
        <v>0</v>
      </c>
      <c r="G28" s="45">
        <v>0</v>
      </c>
      <c r="H28" s="45"/>
      <c r="I28" s="45">
        <v>0</v>
      </c>
      <c r="J28" s="45">
        <v>0</v>
      </c>
      <c r="K28" s="45">
        <v>0</v>
      </c>
      <c r="L28" s="46">
        <f t="shared" si="1"/>
        <v>0</v>
      </c>
      <c r="M28" s="47">
        <v>0</v>
      </c>
      <c r="N28" s="47">
        <v>0</v>
      </c>
      <c r="O28" s="48" t="s">
        <v>136</v>
      </c>
      <c r="P28" s="48" t="s">
        <v>137</v>
      </c>
      <c r="Q28" s="48" t="s">
        <v>138</v>
      </c>
      <c r="R28" s="48" t="s">
        <v>139</v>
      </c>
      <c r="S28" s="48" t="s">
        <v>140</v>
      </c>
      <c r="T28" s="48"/>
    </row>
    <row r="29" spans="1:21" x14ac:dyDescent="0.25">
      <c r="A29" s="43"/>
      <c r="B29" s="43"/>
      <c r="C29" s="46">
        <f t="shared" si="2"/>
        <v>0</v>
      </c>
      <c r="D29" s="45">
        <v>0</v>
      </c>
      <c r="E29" s="45">
        <v>0</v>
      </c>
      <c r="F29" s="45">
        <f t="shared" si="0"/>
        <v>0</v>
      </c>
      <c r="G29" s="45">
        <v>0</v>
      </c>
      <c r="H29" s="45"/>
      <c r="I29" s="45">
        <v>0</v>
      </c>
      <c r="J29" s="45">
        <v>0</v>
      </c>
      <c r="K29" s="45">
        <v>0</v>
      </c>
      <c r="L29" s="46">
        <f t="shared" si="1"/>
        <v>0</v>
      </c>
      <c r="M29" s="47">
        <v>0</v>
      </c>
      <c r="N29" s="47">
        <v>0</v>
      </c>
      <c r="O29" s="48" t="s">
        <v>141</v>
      </c>
      <c r="P29" s="48" t="s">
        <v>142</v>
      </c>
      <c r="Q29" s="48" t="s">
        <v>143</v>
      </c>
      <c r="R29" s="48" t="s">
        <v>144</v>
      </c>
      <c r="S29" s="48" t="s">
        <v>145</v>
      </c>
      <c r="T29" s="48"/>
    </row>
    <row r="30" spans="1:21" x14ac:dyDescent="0.25">
      <c r="A30" s="43"/>
      <c r="B30" s="43"/>
      <c r="C30" s="46">
        <f t="shared" si="2"/>
        <v>0</v>
      </c>
      <c r="D30" s="45">
        <v>0</v>
      </c>
      <c r="E30" s="45">
        <v>0</v>
      </c>
      <c r="F30" s="45">
        <f t="shared" si="0"/>
        <v>0</v>
      </c>
      <c r="G30" s="45">
        <v>0</v>
      </c>
      <c r="H30" s="45"/>
      <c r="I30" s="45">
        <v>0</v>
      </c>
      <c r="J30" s="45">
        <v>0</v>
      </c>
      <c r="K30" s="45">
        <v>0</v>
      </c>
      <c r="L30" s="46">
        <f t="shared" si="1"/>
        <v>0</v>
      </c>
      <c r="M30" s="47">
        <v>0</v>
      </c>
      <c r="N30" s="47">
        <v>0</v>
      </c>
      <c r="O30" s="48" t="s">
        <v>146</v>
      </c>
      <c r="P30" s="48" t="s">
        <v>147</v>
      </c>
      <c r="Q30" s="48" t="s">
        <v>148</v>
      </c>
      <c r="R30" s="48" t="s">
        <v>149</v>
      </c>
      <c r="S30" s="48" t="s">
        <v>150</v>
      </c>
      <c r="T30" s="48"/>
    </row>
    <row r="31" spans="1:21" x14ac:dyDescent="0.25">
      <c r="A31" s="43"/>
      <c r="B31" s="43"/>
      <c r="C31" s="46">
        <f t="shared" si="2"/>
        <v>0</v>
      </c>
      <c r="D31" s="45">
        <v>0</v>
      </c>
      <c r="E31" s="45">
        <v>0</v>
      </c>
      <c r="F31" s="45">
        <f t="shared" si="0"/>
        <v>0</v>
      </c>
      <c r="G31" s="45">
        <v>0</v>
      </c>
      <c r="H31" s="45"/>
      <c r="I31" s="45">
        <v>0</v>
      </c>
      <c r="J31" s="45">
        <v>0</v>
      </c>
      <c r="K31" s="45">
        <v>0</v>
      </c>
      <c r="L31" s="46">
        <f t="shared" si="1"/>
        <v>0</v>
      </c>
      <c r="M31" s="47">
        <v>0</v>
      </c>
      <c r="N31" s="47">
        <v>0</v>
      </c>
      <c r="O31" s="48" t="s">
        <v>151</v>
      </c>
      <c r="P31" s="48" t="s">
        <v>152</v>
      </c>
      <c r="Q31" s="48" t="s">
        <v>153</v>
      </c>
      <c r="R31" s="48" t="s">
        <v>154</v>
      </c>
      <c r="S31" s="48" t="s">
        <v>155</v>
      </c>
      <c r="T31" s="48"/>
    </row>
    <row r="32" spans="1:21" x14ac:dyDescent="0.25">
      <c r="A32" s="43"/>
      <c r="B32" s="43"/>
      <c r="C32" s="46">
        <f t="shared" si="2"/>
        <v>0</v>
      </c>
      <c r="D32" s="45">
        <v>0</v>
      </c>
      <c r="E32" s="45">
        <v>0</v>
      </c>
      <c r="F32" s="45">
        <f t="shared" si="0"/>
        <v>0</v>
      </c>
      <c r="G32" s="45">
        <v>0</v>
      </c>
      <c r="H32" s="45"/>
      <c r="I32" s="45">
        <v>0</v>
      </c>
      <c r="J32" s="45">
        <v>0</v>
      </c>
      <c r="K32" s="45">
        <v>0</v>
      </c>
      <c r="L32" s="46">
        <f t="shared" si="1"/>
        <v>0</v>
      </c>
      <c r="M32" s="47">
        <v>0</v>
      </c>
      <c r="N32" s="47">
        <v>0</v>
      </c>
      <c r="O32" s="48" t="s">
        <v>156</v>
      </c>
      <c r="P32" s="48" t="s">
        <v>157</v>
      </c>
      <c r="Q32" s="48" t="s">
        <v>158</v>
      </c>
      <c r="R32" s="48" t="s">
        <v>159</v>
      </c>
      <c r="S32" s="48" t="s">
        <v>160</v>
      </c>
      <c r="T32" s="48"/>
    </row>
    <row r="33" spans="1:20" x14ac:dyDescent="0.25">
      <c r="A33" s="43"/>
      <c r="B33" s="43"/>
      <c r="C33" s="46">
        <f t="shared" si="2"/>
        <v>0</v>
      </c>
      <c r="D33" s="45">
        <v>0</v>
      </c>
      <c r="E33" s="45">
        <v>0</v>
      </c>
      <c r="F33" s="45">
        <f t="shared" si="0"/>
        <v>0</v>
      </c>
      <c r="G33" s="45">
        <v>0</v>
      </c>
      <c r="H33" s="45"/>
      <c r="I33" s="45">
        <v>0</v>
      </c>
      <c r="J33" s="45">
        <v>0</v>
      </c>
      <c r="K33" s="45">
        <v>0</v>
      </c>
      <c r="L33" s="46">
        <f t="shared" si="1"/>
        <v>0</v>
      </c>
      <c r="M33" s="47">
        <v>0</v>
      </c>
      <c r="N33" s="47">
        <v>0</v>
      </c>
      <c r="O33" s="48" t="s">
        <v>161</v>
      </c>
      <c r="P33" s="48" t="s">
        <v>162</v>
      </c>
      <c r="Q33" s="48" t="s">
        <v>163</v>
      </c>
      <c r="R33" s="48" t="s">
        <v>164</v>
      </c>
      <c r="S33" s="48" t="s">
        <v>165</v>
      </c>
      <c r="T33" s="48"/>
    </row>
    <row r="34" spans="1:20" x14ac:dyDescent="0.25">
      <c r="A34" s="43"/>
      <c r="B34" s="43"/>
      <c r="C34" s="46">
        <f t="shared" si="2"/>
        <v>0</v>
      </c>
      <c r="D34" s="45">
        <v>0</v>
      </c>
      <c r="E34" s="45">
        <v>0</v>
      </c>
      <c r="F34" s="45">
        <f t="shared" si="0"/>
        <v>0</v>
      </c>
      <c r="G34" s="45">
        <v>0</v>
      </c>
      <c r="H34" s="45"/>
      <c r="I34" s="45">
        <v>0</v>
      </c>
      <c r="J34" s="45">
        <v>0</v>
      </c>
      <c r="K34" s="45">
        <v>0</v>
      </c>
      <c r="L34" s="46">
        <f t="shared" si="1"/>
        <v>0</v>
      </c>
      <c r="M34" s="47">
        <v>0</v>
      </c>
      <c r="N34" s="47">
        <v>0</v>
      </c>
      <c r="O34" s="48" t="s">
        <v>166</v>
      </c>
      <c r="P34" s="48" t="s">
        <v>167</v>
      </c>
      <c r="Q34" s="48" t="s">
        <v>168</v>
      </c>
      <c r="R34" s="48" t="s">
        <v>169</v>
      </c>
      <c r="S34" s="48" t="s">
        <v>170</v>
      </c>
      <c r="T34" s="48"/>
    </row>
    <row r="35" spans="1:20" x14ac:dyDescent="0.25">
      <c r="A35" s="43"/>
      <c r="B35" s="43"/>
      <c r="C35" s="46">
        <f t="shared" si="2"/>
        <v>0</v>
      </c>
      <c r="D35" s="45">
        <v>0</v>
      </c>
      <c r="E35" s="45">
        <v>0</v>
      </c>
      <c r="F35" s="45">
        <f t="shared" si="0"/>
        <v>0</v>
      </c>
      <c r="G35" s="45">
        <v>0</v>
      </c>
      <c r="H35" s="45"/>
      <c r="I35" s="45">
        <v>0</v>
      </c>
      <c r="J35" s="45">
        <v>0</v>
      </c>
      <c r="K35" s="45">
        <v>0</v>
      </c>
      <c r="L35" s="46">
        <f t="shared" si="1"/>
        <v>0</v>
      </c>
      <c r="M35" s="47">
        <v>0</v>
      </c>
      <c r="N35" s="47">
        <v>0</v>
      </c>
      <c r="O35" s="48" t="s">
        <v>171</v>
      </c>
      <c r="P35" s="48" t="s">
        <v>172</v>
      </c>
      <c r="Q35" s="48" t="s">
        <v>173</v>
      </c>
      <c r="R35" s="48" t="s">
        <v>174</v>
      </c>
      <c r="S35" s="48" t="s">
        <v>175</v>
      </c>
      <c r="T35" s="48"/>
    </row>
    <row r="36" spans="1:20" x14ac:dyDescent="0.25">
      <c r="A36" s="43"/>
      <c r="B36" s="43"/>
      <c r="C36" s="46">
        <f t="shared" si="2"/>
        <v>0</v>
      </c>
      <c r="D36" s="45">
        <v>0</v>
      </c>
      <c r="E36" s="45">
        <v>0</v>
      </c>
      <c r="F36" s="45">
        <f t="shared" si="0"/>
        <v>0</v>
      </c>
      <c r="G36" s="45">
        <v>0</v>
      </c>
      <c r="H36" s="45"/>
      <c r="I36" s="45">
        <v>0</v>
      </c>
      <c r="J36" s="45">
        <v>0</v>
      </c>
      <c r="K36" s="45">
        <v>0</v>
      </c>
      <c r="L36" s="46">
        <f t="shared" si="1"/>
        <v>0</v>
      </c>
      <c r="M36" s="47">
        <v>0</v>
      </c>
      <c r="N36" s="47">
        <v>0</v>
      </c>
      <c r="O36" s="48" t="s">
        <v>176</v>
      </c>
      <c r="P36" s="48" t="s">
        <v>177</v>
      </c>
      <c r="Q36" s="48" t="s">
        <v>178</v>
      </c>
      <c r="R36" s="48" t="s">
        <v>179</v>
      </c>
      <c r="S36" s="48" t="s">
        <v>180</v>
      </c>
      <c r="T36" s="48"/>
    </row>
    <row r="37" spans="1:20" x14ac:dyDescent="0.25">
      <c r="A37" s="43"/>
      <c r="B37" s="43"/>
      <c r="C37" s="46">
        <f t="shared" si="2"/>
        <v>0</v>
      </c>
      <c r="D37" s="45">
        <v>0</v>
      </c>
      <c r="E37" s="45">
        <v>0</v>
      </c>
      <c r="F37" s="45">
        <f t="shared" si="0"/>
        <v>0</v>
      </c>
      <c r="G37" s="45">
        <v>0</v>
      </c>
      <c r="H37" s="45"/>
      <c r="I37" s="45">
        <v>0</v>
      </c>
      <c r="J37" s="45">
        <v>0</v>
      </c>
      <c r="K37" s="45">
        <v>0</v>
      </c>
      <c r="L37" s="46">
        <f t="shared" si="1"/>
        <v>0</v>
      </c>
      <c r="M37" s="47">
        <v>0</v>
      </c>
      <c r="N37" s="47">
        <v>0</v>
      </c>
      <c r="O37" s="48" t="s">
        <v>181</v>
      </c>
      <c r="P37" s="48" t="s">
        <v>182</v>
      </c>
      <c r="Q37" s="48" t="s">
        <v>183</v>
      </c>
      <c r="R37" s="48" t="s">
        <v>184</v>
      </c>
      <c r="S37" s="48" t="s">
        <v>185</v>
      </c>
      <c r="T37" s="48"/>
    </row>
    <row r="38" spans="1:20" x14ac:dyDescent="0.25">
      <c r="A38" s="43"/>
      <c r="B38" s="43"/>
      <c r="C38" s="46">
        <f t="shared" si="2"/>
        <v>0</v>
      </c>
      <c r="D38" s="45">
        <v>0</v>
      </c>
      <c r="E38" s="45">
        <v>0</v>
      </c>
      <c r="F38" s="45">
        <f t="shared" si="0"/>
        <v>0</v>
      </c>
      <c r="G38" s="45">
        <v>0</v>
      </c>
      <c r="H38" s="45"/>
      <c r="I38" s="45">
        <v>0</v>
      </c>
      <c r="J38" s="45">
        <v>0</v>
      </c>
      <c r="K38" s="45">
        <v>0</v>
      </c>
      <c r="L38" s="46">
        <f t="shared" si="1"/>
        <v>0</v>
      </c>
      <c r="M38" s="47">
        <v>0</v>
      </c>
      <c r="N38" s="47">
        <v>0</v>
      </c>
      <c r="O38" s="48" t="s">
        <v>186</v>
      </c>
      <c r="P38" s="48" t="s">
        <v>187</v>
      </c>
      <c r="Q38" s="48" t="s">
        <v>188</v>
      </c>
      <c r="R38" s="48" t="s">
        <v>189</v>
      </c>
      <c r="S38" s="48" t="s">
        <v>190</v>
      </c>
      <c r="T38" s="48"/>
    </row>
    <row r="39" spans="1:20" x14ac:dyDescent="0.25">
      <c r="A39" s="43"/>
      <c r="B39" s="43"/>
      <c r="C39" s="46">
        <f t="shared" si="2"/>
        <v>0</v>
      </c>
      <c r="D39" s="45">
        <v>0</v>
      </c>
      <c r="E39" s="45">
        <v>0</v>
      </c>
      <c r="F39" s="45">
        <f t="shared" si="0"/>
        <v>0</v>
      </c>
      <c r="G39" s="45">
        <v>0</v>
      </c>
      <c r="H39" s="45"/>
      <c r="I39" s="45">
        <v>0</v>
      </c>
      <c r="J39" s="45">
        <v>0</v>
      </c>
      <c r="K39" s="45">
        <v>0</v>
      </c>
      <c r="L39" s="46">
        <f t="shared" si="1"/>
        <v>0</v>
      </c>
      <c r="M39" s="47">
        <v>0</v>
      </c>
      <c r="N39" s="47">
        <v>0</v>
      </c>
      <c r="O39" s="48" t="s">
        <v>191</v>
      </c>
      <c r="P39" s="48" t="s">
        <v>192</v>
      </c>
      <c r="Q39" s="48" t="s">
        <v>193</v>
      </c>
      <c r="R39" s="48" t="s">
        <v>194</v>
      </c>
      <c r="S39" s="48" t="s">
        <v>195</v>
      </c>
      <c r="T39" s="48"/>
    </row>
    <row r="40" spans="1:20" x14ac:dyDescent="0.25">
      <c r="A40" s="43"/>
      <c r="B40" s="43"/>
      <c r="C40" s="46">
        <f t="shared" si="2"/>
        <v>0</v>
      </c>
      <c r="D40" s="45">
        <v>0</v>
      </c>
      <c r="E40" s="45">
        <v>0</v>
      </c>
      <c r="F40" s="45">
        <f t="shared" si="0"/>
        <v>0</v>
      </c>
      <c r="G40" s="45">
        <v>0</v>
      </c>
      <c r="H40" s="45"/>
      <c r="I40" s="45">
        <v>0</v>
      </c>
      <c r="J40" s="45">
        <v>0</v>
      </c>
      <c r="K40" s="45">
        <v>0</v>
      </c>
      <c r="L40" s="46">
        <f t="shared" si="1"/>
        <v>0</v>
      </c>
      <c r="M40" s="47">
        <v>0</v>
      </c>
      <c r="N40" s="47">
        <v>0</v>
      </c>
      <c r="O40" s="48" t="s">
        <v>196</v>
      </c>
      <c r="P40" s="48" t="s">
        <v>197</v>
      </c>
      <c r="Q40" s="48" t="s">
        <v>198</v>
      </c>
      <c r="R40" s="48" t="s">
        <v>199</v>
      </c>
      <c r="S40" s="48" t="s">
        <v>200</v>
      </c>
      <c r="T40" s="48"/>
    </row>
    <row r="41" spans="1:20" x14ac:dyDescent="0.25">
      <c r="A41" s="43"/>
      <c r="B41" s="43"/>
      <c r="C41" s="46">
        <f t="shared" si="2"/>
        <v>0</v>
      </c>
      <c r="D41" s="45">
        <v>0</v>
      </c>
      <c r="E41" s="45">
        <v>0</v>
      </c>
      <c r="F41" s="45">
        <f t="shared" si="0"/>
        <v>0</v>
      </c>
      <c r="G41" s="45">
        <v>0</v>
      </c>
      <c r="H41" s="45"/>
      <c r="I41" s="45">
        <v>0</v>
      </c>
      <c r="J41" s="45">
        <v>0</v>
      </c>
      <c r="K41" s="45">
        <v>0</v>
      </c>
      <c r="L41" s="46">
        <f t="shared" si="1"/>
        <v>0</v>
      </c>
      <c r="M41" s="47">
        <v>0</v>
      </c>
      <c r="N41" s="47">
        <v>0</v>
      </c>
      <c r="O41" s="48" t="s">
        <v>201</v>
      </c>
      <c r="P41" s="48" t="s">
        <v>202</v>
      </c>
      <c r="Q41" s="48" t="s">
        <v>203</v>
      </c>
      <c r="R41" s="48" t="s">
        <v>204</v>
      </c>
      <c r="S41" s="48" t="s">
        <v>205</v>
      </c>
      <c r="T41" s="48"/>
    </row>
    <row r="42" spans="1:20" x14ac:dyDescent="0.25">
      <c r="A42" s="43"/>
      <c r="B42" s="43"/>
      <c r="C42" s="46">
        <f t="shared" si="2"/>
        <v>0</v>
      </c>
      <c r="D42" s="45">
        <v>0</v>
      </c>
      <c r="E42" s="45">
        <v>0</v>
      </c>
      <c r="F42" s="45">
        <f t="shared" si="0"/>
        <v>0</v>
      </c>
      <c r="G42" s="45">
        <v>0</v>
      </c>
      <c r="H42" s="45"/>
      <c r="I42" s="45">
        <v>0</v>
      </c>
      <c r="J42" s="45">
        <v>0</v>
      </c>
      <c r="K42" s="45">
        <v>0</v>
      </c>
      <c r="L42" s="46">
        <f t="shared" si="1"/>
        <v>0</v>
      </c>
      <c r="M42" s="47">
        <v>0</v>
      </c>
      <c r="N42" s="47">
        <v>0</v>
      </c>
      <c r="O42" s="48" t="s">
        <v>206</v>
      </c>
      <c r="P42" s="48" t="s">
        <v>207</v>
      </c>
      <c r="Q42" s="48" t="s">
        <v>208</v>
      </c>
      <c r="R42" s="48" t="s">
        <v>209</v>
      </c>
      <c r="S42" s="48" t="s">
        <v>210</v>
      </c>
      <c r="T42" s="48"/>
    </row>
    <row r="43" spans="1:20" x14ac:dyDescent="0.25">
      <c r="A43" s="43"/>
      <c r="B43" s="43"/>
      <c r="C43" s="46">
        <f t="shared" si="2"/>
        <v>0</v>
      </c>
      <c r="D43" s="45">
        <v>0</v>
      </c>
      <c r="E43" s="45">
        <v>0</v>
      </c>
      <c r="F43" s="45">
        <f t="shared" si="0"/>
        <v>0</v>
      </c>
      <c r="G43" s="45">
        <v>0</v>
      </c>
      <c r="H43" s="45"/>
      <c r="I43" s="45">
        <v>0</v>
      </c>
      <c r="J43" s="45">
        <v>0</v>
      </c>
      <c r="K43" s="45">
        <v>0</v>
      </c>
      <c r="L43" s="46">
        <f t="shared" si="1"/>
        <v>0</v>
      </c>
      <c r="M43" s="47">
        <v>0</v>
      </c>
      <c r="N43" s="47">
        <v>0</v>
      </c>
      <c r="O43" s="48" t="s">
        <v>211</v>
      </c>
      <c r="P43" s="48" t="s">
        <v>212</v>
      </c>
      <c r="Q43" s="48" t="s">
        <v>213</v>
      </c>
      <c r="R43" s="48" t="s">
        <v>214</v>
      </c>
      <c r="S43" s="48" t="s">
        <v>215</v>
      </c>
      <c r="T43" s="48"/>
    </row>
    <row r="44" spans="1:20" x14ac:dyDescent="0.25">
      <c r="A44" s="43"/>
      <c r="B44" s="43"/>
      <c r="C44" s="46">
        <f t="shared" si="2"/>
        <v>0</v>
      </c>
      <c r="D44" s="45">
        <v>0</v>
      </c>
      <c r="E44" s="45">
        <v>0</v>
      </c>
      <c r="F44" s="45">
        <f t="shared" si="0"/>
        <v>0</v>
      </c>
      <c r="G44" s="45">
        <v>0</v>
      </c>
      <c r="H44" s="45"/>
      <c r="I44" s="45">
        <v>0</v>
      </c>
      <c r="J44" s="45">
        <v>0</v>
      </c>
      <c r="K44" s="45">
        <v>0</v>
      </c>
      <c r="L44" s="46">
        <f t="shared" si="1"/>
        <v>0</v>
      </c>
      <c r="M44" s="47">
        <v>0</v>
      </c>
      <c r="N44" s="47">
        <v>0</v>
      </c>
      <c r="O44" s="48" t="s">
        <v>216</v>
      </c>
      <c r="P44" s="48" t="s">
        <v>217</v>
      </c>
      <c r="Q44" s="48" t="s">
        <v>218</v>
      </c>
      <c r="R44" s="48" t="s">
        <v>219</v>
      </c>
      <c r="S44" s="48" t="s">
        <v>220</v>
      </c>
      <c r="T44" s="48"/>
    </row>
    <row r="45" spans="1:20" x14ac:dyDescent="0.25">
      <c r="A45" s="43"/>
      <c r="B45" s="43"/>
      <c r="C45" s="46">
        <f t="shared" si="2"/>
        <v>0</v>
      </c>
      <c r="D45" s="45">
        <v>0</v>
      </c>
      <c r="E45" s="45">
        <v>0</v>
      </c>
      <c r="F45" s="45">
        <f t="shared" si="0"/>
        <v>0</v>
      </c>
      <c r="G45" s="45">
        <v>0</v>
      </c>
      <c r="H45" s="45"/>
      <c r="I45" s="45">
        <v>0</v>
      </c>
      <c r="J45" s="45">
        <v>0</v>
      </c>
      <c r="K45" s="45">
        <v>0</v>
      </c>
      <c r="L45" s="46">
        <f t="shared" si="1"/>
        <v>0</v>
      </c>
      <c r="M45" s="47">
        <v>0</v>
      </c>
      <c r="N45" s="47">
        <v>0</v>
      </c>
      <c r="O45" s="48" t="s">
        <v>221</v>
      </c>
      <c r="P45" s="48" t="s">
        <v>222</v>
      </c>
      <c r="Q45" s="48" t="s">
        <v>223</v>
      </c>
      <c r="R45" s="48" t="s">
        <v>224</v>
      </c>
      <c r="S45" s="48" t="s">
        <v>225</v>
      </c>
      <c r="T45" s="48"/>
    </row>
    <row r="46" spans="1:20" x14ac:dyDescent="0.25">
      <c r="A46" s="43"/>
      <c r="B46" s="43"/>
      <c r="C46" s="46">
        <f t="shared" si="2"/>
        <v>0</v>
      </c>
      <c r="D46" s="45">
        <v>0</v>
      </c>
      <c r="E46" s="45">
        <v>0</v>
      </c>
      <c r="F46" s="45">
        <f t="shared" si="0"/>
        <v>0</v>
      </c>
      <c r="G46" s="45">
        <v>0</v>
      </c>
      <c r="H46" s="45"/>
      <c r="I46" s="45">
        <v>0</v>
      </c>
      <c r="J46" s="45">
        <v>0</v>
      </c>
      <c r="K46" s="45">
        <v>0</v>
      </c>
      <c r="L46" s="46">
        <f t="shared" si="1"/>
        <v>0</v>
      </c>
      <c r="M46" s="47">
        <v>0</v>
      </c>
      <c r="N46" s="47">
        <v>0</v>
      </c>
      <c r="O46" s="48" t="s">
        <v>226</v>
      </c>
      <c r="P46" s="48" t="s">
        <v>227</v>
      </c>
      <c r="Q46" s="48" t="s">
        <v>228</v>
      </c>
      <c r="R46" s="48" t="s">
        <v>229</v>
      </c>
      <c r="S46" s="48" t="s">
        <v>230</v>
      </c>
      <c r="T46" s="48"/>
    </row>
    <row r="47" spans="1:20" x14ac:dyDescent="0.25">
      <c r="A47" s="43"/>
      <c r="B47" s="43"/>
      <c r="C47" s="46">
        <f t="shared" si="2"/>
        <v>0</v>
      </c>
      <c r="D47" s="45">
        <v>0</v>
      </c>
      <c r="E47" s="45">
        <v>0</v>
      </c>
      <c r="F47" s="45">
        <f t="shared" si="0"/>
        <v>0</v>
      </c>
      <c r="G47" s="45">
        <v>0</v>
      </c>
      <c r="H47" s="45"/>
      <c r="I47" s="45">
        <v>0</v>
      </c>
      <c r="J47" s="45">
        <v>0</v>
      </c>
      <c r="K47" s="45">
        <v>0</v>
      </c>
      <c r="L47" s="46">
        <f t="shared" si="1"/>
        <v>0</v>
      </c>
      <c r="M47" s="47">
        <v>0</v>
      </c>
      <c r="N47" s="47">
        <v>0</v>
      </c>
      <c r="O47" s="48" t="s">
        <v>231</v>
      </c>
      <c r="P47" s="48" t="s">
        <v>232</v>
      </c>
      <c r="Q47" s="48" t="s">
        <v>233</v>
      </c>
      <c r="R47" s="48" t="s">
        <v>234</v>
      </c>
      <c r="S47" s="48" t="s">
        <v>235</v>
      </c>
      <c r="T47" s="48"/>
    </row>
    <row r="48" spans="1:20" x14ac:dyDescent="0.25">
      <c r="A48" s="43"/>
      <c r="B48" s="43"/>
      <c r="C48" s="46">
        <f t="shared" si="2"/>
        <v>0</v>
      </c>
      <c r="D48" s="45">
        <v>0</v>
      </c>
      <c r="E48" s="45">
        <v>0</v>
      </c>
      <c r="F48" s="45">
        <f t="shared" si="0"/>
        <v>0</v>
      </c>
      <c r="G48" s="45">
        <v>0</v>
      </c>
      <c r="H48" s="45"/>
      <c r="I48" s="45">
        <v>0</v>
      </c>
      <c r="J48" s="45">
        <v>0</v>
      </c>
      <c r="K48" s="45">
        <v>0</v>
      </c>
      <c r="L48" s="46">
        <f t="shared" si="1"/>
        <v>0</v>
      </c>
      <c r="M48" s="47">
        <v>0</v>
      </c>
      <c r="N48" s="47">
        <v>0</v>
      </c>
      <c r="O48" s="48" t="s">
        <v>236</v>
      </c>
      <c r="P48" s="48" t="s">
        <v>237</v>
      </c>
      <c r="Q48" s="48" t="s">
        <v>238</v>
      </c>
      <c r="R48" s="48" t="s">
        <v>239</v>
      </c>
      <c r="S48" s="48" t="s">
        <v>240</v>
      </c>
      <c r="T48" s="48"/>
    </row>
    <row r="49" spans="1:20" x14ac:dyDescent="0.25">
      <c r="A49" s="43"/>
      <c r="B49" s="43"/>
      <c r="C49" s="46">
        <f t="shared" si="2"/>
        <v>0</v>
      </c>
      <c r="D49" s="45">
        <v>0</v>
      </c>
      <c r="E49" s="45">
        <v>0</v>
      </c>
      <c r="F49" s="45">
        <f t="shared" si="0"/>
        <v>0</v>
      </c>
      <c r="G49" s="45">
        <v>0</v>
      </c>
      <c r="H49" s="45"/>
      <c r="I49" s="45">
        <v>0</v>
      </c>
      <c r="J49" s="45">
        <v>0</v>
      </c>
      <c r="K49" s="45">
        <v>0</v>
      </c>
      <c r="L49" s="46">
        <f t="shared" si="1"/>
        <v>0</v>
      </c>
      <c r="M49" s="47">
        <v>0</v>
      </c>
      <c r="N49" s="47">
        <v>0</v>
      </c>
      <c r="O49" s="48" t="s">
        <v>241</v>
      </c>
      <c r="P49" s="48" t="s">
        <v>242</v>
      </c>
      <c r="Q49" s="48" t="s">
        <v>243</v>
      </c>
      <c r="R49" s="48" t="s">
        <v>244</v>
      </c>
      <c r="S49" s="48" t="s">
        <v>245</v>
      </c>
      <c r="T49" s="48"/>
    </row>
    <row r="50" spans="1:20" x14ac:dyDescent="0.25">
      <c r="A50" s="43"/>
      <c r="B50" s="43"/>
      <c r="C50" s="46">
        <f t="shared" si="2"/>
        <v>0</v>
      </c>
      <c r="D50" s="45">
        <v>0</v>
      </c>
      <c r="E50" s="45">
        <v>0</v>
      </c>
      <c r="F50" s="45">
        <f t="shared" si="0"/>
        <v>0</v>
      </c>
      <c r="G50" s="45">
        <v>0</v>
      </c>
      <c r="H50" s="45"/>
      <c r="I50" s="45">
        <v>0</v>
      </c>
      <c r="J50" s="45">
        <v>0</v>
      </c>
      <c r="K50" s="45">
        <v>0</v>
      </c>
      <c r="L50" s="46">
        <f t="shared" si="1"/>
        <v>0</v>
      </c>
      <c r="M50" s="47">
        <v>0</v>
      </c>
      <c r="N50" s="47">
        <v>0</v>
      </c>
      <c r="O50" s="48" t="s">
        <v>246</v>
      </c>
      <c r="P50" s="48" t="s">
        <v>247</v>
      </c>
      <c r="Q50" s="48" t="s">
        <v>248</v>
      </c>
      <c r="R50" s="48" t="s">
        <v>249</v>
      </c>
      <c r="S50" s="48" t="s">
        <v>250</v>
      </c>
      <c r="T50" s="48"/>
    </row>
    <row r="51" spans="1:20" x14ac:dyDescent="0.25">
      <c r="A51" s="43"/>
      <c r="B51" s="43"/>
      <c r="C51" s="46">
        <f t="shared" si="2"/>
        <v>0</v>
      </c>
      <c r="D51" s="45">
        <v>0</v>
      </c>
      <c r="E51" s="45">
        <v>0</v>
      </c>
      <c r="F51" s="45">
        <f t="shared" si="0"/>
        <v>0</v>
      </c>
      <c r="G51" s="45">
        <v>0</v>
      </c>
      <c r="H51" s="45"/>
      <c r="I51" s="45">
        <v>0</v>
      </c>
      <c r="J51" s="45">
        <v>0</v>
      </c>
      <c r="K51" s="45">
        <v>0</v>
      </c>
      <c r="L51" s="46">
        <f t="shared" si="1"/>
        <v>0</v>
      </c>
      <c r="M51" s="47">
        <v>0</v>
      </c>
      <c r="N51" s="47">
        <v>0</v>
      </c>
      <c r="O51" s="48" t="s">
        <v>251</v>
      </c>
      <c r="P51" s="48" t="s">
        <v>252</v>
      </c>
      <c r="Q51" s="48" t="s">
        <v>253</v>
      </c>
      <c r="R51" s="48" t="s">
        <v>254</v>
      </c>
      <c r="S51" s="48" t="s">
        <v>255</v>
      </c>
      <c r="T51" s="48"/>
    </row>
    <row r="52" spans="1:20" x14ac:dyDescent="0.25">
      <c r="A52" s="43"/>
      <c r="B52" s="43"/>
      <c r="C52" s="46">
        <f t="shared" si="2"/>
        <v>0</v>
      </c>
      <c r="D52" s="45">
        <v>0</v>
      </c>
      <c r="E52" s="45">
        <v>0</v>
      </c>
      <c r="F52" s="45">
        <f t="shared" si="0"/>
        <v>0</v>
      </c>
      <c r="G52" s="45">
        <v>0</v>
      </c>
      <c r="H52" s="45"/>
      <c r="I52" s="45">
        <v>0</v>
      </c>
      <c r="J52" s="45">
        <v>0</v>
      </c>
      <c r="K52" s="45">
        <v>0</v>
      </c>
      <c r="L52" s="46">
        <f t="shared" si="1"/>
        <v>0</v>
      </c>
      <c r="M52" s="47">
        <v>0</v>
      </c>
      <c r="N52" s="47">
        <v>0</v>
      </c>
      <c r="O52" s="48" t="s">
        <v>256</v>
      </c>
      <c r="P52" s="48" t="s">
        <v>257</v>
      </c>
      <c r="Q52" s="48" t="s">
        <v>258</v>
      </c>
      <c r="R52" s="48" t="s">
        <v>259</v>
      </c>
      <c r="S52" s="48" t="s">
        <v>260</v>
      </c>
      <c r="T52" s="48"/>
    </row>
    <row r="53" spans="1:20" x14ac:dyDescent="0.25">
      <c r="A53" s="43"/>
      <c r="B53" s="43"/>
      <c r="C53" s="46">
        <f t="shared" si="2"/>
        <v>0</v>
      </c>
      <c r="D53" s="45">
        <v>0</v>
      </c>
      <c r="E53" s="45">
        <v>0</v>
      </c>
      <c r="F53" s="45">
        <f t="shared" si="0"/>
        <v>0</v>
      </c>
      <c r="G53" s="45">
        <v>0</v>
      </c>
      <c r="H53" s="45"/>
      <c r="I53" s="45">
        <v>0</v>
      </c>
      <c r="J53" s="45">
        <v>0</v>
      </c>
      <c r="K53" s="45">
        <v>0</v>
      </c>
      <c r="L53" s="46">
        <f t="shared" si="1"/>
        <v>0</v>
      </c>
      <c r="M53" s="47">
        <v>0</v>
      </c>
      <c r="N53" s="47">
        <v>0</v>
      </c>
      <c r="O53" s="48" t="s">
        <v>261</v>
      </c>
      <c r="P53" s="48" t="s">
        <v>262</v>
      </c>
      <c r="Q53" s="48" t="s">
        <v>263</v>
      </c>
      <c r="R53" s="48" t="s">
        <v>264</v>
      </c>
      <c r="S53" s="48" t="s">
        <v>265</v>
      </c>
      <c r="T53" s="48"/>
    </row>
    <row r="54" spans="1:20" x14ac:dyDescent="0.25">
      <c r="A54" s="43"/>
      <c r="B54" s="43"/>
      <c r="C54" s="46">
        <f t="shared" si="2"/>
        <v>0</v>
      </c>
      <c r="D54" s="45">
        <v>0</v>
      </c>
      <c r="E54" s="45">
        <v>0</v>
      </c>
      <c r="F54" s="45">
        <f t="shared" si="0"/>
        <v>0</v>
      </c>
      <c r="G54" s="45">
        <v>0</v>
      </c>
      <c r="H54" s="45"/>
      <c r="I54" s="45">
        <v>0</v>
      </c>
      <c r="J54" s="45">
        <v>0</v>
      </c>
      <c r="K54" s="45">
        <v>0</v>
      </c>
      <c r="L54" s="46">
        <f t="shared" si="1"/>
        <v>0</v>
      </c>
      <c r="M54" s="47">
        <v>0</v>
      </c>
      <c r="N54" s="47">
        <v>0</v>
      </c>
      <c r="O54" s="48" t="s">
        <v>266</v>
      </c>
      <c r="P54" s="48" t="s">
        <v>267</v>
      </c>
      <c r="Q54" s="48" t="s">
        <v>268</v>
      </c>
      <c r="R54" s="48" t="s">
        <v>269</v>
      </c>
      <c r="S54" s="48" t="s">
        <v>270</v>
      </c>
      <c r="T54" s="48"/>
    </row>
    <row r="55" spans="1:20" x14ac:dyDescent="0.25">
      <c r="A55" s="43"/>
      <c r="B55" s="43"/>
      <c r="C55" s="46">
        <f t="shared" si="2"/>
        <v>0</v>
      </c>
      <c r="D55" s="45">
        <v>0</v>
      </c>
      <c r="E55" s="45">
        <v>0</v>
      </c>
      <c r="F55" s="45">
        <f t="shared" si="0"/>
        <v>0</v>
      </c>
      <c r="G55" s="45">
        <v>0</v>
      </c>
      <c r="H55" s="45"/>
      <c r="I55" s="45">
        <v>0</v>
      </c>
      <c r="J55" s="45">
        <v>0</v>
      </c>
      <c r="K55" s="45">
        <v>0</v>
      </c>
      <c r="L55" s="46">
        <f t="shared" si="1"/>
        <v>0</v>
      </c>
      <c r="M55" s="47">
        <v>0</v>
      </c>
      <c r="N55" s="47">
        <v>0</v>
      </c>
      <c r="O55" s="48" t="s">
        <v>271</v>
      </c>
      <c r="P55" s="48" t="s">
        <v>272</v>
      </c>
      <c r="Q55" s="48" t="s">
        <v>273</v>
      </c>
      <c r="R55" s="48" t="s">
        <v>274</v>
      </c>
      <c r="S55" s="48" t="s">
        <v>275</v>
      </c>
      <c r="T55" s="48"/>
    </row>
    <row r="56" spans="1:20" x14ac:dyDescent="0.25">
      <c r="A56" s="43"/>
      <c r="B56" s="43"/>
      <c r="C56" s="46">
        <f t="shared" si="2"/>
        <v>0</v>
      </c>
      <c r="D56" s="45">
        <v>0</v>
      </c>
      <c r="E56" s="45">
        <v>0</v>
      </c>
      <c r="F56" s="45">
        <f t="shared" si="0"/>
        <v>0</v>
      </c>
      <c r="G56" s="45">
        <v>0</v>
      </c>
      <c r="H56" s="45"/>
      <c r="I56" s="45">
        <v>0</v>
      </c>
      <c r="J56" s="45">
        <v>0</v>
      </c>
      <c r="K56" s="45">
        <v>0</v>
      </c>
      <c r="L56" s="46">
        <f t="shared" si="1"/>
        <v>0</v>
      </c>
      <c r="M56" s="47">
        <v>0</v>
      </c>
      <c r="N56" s="47">
        <v>0</v>
      </c>
      <c r="O56" s="48" t="s">
        <v>276</v>
      </c>
      <c r="P56" s="48" t="s">
        <v>277</v>
      </c>
      <c r="Q56" s="48" t="s">
        <v>278</v>
      </c>
      <c r="R56" s="48" t="s">
        <v>279</v>
      </c>
      <c r="S56" s="48" t="s">
        <v>280</v>
      </c>
      <c r="T56" s="48"/>
    </row>
    <row r="57" spans="1:20" x14ac:dyDescent="0.25">
      <c r="A57" s="43"/>
      <c r="B57" s="43"/>
      <c r="C57" s="46">
        <f t="shared" si="2"/>
        <v>0</v>
      </c>
      <c r="D57" s="45">
        <v>0</v>
      </c>
      <c r="E57" s="45">
        <v>0</v>
      </c>
      <c r="F57" s="45">
        <f t="shared" si="0"/>
        <v>0</v>
      </c>
      <c r="G57" s="45">
        <v>0</v>
      </c>
      <c r="H57" s="45"/>
      <c r="I57" s="45">
        <v>0</v>
      </c>
      <c r="J57" s="45">
        <v>0</v>
      </c>
      <c r="K57" s="45">
        <v>0</v>
      </c>
      <c r="L57" s="46">
        <f t="shared" si="1"/>
        <v>0</v>
      </c>
      <c r="M57" s="47">
        <v>0</v>
      </c>
      <c r="N57" s="47">
        <v>0</v>
      </c>
      <c r="O57" s="48" t="s">
        <v>281</v>
      </c>
      <c r="P57" s="48" t="s">
        <v>282</v>
      </c>
      <c r="Q57" s="48" t="s">
        <v>283</v>
      </c>
      <c r="R57" s="48" t="s">
        <v>284</v>
      </c>
      <c r="S57" s="48" t="s">
        <v>285</v>
      </c>
      <c r="T57" s="48"/>
    </row>
    <row r="58" spans="1:20" x14ac:dyDescent="0.25">
      <c r="A58" s="43"/>
      <c r="B58" s="43"/>
      <c r="C58" s="46">
        <f t="shared" si="2"/>
        <v>0</v>
      </c>
      <c r="D58" s="45">
        <v>0</v>
      </c>
      <c r="E58" s="45">
        <v>0</v>
      </c>
      <c r="F58" s="45">
        <f t="shared" si="0"/>
        <v>0</v>
      </c>
      <c r="G58" s="45">
        <v>0</v>
      </c>
      <c r="H58" s="45"/>
      <c r="I58" s="45">
        <v>0</v>
      </c>
      <c r="J58" s="45">
        <v>0</v>
      </c>
      <c r="K58" s="45">
        <v>0</v>
      </c>
      <c r="L58" s="46">
        <f t="shared" si="1"/>
        <v>0</v>
      </c>
      <c r="M58" s="47">
        <v>0</v>
      </c>
      <c r="N58" s="47">
        <v>0</v>
      </c>
      <c r="O58" s="48" t="s">
        <v>286</v>
      </c>
      <c r="P58" s="48" t="s">
        <v>287</v>
      </c>
      <c r="Q58" s="48" t="s">
        <v>288</v>
      </c>
      <c r="R58" s="48" t="s">
        <v>289</v>
      </c>
      <c r="S58" s="48" t="s">
        <v>290</v>
      </c>
      <c r="T58" s="48"/>
    </row>
    <row r="59" spans="1:20" x14ac:dyDescent="0.25">
      <c r="A59" s="43"/>
      <c r="B59" s="43"/>
      <c r="C59" s="46">
        <f t="shared" si="2"/>
        <v>0</v>
      </c>
      <c r="D59" s="45">
        <v>0</v>
      </c>
      <c r="E59" s="45">
        <v>0</v>
      </c>
      <c r="F59" s="45">
        <f t="shared" si="0"/>
        <v>0</v>
      </c>
      <c r="G59" s="45">
        <v>0</v>
      </c>
      <c r="H59" s="45"/>
      <c r="I59" s="45">
        <v>0</v>
      </c>
      <c r="J59" s="45">
        <v>0</v>
      </c>
      <c r="K59" s="45">
        <v>0</v>
      </c>
      <c r="L59" s="46">
        <f t="shared" si="1"/>
        <v>0</v>
      </c>
      <c r="M59" s="47">
        <v>0</v>
      </c>
      <c r="N59" s="47">
        <v>0</v>
      </c>
      <c r="O59" s="48" t="s">
        <v>291</v>
      </c>
      <c r="P59" s="48" t="s">
        <v>292</v>
      </c>
      <c r="Q59" s="48" t="s">
        <v>293</v>
      </c>
      <c r="R59" s="48" t="s">
        <v>294</v>
      </c>
      <c r="S59" s="48" t="s">
        <v>295</v>
      </c>
      <c r="T59" s="48"/>
    </row>
    <row r="60" spans="1:20" x14ac:dyDescent="0.25">
      <c r="A60" s="43"/>
      <c r="B60" s="43"/>
      <c r="C60" s="46">
        <f t="shared" si="2"/>
        <v>0</v>
      </c>
      <c r="D60" s="45">
        <v>0</v>
      </c>
      <c r="E60" s="45">
        <v>0</v>
      </c>
      <c r="F60" s="45">
        <f t="shared" si="0"/>
        <v>0</v>
      </c>
      <c r="G60" s="45">
        <v>0</v>
      </c>
      <c r="H60" s="45"/>
      <c r="I60" s="45">
        <v>0</v>
      </c>
      <c r="J60" s="45">
        <v>0</v>
      </c>
      <c r="K60" s="45">
        <v>0</v>
      </c>
      <c r="L60" s="46">
        <f t="shared" si="1"/>
        <v>0</v>
      </c>
      <c r="M60" s="47">
        <v>0</v>
      </c>
      <c r="N60" s="47">
        <v>0</v>
      </c>
      <c r="O60" s="48" t="s">
        <v>296</v>
      </c>
      <c r="P60" s="48" t="s">
        <v>297</v>
      </c>
      <c r="Q60" s="48" t="s">
        <v>298</v>
      </c>
      <c r="R60" s="48" t="s">
        <v>299</v>
      </c>
      <c r="S60" s="48" t="s">
        <v>300</v>
      </c>
      <c r="T60" s="48"/>
    </row>
    <row r="61" spans="1:20" x14ac:dyDescent="0.25">
      <c r="A61" s="43"/>
      <c r="B61" s="43"/>
      <c r="C61" s="46">
        <f t="shared" si="2"/>
        <v>0</v>
      </c>
      <c r="D61" s="45">
        <v>0</v>
      </c>
      <c r="E61" s="45">
        <v>0</v>
      </c>
      <c r="F61" s="45">
        <f t="shared" si="0"/>
        <v>0</v>
      </c>
      <c r="G61" s="45">
        <v>0</v>
      </c>
      <c r="H61" s="45"/>
      <c r="I61" s="45">
        <v>0</v>
      </c>
      <c r="J61" s="45">
        <v>0</v>
      </c>
      <c r="K61" s="45">
        <v>0</v>
      </c>
      <c r="L61" s="46">
        <f t="shared" si="1"/>
        <v>0</v>
      </c>
      <c r="M61" s="47">
        <v>0</v>
      </c>
      <c r="N61" s="47">
        <v>0</v>
      </c>
      <c r="O61" s="48" t="s">
        <v>301</v>
      </c>
      <c r="P61" s="48" t="s">
        <v>302</v>
      </c>
      <c r="Q61" s="48" t="s">
        <v>303</v>
      </c>
      <c r="R61" s="48" t="s">
        <v>304</v>
      </c>
      <c r="S61" s="48" t="s">
        <v>305</v>
      </c>
      <c r="T61" s="48"/>
    </row>
    <row r="62" spans="1:20" x14ac:dyDescent="0.25">
      <c r="A62" s="43"/>
      <c r="B62" s="43"/>
      <c r="C62" s="46">
        <f t="shared" si="2"/>
        <v>0</v>
      </c>
      <c r="D62" s="45">
        <v>0</v>
      </c>
      <c r="E62" s="45">
        <v>0</v>
      </c>
      <c r="F62" s="45">
        <f t="shared" si="0"/>
        <v>0</v>
      </c>
      <c r="G62" s="45">
        <v>0</v>
      </c>
      <c r="H62" s="45"/>
      <c r="I62" s="45">
        <v>0</v>
      </c>
      <c r="J62" s="45">
        <v>0</v>
      </c>
      <c r="K62" s="45">
        <v>0</v>
      </c>
      <c r="L62" s="46">
        <f t="shared" si="1"/>
        <v>0</v>
      </c>
      <c r="M62" s="47">
        <v>0</v>
      </c>
      <c r="N62" s="47">
        <v>0</v>
      </c>
      <c r="O62" s="48" t="s">
        <v>306</v>
      </c>
      <c r="P62" s="48" t="s">
        <v>307</v>
      </c>
      <c r="Q62" s="48" t="s">
        <v>308</v>
      </c>
      <c r="R62" s="48" t="s">
        <v>309</v>
      </c>
      <c r="S62" s="48" t="s">
        <v>310</v>
      </c>
      <c r="T62" s="48"/>
    </row>
    <row r="63" spans="1:20" x14ac:dyDescent="0.25">
      <c r="A63" s="43"/>
      <c r="B63" s="43"/>
      <c r="C63" s="46">
        <f t="shared" si="2"/>
        <v>0</v>
      </c>
      <c r="D63" s="45">
        <v>0</v>
      </c>
      <c r="E63" s="45">
        <v>0</v>
      </c>
      <c r="F63" s="45">
        <f t="shared" si="0"/>
        <v>0</v>
      </c>
      <c r="G63" s="45">
        <v>0</v>
      </c>
      <c r="H63" s="45"/>
      <c r="I63" s="45">
        <v>0</v>
      </c>
      <c r="J63" s="45">
        <v>0</v>
      </c>
      <c r="K63" s="45">
        <v>0</v>
      </c>
      <c r="L63" s="46">
        <f t="shared" si="1"/>
        <v>0</v>
      </c>
      <c r="M63" s="47">
        <v>0</v>
      </c>
      <c r="N63" s="47">
        <v>0</v>
      </c>
      <c r="O63" s="48" t="s">
        <v>311</v>
      </c>
      <c r="P63" s="48" t="s">
        <v>312</v>
      </c>
      <c r="Q63" s="48" t="s">
        <v>313</v>
      </c>
      <c r="R63" s="48" t="s">
        <v>314</v>
      </c>
      <c r="S63" s="48" t="s">
        <v>315</v>
      </c>
      <c r="T63" s="48"/>
    </row>
    <row r="64" spans="1:20" x14ac:dyDescent="0.25">
      <c r="A64" s="43"/>
      <c r="B64" s="43"/>
      <c r="C64" s="46">
        <f t="shared" si="2"/>
        <v>0</v>
      </c>
      <c r="D64" s="45">
        <v>0</v>
      </c>
      <c r="E64" s="45">
        <v>0</v>
      </c>
      <c r="F64" s="45">
        <f t="shared" si="0"/>
        <v>0</v>
      </c>
      <c r="G64" s="45">
        <v>0</v>
      </c>
      <c r="H64" s="45"/>
      <c r="I64" s="45">
        <v>0</v>
      </c>
      <c r="J64" s="45">
        <v>0</v>
      </c>
      <c r="K64" s="45">
        <v>0</v>
      </c>
      <c r="L64" s="46">
        <f t="shared" si="1"/>
        <v>0</v>
      </c>
      <c r="M64" s="47">
        <v>0</v>
      </c>
      <c r="N64" s="47">
        <v>0</v>
      </c>
      <c r="O64" s="48" t="s">
        <v>316</v>
      </c>
      <c r="P64" s="48" t="s">
        <v>317</v>
      </c>
      <c r="Q64" s="48" t="s">
        <v>318</v>
      </c>
      <c r="R64" s="48" t="s">
        <v>319</v>
      </c>
      <c r="S64" s="48" t="s">
        <v>320</v>
      </c>
      <c r="T64" s="48"/>
    </row>
    <row r="65" spans="1:20" x14ac:dyDescent="0.25">
      <c r="A65" s="43"/>
      <c r="B65" s="43"/>
      <c r="C65" s="46">
        <f t="shared" si="2"/>
        <v>0</v>
      </c>
      <c r="D65" s="45">
        <v>0</v>
      </c>
      <c r="E65" s="45">
        <v>0</v>
      </c>
      <c r="F65" s="45">
        <f t="shared" si="0"/>
        <v>0</v>
      </c>
      <c r="G65" s="45">
        <v>0</v>
      </c>
      <c r="H65" s="45"/>
      <c r="I65" s="45">
        <v>0</v>
      </c>
      <c r="J65" s="45">
        <v>0</v>
      </c>
      <c r="K65" s="45">
        <v>0</v>
      </c>
      <c r="L65" s="46">
        <f t="shared" si="1"/>
        <v>0</v>
      </c>
      <c r="M65" s="47">
        <v>0</v>
      </c>
      <c r="N65" s="47">
        <v>0</v>
      </c>
      <c r="O65" s="48" t="s">
        <v>321</v>
      </c>
      <c r="P65" s="48" t="s">
        <v>322</v>
      </c>
      <c r="Q65" s="48" t="s">
        <v>323</v>
      </c>
      <c r="R65" s="48" t="s">
        <v>324</v>
      </c>
      <c r="S65" s="48" t="s">
        <v>325</v>
      </c>
      <c r="T65" s="48"/>
    </row>
    <row r="66" spans="1:20" x14ac:dyDescent="0.25">
      <c r="A66" s="43"/>
      <c r="B66" s="43"/>
      <c r="C66" s="46">
        <f t="shared" si="2"/>
        <v>0</v>
      </c>
      <c r="D66" s="45">
        <v>0</v>
      </c>
      <c r="E66" s="45">
        <v>0</v>
      </c>
      <c r="F66" s="45">
        <f t="shared" si="0"/>
        <v>0</v>
      </c>
      <c r="G66" s="45">
        <v>0</v>
      </c>
      <c r="H66" s="45"/>
      <c r="I66" s="45">
        <v>0</v>
      </c>
      <c r="J66" s="45">
        <v>0</v>
      </c>
      <c r="K66" s="45">
        <v>0</v>
      </c>
      <c r="L66" s="46">
        <f t="shared" si="1"/>
        <v>0</v>
      </c>
      <c r="M66" s="47">
        <v>0</v>
      </c>
      <c r="N66" s="47">
        <v>0</v>
      </c>
      <c r="O66" s="48" t="s">
        <v>326</v>
      </c>
      <c r="P66" s="48" t="s">
        <v>327</v>
      </c>
      <c r="Q66" s="48" t="s">
        <v>328</v>
      </c>
      <c r="R66" s="48" t="s">
        <v>329</v>
      </c>
      <c r="S66" s="48" t="s">
        <v>330</v>
      </c>
      <c r="T66" s="48"/>
    </row>
    <row r="67" spans="1:20" x14ac:dyDescent="0.25">
      <c r="A67" s="43"/>
      <c r="B67" s="43"/>
      <c r="C67" s="46">
        <f t="shared" si="2"/>
        <v>0</v>
      </c>
      <c r="D67" s="45">
        <v>0</v>
      </c>
      <c r="E67" s="45">
        <v>0</v>
      </c>
      <c r="F67" s="45">
        <f t="shared" si="0"/>
        <v>0</v>
      </c>
      <c r="G67" s="45">
        <v>0</v>
      </c>
      <c r="H67" s="45"/>
      <c r="I67" s="45">
        <v>0</v>
      </c>
      <c r="J67" s="45">
        <v>0</v>
      </c>
      <c r="K67" s="45">
        <v>0</v>
      </c>
      <c r="L67" s="46">
        <f t="shared" si="1"/>
        <v>0</v>
      </c>
      <c r="M67" s="47">
        <v>0</v>
      </c>
      <c r="N67" s="47">
        <v>0</v>
      </c>
      <c r="O67" s="48" t="s">
        <v>331</v>
      </c>
      <c r="P67" s="48" t="s">
        <v>332</v>
      </c>
      <c r="Q67" s="48" t="s">
        <v>333</v>
      </c>
      <c r="R67" s="48" t="s">
        <v>334</v>
      </c>
      <c r="S67" s="48" t="s">
        <v>335</v>
      </c>
      <c r="T67" s="48"/>
    </row>
    <row r="68" spans="1:20" x14ac:dyDescent="0.25">
      <c r="A68" s="43"/>
      <c r="B68" s="43"/>
      <c r="C68" s="46">
        <f t="shared" si="2"/>
        <v>0</v>
      </c>
      <c r="D68" s="45">
        <v>0</v>
      </c>
      <c r="E68" s="45">
        <v>0</v>
      </c>
      <c r="F68" s="45">
        <f t="shared" si="0"/>
        <v>0</v>
      </c>
      <c r="G68" s="45">
        <v>0</v>
      </c>
      <c r="H68" s="45"/>
      <c r="I68" s="45">
        <v>0</v>
      </c>
      <c r="J68" s="45">
        <v>0</v>
      </c>
      <c r="K68" s="45">
        <v>0</v>
      </c>
      <c r="L68" s="46">
        <f t="shared" si="1"/>
        <v>0</v>
      </c>
      <c r="M68" s="47">
        <v>0</v>
      </c>
      <c r="N68" s="47">
        <v>0</v>
      </c>
      <c r="O68" s="48" t="s">
        <v>336</v>
      </c>
      <c r="P68" s="48" t="s">
        <v>337</v>
      </c>
      <c r="Q68" s="48" t="s">
        <v>338</v>
      </c>
      <c r="R68" s="48" t="s">
        <v>339</v>
      </c>
      <c r="S68" s="48" t="s">
        <v>340</v>
      </c>
      <c r="T68" s="48"/>
    </row>
    <row r="69" spans="1:20" x14ac:dyDescent="0.25">
      <c r="A69" s="43"/>
      <c r="B69" s="43"/>
      <c r="C69" s="46">
        <f t="shared" si="2"/>
        <v>0</v>
      </c>
      <c r="D69" s="45">
        <v>0</v>
      </c>
      <c r="E69" s="45">
        <v>0</v>
      </c>
      <c r="F69" s="45">
        <f t="shared" si="0"/>
        <v>0</v>
      </c>
      <c r="G69" s="45">
        <v>0</v>
      </c>
      <c r="H69" s="45"/>
      <c r="I69" s="45">
        <v>0</v>
      </c>
      <c r="J69" s="45">
        <v>0</v>
      </c>
      <c r="K69" s="45">
        <v>0</v>
      </c>
      <c r="L69" s="46">
        <f t="shared" si="1"/>
        <v>0</v>
      </c>
      <c r="M69" s="47">
        <v>0</v>
      </c>
      <c r="N69" s="47">
        <v>0</v>
      </c>
      <c r="O69" s="48" t="s">
        <v>341</v>
      </c>
      <c r="P69" s="48" t="s">
        <v>342</v>
      </c>
      <c r="Q69" s="48" t="s">
        <v>343</v>
      </c>
      <c r="R69" s="48" t="s">
        <v>344</v>
      </c>
      <c r="S69" s="48" t="s">
        <v>345</v>
      </c>
      <c r="T69" s="48"/>
    </row>
    <row r="70" spans="1:20" x14ac:dyDescent="0.25">
      <c r="A70" s="43"/>
      <c r="B70" s="43"/>
      <c r="C70" s="46">
        <f t="shared" si="2"/>
        <v>0</v>
      </c>
      <c r="D70" s="45">
        <v>0</v>
      </c>
      <c r="E70" s="45">
        <v>0</v>
      </c>
      <c r="F70" s="45">
        <f t="shared" si="0"/>
        <v>0</v>
      </c>
      <c r="G70" s="45">
        <v>0</v>
      </c>
      <c r="H70" s="45"/>
      <c r="I70" s="45">
        <v>0</v>
      </c>
      <c r="J70" s="45">
        <v>0</v>
      </c>
      <c r="K70" s="45">
        <v>0</v>
      </c>
      <c r="L70" s="46">
        <f t="shared" si="1"/>
        <v>0</v>
      </c>
      <c r="M70" s="47">
        <v>0</v>
      </c>
      <c r="N70" s="47">
        <v>0</v>
      </c>
      <c r="O70" s="48" t="s">
        <v>346</v>
      </c>
      <c r="P70" s="48" t="s">
        <v>347</v>
      </c>
      <c r="Q70" s="48" t="s">
        <v>348</v>
      </c>
      <c r="R70" s="48" t="s">
        <v>349</v>
      </c>
      <c r="S70" s="48" t="s">
        <v>350</v>
      </c>
      <c r="T70" s="48"/>
    </row>
    <row r="71" spans="1:20" x14ac:dyDescent="0.25">
      <c r="A71" s="43"/>
      <c r="B71" s="43"/>
      <c r="C71" s="46">
        <f t="shared" si="2"/>
        <v>0</v>
      </c>
      <c r="D71" s="45">
        <v>0</v>
      </c>
      <c r="E71" s="45">
        <v>0</v>
      </c>
      <c r="F71" s="45">
        <f t="shared" si="0"/>
        <v>0</v>
      </c>
      <c r="G71" s="45">
        <v>0</v>
      </c>
      <c r="H71" s="45"/>
      <c r="I71" s="45">
        <v>0</v>
      </c>
      <c r="J71" s="45">
        <v>0</v>
      </c>
      <c r="K71" s="45">
        <v>0</v>
      </c>
      <c r="L71" s="46">
        <f t="shared" si="1"/>
        <v>0</v>
      </c>
      <c r="M71" s="47">
        <v>0</v>
      </c>
      <c r="N71" s="47">
        <v>0</v>
      </c>
      <c r="O71" s="48" t="s">
        <v>351</v>
      </c>
      <c r="P71" s="48" t="s">
        <v>352</v>
      </c>
      <c r="Q71" s="48" t="s">
        <v>353</v>
      </c>
      <c r="R71" s="48" t="s">
        <v>354</v>
      </c>
      <c r="S71" s="48" t="s">
        <v>355</v>
      </c>
      <c r="T71" s="48"/>
    </row>
    <row r="72" spans="1:20" x14ac:dyDescent="0.25">
      <c r="A72" s="43"/>
      <c r="B72" s="43"/>
      <c r="C72" s="46">
        <f t="shared" si="2"/>
        <v>0</v>
      </c>
      <c r="D72" s="45">
        <v>0</v>
      </c>
      <c r="E72" s="45">
        <v>0</v>
      </c>
      <c r="F72" s="45">
        <f t="shared" si="0"/>
        <v>0</v>
      </c>
      <c r="G72" s="45">
        <v>0</v>
      </c>
      <c r="H72" s="45"/>
      <c r="I72" s="45">
        <v>0</v>
      </c>
      <c r="J72" s="45">
        <v>0</v>
      </c>
      <c r="K72" s="45">
        <v>0</v>
      </c>
      <c r="L72" s="46">
        <f t="shared" si="1"/>
        <v>0</v>
      </c>
      <c r="M72" s="47">
        <v>0</v>
      </c>
      <c r="N72" s="47">
        <v>0</v>
      </c>
      <c r="O72" s="48" t="s">
        <v>356</v>
      </c>
      <c r="P72" s="48" t="s">
        <v>357</v>
      </c>
      <c r="Q72" s="48" t="s">
        <v>358</v>
      </c>
      <c r="R72" s="48" t="s">
        <v>359</v>
      </c>
      <c r="S72" s="48" t="s">
        <v>360</v>
      </c>
      <c r="T72" s="48"/>
    </row>
    <row r="73" spans="1:20" x14ac:dyDescent="0.25">
      <c r="A73" s="43"/>
      <c r="B73" s="43"/>
      <c r="C73" s="46">
        <f t="shared" si="2"/>
        <v>0</v>
      </c>
      <c r="D73" s="45">
        <v>0</v>
      </c>
      <c r="E73" s="45">
        <v>0</v>
      </c>
      <c r="F73" s="45">
        <f t="shared" si="0"/>
        <v>0</v>
      </c>
      <c r="G73" s="45">
        <v>0</v>
      </c>
      <c r="H73" s="45"/>
      <c r="I73" s="45">
        <v>0</v>
      </c>
      <c r="J73" s="45">
        <v>0</v>
      </c>
      <c r="K73" s="45">
        <v>0</v>
      </c>
      <c r="L73" s="46">
        <f t="shared" si="1"/>
        <v>0</v>
      </c>
      <c r="M73" s="47">
        <v>0</v>
      </c>
      <c r="N73" s="47">
        <v>0</v>
      </c>
      <c r="O73" s="48" t="s">
        <v>361</v>
      </c>
      <c r="P73" s="48" t="s">
        <v>362</v>
      </c>
      <c r="Q73" s="48" t="s">
        <v>363</v>
      </c>
      <c r="R73" s="48" t="s">
        <v>364</v>
      </c>
      <c r="S73" s="48" t="s">
        <v>365</v>
      </c>
      <c r="T73" s="48"/>
    </row>
    <row r="74" spans="1:20" x14ac:dyDescent="0.25">
      <c r="A74" s="43"/>
      <c r="B74" s="43"/>
      <c r="C74" s="46">
        <f t="shared" si="2"/>
        <v>0</v>
      </c>
      <c r="D74" s="45">
        <v>0</v>
      </c>
      <c r="E74" s="45">
        <v>0</v>
      </c>
      <c r="F74" s="45">
        <f t="shared" si="0"/>
        <v>0</v>
      </c>
      <c r="G74" s="45">
        <v>0</v>
      </c>
      <c r="H74" s="45"/>
      <c r="I74" s="45">
        <v>0</v>
      </c>
      <c r="J74" s="45">
        <v>0</v>
      </c>
      <c r="K74" s="45">
        <v>0</v>
      </c>
      <c r="L74" s="46">
        <f t="shared" si="1"/>
        <v>0</v>
      </c>
      <c r="M74" s="47">
        <v>0</v>
      </c>
      <c r="N74" s="47">
        <v>0</v>
      </c>
      <c r="O74" s="48" t="s">
        <v>366</v>
      </c>
      <c r="P74" s="48" t="s">
        <v>367</v>
      </c>
      <c r="Q74" s="48" t="s">
        <v>368</v>
      </c>
      <c r="R74" s="48" t="s">
        <v>369</v>
      </c>
      <c r="S74" s="48" t="s">
        <v>370</v>
      </c>
      <c r="T74" s="48"/>
    </row>
    <row r="75" spans="1:20" x14ac:dyDescent="0.25">
      <c r="A75" s="43"/>
      <c r="B75" s="43"/>
      <c r="C75" s="46">
        <f t="shared" si="2"/>
        <v>0</v>
      </c>
      <c r="D75" s="45">
        <v>0</v>
      </c>
      <c r="E75" s="45">
        <v>0</v>
      </c>
      <c r="F75" s="45">
        <f t="shared" si="0"/>
        <v>0</v>
      </c>
      <c r="G75" s="45">
        <v>0</v>
      </c>
      <c r="H75" s="45"/>
      <c r="I75" s="45">
        <v>0</v>
      </c>
      <c r="J75" s="45">
        <v>0</v>
      </c>
      <c r="K75" s="45">
        <v>0</v>
      </c>
      <c r="L75" s="46">
        <f t="shared" si="1"/>
        <v>0</v>
      </c>
      <c r="M75" s="47">
        <v>0</v>
      </c>
      <c r="N75" s="47">
        <v>0</v>
      </c>
      <c r="O75" s="48" t="s">
        <v>371</v>
      </c>
      <c r="P75" s="48" t="s">
        <v>372</v>
      </c>
      <c r="Q75" s="48" t="s">
        <v>373</v>
      </c>
      <c r="R75" s="48" t="s">
        <v>374</v>
      </c>
      <c r="S75" s="48" t="s">
        <v>375</v>
      </c>
      <c r="T75" s="48"/>
    </row>
    <row r="76" spans="1:20" x14ac:dyDescent="0.25">
      <c r="A76" s="43"/>
      <c r="B76" s="43"/>
      <c r="C76" s="46">
        <f t="shared" si="2"/>
        <v>0</v>
      </c>
      <c r="D76" s="45">
        <v>0</v>
      </c>
      <c r="E76" s="45">
        <v>0</v>
      </c>
      <c r="F76" s="45">
        <f t="shared" si="0"/>
        <v>0</v>
      </c>
      <c r="G76" s="45">
        <v>0</v>
      </c>
      <c r="H76" s="45"/>
      <c r="I76" s="45">
        <v>0</v>
      </c>
      <c r="J76" s="45">
        <v>0</v>
      </c>
      <c r="K76" s="45">
        <v>0</v>
      </c>
      <c r="L76" s="46">
        <f t="shared" si="1"/>
        <v>0</v>
      </c>
      <c r="M76" s="47">
        <v>0</v>
      </c>
      <c r="N76" s="47">
        <v>0</v>
      </c>
      <c r="O76" s="48" t="s">
        <v>376</v>
      </c>
      <c r="P76" s="48" t="s">
        <v>377</v>
      </c>
      <c r="Q76" s="48" t="s">
        <v>378</v>
      </c>
      <c r="R76" s="48" t="s">
        <v>379</v>
      </c>
      <c r="S76" s="48" t="s">
        <v>380</v>
      </c>
      <c r="T76" s="48"/>
    </row>
    <row r="77" spans="1:20" x14ac:dyDescent="0.25">
      <c r="A77" s="43"/>
      <c r="B77" s="43"/>
      <c r="C77" s="46">
        <f t="shared" si="2"/>
        <v>0</v>
      </c>
      <c r="D77" s="45">
        <v>0</v>
      </c>
      <c r="E77" s="45">
        <v>0</v>
      </c>
      <c r="F77" s="45">
        <f t="shared" ref="F77:F140" si="3">E77-G77-H77</f>
        <v>0</v>
      </c>
      <c r="G77" s="45">
        <v>0</v>
      </c>
      <c r="H77" s="45"/>
      <c r="I77" s="45">
        <v>0</v>
      </c>
      <c r="J77" s="45">
        <v>0</v>
      </c>
      <c r="K77" s="45">
        <v>0</v>
      </c>
      <c r="L77" s="46">
        <f t="shared" ref="L77:L140" si="4">C77+J77+K77-H77-F77+D77</f>
        <v>0</v>
      </c>
      <c r="M77" s="47">
        <v>0</v>
      </c>
      <c r="N77" s="47">
        <v>0</v>
      </c>
      <c r="O77" s="48" t="s">
        <v>381</v>
      </c>
      <c r="P77" s="48" t="s">
        <v>382</v>
      </c>
      <c r="Q77" s="48" t="s">
        <v>383</v>
      </c>
      <c r="R77" s="48" t="s">
        <v>384</v>
      </c>
      <c r="S77" s="48" t="s">
        <v>385</v>
      </c>
      <c r="T77" s="48"/>
    </row>
    <row r="78" spans="1:20" x14ac:dyDescent="0.25">
      <c r="A78" s="43"/>
      <c r="B78" s="43"/>
      <c r="C78" s="46">
        <f t="shared" ref="C78:C141" si="5">L77</f>
        <v>0</v>
      </c>
      <c r="D78" s="45">
        <v>0</v>
      </c>
      <c r="E78" s="45">
        <v>0</v>
      </c>
      <c r="F78" s="45">
        <f t="shared" si="3"/>
        <v>0</v>
      </c>
      <c r="G78" s="45">
        <v>0</v>
      </c>
      <c r="H78" s="45"/>
      <c r="I78" s="45">
        <v>0</v>
      </c>
      <c r="J78" s="45">
        <v>0</v>
      </c>
      <c r="K78" s="45">
        <v>0</v>
      </c>
      <c r="L78" s="46">
        <f t="shared" si="4"/>
        <v>0</v>
      </c>
      <c r="M78" s="47">
        <v>0</v>
      </c>
      <c r="N78" s="47">
        <v>0</v>
      </c>
      <c r="O78" s="48" t="s">
        <v>386</v>
      </c>
      <c r="P78" s="48" t="s">
        <v>387</v>
      </c>
      <c r="Q78" s="48" t="s">
        <v>388</v>
      </c>
      <c r="R78" s="48" t="s">
        <v>389</v>
      </c>
      <c r="S78" s="48" t="s">
        <v>390</v>
      </c>
      <c r="T78" s="48"/>
    </row>
    <row r="79" spans="1:20" x14ac:dyDescent="0.25">
      <c r="A79" s="43"/>
      <c r="B79" s="43"/>
      <c r="C79" s="46">
        <f t="shared" si="5"/>
        <v>0</v>
      </c>
      <c r="D79" s="45">
        <v>0</v>
      </c>
      <c r="E79" s="45">
        <v>0</v>
      </c>
      <c r="F79" s="45">
        <f t="shared" si="3"/>
        <v>0</v>
      </c>
      <c r="G79" s="45">
        <v>0</v>
      </c>
      <c r="H79" s="45"/>
      <c r="I79" s="45">
        <v>0</v>
      </c>
      <c r="J79" s="45">
        <v>0</v>
      </c>
      <c r="K79" s="45">
        <v>0</v>
      </c>
      <c r="L79" s="46">
        <f t="shared" si="4"/>
        <v>0</v>
      </c>
      <c r="M79" s="47">
        <v>0</v>
      </c>
      <c r="N79" s="47">
        <v>0</v>
      </c>
      <c r="O79" s="48" t="s">
        <v>391</v>
      </c>
      <c r="P79" s="48" t="s">
        <v>392</v>
      </c>
      <c r="Q79" s="48" t="s">
        <v>393</v>
      </c>
      <c r="R79" s="48" t="s">
        <v>394</v>
      </c>
      <c r="S79" s="48" t="s">
        <v>395</v>
      </c>
      <c r="T79" s="48"/>
    </row>
    <row r="80" spans="1:20" x14ac:dyDescent="0.25">
      <c r="A80" s="43"/>
      <c r="B80" s="43"/>
      <c r="C80" s="46">
        <f t="shared" si="5"/>
        <v>0</v>
      </c>
      <c r="D80" s="45">
        <v>0</v>
      </c>
      <c r="E80" s="45">
        <v>0</v>
      </c>
      <c r="F80" s="45">
        <f t="shared" si="3"/>
        <v>0</v>
      </c>
      <c r="G80" s="45">
        <v>0</v>
      </c>
      <c r="H80" s="45"/>
      <c r="I80" s="45">
        <v>0</v>
      </c>
      <c r="J80" s="45">
        <v>0</v>
      </c>
      <c r="K80" s="45">
        <v>0</v>
      </c>
      <c r="L80" s="46">
        <f t="shared" si="4"/>
        <v>0</v>
      </c>
      <c r="M80" s="47">
        <v>0</v>
      </c>
      <c r="N80" s="47">
        <v>0</v>
      </c>
      <c r="O80" s="48" t="s">
        <v>396</v>
      </c>
      <c r="P80" s="48" t="s">
        <v>397</v>
      </c>
      <c r="Q80" s="48" t="s">
        <v>398</v>
      </c>
      <c r="R80" s="48" t="s">
        <v>399</v>
      </c>
      <c r="S80" s="48" t="s">
        <v>400</v>
      </c>
      <c r="T80" s="48"/>
    </row>
    <row r="81" spans="1:20" x14ac:dyDescent="0.25">
      <c r="A81" s="43"/>
      <c r="B81" s="43"/>
      <c r="C81" s="46">
        <f t="shared" si="5"/>
        <v>0</v>
      </c>
      <c r="D81" s="45">
        <v>0</v>
      </c>
      <c r="E81" s="45">
        <v>0</v>
      </c>
      <c r="F81" s="45">
        <f t="shared" si="3"/>
        <v>0</v>
      </c>
      <c r="G81" s="45">
        <v>0</v>
      </c>
      <c r="H81" s="45"/>
      <c r="I81" s="45">
        <v>0</v>
      </c>
      <c r="J81" s="45">
        <v>0</v>
      </c>
      <c r="K81" s="45">
        <v>0</v>
      </c>
      <c r="L81" s="46">
        <f t="shared" si="4"/>
        <v>0</v>
      </c>
      <c r="M81" s="47">
        <v>0</v>
      </c>
      <c r="N81" s="47">
        <v>0</v>
      </c>
      <c r="O81" s="48" t="s">
        <v>401</v>
      </c>
      <c r="P81" s="48" t="s">
        <v>402</v>
      </c>
      <c r="Q81" s="48" t="s">
        <v>403</v>
      </c>
      <c r="R81" s="48" t="s">
        <v>404</v>
      </c>
      <c r="S81" s="48" t="s">
        <v>405</v>
      </c>
      <c r="T81" s="48"/>
    </row>
    <row r="82" spans="1:20" x14ac:dyDescent="0.25">
      <c r="A82" s="43"/>
      <c r="B82" s="43"/>
      <c r="C82" s="46">
        <f t="shared" si="5"/>
        <v>0</v>
      </c>
      <c r="D82" s="45">
        <v>0</v>
      </c>
      <c r="E82" s="45">
        <v>0</v>
      </c>
      <c r="F82" s="45">
        <f t="shared" si="3"/>
        <v>0</v>
      </c>
      <c r="G82" s="45">
        <v>0</v>
      </c>
      <c r="H82" s="45"/>
      <c r="I82" s="45">
        <v>0</v>
      </c>
      <c r="J82" s="45">
        <v>0</v>
      </c>
      <c r="K82" s="45">
        <v>0</v>
      </c>
      <c r="L82" s="46">
        <f t="shared" si="4"/>
        <v>0</v>
      </c>
      <c r="M82" s="47">
        <v>0</v>
      </c>
      <c r="N82" s="47">
        <v>0</v>
      </c>
      <c r="O82" s="48" t="s">
        <v>406</v>
      </c>
      <c r="P82" s="48" t="s">
        <v>407</v>
      </c>
      <c r="Q82" s="48" t="s">
        <v>408</v>
      </c>
      <c r="R82" s="48" t="s">
        <v>409</v>
      </c>
      <c r="S82" s="48" t="s">
        <v>410</v>
      </c>
      <c r="T82" s="48"/>
    </row>
    <row r="83" spans="1:20" x14ac:dyDescent="0.25">
      <c r="A83" s="43"/>
      <c r="B83" s="43"/>
      <c r="C83" s="46">
        <f t="shared" si="5"/>
        <v>0</v>
      </c>
      <c r="D83" s="45">
        <v>0</v>
      </c>
      <c r="E83" s="45">
        <v>0</v>
      </c>
      <c r="F83" s="45">
        <f t="shared" si="3"/>
        <v>0</v>
      </c>
      <c r="G83" s="45">
        <v>0</v>
      </c>
      <c r="H83" s="45"/>
      <c r="I83" s="45">
        <v>0</v>
      </c>
      <c r="J83" s="45">
        <v>0</v>
      </c>
      <c r="K83" s="45">
        <v>0</v>
      </c>
      <c r="L83" s="46">
        <f t="shared" si="4"/>
        <v>0</v>
      </c>
      <c r="M83" s="47">
        <v>0</v>
      </c>
      <c r="N83" s="47">
        <v>0</v>
      </c>
      <c r="O83" s="48" t="s">
        <v>411</v>
      </c>
      <c r="P83" s="48" t="s">
        <v>412</v>
      </c>
      <c r="Q83" s="48" t="s">
        <v>413</v>
      </c>
      <c r="R83" s="48" t="s">
        <v>414</v>
      </c>
      <c r="S83" s="48" t="s">
        <v>415</v>
      </c>
      <c r="T83" s="48"/>
    </row>
    <row r="84" spans="1:20" x14ac:dyDescent="0.25">
      <c r="A84" s="43"/>
      <c r="B84" s="43"/>
      <c r="C84" s="46">
        <f t="shared" si="5"/>
        <v>0</v>
      </c>
      <c r="D84" s="45">
        <v>0</v>
      </c>
      <c r="E84" s="45">
        <v>0</v>
      </c>
      <c r="F84" s="45">
        <f t="shared" si="3"/>
        <v>0</v>
      </c>
      <c r="G84" s="45">
        <v>0</v>
      </c>
      <c r="H84" s="45"/>
      <c r="I84" s="45">
        <v>0</v>
      </c>
      <c r="J84" s="45">
        <v>0</v>
      </c>
      <c r="K84" s="45">
        <v>0</v>
      </c>
      <c r="L84" s="46">
        <f t="shared" si="4"/>
        <v>0</v>
      </c>
      <c r="M84" s="47">
        <v>0</v>
      </c>
      <c r="N84" s="47">
        <v>0</v>
      </c>
      <c r="O84" s="48" t="s">
        <v>416</v>
      </c>
      <c r="P84" s="48" t="s">
        <v>417</v>
      </c>
      <c r="Q84" s="48" t="s">
        <v>418</v>
      </c>
      <c r="R84" s="48" t="s">
        <v>419</v>
      </c>
      <c r="S84" s="48" t="s">
        <v>420</v>
      </c>
      <c r="T84" s="48"/>
    </row>
    <row r="85" spans="1:20" x14ac:dyDescent="0.25">
      <c r="A85" s="43"/>
      <c r="B85" s="43"/>
      <c r="C85" s="46">
        <f t="shared" si="5"/>
        <v>0</v>
      </c>
      <c r="D85" s="45">
        <v>0</v>
      </c>
      <c r="E85" s="45">
        <v>0</v>
      </c>
      <c r="F85" s="45">
        <f t="shared" si="3"/>
        <v>0</v>
      </c>
      <c r="G85" s="45">
        <v>0</v>
      </c>
      <c r="H85" s="45"/>
      <c r="I85" s="45">
        <v>0</v>
      </c>
      <c r="J85" s="45">
        <v>0</v>
      </c>
      <c r="K85" s="45">
        <v>0</v>
      </c>
      <c r="L85" s="46">
        <f t="shared" si="4"/>
        <v>0</v>
      </c>
      <c r="M85" s="47">
        <v>0</v>
      </c>
      <c r="N85" s="47">
        <v>0</v>
      </c>
      <c r="O85" s="48" t="s">
        <v>421</v>
      </c>
      <c r="P85" s="48" t="s">
        <v>422</v>
      </c>
      <c r="Q85" s="48" t="s">
        <v>423</v>
      </c>
      <c r="R85" s="48" t="s">
        <v>424</v>
      </c>
      <c r="S85" s="48" t="s">
        <v>425</v>
      </c>
      <c r="T85" s="48"/>
    </row>
    <row r="86" spans="1:20" x14ac:dyDescent="0.25">
      <c r="A86" s="43"/>
      <c r="B86" s="43"/>
      <c r="C86" s="46">
        <f t="shared" si="5"/>
        <v>0</v>
      </c>
      <c r="D86" s="45">
        <v>0</v>
      </c>
      <c r="E86" s="45">
        <v>0</v>
      </c>
      <c r="F86" s="45">
        <f t="shared" si="3"/>
        <v>0</v>
      </c>
      <c r="G86" s="45">
        <v>0</v>
      </c>
      <c r="H86" s="45"/>
      <c r="I86" s="45">
        <v>0</v>
      </c>
      <c r="J86" s="45">
        <v>0</v>
      </c>
      <c r="K86" s="45">
        <v>0</v>
      </c>
      <c r="L86" s="46">
        <f t="shared" si="4"/>
        <v>0</v>
      </c>
      <c r="M86" s="47">
        <v>0</v>
      </c>
      <c r="N86" s="47">
        <v>0</v>
      </c>
      <c r="O86" s="48" t="s">
        <v>426</v>
      </c>
      <c r="P86" s="48" t="s">
        <v>427</v>
      </c>
      <c r="Q86" s="48" t="s">
        <v>428</v>
      </c>
      <c r="R86" s="48" t="s">
        <v>429</v>
      </c>
      <c r="S86" s="48" t="s">
        <v>430</v>
      </c>
      <c r="T86" s="48"/>
    </row>
    <row r="87" spans="1:20" x14ac:dyDescent="0.25">
      <c r="A87" s="43"/>
      <c r="B87" s="43"/>
      <c r="C87" s="46">
        <f t="shared" si="5"/>
        <v>0</v>
      </c>
      <c r="D87" s="45">
        <v>0</v>
      </c>
      <c r="E87" s="45">
        <v>0</v>
      </c>
      <c r="F87" s="45">
        <f t="shared" si="3"/>
        <v>0</v>
      </c>
      <c r="G87" s="45">
        <v>0</v>
      </c>
      <c r="H87" s="45"/>
      <c r="I87" s="45">
        <v>0</v>
      </c>
      <c r="J87" s="45">
        <v>0</v>
      </c>
      <c r="K87" s="45">
        <v>0</v>
      </c>
      <c r="L87" s="46">
        <f t="shared" si="4"/>
        <v>0</v>
      </c>
      <c r="M87" s="47">
        <v>0</v>
      </c>
      <c r="N87" s="47">
        <v>0</v>
      </c>
      <c r="O87" s="48" t="s">
        <v>431</v>
      </c>
      <c r="P87" s="48" t="s">
        <v>432</v>
      </c>
      <c r="Q87" s="48" t="s">
        <v>433</v>
      </c>
      <c r="R87" s="48" t="s">
        <v>434</v>
      </c>
      <c r="S87" s="48" t="s">
        <v>435</v>
      </c>
      <c r="T87" s="48"/>
    </row>
    <row r="88" spans="1:20" x14ac:dyDescent="0.25">
      <c r="A88" s="43"/>
      <c r="B88" s="43"/>
      <c r="C88" s="46">
        <f t="shared" si="5"/>
        <v>0</v>
      </c>
      <c r="D88" s="45">
        <v>0</v>
      </c>
      <c r="E88" s="45">
        <v>0</v>
      </c>
      <c r="F88" s="45">
        <f t="shared" si="3"/>
        <v>0</v>
      </c>
      <c r="G88" s="45">
        <v>0</v>
      </c>
      <c r="H88" s="45"/>
      <c r="I88" s="45">
        <v>0</v>
      </c>
      <c r="J88" s="45">
        <v>0</v>
      </c>
      <c r="K88" s="45">
        <v>0</v>
      </c>
      <c r="L88" s="46">
        <f t="shared" si="4"/>
        <v>0</v>
      </c>
      <c r="M88" s="47">
        <v>0</v>
      </c>
      <c r="N88" s="47">
        <v>0</v>
      </c>
      <c r="O88" s="48" t="s">
        <v>436</v>
      </c>
      <c r="P88" s="48" t="s">
        <v>437</v>
      </c>
      <c r="Q88" s="48" t="s">
        <v>438</v>
      </c>
      <c r="R88" s="48" t="s">
        <v>439</v>
      </c>
      <c r="S88" s="48" t="s">
        <v>440</v>
      </c>
      <c r="T88" s="48"/>
    </row>
    <row r="89" spans="1:20" x14ac:dyDescent="0.25">
      <c r="A89" s="43"/>
      <c r="B89" s="43"/>
      <c r="C89" s="46">
        <f t="shared" si="5"/>
        <v>0</v>
      </c>
      <c r="D89" s="45">
        <v>0</v>
      </c>
      <c r="E89" s="45">
        <v>0</v>
      </c>
      <c r="F89" s="45">
        <f t="shared" si="3"/>
        <v>0</v>
      </c>
      <c r="G89" s="45">
        <v>0</v>
      </c>
      <c r="H89" s="45"/>
      <c r="I89" s="45">
        <v>0</v>
      </c>
      <c r="J89" s="45">
        <v>0</v>
      </c>
      <c r="K89" s="45">
        <v>0</v>
      </c>
      <c r="L89" s="46">
        <f t="shared" si="4"/>
        <v>0</v>
      </c>
      <c r="M89" s="47">
        <v>0</v>
      </c>
      <c r="N89" s="47">
        <v>0</v>
      </c>
      <c r="O89" s="48" t="s">
        <v>441</v>
      </c>
      <c r="P89" s="48" t="s">
        <v>442</v>
      </c>
      <c r="Q89" s="48" t="s">
        <v>443</v>
      </c>
      <c r="R89" s="48" t="s">
        <v>444</v>
      </c>
      <c r="S89" s="48" t="s">
        <v>445</v>
      </c>
      <c r="T89" s="48"/>
    </row>
    <row r="90" spans="1:20" x14ac:dyDescent="0.25">
      <c r="A90" s="43"/>
      <c r="B90" s="43"/>
      <c r="C90" s="46">
        <f t="shared" si="5"/>
        <v>0</v>
      </c>
      <c r="D90" s="45">
        <v>0</v>
      </c>
      <c r="E90" s="45">
        <v>0</v>
      </c>
      <c r="F90" s="45">
        <f t="shared" si="3"/>
        <v>0</v>
      </c>
      <c r="G90" s="45">
        <v>0</v>
      </c>
      <c r="H90" s="45"/>
      <c r="I90" s="45">
        <v>0</v>
      </c>
      <c r="J90" s="45">
        <v>0</v>
      </c>
      <c r="K90" s="45">
        <v>0</v>
      </c>
      <c r="L90" s="46">
        <f t="shared" si="4"/>
        <v>0</v>
      </c>
      <c r="M90" s="47">
        <v>0</v>
      </c>
      <c r="N90" s="47">
        <v>0</v>
      </c>
      <c r="O90" s="48" t="s">
        <v>446</v>
      </c>
      <c r="P90" s="48" t="s">
        <v>447</v>
      </c>
      <c r="Q90" s="48" t="s">
        <v>448</v>
      </c>
      <c r="R90" s="48" t="s">
        <v>449</v>
      </c>
      <c r="S90" s="48" t="s">
        <v>450</v>
      </c>
      <c r="T90" s="48"/>
    </row>
    <row r="91" spans="1:20" x14ac:dyDescent="0.25">
      <c r="A91" s="43"/>
      <c r="B91" s="43"/>
      <c r="C91" s="46">
        <f t="shared" si="5"/>
        <v>0</v>
      </c>
      <c r="D91" s="45">
        <v>0</v>
      </c>
      <c r="E91" s="45">
        <v>0</v>
      </c>
      <c r="F91" s="45">
        <f t="shared" si="3"/>
        <v>0</v>
      </c>
      <c r="G91" s="45">
        <v>0</v>
      </c>
      <c r="H91" s="45"/>
      <c r="I91" s="45">
        <v>0</v>
      </c>
      <c r="J91" s="45">
        <v>0</v>
      </c>
      <c r="K91" s="45">
        <v>0</v>
      </c>
      <c r="L91" s="46">
        <f t="shared" si="4"/>
        <v>0</v>
      </c>
      <c r="M91" s="47">
        <v>0</v>
      </c>
      <c r="N91" s="47">
        <v>0</v>
      </c>
      <c r="O91" s="48" t="s">
        <v>451</v>
      </c>
      <c r="P91" s="48" t="s">
        <v>452</v>
      </c>
      <c r="Q91" s="48" t="s">
        <v>453</v>
      </c>
      <c r="R91" s="48" t="s">
        <v>454</v>
      </c>
      <c r="S91" s="48" t="s">
        <v>455</v>
      </c>
      <c r="T91" s="48"/>
    </row>
    <row r="92" spans="1:20" x14ac:dyDescent="0.25">
      <c r="A92" s="43"/>
      <c r="B92" s="43"/>
      <c r="C92" s="46">
        <f t="shared" si="5"/>
        <v>0</v>
      </c>
      <c r="D92" s="45">
        <v>0</v>
      </c>
      <c r="E92" s="45">
        <v>0</v>
      </c>
      <c r="F92" s="45">
        <f t="shared" si="3"/>
        <v>0</v>
      </c>
      <c r="G92" s="45">
        <v>0</v>
      </c>
      <c r="H92" s="45"/>
      <c r="I92" s="45">
        <v>0</v>
      </c>
      <c r="J92" s="45">
        <v>0</v>
      </c>
      <c r="K92" s="45">
        <v>0</v>
      </c>
      <c r="L92" s="46">
        <f t="shared" si="4"/>
        <v>0</v>
      </c>
      <c r="M92" s="47">
        <v>0</v>
      </c>
      <c r="N92" s="47">
        <v>0</v>
      </c>
      <c r="O92" s="48" t="s">
        <v>456</v>
      </c>
      <c r="P92" s="48" t="s">
        <v>457</v>
      </c>
      <c r="Q92" s="48" t="s">
        <v>458</v>
      </c>
      <c r="R92" s="48" t="s">
        <v>459</v>
      </c>
      <c r="S92" s="48" t="s">
        <v>460</v>
      </c>
      <c r="T92" s="48"/>
    </row>
    <row r="93" spans="1:20" x14ac:dyDescent="0.25">
      <c r="A93" s="43"/>
      <c r="B93" s="43"/>
      <c r="C93" s="46">
        <f t="shared" si="5"/>
        <v>0</v>
      </c>
      <c r="D93" s="45">
        <v>0</v>
      </c>
      <c r="E93" s="45">
        <v>0</v>
      </c>
      <c r="F93" s="45">
        <f t="shared" si="3"/>
        <v>0</v>
      </c>
      <c r="G93" s="45">
        <v>0</v>
      </c>
      <c r="H93" s="45"/>
      <c r="I93" s="45">
        <v>0</v>
      </c>
      <c r="J93" s="45">
        <v>0</v>
      </c>
      <c r="K93" s="45">
        <v>0</v>
      </c>
      <c r="L93" s="46">
        <f t="shared" si="4"/>
        <v>0</v>
      </c>
      <c r="M93" s="47">
        <v>0</v>
      </c>
      <c r="N93" s="47">
        <v>0</v>
      </c>
      <c r="O93" s="48" t="s">
        <v>461</v>
      </c>
      <c r="P93" s="48" t="s">
        <v>462</v>
      </c>
      <c r="Q93" s="48" t="s">
        <v>463</v>
      </c>
      <c r="R93" s="48" t="s">
        <v>464</v>
      </c>
      <c r="S93" s="48" t="s">
        <v>465</v>
      </c>
      <c r="T93" s="48"/>
    </row>
    <row r="94" spans="1:20" x14ac:dyDescent="0.25">
      <c r="A94" s="43"/>
      <c r="B94" s="43"/>
      <c r="C94" s="46">
        <f t="shared" si="5"/>
        <v>0</v>
      </c>
      <c r="D94" s="45">
        <v>0</v>
      </c>
      <c r="E94" s="45">
        <v>0</v>
      </c>
      <c r="F94" s="45">
        <f t="shared" si="3"/>
        <v>0</v>
      </c>
      <c r="G94" s="45">
        <v>0</v>
      </c>
      <c r="H94" s="45"/>
      <c r="I94" s="45">
        <v>0</v>
      </c>
      <c r="J94" s="45">
        <v>0</v>
      </c>
      <c r="K94" s="45">
        <v>0</v>
      </c>
      <c r="L94" s="46">
        <f t="shared" si="4"/>
        <v>0</v>
      </c>
      <c r="M94" s="47">
        <v>0</v>
      </c>
      <c r="N94" s="47">
        <v>0</v>
      </c>
      <c r="O94" s="48" t="s">
        <v>466</v>
      </c>
      <c r="P94" s="48" t="s">
        <v>467</v>
      </c>
      <c r="Q94" s="48" t="s">
        <v>468</v>
      </c>
      <c r="R94" s="48" t="s">
        <v>469</v>
      </c>
      <c r="S94" s="48" t="s">
        <v>470</v>
      </c>
      <c r="T94" s="48"/>
    </row>
    <row r="95" spans="1:20" x14ac:dyDescent="0.25">
      <c r="A95" s="43"/>
      <c r="B95" s="43"/>
      <c r="C95" s="46">
        <f t="shared" si="5"/>
        <v>0</v>
      </c>
      <c r="D95" s="45">
        <v>0</v>
      </c>
      <c r="E95" s="45">
        <v>0</v>
      </c>
      <c r="F95" s="45">
        <f t="shared" si="3"/>
        <v>0</v>
      </c>
      <c r="G95" s="45">
        <v>0</v>
      </c>
      <c r="H95" s="45"/>
      <c r="I95" s="45">
        <v>0</v>
      </c>
      <c r="J95" s="45">
        <v>0</v>
      </c>
      <c r="K95" s="45">
        <v>0</v>
      </c>
      <c r="L95" s="46">
        <f t="shared" si="4"/>
        <v>0</v>
      </c>
      <c r="M95" s="47">
        <v>0</v>
      </c>
      <c r="N95" s="47">
        <v>0</v>
      </c>
      <c r="O95" s="48" t="s">
        <v>471</v>
      </c>
      <c r="P95" s="48" t="s">
        <v>472</v>
      </c>
      <c r="Q95" s="48" t="s">
        <v>473</v>
      </c>
      <c r="R95" s="48" t="s">
        <v>474</v>
      </c>
      <c r="S95" s="48" t="s">
        <v>475</v>
      </c>
      <c r="T95" s="48"/>
    </row>
    <row r="96" spans="1:20" x14ac:dyDescent="0.25">
      <c r="A96" s="43"/>
      <c r="B96" s="43"/>
      <c r="C96" s="46">
        <f t="shared" si="5"/>
        <v>0</v>
      </c>
      <c r="D96" s="45">
        <v>0</v>
      </c>
      <c r="E96" s="45">
        <v>0</v>
      </c>
      <c r="F96" s="45">
        <f t="shared" si="3"/>
        <v>0</v>
      </c>
      <c r="G96" s="45">
        <v>0</v>
      </c>
      <c r="H96" s="45"/>
      <c r="I96" s="45">
        <v>0</v>
      </c>
      <c r="J96" s="45">
        <v>0</v>
      </c>
      <c r="K96" s="45">
        <v>0</v>
      </c>
      <c r="L96" s="46">
        <f t="shared" si="4"/>
        <v>0</v>
      </c>
      <c r="M96" s="47">
        <v>0</v>
      </c>
      <c r="N96" s="47">
        <v>0</v>
      </c>
      <c r="O96" s="48" t="s">
        <v>476</v>
      </c>
      <c r="P96" s="48" t="s">
        <v>477</v>
      </c>
      <c r="Q96" s="48" t="s">
        <v>478</v>
      </c>
      <c r="R96" s="48" t="s">
        <v>479</v>
      </c>
      <c r="S96" s="48" t="s">
        <v>480</v>
      </c>
      <c r="T96" s="48"/>
    </row>
    <row r="97" spans="1:20" x14ac:dyDescent="0.25">
      <c r="A97" s="43"/>
      <c r="B97" s="43"/>
      <c r="C97" s="46">
        <f t="shared" si="5"/>
        <v>0</v>
      </c>
      <c r="D97" s="45">
        <v>0</v>
      </c>
      <c r="E97" s="45">
        <v>0</v>
      </c>
      <c r="F97" s="45">
        <f t="shared" si="3"/>
        <v>0</v>
      </c>
      <c r="G97" s="45">
        <v>0</v>
      </c>
      <c r="H97" s="45"/>
      <c r="I97" s="45">
        <v>0</v>
      </c>
      <c r="J97" s="45">
        <v>0</v>
      </c>
      <c r="K97" s="45">
        <v>0</v>
      </c>
      <c r="L97" s="46">
        <f t="shared" si="4"/>
        <v>0</v>
      </c>
      <c r="M97" s="47">
        <v>0</v>
      </c>
      <c r="N97" s="47">
        <v>0</v>
      </c>
      <c r="O97" s="48" t="s">
        <v>481</v>
      </c>
      <c r="P97" s="48" t="s">
        <v>482</v>
      </c>
      <c r="Q97" s="48" t="s">
        <v>483</v>
      </c>
      <c r="R97" s="48" t="s">
        <v>484</v>
      </c>
      <c r="S97" s="48" t="s">
        <v>485</v>
      </c>
      <c r="T97" s="48"/>
    </row>
    <row r="98" spans="1:20" x14ac:dyDescent="0.25">
      <c r="A98" s="43"/>
      <c r="B98" s="43"/>
      <c r="C98" s="46">
        <f t="shared" si="5"/>
        <v>0</v>
      </c>
      <c r="D98" s="45">
        <v>0</v>
      </c>
      <c r="E98" s="45">
        <v>0</v>
      </c>
      <c r="F98" s="45">
        <f t="shared" si="3"/>
        <v>0</v>
      </c>
      <c r="G98" s="45">
        <v>0</v>
      </c>
      <c r="H98" s="45"/>
      <c r="I98" s="45">
        <v>0</v>
      </c>
      <c r="J98" s="45">
        <v>0</v>
      </c>
      <c r="K98" s="45">
        <v>0</v>
      </c>
      <c r="L98" s="46">
        <f t="shared" si="4"/>
        <v>0</v>
      </c>
      <c r="M98" s="47">
        <v>0</v>
      </c>
      <c r="N98" s="47">
        <v>0</v>
      </c>
      <c r="O98" s="48" t="s">
        <v>486</v>
      </c>
      <c r="P98" s="48" t="s">
        <v>487</v>
      </c>
      <c r="Q98" s="48" t="s">
        <v>488</v>
      </c>
      <c r="R98" s="48" t="s">
        <v>489</v>
      </c>
      <c r="S98" s="48" t="s">
        <v>490</v>
      </c>
      <c r="T98" s="48"/>
    </row>
    <row r="99" spans="1:20" x14ac:dyDescent="0.25">
      <c r="A99" s="43"/>
      <c r="B99" s="43"/>
      <c r="C99" s="46">
        <f t="shared" si="5"/>
        <v>0</v>
      </c>
      <c r="D99" s="45">
        <v>0</v>
      </c>
      <c r="E99" s="45">
        <v>0</v>
      </c>
      <c r="F99" s="45">
        <f t="shared" si="3"/>
        <v>0</v>
      </c>
      <c r="G99" s="45">
        <v>0</v>
      </c>
      <c r="H99" s="45"/>
      <c r="I99" s="45">
        <v>0</v>
      </c>
      <c r="J99" s="45">
        <v>0</v>
      </c>
      <c r="K99" s="45">
        <v>0</v>
      </c>
      <c r="L99" s="46">
        <f t="shared" si="4"/>
        <v>0</v>
      </c>
      <c r="M99" s="47">
        <v>0</v>
      </c>
      <c r="N99" s="47">
        <v>0</v>
      </c>
      <c r="O99" s="48" t="s">
        <v>491</v>
      </c>
      <c r="P99" s="48" t="s">
        <v>492</v>
      </c>
      <c r="Q99" s="48" t="s">
        <v>493</v>
      </c>
      <c r="R99" s="48" t="s">
        <v>494</v>
      </c>
      <c r="S99" s="48" t="s">
        <v>495</v>
      </c>
      <c r="T99" s="48"/>
    </row>
    <row r="100" spans="1:20" x14ac:dyDescent="0.25">
      <c r="A100" s="43"/>
      <c r="B100" s="43"/>
      <c r="C100" s="46">
        <f t="shared" si="5"/>
        <v>0</v>
      </c>
      <c r="D100" s="45">
        <v>0</v>
      </c>
      <c r="E100" s="45">
        <v>0</v>
      </c>
      <c r="F100" s="45">
        <f t="shared" si="3"/>
        <v>0</v>
      </c>
      <c r="G100" s="45">
        <v>0</v>
      </c>
      <c r="H100" s="45"/>
      <c r="I100" s="45">
        <v>0</v>
      </c>
      <c r="J100" s="45">
        <v>0</v>
      </c>
      <c r="K100" s="45">
        <v>0</v>
      </c>
      <c r="L100" s="46">
        <f t="shared" si="4"/>
        <v>0</v>
      </c>
      <c r="M100" s="47">
        <v>0</v>
      </c>
      <c r="N100" s="47">
        <v>0</v>
      </c>
      <c r="O100" s="48" t="s">
        <v>496</v>
      </c>
      <c r="P100" s="48" t="s">
        <v>497</v>
      </c>
      <c r="Q100" s="48" t="s">
        <v>498</v>
      </c>
      <c r="R100" s="48" t="s">
        <v>499</v>
      </c>
      <c r="S100" s="48" t="s">
        <v>500</v>
      </c>
      <c r="T100" s="48"/>
    </row>
    <row r="101" spans="1:20" x14ac:dyDescent="0.25">
      <c r="A101" s="43"/>
      <c r="B101" s="43"/>
      <c r="C101" s="46">
        <f t="shared" si="5"/>
        <v>0</v>
      </c>
      <c r="D101" s="45">
        <v>0</v>
      </c>
      <c r="E101" s="45">
        <v>0</v>
      </c>
      <c r="F101" s="45">
        <f t="shared" si="3"/>
        <v>0</v>
      </c>
      <c r="G101" s="45">
        <v>0</v>
      </c>
      <c r="H101" s="45"/>
      <c r="I101" s="45">
        <v>0</v>
      </c>
      <c r="J101" s="45">
        <v>0</v>
      </c>
      <c r="K101" s="45">
        <v>0</v>
      </c>
      <c r="L101" s="46">
        <f t="shared" si="4"/>
        <v>0</v>
      </c>
      <c r="M101" s="47">
        <v>0</v>
      </c>
      <c r="N101" s="47">
        <v>0</v>
      </c>
      <c r="O101" s="48" t="s">
        <v>501</v>
      </c>
      <c r="P101" s="48" t="s">
        <v>502</v>
      </c>
      <c r="Q101" s="48" t="s">
        <v>503</v>
      </c>
      <c r="R101" s="48" t="s">
        <v>504</v>
      </c>
      <c r="S101" s="48" t="s">
        <v>505</v>
      </c>
      <c r="T101" s="48"/>
    </row>
    <row r="102" spans="1:20" x14ac:dyDescent="0.25">
      <c r="A102" s="43"/>
      <c r="B102" s="43"/>
      <c r="C102" s="46">
        <f t="shared" si="5"/>
        <v>0</v>
      </c>
      <c r="D102" s="45">
        <v>0</v>
      </c>
      <c r="E102" s="45">
        <v>0</v>
      </c>
      <c r="F102" s="45">
        <f t="shared" si="3"/>
        <v>0</v>
      </c>
      <c r="G102" s="45">
        <v>0</v>
      </c>
      <c r="H102" s="45"/>
      <c r="I102" s="45">
        <v>0</v>
      </c>
      <c r="J102" s="45">
        <v>0</v>
      </c>
      <c r="K102" s="45">
        <v>0</v>
      </c>
      <c r="L102" s="46">
        <f t="shared" si="4"/>
        <v>0</v>
      </c>
      <c r="M102" s="47">
        <v>0</v>
      </c>
      <c r="N102" s="47">
        <v>0</v>
      </c>
      <c r="O102" s="48" t="s">
        <v>506</v>
      </c>
      <c r="P102" s="48" t="s">
        <v>507</v>
      </c>
      <c r="Q102" s="48" t="s">
        <v>508</v>
      </c>
      <c r="R102" s="48" t="s">
        <v>509</v>
      </c>
      <c r="S102" s="48" t="s">
        <v>510</v>
      </c>
      <c r="T102" s="48"/>
    </row>
    <row r="103" spans="1:20" x14ac:dyDescent="0.25">
      <c r="A103" s="43"/>
      <c r="B103" s="43"/>
      <c r="C103" s="46">
        <f t="shared" si="5"/>
        <v>0</v>
      </c>
      <c r="D103" s="45">
        <v>0</v>
      </c>
      <c r="E103" s="45">
        <v>0</v>
      </c>
      <c r="F103" s="45">
        <f t="shared" si="3"/>
        <v>0</v>
      </c>
      <c r="G103" s="45">
        <v>0</v>
      </c>
      <c r="H103" s="45"/>
      <c r="I103" s="45">
        <v>0</v>
      </c>
      <c r="J103" s="45">
        <v>0</v>
      </c>
      <c r="K103" s="45">
        <v>0</v>
      </c>
      <c r="L103" s="46">
        <f t="shared" si="4"/>
        <v>0</v>
      </c>
      <c r="M103" s="47">
        <v>0</v>
      </c>
      <c r="N103" s="47">
        <v>0</v>
      </c>
      <c r="O103" s="48" t="s">
        <v>511</v>
      </c>
      <c r="P103" s="48" t="s">
        <v>512</v>
      </c>
      <c r="Q103" s="48" t="s">
        <v>513</v>
      </c>
      <c r="R103" s="48" t="s">
        <v>514</v>
      </c>
      <c r="S103" s="48" t="s">
        <v>515</v>
      </c>
      <c r="T103" s="48"/>
    </row>
    <row r="104" spans="1:20" x14ac:dyDescent="0.25">
      <c r="A104" s="43"/>
      <c r="B104" s="43"/>
      <c r="C104" s="46">
        <f t="shared" si="5"/>
        <v>0</v>
      </c>
      <c r="D104" s="45">
        <v>0</v>
      </c>
      <c r="E104" s="45">
        <v>0</v>
      </c>
      <c r="F104" s="45">
        <f t="shared" si="3"/>
        <v>0</v>
      </c>
      <c r="G104" s="45">
        <v>0</v>
      </c>
      <c r="H104" s="45"/>
      <c r="I104" s="45">
        <v>0</v>
      </c>
      <c r="J104" s="45">
        <v>0</v>
      </c>
      <c r="K104" s="45">
        <v>0</v>
      </c>
      <c r="L104" s="46">
        <f t="shared" si="4"/>
        <v>0</v>
      </c>
      <c r="M104" s="47">
        <v>0</v>
      </c>
      <c r="N104" s="47">
        <v>0</v>
      </c>
      <c r="O104" s="48" t="s">
        <v>516</v>
      </c>
      <c r="P104" s="48" t="s">
        <v>517</v>
      </c>
      <c r="Q104" s="48" t="s">
        <v>518</v>
      </c>
      <c r="R104" s="48" t="s">
        <v>519</v>
      </c>
      <c r="S104" s="48" t="s">
        <v>520</v>
      </c>
      <c r="T104" s="48"/>
    </row>
    <row r="105" spans="1:20" x14ac:dyDescent="0.25">
      <c r="A105" s="43"/>
      <c r="B105" s="43"/>
      <c r="C105" s="46">
        <f t="shared" si="5"/>
        <v>0</v>
      </c>
      <c r="D105" s="45">
        <v>0</v>
      </c>
      <c r="E105" s="45">
        <v>0</v>
      </c>
      <c r="F105" s="45">
        <f t="shared" si="3"/>
        <v>0</v>
      </c>
      <c r="G105" s="45">
        <v>0</v>
      </c>
      <c r="H105" s="45"/>
      <c r="I105" s="45">
        <v>0</v>
      </c>
      <c r="J105" s="45">
        <v>0</v>
      </c>
      <c r="K105" s="45">
        <v>0</v>
      </c>
      <c r="L105" s="46">
        <f t="shared" si="4"/>
        <v>0</v>
      </c>
      <c r="M105" s="47">
        <v>0</v>
      </c>
      <c r="N105" s="47">
        <v>0</v>
      </c>
      <c r="O105" s="48" t="s">
        <v>521</v>
      </c>
      <c r="P105" s="48" t="s">
        <v>522</v>
      </c>
      <c r="Q105" s="48" t="s">
        <v>523</v>
      </c>
      <c r="R105" s="48" t="s">
        <v>524</v>
      </c>
      <c r="S105" s="48" t="s">
        <v>525</v>
      </c>
      <c r="T105" s="48"/>
    </row>
    <row r="106" spans="1:20" x14ac:dyDescent="0.25">
      <c r="A106" s="43"/>
      <c r="B106" s="43"/>
      <c r="C106" s="46">
        <f t="shared" si="5"/>
        <v>0</v>
      </c>
      <c r="D106" s="45">
        <v>0</v>
      </c>
      <c r="E106" s="45">
        <v>0</v>
      </c>
      <c r="F106" s="45">
        <f t="shared" si="3"/>
        <v>0</v>
      </c>
      <c r="G106" s="45">
        <v>0</v>
      </c>
      <c r="H106" s="45"/>
      <c r="I106" s="45">
        <v>0</v>
      </c>
      <c r="J106" s="45">
        <v>0</v>
      </c>
      <c r="K106" s="45">
        <v>0</v>
      </c>
      <c r="L106" s="46">
        <f t="shared" si="4"/>
        <v>0</v>
      </c>
      <c r="M106" s="47">
        <v>0</v>
      </c>
      <c r="N106" s="47">
        <v>0</v>
      </c>
      <c r="O106" s="48" t="s">
        <v>526</v>
      </c>
      <c r="P106" s="48" t="s">
        <v>527</v>
      </c>
      <c r="Q106" s="48" t="s">
        <v>528</v>
      </c>
      <c r="R106" s="48" t="s">
        <v>529</v>
      </c>
      <c r="S106" s="48" t="s">
        <v>530</v>
      </c>
      <c r="T106" s="48"/>
    </row>
    <row r="107" spans="1:20" x14ac:dyDescent="0.25">
      <c r="A107" s="43"/>
      <c r="B107" s="43"/>
      <c r="C107" s="46">
        <f t="shared" si="5"/>
        <v>0</v>
      </c>
      <c r="D107" s="45">
        <v>0</v>
      </c>
      <c r="E107" s="45">
        <v>0</v>
      </c>
      <c r="F107" s="45">
        <f t="shared" si="3"/>
        <v>0</v>
      </c>
      <c r="G107" s="45">
        <v>0</v>
      </c>
      <c r="H107" s="45"/>
      <c r="I107" s="45">
        <v>0</v>
      </c>
      <c r="J107" s="45">
        <v>0</v>
      </c>
      <c r="K107" s="45">
        <v>0</v>
      </c>
      <c r="L107" s="46">
        <f t="shared" si="4"/>
        <v>0</v>
      </c>
      <c r="M107" s="47">
        <v>0</v>
      </c>
      <c r="N107" s="47">
        <v>0</v>
      </c>
      <c r="O107" s="48" t="s">
        <v>531</v>
      </c>
      <c r="P107" s="48" t="s">
        <v>532</v>
      </c>
      <c r="Q107" s="48" t="s">
        <v>533</v>
      </c>
      <c r="R107" s="48" t="s">
        <v>534</v>
      </c>
      <c r="S107" s="48" t="s">
        <v>535</v>
      </c>
      <c r="T107" s="48"/>
    </row>
    <row r="108" spans="1:20" x14ac:dyDescent="0.25">
      <c r="A108" s="43"/>
      <c r="B108" s="43"/>
      <c r="C108" s="46">
        <f t="shared" si="5"/>
        <v>0</v>
      </c>
      <c r="D108" s="45">
        <v>0</v>
      </c>
      <c r="E108" s="45">
        <v>0</v>
      </c>
      <c r="F108" s="45">
        <f t="shared" si="3"/>
        <v>0</v>
      </c>
      <c r="G108" s="45">
        <v>0</v>
      </c>
      <c r="H108" s="45"/>
      <c r="I108" s="45">
        <v>0</v>
      </c>
      <c r="J108" s="45">
        <v>0</v>
      </c>
      <c r="K108" s="45">
        <v>0</v>
      </c>
      <c r="L108" s="46">
        <f t="shared" si="4"/>
        <v>0</v>
      </c>
      <c r="M108" s="47">
        <v>0</v>
      </c>
      <c r="N108" s="47">
        <v>0</v>
      </c>
      <c r="O108" s="48" t="s">
        <v>536</v>
      </c>
      <c r="P108" s="48" t="s">
        <v>537</v>
      </c>
      <c r="Q108" s="48" t="s">
        <v>538</v>
      </c>
      <c r="R108" s="48" t="s">
        <v>539</v>
      </c>
      <c r="S108" s="48" t="s">
        <v>540</v>
      </c>
      <c r="T108" s="48"/>
    </row>
    <row r="109" spans="1:20" x14ac:dyDescent="0.25">
      <c r="A109" s="43"/>
      <c r="B109" s="43"/>
      <c r="C109" s="46">
        <f t="shared" si="5"/>
        <v>0</v>
      </c>
      <c r="D109" s="45">
        <v>0</v>
      </c>
      <c r="E109" s="45">
        <v>0</v>
      </c>
      <c r="F109" s="45">
        <f t="shared" si="3"/>
        <v>0</v>
      </c>
      <c r="G109" s="45">
        <v>0</v>
      </c>
      <c r="H109" s="45"/>
      <c r="I109" s="45">
        <v>0</v>
      </c>
      <c r="J109" s="45">
        <v>0</v>
      </c>
      <c r="K109" s="45">
        <v>0</v>
      </c>
      <c r="L109" s="46">
        <f t="shared" si="4"/>
        <v>0</v>
      </c>
      <c r="M109" s="47">
        <v>0</v>
      </c>
      <c r="N109" s="47">
        <v>0</v>
      </c>
      <c r="O109" s="48" t="s">
        <v>541</v>
      </c>
      <c r="P109" s="48" t="s">
        <v>542</v>
      </c>
      <c r="Q109" s="48" t="s">
        <v>543</v>
      </c>
      <c r="R109" s="48" t="s">
        <v>544</v>
      </c>
      <c r="S109" s="48" t="s">
        <v>545</v>
      </c>
      <c r="T109" s="48"/>
    </row>
    <row r="110" spans="1:20" x14ac:dyDescent="0.25">
      <c r="A110" s="43"/>
      <c r="B110" s="43"/>
      <c r="C110" s="46">
        <f t="shared" si="5"/>
        <v>0</v>
      </c>
      <c r="D110" s="45">
        <v>0</v>
      </c>
      <c r="E110" s="45">
        <v>0</v>
      </c>
      <c r="F110" s="45">
        <f t="shared" si="3"/>
        <v>0</v>
      </c>
      <c r="G110" s="45">
        <v>0</v>
      </c>
      <c r="H110" s="45"/>
      <c r="I110" s="45">
        <v>0</v>
      </c>
      <c r="J110" s="45">
        <v>0</v>
      </c>
      <c r="K110" s="45">
        <v>0</v>
      </c>
      <c r="L110" s="46">
        <f t="shared" si="4"/>
        <v>0</v>
      </c>
      <c r="M110" s="47">
        <v>0</v>
      </c>
      <c r="N110" s="47">
        <v>0</v>
      </c>
      <c r="O110" s="48" t="s">
        <v>546</v>
      </c>
      <c r="P110" s="48" t="s">
        <v>547</v>
      </c>
      <c r="Q110" s="48" t="s">
        <v>548</v>
      </c>
      <c r="R110" s="48" t="s">
        <v>549</v>
      </c>
      <c r="S110" s="48" t="s">
        <v>550</v>
      </c>
      <c r="T110" s="48"/>
    </row>
    <row r="111" spans="1:20" x14ac:dyDescent="0.25">
      <c r="A111" s="43"/>
      <c r="B111" s="43"/>
      <c r="C111" s="46">
        <f t="shared" si="5"/>
        <v>0</v>
      </c>
      <c r="D111" s="45">
        <v>0</v>
      </c>
      <c r="E111" s="45">
        <v>0</v>
      </c>
      <c r="F111" s="45">
        <f t="shared" si="3"/>
        <v>0</v>
      </c>
      <c r="G111" s="45">
        <v>0</v>
      </c>
      <c r="H111" s="45"/>
      <c r="I111" s="45">
        <v>0</v>
      </c>
      <c r="J111" s="45">
        <v>0</v>
      </c>
      <c r="K111" s="45">
        <v>0</v>
      </c>
      <c r="L111" s="46">
        <f t="shared" si="4"/>
        <v>0</v>
      </c>
      <c r="M111" s="47">
        <v>0</v>
      </c>
      <c r="N111" s="47">
        <v>0</v>
      </c>
      <c r="O111" s="48" t="s">
        <v>551</v>
      </c>
      <c r="P111" s="48" t="s">
        <v>552</v>
      </c>
      <c r="Q111" s="48" t="s">
        <v>553</v>
      </c>
      <c r="R111" s="48" t="s">
        <v>554</v>
      </c>
      <c r="S111" s="48" t="s">
        <v>555</v>
      </c>
      <c r="T111" s="48"/>
    </row>
    <row r="112" spans="1:20" x14ac:dyDescent="0.25">
      <c r="A112" s="43"/>
      <c r="B112" s="43"/>
      <c r="C112" s="46">
        <f t="shared" si="5"/>
        <v>0</v>
      </c>
      <c r="D112" s="45">
        <v>0</v>
      </c>
      <c r="E112" s="45">
        <v>0</v>
      </c>
      <c r="F112" s="45">
        <f t="shared" si="3"/>
        <v>0</v>
      </c>
      <c r="G112" s="45">
        <v>0</v>
      </c>
      <c r="H112" s="45"/>
      <c r="I112" s="45">
        <v>0</v>
      </c>
      <c r="J112" s="45">
        <v>0</v>
      </c>
      <c r="K112" s="45">
        <v>0</v>
      </c>
      <c r="L112" s="46">
        <f t="shared" si="4"/>
        <v>0</v>
      </c>
      <c r="M112" s="47">
        <v>0</v>
      </c>
      <c r="N112" s="47">
        <v>0</v>
      </c>
      <c r="O112" s="48" t="s">
        <v>556</v>
      </c>
      <c r="P112" s="48" t="s">
        <v>557</v>
      </c>
      <c r="Q112" s="48" t="s">
        <v>558</v>
      </c>
      <c r="R112" s="48" t="s">
        <v>559</v>
      </c>
      <c r="S112" s="48" t="s">
        <v>560</v>
      </c>
      <c r="T112" s="48"/>
    </row>
    <row r="113" spans="1:20" x14ac:dyDescent="0.25">
      <c r="A113" s="43"/>
      <c r="B113" s="43"/>
      <c r="C113" s="46">
        <f t="shared" si="5"/>
        <v>0</v>
      </c>
      <c r="D113" s="45">
        <v>0</v>
      </c>
      <c r="E113" s="45">
        <v>0</v>
      </c>
      <c r="F113" s="45">
        <f t="shared" si="3"/>
        <v>0</v>
      </c>
      <c r="G113" s="45">
        <v>0</v>
      </c>
      <c r="H113" s="45"/>
      <c r="I113" s="45">
        <v>0</v>
      </c>
      <c r="J113" s="45">
        <v>0</v>
      </c>
      <c r="K113" s="45">
        <v>0</v>
      </c>
      <c r="L113" s="46">
        <f t="shared" si="4"/>
        <v>0</v>
      </c>
      <c r="M113" s="47">
        <v>0</v>
      </c>
      <c r="N113" s="47">
        <v>0</v>
      </c>
      <c r="O113" s="48" t="s">
        <v>561</v>
      </c>
      <c r="P113" s="48" t="s">
        <v>562</v>
      </c>
      <c r="Q113" s="48" t="s">
        <v>563</v>
      </c>
      <c r="R113" s="48" t="s">
        <v>564</v>
      </c>
      <c r="S113" s="48" t="s">
        <v>565</v>
      </c>
      <c r="T113" s="48"/>
    </row>
    <row r="114" spans="1:20" x14ac:dyDescent="0.25">
      <c r="A114" s="43"/>
      <c r="B114" s="43"/>
      <c r="C114" s="46">
        <f t="shared" si="5"/>
        <v>0</v>
      </c>
      <c r="D114" s="45">
        <v>0</v>
      </c>
      <c r="E114" s="45">
        <v>0</v>
      </c>
      <c r="F114" s="45">
        <f t="shared" si="3"/>
        <v>0</v>
      </c>
      <c r="G114" s="45">
        <v>0</v>
      </c>
      <c r="H114" s="45"/>
      <c r="I114" s="45">
        <v>0</v>
      </c>
      <c r="J114" s="45">
        <v>0</v>
      </c>
      <c r="K114" s="45">
        <v>0</v>
      </c>
      <c r="L114" s="46">
        <f t="shared" si="4"/>
        <v>0</v>
      </c>
      <c r="M114" s="47">
        <v>0</v>
      </c>
      <c r="N114" s="47">
        <v>0</v>
      </c>
      <c r="O114" s="48" t="s">
        <v>566</v>
      </c>
      <c r="P114" s="48" t="s">
        <v>567</v>
      </c>
      <c r="Q114" s="48" t="s">
        <v>568</v>
      </c>
      <c r="R114" s="48" t="s">
        <v>569</v>
      </c>
      <c r="S114" s="48" t="s">
        <v>570</v>
      </c>
      <c r="T114" s="48"/>
    </row>
    <row r="115" spans="1:20" x14ac:dyDescent="0.25">
      <c r="A115" s="43"/>
      <c r="B115" s="43"/>
      <c r="C115" s="46">
        <f t="shared" si="5"/>
        <v>0</v>
      </c>
      <c r="D115" s="45">
        <v>0</v>
      </c>
      <c r="E115" s="45">
        <v>0</v>
      </c>
      <c r="F115" s="45">
        <f t="shared" si="3"/>
        <v>0</v>
      </c>
      <c r="G115" s="45">
        <v>0</v>
      </c>
      <c r="H115" s="45"/>
      <c r="I115" s="45">
        <v>0</v>
      </c>
      <c r="J115" s="45">
        <v>0</v>
      </c>
      <c r="K115" s="45">
        <v>0</v>
      </c>
      <c r="L115" s="46">
        <f t="shared" si="4"/>
        <v>0</v>
      </c>
      <c r="M115" s="47">
        <v>0</v>
      </c>
      <c r="N115" s="47">
        <v>0</v>
      </c>
      <c r="O115" s="48" t="s">
        <v>571</v>
      </c>
      <c r="P115" s="48" t="s">
        <v>572</v>
      </c>
      <c r="Q115" s="48" t="s">
        <v>573</v>
      </c>
      <c r="R115" s="48" t="s">
        <v>574</v>
      </c>
      <c r="S115" s="48" t="s">
        <v>575</v>
      </c>
      <c r="T115" s="48"/>
    </row>
    <row r="116" spans="1:20" x14ac:dyDescent="0.25">
      <c r="A116" s="43"/>
      <c r="B116" s="43"/>
      <c r="C116" s="46">
        <f t="shared" si="5"/>
        <v>0</v>
      </c>
      <c r="D116" s="45">
        <v>0</v>
      </c>
      <c r="E116" s="45">
        <v>0</v>
      </c>
      <c r="F116" s="45">
        <f t="shared" si="3"/>
        <v>0</v>
      </c>
      <c r="G116" s="45">
        <v>0</v>
      </c>
      <c r="H116" s="45"/>
      <c r="I116" s="45">
        <v>0</v>
      </c>
      <c r="J116" s="45">
        <v>0</v>
      </c>
      <c r="K116" s="45">
        <v>0</v>
      </c>
      <c r="L116" s="46">
        <f t="shared" si="4"/>
        <v>0</v>
      </c>
      <c r="M116" s="47">
        <v>0</v>
      </c>
      <c r="N116" s="47">
        <v>0</v>
      </c>
      <c r="O116" s="48" t="s">
        <v>576</v>
      </c>
      <c r="P116" s="48" t="s">
        <v>577</v>
      </c>
      <c r="Q116" s="48" t="s">
        <v>578</v>
      </c>
      <c r="R116" s="48" t="s">
        <v>579</v>
      </c>
      <c r="S116" s="48" t="s">
        <v>580</v>
      </c>
      <c r="T116" s="48"/>
    </row>
    <row r="117" spans="1:20" x14ac:dyDescent="0.25">
      <c r="A117" s="43"/>
      <c r="B117" s="43"/>
      <c r="C117" s="46">
        <f t="shared" si="5"/>
        <v>0</v>
      </c>
      <c r="D117" s="45">
        <v>0</v>
      </c>
      <c r="E117" s="45">
        <v>0</v>
      </c>
      <c r="F117" s="45">
        <f t="shared" si="3"/>
        <v>0</v>
      </c>
      <c r="G117" s="45">
        <v>0</v>
      </c>
      <c r="H117" s="45"/>
      <c r="I117" s="45">
        <v>0</v>
      </c>
      <c r="J117" s="45">
        <v>0</v>
      </c>
      <c r="K117" s="45">
        <v>0</v>
      </c>
      <c r="L117" s="46">
        <f t="shared" si="4"/>
        <v>0</v>
      </c>
      <c r="M117" s="47">
        <v>0</v>
      </c>
      <c r="N117" s="47">
        <v>0</v>
      </c>
      <c r="O117" s="48" t="s">
        <v>581</v>
      </c>
      <c r="P117" s="48" t="s">
        <v>582</v>
      </c>
      <c r="Q117" s="48" t="s">
        <v>583</v>
      </c>
      <c r="R117" s="48" t="s">
        <v>584</v>
      </c>
      <c r="S117" s="48" t="s">
        <v>585</v>
      </c>
      <c r="T117" s="48"/>
    </row>
    <row r="118" spans="1:20" x14ac:dyDescent="0.25">
      <c r="A118" s="43"/>
      <c r="B118" s="43"/>
      <c r="C118" s="46">
        <f t="shared" si="5"/>
        <v>0</v>
      </c>
      <c r="D118" s="45">
        <v>0</v>
      </c>
      <c r="E118" s="45">
        <v>0</v>
      </c>
      <c r="F118" s="45">
        <f t="shared" si="3"/>
        <v>0</v>
      </c>
      <c r="G118" s="45">
        <v>0</v>
      </c>
      <c r="H118" s="45"/>
      <c r="I118" s="45">
        <v>0</v>
      </c>
      <c r="J118" s="45">
        <v>0</v>
      </c>
      <c r="K118" s="45">
        <v>0</v>
      </c>
      <c r="L118" s="46">
        <f t="shared" si="4"/>
        <v>0</v>
      </c>
      <c r="M118" s="47">
        <v>0</v>
      </c>
      <c r="N118" s="47">
        <v>0</v>
      </c>
      <c r="O118" s="48" t="s">
        <v>586</v>
      </c>
      <c r="P118" s="48" t="s">
        <v>587</v>
      </c>
      <c r="Q118" s="48" t="s">
        <v>588</v>
      </c>
      <c r="R118" s="48" t="s">
        <v>589</v>
      </c>
      <c r="S118" s="48" t="s">
        <v>590</v>
      </c>
      <c r="T118" s="48"/>
    </row>
    <row r="119" spans="1:20" x14ac:dyDescent="0.25">
      <c r="A119" s="43"/>
      <c r="B119" s="43"/>
      <c r="C119" s="46">
        <f t="shared" si="5"/>
        <v>0</v>
      </c>
      <c r="D119" s="45">
        <v>0</v>
      </c>
      <c r="E119" s="45">
        <v>0</v>
      </c>
      <c r="F119" s="45">
        <f t="shared" si="3"/>
        <v>0</v>
      </c>
      <c r="G119" s="45">
        <v>0</v>
      </c>
      <c r="H119" s="45"/>
      <c r="I119" s="45">
        <v>0</v>
      </c>
      <c r="J119" s="45">
        <v>0</v>
      </c>
      <c r="K119" s="45">
        <v>0</v>
      </c>
      <c r="L119" s="46">
        <f t="shared" si="4"/>
        <v>0</v>
      </c>
      <c r="M119" s="47">
        <v>0</v>
      </c>
      <c r="N119" s="47">
        <v>0</v>
      </c>
      <c r="O119" s="48" t="s">
        <v>591</v>
      </c>
      <c r="P119" s="48" t="s">
        <v>592</v>
      </c>
      <c r="Q119" s="48" t="s">
        <v>593</v>
      </c>
      <c r="R119" s="48" t="s">
        <v>594</v>
      </c>
      <c r="S119" s="48" t="s">
        <v>595</v>
      </c>
      <c r="T119" s="48"/>
    </row>
    <row r="120" spans="1:20" x14ac:dyDescent="0.25">
      <c r="A120" s="43"/>
      <c r="B120" s="43"/>
      <c r="C120" s="46">
        <f t="shared" si="5"/>
        <v>0</v>
      </c>
      <c r="D120" s="45">
        <v>0</v>
      </c>
      <c r="E120" s="45">
        <v>0</v>
      </c>
      <c r="F120" s="45">
        <f t="shared" si="3"/>
        <v>0</v>
      </c>
      <c r="G120" s="45">
        <v>0</v>
      </c>
      <c r="H120" s="45"/>
      <c r="I120" s="45">
        <v>0</v>
      </c>
      <c r="J120" s="45">
        <v>0</v>
      </c>
      <c r="K120" s="45">
        <v>0</v>
      </c>
      <c r="L120" s="46">
        <f t="shared" si="4"/>
        <v>0</v>
      </c>
      <c r="M120" s="47">
        <v>0</v>
      </c>
      <c r="N120" s="47">
        <v>0</v>
      </c>
      <c r="O120" s="48" t="s">
        <v>596</v>
      </c>
      <c r="P120" s="48" t="s">
        <v>597</v>
      </c>
      <c r="Q120" s="48" t="s">
        <v>598</v>
      </c>
      <c r="R120" s="48" t="s">
        <v>599</v>
      </c>
      <c r="S120" s="48" t="s">
        <v>600</v>
      </c>
      <c r="T120" s="48"/>
    </row>
    <row r="121" spans="1:20" x14ac:dyDescent="0.25">
      <c r="A121" s="43"/>
      <c r="B121" s="43"/>
      <c r="C121" s="46">
        <f t="shared" si="5"/>
        <v>0</v>
      </c>
      <c r="D121" s="45">
        <v>0</v>
      </c>
      <c r="E121" s="45">
        <v>0</v>
      </c>
      <c r="F121" s="45">
        <f t="shared" si="3"/>
        <v>0</v>
      </c>
      <c r="G121" s="45">
        <v>0</v>
      </c>
      <c r="H121" s="45"/>
      <c r="I121" s="45">
        <v>0</v>
      </c>
      <c r="J121" s="45">
        <v>0</v>
      </c>
      <c r="K121" s="45">
        <v>0</v>
      </c>
      <c r="L121" s="46">
        <f t="shared" si="4"/>
        <v>0</v>
      </c>
      <c r="M121" s="47">
        <v>0</v>
      </c>
      <c r="N121" s="47">
        <v>0</v>
      </c>
      <c r="O121" s="48" t="s">
        <v>601</v>
      </c>
      <c r="P121" s="48" t="s">
        <v>602</v>
      </c>
      <c r="Q121" s="48" t="s">
        <v>603</v>
      </c>
      <c r="R121" s="48" t="s">
        <v>604</v>
      </c>
      <c r="S121" s="48" t="s">
        <v>605</v>
      </c>
      <c r="T121" s="48"/>
    </row>
    <row r="122" spans="1:20" x14ac:dyDescent="0.25">
      <c r="A122" s="43"/>
      <c r="B122" s="43"/>
      <c r="C122" s="46">
        <f t="shared" si="5"/>
        <v>0</v>
      </c>
      <c r="D122" s="45">
        <v>0</v>
      </c>
      <c r="E122" s="45">
        <v>0</v>
      </c>
      <c r="F122" s="45">
        <f t="shared" si="3"/>
        <v>0</v>
      </c>
      <c r="G122" s="45">
        <v>0</v>
      </c>
      <c r="H122" s="45"/>
      <c r="I122" s="45">
        <v>0</v>
      </c>
      <c r="J122" s="45">
        <v>0</v>
      </c>
      <c r="K122" s="45">
        <v>0</v>
      </c>
      <c r="L122" s="46">
        <f t="shared" si="4"/>
        <v>0</v>
      </c>
      <c r="M122" s="47">
        <v>0</v>
      </c>
      <c r="N122" s="47">
        <v>0</v>
      </c>
      <c r="O122" s="48" t="s">
        <v>606</v>
      </c>
      <c r="P122" s="48" t="s">
        <v>607</v>
      </c>
      <c r="Q122" s="48" t="s">
        <v>608</v>
      </c>
      <c r="R122" s="48" t="s">
        <v>609</v>
      </c>
      <c r="S122" s="48" t="s">
        <v>610</v>
      </c>
      <c r="T122" s="48"/>
    </row>
    <row r="123" spans="1:20" x14ac:dyDescent="0.25">
      <c r="A123" s="43"/>
      <c r="B123" s="43"/>
      <c r="C123" s="46">
        <f t="shared" si="5"/>
        <v>0</v>
      </c>
      <c r="D123" s="45">
        <v>0</v>
      </c>
      <c r="E123" s="45">
        <v>0</v>
      </c>
      <c r="F123" s="45">
        <f t="shared" si="3"/>
        <v>0</v>
      </c>
      <c r="G123" s="45">
        <v>0</v>
      </c>
      <c r="H123" s="45"/>
      <c r="I123" s="45">
        <v>0</v>
      </c>
      <c r="J123" s="45">
        <v>0</v>
      </c>
      <c r="K123" s="45">
        <v>0</v>
      </c>
      <c r="L123" s="46">
        <f t="shared" si="4"/>
        <v>0</v>
      </c>
      <c r="M123" s="47">
        <v>0</v>
      </c>
      <c r="N123" s="47">
        <v>0</v>
      </c>
      <c r="O123" s="48" t="s">
        <v>611</v>
      </c>
      <c r="P123" s="48" t="s">
        <v>612</v>
      </c>
      <c r="Q123" s="48" t="s">
        <v>613</v>
      </c>
      <c r="R123" s="48" t="s">
        <v>614</v>
      </c>
      <c r="S123" s="48" t="s">
        <v>615</v>
      </c>
      <c r="T123" s="48"/>
    </row>
    <row r="124" spans="1:20" x14ac:dyDescent="0.25">
      <c r="A124" s="43"/>
      <c r="B124" s="43"/>
      <c r="C124" s="46">
        <f t="shared" si="5"/>
        <v>0</v>
      </c>
      <c r="D124" s="45">
        <v>0</v>
      </c>
      <c r="E124" s="45">
        <v>0</v>
      </c>
      <c r="F124" s="45">
        <f t="shared" si="3"/>
        <v>0</v>
      </c>
      <c r="G124" s="45">
        <v>0</v>
      </c>
      <c r="H124" s="45"/>
      <c r="I124" s="45">
        <v>0</v>
      </c>
      <c r="J124" s="45">
        <v>0</v>
      </c>
      <c r="K124" s="45">
        <v>0</v>
      </c>
      <c r="L124" s="46">
        <f t="shared" si="4"/>
        <v>0</v>
      </c>
      <c r="M124" s="47">
        <v>0</v>
      </c>
      <c r="N124" s="47">
        <v>0</v>
      </c>
      <c r="O124" s="48" t="s">
        <v>616</v>
      </c>
      <c r="P124" s="48" t="s">
        <v>617</v>
      </c>
      <c r="Q124" s="48" t="s">
        <v>618</v>
      </c>
      <c r="R124" s="48" t="s">
        <v>619</v>
      </c>
      <c r="S124" s="48" t="s">
        <v>620</v>
      </c>
      <c r="T124" s="48"/>
    </row>
    <row r="125" spans="1:20" x14ac:dyDescent="0.25">
      <c r="A125" s="43"/>
      <c r="B125" s="43"/>
      <c r="C125" s="46">
        <f t="shared" si="5"/>
        <v>0</v>
      </c>
      <c r="D125" s="45">
        <v>0</v>
      </c>
      <c r="E125" s="45">
        <v>0</v>
      </c>
      <c r="F125" s="45">
        <f t="shared" si="3"/>
        <v>0</v>
      </c>
      <c r="G125" s="45">
        <v>0</v>
      </c>
      <c r="H125" s="45"/>
      <c r="I125" s="45">
        <v>0</v>
      </c>
      <c r="J125" s="45">
        <v>0</v>
      </c>
      <c r="K125" s="45">
        <v>0</v>
      </c>
      <c r="L125" s="46">
        <f t="shared" si="4"/>
        <v>0</v>
      </c>
      <c r="M125" s="47">
        <v>0</v>
      </c>
      <c r="N125" s="47">
        <v>0</v>
      </c>
      <c r="O125" s="48" t="s">
        <v>621</v>
      </c>
      <c r="P125" s="48" t="s">
        <v>622</v>
      </c>
      <c r="Q125" s="48" t="s">
        <v>623</v>
      </c>
      <c r="R125" s="48" t="s">
        <v>624</v>
      </c>
      <c r="S125" s="48" t="s">
        <v>625</v>
      </c>
      <c r="T125" s="48"/>
    </row>
    <row r="126" spans="1:20" x14ac:dyDescent="0.25">
      <c r="A126" s="43"/>
      <c r="B126" s="43"/>
      <c r="C126" s="46">
        <f t="shared" si="5"/>
        <v>0</v>
      </c>
      <c r="D126" s="45">
        <v>0</v>
      </c>
      <c r="E126" s="45">
        <v>0</v>
      </c>
      <c r="F126" s="45">
        <f t="shared" si="3"/>
        <v>0</v>
      </c>
      <c r="G126" s="45">
        <v>0</v>
      </c>
      <c r="H126" s="45"/>
      <c r="I126" s="45">
        <v>0</v>
      </c>
      <c r="J126" s="45">
        <v>0</v>
      </c>
      <c r="K126" s="45">
        <v>0</v>
      </c>
      <c r="L126" s="46">
        <f t="shared" si="4"/>
        <v>0</v>
      </c>
      <c r="M126" s="47">
        <v>0</v>
      </c>
      <c r="N126" s="47">
        <v>0</v>
      </c>
      <c r="O126" s="48" t="s">
        <v>626</v>
      </c>
      <c r="P126" s="48" t="s">
        <v>627</v>
      </c>
      <c r="Q126" s="48" t="s">
        <v>628</v>
      </c>
      <c r="R126" s="48" t="s">
        <v>629</v>
      </c>
      <c r="S126" s="48" t="s">
        <v>630</v>
      </c>
      <c r="T126" s="48"/>
    </row>
    <row r="127" spans="1:20" x14ac:dyDescent="0.25">
      <c r="A127" s="43"/>
      <c r="B127" s="43"/>
      <c r="C127" s="46">
        <f t="shared" si="5"/>
        <v>0</v>
      </c>
      <c r="D127" s="45">
        <v>0</v>
      </c>
      <c r="E127" s="45">
        <v>0</v>
      </c>
      <c r="F127" s="45">
        <f t="shared" si="3"/>
        <v>0</v>
      </c>
      <c r="G127" s="45">
        <v>0</v>
      </c>
      <c r="H127" s="45"/>
      <c r="I127" s="45">
        <v>0</v>
      </c>
      <c r="J127" s="45">
        <v>0</v>
      </c>
      <c r="K127" s="45">
        <v>0</v>
      </c>
      <c r="L127" s="46">
        <f t="shared" si="4"/>
        <v>0</v>
      </c>
      <c r="M127" s="47">
        <v>0</v>
      </c>
      <c r="N127" s="47">
        <v>0</v>
      </c>
      <c r="O127" s="48" t="s">
        <v>631</v>
      </c>
      <c r="P127" s="48" t="s">
        <v>632</v>
      </c>
      <c r="Q127" s="48" t="s">
        <v>633</v>
      </c>
      <c r="R127" s="48" t="s">
        <v>634</v>
      </c>
      <c r="S127" s="48" t="s">
        <v>635</v>
      </c>
      <c r="T127" s="48"/>
    </row>
    <row r="128" spans="1:20" x14ac:dyDescent="0.25">
      <c r="A128" s="43"/>
      <c r="B128" s="43"/>
      <c r="C128" s="46">
        <f t="shared" si="5"/>
        <v>0</v>
      </c>
      <c r="D128" s="45">
        <v>0</v>
      </c>
      <c r="E128" s="45">
        <v>0</v>
      </c>
      <c r="F128" s="45">
        <f t="shared" si="3"/>
        <v>0</v>
      </c>
      <c r="G128" s="45">
        <v>0</v>
      </c>
      <c r="H128" s="45"/>
      <c r="I128" s="45">
        <v>0</v>
      </c>
      <c r="J128" s="45">
        <v>0</v>
      </c>
      <c r="K128" s="45">
        <v>0</v>
      </c>
      <c r="L128" s="46">
        <f t="shared" si="4"/>
        <v>0</v>
      </c>
      <c r="M128" s="47">
        <v>0</v>
      </c>
      <c r="N128" s="47">
        <v>0</v>
      </c>
      <c r="O128" s="48" t="s">
        <v>636</v>
      </c>
      <c r="P128" s="48" t="s">
        <v>637</v>
      </c>
      <c r="Q128" s="48" t="s">
        <v>638</v>
      </c>
      <c r="R128" s="48" t="s">
        <v>639</v>
      </c>
      <c r="S128" s="48" t="s">
        <v>640</v>
      </c>
      <c r="T128" s="48"/>
    </row>
    <row r="129" spans="1:20" x14ac:dyDescent="0.25">
      <c r="A129" s="43"/>
      <c r="B129" s="43"/>
      <c r="C129" s="46">
        <f t="shared" si="5"/>
        <v>0</v>
      </c>
      <c r="D129" s="45">
        <v>0</v>
      </c>
      <c r="E129" s="45">
        <v>0</v>
      </c>
      <c r="F129" s="45">
        <f t="shared" si="3"/>
        <v>0</v>
      </c>
      <c r="G129" s="45">
        <v>0</v>
      </c>
      <c r="H129" s="45"/>
      <c r="I129" s="45">
        <v>0</v>
      </c>
      <c r="J129" s="45">
        <v>0</v>
      </c>
      <c r="K129" s="45">
        <v>0</v>
      </c>
      <c r="L129" s="46">
        <f t="shared" si="4"/>
        <v>0</v>
      </c>
      <c r="M129" s="47">
        <v>0</v>
      </c>
      <c r="N129" s="47">
        <v>0</v>
      </c>
      <c r="O129" s="48" t="s">
        <v>641</v>
      </c>
      <c r="P129" s="48" t="s">
        <v>642</v>
      </c>
      <c r="Q129" s="48" t="s">
        <v>643</v>
      </c>
      <c r="R129" s="48" t="s">
        <v>644</v>
      </c>
      <c r="S129" s="48" t="s">
        <v>645</v>
      </c>
      <c r="T129" s="48"/>
    </row>
    <row r="130" spans="1:20" x14ac:dyDescent="0.25">
      <c r="A130" s="43"/>
      <c r="B130" s="43"/>
      <c r="C130" s="46">
        <f t="shared" si="5"/>
        <v>0</v>
      </c>
      <c r="D130" s="45">
        <v>0</v>
      </c>
      <c r="E130" s="45">
        <v>0</v>
      </c>
      <c r="F130" s="45">
        <f t="shared" si="3"/>
        <v>0</v>
      </c>
      <c r="G130" s="45">
        <v>0</v>
      </c>
      <c r="H130" s="45"/>
      <c r="I130" s="45">
        <v>0</v>
      </c>
      <c r="J130" s="45">
        <v>0</v>
      </c>
      <c r="K130" s="45">
        <v>0</v>
      </c>
      <c r="L130" s="46">
        <f t="shared" si="4"/>
        <v>0</v>
      </c>
      <c r="M130" s="47">
        <v>0</v>
      </c>
      <c r="N130" s="47">
        <v>0</v>
      </c>
      <c r="O130" s="48" t="s">
        <v>646</v>
      </c>
      <c r="P130" s="48" t="s">
        <v>647</v>
      </c>
      <c r="Q130" s="48" t="s">
        <v>648</v>
      </c>
      <c r="R130" s="48" t="s">
        <v>649</v>
      </c>
      <c r="S130" s="48" t="s">
        <v>650</v>
      </c>
      <c r="T130" s="48"/>
    </row>
    <row r="131" spans="1:20" x14ac:dyDescent="0.25">
      <c r="A131" s="43"/>
      <c r="B131" s="43"/>
      <c r="C131" s="46">
        <f t="shared" si="5"/>
        <v>0</v>
      </c>
      <c r="D131" s="45">
        <v>0</v>
      </c>
      <c r="E131" s="45">
        <v>0</v>
      </c>
      <c r="F131" s="45">
        <f t="shared" si="3"/>
        <v>0</v>
      </c>
      <c r="G131" s="45">
        <v>0</v>
      </c>
      <c r="H131" s="45"/>
      <c r="I131" s="45">
        <v>0</v>
      </c>
      <c r="J131" s="45">
        <v>0</v>
      </c>
      <c r="K131" s="45">
        <v>0</v>
      </c>
      <c r="L131" s="46">
        <f t="shared" si="4"/>
        <v>0</v>
      </c>
      <c r="M131" s="47">
        <v>0</v>
      </c>
      <c r="N131" s="47">
        <v>0</v>
      </c>
      <c r="O131" s="48" t="s">
        <v>651</v>
      </c>
      <c r="P131" s="48" t="s">
        <v>652</v>
      </c>
      <c r="Q131" s="48" t="s">
        <v>653</v>
      </c>
      <c r="R131" s="48" t="s">
        <v>654</v>
      </c>
      <c r="S131" s="48" t="s">
        <v>655</v>
      </c>
      <c r="T131" s="48"/>
    </row>
    <row r="132" spans="1:20" x14ac:dyDescent="0.25">
      <c r="A132" s="43"/>
      <c r="B132" s="43"/>
      <c r="C132" s="46">
        <f t="shared" si="5"/>
        <v>0</v>
      </c>
      <c r="D132" s="45">
        <v>0</v>
      </c>
      <c r="E132" s="45">
        <v>0</v>
      </c>
      <c r="F132" s="45">
        <f t="shared" si="3"/>
        <v>0</v>
      </c>
      <c r="G132" s="45">
        <v>0</v>
      </c>
      <c r="H132" s="45"/>
      <c r="I132" s="45">
        <v>0</v>
      </c>
      <c r="J132" s="45">
        <v>0</v>
      </c>
      <c r="K132" s="45">
        <v>0</v>
      </c>
      <c r="L132" s="46">
        <f t="shared" si="4"/>
        <v>0</v>
      </c>
      <c r="M132" s="47">
        <v>0</v>
      </c>
      <c r="N132" s="47">
        <v>0</v>
      </c>
      <c r="O132" s="48" t="s">
        <v>656</v>
      </c>
      <c r="P132" s="48" t="s">
        <v>657</v>
      </c>
      <c r="Q132" s="48" t="s">
        <v>658</v>
      </c>
      <c r="R132" s="48" t="s">
        <v>659</v>
      </c>
      <c r="S132" s="48" t="s">
        <v>660</v>
      </c>
      <c r="T132" s="48"/>
    </row>
    <row r="133" spans="1:20" x14ac:dyDescent="0.25">
      <c r="A133" s="43"/>
      <c r="B133" s="43"/>
      <c r="C133" s="46">
        <f t="shared" si="5"/>
        <v>0</v>
      </c>
      <c r="D133" s="45">
        <v>0</v>
      </c>
      <c r="E133" s="45">
        <v>0</v>
      </c>
      <c r="F133" s="45">
        <f t="shared" si="3"/>
        <v>0</v>
      </c>
      <c r="G133" s="45">
        <v>0</v>
      </c>
      <c r="H133" s="45"/>
      <c r="I133" s="45">
        <v>0</v>
      </c>
      <c r="J133" s="45">
        <v>0</v>
      </c>
      <c r="K133" s="45">
        <v>0</v>
      </c>
      <c r="L133" s="46">
        <f t="shared" si="4"/>
        <v>0</v>
      </c>
      <c r="M133" s="47">
        <v>0</v>
      </c>
      <c r="N133" s="47">
        <v>0</v>
      </c>
      <c r="O133" s="48" t="s">
        <v>661</v>
      </c>
      <c r="P133" s="48" t="s">
        <v>662</v>
      </c>
      <c r="Q133" s="48" t="s">
        <v>663</v>
      </c>
      <c r="R133" s="48" t="s">
        <v>664</v>
      </c>
      <c r="S133" s="48" t="s">
        <v>665</v>
      </c>
      <c r="T133" s="48"/>
    </row>
    <row r="134" spans="1:20" x14ac:dyDescent="0.25">
      <c r="A134" s="43"/>
      <c r="B134" s="43"/>
      <c r="C134" s="46">
        <f t="shared" si="5"/>
        <v>0</v>
      </c>
      <c r="D134" s="45">
        <v>0</v>
      </c>
      <c r="E134" s="45">
        <v>0</v>
      </c>
      <c r="F134" s="45">
        <f t="shared" si="3"/>
        <v>0</v>
      </c>
      <c r="G134" s="45">
        <v>0</v>
      </c>
      <c r="H134" s="45"/>
      <c r="I134" s="45">
        <v>0</v>
      </c>
      <c r="J134" s="45">
        <v>0</v>
      </c>
      <c r="K134" s="45">
        <v>0</v>
      </c>
      <c r="L134" s="46">
        <f t="shared" si="4"/>
        <v>0</v>
      </c>
      <c r="M134" s="47">
        <v>0</v>
      </c>
      <c r="N134" s="47">
        <v>0</v>
      </c>
      <c r="O134" s="48" t="s">
        <v>666</v>
      </c>
      <c r="P134" s="48" t="s">
        <v>667</v>
      </c>
      <c r="Q134" s="48" t="s">
        <v>668</v>
      </c>
      <c r="R134" s="48" t="s">
        <v>669</v>
      </c>
      <c r="S134" s="48" t="s">
        <v>670</v>
      </c>
      <c r="T134" s="48"/>
    </row>
    <row r="135" spans="1:20" x14ac:dyDescent="0.25">
      <c r="A135" s="43"/>
      <c r="B135" s="43"/>
      <c r="C135" s="46">
        <f t="shared" si="5"/>
        <v>0</v>
      </c>
      <c r="D135" s="45">
        <v>0</v>
      </c>
      <c r="E135" s="45">
        <v>0</v>
      </c>
      <c r="F135" s="45">
        <f t="shared" si="3"/>
        <v>0</v>
      </c>
      <c r="G135" s="45">
        <v>0</v>
      </c>
      <c r="H135" s="45"/>
      <c r="I135" s="45">
        <v>0</v>
      </c>
      <c r="J135" s="45">
        <v>0</v>
      </c>
      <c r="K135" s="45">
        <v>0</v>
      </c>
      <c r="L135" s="46">
        <f t="shared" si="4"/>
        <v>0</v>
      </c>
      <c r="M135" s="47">
        <v>0</v>
      </c>
      <c r="N135" s="47">
        <v>0</v>
      </c>
      <c r="O135" s="48" t="s">
        <v>671</v>
      </c>
      <c r="P135" s="48" t="s">
        <v>672</v>
      </c>
      <c r="Q135" s="48" t="s">
        <v>673</v>
      </c>
      <c r="R135" s="48" t="s">
        <v>674</v>
      </c>
      <c r="S135" s="48" t="s">
        <v>675</v>
      </c>
      <c r="T135" s="48"/>
    </row>
    <row r="136" spans="1:20" x14ac:dyDescent="0.25">
      <c r="A136" s="43"/>
      <c r="B136" s="43"/>
      <c r="C136" s="46">
        <f t="shared" si="5"/>
        <v>0</v>
      </c>
      <c r="D136" s="45">
        <v>0</v>
      </c>
      <c r="E136" s="45">
        <v>0</v>
      </c>
      <c r="F136" s="45">
        <f t="shared" si="3"/>
        <v>0</v>
      </c>
      <c r="G136" s="45">
        <v>0</v>
      </c>
      <c r="H136" s="45"/>
      <c r="I136" s="45">
        <v>0</v>
      </c>
      <c r="J136" s="45">
        <v>0</v>
      </c>
      <c r="K136" s="45">
        <v>0</v>
      </c>
      <c r="L136" s="46">
        <f t="shared" si="4"/>
        <v>0</v>
      </c>
      <c r="M136" s="47">
        <v>0</v>
      </c>
      <c r="N136" s="47">
        <v>0</v>
      </c>
      <c r="O136" s="48" t="s">
        <v>676</v>
      </c>
      <c r="P136" s="48" t="s">
        <v>677</v>
      </c>
      <c r="Q136" s="48" t="s">
        <v>678</v>
      </c>
      <c r="R136" s="48" t="s">
        <v>679</v>
      </c>
      <c r="S136" s="48" t="s">
        <v>680</v>
      </c>
      <c r="T136" s="48"/>
    </row>
    <row r="137" spans="1:20" x14ac:dyDescent="0.25">
      <c r="A137" s="43"/>
      <c r="B137" s="43"/>
      <c r="C137" s="46">
        <f t="shared" si="5"/>
        <v>0</v>
      </c>
      <c r="D137" s="45">
        <v>0</v>
      </c>
      <c r="E137" s="45">
        <v>0</v>
      </c>
      <c r="F137" s="45">
        <f t="shared" si="3"/>
        <v>0</v>
      </c>
      <c r="G137" s="45">
        <v>0</v>
      </c>
      <c r="H137" s="45"/>
      <c r="I137" s="45">
        <v>0</v>
      </c>
      <c r="J137" s="45">
        <v>0</v>
      </c>
      <c r="K137" s="45">
        <v>0</v>
      </c>
      <c r="L137" s="46">
        <f t="shared" si="4"/>
        <v>0</v>
      </c>
      <c r="M137" s="47">
        <v>0</v>
      </c>
      <c r="N137" s="47">
        <v>0</v>
      </c>
      <c r="O137" s="48" t="s">
        <v>681</v>
      </c>
      <c r="P137" s="48" t="s">
        <v>682</v>
      </c>
      <c r="Q137" s="48" t="s">
        <v>683</v>
      </c>
      <c r="R137" s="48" t="s">
        <v>684</v>
      </c>
      <c r="S137" s="48" t="s">
        <v>685</v>
      </c>
      <c r="T137" s="48"/>
    </row>
    <row r="138" spans="1:20" x14ac:dyDescent="0.25">
      <c r="A138" s="43"/>
      <c r="B138" s="43"/>
      <c r="C138" s="46">
        <f t="shared" si="5"/>
        <v>0</v>
      </c>
      <c r="D138" s="45">
        <v>0</v>
      </c>
      <c r="E138" s="45">
        <v>0</v>
      </c>
      <c r="F138" s="45">
        <f t="shared" si="3"/>
        <v>0</v>
      </c>
      <c r="G138" s="45">
        <v>0</v>
      </c>
      <c r="H138" s="45"/>
      <c r="I138" s="45">
        <v>0</v>
      </c>
      <c r="J138" s="45">
        <v>0</v>
      </c>
      <c r="K138" s="45">
        <v>0</v>
      </c>
      <c r="L138" s="46">
        <f t="shared" si="4"/>
        <v>0</v>
      </c>
      <c r="M138" s="47">
        <v>0</v>
      </c>
      <c r="N138" s="47">
        <v>0</v>
      </c>
      <c r="O138" s="48" t="s">
        <v>686</v>
      </c>
      <c r="P138" s="48" t="s">
        <v>687</v>
      </c>
      <c r="Q138" s="48" t="s">
        <v>688</v>
      </c>
      <c r="R138" s="48" t="s">
        <v>689</v>
      </c>
      <c r="S138" s="48" t="s">
        <v>690</v>
      </c>
      <c r="T138" s="48"/>
    </row>
    <row r="139" spans="1:20" x14ac:dyDescent="0.25">
      <c r="A139" s="43"/>
      <c r="B139" s="43"/>
      <c r="C139" s="46">
        <f t="shared" si="5"/>
        <v>0</v>
      </c>
      <c r="D139" s="45">
        <v>0</v>
      </c>
      <c r="E139" s="45">
        <v>0</v>
      </c>
      <c r="F139" s="45">
        <f t="shared" si="3"/>
        <v>0</v>
      </c>
      <c r="G139" s="45">
        <v>0</v>
      </c>
      <c r="H139" s="45"/>
      <c r="I139" s="45">
        <v>0</v>
      </c>
      <c r="J139" s="45">
        <v>0</v>
      </c>
      <c r="K139" s="45">
        <v>0</v>
      </c>
      <c r="L139" s="46">
        <f t="shared" si="4"/>
        <v>0</v>
      </c>
      <c r="M139" s="47">
        <v>0</v>
      </c>
      <c r="N139" s="47">
        <v>0</v>
      </c>
      <c r="O139" s="48" t="s">
        <v>691</v>
      </c>
      <c r="P139" s="48" t="s">
        <v>692</v>
      </c>
      <c r="Q139" s="48" t="s">
        <v>693</v>
      </c>
      <c r="R139" s="48" t="s">
        <v>694</v>
      </c>
      <c r="S139" s="48" t="s">
        <v>695</v>
      </c>
      <c r="T139" s="48"/>
    </row>
    <row r="140" spans="1:20" x14ac:dyDescent="0.25">
      <c r="A140" s="43"/>
      <c r="B140" s="43"/>
      <c r="C140" s="46">
        <f t="shared" si="5"/>
        <v>0</v>
      </c>
      <c r="D140" s="45">
        <v>0</v>
      </c>
      <c r="E140" s="45">
        <v>0</v>
      </c>
      <c r="F140" s="45">
        <f t="shared" si="3"/>
        <v>0</v>
      </c>
      <c r="G140" s="45">
        <v>0</v>
      </c>
      <c r="H140" s="45"/>
      <c r="I140" s="45">
        <v>0</v>
      </c>
      <c r="J140" s="45">
        <v>0</v>
      </c>
      <c r="K140" s="45">
        <v>0</v>
      </c>
      <c r="L140" s="46">
        <f t="shared" si="4"/>
        <v>0</v>
      </c>
      <c r="M140" s="47">
        <v>0</v>
      </c>
      <c r="N140" s="47">
        <v>0</v>
      </c>
      <c r="O140" s="48" t="s">
        <v>696</v>
      </c>
      <c r="P140" s="48" t="s">
        <v>697</v>
      </c>
      <c r="Q140" s="48" t="s">
        <v>698</v>
      </c>
      <c r="R140" s="48" t="s">
        <v>699</v>
      </c>
      <c r="S140" s="48" t="s">
        <v>700</v>
      </c>
      <c r="T140" s="48"/>
    </row>
    <row r="141" spans="1:20" x14ac:dyDescent="0.25">
      <c r="A141" s="43"/>
      <c r="B141" s="43"/>
      <c r="C141" s="46">
        <f t="shared" si="5"/>
        <v>0</v>
      </c>
      <c r="D141" s="45">
        <v>0</v>
      </c>
      <c r="E141" s="45">
        <v>0</v>
      </c>
      <c r="F141" s="45">
        <f t="shared" ref="F141:F150" si="6">E141-G141-H141</f>
        <v>0</v>
      </c>
      <c r="G141" s="45">
        <v>0</v>
      </c>
      <c r="H141" s="45"/>
      <c r="I141" s="45">
        <v>0</v>
      </c>
      <c r="J141" s="45">
        <v>0</v>
      </c>
      <c r="K141" s="45">
        <v>0</v>
      </c>
      <c r="L141" s="46">
        <f t="shared" ref="L141:L150" si="7">C141+J141+K141-H141-F141+D141</f>
        <v>0</v>
      </c>
      <c r="M141" s="47">
        <v>0</v>
      </c>
      <c r="N141" s="47">
        <v>0</v>
      </c>
      <c r="O141" s="48" t="s">
        <v>701</v>
      </c>
      <c r="P141" s="48" t="s">
        <v>702</v>
      </c>
      <c r="Q141" s="48" t="s">
        <v>703</v>
      </c>
      <c r="R141" s="48" t="s">
        <v>704</v>
      </c>
      <c r="S141" s="48" t="s">
        <v>705</v>
      </c>
      <c r="T141" s="48"/>
    </row>
    <row r="142" spans="1:20" x14ac:dyDescent="0.25">
      <c r="A142" s="43"/>
      <c r="B142" s="43"/>
      <c r="C142" s="46">
        <f t="shared" ref="C142:C150" si="8">L141</f>
        <v>0</v>
      </c>
      <c r="D142" s="45">
        <v>0</v>
      </c>
      <c r="E142" s="45">
        <v>0</v>
      </c>
      <c r="F142" s="45">
        <f t="shared" si="6"/>
        <v>0</v>
      </c>
      <c r="G142" s="45">
        <v>0</v>
      </c>
      <c r="H142" s="45"/>
      <c r="I142" s="45">
        <v>0</v>
      </c>
      <c r="J142" s="45">
        <v>0</v>
      </c>
      <c r="K142" s="45">
        <v>0</v>
      </c>
      <c r="L142" s="46">
        <f t="shared" si="7"/>
        <v>0</v>
      </c>
      <c r="M142" s="47">
        <v>0</v>
      </c>
      <c r="N142" s="47">
        <v>0</v>
      </c>
      <c r="O142" s="48" t="s">
        <v>706</v>
      </c>
      <c r="P142" s="48" t="s">
        <v>707</v>
      </c>
      <c r="Q142" s="48" t="s">
        <v>708</v>
      </c>
      <c r="R142" s="48" t="s">
        <v>709</v>
      </c>
      <c r="S142" s="48" t="s">
        <v>710</v>
      </c>
      <c r="T142" s="48"/>
    </row>
    <row r="143" spans="1:20" x14ac:dyDescent="0.25">
      <c r="A143" s="43"/>
      <c r="B143" s="43"/>
      <c r="C143" s="46">
        <f t="shared" si="8"/>
        <v>0</v>
      </c>
      <c r="D143" s="45">
        <v>0</v>
      </c>
      <c r="E143" s="45">
        <v>0</v>
      </c>
      <c r="F143" s="45">
        <f t="shared" si="6"/>
        <v>0</v>
      </c>
      <c r="G143" s="45">
        <v>0</v>
      </c>
      <c r="H143" s="45"/>
      <c r="I143" s="45">
        <v>0</v>
      </c>
      <c r="J143" s="45">
        <v>0</v>
      </c>
      <c r="K143" s="45">
        <v>0</v>
      </c>
      <c r="L143" s="46">
        <f t="shared" si="7"/>
        <v>0</v>
      </c>
      <c r="M143" s="47">
        <v>0</v>
      </c>
      <c r="N143" s="47">
        <v>0</v>
      </c>
      <c r="O143" s="48" t="s">
        <v>711</v>
      </c>
      <c r="P143" s="48" t="s">
        <v>712</v>
      </c>
      <c r="Q143" s="48" t="s">
        <v>713</v>
      </c>
      <c r="R143" s="48" t="s">
        <v>714</v>
      </c>
      <c r="S143" s="48" t="s">
        <v>715</v>
      </c>
      <c r="T143" s="48"/>
    </row>
    <row r="144" spans="1:20" x14ac:dyDescent="0.25">
      <c r="A144" s="43"/>
      <c r="B144" s="43"/>
      <c r="C144" s="46">
        <f t="shared" si="8"/>
        <v>0</v>
      </c>
      <c r="D144" s="45">
        <v>0</v>
      </c>
      <c r="E144" s="45">
        <v>0</v>
      </c>
      <c r="F144" s="45">
        <f t="shared" si="6"/>
        <v>0</v>
      </c>
      <c r="G144" s="45">
        <v>0</v>
      </c>
      <c r="H144" s="45"/>
      <c r="I144" s="45">
        <v>0</v>
      </c>
      <c r="J144" s="45">
        <v>0</v>
      </c>
      <c r="K144" s="45">
        <v>0</v>
      </c>
      <c r="L144" s="46">
        <f t="shared" si="7"/>
        <v>0</v>
      </c>
      <c r="M144" s="47">
        <v>0</v>
      </c>
      <c r="N144" s="47">
        <v>0</v>
      </c>
      <c r="O144" s="48" t="s">
        <v>716</v>
      </c>
      <c r="P144" s="48" t="s">
        <v>717</v>
      </c>
      <c r="Q144" s="48" t="s">
        <v>718</v>
      </c>
      <c r="R144" s="48" t="s">
        <v>719</v>
      </c>
      <c r="S144" s="48" t="s">
        <v>720</v>
      </c>
      <c r="T144" s="48"/>
    </row>
    <row r="145" spans="1:20" x14ac:dyDescent="0.25">
      <c r="A145" s="43"/>
      <c r="B145" s="43"/>
      <c r="C145" s="46">
        <f t="shared" si="8"/>
        <v>0</v>
      </c>
      <c r="D145" s="45">
        <v>0</v>
      </c>
      <c r="E145" s="45">
        <v>0</v>
      </c>
      <c r="F145" s="45">
        <f t="shared" si="6"/>
        <v>0</v>
      </c>
      <c r="G145" s="45">
        <v>0</v>
      </c>
      <c r="H145" s="45"/>
      <c r="I145" s="45">
        <v>0</v>
      </c>
      <c r="J145" s="45">
        <v>0</v>
      </c>
      <c r="K145" s="45">
        <v>0</v>
      </c>
      <c r="L145" s="46">
        <f t="shared" si="7"/>
        <v>0</v>
      </c>
      <c r="M145" s="47">
        <v>0</v>
      </c>
      <c r="N145" s="47">
        <v>0</v>
      </c>
      <c r="O145" s="48" t="s">
        <v>721</v>
      </c>
      <c r="P145" s="48" t="s">
        <v>722</v>
      </c>
      <c r="Q145" s="48" t="s">
        <v>723</v>
      </c>
      <c r="R145" s="48" t="s">
        <v>724</v>
      </c>
      <c r="S145" s="48" t="s">
        <v>725</v>
      </c>
      <c r="T145" s="48"/>
    </row>
    <row r="146" spans="1:20" x14ac:dyDescent="0.25">
      <c r="A146" s="43"/>
      <c r="B146" s="43"/>
      <c r="C146" s="46">
        <f t="shared" si="8"/>
        <v>0</v>
      </c>
      <c r="D146" s="45">
        <v>0</v>
      </c>
      <c r="E146" s="45">
        <v>0</v>
      </c>
      <c r="F146" s="45">
        <f t="shared" si="6"/>
        <v>0</v>
      </c>
      <c r="G146" s="45">
        <v>0</v>
      </c>
      <c r="H146" s="45"/>
      <c r="I146" s="45">
        <v>0</v>
      </c>
      <c r="J146" s="45">
        <v>0</v>
      </c>
      <c r="K146" s="45">
        <v>0</v>
      </c>
      <c r="L146" s="46">
        <f t="shared" si="7"/>
        <v>0</v>
      </c>
      <c r="M146" s="47">
        <v>0</v>
      </c>
      <c r="N146" s="47">
        <v>0</v>
      </c>
      <c r="O146" s="48" t="s">
        <v>726</v>
      </c>
      <c r="P146" s="48" t="s">
        <v>727</v>
      </c>
      <c r="Q146" s="48" t="s">
        <v>728</v>
      </c>
      <c r="R146" s="48" t="s">
        <v>729</v>
      </c>
      <c r="S146" s="48" t="s">
        <v>730</v>
      </c>
      <c r="T146" s="48"/>
    </row>
    <row r="147" spans="1:20" x14ac:dyDescent="0.25">
      <c r="A147" s="43"/>
      <c r="B147" s="43"/>
      <c r="C147" s="46">
        <f t="shared" si="8"/>
        <v>0</v>
      </c>
      <c r="D147" s="45">
        <v>0</v>
      </c>
      <c r="E147" s="45">
        <v>0</v>
      </c>
      <c r="F147" s="45">
        <f t="shared" si="6"/>
        <v>0</v>
      </c>
      <c r="G147" s="45">
        <v>0</v>
      </c>
      <c r="H147" s="45"/>
      <c r="I147" s="45">
        <v>0</v>
      </c>
      <c r="J147" s="45">
        <v>0</v>
      </c>
      <c r="K147" s="45">
        <v>0</v>
      </c>
      <c r="L147" s="46">
        <f t="shared" si="7"/>
        <v>0</v>
      </c>
      <c r="M147" s="47">
        <v>0</v>
      </c>
      <c r="N147" s="47">
        <v>0</v>
      </c>
      <c r="O147" s="48" t="s">
        <v>731</v>
      </c>
      <c r="P147" s="48" t="s">
        <v>732</v>
      </c>
      <c r="Q147" s="48" t="s">
        <v>733</v>
      </c>
      <c r="R147" s="48" t="s">
        <v>734</v>
      </c>
      <c r="S147" s="48" t="s">
        <v>735</v>
      </c>
      <c r="T147" s="48"/>
    </row>
    <row r="148" spans="1:20" x14ac:dyDescent="0.25">
      <c r="A148" s="43"/>
      <c r="B148" s="43"/>
      <c r="C148" s="46">
        <f t="shared" si="8"/>
        <v>0</v>
      </c>
      <c r="D148" s="45">
        <v>0</v>
      </c>
      <c r="E148" s="45">
        <v>0</v>
      </c>
      <c r="F148" s="45">
        <f t="shared" si="6"/>
        <v>0</v>
      </c>
      <c r="G148" s="45">
        <v>0</v>
      </c>
      <c r="H148" s="45"/>
      <c r="I148" s="45">
        <v>0</v>
      </c>
      <c r="J148" s="45">
        <v>0</v>
      </c>
      <c r="K148" s="45">
        <v>0</v>
      </c>
      <c r="L148" s="46">
        <f t="shared" si="7"/>
        <v>0</v>
      </c>
      <c r="M148" s="47">
        <v>0</v>
      </c>
      <c r="N148" s="47">
        <v>0</v>
      </c>
      <c r="O148" s="48" t="s">
        <v>736</v>
      </c>
      <c r="P148" s="48" t="s">
        <v>737</v>
      </c>
      <c r="Q148" s="48" t="s">
        <v>738</v>
      </c>
      <c r="R148" s="48" t="s">
        <v>739</v>
      </c>
      <c r="S148" s="48" t="s">
        <v>740</v>
      </c>
      <c r="T148" s="48"/>
    </row>
    <row r="149" spans="1:20" x14ac:dyDescent="0.25">
      <c r="A149" s="43"/>
      <c r="B149" s="43"/>
      <c r="C149" s="46">
        <f t="shared" si="8"/>
        <v>0</v>
      </c>
      <c r="D149" s="45">
        <v>0</v>
      </c>
      <c r="E149" s="45">
        <v>0</v>
      </c>
      <c r="F149" s="45">
        <f t="shared" si="6"/>
        <v>0</v>
      </c>
      <c r="G149" s="45">
        <v>0</v>
      </c>
      <c r="H149" s="45"/>
      <c r="I149" s="45">
        <v>0</v>
      </c>
      <c r="J149" s="45">
        <v>0</v>
      </c>
      <c r="K149" s="45">
        <v>0</v>
      </c>
      <c r="L149" s="46">
        <f t="shared" si="7"/>
        <v>0</v>
      </c>
      <c r="M149" s="47">
        <v>0</v>
      </c>
      <c r="N149" s="47">
        <v>0</v>
      </c>
      <c r="O149" s="48" t="s">
        <v>741</v>
      </c>
      <c r="P149" s="48" t="s">
        <v>742</v>
      </c>
      <c r="Q149" s="48" t="s">
        <v>743</v>
      </c>
      <c r="R149" s="48" t="s">
        <v>744</v>
      </c>
      <c r="S149" s="48" t="s">
        <v>745</v>
      </c>
      <c r="T149" s="48"/>
    </row>
    <row r="150" spans="1:20" x14ac:dyDescent="0.25">
      <c r="A150" s="43"/>
      <c r="B150" s="43"/>
      <c r="C150" s="46">
        <f t="shared" si="8"/>
        <v>0</v>
      </c>
      <c r="D150" s="45">
        <v>0</v>
      </c>
      <c r="E150" s="45">
        <v>0</v>
      </c>
      <c r="F150" s="45">
        <f t="shared" si="6"/>
        <v>0</v>
      </c>
      <c r="G150" s="45">
        <v>0</v>
      </c>
      <c r="H150" s="45"/>
      <c r="I150" s="45">
        <v>0</v>
      </c>
      <c r="J150" s="45">
        <v>0</v>
      </c>
      <c r="K150" s="45">
        <v>0</v>
      </c>
      <c r="L150" s="46">
        <f t="shared" si="7"/>
        <v>0</v>
      </c>
      <c r="M150" s="47">
        <v>0</v>
      </c>
      <c r="N150" s="47">
        <v>0</v>
      </c>
      <c r="O150" s="48" t="s">
        <v>746</v>
      </c>
      <c r="P150" s="48" t="s">
        <v>747</v>
      </c>
      <c r="Q150" s="48" t="s">
        <v>748</v>
      </c>
      <c r="R150" s="48" t="s">
        <v>749</v>
      </c>
      <c r="S150" s="48" t="s">
        <v>750</v>
      </c>
      <c r="T150" s="48"/>
    </row>
    <row r="151" spans="1:20" x14ac:dyDescent="0.25">
      <c r="A151" s="2"/>
      <c r="B151" s="18" t="s">
        <v>7</v>
      </c>
      <c r="C151" s="2"/>
      <c r="D151" s="14">
        <f t="shared" ref="D151:K151" si="9">SUM(D12:D150)</f>
        <v>0</v>
      </c>
      <c r="E151" s="14">
        <f t="shared" si="9"/>
        <v>0</v>
      </c>
      <c r="F151" s="14">
        <f t="shared" si="9"/>
        <v>0</v>
      </c>
      <c r="G151" s="14">
        <f t="shared" si="9"/>
        <v>0</v>
      </c>
      <c r="H151" s="14">
        <f t="shared" si="9"/>
        <v>0</v>
      </c>
      <c r="I151" s="14">
        <f t="shared" si="9"/>
        <v>0</v>
      </c>
      <c r="J151" s="14">
        <f t="shared" si="9"/>
        <v>0</v>
      </c>
      <c r="K151" s="14">
        <f t="shared" si="9"/>
        <v>0</v>
      </c>
      <c r="L151" s="14">
        <f>INDEX(L12:L150, COUNTA(L12:L150))</f>
        <v>0</v>
      </c>
    </row>
    <row r="152" spans="1:20" x14ac:dyDescent="0.25">
      <c r="D152" s="10"/>
    </row>
    <row r="153" spans="1:20" x14ac:dyDescent="0.25">
      <c r="D153" s="10"/>
      <c r="E153" s="15"/>
      <c r="F153"/>
    </row>
    <row r="154" spans="1:20" x14ac:dyDescent="0.25">
      <c r="D154" s="10"/>
    </row>
    <row r="155" spans="1:20" x14ac:dyDescent="0.25">
      <c r="D155" s="10"/>
    </row>
    <row r="156" spans="1:20" x14ac:dyDescent="0.25">
      <c r="D156" s="10"/>
    </row>
    <row r="159" spans="1:20" x14ac:dyDescent="0.25">
      <c r="D159" s="10"/>
    </row>
  </sheetData>
  <mergeCells count="1">
    <mergeCell ref="A1:L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802"/>
  <sheetViews>
    <sheetView showGridLines="0" tabSelected="1" zoomScale="73" zoomScaleNormal="310" workbookViewId="0">
      <selection activeCell="A4" sqref="A4"/>
    </sheetView>
  </sheetViews>
  <sheetFormatPr defaultRowHeight="15" x14ac:dyDescent="0.25"/>
  <cols>
    <col min="1" max="1" width="18.85546875" customWidth="1"/>
    <col min="2" max="2" width="17.140625" customWidth="1"/>
    <col min="3" max="3" width="18.28515625" customWidth="1"/>
    <col min="4" max="4" width="18.7109375" customWidth="1"/>
    <col min="5" max="5" width="21.28515625" customWidth="1"/>
    <col min="6" max="6" width="31.28515625" customWidth="1"/>
    <col min="7" max="7" width="28.140625" customWidth="1"/>
    <col min="8" max="8" width="83.5703125" customWidth="1"/>
    <col min="9" max="9" width="11.42578125" customWidth="1"/>
  </cols>
  <sheetData>
    <row r="1" spans="1:9" ht="39.75" customHeight="1" x14ac:dyDescent="0.25">
      <c r="A1" s="60" t="s">
        <v>31</v>
      </c>
      <c r="B1" s="60" t="s">
        <v>27</v>
      </c>
      <c r="C1" s="60" t="s">
        <v>28</v>
      </c>
      <c r="D1" s="60" t="s">
        <v>29</v>
      </c>
      <c r="E1" s="60" t="s">
        <v>30</v>
      </c>
      <c r="F1" s="60" t="s">
        <v>36</v>
      </c>
      <c r="G1" s="60" t="s">
        <v>43</v>
      </c>
      <c r="H1" s="60" t="s">
        <v>44</v>
      </c>
      <c r="I1" s="19"/>
    </row>
    <row r="2" spans="1:9" ht="18.75" customHeight="1" x14ac:dyDescent="0.25">
      <c r="A2" s="23"/>
      <c r="B2" s="23"/>
      <c r="C2" s="40"/>
      <c r="D2" s="40"/>
      <c r="E2" s="40"/>
      <c r="F2" s="29"/>
      <c r="G2" s="41"/>
      <c r="H2" s="18" t="str">
        <f ca="1">IF(ISBLANK(THTT!G2),
    "Hãy nhập dữ liệu cột G2",
    IF(ISBLANK(INDIRECT("'" &amp; THTT!B2 &amp; "'!H6")),
        "Hãy nhập dữ liệu cột H6",
        IF(ABS(INDIRECT("'" &amp; THTT!B2 &amp; "'!H6") - THTT!G2) &gt; 0,
            IF(INDIRECT("'" &amp; THTT!B2 &amp; "'!H6") - THTT!G2 &lt; 0,
                "Hãy Tăng (+) thêm " &amp; TEXT(ABS(INDIRECT("'" &amp; THTT!B2 &amp; "'!H6") - THTT!G2), "#,##0") &amp; " cho phần Phí đã trả hoặc Lãi đã trả",
                "Hãy Giảm (-) bớt " &amp; TEXT(ABS(INDIRECT("'" &amp; THTT!B2 &amp; "'!H6") - THTT!G2), "#,##0") &amp; " cho phần Phí đã trả hoặc Lãi đã trả"
            ),
            "Đã đúng gốc"
        )
    )
)</f>
        <v>Hãy nhập dữ liệu cột G2</v>
      </c>
    </row>
    <row r="3" spans="1:9" x14ac:dyDescent="0.25">
      <c r="A3" s="24"/>
      <c r="B3" s="24"/>
      <c r="C3" s="24"/>
      <c r="D3" s="24"/>
      <c r="F3" s="24"/>
      <c r="H3" s="64" t="s">
        <v>820</v>
      </c>
    </row>
    <row r="4" spans="1:9" ht="18.75" x14ac:dyDescent="0.3">
      <c r="A4" s="56" t="s">
        <v>821</v>
      </c>
      <c r="H4" s="58"/>
    </row>
    <row r="6" spans="1:9" x14ac:dyDescent="0.25">
      <c r="A6" s="53"/>
    </row>
    <row r="7" spans="1:9" x14ac:dyDescent="0.25">
      <c r="A7" s="55"/>
    </row>
    <row r="10" spans="1:9" x14ac:dyDescent="0.25">
      <c r="A10" s="53"/>
    </row>
    <row r="11" spans="1:9" x14ac:dyDescent="0.25">
      <c r="A11" s="54"/>
      <c r="D11" s="50"/>
    </row>
    <row r="12" spans="1:9" x14ac:dyDescent="0.25">
      <c r="A12" s="54"/>
    </row>
    <row r="13" spans="1:9" x14ac:dyDescent="0.25">
      <c r="A13" s="54"/>
    </row>
    <row r="15" spans="1:9" ht="15.75" x14ac:dyDescent="0.25">
      <c r="A15" s="63" t="s">
        <v>751</v>
      </c>
    </row>
    <row r="17" spans="1:1" ht="18.75" x14ac:dyDescent="0.3">
      <c r="A17" s="61" t="s">
        <v>818</v>
      </c>
    </row>
    <row r="18" spans="1:1" ht="18.75" x14ac:dyDescent="0.3">
      <c r="A18" s="62" t="s">
        <v>819</v>
      </c>
    </row>
    <row r="19" spans="1:1" ht="18.75" x14ac:dyDescent="0.3">
      <c r="A19" s="56" t="s">
        <v>816</v>
      </c>
    </row>
    <row r="20" spans="1:1" ht="18.75" x14ac:dyDescent="0.3">
      <c r="A20" s="56" t="s">
        <v>817</v>
      </c>
    </row>
    <row r="802" spans="1:2" x14ac:dyDescent="0.25">
      <c r="A802" t="s">
        <v>59</v>
      </c>
      <c r="B802" t="s">
        <v>60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1"/>
  <sheetViews>
    <sheetView topLeftCell="A148" workbookViewId="0">
      <selection activeCell="C149" sqref="A1:XFD1048576"/>
    </sheetView>
  </sheetViews>
  <sheetFormatPr defaultRowHeight="15" x14ac:dyDescent="0.25"/>
  <cols>
    <col min="1" max="1" width="11.42578125" style="65" customWidth="1"/>
    <col min="2" max="2" width="14.42578125" style="66" customWidth="1"/>
    <col min="3" max="3" width="8.85546875" style="66" customWidth="1"/>
    <col min="4" max="17" width="8.85546875" customWidth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630"/>
  <sheetViews>
    <sheetView topLeftCell="H1" zoomScale="79" zoomScaleNormal="70" workbookViewId="0">
      <selection activeCell="L17" sqref="L17"/>
    </sheetView>
  </sheetViews>
  <sheetFormatPr defaultRowHeight="15" x14ac:dyDescent="0.25"/>
  <cols>
    <col min="1" max="1" width="23" style="17" hidden="1" customWidth="1"/>
    <col min="2" max="2" width="26" style="33" hidden="1" customWidth="1"/>
    <col min="3" max="3" width="26.85546875" hidden="1" customWidth="1"/>
    <col min="4" max="4" width="83.28515625" hidden="1" customWidth="1"/>
    <col min="5" max="5" width="20.7109375" hidden="1" customWidth="1"/>
    <col min="6" max="6" width="33.140625" hidden="1" customWidth="1"/>
    <col min="7" max="7" width="18.5703125" hidden="1" customWidth="1"/>
    <col min="8" max="8" width="21.5703125" customWidth="1"/>
    <col min="9" max="9" width="19.140625" bestFit="1" customWidth="1"/>
    <col min="221" max="221" width="10.140625" bestFit="1" customWidth="1"/>
    <col min="222" max="222" width="18.28515625" customWidth="1"/>
    <col min="223" max="223" width="11.85546875" bestFit="1" customWidth="1"/>
    <col min="224" max="224" width="13.42578125" customWidth="1"/>
    <col min="225" max="225" width="30.85546875" bestFit="1" customWidth="1"/>
    <col min="226" max="226" width="21.140625" customWidth="1"/>
    <col min="227" max="227" width="44.5703125" customWidth="1"/>
    <col min="228" max="228" width="17.42578125" customWidth="1"/>
    <col min="229" max="229" width="30.85546875" customWidth="1"/>
    <col min="230" max="230" width="11.85546875" customWidth="1"/>
    <col min="231" max="231" width="41.7109375" customWidth="1"/>
    <col min="232" max="237" width="30.85546875" bestFit="1" customWidth="1"/>
    <col min="238" max="238" width="10.5703125" bestFit="1" customWidth="1"/>
    <col min="477" max="477" width="10.140625" bestFit="1" customWidth="1"/>
    <col min="478" max="478" width="18.28515625" customWidth="1"/>
    <col min="479" max="479" width="11.85546875" bestFit="1" customWidth="1"/>
    <col min="480" max="480" width="13.42578125" customWidth="1"/>
    <col min="481" max="481" width="30.85546875" bestFit="1" customWidth="1"/>
    <col min="482" max="482" width="21.140625" customWidth="1"/>
    <col min="483" max="483" width="44.5703125" customWidth="1"/>
    <col min="484" max="484" width="17.42578125" customWidth="1"/>
    <col min="485" max="485" width="30.85546875" customWidth="1"/>
    <col min="486" max="486" width="11.85546875" customWidth="1"/>
    <col min="487" max="487" width="41.7109375" customWidth="1"/>
    <col min="488" max="493" width="30.85546875" bestFit="1" customWidth="1"/>
    <col min="494" max="494" width="10.5703125" bestFit="1" customWidth="1"/>
    <col min="733" max="733" width="10.140625" bestFit="1" customWidth="1"/>
    <col min="734" max="734" width="18.28515625" customWidth="1"/>
    <col min="735" max="735" width="11.85546875" bestFit="1" customWidth="1"/>
    <col min="736" max="736" width="13.42578125" customWidth="1"/>
    <col min="737" max="737" width="30.85546875" bestFit="1" customWidth="1"/>
    <col min="738" max="738" width="21.140625" customWidth="1"/>
    <col min="739" max="739" width="44.5703125" customWidth="1"/>
    <col min="740" max="740" width="17.42578125" customWidth="1"/>
    <col min="741" max="741" width="30.85546875" customWidth="1"/>
    <col min="742" max="742" width="11.85546875" customWidth="1"/>
    <col min="743" max="743" width="41.7109375" customWidth="1"/>
    <col min="744" max="749" width="30.85546875" bestFit="1" customWidth="1"/>
    <col min="750" max="750" width="10.5703125" bestFit="1" customWidth="1"/>
    <col min="989" max="989" width="10.140625" bestFit="1" customWidth="1"/>
    <col min="990" max="990" width="18.28515625" customWidth="1"/>
    <col min="991" max="991" width="11.85546875" bestFit="1" customWidth="1"/>
    <col min="992" max="992" width="13.42578125" customWidth="1"/>
    <col min="993" max="993" width="30.85546875" bestFit="1" customWidth="1"/>
    <col min="994" max="994" width="21.140625" customWidth="1"/>
    <col min="995" max="995" width="44.5703125" customWidth="1"/>
    <col min="996" max="996" width="17.42578125" customWidth="1"/>
    <col min="997" max="997" width="30.85546875" customWidth="1"/>
    <col min="998" max="998" width="11.85546875" customWidth="1"/>
    <col min="999" max="999" width="41.7109375" customWidth="1"/>
    <col min="1000" max="1005" width="30.85546875" bestFit="1" customWidth="1"/>
    <col min="1006" max="1006" width="10.5703125" bestFit="1" customWidth="1"/>
    <col min="1245" max="1245" width="10.140625" bestFit="1" customWidth="1"/>
    <col min="1246" max="1246" width="18.28515625" customWidth="1"/>
    <col min="1247" max="1247" width="11.85546875" bestFit="1" customWidth="1"/>
    <col min="1248" max="1248" width="13.42578125" customWidth="1"/>
    <col min="1249" max="1249" width="30.85546875" bestFit="1" customWidth="1"/>
    <col min="1250" max="1250" width="21.140625" customWidth="1"/>
    <col min="1251" max="1251" width="44.5703125" customWidth="1"/>
    <col min="1252" max="1252" width="17.42578125" customWidth="1"/>
    <col min="1253" max="1253" width="30.85546875" customWidth="1"/>
    <col min="1254" max="1254" width="11.85546875" customWidth="1"/>
    <col min="1255" max="1255" width="41.7109375" customWidth="1"/>
    <col min="1256" max="1261" width="30.85546875" bestFit="1" customWidth="1"/>
    <col min="1262" max="1262" width="10.5703125" bestFit="1" customWidth="1"/>
    <col min="1501" max="1501" width="10.140625" bestFit="1" customWidth="1"/>
    <col min="1502" max="1502" width="18.28515625" customWidth="1"/>
    <col min="1503" max="1503" width="11.85546875" bestFit="1" customWidth="1"/>
    <col min="1504" max="1504" width="13.42578125" customWidth="1"/>
    <col min="1505" max="1505" width="30.85546875" bestFit="1" customWidth="1"/>
    <col min="1506" max="1506" width="21.140625" customWidth="1"/>
    <col min="1507" max="1507" width="44.5703125" customWidth="1"/>
    <col min="1508" max="1508" width="17.42578125" customWidth="1"/>
    <col min="1509" max="1509" width="30.85546875" customWidth="1"/>
    <col min="1510" max="1510" width="11.85546875" customWidth="1"/>
    <col min="1511" max="1511" width="41.7109375" customWidth="1"/>
    <col min="1512" max="1517" width="30.85546875" bestFit="1" customWidth="1"/>
    <col min="1518" max="1518" width="10.5703125" bestFit="1" customWidth="1"/>
    <col min="1757" max="1757" width="10.140625" bestFit="1" customWidth="1"/>
    <col min="1758" max="1758" width="18.28515625" customWidth="1"/>
    <col min="1759" max="1759" width="11.85546875" bestFit="1" customWidth="1"/>
    <col min="1760" max="1760" width="13.42578125" customWidth="1"/>
    <col min="1761" max="1761" width="30.85546875" bestFit="1" customWidth="1"/>
    <col min="1762" max="1762" width="21.140625" customWidth="1"/>
    <col min="1763" max="1763" width="44.5703125" customWidth="1"/>
    <col min="1764" max="1764" width="17.42578125" customWidth="1"/>
    <col min="1765" max="1765" width="30.85546875" customWidth="1"/>
    <col min="1766" max="1766" width="11.85546875" customWidth="1"/>
    <col min="1767" max="1767" width="41.7109375" customWidth="1"/>
    <col min="1768" max="1773" width="30.85546875" bestFit="1" customWidth="1"/>
    <col min="1774" max="1774" width="10.5703125" bestFit="1" customWidth="1"/>
    <col min="2013" max="2013" width="10.140625" bestFit="1" customWidth="1"/>
    <col min="2014" max="2014" width="18.28515625" customWidth="1"/>
    <col min="2015" max="2015" width="11.85546875" bestFit="1" customWidth="1"/>
    <col min="2016" max="2016" width="13.42578125" customWidth="1"/>
    <col min="2017" max="2017" width="30.85546875" bestFit="1" customWidth="1"/>
    <col min="2018" max="2018" width="21.140625" customWidth="1"/>
    <col min="2019" max="2019" width="44.5703125" customWidth="1"/>
    <col min="2020" max="2020" width="17.42578125" customWidth="1"/>
    <col min="2021" max="2021" width="30.85546875" customWidth="1"/>
    <col min="2022" max="2022" width="11.85546875" customWidth="1"/>
    <col min="2023" max="2023" width="41.7109375" customWidth="1"/>
    <col min="2024" max="2029" width="30.85546875" bestFit="1" customWidth="1"/>
    <col min="2030" max="2030" width="10.5703125" bestFit="1" customWidth="1"/>
    <col min="2269" max="2269" width="10.140625" bestFit="1" customWidth="1"/>
    <col min="2270" max="2270" width="18.28515625" customWidth="1"/>
    <col min="2271" max="2271" width="11.85546875" bestFit="1" customWidth="1"/>
    <col min="2272" max="2272" width="13.42578125" customWidth="1"/>
    <col min="2273" max="2273" width="30.85546875" bestFit="1" customWidth="1"/>
    <col min="2274" max="2274" width="21.140625" customWidth="1"/>
    <col min="2275" max="2275" width="44.5703125" customWidth="1"/>
    <col min="2276" max="2276" width="17.42578125" customWidth="1"/>
    <col min="2277" max="2277" width="30.85546875" customWidth="1"/>
    <col min="2278" max="2278" width="11.85546875" customWidth="1"/>
    <col min="2279" max="2279" width="41.7109375" customWidth="1"/>
    <col min="2280" max="2285" width="30.85546875" bestFit="1" customWidth="1"/>
    <col min="2286" max="2286" width="10.5703125" bestFit="1" customWidth="1"/>
    <col min="2525" max="2525" width="10.140625" bestFit="1" customWidth="1"/>
    <col min="2526" max="2526" width="18.28515625" customWidth="1"/>
    <col min="2527" max="2527" width="11.85546875" bestFit="1" customWidth="1"/>
    <col min="2528" max="2528" width="13.42578125" customWidth="1"/>
    <col min="2529" max="2529" width="30.85546875" bestFit="1" customWidth="1"/>
    <col min="2530" max="2530" width="21.140625" customWidth="1"/>
    <col min="2531" max="2531" width="44.5703125" customWidth="1"/>
    <col min="2532" max="2532" width="17.42578125" customWidth="1"/>
    <col min="2533" max="2533" width="30.85546875" customWidth="1"/>
    <col min="2534" max="2534" width="11.85546875" customWidth="1"/>
    <col min="2535" max="2535" width="41.7109375" customWidth="1"/>
    <col min="2536" max="2541" width="30.85546875" bestFit="1" customWidth="1"/>
    <col min="2542" max="2542" width="10.5703125" bestFit="1" customWidth="1"/>
    <col min="2781" max="2781" width="10.140625" bestFit="1" customWidth="1"/>
    <col min="2782" max="2782" width="18.28515625" customWidth="1"/>
    <col min="2783" max="2783" width="11.85546875" bestFit="1" customWidth="1"/>
    <col min="2784" max="2784" width="13.42578125" customWidth="1"/>
    <col min="2785" max="2785" width="30.85546875" bestFit="1" customWidth="1"/>
    <col min="2786" max="2786" width="21.140625" customWidth="1"/>
    <col min="2787" max="2787" width="44.5703125" customWidth="1"/>
    <col min="2788" max="2788" width="17.42578125" customWidth="1"/>
    <col min="2789" max="2789" width="30.85546875" customWidth="1"/>
    <col min="2790" max="2790" width="11.85546875" customWidth="1"/>
    <col min="2791" max="2791" width="41.7109375" customWidth="1"/>
    <col min="2792" max="2797" width="30.85546875" bestFit="1" customWidth="1"/>
    <col min="2798" max="2798" width="10.5703125" bestFit="1" customWidth="1"/>
    <col min="3037" max="3037" width="10.140625" bestFit="1" customWidth="1"/>
    <col min="3038" max="3038" width="18.28515625" customWidth="1"/>
    <col min="3039" max="3039" width="11.85546875" bestFit="1" customWidth="1"/>
    <col min="3040" max="3040" width="13.42578125" customWidth="1"/>
    <col min="3041" max="3041" width="30.85546875" bestFit="1" customWidth="1"/>
    <col min="3042" max="3042" width="21.140625" customWidth="1"/>
    <col min="3043" max="3043" width="44.5703125" customWidth="1"/>
    <col min="3044" max="3044" width="17.42578125" customWidth="1"/>
    <col min="3045" max="3045" width="30.85546875" customWidth="1"/>
    <col min="3046" max="3046" width="11.85546875" customWidth="1"/>
    <col min="3047" max="3047" width="41.7109375" customWidth="1"/>
    <col min="3048" max="3053" width="30.85546875" bestFit="1" customWidth="1"/>
    <col min="3054" max="3054" width="10.5703125" bestFit="1" customWidth="1"/>
    <col min="3293" max="3293" width="10.140625" bestFit="1" customWidth="1"/>
    <col min="3294" max="3294" width="18.28515625" customWidth="1"/>
    <col min="3295" max="3295" width="11.85546875" bestFit="1" customWidth="1"/>
    <col min="3296" max="3296" width="13.42578125" customWidth="1"/>
    <col min="3297" max="3297" width="30.85546875" bestFit="1" customWidth="1"/>
    <col min="3298" max="3298" width="21.140625" customWidth="1"/>
    <col min="3299" max="3299" width="44.5703125" customWidth="1"/>
    <col min="3300" max="3300" width="17.42578125" customWidth="1"/>
    <col min="3301" max="3301" width="30.85546875" customWidth="1"/>
    <col min="3302" max="3302" width="11.85546875" customWidth="1"/>
    <col min="3303" max="3303" width="41.7109375" customWidth="1"/>
    <col min="3304" max="3309" width="30.85546875" bestFit="1" customWidth="1"/>
    <col min="3310" max="3310" width="10.5703125" bestFit="1" customWidth="1"/>
    <col min="3549" max="3549" width="10.140625" bestFit="1" customWidth="1"/>
    <col min="3550" max="3550" width="18.28515625" customWidth="1"/>
    <col min="3551" max="3551" width="11.85546875" bestFit="1" customWidth="1"/>
    <col min="3552" max="3552" width="13.42578125" customWidth="1"/>
    <col min="3553" max="3553" width="30.85546875" bestFit="1" customWidth="1"/>
    <col min="3554" max="3554" width="21.140625" customWidth="1"/>
    <col min="3555" max="3555" width="44.5703125" customWidth="1"/>
    <col min="3556" max="3556" width="17.42578125" customWidth="1"/>
    <col min="3557" max="3557" width="30.85546875" customWidth="1"/>
    <col min="3558" max="3558" width="11.85546875" customWidth="1"/>
    <col min="3559" max="3559" width="41.7109375" customWidth="1"/>
    <col min="3560" max="3565" width="30.85546875" bestFit="1" customWidth="1"/>
    <col min="3566" max="3566" width="10.5703125" bestFit="1" customWidth="1"/>
    <col min="3805" max="3805" width="10.140625" bestFit="1" customWidth="1"/>
    <col min="3806" max="3806" width="18.28515625" customWidth="1"/>
    <col min="3807" max="3807" width="11.85546875" bestFit="1" customWidth="1"/>
    <col min="3808" max="3808" width="13.42578125" customWidth="1"/>
    <col min="3809" max="3809" width="30.85546875" bestFit="1" customWidth="1"/>
    <col min="3810" max="3810" width="21.140625" customWidth="1"/>
    <col min="3811" max="3811" width="44.5703125" customWidth="1"/>
    <col min="3812" max="3812" width="17.42578125" customWidth="1"/>
    <col min="3813" max="3813" width="30.85546875" customWidth="1"/>
    <col min="3814" max="3814" width="11.85546875" customWidth="1"/>
    <col min="3815" max="3815" width="41.7109375" customWidth="1"/>
    <col min="3816" max="3821" width="30.85546875" bestFit="1" customWidth="1"/>
    <col min="3822" max="3822" width="10.5703125" bestFit="1" customWidth="1"/>
    <col min="4061" max="4061" width="10.140625" bestFit="1" customWidth="1"/>
    <col min="4062" max="4062" width="18.28515625" customWidth="1"/>
    <col min="4063" max="4063" width="11.85546875" bestFit="1" customWidth="1"/>
    <col min="4064" max="4064" width="13.42578125" customWidth="1"/>
    <col min="4065" max="4065" width="30.85546875" bestFit="1" customWidth="1"/>
    <col min="4066" max="4066" width="21.140625" customWidth="1"/>
    <col min="4067" max="4067" width="44.5703125" customWidth="1"/>
    <col min="4068" max="4068" width="17.42578125" customWidth="1"/>
    <col min="4069" max="4069" width="30.85546875" customWidth="1"/>
    <col min="4070" max="4070" width="11.85546875" customWidth="1"/>
    <col min="4071" max="4071" width="41.7109375" customWidth="1"/>
    <col min="4072" max="4077" width="30.85546875" bestFit="1" customWidth="1"/>
    <col min="4078" max="4078" width="10.5703125" bestFit="1" customWidth="1"/>
    <col min="4317" max="4317" width="10.140625" bestFit="1" customWidth="1"/>
    <col min="4318" max="4318" width="18.28515625" customWidth="1"/>
    <col min="4319" max="4319" width="11.85546875" bestFit="1" customWidth="1"/>
    <col min="4320" max="4320" width="13.42578125" customWidth="1"/>
    <col min="4321" max="4321" width="30.85546875" bestFit="1" customWidth="1"/>
    <col min="4322" max="4322" width="21.140625" customWidth="1"/>
    <col min="4323" max="4323" width="44.5703125" customWidth="1"/>
    <col min="4324" max="4324" width="17.42578125" customWidth="1"/>
    <col min="4325" max="4325" width="30.85546875" customWidth="1"/>
    <col min="4326" max="4326" width="11.85546875" customWidth="1"/>
    <col min="4327" max="4327" width="41.7109375" customWidth="1"/>
    <col min="4328" max="4333" width="30.85546875" bestFit="1" customWidth="1"/>
    <col min="4334" max="4334" width="10.5703125" bestFit="1" customWidth="1"/>
    <col min="4573" max="4573" width="10.140625" bestFit="1" customWidth="1"/>
    <col min="4574" max="4574" width="18.28515625" customWidth="1"/>
    <col min="4575" max="4575" width="11.85546875" bestFit="1" customWidth="1"/>
    <col min="4576" max="4576" width="13.42578125" customWidth="1"/>
    <col min="4577" max="4577" width="30.85546875" bestFit="1" customWidth="1"/>
    <col min="4578" max="4578" width="21.140625" customWidth="1"/>
    <col min="4579" max="4579" width="44.5703125" customWidth="1"/>
    <col min="4580" max="4580" width="17.42578125" customWidth="1"/>
    <col min="4581" max="4581" width="30.85546875" customWidth="1"/>
    <col min="4582" max="4582" width="11.85546875" customWidth="1"/>
    <col min="4583" max="4583" width="41.7109375" customWidth="1"/>
    <col min="4584" max="4589" width="30.85546875" bestFit="1" customWidth="1"/>
    <col min="4590" max="4590" width="10.5703125" bestFit="1" customWidth="1"/>
    <col min="4829" max="4829" width="10.140625" bestFit="1" customWidth="1"/>
    <col min="4830" max="4830" width="18.28515625" customWidth="1"/>
    <col min="4831" max="4831" width="11.85546875" bestFit="1" customWidth="1"/>
    <col min="4832" max="4832" width="13.42578125" customWidth="1"/>
    <col min="4833" max="4833" width="30.85546875" bestFit="1" customWidth="1"/>
    <col min="4834" max="4834" width="21.140625" customWidth="1"/>
    <col min="4835" max="4835" width="44.5703125" customWidth="1"/>
    <col min="4836" max="4836" width="17.42578125" customWidth="1"/>
    <col min="4837" max="4837" width="30.85546875" customWidth="1"/>
    <col min="4838" max="4838" width="11.85546875" customWidth="1"/>
    <col min="4839" max="4839" width="41.7109375" customWidth="1"/>
    <col min="4840" max="4845" width="30.85546875" bestFit="1" customWidth="1"/>
    <col min="4846" max="4846" width="10.5703125" bestFit="1" customWidth="1"/>
    <col min="5085" max="5085" width="10.140625" bestFit="1" customWidth="1"/>
    <col min="5086" max="5086" width="18.28515625" customWidth="1"/>
    <col min="5087" max="5087" width="11.85546875" bestFit="1" customWidth="1"/>
    <col min="5088" max="5088" width="13.42578125" customWidth="1"/>
    <col min="5089" max="5089" width="30.85546875" bestFit="1" customWidth="1"/>
    <col min="5090" max="5090" width="21.140625" customWidth="1"/>
    <col min="5091" max="5091" width="44.5703125" customWidth="1"/>
    <col min="5092" max="5092" width="17.42578125" customWidth="1"/>
    <col min="5093" max="5093" width="30.85546875" customWidth="1"/>
    <col min="5094" max="5094" width="11.85546875" customWidth="1"/>
    <col min="5095" max="5095" width="41.7109375" customWidth="1"/>
    <col min="5096" max="5101" width="30.85546875" bestFit="1" customWidth="1"/>
    <col min="5102" max="5102" width="10.5703125" bestFit="1" customWidth="1"/>
    <col min="5341" max="5341" width="10.140625" bestFit="1" customWidth="1"/>
    <col min="5342" max="5342" width="18.28515625" customWidth="1"/>
    <col min="5343" max="5343" width="11.85546875" bestFit="1" customWidth="1"/>
    <col min="5344" max="5344" width="13.42578125" customWidth="1"/>
    <col min="5345" max="5345" width="30.85546875" bestFit="1" customWidth="1"/>
    <col min="5346" max="5346" width="21.140625" customWidth="1"/>
    <col min="5347" max="5347" width="44.5703125" customWidth="1"/>
    <col min="5348" max="5348" width="17.42578125" customWidth="1"/>
    <col min="5349" max="5349" width="30.85546875" customWidth="1"/>
    <col min="5350" max="5350" width="11.85546875" customWidth="1"/>
    <col min="5351" max="5351" width="41.7109375" customWidth="1"/>
    <col min="5352" max="5357" width="30.85546875" bestFit="1" customWidth="1"/>
    <col min="5358" max="5358" width="10.5703125" bestFit="1" customWidth="1"/>
    <col min="5597" max="5597" width="10.140625" bestFit="1" customWidth="1"/>
    <col min="5598" max="5598" width="18.28515625" customWidth="1"/>
    <col min="5599" max="5599" width="11.85546875" bestFit="1" customWidth="1"/>
    <col min="5600" max="5600" width="13.42578125" customWidth="1"/>
    <col min="5601" max="5601" width="30.85546875" bestFit="1" customWidth="1"/>
    <col min="5602" max="5602" width="21.140625" customWidth="1"/>
    <col min="5603" max="5603" width="44.5703125" customWidth="1"/>
    <col min="5604" max="5604" width="17.42578125" customWidth="1"/>
    <col min="5605" max="5605" width="30.85546875" customWidth="1"/>
    <col min="5606" max="5606" width="11.85546875" customWidth="1"/>
    <col min="5607" max="5607" width="41.7109375" customWidth="1"/>
    <col min="5608" max="5613" width="30.85546875" bestFit="1" customWidth="1"/>
    <col min="5614" max="5614" width="10.5703125" bestFit="1" customWidth="1"/>
    <col min="5853" max="5853" width="10.140625" bestFit="1" customWidth="1"/>
    <col min="5854" max="5854" width="18.28515625" customWidth="1"/>
    <col min="5855" max="5855" width="11.85546875" bestFit="1" customWidth="1"/>
    <col min="5856" max="5856" width="13.42578125" customWidth="1"/>
    <col min="5857" max="5857" width="30.85546875" bestFit="1" customWidth="1"/>
    <col min="5858" max="5858" width="21.140625" customWidth="1"/>
    <col min="5859" max="5859" width="44.5703125" customWidth="1"/>
    <col min="5860" max="5860" width="17.42578125" customWidth="1"/>
    <col min="5861" max="5861" width="30.85546875" customWidth="1"/>
    <col min="5862" max="5862" width="11.85546875" customWidth="1"/>
    <col min="5863" max="5863" width="41.7109375" customWidth="1"/>
    <col min="5864" max="5869" width="30.85546875" bestFit="1" customWidth="1"/>
    <col min="5870" max="5870" width="10.5703125" bestFit="1" customWidth="1"/>
    <col min="6109" max="6109" width="10.140625" bestFit="1" customWidth="1"/>
    <col min="6110" max="6110" width="18.28515625" customWidth="1"/>
    <col min="6111" max="6111" width="11.85546875" bestFit="1" customWidth="1"/>
    <col min="6112" max="6112" width="13.42578125" customWidth="1"/>
    <col min="6113" max="6113" width="30.85546875" bestFit="1" customWidth="1"/>
    <col min="6114" max="6114" width="21.140625" customWidth="1"/>
    <col min="6115" max="6115" width="44.5703125" customWidth="1"/>
    <col min="6116" max="6116" width="17.42578125" customWidth="1"/>
    <col min="6117" max="6117" width="30.85546875" customWidth="1"/>
    <col min="6118" max="6118" width="11.85546875" customWidth="1"/>
    <col min="6119" max="6119" width="41.7109375" customWidth="1"/>
    <col min="6120" max="6125" width="30.85546875" bestFit="1" customWidth="1"/>
    <col min="6126" max="6126" width="10.5703125" bestFit="1" customWidth="1"/>
    <col min="6365" max="6365" width="10.140625" bestFit="1" customWidth="1"/>
    <col min="6366" max="6366" width="18.28515625" customWidth="1"/>
    <col min="6367" max="6367" width="11.85546875" bestFit="1" customWidth="1"/>
    <col min="6368" max="6368" width="13.42578125" customWidth="1"/>
    <col min="6369" max="6369" width="30.85546875" bestFit="1" customWidth="1"/>
    <col min="6370" max="6370" width="21.140625" customWidth="1"/>
    <col min="6371" max="6371" width="44.5703125" customWidth="1"/>
    <col min="6372" max="6372" width="17.42578125" customWidth="1"/>
    <col min="6373" max="6373" width="30.85546875" customWidth="1"/>
    <col min="6374" max="6374" width="11.85546875" customWidth="1"/>
    <col min="6375" max="6375" width="41.7109375" customWidth="1"/>
    <col min="6376" max="6381" width="30.85546875" bestFit="1" customWidth="1"/>
    <col min="6382" max="6382" width="10.5703125" bestFit="1" customWidth="1"/>
    <col min="6621" max="6621" width="10.140625" bestFit="1" customWidth="1"/>
    <col min="6622" max="6622" width="18.28515625" customWidth="1"/>
    <col min="6623" max="6623" width="11.85546875" bestFit="1" customWidth="1"/>
    <col min="6624" max="6624" width="13.42578125" customWidth="1"/>
    <col min="6625" max="6625" width="30.85546875" bestFit="1" customWidth="1"/>
    <col min="6626" max="6626" width="21.140625" customWidth="1"/>
    <col min="6627" max="6627" width="44.5703125" customWidth="1"/>
    <col min="6628" max="6628" width="17.42578125" customWidth="1"/>
    <col min="6629" max="6629" width="30.85546875" customWidth="1"/>
    <col min="6630" max="6630" width="11.85546875" customWidth="1"/>
    <col min="6631" max="6631" width="41.7109375" customWidth="1"/>
    <col min="6632" max="6637" width="30.85546875" bestFit="1" customWidth="1"/>
    <col min="6638" max="6638" width="10.5703125" bestFit="1" customWidth="1"/>
    <col min="6877" max="6877" width="10.140625" bestFit="1" customWidth="1"/>
    <col min="6878" max="6878" width="18.28515625" customWidth="1"/>
    <col min="6879" max="6879" width="11.85546875" bestFit="1" customWidth="1"/>
    <col min="6880" max="6880" width="13.42578125" customWidth="1"/>
    <col min="6881" max="6881" width="30.85546875" bestFit="1" customWidth="1"/>
    <col min="6882" max="6882" width="21.140625" customWidth="1"/>
    <col min="6883" max="6883" width="44.5703125" customWidth="1"/>
    <col min="6884" max="6884" width="17.42578125" customWidth="1"/>
    <col min="6885" max="6885" width="30.85546875" customWidth="1"/>
    <col min="6886" max="6886" width="11.85546875" customWidth="1"/>
    <col min="6887" max="6887" width="41.7109375" customWidth="1"/>
    <col min="6888" max="6893" width="30.85546875" bestFit="1" customWidth="1"/>
    <col min="6894" max="6894" width="10.5703125" bestFit="1" customWidth="1"/>
    <col min="7133" max="7133" width="10.140625" bestFit="1" customWidth="1"/>
    <col min="7134" max="7134" width="18.28515625" customWidth="1"/>
    <col min="7135" max="7135" width="11.85546875" bestFit="1" customWidth="1"/>
    <col min="7136" max="7136" width="13.42578125" customWidth="1"/>
    <col min="7137" max="7137" width="30.85546875" bestFit="1" customWidth="1"/>
    <col min="7138" max="7138" width="21.140625" customWidth="1"/>
    <col min="7139" max="7139" width="44.5703125" customWidth="1"/>
    <col min="7140" max="7140" width="17.42578125" customWidth="1"/>
    <col min="7141" max="7141" width="30.85546875" customWidth="1"/>
    <col min="7142" max="7142" width="11.85546875" customWidth="1"/>
    <col min="7143" max="7143" width="41.7109375" customWidth="1"/>
    <col min="7144" max="7149" width="30.85546875" bestFit="1" customWidth="1"/>
    <col min="7150" max="7150" width="10.5703125" bestFit="1" customWidth="1"/>
    <col min="7389" max="7389" width="10.140625" bestFit="1" customWidth="1"/>
    <col min="7390" max="7390" width="18.28515625" customWidth="1"/>
    <col min="7391" max="7391" width="11.85546875" bestFit="1" customWidth="1"/>
    <col min="7392" max="7392" width="13.42578125" customWidth="1"/>
    <col min="7393" max="7393" width="30.85546875" bestFit="1" customWidth="1"/>
    <col min="7394" max="7394" width="21.140625" customWidth="1"/>
    <col min="7395" max="7395" width="44.5703125" customWidth="1"/>
    <col min="7396" max="7396" width="17.42578125" customWidth="1"/>
    <col min="7397" max="7397" width="30.85546875" customWidth="1"/>
    <col min="7398" max="7398" width="11.85546875" customWidth="1"/>
    <col min="7399" max="7399" width="41.7109375" customWidth="1"/>
    <col min="7400" max="7405" width="30.85546875" bestFit="1" customWidth="1"/>
    <col min="7406" max="7406" width="10.5703125" bestFit="1" customWidth="1"/>
    <col min="7645" max="7645" width="10.140625" bestFit="1" customWidth="1"/>
    <col min="7646" max="7646" width="18.28515625" customWidth="1"/>
    <col min="7647" max="7647" width="11.85546875" bestFit="1" customWidth="1"/>
    <col min="7648" max="7648" width="13.42578125" customWidth="1"/>
    <col min="7649" max="7649" width="30.85546875" bestFit="1" customWidth="1"/>
    <col min="7650" max="7650" width="21.140625" customWidth="1"/>
    <col min="7651" max="7651" width="44.5703125" customWidth="1"/>
    <col min="7652" max="7652" width="17.42578125" customWidth="1"/>
    <col min="7653" max="7653" width="30.85546875" customWidth="1"/>
    <col min="7654" max="7654" width="11.85546875" customWidth="1"/>
    <col min="7655" max="7655" width="41.7109375" customWidth="1"/>
    <col min="7656" max="7661" width="30.85546875" bestFit="1" customWidth="1"/>
    <col min="7662" max="7662" width="10.5703125" bestFit="1" customWidth="1"/>
    <col min="7901" max="7901" width="10.140625" bestFit="1" customWidth="1"/>
    <col min="7902" max="7902" width="18.28515625" customWidth="1"/>
    <col min="7903" max="7903" width="11.85546875" bestFit="1" customWidth="1"/>
    <col min="7904" max="7904" width="13.42578125" customWidth="1"/>
    <col min="7905" max="7905" width="30.85546875" bestFit="1" customWidth="1"/>
    <col min="7906" max="7906" width="21.140625" customWidth="1"/>
    <col min="7907" max="7907" width="44.5703125" customWidth="1"/>
    <col min="7908" max="7908" width="17.42578125" customWidth="1"/>
    <col min="7909" max="7909" width="30.85546875" customWidth="1"/>
    <col min="7910" max="7910" width="11.85546875" customWidth="1"/>
    <col min="7911" max="7911" width="41.7109375" customWidth="1"/>
    <col min="7912" max="7917" width="30.85546875" bestFit="1" customWidth="1"/>
    <col min="7918" max="7918" width="10.5703125" bestFit="1" customWidth="1"/>
    <col min="8157" max="8157" width="10.140625" bestFit="1" customWidth="1"/>
    <col min="8158" max="8158" width="18.28515625" customWidth="1"/>
    <col min="8159" max="8159" width="11.85546875" bestFit="1" customWidth="1"/>
    <col min="8160" max="8160" width="13.42578125" customWidth="1"/>
    <col min="8161" max="8161" width="30.85546875" bestFit="1" customWidth="1"/>
    <col min="8162" max="8162" width="21.140625" customWidth="1"/>
    <col min="8163" max="8163" width="44.5703125" customWidth="1"/>
    <col min="8164" max="8164" width="17.42578125" customWidth="1"/>
    <col min="8165" max="8165" width="30.85546875" customWidth="1"/>
    <col min="8166" max="8166" width="11.85546875" customWidth="1"/>
    <col min="8167" max="8167" width="41.7109375" customWidth="1"/>
    <col min="8168" max="8173" width="30.85546875" bestFit="1" customWidth="1"/>
    <col min="8174" max="8174" width="10.5703125" bestFit="1" customWidth="1"/>
    <col min="8413" max="8413" width="10.140625" bestFit="1" customWidth="1"/>
    <col min="8414" max="8414" width="18.28515625" customWidth="1"/>
    <col min="8415" max="8415" width="11.85546875" bestFit="1" customWidth="1"/>
    <col min="8416" max="8416" width="13.42578125" customWidth="1"/>
    <col min="8417" max="8417" width="30.85546875" bestFit="1" customWidth="1"/>
    <col min="8418" max="8418" width="21.140625" customWidth="1"/>
    <col min="8419" max="8419" width="44.5703125" customWidth="1"/>
    <col min="8420" max="8420" width="17.42578125" customWidth="1"/>
    <col min="8421" max="8421" width="30.85546875" customWidth="1"/>
    <col min="8422" max="8422" width="11.85546875" customWidth="1"/>
    <col min="8423" max="8423" width="41.7109375" customWidth="1"/>
    <col min="8424" max="8429" width="30.85546875" bestFit="1" customWidth="1"/>
    <col min="8430" max="8430" width="10.5703125" bestFit="1" customWidth="1"/>
    <col min="8669" max="8669" width="10.140625" bestFit="1" customWidth="1"/>
    <col min="8670" max="8670" width="18.28515625" customWidth="1"/>
    <col min="8671" max="8671" width="11.85546875" bestFit="1" customWidth="1"/>
    <col min="8672" max="8672" width="13.42578125" customWidth="1"/>
    <col min="8673" max="8673" width="30.85546875" bestFit="1" customWidth="1"/>
    <col min="8674" max="8674" width="21.140625" customWidth="1"/>
    <col min="8675" max="8675" width="44.5703125" customWidth="1"/>
    <col min="8676" max="8676" width="17.42578125" customWidth="1"/>
    <col min="8677" max="8677" width="30.85546875" customWidth="1"/>
    <col min="8678" max="8678" width="11.85546875" customWidth="1"/>
    <col min="8679" max="8679" width="41.7109375" customWidth="1"/>
    <col min="8680" max="8685" width="30.85546875" bestFit="1" customWidth="1"/>
    <col min="8686" max="8686" width="10.5703125" bestFit="1" customWidth="1"/>
    <col min="8925" max="8925" width="10.140625" bestFit="1" customWidth="1"/>
    <col min="8926" max="8926" width="18.28515625" customWidth="1"/>
    <col min="8927" max="8927" width="11.85546875" bestFit="1" customWidth="1"/>
    <col min="8928" max="8928" width="13.42578125" customWidth="1"/>
    <col min="8929" max="8929" width="30.85546875" bestFit="1" customWidth="1"/>
    <col min="8930" max="8930" width="21.140625" customWidth="1"/>
    <col min="8931" max="8931" width="44.5703125" customWidth="1"/>
    <col min="8932" max="8932" width="17.42578125" customWidth="1"/>
    <col min="8933" max="8933" width="30.85546875" customWidth="1"/>
    <col min="8934" max="8934" width="11.85546875" customWidth="1"/>
    <col min="8935" max="8935" width="41.7109375" customWidth="1"/>
    <col min="8936" max="8941" width="30.85546875" bestFit="1" customWidth="1"/>
    <col min="8942" max="8942" width="10.5703125" bestFit="1" customWidth="1"/>
    <col min="9181" max="9181" width="10.140625" bestFit="1" customWidth="1"/>
    <col min="9182" max="9182" width="18.28515625" customWidth="1"/>
    <col min="9183" max="9183" width="11.85546875" bestFit="1" customWidth="1"/>
    <col min="9184" max="9184" width="13.42578125" customWidth="1"/>
    <col min="9185" max="9185" width="30.85546875" bestFit="1" customWidth="1"/>
    <col min="9186" max="9186" width="21.140625" customWidth="1"/>
    <col min="9187" max="9187" width="44.5703125" customWidth="1"/>
    <col min="9188" max="9188" width="17.42578125" customWidth="1"/>
    <col min="9189" max="9189" width="30.85546875" customWidth="1"/>
    <col min="9190" max="9190" width="11.85546875" customWidth="1"/>
    <col min="9191" max="9191" width="41.7109375" customWidth="1"/>
    <col min="9192" max="9197" width="30.85546875" bestFit="1" customWidth="1"/>
    <col min="9198" max="9198" width="10.5703125" bestFit="1" customWidth="1"/>
    <col min="9437" max="9437" width="10.140625" bestFit="1" customWidth="1"/>
    <col min="9438" max="9438" width="18.28515625" customWidth="1"/>
    <col min="9439" max="9439" width="11.85546875" bestFit="1" customWidth="1"/>
    <col min="9440" max="9440" width="13.42578125" customWidth="1"/>
    <col min="9441" max="9441" width="30.85546875" bestFit="1" customWidth="1"/>
    <col min="9442" max="9442" width="21.140625" customWidth="1"/>
    <col min="9443" max="9443" width="44.5703125" customWidth="1"/>
    <col min="9444" max="9444" width="17.42578125" customWidth="1"/>
    <col min="9445" max="9445" width="30.85546875" customWidth="1"/>
    <col min="9446" max="9446" width="11.85546875" customWidth="1"/>
    <col min="9447" max="9447" width="41.7109375" customWidth="1"/>
    <col min="9448" max="9453" width="30.85546875" bestFit="1" customWidth="1"/>
    <col min="9454" max="9454" width="10.5703125" bestFit="1" customWidth="1"/>
    <col min="9693" max="9693" width="10.140625" bestFit="1" customWidth="1"/>
    <col min="9694" max="9694" width="18.28515625" customWidth="1"/>
    <col min="9695" max="9695" width="11.85546875" bestFit="1" customWidth="1"/>
    <col min="9696" max="9696" width="13.42578125" customWidth="1"/>
    <col min="9697" max="9697" width="30.85546875" bestFit="1" customWidth="1"/>
    <col min="9698" max="9698" width="21.140625" customWidth="1"/>
    <col min="9699" max="9699" width="44.5703125" customWidth="1"/>
    <col min="9700" max="9700" width="17.42578125" customWidth="1"/>
    <col min="9701" max="9701" width="30.85546875" customWidth="1"/>
    <col min="9702" max="9702" width="11.85546875" customWidth="1"/>
    <col min="9703" max="9703" width="41.7109375" customWidth="1"/>
    <col min="9704" max="9709" width="30.85546875" bestFit="1" customWidth="1"/>
    <col min="9710" max="9710" width="10.5703125" bestFit="1" customWidth="1"/>
    <col min="9949" max="9949" width="10.140625" bestFit="1" customWidth="1"/>
    <col min="9950" max="9950" width="18.28515625" customWidth="1"/>
    <col min="9951" max="9951" width="11.85546875" bestFit="1" customWidth="1"/>
    <col min="9952" max="9952" width="13.42578125" customWidth="1"/>
    <col min="9953" max="9953" width="30.85546875" bestFit="1" customWidth="1"/>
    <col min="9954" max="9954" width="21.140625" customWidth="1"/>
    <col min="9955" max="9955" width="44.5703125" customWidth="1"/>
    <col min="9956" max="9956" width="17.42578125" customWidth="1"/>
    <col min="9957" max="9957" width="30.85546875" customWidth="1"/>
    <col min="9958" max="9958" width="11.85546875" customWidth="1"/>
    <col min="9959" max="9959" width="41.7109375" customWidth="1"/>
    <col min="9960" max="9965" width="30.85546875" bestFit="1" customWidth="1"/>
    <col min="9966" max="9966" width="10.5703125" bestFit="1" customWidth="1"/>
    <col min="10205" max="10205" width="10.140625" bestFit="1" customWidth="1"/>
    <col min="10206" max="10206" width="18.28515625" customWidth="1"/>
    <col min="10207" max="10207" width="11.85546875" bestFit="1" customWidth="1"/>
    <col min="10208" max="10208" width="13.42578125" customWidth="1"/>
    <col min="10209" max="10209" width="30.85546875" bestFit="1" customWidth="1"/>
    <col min="10210" max="10210" width="21.140625" customWidth="1"/>
    <col min="10211" max="10211" width="44.5703125" customWidth="1"/>
    <col min="10212" max="10212" width="17.42578125" customWidth="1"/>
    <col min="10213" max="10213" width="30.85546875" customWidth="1"/>
    <col min="10214" max="10214" width="11.85546875" customWidth="1"/>
    <col min="10215" max="10215" width="41.7109375" customWidth="1"/>
    <col min="10216" max="10221" width="30.85546875" bestFit="1" customWidth="1"/>
    <col min="10222" max="10222" width="10.5703125" bestFit="1" customWidth="1"/>
    <col min="10461" max="10461" width="10.140625" bestFit="1" customWidth="1"/>
    <col min="10462" max="10462" width="18.28515625" customWidth="1"/>
    <col min="10463" max="10463" width="11.85546875" bestFit="1" customWidth="1"/>
    <col min="10464" max="10464" width="13.42578125" customWidth="1"/>
    <col min="10465" max="10465" width="30.85546875" bestFit="1" customWidth="1"/>
    <col min="10466" max="10466" width="21.140625" customWidth="1"/>
    <col min="10467" max="10467" width="44.5703125" customWidth="1"/>
    <col min="10468" max="10468" width="17.42578125" customWidth="1"/>
    <col min="10469" max="10469" width="30.85546875" customWidth="1"/>
    <col min="10470" max="10470" width="11.85546875" customWidth="1"/>
    <col min="10471" max="10471" width="41.7109375" customWidth="1"/>
    <col min="10472" max="10477" width="30.85546875" bestFit="1" customWidth="1"/>
    <col min="10478" max="10478" width="10.5703125" bestFit="1" customWidth="1"/>
    <col min="10717" max="10717" width="10.140625" bestFit="1" customWidth="1"/>
    <col min="10718" max="10718" width="18.28515625" customWidth="1"/>
    <col min="10719" max="10719" width="11.85546875" bestFit="1" customWidth="1"/>
    <col min="10720" max="10720" width="13.42578125" customWidth="1"/>
    <col min="10721" max="10721" width="30.85546875" bestFit="1" customWidth="1"/>
    <col min="10722" max="10722" width="21.140625" customWidth="1"/>
    <col min="10723" max="10723" width="44.5703125" customWidth="1"/>
    <col min="10724" max="10724" width="17.42578125" customWidth="1"/>
    <col min="10725" max="10725" width="30.85546875" customWidth="1"/>
    <col min="10726" max="10726" width="11.85546875" customWidth="1"/>
    <col min="10727" max="10727" width="41.7109375" customWidth="1"/>
    <col min="10728" max="10733" width="30.85546875" bestFit="1" customWidth="1"/>
    <col min="10734" max="10734" width="10.5703125" bestFit="1" customWidth="1"/>
    <col min="10973" max="10973" width="10.140625" bestFit="1" customWidth="1"/>
    <col min="10974" max="10974" width="18.28515625" customWidth="1"/>
    <col min="10975" max="10975" width="11.85546875" bestFit="1" customWidth="1"/>
    <col min="10976" max="10976" width="13.42578125" customWidth="1"/>
    <col min="10977" max="10977" width="30.85546875" bestFit="1" customWidth="1"/>
    <col min="10978" max="10978" width="21.140625" customWidth="1"/>
    <col min="10979" max="10979" width="44.5703125" customWidth="1"/>
    <col min="10980" max="10980" width="17.42578125" customWidth="1"/>
    <col min="10981" max="10981" width="30.85546875" customWidth="1"/>
    <col min="10982" max="10982" width="11.85546875" customWidth="1"/>
    <col min="10983" max="10983" width="41.7109375" customWidth="1"/>
    <col min="10984" max="10989" width="30.85546875" bestFit="1" customWidth="1"/>
    <col min="10990" max="10990" width="10.5703125" bestFit="1" customWidth="1"/>
    <col min="11229" max="11229" width="10.140625" bestFit="1" customWidth="1"/>
    <col min="11230" max="11230" width="18.28515625" customWidth="1"/>
    <col min="11231" max="11231" width="11.85546875" bestFit="1" customWidth="1"/>
    <col min="11232" max="11232" width="13.42578125" customWidth="1"/>
    <col min="11233" max="11233" width="30.85546875" bestFit="1" customWidth="1"/>
    <col min="11234" max="11234" width="21.140625" customWidth="1"/>
    <col min="11235" max="11235" width="44.5703125" customWidth="1"/>
    <col min="11236" max="11236" width="17.42578125" customWidth="1"/>
    <col min="11237" max="11237" width="30.85546875" customWidth="1"/>
    <col min="11238" max="11238" width="11.85546875" customWidth="1"/>
    <col min="11239" max="11239" width="41.7109375" customWidth="1"/>
    <col min="11240" max="11245" width="30.85546875" bestFit="1" customWidth="1"/>
    <col min="11246" max="11246" width="10.5703125" bestFit="1" customWidth="1"/>
    <col min="11485" max="11485" width="10.140625" bestFit="1" customWidth="1"/>
    <col min="11486" max="11486" width="18.28515625" customWidth="1"/>
    <col min="11487" max="11487" width="11.85546875" bestFit="1" customWidth="1"/>
    <col min="11488" max="11488" width="13.42578125" customWidth="1"/>
    <col min="11489" max="11489" width="30.85546875" bestFit="1" customWidth="1"/>
    <col min="11490" max="11490" width="21.140625" customWidth="1"/>
    <col min="11491" max="11491" width="44.5703125" customWidth="1"/>
    <col min="11492" max="11492" width="17.42578125" customWidth="1"/>
    <col min="11493" max="11493" width="30.85546875" customWidth="1"/>
    <col min="11494" max="11494" width="11.85546875" customWidth="1"/>
    <col min="11495" max="11495" width="41.7109375" customWidth="1"/>
    <col min="11496" max="11501" width="30.85546875" bestFit="1" customWidth="1"/>
    <col min="11502" max="11502" width="10.5703125" bestFit="1" customWidth="1"/>
    <col min="11741" max="11741" width="10.140625" bestFit="1" customWidth="1"/>
    <col min="11742" max="11742" width="18.28515625" customWidth="1"/>
    <col min="11743" max="11743" width="11.85546875" bestFit="1" customWidth="1"/>
    <col min="11744" max="11744" width="13.42578125" customWidth="1"/>
    <col min="11745" max="11745" width="30.85546875" bestFit="1" customWidth="1"/>
    <col min="11746" max="11746" width="21.140625" customWidth="1"/>
    <col min="11747" max="11747" width="44.5703125" customWidth="1"/>
    <col min="11748" max="11748" width="17.42578125" customWidth="1"/>
    <col min="11749" max="11749" width="30.85546875" customWidth="1"/>
    <col min="11750" max="11750" width="11.85546875" customWidth="1"/>
    <col min="11751" max="11751" width="41.7109375" customWidth="1"/>
    <col min="11752" max="11757" width="30.85546875" bestFit="1" customWidth="1"/>
    <col min="11758" max="11758" width="10.5703125" bestFit="1" customWidth="1"/>
    <col min="11997" max="11997" width="10.140625" bestFit="1" customWidth="1"/>
    <col min="11998" max="11998" width="18.28515625" customWidth="1"/>
    <col min="11999" max="11999" width="11.85546875" bestFit="1" customWidth="1"/>
    <col min="12000" max="12000" width="13.42578125" customWidth="1"/>
    <col min="12001" max="12001" width="30.85546875" bestFit="1" customWidth="1"/>
    <col min="12002" max="12002" width="21.140625" customWidth="1"/>
    <col min="12003" max="12003" width="44.5703125" customWidth="1"/>
    <col min="12004" max="12004" width="17.42578125" customWidth="1"/>
    <col min="12005" max="12005" width="30.85546875" customWidth="1"/>
    <col min="12006" max="12006" width="11.85546875" customWidth="1"/>
    <col min="12007" max="12007" width="41.7109375" customWidth="1"/>
    <col min="12008" max="12013" width="30.85546875" bestFit="1" customWidth="1"/>
    <col min="12014" max="12014" width="10.5703125" bestFit="1" customWidth="1"/>
    <col min="12253" max="12253" width="10.140625" bestFit="1" customWidth="1"/>
    <col min="12254" max="12254" width="18.28515625" customWidth="1"/>
    <col min="12255" max="12255" width="11.85546875" bestFit="1" customWidth="1"/>
    <col min="12256" max="12256" width="13.42578125" customWidth="1"/>
    <col min="12257" max="12257" width="30.85546875" bestFit="1" customWidth="1"/>
    <col min="12258" max="12258" width="21.140625" customWidth="1"/>
    <col min="12259" max="12259" width="44.5703125" customWidth="1"/>
    <col min="12260" max="12260" width="17.42578125" customWidth="1"/>
    <col min="12261" max="12261" width="30.85546875" customWidth="1"/>
    <col min="12262" max="12262" width="11.85546875" customWidth="1"/>
    <col min="12263" max="12263" width="41.7109375" customWidth="1"/>
    <col min="12264" max="12269" width="30.85546875" bestFit="1" customWidth="1"/>
    <col min="12270" max="12270" width="10.5703125" bestFit="1" customWidth="1"/>
    <col min="12509" max="12509" width="10.140625" bestFit="1" customWidth="1"/>
    <col min="12510" max="12510" width="18.28515625" customWidth="1"/>
    <col min="12511" max="12511" width="11.85546875" bestFit="1" customWidth="1"/>
    <col min="12512" max="12512" width="13.42578125" customWidth="1"/>
    <col min="12513" max="12513" width="30.85546875" bestFit="1" customWidth="1"/>
    <col min="12514" max="12514" width="21.140625" customWidth="1"/>
    <col min="12515" max="12515" width="44.5703125" customWidth="1"/>
    <col min="12516" max="12516" width="17.42578125" customWidth="1"/>
    <col min="12517" max="12517" width="30.85546875" customWidth="1"/>
    <col min="12518" max="12518" width="11.85546875" customWidth="1"/>
    <col min="12519" max="12519" width="41.7109375" customWidth="1"/>
    <col min="12520" max="12525" width="30.85546875" bestFit="1" customWidth="1"/>
    <col min="12526" max="12526" width="10.5703125" bestFit="1" customWidth="1"/>
    <col min="12765" max="12765" width="10.140625" bestFit="1" customWidth="1"/>
    <col min="12766" max="12766" width="18.28515625" customWidth="1"/>
    <col min="12767" max="12767" width="11.85546875" bestFit="1" customWidth="1"/>
    <col min="12768" max="12768" width="13.42578125" customWidth="1"/>
    <col min="12769" max="12769" width="30.85546875" bestFit="1" customWidth="1"/>
    <col min="12770" max="12770" width="21.140625" customWidth="1"/>
    <col min="12771" max="12771" width="44.5703125" customWidth="1"/>
    <col min="12772" max="12772" width="17.42578125" customWidth="1"/>
    <col min="12773" max="12773" width="30.85546875" customWidth="1"/>
    <col min="12774" max="12774" width="11.85546875" customWidth="1"/>
    <col min="12775" max="12775" width="41.7109375" customWidth="1"/>
    <col min="12776" max="12781" width="30.85546875" bestFit="1" customWidth="1"/>
    <col min="12782" max="12782" width="10.5703125" bestFit="1" customWidth="1"/>
    <col min="13021" max="13021" width="10.140625" bestFit="1" customWidth="1"/>
    <col min="13022" max="13022" width="18.28515625" customWidth="1"/>
    <col min="13023" max="13023" width="11.85546875" bestFit="1" customWidth="1"/>
    <col min="13024" max="13024" width="13.42578125" customWidth="1"/>
    <col min="13025" max="13025" width="30.85546875" bestFit="1" customWidth="1"/>
    <col min="13026" max="13026" width="21.140625" customWidth="1"/>
    <col min="13027" max="13027" width="44.5703125" customWidth="1"/>
    <col min="13028" max="13028" width="17.42578125" customWidth="1"/>
    <col min="13029" max="13029" width="30.85546875" customWidth="1"/>
    <col min="13030" max="13030" width="11.85546875" customWidth="1"/>
    <col min="13031" max="13031" width="41.7109375" customWidth="1"/>
    <col min="13032" max="13037" width="30.85546875" bestFit="1" customWidth="1"/>
    <col min="13038" max="13038" width="10.5703125" bestFit="1" customWidth="1"/>
    <col min="13277" max="13277" width="10.140625" bestFit="1" customWidth="1"/>
    <col min="13278" max="13278" width="18.28515625" customWidth="1"/>
    <col min="13279" max="13279" width="11.85546875" bestFit="1" customWidth="1"/>
    <col min="13280" max="13280" width="13.42578125" customWidth="1"/>
    <col min="13281" max="13281" width="30.85546875" bestFit="1" customWidth="1"/>
    <col min="13282" max="13282" width="21.140625" customWidth="1"/>
    <col min="13283" max="13283" width="44.5703125" customWidth="1"/>
    <col min="13284" max="13284" width="17.42578125" customWidth="1"/>
    <col min="13285" max="13285" width="30.85546875" customWidth="1"/>
    <col min="13286" max="13286" width="11.85546875" customWidth="1"/>
    <col min="13287" max="13287" width="41.7109375" customWidth="1"/>
    <col min="13288" max="13293" width="30.85546875" bestFit="1" customWidth="1"/>
    <col min="13294" max="13294" width="10.5703125" bestFit="1" customWidth="1"/>
    <col min="13533" max="13533" width="10.140625" bestFit="1" customWidth="1"/>
    <col min="13534" max="13534" width="18.28515625" customWidth="1"/>
    <col min="13535" max="13535" width="11.85546875" bestFit="1" customWidth="1"/>
    <col min="13536" max="13536" width="13.42578125" customWidth="1"/>
    <col min="13537" max="13537" width="30.85546875" bestFit="1" customWidth="1"/>
    <col min="13538" max="13538" width="21.140625" customWidth="1"/>
    <col min="13539" max="13539" width="44.5703125" customWidth="1"/>
    <col min="13540" max="13540" width="17.42578125" customWidth="1"/>
    <col min="13541" max="13541" width="30.85546875" customWidth="1"/>
    <col min="13542" max="13542" width="11.85546875" customWidth="1"/>
    <col min="13543" max="13543" width="41.7109375" customWidth="1"/>
    <col min="13544" max="13549" width="30.85546875" bestFit="1" customWidth="1"/>
    <col min="13550" max="13550" width="10.5703125" bestFit="1" customWidth="1"/>
    <col min="13789" max="13789" width="10.140625" bestFit="1" customWidth="1"/>
    <col min="13790" max="13790" width="18.28515625" customWidth="1"/>
    <col min="13791" max="13791" width="11.85546875" bestFit="1" customWidth="1"/>
    <col min="13792" max="13792" width="13.42578125" customWidth="1"/>
    <col min="13793" max="13793" width="30.85546875" bestFit="1" customWidth="1"/>
    <col min="13794" max="13794" width="21.140625" customWidth="1"/>
    <col min="13795" max="13795" width="44.5703125" customWidth="1"/>
    <col min="13796" max="13796" width="17.42578125" customWidth="1"/>
    <col min="13797" max="13797" width="30.85546875" customWidth="1"/>
    <col min="13798" max="13798" width="11.85546875" customWidth="1"/>
    <col min="13799" max="13799" width="41.7109375" customWidth="1"/>
    <col min="13800" max="13805" width="30.85546875" bestFit="1" customWidth="1"/>
    <col min="13806" max="13806" width="10.5703125" bestFit="1" customWidth="1"/>
    <col min="14045" max="14045" width="10.140625" bestFit="1" customWidth="1"/>
    <col min="14046" max="14046" width="18.28515625" customWidth="1"/>
    <col min="14047" max="14047" width="11.85546875" bestFit="1" customWidth="1"/>
    <col min="14048" max="14048" width="13.42578125" customWidth="1"/>
    <col min="14049" max="14049" width="30.85546875" bestFit="1" customWidth="1"/>
    <col min="14050" max="14050" width="21.140625" customWidth="1"/>
    <col min="14051" max="14051" width="44.5703125" customWidth="1"/>
    <col min="14052" max="14052" width="17.42578125" customWidth="1"/>
    <col min="14053" max="14053" width="30.85546875" customWidth="1"/>
    <col min="14054" max="14054" width="11.85546875" customWidth="1"/>
    <col min="14055" max="14055" width="41.7109375" customWidth="1"/>
    <col min="14056" max="14061" width="30.85546875" bestFit="1" customWidth="1"/>
    <col min="14062" max="14062" width="10.5703125" bestFit="1" customWidth="1"/>
    <col min="14301" max="14301" width="10.140625" bestFit="1" customWidth="1"/>
    <col min="14302" max="14302" width="18.28515625" customWidth="1"/>
    <col min="14303" max="14303" width="11.85546875" bestFit="1" customWidth="1"/>
    <col min="14304" max="14304" width="13.42578125" customWidth="1"/>
    <col min="14305" max="14305" width="30.85546875" bestFit="1" customWidth="1"/>
    <col min="14306" max="14306" width="21.140625" customWidth="1"/>
    <col min="14307" max="14307" width="44.5703125" customWidth="1"/>
    <col min="14308" max="14308" width="17.42578125" customWidth="1"/>
    <col min="14309" max="14309" width="30.85546875" customWidth="1"/>
    <col min="14310" max="14310" width="11.85546875" customWidth="1"/>
    <col min="14311" max="14311" width="41.7109375" customWidth="1"/>
    <col min="14312" max="14317" width="30.85546875" bestFit="1" customWidth="1"/>
    <col min="14318" max="14318" width="10.5703125" bestFit="1" customWidth="1"/>
    <col min="14557" max="14557" width="10.140625" bestFit="1" customWidth="1"/>
    <col min="14558" max="14558" width="18.28515625" customWidth="1"/>
    <col min="14559" max="14559" width="11.85546875" bestFit="1" customWidth="1"/>
    <col min="14560" max="14560" width="13.42578125" customWidth="1"/>
    <col min="14561" max="14561" width="30.85546875" bestFit="1" customWidth="1"/>
    <col min="14562" max="14562" width="21.140625" customWidth="1"/>
    <col min="14563" max="14563" width="44.5703125" customWidth="1"/>
    <col min="14564" max="14564" width="17.42578125" customWidth="1"/>
    <col min="14565" max="14565" width="30.85546875" customWidth="1"/>
    <col min="14566" max="14566" width="11.85546875" customWidth="1"/>
    <col min="14567" max="14567" width="41.7109375" customWidth="1"/>
    <col min="14568" max="14573" width="30.85546875" bestFit="1" customWidth="1"/>
    <col min="14574" max="14574" width="10.5703125" bestFit="1" customWidth="1"/>
    <col min="14813" max="14813" width="10.140625" bestFit="1" customWidth="1"/>
    <col min="14814" max="14814" width="18.28515625" customWidth="1"/>
    <col min="14815" max="14815" width="11.85546875" bestFit="1" customWidth="1"/>
    <col min="14816" max="14816" width="13.42578125" customWidth="1"/>
    <col min="14817" max="14817" width="30.85546875" bestFit="1" customWidth="1"/>
    <col min="14818" max="14818" width="21.140625" customWidth="1"/>
    <col min="14819" max="14819" width="44.5703125" customWidth="1"/>
    <col min="14820" max="14820" width="17.42578125" customWidth="1"/>
    <col min="14821" max="14821" width="30.85546875" customWidth="1"/>
    <col min="14822" max="14822" width="11.85546875" customWidth="1"/>
    <col min="14823" max="14823" width="41.7109375" customWidth="1"/>
    <col min="14824" max="14829" width="30.85546875" bestFit="1" customWidth="1"/>
    <col min="14830" max="14830" width="10.5703125" bestFit="1" customWidth="1"/>
    <col min="15069" max="15069" width="10.140625" bestFit="1" customWidth="1"/>
    <col min="15070" max="15070" width="18.28515625" customWidth="1"/>
    <col min="15071" max="15071" width="11.85546875" bestFit="1" customWidth="1"/>
    <col min="15072" max="15072" width="13.42578125" customWidth="1"/>
    <col min="15073" max="15073" width="30.85546875" bestFit="1" customWidth="1"/>
    <col min="15074" max="15074" width="21.140625" customWidth="1"/>
    <col min="15075" max="15075" width="44.5703125" customWidth="1"/>
    <col min="15076" max="15076" width="17.42578125" customWidth="1"/>
    <col min="15077" max="15077" width="30.85546875" customWidth="1"/>
    <col min="15078" max="15078" width="11.85546875" customWidth="1"/>
    <col min="15079" max="15079" width="41.7109375" customWidth="1"/>
    <col min="15080" max="15085" width="30.85546875" bestFit="1" customWidth="1"/>
    <col min="15086" max="15086" width="10.5703125" bestFit="1" customWidth="1"/>
    <col min="15325" max="15325" width="10.140625" bestFit="1" customWidth="1"/>
    <col min="15326" max="15326" width="18.28515625" customWidth="1"/>
    <col min="15327" max="15327" width="11.85546875" bestFit="1" customWidth="1"/>
    <col min="15328" max="15328" width="13.42578125" customWidth="1"/>
    <col min="15329" max="15329" width="30.85546875" bestFit="1" customWidth="1"/>
    <col min="15330" max="15330" width="21.140625" customWidth="1"/>
    <col min="15331" max="15331" width="44.5703125" customWidth="1"/>
    <col min="15332" max="15332" width="17.42578125" customWidth="1"/>
    <col min="15333" max="15333" width="30.85546875" customWidth="1"/>
    <col min="15334" max="15334" width="11.85546875" customWidth="1"/>
    <col min="15335" max="15335" width="41.7109375" customWidth="1"/>
    <col min="15336" max="15341" width="30.85546875" bestFit="1" customWidth="1"/>
    <col min="15342" max="15342" width="10.5703125" bestFit="1" customWidth="1"/>
    <col min="15581" max="15581" width="10.140625" bestFit="1" customWidth="1"/>
    <col min="15582" max="15582" width="18.28515625" customWidth="1"/>
    <col min="15583" max="15583" width="11.85546875" bestFit="1" customWidth="1"/>
    <col min="15584" max="15584" width="13.42578125" customWidth="1"/>
    <col min="15585" max="15585" width="30.85546875" bestFit="1" customWidth="1"/>
    <col min="15586" max="15586" width="21.140625" customWidth="1"/>
    <col min="15587" max="15587" width="44.5703125" customWidth="1"/>
    <col min="15588" max="15588" width="17.42578125" customWidth="1"/>
    <col min="15589" max="15589" width="30.85546875" customWidth="1"/>
    <col min="15590" max="15590" width="11.85546875" customWidth="1"/>
    <col min="15591" max="15591" width="41.7109375" customWidth="1"/>
    <col min="15592" max="15597" width="30.85546875" bestFit="1" customWidth="1"/>
    <col min="15598" max="15598" width="10.5703125" bestFit="1" customWidth="1"/>
    <col min="15837" max="15837" width="10.140625" bestFit="1" customWidth="1"/>
    <col min="15838" max="15838" width="18.28515625" customWidth="1"/>
    <col min="15839" max="15839" width="11.85546875" bestFit="1" customWidth="1"/>
    <col min="15840" max="15840" width="13.42578125" customWidth="1"/>
    <col min="15841" max="15841" width="30.85546875" bestFit="1" customWidth="1"/>
    <col min="15842" max="15842" width="21.140625" customWidth="1"/>
    <col min="15843" max="15843" width="44.5703125" customWidth="1"/>
    <col min="15844" max="15844" width="17.42578125" customWidth="1"/>
    <col min="15845" max="15845" width="30.85546875" customWidth="1"/>
    <col min="15846" max="15846" width="11.85546875" customWidth="1"/>
    <col min="15847" max="15847" width="41.7109375" customWidth="1"/>
    <col min="15848" max="15853" width="30.85546875" bestFit="1" customWidth="1"/>
    <col min="15854" max="15854" width="10.5703125" bestFit="1" customWidth="1"/>
    <col min="16093" max="16093" width="10.140625" bestFit="1" customWidth="1"/>
    <col min="16094" max="16094" width="18.28515625" customWidth="1"/>
    <col min="16095" max="16095" width="11.85546875" bestFit="1" customWidth="1"/>
    <col min="16096" max="16096" width="13.42578125" customWidth="1"/>
    <col min="16097" max="16097" width="30.85546875" bestFit="1" customWidth="1"/>
    <col min="16098" max="16098" width="21.140625" customWidth="1"/>
    <col min="16099" max="16099" width="44.5703125" customWidth="1"/>
    <col min="16100" max="16100" width="17.42578125" customWidth="1"/>
    <col min="16101" max="16101" width="30.85546875" customWidth="1"/>
    <col min="16102" max="16102" width="11.85546875" customWidth="1"/>
    <col min="16103" max="16103" width="41.7109375" customWidth="1"/>
    <col min="16104" max="16109" width="30.85546875" bestFit="1" customWidth="1"/>
    <col min="16110" max="16110" width="10.5703125" bestFit="1" customWidth="1"/>
  </cols>
  <sheetData>
    <row r="1" spans="1:26" x14ac:dyDescent="0.25">
      <c r="A1" s="16" t="s">
        <v>13</v>
      </c>
      <c r="B1" s="32" t="s">
        <v>14</v>
      </c>
      <c r="C1" s="4" t="s">
        <v>18</v>
      </c>
      <c r="D1" s="4" t="s">
        <v>32</v>
      </c>
      <c r="E1" s="3" t="s">
        <v>15</v>
      </c>
      <c r="F1" s="5" t="s">
        <v>16</v>
      </c>
      <c r="G1" s="6" t="s">
        <v>17</v>
      </c>
      <c r="Z1" s="51" t="s">
        <v>48</v>
      </c>
    </row>
    <row r="2" spans="1:26" x14ac:dyDescent="0.25">
      <c r="A2" s="59">
        <v>45862</v>
      </c>
      <c r="B2" s="35">
        <v>-1795444.73</v>
      </c>
      <c r="C2" t="s">
        <v>49</v>
      </c>
      <c r="D2" s="25"/>
      <c r="E2" s="26" t="str">
        <f t="shared" ref="E2:E65" si="0">IF(OR(C2="Transaction",C2="Interests",C2="Misc",C2="Account Transfer"), IF(C2="Transaction", IF(B2&lt;0, "Du no", "Da thanh toan"), IF(C2="Interests", "Lai", IF(C2="Misc", "Phi", IF(C2="Account Transfer", IF(OR(ISNUMBER(SEARCH("Trich lai tra gop the TD", D2)), ISNUMBER(SEARCH("Chuyen lai tra gop con lai sang du no thong thuong khi BadDebt", D2))), IF(B2&lt;0, "Lai tra gop", ""), "" )))))) &amp; " " &amp; IF(C2="Interests", TEXT(EDATE(IF(DAY(A2)&gt;=24, A2, EDATE(A2,-1)), -1),"yyyy-mm"), TEXT(IF(DAY(A2)&gt;=24, A2, EDATE(A2,-1)),"yyyy-mm"))</f>
        <v>Lai 2025-06</v>
      </c>
      <c r="F2" s="27">
        <f t="shared" ref="F2:F65" si="1">IF(ISNUMBER(B2), ROUND(SUMIFS($B$2:$B$10000, $E$2:$E$10000, E2, $B$2:$B$10000, IF(B2&lt;0, "&lt;0", "&gt;0")), 0), "")</f>
        <v>-2518524</v>
      </c>
      <c r="G2" s="28" t="str">
        <f t="shared" ref="G2:G65" si="2">IF(F2&gt;0, IF(C2="Transaction", "Da thanh toan", "Duong"), IF(F2&lt;0, IF(C2="Transaction", "Du no", IF(C2="Interests", "Lai phat sinh", IF(C2="Misc", "Phi", IF(C2="Account Transfer", "Lai tra gop", "Am")))), "Bang 0"))</f>
        <v>Lai phat sinh</v>
      </c>
    </row>
    <row r="3" spans="1:26" x14ac:dyDescent="0.25">
      <c r="A3" s="59">
        <v>45862</v>
      </c>
      <c r="B3" s="35">
        <v>-109463.8</v>
      </c>
      <c r="C3" t="s">
        <v>49</v>
      </c>
      <c r="D3" s="25"/>
      <c r="E3" s="26" t="str">
        <f t="shared" si="0"/>
        <v>Lai 2025-06</v>
      </c>
      <c r="F3" s="27">
        <f t="shared" si="1"/>
        <v>-2518524</v>
      </c>
      <c r="G3" s="28" t="str">
        <f t="shared" si="2"/>
        <v>Lai phat sinh</v>
      </c>
    </row>
    <row r="4" spans="1:26" x14ac:dyDescent="0.25">
      <c r="A4" s="59">
        <v>45862</v>
      </c>
      <c r="B4" s="35">
        <v>-12943.34</v>
      </c>
      <c r="C4" t="s">
        <v>49</v>
      </c>
      <c r="D4" s="25"/>
      <c r="E4" s="26" t="str">
        <f t="shared" si="0"/>
        <v>Lai 2025-06</v>
      </c>
      <c r="F4" s="27">
        <f t="shared" si="1"/>
        <v>-2518524</v>
      </c>
      <c r="G4" s="28" t="str">
        <f t="shared" si="2"/>
        <v>Lai phat sinh</v>
      </c>
    </row>
    <row r="5" spans="1:26" x14ac:dyDescent="0.25">
      <c r="A5" s="59">
        <v>45862</v>
      </c>
      <c r="B5" s="35">
        <v>-600672.32999999996</v>
      </c>
      <c r="C5" t="s">
        <v>49</v>
      </c>
      <c r="D5" s="7"/>
      <c r="E5" s="26" t="str">
        <f t="shared" si="0"/>
        <v>Lai 2025-06</v>
      </c>
      <c r="F5" s="27">
        <f t="shared" si="1"/>
        <v>-2518524</v>
      </c>
      <c r="G5" s="28" t="str">
        <f t="shared" si="2"/>
        <v>Lai phat sinh</v>
      </c>
    </row>
    <row r="6" spans="1:26" x14ac:dyDescent="0.25">
      <c r="A6" s="59">
        <v>45832</v>
      </c>
      <c r="B6" s="35">
        <v>-1753598.14</v>
      </c>
      <c r="C6" t="s">
        <v>49</v>
      </c>
      <c r="D6" s="25"/>
      <c r="E6" s="26" t="str">
        <f t="shared" si="0"/>
        <v>Lai 2025-05</v>
      </c>
      <c r="F6" s="27">
        <f t="shared" si="1"/>
        <v>-2500780</v>
      </c>
      <c r="G6" s="28" t="str">
        <f t="shared" si="2"/>
        <v>Lai phat sinh</v>
      </c>
    </row>
    <row r="7" spans="1:26" x14ac:dyDescent="0.25">
      <c r="A7" s="59">
        <v>45832</v>
      </c>
      <c r="B7" s="35">
        <v>-113112.6</v>
      </c>
      <c r="C7" t="s">
        <v>49</v>
      </c>
      <c r="D7" s="25"/>
      <c r="E7" s="26" t="str">
        <f t="shared" si="0"/>
        <v>Lai 2025-05</v>
      </c>
      <c r="F7" s="27">
        <f t="shared" si="1"/>
        <v>-2500780</v>
      </c>
      <c r="G7" s="28" t="str">
        <f t="shared" si="2"/>
        <v>Lai phat sinh</v>
      </c>
    </row>
    <row r="8" spans="1:26" x14ac:dyDescent="0.25">
      <c r="A8" s="59">
        <v>45832</v>
      </c>
      <c r="B8" s="35">
        <v>-13374.79</v>
      </c>
      <c r="C8" t="s">
        <v>49</v>
      </c>
      <c r="D8" s="25"/>
      <c r="E8" s="26" t="str">
        <f t="shared" si="0"/>
        <v>Lai 2025-05</v>
      </c>
      <c r="F8" s="27">
        <f t="shared" si="1"/>
        <v>-2500780</v>
      </c>
      <c r="G8" s="28" t="str">
        <f t="shared" si="2"/>
        <v>Lai phat sinh</v>
      </c>
    </row>
    <row r="9" spans="1:26" x14ac:dyDescent="0.25">
      <c r="A9" s="59">
        <v>45832</v>
      </c>
      <c r="B9" s="35">
        <v>-620694.74</v>
      </c>
      <c r="C9" t="s">
        <v>49</v>
      </c>
      <c r="D9" s="25"/>
      <c r="E9" s="26" t="str">
        <f t="shared" si="0"/>
        <v>Lai 2025-05</v>
      </c>
      <c r="F9" s="27">
        <f t="shared" si="1"/>
        <v>-2500780</v>
      </c>
      <c r="G9" s="28" t="str">
        <f t="shared" si="2"/>
        <v>Lai phat sinh</v>
      </c>
    </row>
    <row r="10" spans="1:26" x14ac:dyDescent="0.25">
      <c r="A10" s="59">
        <v>45801</v>
      </c>
      <c r="B10" s="35">
        <v>-1605396.94</v>
      </c>
      <c r="C10" t="s">
        <v>49</v>
      </c>
      <c r="D10" s="25"/>
      <c r="E10" s="26" t="str">
        <f t="shared" si="0"/>
        <v>Lai 2025-04</v>
      </c>
      <c r="F10" s="27">
        <f t="shared" si="1"/>
        <v>-2328476</v>
      </c>
      <c r="G10" s="28" t="str">
        <f t="shared" si="2"/>
        <v>Lai phat sinh</v>
      </c>
    </row>
    <row r="11" spans="1:26" ht="16.5" customHeight="1" x14ac:dyDescent="0.25">
      <c r="A11" s="59">
        <v>45801</v>
      </c>
      <c r="B11" s="35">
        <v>-109463.8</v>
      </c>
      <c r="C11" t="s">
        <v>49</v>
      </c>
      <c r="D11" s="25"/>
      <c r="E11" s="26" t="str">
        <f t="shared" si="0"/>
        <v>Lai 2025-04</v>
      </c>
      <c r="F11" s="27">
        <f t="shared" si="1"/>
        <v>-2328476</v>
      </c>
      <c r="G11" s="28" t="str">
        <f t="shared" si="2"/>
        <v>Lai phat sinh</v>
      </c>
    </row>
    <row r="12" spans="1:26" x14ac:dyDescent="0.25">
      <c r="A12" s="59">
        <v>45801</v>
      </c>
      <c r="B12" s="35">
        <v>-12943.34</v>
      </c>
      <c r="C12" t="s">
        <v>49</v>
      </c>
      <c r="D12" s="25"/>
      <c r="E12" s="26" t="str">
        <f t="shared" si="0"/>
        <v>Lai 2025-04</v>
      </c>
      <c r="F12" s="27">
        <f t="shared" si="1"/>
        <v>-2328476</v>
      </c>
      <c r="G12" s="28" t="str">
        <f t="shared" si="2"/>
        <v>Lai phat sinh</v>
      </c>
    </row>
    <row r="13" spans="1:26" x14ac:dyDescent="0.25">
      <c r="A13" s="59">
        <v>45801</v>
      </c>
      <c r="B13" s="35">
        <v>-600672.32999999996</v>
      </c>
      <c r="C13" t="s">
        <v>49</v>
      </c>
      <c r="D13" s="25"/>
      <c r="E13" s="26" t="str">
        <f t="shared" si="0"/>
        <v>Lai 2025-04</v>
      </c>
      <c r="F13" s="27">
        <f t="shared" si="1"/>
        <v>-2328476</v>
      </c>
      <c r="G13" s="28" t="str">
        <f t="shared" si="2"/>
        <v>Lai phat sinh</v>
      </c>
    </row>
    <row r="14" spans="1:26" x14ac:dyDescent="0.25">
      <c r="A14" s="59">
        <v>45771</v>
      </c>
      <c r="B14" s="35">
        <v>-1564889.31</v>
      </c>
      <c r="C14" t="s">
        <v>49</v>
      </c>
      <c r="D14" s="25"/>
      <c r="E14" s="26" t="str">
        <f t="shared" si="0"/>
        <v>Lai 2025-03</v>
      </c>
      <c r="F14" s="27">
        <f t="shared" si="1"/>
        <v>-2312071</v>
      </c>
      <c r="G14" s="28" t="str">
        <f t="shared" si="2"/>
        <v>Lai phat sinh</v>
      </c>
    </row>
    <row r="15" spans="1:26" x14ac:dyDescent="0.25">
      <c r="A15" s="59">
        <v>45771</v>
      </c>
      <c r="B15" s="35">
        <v>-113112.6</v>
      </c>
      <c r="C15" t="s">
        <v>49</v>
      </c>
      <c r="D15" s="25"/>
      <c r="E15" s="26" t="str">
        <f t="shared" si="0"/>
        <v>Lai 2025-03</v>
      </c>
      <c r="F15" s="27">
        <f t="shared" si="1"/>
        <v>-2312071</v>
      </c>
      <c r="G15" s="28" t="str">
        <f t="shared" si="2"/>
        <v>Lai phat sinh</v>
      </c>
    </row>
    <row r="16" spans="1:26" x14ac:dyDescent="0.25">
      <c r="A16" s="59">
        <v>45771</v>
      </c>
      <c r="B16" s="35">
        <v>-13374.79</v>
      </c>
      <c r="C16" t="s">
        <v>49</v>
      </c>
      <c r="D16" s="25"/>
      <c r="E16" s="26" t="str">
        <f t="shared" si="0"/>
        <v>Lai 2025-03</v>
      </c>
      <c r="F16" s="27">
        <f t="shared" si="1"/>
        <v>-2312071</v>
      </c>
      <c r="G16" s="28" t="str">
        <f t="shared" si="2"/>
        <v>Lai phat sinh</v>
      </c>
    </row>
    <row r="17" spans="1:7" x14ac:dyDescent="0.25">
      <c r="A17" s="59">
        <v>45771</v>
      </c>
      <c r="B17" s="35">
        <v>-620694.74</v>
      </c>
      <c r="C17" t="s">
        <v>49</v>
      </c>
      <c r="D17" s="25"/>
      <c r="E17" s="26" t="str">
        <f t="shared" si="0"/>
        <v>Lai 2025-03</v>
      </c>
      <c r="F17" s="27">
        <f t="shared" si="1"/>
        <v>-2312071</v>
      </c>
      <c r="G17" s="28" t="str">
        <f t="shared" si="2"/>
        <v>Lai phat sinh</v>
      </c>
    </row>
    <row r="18" spans="1:7" x14ac:dyDescent="0.25">
      <c r="A18" s="59">
        <v>45740</v>
      </c>
      <c r="B18" s="35">
        <v>-1339462.1100000001</v>
      </c>
      <c r="C18" t="s">
        <v>49</v>
      </c>
      <c r="D18" s="25"/>
      <c r="E18" s="26" t="str">
        <f t="shared" si="0"/>
        <v>Lai 2025-02</v>
      </c>
      <c r="F18" s="27">
        <f t="shared" si="1"/>
        <v>-2014336</v>
      </c>
      <c r="G18" s="28" t="str">
        <f t="shared" si="2"/>
        <v>Lai phat sinh</v>
      </c>
    </row>
    <row r="19" spans="1:7" x14ac:dyDescent="0.25">
      <c r="A19" s="59">
        <v>45740</v>
      </c>
      <c r="B19" s="35">
        <v>-102166.22</v>
      </c>
      <c r="C19" t="s">
        <v>49</v>
      </c>
      <c r="D19" s="25"/>
      <c r="E19" s="26" t="str">
        <f t="shared" si="0"/>
        <v>Lai 2025-02</v>
      </c>
      <c r="F19" s="27">
        <f t="shared" si="1"/>
        <v>-2014336</v>
      </c>
      <c r="G19" s="28" t="str">
        <f t="shared" si="2"/>
        <v>Lai phat sinh</v>
      </c>
    </row>
    <row r="20" spans="1:7" x14ac:dyDescent="0.25">
      <c r="A20" s="59">
        <v>45740</v>
      </c>
      <c r="B20" s="35">
        <v>-12080.45</v>
      </c>
      <c r="C20" t="s">
        <v>49</v>
      </c>
      <c r="D20" s="17"/>
      <c r="E20" s="26" t="str">
        <f t="shared" si="0"/>
        <v>Lai 2025-02</v>
      </c>
      <c r="F20" s="27">
        <f t="shared" si="1"/>
        <v>-2014336</v>
      </c>
      <c r="G20" s="28" t="str">
        <f t="shared" si="2"/>
        <v>Lai phat sinh</v>
      </c>
    </row>
    <row r="21" spans="1:7" x14ac:dyDescent="0.25">
      <c r="A21" s="59">
        <v>45740</v>
      </c>
      <c r="B21" s="35">
        <v>-560627.51</v>
      </c>
      <c r="C21" t="s">
        <v>49</v>
      </c>
      <c r="D21" s="17"/>
      <c r="E21" s="26" t="str">
        <f t="shared" si="0"/>
        <v>Lai 2025-02</v>
      </c>
      <c r="F21" s="27">
        <f t="shared" si="1"/>
        <v>-2014336</v>
      </c>
      <c r="G21" s="28" t="str">
        <f t="shared" si="2"/>
        <v>Lai phat sinh</v>
      </c>
    </row>
    <row r="22" spans="1:7" x14ac:dyDescent="0.25">
      <c r="A22" s="59">
        <v>45712</v>
      </c>
      <c r="B22" s="35">
        <v>-1395829.89</v>
      </c>
      <c r="C22" t="s">
        <v>49</v>
      </c>
      <c r="D22" s="17"/>
      <c r="E22" s="26" t="str">
        <f t="shared" si="0"/>
        <v>Lai 2025-01</v>
      </c>
      <c r="F22" s="27">
        <f t="shared" si="1"/>
        <v>-2143012</v>
      </c>
      <c r="G22" s="28" t="str">
        <f t="shared" si="2"/>
        <v>Lai phat sinh</v>
      </c>
    </row>
    <row r="23" spans="1:7" x14ac:dyDescent="0.25">
      <c r="A23" s="59">
        <v>45712</v>
      </c>
      <c r="B23" s="35">
        <v>-113112.6</v>
      </c>
      <c r="C23" t="s">
        <v>49</v>
      </c>
      <c r="D23" s="25"/>
      <c r="E23" s="26" t="str">
        <f t="shared" si="0"/>
        <v>Lai 2025-01</v>
      </c>
      <c r="F23" s="27">
        <f t="shared" si="1"/>
        <v>-2143012</v>
      </c>
      <c r="G23" s="28" t="str">
        <f t="shared" si="2"/>
        <v>Lai phat sinh</v>
      </c>
    </row>
    <row r="24" spans="1:7" x14ac:dyDescent="0.25">
      <c r="A24" s="59">
        <v>45712</v>
      </c>
      <c r="B24" s="35">
        <v>-13374.79</v>
      </c>
      <c r="C24" t="s">
        <v>49</v>
      </c>
      <c r="D24" s="25"/>
      <c r="E24" s="26" t="str">
        <f t="shared" si="0"/>
        <v>Lai 2025-01</v>
      </c>
      <c r="F24" s="27">
        <f t="shared" si="1"/>
        <v>-2143012</v>
      </c>
      <c r="G24" s="28" t="str">
        <f t="shared" si="2"/>
        <v>Lai phat sinh</v>
      </c>
    </row>
    <row r="25" spans="1:7" x14ac:dyDescent="0.25">
      <c r="A25" s="59">
        <v>45712</v>
      </c>
      <c r="B25" s="35">
        <v>-620694.74</v>
      </c>
      <c r="C25" t="s">
        <v>49</v>
      </c>
      <c r="D25" s="25"/>
      <c r="E25" s="26" t="str">
        <f t="shared" si="0"/>
        <v>Lai 2025-01</v>
      </c>
      <c r="F25" s="27">
        <f t="shared" si="1"/>
        <v>-2143012</v>
      </c>
      <c r="G25" s="28" t="str">
        <f t="shared" si="2"/>
        <v>Lai phat sinh</v>
      </c>
    </row>
    <row r="26" spans="1:7" x14ac:dyDescent="0.25">
      <c r="A26" s="59">
        <v>45681</v>
      </c>
      <c r="B26" s="35">
        <v>-1312089.2</v>
      </c>
      <c r="C26" t="s">
        <v>49</v>
      </c>
      <c r="D26" s="25"/>
      <c r="E26" s="26" t="str">
        <f t="shared" si="0"/>
        <v>Lai 2024-12</v>
      </c>
      <c r="F26" s="27">
        <f t="shared" si="1"/>
        <v>-2059271</v>
      </c>
      <c r="G26" s="28" t="str">
        <f t="shared" si="2"/>
        <v>Lai phat sinh</v>
      </c>
    </row>
    <row r="27" spans="1:7" x14ac:dyDescent="0.25">
      <c r="A27" s="59">
        <v>45681</v>
      </c>
      <c r="B27" s="35">
        <v>-113112.6</v>
      </c>
      <c r="C27" t="s">
        <v>49</v>
      </c>
      <c r="D27" s="25"/>
      <c r="E27" s="26" t="str">
        <f t="shared" si="0"/>
        <v>Lai 2024-12</v>
      </c>
      <c r="F27" s="27">
        <f t="shared" si="1"/>
        <v>-2059271</v>
      </c>
      <c r="G27" s="28" t="str">
        <f t="shared" si="2"/>
        <v>Lai phat sinh</v>
      </c>
    </row>
    <row r="28" spans="1:7" x14ac:dyDescent="0.25">
      <c r="A28" s="59">
        <v>45681</v>
      </c>
      <c r="B28" s="35">
        <v>-13374.79</v>
      </c>
      <c r="C28" t="s">
        <v>49</v>
      </c>
      <c r="D28" s="25"/>
      <c r="E28" s="26" t="str">
        <f t="shared" si="0"/>
        <v>Lai 2024-12</v>
      </c>
      <c r="F28" s="27">
        <f t="shared" si="1"/>
        <v>-2059271</v>
      </c>
      <c r="G28" s="28" t="str">
        <f t="shared" si="2"/>
        <v>Lai phat sinh</v>
      </c>
    </row>
    <row r="29" spans="1:7" x14ac:dyDescent="0.25">
      <c r="A29" s="59">
        <v>45681</v>
      </c>
      <c r="B29" s="35">
        <v>-620694.74</v>
      </c>
      <c r="C29" t="s">
        <v>49</v>
      </c>
      <c r="D29" s="25"/>
      <c r="E29" s="26" t="str">
        <f t="shared" si="0"/>
        <v>Lai 2024-12</v>
      </c>
      <c r="F29" s="27">
        <f t="shared" si="1"/>
        <v>-2059271</v>
      </c>
      <c r="G29" s="28" t="str">
        <f t="shared" si="2"/>
        <v>Lai phat sinh</v>
      </c>
    </row>
    <row r="30" spans="1:7" x14ac:dyDescent="0.25">
      <c r="A30" s="59">
        <v>45650</v>
      </c>
      <c r="B30" s="35">
        <v>-1194307.98</v>
      </c>
      <c r="C30" t="s">
        <v>49</v>
      </c>
      <c r="D30" s="25"/>
      <c r="E30" s="26" t="str">
        <f t="shared" si="0"/>
        <v>Lai 2024-11</v>
      </c>
      <c r="F30" s="27">
        <f t="shared" si="1"/>
        <v>-1917387</v>
      </c>
      <c r="G30" s="28" t="str">
        <f t="shared" si="2"/>
        <v>Lai phat sinh</v>
      </c>
    </row>
    <row r="31" spans="1:7" x14ac:dyDescent="0.25">
      <c r="A31" s="59">
        <v>45650</v>
      </c>
      <c r="B31" s="35">
        <v>-109463.8</v>
      </c>
      <c r="C31" t="s">
        <v>49</v>
      </c>
      <c r="D31" s="25"/>
      <c r="E31" s="26" t="str">
        <f t="shared" si="0"/>
        <v>Lai 2024-11</v>
      </c>
      <c r="F31" s="27">
        <f t="shared" si="1"/>
        <v>-1917387</v>
      </c>
      <c r="G31" s="28" t="str">
        <f t="shared" si="2"/>
        <v>Lai phat sinh</v>
      </c>
    </row>
    <row r="32" spans="1:7" x14ac:dyDescent="0.25">
      <c r="A32" s="59">
        <v>45650</v>
      </c>
      <c r="B32" s="35">
        <v>-12943.34</v>
      </c>
      <c r="C32" t="s">
        <v>49</v>
      </c>
      <c r="D32" s="25"/>
      <c r="E32" s="26" t="str">
        <f t="shared" si="0"/>
        <v>Lai 2024-11</v>
      </c>
      <c r="F32" s="27">
        <f t="shared" si="1"/>
        <v>-1917387</v>
      </c>
      <c r="G32" s="28" t="str">
        <f t="shared" si="2"/>
        <v>Lai phat sinh</v>
      </c>
    </row>
    <row r="33" spans="1:7" x14ac:dyDescent="0.25">
      <c r="A33" s="59">
        <v>45650</v>
      </c>
      <c r="B33" s="35">
        <v>-600672.32999999996</v>
      </c>
      <c r="C33" t="s">
        <v>49</v>
      </c>
      <c r="D33" s="25"/>
      <c r="E33" s="26" t="str">
        <f t="shared" si="0"/>
        <v>Lai 2024-11</v>
      </c>
      <c r="F33" s="27">
        <f t="shared" si="1"/>
        <v>-1917387</v>
      </c>
      <c r="G33" s="28" t="str">
        <f t="shared" si="2"/>
        <v>Lai phat sinh</v>
      </c>
    </row>
    <row r="34" spans="1:7" x14ac:dyDescent="0.25">
      <c r="A34" s="59">
        <v>45620</v>
      </c>
      <c r="B34" s="35">
        <v>-1156696.6200000001</v>
      </c>
      <c r="C34" t="s">
        <v>49</v>
      </c>
      <c r="D34" s="25"/>
      <c r="E34" s="26" t="str">
        <f t="shared" si="0"/>
        <v>Lai 2024-10</v>
      </c>
      <c r="F34" s="27">
        <f t="shared" si="1"/>
        <v>-1903879</v>
      </c>
      <c r="G34" s="28" t="str">
        <f t="shared" si="2"/>
        <v>Lai phat sinh</v>
      </c>
    </row>
    <row r="35" spans="1:7" x14ac:dyDescent="0.25">
      <c r="A35" s="59">
        <v>45620</v>
      </c>
      <c r="B35" s="35">
        <v>-113112.6</v>
      </c>
      <c r="C35" t="s">
        <v>49</v>
      </c>
      <c r="D35" s="25"/>
      <c r="E35" s="26" t="str">
        <f t="shared" si="0"/>
        <v>Lai 2024-10</v>
      </c>
      <c r="F35" s="27">
        <f t="shared" si="1"/>
        <v>-1903879</v>
      </c>
      <c r="G35" s="28" t="str">
        <f t="shared" si="2"/>
        <v>Lai phat sinh</v>
      </c>
    </row>
    <row r="36" spans="1:7" x14ac:dyDescent="0.25">
      <c r="A36" s="59">
        <v>45620</v>
      </c>
      <c r="B36" s="35">
        <v>-13374.79</v>
      </c>
      <c r="C36" t="s">
        <v>49</v>
      </c>
      <c r="D36" s="25"/>
      <c r="E36" s="26" t="str">
        <f t="shared" si="0"/>
        <v>Lai 2024-10</v>
      </c>
      <c r="F36" s="27">
        <f t="shared" si="1"/>
        <v>-1903879</v>
      </c>
      <c r="G36" s="28" t="str">
        <f t="shared" si="2"/>
        <v>Lai phat sinh</v>
      </c>
    </row>
    <row r="37" spans="1:7" x14ac:dyDescent="0.25">
      <c r="A37" s="59">
        <v>45620</v>
      </c>
      <c r="B37" s="35">
        <v>-620694.74</v>
      </c>
      <c r="C37" t="s">
        <v>49</v>
      </c>
      <c r="D37" s="25"/>
      <c r="E37" s="26" t="str">
        <f t="shared" si="0"/>
        <v>Lai 2024-10</v>
      </c>
      <c r="F37" s="27">
        <f t="shared" si="1"/>
        <v>-1903879</v>
      </c>
      <c r="G37" s="28" t="str">
        <f t="shared" si="2"/>
        <v>Lai phat sinh</v>
      </c>
    </row>
    <row r="38" spans="1:7" x14ac:dyDescent="0.25">
      <c r="A38" s="59">
        <v>45589</v>
      </c>
      <c r="B38" s="35">
        <v>-1049621.95</v>
      </c>
      <c r="C38" t="s">
        <v>49</v>
      </c>
      <c r="D38" s="25"/>
      <c r="E38" s="26" t="str">
        <f t="shared" si="0"/>
        <v>Lai 2024-09</v>
      </c>
      <c r="F38" s="27">
        <f t="shared" si="1"/>
        <v>-1772701</v>
      </c>
      <c r="G38" s="28" t="str">
        <f t="shared" si="2"/>
        <v>Lai phat sinh</v>
      </c>
    </row>
    <row r="39" spans="1:7" x14ac:dyDescent="0.25">
      <c r="A39" s="59">
        <v>45589</v>
      </c>
      <c r="B39" s="35">
        <v>-109463.8</v>
      </c>
      <c r="C39" t="s">
        <v>49</v>
      </c>
      <c r="D39" s="25"/>
      <c r="E39" s="26" t="str">
        <f t="shared" si="0"/>
        <v>Lai 2024-09</v>
      </c>
      <c r="F39" s="27">
        <f t="shared" si="1"/>
        <v>-1772701</v>
      </c>
      <c r="G39" s="28" t="str">
        <f t="shared" si="2"/>
        <v>Lai phat sinh</v>
      </c>
    </row>
    <row r="40" spans="1:7" x14ac:dyDescent="0.25">
      <c r="A40" s="59">
        <v>45589</v>
      </c>
      <c r="B40" s="35">
        <v>-12943.34</v>
      </c>
      <c r="C40" t="s">
        <v>49</v>
      </c>
      <c r="D40" s="17"/>
      <c r="E40" s="26" t="str">
        <f t="shared" si="0"/>
        <v>Lai 2024-09</v>
      </c>
      <c r="F40" s="27">
        <f t="shared" si="1"/>
        <v>-1772701</v>
      </c>
      <c r="G40" s="28" t="str">
        <f t="shared" si="2"/>
        <v>Lai phat sinh</v>
      </c>
    </row>
    <row r="41" spans="1:7" x14ac:dyDescent="0.25">
      <c r="A41" s="59">
        <v>45589</v>
      </c>
      <c r="B41" s="35">
        <v>-600672.32999999996</v>
      </c>
      <c r="C41" t="s">
        <v>49</v>
      </c>
      <c r="D41" s="17"/>
      <c r="E41" s="26" t="str">
        <f t="shared" si="0"/>
        <v>Lai 2024-09</v>
      </c>
      <c r="F41" s="27">
        <f t="shared" si="1"/>
        <v>-1772701</v>
      </c>
      <c r="G41" s="28" t="str">
        <f t="shared" si="2"/>
        <v>Lai phat sinh</v>
      </c>
    </row>
    <row r="42" spans="1:7" x14ac:dyDescent="0.25">
      <c r="A42" s="59">
        <v>45559</v>
      </c>
      <c r="B42" s="35">
        <v>-1013029.97</v>
      </c>
      <c r="C42" t="s">
        <v>49</v>
      </c>
      <c r="D42" s="25"/>
      <c r="E42" s="26" t="str">
        <f t="shared" si="0"/>
        <v>Lai 2024-08</v>
      </c>
      <c r="F42" s="27">
        <f t="shared" si="1"/>
        <v>-1760212</v>
      </c>
      <c r="G42" s="28" t="str">
        <f t="shared" si="2"/>
        <v>Lai phat sinh</v>
      </c>
    </row>
    <row r="43" spans="1:7" x14ac:dyDescent="0.25">
      <c r="A43" s="59">
        <v>45559</v>
      </c>
      <c r="B43" s="35">
        <v>-113112.6</v>
      </c>
      <c r="C43" t="s">
        <v>49</v>
      </c>
      <c r="D43" s="17"/>
      <c r="E43" s="26" t="str">
        <f t="shared" si="0"/>
        <v>Lai 2024-08</v>
      </c>
      <c r="F43" s="27">
        <f t="shared" si="1"/>
        <v>-1760212</v>
      </c>
      <c r="G43" s="28" t="str">
        <f t="shared" si="2"/>
        <v>Lai phat sinh</v>
      </c>
    </row>
    <row r="44" spans="1:7" x14ac:dyDescent="0.25">
      <c r="A44" s="59">
        <v>45559</v>
      </c>
      <c r="B44" s="35">
        <v>-13374.79</v>
      </c>
      <c r="C44" t="s">
        <v>49</v>
      </c>
      <c r="D44" s="17"/>
      <c r="E44" s="26" t="str">
        <f t="shared" si="0"/>
        <v>Lai 2024-08</v>
      </c>
      <c r="F44" s="27">
        <f t="shared" si="1"/>
        <v>-1760212</v>
      </c>
      <c r="G44" s="28" t="str">
        <f t="shared" si="2"/>
        <v>Lai phat sinh</v>
      </c>
    </row>
    <row r="45" spans="1:7" x14ac:dyDescent="0.25">
      <c r="A45" s="59">
        <v>45559</v>
      </c>
      <c r="B45" s="35">
        <v>-620694.74</v>
      </c>
      <c r="C45" t="s">
        <v>49</v>
      </c>
      <c r="D45" s="17"/>
      <c r="E45" s="26" t="str">
        <f t="shared" si="0"/>
        <v>Lai 2024-08</v>
      </c>
      <c r="F45" s="27">
        <f t="shared" si="1"/>
        <v>-1760212</v>
      </c>
      <c r="G45" s="28" t="str">
        <f t="shared" si="2"/>
        <v>Lai phat sinh</v>
      </c>
    </row>
    <row r="46" spans="1:7" x14ac:dyDescent="0.25">
      <c r="A46" s="59">
        <v>45528</v>
      </c>
      <c r="B46" s="35">
        <v>-944247.63</v>
      </c>
      <c r="C46" t="s">
        <v>49</v>
      </c>
      <c r="D46" s="17"/>
      <c r="E46" s="26" t="str">
        <f t="shared" si="0"/>
        <v>Lai 2024-07</v>
      </c>
      <c r="F46" s="27">
        <f t="shared" si="1"/>
        <v>-1691430</v>
      </c>
      <c r="G46" s="28" t="str">
        <f t="shared" si="2"/>
        <v>Lai phat sinh</v>
      </c>
    </row>
    <row r="47" spans="1:7" x14ac:dyDescent="0.25">
      <c r="A47" s="59">
        <v>45528</v>
      </c>
      <c r="B47" s="35">
        <v>-113112.6</v>
      </c>
      <c r="C47" t="s">
        <v>49</v>
      </c>
      <c r="D47" s="17"/>
      <c r="E47" s="26" t="str">
        <f t="shared" si="0"/>
        <v>Lai 2024-07</v>
      </c>
      <c r="F47" s="27">
        <f t="shared" si="1"/>
        <v>-1691430</v>
      </c>
      <c r="G47" s="28" t="str">
        <f t="shared" si="2"/>
        <v>Lai phat sinh</v>
      </c>
    </row>
    <row r="48" spans="1:7" x14ac:dyDescent="0.25">
      <c r="A48" s="59">
        <v>45528</v>
      </c>
      <c r="B48" s="35">
        <v>-13374.79</v>
      </c>
      <c r="C48" t="s">
        <v>49</v>
      </c>
      <c r="D48" s="17"/>
      <c r="E48" s="26" t="str">
        <f t="shared" si="0"/>
        <v>Lai 2024-07</v>
      </c>
      <c r="F48" s="27">
        <f t="shared" si="1"/>
        <v>-1691430</v>
      </c>
      <c r="G48" s="28" t="str">
        <f t="shared" si="2"/>
        <v>Lai phat sinh</v>
      </c>
    </row>
    <row r="49" spans="1:7" x14ac:dyDescent="0.25">
      <c r="A49" s="59">
        <v>45528</v>
      </c>
      <c r="B49" s="35">
        <v>-620694.74</v>
      </c>
      <c r="C49" t="s">
        <v>49</v>
      </c>
      <c r="D49" s="17"/>
      <c r="E49" s="26" t="str">
        <f t="shared" si="0"/>
        <v>Lai 2024-07</v>
      </c>
      <c r="F49" s="27">
        <f t="shared" si="1"/>
        <v>-1691430</v>
      </c>
      <c r="G49" s="28" t="str">
        <f t="shared" si="2"/>
        <v>Lai phat sinh</v>
      </c>
    </row>
    <row r="50" spans="1:7" x14ac:dyDescent="0.25">
      <c r="A50" s="59">
        <v>45497</v>
      </c>
      <c r="B50" s="35">
        <v>-40044.82</v>
      </c>
      <c r="C50" t="s">
        <v>49</v>
      </c>
      <c r="D50" s="25"/>
      <c r="E50" s="26" t="str">
        <f t="shared" si="0"/>
        <v>Lai 2024-06</v>
      </c>
      <c r="F50" s="27">
        <f t="shared" si="1"/>
        <v>-1574424</v>
      </c>
      <c r="G50" s="28" t="str">
        <f t="shared" si="2"/>
        <v>Lai phat sinh</v>
      </c>
    </row>
    <row r="51" spans="1:7" x14ac:dyDescent="0.25">
      <c r="A51" s="59">
        <v>45497</v>
      </c>
      <c r="B51" s="35">
        <v>-7297.59</v>
      </c>
      <c r="C51" t="s">
        <v>49</v>
      </c>
      <c r="D51" s="25"/>
      <c r="E51" s="26" t="str">
        <f t="shared" si="0"/>
        <v>Lai 2024-06</v>
      </c>
      <c r="F51" s="27">
        <f t="shared" si="1"/>
        <v>-1574424</v>
      </c>
      <c r="G51" s="28" t="str">
        <f t="shared" si="2"/>
        <v>Lai phat sinh</v>
      </c>
    </row>
    <row r="52" spans="1:7" x14ac:dyDescent="0.25">
      <c r="A52" s="59">
        <v>45497</v>
      </c>
      <c r="B52" s="35">
        <v>-56756.33</v>
      </c>
      <c r="C52" t="s">
        <v>49</v>
      </c>
      <c r="D52" s="25"/>
      <c r="E52" s="26" t="str">
        <f t="shared" si="0"/>
        <v>Lai 2024-06</v>
      </c>
      <c r="F52" s="27">
        <f t="shared" si="1"/>
        <v>-1574424</v>
      </c>
      <c r="G52" s="28" t="str">
        <f t="shared" si="2"/>
        <v>Lai phat sinh</v>
      </c>
    </row>
    <row r="53" spans="1:7" x14ac:dyDescent="0.25">
      <c r="A53" s="59">
        <v>45497</v>
      </c>
      <c r="B53" s="35">
        <v>-862.89</v>
      </c>
      <c r="C53" t="s">
        <v>49</v>
      </c>
      <c r="D53" s="25"/>
      <c r="E53" s="26" t="str">
        <f t="shared" si="0"/>
        <v>Lai 2024-06</v>
      </c>
      <c r="F53" s="27">
        <f t="shared" si="1"/>
        <v>-1574424</v>
      </c>
      <c r="G53" s="28" t="str">
        <f t="shared" si="2"/>
        <v>Lai phat sinh</v>
      </c>
    </row>
    <row r="54" spans="1:7" x14ac:dyDescent="0.25">
      <c r="A54" s="59">
        <v>45497</v>
      </c>
      <c r="B54" s="35">
        <v>-794588.63</v>
      </c>
      <c r="C54" t="s">
        <v>49</v>
      </c>
      <c r="D54" s="25"/>
      <c r="E54" s="26" t="str">
        <f t="shared" si="0"/>
        <v>Lai 2024-06</v>
      </c>
      <c r="F54" s="27">
        <f t="shared" si="1"/>
        <v>-1574424</v>
      </c>
      <c r="G54" s="28" t="str">
        <f t="shared" si="2"/>
        <v>Lai phat sinh</v>
      </c>
    </row>
    <row r="55" spans="1:7" x14ac:dyDescent="0.25">
      <c r="A55" s="59">
        <v>45497</v>
      </c>
      <c r="B55" s="35">
        <v>-102166.22</v>
      </c>
      <c r="C55" t="s">
        <v>49</v>
      </c>
      <c r="D55" s="17"/>
      <c r="E55" s="26" t="str">
        <f t="shared" si="0"/>
        <v>Lai 2024-06</v>
      </c>
      <c r="F55" s="27">
        <f t="shared" si="1"/>
        <v>-1574424</v>
      </c>
      <c r="G55" s="28" t="str">
        <f t="shared" si="2"/>
        <v>Lai phat sinh</v>
      </c>
    </row>
    <row r="56" spans="1:7" x14ac:dyDescent="0.25">
      <c r="A56" s="59">
        <v>45497</v>
      </c>
      <c r="B56" s="35">
        <v>-12080.45</v>
      </c>
      <c r="C56" t="s">
        <v>49</v>
      </c>
      <c r="D56" s="17"/>
      <c r="E56" s="26" t="str">
        <f t="shared" si="0"/>
        <v>Lai 2024-06</v>
      </c>
      <c r="F56" s="27">
        <f t="shared" si="1"/>
        <v>-1574424</v>
      </c>
      <c r="G56" s="28" t="str">
        <f t="shared" si="2"/>
        <v>Lai phat sinh</v>
      </c>
    </row>
    <row r="57" spans="1:7" x14ac:dyDescent="0.25">
      <c r="A57" s="59">
        <v>45497</v>
      </c>
      <c r="B57" s="35">
        <v>-560627.51</v>
      </c>
      <c r="C57" t="s">
        <v>49</v>
      </c>
      <c r="D57" s="17"/>
      <c r="E57" s="26" t="str">
        <f t="shared" si="0"/>
        <v>Lai 2024-06</v>
      </c>
      <c r="F57" s="27">
        <f t="shared" si="1"/>
        <v>-1574424</v>
      </c>
      <c r="G57" s="28" t="str">
        <f t="shared" si="2"/>
        <v>Lai phat sinh</v>
      </c>
    </row>
    <row r="58" spans="1:7" x14ac:dyDescent="0.25">
      <c r="A58" s="59">
        <v>45469</v>
      </c>
      <c r="B58" s="35">
        <v>-3240.41</v>
      </c>
      <c r="C58" t="s">
        <v>49</v>
      </c>
      <c r="D58" s="17"/>
      <c r="E58" s="26" t="str">
        <f t="shared" si="0"/>
        <v>Lai 2024-05</v>
      </c>
      <c r="F58" s="27">
        <f t="shared" si="1"/>
        <v>-1575633</v>
      </c>
      <c r="G58" s="28" t="str">
        <f t="shared" si="2"/>
        <v>Lai phat sinh</v>
      </c>
    </row>
    <row r="59" spans="1:7" x14ac:dyDescent="0.25">
      <c r="A59" s="59">
        <v>45469</v>
      </c>
      <c r="B59" s="35">
        <v>-9060.34</v>
      </c>
      <c r="C59" t="s">
        <v>49</v>
      </c>
      <c r="D59" s="17"/>
      <c r="E59" s="26" t="str">
        <f t="shared" si="0"/>
        <v>Lai 2024-05</v>
      </c>
      <c r="F59" s="27">
        <f t="shared" si="1"/>
        <v>-1575633</v>
      </c>
      <c r="G59" s="28" t="str">
        <f t="shared" si="2"/>
        <v>Lai phat sinh</v>
      </c>
    </row>
    <row r="60" spans="1:7" x14ac:dyDescent="0.25">
      <c r="A60" s="59">
        <v>45467</v>
      </c>
      <c r="B60" s="35">
        <v>-620694.74</v>
      </c>
      <c r="C60" t="s">
        <v>49</v>
      </c>
      <c r="D60" s="25"/>
      <c r="E60" s="26" t="str">
        <f t="shared" si="0"/>
        <v>Lai 2024-05</v>
      </c>
      <c r="F60" s="27">
        <f t="shared" si="1"/>
        <v>-1575633</v>
      </c>
      <c r="G60" s="28" t="str">
        <f t="shared" si="2"/>
        <v>Lai phat sinh</v>
      </c>
    </row>
    <row r="61" spans="1:7" x14ac:dyDescent="0.25">
      <c r="A61" s="59">
        <v>45467</v>
      </c>
      <c r="B61" s="35">
        <v>-113112.6</v>
      </c>
      <c r="C61" t="s">
        <v>49</v>
      </c>
      <c r="D61" s="25"/>
      <c r="E61" s="26" t="str">
        <f t="shared" si="0"/>
        <v>Lai 2024-05</v>
      </c>
      <c r="F61" s="27">
        <f t="shared" si="1"/>
        <v>-1575633</v>
      </c>
      <c r="G61" s="28" t="str">
        <f t="shared" si="2"/>
        <v>Lai phat sinh</v>
      </c>
    </row>
    <row r="62" spans="1:7" x14ac:dyDescent="0.25">
      <c r="A62" s="59">
        <v>45467</v>
      </c>
      <c r="B62" s="35">
        <v>-816149.9</v>
      </c>
      <c r="C62" t="s">
        <v>49</v>
      </c>
      <c r="D62" s="25"/>
      <c r="E62" s="26" t="str">
        <f t="shared" si="0"/>
        <v>Lai 2024-05</v>
      </c>
      <c r="F62" s="27">
        <f t="shared" si="1"/>
        <v>-1575633</v>
      </c>
      <c r="G62" s="28" t="str">
        <f t="shared" si="2"/>
        <v>Lai phat sinh</v>
      </c>
    </row>
    <row r="63" spans="1:7" x14ac:dyDescent="0.25">
      <c r="A63" s="59">
        <v>45467</v>
      </c>
      <c r="B63" s="35">
        <v>-13374.79</v>
      </c>
      <c r="C63" t="s">
        <v>49</v>
      </c>
      <c r="D63" s="25"/>
      <c r="E63" s="26" t="str">
        <f t="shared" si="0"/>
        <v>Lai 2024-05</v>
      </c>
      <c r="F63" s="27">
        <f t="shared" si="1"/>
        <v>-1575633</v>
      </c>
      <c r="G63" s="28" t="str">
        <f t="shared" si="2"/>
        <v>Lai phat sinh</v>
      </c>
    </row>
    <row r="64" spans="1:7" x14ac:dyDescent="0.25">
      <c r="A64" s="59">
        <v>45436</v>
      </c>
      <c r="B64" s="35">
        <v>-600672.32999999996</v>
      </c>
      <c r="C64" t="s">
        <v>49</v>
      </c>
      <c r="D64" s="25"/>
      <c r="E64" s="26" t="str">
        <f t="shared" si="0"/>
        <v>Lai 2024-04</v>
      </c>
      <c r="F64" s="27">
        <f t="shared" si="1"/>
        <v>-1455618</v>
      </c>
      <c r="G64" s="28" t="str">
        <f t="shared" si="2"/>
        <v>Lai phat sinh</v>
      </c>
    </row>
    <row r="65" spans="1:7" x14ac:dyDescent="0.25">
      <c r="A65" s="59">
        <v>45436</v>
      </c>
      <c r="B65" s="35">
        <v>-109463.8</v>
      </c>
      <c r="C65" t="s">
        <v>49</v>
      </c>
      <c r="D65" s="25"/>
      <c r="E65" s="26" t="str">
        <f t="shared" si="0"/>
        <v>Lai 2024-04</v>
      </c>
      <c r="F65" s="27">
        <f t="shared" si="1"/>
        <v>-1455618</v>
      </c>
      <c r="G65" s="28" t="str">
        <f t="shared" si="2"/>
        <v>Lai phat sinh</v>
      </c>
    </row>
    <row r="66" spans="1:7" x14ac:dyDescent="0.25">
      <c r="A66" s="59">
        <v>45436</v>
      </c>
      <c r="B66" s="35">
        <v>-732538.92</v>
      </c>
      <c r="C66" t="s">
        <v>49</v>
      </c>
      <c r="D66" s="25"/>
      <c r="E66" s="26" t="str">
        <f t="shared" ref="E66:E129" si="3">IF(OR(C66="Transaction",C66="Interests",C66="Misc",C66="Account Transfer"), IF(C66="Transaction", IF(B66&lt;0, "Du no", "Da thanh toan"), IF(C66="Interests", "Lai", IF(C66="Misc", "Phi", IF(C66="Account Transfer", IF(OR(ISNUMBER(SEARCH("Trich lai tra gop the TD", D66)), ISNUMBER(SEARCH("Chuyen lai tra gop con lai sang du no thong thuong khi BadDebt", D66))), IF(B66&lt;0, "Lai tra gop", ""), "" )))))) &amp; " " &amp; IF(C66="Interests", TEXT(EDATE(IF(DAY(A66)&gt;=24, A66, EDATE(A66,-1)), -1),"yyyy-mm"), TEXT(IF(DAY(A66)&gt;=24, A66, EDATE(A66,-1)),"yyyy-mm"))</f>
        <v>Lai 2024-04</v>
      </c>
      <c r="F66" s="27">
        <f t="shared" ref="F66:F129" si="4">IF(ISNUMBER(B66), ROUND(SUMIFS($B$2:$B$10000, $E$2:$E$10000, E66, $B$2:$B$10000, IF(B66&lt;0, "&lt;0", "&gt;0")), 0), "")</f>
        <v>-1455618</v>
      </c>
      <c r="G66" s="28" t="str">
        <f t="shared" ref="G66:G129" si="5">IF(F66&gt;0, IF(C66="Transaction", "Da thanh toan", "Duong"), IF(F66&lt;0, IF(C66="Transaction", "Du no", IF(C66="Interests", "Lai phat sinh", IF(C66="Misc", "Phi", IF(C66="Account Transfer", "Lai tra gop", "Am")))), "Bang 0"))</f>
        <v>Lai phat sinh</v>
      </c>
    </row>
    <row r="67" spans="1:7" x14ac:dyDescent="0.25">
      <c r="A67" s="59">
        <v>45436</v>
      </c>
      <c r="B67" s="35">
        <v>-12943.34</v>
      </c>
      <c r="C67" t="s">
        <v>49</v>
      </c>
      <c r="D67" s="25"/>
      <c r="E67" s="26" t="str">
        <f t="shared" si="3"/>
        <v>Lai 2024-04</v>
      </c>
      <c r="F67" s="27">
        <f t="shared" si="4"/>
        <v>-1455618</v>
      </c>
      <c r="G67" s="28" t="str">
        <f t="shared" si="5"/>
        <v>Lai phat sinh</v>
      </c>
    </row>
    <row r="68" spans="1:7" x14ac:dyDescent="0.25">
      <c r="A68" s="59">
        <v>45406</v>
      </c>
      <c r="B68" s="35">
        <v>-620694.74</v>
      </c>
      <c r="C68" t="s">
        <v>49</v>
      </c>
      <c r="D68" s="17"/>
      <c r="E68" s="26" t="str">
        <f t="shared" si="3"/>
        <v>Lai 2024-03</v>
      </c>
      <c r="F68" s="27">
        <f t="shared" si="4"/>
        <v>-1445363</v>
      </c>
      <c r="G68" s="28" t="str">
        <f t="shared" si="5"/>
        <v>Lai phat sinh</v>
      </c>
    </row>
    <row r="69" spans="1:7" x14ac:dyDescent="0.25">
      <c r="A69" s="59">
        <v>45406</v>
      </c>
      <c r="B69" s="35">
        <v>-113112.6</v>
      </c>
      <c r="C69" t="s">
        <v>49</v>
      </c>
      <c r="D69" s="17"/>
      <c r="E69" s="26" t="str">
        <f t="shared" si="3"/>
        <v>Lai 2024-03</v>
      </c>
      <c r="F69" s="27">
        <f t="shared" si="4"/>
        <v>-1445363</v>
      </c>
      <c r="G69" s="28" t="str">
        <f t="shared" si="5"/>
        <v>Lai phat sinh</v>
      </c>
    </row>
    <row r="70" spans="1:7" x14ac:dyDescent="0.25">
      <c r="A70" s="59">
        <v>45406</v>
      </c>
      <c r="B70" s="35">
        <v>-698180.9</v>
      </c>
      <c r="C70" t="s">
        <v>49</v>
      </c>
      <c r="D70" s="17"/>
      <c r="E70" s="26" t="str">
        <f t="shared" si="3"/>
        <v>Lai 2024-03</v>
      </c>
      <c r="F70" s="27">
        <f t="shared" si="4"/>
        <v>-1445363</v>
      </c>
      <c r="G70" s="28" t="str">
        <f t="shared" si="5"/>
        <v>Lai phat sinh</v>
      </c>
    </row>
    <row r="71" spans="1:7" x14ac:dyDescent="0.25">
      <c r="A71" s="59">
        <v>45406</v>
      </c>
      <c r="B71" s="35">
        <v>-13374.79</v>
      </c>
      <c r="C71" t="s">
        <v>49</v>
      </c>
      <c r="D71" s="17"/>
      <c r="E71" s="26" t="str">
        <f t="shared" si="3"/>
        <v>Lai 2024-03</v>
      </c>
      <c r="F71" s="27">
        <f t="shared" si="4"/>
        <v>-1445363</v>
      </c>
      <c r="G71" s="28" t="str">
        <f t="shared" si="5"/>
        <v>Lai phat sinh</v>
      </c>
    </row>
    <row r="72" spans="1:7" x14ac:dyDescent="0.25">
      <c r="A72" s="59">
        <v>45375</v>
      </c>
      <c r="B72" s="35">
        <v>-580649.92000000004</v>
      </c>
      <c r="C72" t="s">
        <v>49</v>
      </c>
      <c r="D72" s="25"/>
      <c r="E72" s="26" t="str">
        <f t="shared" si="3"/>
        <v>Lai 2024-02</v>
      </c>
      <c r="F72" s="27">
        <f t="shared" si="4"/>
        <v>-1302562</v>
      </c>
      <c r="G72" s="28" t="str">
        <f t="shared" si="5"/>
        <v>Lai phat sinh</v>
      </c>
    </row>
    <row r="73" spans="1:7" x14ac:dyDescent="0.25">
      <c r="A73" s="59">
        <v>45375</v>
      </c>
      <c r="B73" s="35">
        <v>-105815.01</v>
      </c>
      <c r="C73" t="s">
        <v>49</v>
      </c>
      <c r="D73" s="25"/>
      <c r="E73" s="26" t="str">
        <f t="shared" si="3"/>
        <v>Lai 2024-02</v>
      </c>
      <c r="F73" s="27">
        <f t="shared" si="4"/>
        <v>-1302562</v>
      </c>
      <c r="G73" s="28" t="str">
        <f t="shared" si="5"/>
        <v>Lai phat sinh</v>
      </c>
    </row>
    <row r="74" spans="1:7" x14ac:dyDescent="0.25">
      <c r="A74" s="59">
        <v>45375</v>
      </c>
      <c r="B74" s="35">
        <v>-603585.36</v>
      </c>
      <c r="C74" t="s">
        <v>49</v>
      </c>
      <c r="D74" s="17"/>
      <c r="E74" s="26" t="str">
        <f t="shared" si="3"/>
        <v>Lai 2024-02</v>
      </c>
      <c r="F74" s="27">
        <f t="shared" si="4"/>
        <v>-1302562</v>
      </c>
      <c r="G74" s="28" t="str">
        <f t="shared" si="5"/>
        <v>Lai phat sinh</v>
      </c>
    </row>
    <row r="75" spans="1:7" x14ac:dyDescent="0.25">
      <c r="A75" s="59">
        <v>45375</v>
      </c>
      <c r="B75" s="35">
        <v>-12511.9</v>
      </c>
      <c r="C75" t="s">
        <v>49</v>
      </c>
      <c r="D75" s="17"/>
      <c r="E75" s="26" t="str">
        <f t="shared" si="3"/>
        <v>Lai 2024-02</v>
      </c>
      <c r="F75" s="27">
        <f t="shared" si="4"/>
        <v>-1302562</v>
      </c>
      <c r="G75" s="28" t="str">
        <f t="shared" si="5"/>
        <v>Lai phat sinh</v>
      </c>
    </row>
    <row r="76" spans="1:7" x14ac:dyDescent="0.25">
      <c r="A76" s="59">
        <v>45346</v>
      </c>
      <c r="B76" s="35">
        <v>-620694.74</v>
      </c>
      <c r="C76" t="s">
        <v>49</v>
      </c>
      <c r="D76" s="17"/>
      <c r="E76" s="26" t="str">
        <f t="shared" si="3"/>
        <v>Lai 2024-01</v>
      </c>
      <c r="F76" s="27">
        <f t="shared" si="4"/>
        <v>-1337985</v>
      </c>
      <c r="G76" s="28" t="str">
        <f t="shared" si="5"/>
        <v>Lai phat sinh</v>
      </c>
    </row>
    <row r="77" spans="1:7" x14ac:dyDescent="0.25">
      <c r="A77" s="59">
        <v>45346</v>
      </c>
      <c r="B77" s="35">
        <v>-113112.6</v>
      </c>
      <c r="C77" t="s">
        <v>49</v>
      </c>
      <c r="D77" s="17"/>
      <c r="E77" s="26" t="str">
        <f t="shared" si="3"/>
        <v>Lai 2024-01</v>
      </c>
      <c r="F77" s="27">
        <f t="shared" si="4"/>
        <v>-1337985</v>
      </c>
      <c r="G77" s="28" t="str">
        <f t="shared" si="5"/>
        <v>Lai phat sinh</v>
      </c>
    </row>
    <row r="78" spans="1:7" x14ac:dyDescent="0.25">
      <c r="A78" s="59">
        <v>45346</v>
      </c>
      <c r="B78" s="35">
        <v>-590802.52</v>
      </c>
      <c r="C78" t="s">
        <v>49</v>
      </c>
      <c r="D78" s="17"/>
      <c r="E78" s="26" t="str">
        <f t="shared" si="3"/>
        <v>Lai 2024-01</v>
      </c>
      <c r="F78" s="27">
        <f t="shared" si="4"/>
        <v>-1337985</v>
      </c>
      <c r="G78" s="28" t="str">
        <f t="shared" si="5"/>
        <v>Lai phat sinh</v>
      </c>
    </row>
    <row r="79" spans="1:7" x14ac:dyDescent="0.25">
      <c r="A79" s="59">
        <v>45346</v>
      </c>
      <c r="B79" s="35">
        <v>-13374.79</v>
      </c>
      <c r="C79" t="s">
        <v>49</v>
      </c>
      <c r="D79" s="17"/>
      <c r="E79" s="26" t="str">
        <f t="shared" si="3"/>
        <v>Lai 2024-01</v>
      </c>
      <c r="F79" s="27">
        <f t="shared" si="4"/>
        <v>-1337985</v>
      </c>
      <c r="G79" s="28" t="str">
        <f t="shared" si="5"/>
        <v>Lai phat sinh</v>
      </c>
    </row>
    <row r="80" spans="1:7" x14ac:dyDescent="0.25">
      <c r="A80" s="59">
        <v>45315</v>
      </c>
      <c r="B80" s="35">
        <v>-620694.74</v>
      </c>
      <c r="C80" t="s">
        <v>49</v>
      </c>
      <c r="D80" s="17"/>
      <c r="E80" s="26" t="str">
        <f t="shared" si="3"/>
        <v>Lai 2023-12</v>
      </c>
      <c r="F80" s="27">
        <f t="shared" si="4"/>
        <v>-1285701</v>
      </c>
      <c r="G80" s="28" t="str">
        <f t="shared" si="5"/>
        <v>Lai phat sinh</v>
      </c>
    </row>
    <row r="81" spans="1:7" x14ac:dyDescent="0.25">
      <c r="A81" s="59">
        <v>45315</v>
      </c>
      <c r="B81" s="35">
        <v>-113112.6</v>
      </c>
      <c r="C81" t="s">
        <v>49</v>
      </c>
      <c r="D81" s="17"/>
      <c r="E81" s="26" t="str">
        <f t="shared" si="3"/>
        <v>Lai 2023-12</v>
      </c>
      <c r="F81" s="27">
        <f t="shared" si="4"/>
        <v>-1285701</v>
      </c>
      <c r="G81" s="28" t="str">
        <f t="shared" si="5"/>
        <v>Lai phat sinh</v>
      </c>
    </row>
    <row r="82" spans="1:7" x14ac:dyDescent="0.25">
      <c r="A82" s="59">
        <v>45315</v>
      </c>
      <c r="B82" s="35">
        <v>-538519.21</v>
      </c>
      <c r="C82" t="s">
        <v>49</v>
      </c>
      <c r="D82" s="17"/>
      <c r="E82" s="26" t="str">
        <f t="shared" si="3"/>
        <v>Lai 2023-12</v>
      </c>
      <c r="F82" s="27">
        <f t="shared" si="4"/>
        <v>-1285701</v>
      </c>
      <c r="G82" s="28" t="str">
        <f t="shared" si="5"/>
        <v>Lai phat sinh</v>
      </c>
    </row>
    <row r="83" spans="1:7" x14ac:dyDescent="0.25">
      <c r="A83" s="59">
        <v>45315</v>
      </c>
      <c r="B83" s="35">
        <v>-13374.79</v>
      </c>
      <c r="C83" t="s">
        <v>49</v>
      </c>
      <c r="D83" s="17"/>
      <c r="E83" s="26" t="str">
        <f t="shared" si="3"/>
        <v>Lai 2023-12</v>
      </c>
      <c r="F83" s="27">
        <f t="shared" si="4"/>
        <v>-1285701</v>
      </c>
      <c r="G83" s="28" t="str">
        <f t="shared" si="5"/>
        <v>Lai phat sinh</v>
      </c>
    </row>
    <row r="84" spans="1:7" x14ac:dyDescent="0.25">
      <c r="A84" s="59">
        <v>45284</v>
      </c>
      <c r="B84" s="35">
        <v>-600672.32999999996</v>
      </c>
      <c r="C84" t="s">
        <v>49</v>
      </c>
      <c r="D84" s="17"/>
      <c r="E84" s="26" t="str">
        <f t="shared" si="3"/>
        <v>Lai 2023-11</v>
      </c>
      <c r="F84" s="27">
        <f t="shared" si="4"/>
        <v>-1197116</v>
      </c>
      <c r="G84" s="28" t="str">
        <f t="shared" si="5"/>
        <v>Lai phat sinh</v>
      </c>
    </row>
    <row r="85" spans="1:7" x14ac:dyDescent="0.25">
      <c r="A85" s="59">
        <v>45284</v>
      </c>
      <c r="B85" s="35">
        <v>-109463.8</v>
      </c>
      <c r="C85" t="s">
        <v>49</v>
      </c>
      <c r="D85" s="17"/>
      <c r="E85" s="26" t="str">
        <f t="shared" si="3"/>
        <v>Lai 2023-11</v>
      </c>
      <c r="F85" s="27">
        <f t="shared" si="4"/>
        <v>-1197116</v>
      </c>
      <c r="G85" s="28" t="str">
        <f t="shared" si="5"/>
        <v>Lai phat sinh</v>
      </c>
    </row>
    <row r="86" spans="1:7" x14ac:dyDescent="0.25">
      <c r="A86" s="59">
        <v>45284</v>
      </c>
      <c r="B86" s="35">
        <v>-474036.99</v>
      </c>
      <c r="C86" t="s">
        <v>49</v>
      </c>
      <c r="D86" s="25"/>
      <c r="E86" s="26" t="str">
        <f t="shared" si="3"/>
        <v>Lai 2023-11</v>
      </c>
      <c r="F86" s="27">
        <f t="shared" si="4"/>
        <v>-1197116</v>
      </c>
      <c r="G86" s="28" t="str">
        <f t="shared" si="5"/>
        <v>Lai phat sinh</v>
      </c>
    </row>
    <row r="87" spans="1:7" x14ac:dyDescent="0.25">
      <c r="A87" s="59">
        <v>45284</v>
      </c>
      <c r="B87" s="35">
        <v>-12943.34</v>
      </c>
      <c r="C87" t="s">
        <v>49</v>
      </c>
      <c r="D87" s="17"/>
      <c r="E87" s="26" t="str">
        <f t="shared" si="3"/>
        <v>Lai 2023-11</v>
      </c>
      <c r="F87" s="27">
        <f t="shared" si="4"/>
        <v>-1197116</v>
      </c>
      <c r="G87" s="28" t="str">
        <f t="shared" si="5"/>
        <v>Lai phat sinh</v>
      </c>
    </row>
    <row r="88" spans="1:7" x14ac:dyDescent="0.25">
      <c r="A88" s="59">
        <v>45254</v>
      </c>
      <c r="B88" s="35">
        <v>-620694.74</v>
      </c>
      <c r="C88" t="s">
        <v>49</v>
      </c>
      <c r="D88" s="17"/>
      <c r="E88" s="26" t="str">
        <f t="shared" si="3"/>
        <v>Lai 2023-10</v>
      </c>
      <c r="F88" s="27">
        <f t="shared" si="4"/>
        <v>-1188682</v>
      </c>
      <c r="G88" s="28" t="str">
        <f t="shared" si="5"/>
        <v>Lai phat sinh</v>
      </c>
    </row>
    <row r="89" spans="1:7" x14ac:dyDescent="0.25">
      <c r="A89" s="59">
        <v>45254</v>
      </c>
      <c r="B89" s="35">
        <v>-113112.6</v>
      </c>
      <c r="C89" t="s">
        <v>49</v>
      </c>
      <c r="D89" s="17"/>
      <c r="E89" s="26" t="str">
        <f t="shared" si="3"/>
        <v>Lai 2023-10</v>
      </c>
      <c r="F89" s="27">
        <f t="shared" si="4"/>
        <v>-1188682</v>
      </c>
      <c r="G89" s="28" t="str">
        <f t="shared" si="5"/>
        <v>Lai phat sinh</v>
      </c>
    </row>
    <row r="90" spans="1:7" x14ac:dyDescent="0.25">
      <c r="A90" s="59">
        <v>45254</v>
      </c>
      <c r="B90" s="35">
        <v>-441500.21</v>
      </c>
      <c r="C90" t="s">
        <v>49</v>
      </c>
      <c r="D90" s="17"/>
      <c r="E90" s="26" t="str">
        <f t="shared" si="3"/>
        <v>Lai 2023-10</v>
      </c>
      <c r="F90" s="27">
        <f t="shared" si="4"/>
        <v>-1188682</v>
      </c>
      <c r="G90" s="28" t="str">
        <f t="shared" si="5"/>
        <v>Lai phat sinh</v>
      </c>
    </row>
    <row r="91" spans="1:7" x14ac:dyDescent="0.25">
      <c r="A91" s="59">
        <v>45254</v>
      </c>
      <c r="B91" s="35">
        <v>-13374.79</v>
      </c>
      <c r="C91" t="s">
        <v>49</v>
      </c>
      <c r="D91" s="17"/>
      <c r="E91" s="26" t="str">
        <f t="shared" si="3"/>
        <v>Lai 2023-10</v>
      </c>
      <c r="F91" s="27">
        <f t="shared" si="4"/>
        <v>-1188682</v>
      </c>
      <c r="G91" s="28" t="str">
        <f t="shared" si="5"/>
        <v>Lai phat sinh</v>
      </c>
    </row>
    <row r="92" spans="1:7" x14ac:dyDescent="0.25">
      <c r="A92" s="59">
        <v>45223</v>
      </c>
      <c r="B92" s="35">
        <v>-600672.32999999996</v>
      </c>
      <c r="C92" t="s">
        <v>49</v>
      </c>
      <c r="D92" s="17"/>
      <c r="E92" s="26" t="str">
        <f t="shared" si="3"/>
        <v>Lai 2023-09</v>
      </c>
      <c r="F92" s="27">
        <f t="shared" si="4"/>
        <v>-1106782</v>
      </c>
      <c r="G92" s="28" t="str">
        <f t="shared" si="5"/>
        <v>Lai phat sinh</v>
      </c>
    </row>
    <row r="93" spans="1:7" x14ac:dyDescent="0.25">
      <c r="A93" s="59">
        <v>45223</v>
      </c>
      <c r="B93" s="35">
        <v>-109463.8</v>
      </c>
      <c r="C93" t="s">
        <v>49</v>
      </c>
      <c r="D93" s="17"/>
      <c r="E93" s="26" t="str">
        <f t="shared" si="3"/>
        <v>Lai 2023-09</v>
      </c>
      <c r="F93" s="27">
        <f t="shared" si="4"/>
        <v>-1106782</v>
      </c>
      <c r="G93" s="28" t="str">
        <f t="shared" si="5"/>
        <v>Lai phat sinh</v>
      </c>
    </row>
    <row r="94" spans="1:7" x14ac:dyDescent="0.25">
      <c r="A94" s="59">
        <v>45223</v>
      </c>
      <c r="B94" s="35">
        <v>-383702.6</v>
      </c>
      <c r="C94" t="s">
        <v>49</v>
      </c>
      <c r="D94" s="17"/>
      <c r="E94" s="26" t="str">
        <f t="shared" si="3"/>
        <v>Lai 2023-09</v>
      </c>
      <c r="F94" s="27">
        <f t="shared" si="4"/>
        <v>-1106782</v>
      </c>
      <c r="G94" s="28" t="str">
        <f t="shared" si="5"/>
        <v>Lai phat sinh</v>
      </c>
    </row>
    <row r="95" spans="1:7" x14ac:dyDescent="0.25">
      <c r="A95" s="59">
        <v>45223</v>
      </c>
      <c r="B95" s="35">
        <v>-12943.34</v>
      </c>
      <c r="C95" t="s">
        <v>49</v>
      </c>
      <c r="D95" s="17"/>
      <c r="E95" s="26" t="str">
        <f t="shared" si="3"/>
        <v>Lai 2023-09</v>
      </c>
      <c r="F95" s="27">
        <f t="shared" si="4"/>
        <v>-1106782</v>
      </c>
      <c r="G95" s="28" t="str">
        <f t="shared" si="5"/>
        <v>Lai phat sinh</v>
      </c>
    </row>
    <row r="96" spans="1:7" x14ac:dyDescent="0.25">
      <c r="A96" s="59">
        <v>45193</v>
      </c>
      <c r="B96" s="35">
        <v>-620694.74</v>
      </c>
      <c r="C96" t="s">
        <v>49</v>
      </c>
      <c r="D96" s="17"/>
      <c r="E96" s="26" t="str">
        <f t="shared" si="3"/>
        <v>Lai 2023-08</v>
      </c>
      <c r="F96" s="27">
        <f t="shared" si="4"/>
        <v>-1098984</v>
      </c>
      <c r="G96" s="28" t="str">
        <f t="shared" si="5"/>
        <v>Lai phat sinh</v>
      </c>
    </row>
    <row r="97" spans="1:7" x14ac:dyDescent="0.25">
      <c r="A97" s="59">
        <v>45193</v>
      </c>
      <c r="B97" s="35">
        <v>-113112.6</v>
      </c>
      <c r="C97" t="s">
        <v>49</v>
      </c>
      <c r="D97" s="17"/>
      <c r="E97" s="26" t="str">
        <f t="shared" si="3"/>
        <v>Lai 2023-08</v>
      </c>
      <c r="F97" s="27">
        <f t="shared" si="4"/>
        <v>-1098984</v>
      </c>
      <c r="G97" s="28" t="str">
        <f t="shared" si="5"/>
        <v>Lai phat sinh</v>
      </c>
    </row>
    <row r="98" spans="1:7" x14ac:dyDescent="0.25">
      <c r="A98" s="59">
        <v>45193</v>
      </c>
      <c r="B98" s="35">
        <v>-351802.26</v>
      </c>
      <c r="C98" t="s">
        <v>49</v>
      </c>
      <c r="D98" s="17"/>
      <c r="E98" s="26" t="str">
        <f t="shared" si="3"/>
        <v>Lai 2023-08</v>
      </c>
      <c r="F98" s="27">
        <f t="shared" si="4"/>
        <v>-1098984</v>
      </c>
      <c r="G98" s="28" t="str">
        <f t="shared" si="5"/>
        <v>Lai phat sinh</v>
      </c>
    </row>
    <row r="99" spans="1:7" x14ac:dyDescent="0.25">
      <c r="A99" s="59">
        <v>45193</v>
      </c>
      <c r="B99" s="35">
        <v>-13374.79</v>
      </c>
      <c r="C99" t="s">
        <v>49</v>
      </c>
      <c r="D99" s="17"/>
      <c r="E99" s="26" t="str">
        <f t="shared" si="3"/>
        <v>Lai 2023-08</v>
      </c>
      <c r="F99" s="27">
        <f t="shared" si="4"/>
        <v>-1098984</v>
      </c>
      <c r="G99" s="28" t="str">
        <f t="shared" si="5"/>
        <v>Lai phat sinh</v>
      </c>
    </row>
    <row r="100" spans="1:7" x14ac:dyDescent="0.25">
      <c r="A100" s="59">
        <v>45162</v>
      </c>
      <c r="B100" s="35">
        <v>-620694.74</v>
      </c>
      <c r="C100" t="s">
        <v>49</v>
      </c>
      <c r="D100" s="17"/>
      <c r="E100" s="26" t="str">
        <f t="shared" si="3"/>
        <v>Lai 2023-07</v>
      </c>
      <c r="F100" s="27">
        <f t="shared" si="4"/>
        <v>-1056040</v>
      </c>
      <c r="G100" s="28" t="str">
        <f t="shared" si="5"/>
        <v>Lai phat sinh</v>
      </c>
    </row>
    <row r="101" spans="1:7" x14ac:dyDescent="0.25">
      <c r="A101" s="59">
        <v>45162</v>
      </c>
      <c r="B101" s="35">
        <v>-113112.6</v>
      </c>
      <c r="C101" t="s">
        <v>49</v>
      </c>
      <c r="D101" s="25"/>
      <c r="E101" s="26" t="str">
        <f t="shared" si="3"/>
        <v>Lai 2023-07</v>
      </c>
      <c r="F101" s="27">
        <f t="shared" si="4"/>
        <v>-1056040</v>
      </c>
      <c r="G101" s="28" t="str">
        <f t="shared" si="5"/>
        <v>Lai phat sinh</v>
      </c>
    </row>
    <row r="102" spans="1:7" x14ac:dyDescent="0.25">
      <c r="A102" s="59">
        <v>45162</v>
      </c>
      <c r="B102" s="35">
        <v>-308858.17</v>
      </c>
      <c r="C102" t="s">
        <v>49</v>
      </c>
      <c r="D102" s="17"/>
      <c r="E102" s="26" t="str">
        <f t="shared" si="3"/>
        <v>Lai 2023-07</v>
      </c>
      <c r="F102" s="27">
        <f t="shared" si="4"/>
        <v>-1056040</v>
      </c>
      <c r="G102" s="28" t="str">
        <f t="shared" si="5"/>
        <v>Lai phat sinh</v>
      </c>
    </row>
    <row r="103" spans="1:7" x14ac:dyDescent="0.25">
      <c r="A103" s="59">
        <v>45162</v>
      </c>
      <c r="B103" s="35">
        <v>-13374.79</v>
      </c>
      <c r="C103" t="s">
        <v>49</v>
      </c>
      <c r="D103" s="17"/>
      <c r="E103" s="26" t="str">
        <f t="shared" si="3"/>
        <v>Lai 2023-07</v>
      </c>
      <c r="F103" s="27">
        <f t="shared" si="4"/>
        <v>-1056040</v>
      </c>
      <c r="G103" s="28" t="str">
        <f t="shared" si="5"/>
        <v>Lai phat sinh</v>
      </c>
    </row>
    <row r="104" spans="1:7" x14ac:dyDescent="0.25">
      <c r="A104" s="59">
        <v>45131</v>
      </c>
      <c r="B104" s="35">
        <v>-2933.47</v>
      </c>
      <c r="C104" t="s">
        <v>49</v>
      </c>
      <c r="D104" s="17"/>
      <c r="E104" s="26" t="str">
        <f t="shared" si="3"/>
        <v>Lai 2023-06</v>
      </c>
      <c r="F104" s="27">
        <f t="shared" si="4"/>
        <v>-594827</v>
      </c>
      <c r="G104" s="28" t="str">
        <f t="shared" si="5"/>
        <v>Lai phat sinh</v>
      </c>
    </row>
    <row r="105" spans="1:7" x14ac:dyDescent="0.25">
      <c r="A105" s="59">
        <v>45131</v>
      </c>
      <c r="B105" s="35">
        <v>-14160.45</v>
      </c>
      <c r="C105" t="s">
        <v>49</v>
      </c>
      <c r="D105" s="17"/>
      <c r="E105" s="26" t="str">
        <f t="shared" si="3"/>
        <v>Lai 2023-06</v>
      </c>
      <c r="F105" s="27">
        <f t="shared" si="4"/>
        <v>-594827</v>
      </c>
      <c r="G105" s="28" t="str">
        <f t="shared" si="5"/>
        <v>Lai phat sinh</v>
      </c>
    </row>
    <row r="106" spans="1:7" x14ac:dyDescent="0.25">
      <c r="A106" s="59">
        <v>45131</v>
      </c>
      <c r="B106" s="35">
        <v>-53881.18</v>
      </c>
      <c r="C106" t="s">
        <v>49</v>
      </c>
      <c r="D106" s="17"/>
      <c r="E106" s="26" t="str">
        <f t="shared" si="3"/>
        <v>Lai 2023-06</v>
      </c>
      <c r="F106" s="27">
        <f t="shared" si="4"/>
        <v>-594827</v>
      </c>
      <c r="G106" s="28" t="str">
        <f t="shared" si="5"/>
        <v>Lai phat sinh</v>
      </c>
    </row>
    <row r="107" spans="1:7" x14ac:dyDescent="0.25">
      <c r="A107" s="59">
        <v>45131</v>
      </c>
      <c r="B107" s="35">
        <v>-3672.46</v>
      </c>
      <c r="C107" t="s">
        <v>49</v>
      </c>
      <c r="D107" s="17"/>
      <c r="E107" s="26" t="str">
        <f t="shared" si="3"/>
        <v>Lai 2023-06</v>
      </c>
      <c r="F107" s="27">
        <f t="shared" si="4"/>
        <v>-594827</v>
      </c>
      <c r="G107" s="28" t="str">
        <f t="shared" si="5"/>
        <v>Lai phat sinh</v>
      </c>
    </row>
    <row r="108" spans="1:7" x14ac:dyDescent="0.25">
      <c r="A108" s="59">
        <v>45131</v>
      </c>
      <c r="B108" s="35">
        <v>-53339.22</v>
      </c>
      <c r="C108" t="s">
        <v>49</v>
      </c>
      <c r="D108" s="17"/>
      <c r="E108" s="26" t="str">
        <f t="shared" si="3"/>
        <v>Lai 2023-06</v>
      </c>
      <c r="F108" s="27">
        <f t="shared" si="4"/>
        <v>-594827</v>
      </c>
      <c r="G108" s="28" t="str">
        <f t="shared" si="5"/>
        <v>Lai phat sinh</v>
      </c>
    </row>
    <row r="109" spans="1:7" x14ac:dyDescent="0.25">
      <c r="A109" s="59">
        <v>45131</v>
      </c>
      <c r="B109" s="35">
        <v>-8870.3799999999992</v>
      </c>
      <c r="C109" t="s">
        <v>49</v>
      </c>
      <c r="D109" s="17"/>
      <c r="E109" s="26" t="str">
        <f t="shared" si="3"/>
        <v>Lai 2023-06</v>
      </c>
      <c r="F109" s="27">
        <f t="shared" si="4"/>
        <v>-594827</v>
      </c>
      <c r="G109" s="28" t="str">
        <f t="shared" si="5"/>
        <v>Lai phat sinh</v>
      </c>
    </row>
    <row r="110" spans="1:7" x14ac:dyDescent="0.25">
      <c r="A110" s="59">
        <v>45131</v>
      </c>
      <c r="B110" s="35">
        <v>-4992.32</v>
      </c>
      <c r="C110" t="s">
        <v>49</v>
      </c>
      <c r="D110" s="17"/>
      <c r="E110" s="26" t="str">
        <f t="shared" si="3"/>
        <v>Lai 2023-06</v>
      </c>
      <c r="F110" s="27">
        <f t="shared" si="4"/>
        <v>-594827</v>
      </c>
      <c r="G110" s="28" t="str">
        <f t="shared" si="5"/>
        <v>Lai phat sinh</v>
      </c>
    </row>
    <row r="111" spans="1:7" x14ac:dyDescent="0.25">
      <c r="A111" s="59">
        <v>45131</v>
      </c>
      <c r="B111" s="35">
        <v>-12931.48</v>
      </c>
      <c r="C111" t="s">
        <v>49</v>
      </c>
      <c r="D111" s="17"/>
      <c r="E111" s="26" t="str">
        <f t="shared" si="3"/>
        <v>Lai 2023-06</v>
      </c>
      <c r="F111" s="27">
        <f t="shared" si="4"/>
        <v>-594827</v>
      </c>
      <c r="G111" s="28" t="str">
        <f t="shared" si="5"/>
        <v>Lai phat sinh</v>
      </c>
    </row>
    <row r="112" spans="1:7" x14ac:dyDescent="0.25">
      <c r="A112" s="59">
        <v>45131</v>
      </c>
      <c r="B112" s="35">
        <v>-7334.56</v>
      </c>
      <c r="C112" t="s">
        <v>49</v>
      </c>
      <c r="D112" s="17"/>
      <c r="E112" s="26" t="str">
        <f t="shared" si="3"/>
        <v>Lai 2023-06</v>
      </c>
      <c r="F112" s="27">
        <f t="shared" si="4"/>
        <v>-594827</v>
      </c>
      <c r="G112" s="28" t="str">
        <f t="shared" si="5"/>
        <v>Lai phat sinh</v>
      </c>
    </row>
    <row r="113" spans="1:7" x14ac:dyDescent="0.25">
      <c r="A113" s="59">
        <v>45131</v>
      </c>
      <c r="B113" s="35">
        <v>-260291.34</v>
      </c>
      <c r="C113" t="s">
        <v>49</v>
      </c>
      <c r="D113" s="17"/>
      <c r="E113" s="26" t="str">
        <f t="shared" si="3"/>
        <v>Lai 2023-06</v>
      </c>
      <c r="F113" s="27">
        <f t="shared" si="4"/>
        <v>-594827</v>
      </c>
      <c r="G113" s="28" t="str">
        <f t="shared" si="5"/>
        <v>Lai phat sinh</v>
      </c>
    </row>
    <row r="114" spans="1:7" x14ac:dyDescent="0.25">
      <c r="A114" s="59">
        <v>45131</v>
      </c>
      <c r="B114" s="35">
        <v>-47434.31</v>
      </c>
      <c r="C114" t="s">
        <v>49</v>
      </c>
      <c r="D114" s="17"/>
      <c r="E114" s="26" t="str">
        <f t="shared" si="3"/>
        <v>Lai 2023-06</v>
      </c>
      <c r="F114" s="27">
        <f t="shared" si="4"/>
        <v>-594827</v>
      </c>
      <c r="G114" s="28" t="str">
        <f t="shared" si="5"/>
        <v>Lai phat sinh</v>
      </c>
    </row>
    <row r="115" spans="1:7" x14ac:dyDescent="0.25">
      <c r="A115" s="59">
        <v>45131</v>
      </c>
      <c r="B115" s="35">
        <v>-119377.49</v>
      </c>
      <c r="C115" t="s">
        <v>49</v>
      </c>
      <c r="D115" s="25"/>
      <c r="E115" s="26" t="str">
        <f t="shared" si="3"/>
        <v>Lai 2023-06</v>
      </c>
      <c r="F115" s="27">
        <f t="shared" si="4"/>
        <v>-594827</v>
      </c>
      <c r="G115" s="28" t="str">
        <f t="shared" si="5"/>
        <v>Lai phat sinh</v>
      </c>
    </row>
    <row r="116" spans="1:7" x14ac:dyDescent="0.25">
      <c r="A116" s="59">
        <v>45131</v>
      </c>
      <c r="B116" s="35">
        <v>-5608.78</v>
      </c>
      <c r="C116" t="s">
        <v>49</v>
      </c>
      <c r="D116" s="17"/>
      <c r="E116" s="26" t="str">
        <f t="shared" si="3"/>
        <v>Lai 2023-06</v>
      </c>
      <c r="F116" s="27">
        <f t="shared" si="4"/>
        <v>-594827</v>
      </c>
      <c r="G116" s="28" t="str">
        <f t="shared" si="5"/>
        <v>Lai phat sinh</v>
      </c>
    </row>
    <row r="117" spans="1:7" x14ac:dyDescent="0.25">
      <c r="A117" s="59">
        <v>45118</v>
      </c>
      <c r="B117" s="35">
        <v>11476791.65</v>
      </c>
      <c r="C117" t="s">
        <v>752</v>
      </c>
      <c r="D117" s="17" t="s">
        <v>753</v>
      </c>
      <c r="E117" s="26" t="str">
        <f t="shared" si="3"/>
        <v xml:space="preserve"> 2023-06</v>
      </c>
      <c r="F117" s="27">
        <f t="shared" si="4"/>
        <v>16895792</v>
      </c>
      <c r="G117" s="28" t="str">
        <f t="shared" si="5"/>
        <v>Duong</v>
      </c>
    </row>
    <row r="118" spans="1:7" x14ac:dyDescent="0.25">
      <c r="A118" s="59">
        <v>45118</v>
      </c>
      <c r="B118" s="35">
        <v>604041.67000000004</v>
      </c>
      <c r="C118" t="s">
        <v>752</v>
      </c>
      <c r="D118" s="17" t="s">
        <v>754</v>
      </c>
      <c r="E118" s="26" t="str">
        <f t="shared" si="3"/>
        <v xml:space="preserve"> 2023-06</v>
      </c>
      <c r="F118" s="27">
        <f t="shared" si="4"/>
        <v>16895792</v>
      </c>
      <c r="G118" s="28" t="str">
        <f t="shared" si="5"/>
        <v>Duong</v>
      </c>
    </row>
    <row r="119" spans="1:7" x14ac:dyDescent="0.25">
      <c r="A119" s="59">
        <v>45118</v>
      </c>
      <c r="B119" s="35">
        <v>289940</v>
      </c>
      <c r="C119" t="s">
        <v>752</v>
      </c>
      <c r="D119" s="17" t="s">
        <v>755</v>
      </c>
      <c r="E119" s="26" t="str">
        <f t="shared" si="3"/>
        <v xml:space="preserve"> 2023-06</v>
      </c>
      <c r="F119" s="27">
        <f t="shared" si="4"/>
        <v>16895792</v>
      </c>
      <c r="G119" s="28" t="str">
        <f t="shared" si="5"/>
        <v>Duong</v>
      </c>
    </row>
    <row r="120" spans="1:7" x14ac:dyDescent="0.25">
      <c r="A120" s="59">
        <v>45118</v>
      </c>
      <c r="B120" s="35">
        <v>-225011.19</v>
      </c>
      <c r="C120" t="s">
        <v>50</v>
      </c>
      <c r="D120" s="17"/>
      <c r="E120" s="26" t="str">
        <f t="shared" si="3"/>
        <v>Phi 2023-06</v>
      </c>
      <c r="F120" s="27">
        <f t="shared" si="4"/>
        <v>-225011</v>
      </c>
      <c r="G120" s="28" t="str">
        <f t="shared" si="5"/>
        <v>Phi</v>
      </c>
    </row>
    <row r="121" spans="1:7" x14ac:dyDescent="0.25">
      <c r="A121" s="59">
        <v>45118</v>
      </c>
      <c r="B121" s="35">
        <v>-634989.87</v>
      </c>
      <c r="C121" t="s">
        <v>752</v>
      </c>
      <c r="D121" s="17" t="s">
        <v>756</v>
      </c>
      <c r="E121" s="26" t="str">
        <f t="shared" si="3"/>
        <v xml:space="preserve"> 2023-06</v>
      </c>
      <c r="F121" s="27">
        <f t="shared" si="4"/>
        <v>-16895792</v>
      </c>
      <c r="G121" s="28" t="str">
        <f t="shared" si="5"/>
        <v>Lai tra gop</v>
      </c>
    </row>
    <row r="122" spans="1:7" x14ac:dyDescent="0.25">
      <c r="A122" s="59">
        <v>45118</v>
      </c>
      <c r="B122" s="35">
        <v>-3020208.35</v>
      </c>
      <c r="C122" t="s">
        <v>752</v>
      </c>
      <c r="D122" s="17" t="s">
        <v>757</v>
      </c>
      <c r="E122" s="26" t="str">
        <f t="shared" si="3"/>
        <v xml:space="preserve"> 2023-06</v>
      </c>
      <c r="F122" s="27">
        <f t="shared" si="4"/>
        <v>-16895792</v>
      </c>
      <c r="G122" s="28" t="str">
        <f t="shared" si="5"/>
        <v>Lai tra gop</v>
      </c>
    </row>
    <row r="123" spans="1:7" x14ac:dyDescent="0.25">
      <c r="A123" s="59">
        <v>45118</v>
      </c>
      <c r="B123" s="35">
        <v>-11476791.65</v>
      </c>
      <c r="C123" t="s">
        <v>752</v>
      </c>
      <c r="D123" s="17" t="s">
        <v>753</v>
      </c>
      <c r="E123" s="26" t="str">
        <f t="shared" si="3"/>
        <v xml:space="preserve"> 2023-06</v>
      </c>
      <c r="F123" s="27">
        <f t="shared" si="4"/>
        <v>-16895792</v>
      </c>
      <c r="G123" s="28" t="str">
        <f t="shared" si="5"/>
        <v>Lai tra gop</v>
      </c>
    </row>
    <row r="124" spans="1:7" x14ac:dyDescent="0.25">
      <c r="A124" s="59">
        <v>45118</v>
      </c>
      <c r="B124" s="35">
        <v>-5508860</v>
      </c>
      <c r="C124" t="s">
        <v>752</v>
      </c>
      <c r="D124" s="17" t="s">
        <v>758</v>
      </c>
      <c r="E124" s="26" t="str">
        <f t="shared" si="3"/>
        <v>Lai tra gop 2023-06</v>
      </c>
      <c r="F124" s="27">
        <f t="shared" si="4"/>
        <v>-5508860</v>
      </c>
      <c r="G124" s="28" t="str">
        <f t="shared" si="5"/>
        <v>Lai tra gop</v>
      </c>
    </row>
    <row r="125" spans="1:7" x14ac:dyDescent="0.25">
      <c r="A125" s="59">
        <v>45118</v>
      </c>
      <c r="B125" s="35">
        <v>-869820</v>
      </c>
      <c r="C125" t="s">
        <v>752</v>
      </c>
      <c r="D125" s="17" t="s">
        <v>759</v>
      </c>
      <c r="E125" s="26" t="str">
        <f t="shared" si="3"/>
        <v xml:space="preserve"> 2023-06</v>
      </c>
      <c r="F125" s="27">
        <f t="shared" si="4"/>
        <v>-16895792</v>
      </c>
      <c r="G125" s="28" t="str">
        <f t="shared" si="5"/>
        <v>Lai tra gop</v>
      </c>
    </row>
    <row r="126" spans="1:7" x14ac:dyDescent="0.25">
      <c r="A126" s="59">
        <v>45118</v>
      </c>
      <c r="B126" s="35">
        <v>634989.87</v>
      </c>
      <c r="C126" t="s">
        <v>752</v>
      </c>
      <c r="D126" s="17" t="s">
        <v>756</v>
      </c>
      <c r="E126" s="26" t="str">
        <f t="shared" si="3"/>
        <v xml:space="preserve"> 2023-06</v>
      </c>
      <c r="F126" s="27">
        <f t="shared" si="4"/>
        <v>16895792</v>
      </c>
      <c r="G126" s="28" t="str">
        <f t="shared" si="5"/>
        <v>Duong</v>
      </c>
    </row>
    <row r="127" spans="1:7" x14ac:dyDescent="0.25">
      <c r="A127" s="59">
        <v>45118</v>
      </c>
      <c r="B127" s="35">
        <v>-604041.67000000004</v>
      </c>
      <c r="C127" t="s">
        <v>752</v>
      </c>
      <c r="D127" s="17" t="s">
        <v>754</v>
      </c>
      <c r="E127" s="26" t="str">
        <f t="shared" si="3"/>
        <v xml:space="preserve"> 2023-06</v>
      </c>
      <c r="F127" s="27">
        <f t="shared" si="4"/>
        <v>-16895792</v>
      </c>
      <c r="G127" s="28" t="str">
        <f t="shared" si="5"/>
        <v>Lai tra gop</v>
      </c>
    </row>
    <row r="128" spans="1:7" x14ac:dyDescent="0.25">
      <c r="A128" s="59">
        <v>45118</v>
      </c>
      <c r="B128" s="35">
        <v>3020208.35</v>
      </c>
      <c r="C128" t="s">
        <v>752</v>
      </c>
      <c r="D128" s="17" t="s">
        <v>757</v>
      </c>
      <c r="E128" s="26" t="str">
        <f t="shared" si="3"/>
        <v xml:space="preserve"> 2023-06</v>
      </c>
      <c r="F128" s="27">
        <f t="shared" si="4"/>
        <v>16895792</v>
      </c>
      <c r="G128" s="28" t="str">
        <f t="shared" si="5"/>
        <v>Duong</v>
      </c>
    </row>
    <row r="129" spans="1:7" x14ac:dyDescent="0.25">
      <c r="A129" s="59">
        <v>45118</v>
      </c>
      <c r="B129" s="35">
        <v>-289940</v>
      </c>
      <c r="C129" t="s">
        <v>752</v>
      </c>
      <c r="D129" s="17" t="s">
        <v>755</v>
      </c>
      <c r="E129" s="26" t="str">
        <f t="shared" si="3"/>
        <v xml:space="preserve"> 2023-06</v>
      </c>
      <c r="F129" s="27">
        <f t="shared" si="4"/>
        <v>-16895792</v>
      </c>
      <c r="G129" s="28" t="str">
        <f t="shared" si="5"/>
        <v>Lai tra gop</v>
      </c>
    </row>
    <row r="130" spans="1:7" x14ac:dyDescent="0.25">
      <c r="A130" s="59">
        <v>45118</v>
      </c>
      <c r="B130" s="35">
        <v>869820</v>
      </c>
      <c r="C130" t="s">
        <v>752</v>
      </c>
      <c r="D130" s="17" t="s">
        <v>759</v>
      </c>
      <c r="E130" s="26" t="str">
        <f t="shared" ref="E130:E193" si="6">IF(OR(C130="Transaction",C130="Interests",C130="Misc",C130="Account Transfer"), IF(C130="Transaction", IF(B130&lt;0, "Du no", "Da thanh toan"), IF(C130="Interests", "Lai", IF(C130="Misc", "Phi", IF(C130="Account Transfer", IF(OR(ISNUMBER(SEARCH("Trich lai tra gop the TD", D130)), ISNUMBER(SEARCH("Chuyen lai tra gop con lai sang du no thong thuong khi BadDebt", D130))), IF(B130&lt;0, "Lai tra gop", ""), "" )))))) &amp; " " &amp; IF(C130="Interests", TEXT(EDATE(IF(DAY(A130)&gt;=24, A130, EDATE(A130,-1)), -1),"yyyy-mm"), TEXT(IF(DAY(A130)&gt;=24, A130, EDATE(A130,-1)),"yyyy-mm"))</f>
        <v xml:space="preserve"> 2023-06</v>
      </c>
      <c r="F130" s="27">
        <f t="shared" ref="F130:F193" si="7">IF(ISNUMBER(B130), ROUND(SUMIFS($B$2:$B$10000, $E$2:$E$10000, E130, $B$2:$B$10000, IF(B130&lt;0, "&lt;0", "&gt;0")), 0), "")</f>
        <v>16895792</v>
      </c>
      <c r="G130" s="28" t="str">
        <f t="shared" ref="G130:G193" si="8">IF(F130&gt;0, IF(C130="Transaction", "Da thanh toan", "Duong"), IF(F130&lt;0, IF(C130="Transaction", "Du no", IF(C130="Interests", "Lai phat sinh", IF(C130="Misc", "Phi", IF(C130="Account Transfer", "Lai tra gop", "Am")))), "Bang 0"))</f>
        <v>Duong</v>
      </c>
    </row>
    <row r="131" spans="1:7" x14ac:dyDescent="0.25">
      <c r="A131" s="59">
        <v>45101</v>
      </c>
      <c r="B131" s="35">
        <v>-2736.37</v>
      </c>
      <c r="C131" t="s">
        <v>49</v>
      </c>
      <c r="D131" s="17"/>
      <c r="E131" s="26" t="str">
        <f t="shared" si="6"/>
        <v>Lai 2023-05</v>
      </c>
      <c r="F131" s="27">
        <f t="shared" si="7"/>
        <v>-250510</v>
      </c>
      <c r="G131" s="28" t="str">
        <f t="shared" si="8"/>
        <v>Lai phat sinh</v>
      </c>
    </row>
    <row r="132" spans="1:7" x14ac:dyDescent="0.25">
      <c r="A132" s="59">
        <v>45101</v>
      </c>
      <c r="B132" s="35">
        <v>-5349.26</v>
      </c>
      <c r="C132" t="s">
        <v>49</v>
      </c>
      <c r="D132" s="17"/>
      <c r="E132" s="26" t="str">
        <f t="shared" si="6"/>
        <v>Lai 2023-05</v>
      </c>
      <c r="F132" s="27">
        <f t="shared" si="7"/>
        <v>-250510</v>
      </c>
      <c r="G132" s="28" t="str">
        <f t="shared" si="8"/>
        <v>Lai phat sinh</v>
      </c>
    </row>
    <row r="133" spans="1:7" x14ac:dyDescent="0.25">
      <c r="A133" s="59">
        <v>45101</v>
      </c>
      <c r="B133" s="35">
        <v>-25821.99</v>
      </c>
      <c r="C133" t="s">
        <v>49</v>
      </c>
      <c r="D133" s="17"/>
      <c r="E133" s="26" t="str">
        <f t="shared" si="6"/>
        <v>Lai 2023-05</v>
      </c>
      <c r="F133" s="27">
        <f t="shared" si="7"/>
        <v>-250510</v>
      </c>
      <c r="G133" s="28" t="str">
        <f t="shared" si="8"/>
        <v>Lai phat sinh</v>
      </c>
    </row>
    <row r="134" spans="1:7" x14ac:dyDescent="0.25">
      <c r="A134" s="59">
        <v>45101</v>
      </c>
      <c r="B134" s="35">
        <v>-2931.83</v>
      </c>
      <c r="C134" t="s">
        <v>49</v>
      </c>
      <c r="D134" s="17"/>
      <c r="E134" s="26" t="str">
        <f t="shared" si="6"/>
        <v>Lai 2023-05</v>
      </c>
      <c r="F134" s="27">
        <f t="shared" si="7"/>
        <v>-250510</v>
      </c>
      <c r="G134" s="28" t="str">
        <f t="shared" si="8"/>
        <v>Lai phat sinh</v>
      </c>
    </row>
    <row r="135" spans="1:7" x14ac:dyDescent="0.25">
      <c r="A135" s="59">
        <v>45101</v>
      </c>
      <c r="B135" s="35">
        <v>-94333.8</v>
      </c>
      <c r="C135" t="s">
        <v>49</v>
      </c>
      <c r="D135" s="17"/>
      <c r="E135" s="26" t="str">
        <f t="shared" si="6"/>
        <v>Lai 2023-05</v>
      </c>
      <c r="F135" s="27">
        <f t="shared" si="7"/>
        <v>-250510</v>
      </c>
      <c r="G135" s="28" t="str">
        <f t="shared" si="8"/>
        <v>Lai phat sinh</v>
      </c>
    </row>
    <row r="136" spans="1:7" x14ac:dyDescent="0.25">
      <c r="A136" s="59">
        <v>45101</v>
      </c>
      <c r="B136" s="35">
        <v>-10417.59</v>
      </c>
      <c r="C136" t="s">
        <v>49</v>
      </c>
      <c r="D136" s="34"/>
      <c r="E136" s="26" t="str">
        <f t="shared" si="6"/>
        <v>Lai 2023-05</v>
      </c>
      <c r="F136" s="27">
        <f t="shared" si="7"/>
        <v>-250510</v>
      </c>
      <c r="G136" s="28" t="str">
        <f t="shared" si="8"/>
        <v>Lai phat sinh</v>
      </c>
    </row>
    <row r="137" spans="1:7" x14ac:dyDescent="0.25">
      <c r="A137" s="59">
        <v>45101</v>
      </c>
      <c r="B137" s="35">
        <v>-86368.36</v>
      </c>
      <c r="C137" t="s">
        <v>49</v>
      </c>
      <c r="D137" s="17"/>
      <c r="E137" s="26" t="str">
        <f t="shared" si="6"/>
        <v>Lai 2023-05</v>
      </c>
      <c r="F137" s="27">
        <f t="shared" si="7"/>
        <v>-250510</v>
      </c>
      <c r="G137" s="28" t="str">
        <f t="shared" si="8"/>
        <v>Lai phat sinh</v>
      </c>
    </row>
    <row r="138" spans="1:7" x14ac:dyDescent="0.25">
      <c r="A138" s="59">
        <v>45101</v>
      </c>
      <c r="B138" s="35">
        <v>-4674.45</v>
      </c>
      <c r="C138" t="s">
        <v>49</v>
      </c>
      <c r="D138" s="17"/>
      <c r="E138" s="26" t="str">
        <f t="shared" si="6"/>
        <v>Lai 2023-05</v>
      </c>
      <c r="F138" s="27">
        <f t="shared" si="7"/>
        <v>-250510</v>
      </c>
      <c r="G138" s="28" t="str">
        <f t="shared" si="8"/>
        <v>Lai phat sinh</v>
      </c>
    </row>
    <row r="139" spans="1:7" x14ac:dyDescent="0.25">
      <c r="A139" s="59">
        <v>45101</v>
      </c>
      <c r="B139" s="35">
        <v>-17875.87</v>
      </c>
      <c r="C139" t="s">
        <v>49</v>
      </c>
      <c r="D139" s="17"/>
      <c r="E139" s="26" t="str">
        <f t="shared" si="6"/>
        <v>Lai 2023-05</v>
      </c>
      <c r="F139" s="27">
        <f t="shared" si="7"/>
        <v>-250510</v>
      </c>
      <c r="G139" s="28" t="str">
        <f t="shared" si="8"/>
        <v>Lai phat sinh</v>
      </c>
    </row>
    <row r="140" spans="1:7" x14ac:dyDescent="0.25">
      <c r="A140" s="59">
        <v>45100</v>
      </c>
      <c r="B140" s="35">
        <v>604041.67000000004</v>
      </c>
      <c r="C140" t="s">
        <v>752</v>
      </c>
      <c r="D140" s="17" t="s">
        <v>760</v>
      </c>
      <c r="E140" s="26" t="str">
        <f t="shared" si="6"/>
        <v xml:space="preserve"> 2023-05</v>
      </c>
      <c r="F140" s="27">
        <f t="shared" si="7"/>
        <v>1498023</v>
      </c>
      <c r="G140" s="28" t="str">
        <f t="shared" si="8"/>
        <v>Duong</v>
      </c>
    </row>
    <row r="141" spans="1:7" x14ac:dyDescent="0.25">
      <c r="A141" s="59">
        <v>45100</v>
      </c>
      <c r="B141" s="35">
        <v>-604041.67000000004</v>
      </c>
      <c r="C141" t="s">
        <v>752</v>
      </c>
      <c r="D141" s="17" t="s">
        <v>760</v>
      </c>
      <c r="E141" s="26" t="str">
        <f t="shared" si="6"/>
        <v xml:space="preserve"> 2023-05</v>
      </c>
      <c r="F141" s="27">
        <f t="shared" si="7"/>
        <v>-1498023</v>
      </c>
      <c r="G141" s="28" t="str">
        <f t="shared" si="8"/>
        <v>Lai tra gop</v>
      </c>
    </row>
    <row r="142" spans="1:7" x14ac:dyDescent="0.25">
      <c r="A142" s="59">
        <v>45100</v>
      </c>
      <c r="B142" s="35">
        <v>-289940</v>
      </c>
      <c r="C142" t="s">
        <v>752</v>
      </c>
      <c r="D142" s="17" t="s">
        <v>761</v>
      </c>
      <c r="E142" s="26" t="str">
        <f t="shared" si="6"/>
        <v>Lai tra gop 2023-05</v>
      </c>
      <c r="F142" s="27">
        <f t="shared" si="7"/>
        <v>-289940</v>
      </c>
      <c r="G142" s="28" t="str">
        <f t="shared" si="8"/>
        <v>Lai tra gop</v>
      </c>
    </row>
    <row r="143" spans="1:7" x14ac:dyDescent="0.25">
      <c r="A143" s="59">
        <v>45086</v>
      </c>
      <c r="B143" s="35">
        <v>-164682.32999999999</v>
      </c>
      <c r="C143" t="s">
        <v>50</v>
      </c>
      <c r="D143" s="17"/>
      <c r="E143" s="26" t="str">
        <f t="shared" si="6"/>
        <v>Phi 2023-05</v>
      </c>
      <c r="F143" s="27">
        <f t="shared" si="7"/>
        <v>-493582</v>
      </c>
      <c r="G143" s="28" t="str">
        <f t="shared" si="8"/>
        <v>Phi</v>
      </c>
    </row>
    <row r="144" spans="1:7" x14ac:dyDescent="0.25">
      <c r="A144" s="59">
        <v>45085</v>
      </c>
      <c r="B144" s="35">
        <v>604041.67000000004</v>
      </c>
      <c r="C144" t="s">
        <v>752</v>
      </c>
      <c r="D144" s="17" t="s">
        <v>754</v>
      </c>
      <c r="E144" s="26" t="str">
        <f t="shared" si="6"/>
        <v xml:space="preserve"> 2023-05</v>
      </c>
      <c r="F144" s="27">
        <f t="shared" si="7"/>
        <v>1498023</v>
      </c>
      <c r="G144" s="28" t="str">
        <f t="shared" si="8"/>
        <v>Duong</v>
      </c>
    </row>
    <row r="145" spans="1:7" x14ac:dyDescent="0.25">
      <c r="A145" s="59">
        <v>45085</v>
      </c>
      <c r="B145" s="35">
        <v>289940</v>
      </c>
      <c r="C145" t="s">
        <v>752</v>
      </c>
      <c r="D145" s="17" t="s">
        <v>755</v>
      </c>
      <c r="E145" s="26" t="str">
        <f t="shared" si="6"/>
        <v xml:space="preserve"> 2023-05</v>
      </c>
      <c r="F145" s="27">
        <f t="shared" si="7"/>
        <v>1498023</v>
      </c>
      <c r="G145" s="28" t="str">
        <f t="shared" si="8"/>
        <v>Duong</v>
      </c>
    </row>
    <row r="146" spans="1:7" x14ac:dyDescent="0.25">
      <c r="A146" s="59">
        <v>45085</v>
      </c>
      <c r="B146" s="35">
        <v>-604041.67000000004</v>
      </c>
      <c r="C146" t="s">
        <v>752</v>
      </c>
      <c r="D146" s="17" t="s">
        <v>754</v>
      </c>
      <c r="E146" s="26" t="str">
        <f t="shared" si="6"/>
        <v xml:space="preserve"> 2023-05</v>
      </c>
      <c r="F146" s="27">
        <f t="shared" si="7"/>
        <v>-1498023</v>
      </c>
      <c r="G146" s="28" t="str">
        <f t="shared" si="8"/>
        <v>Lai tra gop</v>
      </c>
    </row>
    <row r="147" spans="1:7" x14ac:dyDescent="0.25">
      <c r="A147" s="59">
        <v>45085</v>
      </c>
      <c r="B147" s="35">
        <v>-289940</v>
      </c>
      <c r="C147" t="s">
        <v>752</v>
      </c>
      <c r="D147" s="17" t="s">
        <v>755</v>
      </c>
      <c r="E147" s="26" t="str">
        <f t="shared" si="6"/>
        <v xml:space="preserve"> 2023-05</v>
      </c>
      <c r="F147" s="27">
        <f t="shared" si="7"/>
        <v>-1498023</v>
      </c>
      <c r="G147" s="28" t="str">
        <f t="shared" si="8"/>
        <v>Lai tra gop</v>
      </c>
    </row>
    <row r="148" spans="1:7" x14ac:dyDescent="0.25">
      <c r="A148" s="59">
        <v>45080</v>
      </c>
      <c r="B148" s="35">
        <v>-299000</v>
      </c>
      <c r="C148" t="s">
        <v>50</v>
      </c>
      <c r="D148" s="17"/>
      <c r="E148" s="26" t="str">
        <f t="shared" si="6"/>
        <v>Phi 2023-05</v>
      </c>
      <c r="F148" s="27">
        <f t="shared" si="7"/>
        <v>-493582</v>
      </c>
      <c r="G148" s="28" t="str">
        <f t="shared" si="8"/>
        <v>Phi</v>
      </c>
    </row>
    <row r="149" spans="1:7" x14ac:dyDescent="0.25">
      <c r="A149" s="59">
        <v>45080</v>
      </c>
      <c r="B149" s="35">
        <v>-29900</v>
      </c>
      <c r="C149" t="s">
        <v>50</v>
      </c>
      <c r="D149" s="17"/>
      <c r="E149" s="26" t="str">
        <f t="shared" si="6"/>
        <v>Phi 2023-05</v>
      </c>
      <c r="F149" s="27">
        <f t="shared" si="7"/>
        <v>-493582</v>
      </c>
      <c r="G149" s="28" t="str">
        <f t="shared" si="8"/>
        <v>Phi</v>
      </c>
    </row>
    <row r="150" spans="1:7" x14ac:dyDescent="0.25">
      <c r="A150" s="59">
        <v>45070</v>
      </c>
      <c r="B150" s="35">
        <v>-2540.92</v>
      </c>
      <c r="C150" t="s">
        <v>49</v>
      </c>
      <c r="D150" s="17"/>
      <c r="E150" s="26" t="str">
        <f t="shared" si="6"/>
        <v>Lai 2023-04</v>
      </c>
      <c r="F150" s="27">
        <f t="shared" si="7"/>
        <v>-193110</v>
      </c>
      <c r="G150" s="28" t="str">
        <f t="shared" si="8"/>
        <v>Lai phat sinh</v>
      </c>
    </row>
    <row r="151" spans="1:7" x14ac:dyDescent="0.25">
      <c r="A151" s="59">
        <v>45070</v>
      </c>
      <c r="B151" s="35">
        <v>-5176.71</v>
      </c>
      <c r="C151" t="s">
        <v>49</v>
      </c>
      <c r="D151" s="17"/>
      <c r="E151" s="26" t="str">
        <f t="shared" si="6"/>
        <v>Lai 2023-04</v>
      </c>
      <c r="F151" s="27">
        <f t="shared" si="7"/>
        <v>-193110</v>
      </c>
      <c r="G151" s="28" t="str">
        <f t="shared" si="8"/>
        <v>Lai phat sinh</v>
      </c>
    </row>
    <row r="152" spans="1:7" x14ac:dyDescent="0.25">
      <c r="A152" s="59">
        <v>45070</v>
      </c>
      <c r="B152" s="35">
        <v>-24989.03</v>
      </c>
      <c r="C152" t="s">
        <v>49</v>
      </c>
      <c r="D152" s="17"/>
      <c r="E152" s="26" t="str">
        <f t="shared" si="6"/>
        <v>Lai 2023-04</v>
      </c>
      <c r="F152" s="27">
        <f t="shared" si="7"/>
        <v>-193110</v>
      </c>
      <c r="G152" s="28" t="str">
        <f t="shared" si="8"/>
        <v>Lai phat sinh</v>
      </c>
    </row>
    <row r="153" spans="1:7" x14ac:dyDescent="0.25">
      <c r="A153" s="59">
        <v>45070</v>
      </c>
      <c r="B153" s="35">
        <v>-2931.83</v>
      </c>
      <c r="C153" t="s">
        <v>49</v>
      </c>
      <c r="D153" s="17"/>
      <c r="E153" s="26" t="str">
        <f t="shared" si="6"/>
        <v>Lai 2023-04</v>
      </c>
      <c r="F153" s="27">
        <f t="shared" si="7"/>
        <v>-193110</v>
      </c>
      <c r="G153" s="28" t="str">
        <f t="shared" si="8"/>
        <v>Lai phat sinh</v>
      </c>
    </row>
    <row r="154" spans="1:7" x14ac:dyDescent="0.25">
      <c r="A154" s="59">
        <v>45070</v>
      </c>
      <c r="B154" s="35">
        <v>-85332.54</v>
      </c>
      <c r="C154" t="s">
        <v>49</v>
      </c>
      <c r="D154" s="17"/>
      <c r="E154" s="26" t="str">
        <f t="shared" si="6"/>
        <v>Lai 2023-04</v>
      </c>
      <c r="F154" s="27">
        <f t="shared" si="7"/>
        <v>-193110</v>
      </c>
      <c r="G154" s="28" t="str">
        <f t="shared" si="8"/>
        <v>Lai phat sinh</v>
      </c>
    </row>
    <row r="155" spans="1:7" x14ac:dyDescent="0.25">
      <c r="A155" s="59">
        <v>45070</v>
      </c>
      <c r="B155" s="35">
        <v>-5119.4399999999996</v>
      </c>
      <c r="C155" t="s">
        <v>49</v>
      </c>
      <c r="D155" s="17"/>
      <c r="E155" s="26" t="str">
        <f t="shared" si="6"/>
        <v>Lai 2023-04</v>
      </c>
      <c r="F155" s="27">
        <f t="shared" si="7"/>
        <v>-193110</v>
      </c>
      <c r="G155" s="28" t="str">
        <f t="shared" si="8"/>
        <v>Lai phat sinh</v>
      </c>
    </row>
    <row r="156" spans="1:7" x14ac:dyDescent="0.25">
      <c r="A156" s="59">
        <v>45070</v>
      </c>
      <c r="B156" s="35">
        <v>-59427.77</v>
      </c>
      <c r="C156" t="s">
        <v>49</v>
      </c>
      <c r="D156" s="17"/>
      <c r="E156" s="26" t="str">
        <f t="shared" si="6"/>
        <v>Lai 2023-04</v>
      </c>
      <c r="F156" s="27">
        <f t="shared" si="7"/>
        <v>-193110</v>
      </c>
      <c r="G156" s="28" t="str">
        <f t="shared" si="8"/>
        <v>Lai phat sinh</v>
      </c>
    </row>
    <row r="157" spans="1:7" x14ac:dyDescent="0.25">
      <c r="A157" s="59">
        <v>45070</v>
      </c>
      <c r="B157" s="35">
        <v>-1886.23</v>
      </c>
      <c r="C157" t="s">
        <v>49</v>
      </c>
      <c r="D157" s="17"/>
      <c r="E157" s="26" t="str">
        <f t="shared" si="6"/>
        <v>Lai 2023-04</v>
      </c>
      <c r="F157" s="27">
        <f t="shared" si="7"/>
        <v>-193110</v>
      </c>
      <c r="G157" s="28" t="str">
        <f t="shared" si="8"/>
        <v>Lai phat sinh</v>
      </c>
    </row>
    <row r="158" spans="1:7" x14ac:dyDescent="0.25">
      <c r="A158" s="59">
        <v>45070</v>
      </c>
      <c r="B158" s="35">
        <v>-5705.07</v>
      </c>
      <c r="C158" t="s">
        <v>49</v>
      </c>
      <c r="D158" s="17"/>
      <c r="E158" s="26" t="str">
        <f t="shared" si="6"/>
        <v>Lai 2023-04</v>
      </c>
      <c r="F158" s="27">
        <f t="shared" si="7"/>
        <v>-193110</v>
      </c>
      <c r="G158" s="28" t="str">
        <f t="shared" si="8"/>
        <v>Lai phat sinh</v>
      </c>
    </row>
    <row r="159" spans="1:7" x14ac:dyDescent="0.25">
      <c r="A159" s="59">
        <v>45069</v>
      </c>
      <c r="B159" s="35">
        <v>604041.67000000004</v>
      </c>
      <c r="C159" t="s">
        <v>752</v>
      </c>
      <c r="D159" s="17" t="s">
        <v>760</v>
      </c>
      <c r="E159" s="26" t="str">
        <f t="shared" si="6"/>
        <v xml:space="preserve"> 2023-04</v>
      </c>
      <c r="F159" s="27">
        <f t="shared" si="7"/>
        <v>2102065</v>
      </c>
      <c r="G159" s="28" t="str">
        <f t="shared" si="8"/>
        <v>Duong</v>
      </c>
    </row>
    <row r="160" spans="1:7" x14ac:dyDescent="0.25">
      <c r="A160" s="59">
        <v>45069</v>
      </c>
      <c r="B160" s="35">
        <v>-604041.67000000004</v>
      </c>
      <c r="C160" t="s">
        <v>752</v>
      </c>
      <c r="D160" s="17" t="s">
        <v>760</v>
      </c>
      <c r="E160" s="26" t="str">
        <f t="shared" si="6"/>
        <v xml:space="preserve"> 2023-04</v>
      </c>
      <c r="F160" s="27">
        <f t="shared" si="7"/>
        <v>-2102065</v>
      </c>
      <c r="G160" s="28" t="str">
        <f t="shared" si="8"/>
        <v>Lai tra gop</v>
      </c>
    </row>
    <row r="161" spans="1:7" x14ac:dyDescent="0.25">
      <c r="A161" s="59">
        <v>45069</v>
      </c>
      <c r="B161" s="35">
        <v>-289940</v>
      </c>
      <c r="C161" t="s">
        <v>752</v>
      </c>
      <c r="D161" s="17" t="s">
        <v>761</v>
      </c>
      <c r="E161" s="26" t="str">
        <f t="shared" si="6"/>
        <v>Lai tra gop 2023-04</v>
      </c>
      <c r="F161" s="27">
        <f t="shared" si="7"/>
        <v>-579880</v>
      </c>
      <c r="G161" s="28" t="str">
        <f t="shared" si="8"/>
        <v>Lai tra gop</v>
      </c>
    </row>
    <row r="162" spans="1:7" x14ac:dyDescent="0.25">
      <c r="A162" s="59">
        <v>45056</v>
      </c>
      <c r="B162" s="35">
        <v>-149000</v>
      </c>
      <c r="C162" t="s">
        <v>50</v>
      </c>
      <c r="D162" s="17"/>
      <c r="E162" s="26" t="str">
        <f t="shared" si="6"/>
        <v>Phi 2023-04</v>
      </c>
      <c r="F162" s="27">
        <f t="shared" si="7"/>
        <v>-149000</v>
      </c>
      <c r="G162" s="28" t="str">
        <f t="shared" si="8"/>
        <v>Phi</v>
      </c>
    </row>
    <row r="163" spans="1:7" x14ac:dyDescent="0.25">
      <c r="A163" s="59">
        <v>45055</v>
      </c>
      <c r="B163" s="35">
        <v>604041.67000000004</v>
      </c>
      <c r="C163" t="s">
        <v>752</v>
      </c>
      <c r="D163" s="17" t="s">
        <v>754</v>
      </c>
      <c r="E163" s="26" t="str">
        <f t="shared" si="6"/>
        <v xml:space="preserve"> 2023-04</v>
      </c>
      <c r="F163" s="27">
        <f t="shared" si="7"/>
        <v>2102065</v>
      </c>
      <c r="G163" s="28" t="str">
        <f t="shared" si="8"/>
        <v>Duong</v>
      </c>
    </row>
    <row r="164" spans="1:7" x14ac:dyDescent="0.25">
      <c r="A164" s="59">
        <v>45055</v>
      </c>
      <c r="B164" s="35">
        <v>289940</v>
      </c>
      <c r="C164" t="s">
        <v>752</v>
      </c>
      <c r="D164" s="17" t="s">
        <v>755</v>
      </c>
      <c r="E164" s="26" t="str">
        <f t="shared" si="6"/>
        <v xml:space="preserve"> 2023-04</v>
      </c>
      <c r="F164" s="27">
        <f t="shared" si="7"/>
        <v>2102065</v>
      </c>
      <c r="G164" s="28" t="str">
        <f t="shared" si="8"/>
        <v>Duong</v>
      </c>
    </row>
    <row r="165" spans="1:7" x14ac:dyDescent="0.25">
      <c r="A165" s="59">
        <v>45055</v>
      </c>
      <c r="B165" s="35">
        <v>-604041.67000000004</v>
      </c>
      <c r="C165" t="s">
        <v>752</v>
      </c>
      <c r="D165" s="17" t="s">
        <v>754</v>
      </c>
      <c r="E165" s="26" t="str">
        <f t="shared" si="6"/>
        <v xml:space="preserve"> 2023-04</v>
      </c>
      <c r="F165" s="27">
        <f t="shared" si="7"/>
        <v>-2102065</v>
      </c>
      <c r="G165" s="28" t="str">
        <f t="shared" si="8"/>
        <v>Lai tra gop</v>
      </c>
    </row>
    <row r="166" spans="1:7" x14ac:dyDescent="0.25">
      <c r="A166" s="59">
        <v>45055</v>
      </c>
      <c r="B166" s="35">
        <v>-289940</v>
      </c>
      <c r="C166" t="s">
        <v>752</v>
      </c>
      <c r="D166" s="17" t="s">
        <v>755</v>
      </c>
      <c r="E166" s="26" t="str">
        <f t="shared" si="6"/>
        <v xml:space="preserve"> 2023-04</v>
      </c>
      <c r="F166" s="27">
        <f t="shared" si="7"/>
        <v>-2102065</v>
      </c>
      <c r="G166" s="28" t="str">
        <f t="shared" si="8"/>
        <v>Lai tra gop</v>
      </c>
    </row>
    <row r="167" spans="1:7" x14ac:dyDescent="0.25">
      <c r="A167" s="59">
        <v>45040</v>
      </c>
      <c r="B167" s="35">
        <v>604041.67000000004</v>
      </c>
      <c r="C167" t="s">
        <v>752</v>
      </c>
      <c r="D167" s="17" t="s">
        <v>760</v>
      </c>
      <c r="E167" s="26" t="str">
        <f t="shared" si="6"/>
        <v xml:space="preserve"> 2023-04</v>
      </c>
      <c r="F167" s="27">
        <f t="shared" si="7"/>
        <v>2102065</v>
      </c>
      <c r="G167" s="28" t="str">
        <f t="shared" si="8"/>
        <v>Duong</v>
      </c>
    </row>
    <row r="168" spans="1:7" x14ac:dyDescent="0.25">
      <c r="A168" s="59">
        <v>45040</v>
      </c>
      <c r="B168" s="35">
        <v>-604041.67000000004</v>
      </c>
      <c r="C168" t="s">
        <v>752</v>
      </c>
      <c r="D168" s="17" t="s">
        <v>760</v>
      </c>
      <c r="E168" s="26" t="str">
        <f t="shared" si="6"/>
        <v xml:space="preserve"> 2023-04</v>
      </c>
      <c r="F168" s="27">
        <f t="shared" si="7"/>
        <v>-2102065</v>
      </c>
      <c r="G168" s="28" t="str">
        <f t="shared" si="8"/>
        <v>Lai tra gop</v>
      </c>
    </row>
    <row r="169" spans="1:7" x14ac:dyDescent="0.25">
      <c r="A169" s="59">
        <v>45040</v>
      </c>
      <c r="B169" s="35">
        <v>-289940</v>
      </c>
      <c r="C169" t="s">
        <v>752</v>
      </c>
      <c r="D169" s="17" t="s">
        <v>761</v>
      </c>
      <c r="E169" s="26" t="str">
        <f t="shared" si="6"/>
        <v>Lai tra gop 2023-04</v>
      </c>
      <c r="F169" s="27">
        <f t="shared" si="7"/>
        <v>-579880</v>
      </c>
      <c r="G169" s="28" t="str">
        <f t="shared" si="8"/>
        <v>Lai tra gop</v>
      </c>
    </row>
    <row r="170" spans="1:7" x14ac:dyDescent="0.25">
      <c r="A170" s="59">
        <v>45040</v>
      </c>
      <c r="B170" s="35">
        <v>-1954.55</v>
      </c>
      <c r="C170" t="s">
        <v>49</v>
      </c>
      <c r="D170" s="17"/>
      <c r="E170" s="26" t="str">
        <f t="shared" si="6"/>
        <v>Lai 2023-03</v>
      </c>
      <c r="F170" s="27">
        <f t="shared" si="7"/>
        <v>-178019</v>
      </c>
      <c r="G170" s="28" t="str">
        <f t="shared" si="8"/>
        <v>Lai phat sinh</v>
      </c>
    </row>
    <row r="171" spans="1:7" x14ac:dyDescent="0.25">
      <c r="A171" s="59">
        <v>45040</v>
      </c>
      <c r="B171" s="35">
        <v>-5349.26</v>
      </c>
      <c r="C171" t="s">
        <v>49</v>
      </c>
      <c r="D171" s="17"/>
      <c r="E171" s="26" t="str">
        <f t="shared" si="6"/>
        <v>Lai 2023-03</v>
      </c>
      <c r="F171" s="27">
        <f t="shared" si="7"/>
        <v>-178019</v>
      </c>
      <c r="G171" s="28" t="str">
        <f t="shared" si="8"/>
        <v>Lai phat sinh</v>
      </c>
    </row>
    <row r="172" spans="1:7" x14ac:dyDescent="0.25">
      <c r="A172" s="59">
        <v>45040</v>
      </c>
      <c r="B172" s="35">
        <v>-25821.99</v>
      </c>
      <c r="C172" t="s">
        <v>49</v>
      </c>
      <c r="D172" s="17"/>
      <c r="E172" s="26" t="str">
        <f t="shared" si="6"/>
        <v>Lai 2023-03</v>
      </c>
      <c r="F172" s="27">
        <f t="shared" si="7"/>
        <v>-178019</v>
      </c>
      <c r="G172" s="28" t="str">
        <f t="shared" si="8"/>
        <v>Lai phat sinh</v>
      </c>
    </row>
    <row r="173" spans="1:7" x14ac:dyDescent="0.25">
      <c r="A173" s="59">
        <v>45040</v>
      </c>
      <c r="B173" s="35">
        <v>-2931.83</v>
      </c>
      <c r="C173" t="s">
        <v>49</v>
      </c>
      <c r="D173" s="17"/>
      <c r="E173" s="26" t="str">
        <f t="shared" si="6"/>
        <v>Lai 2023-03</v>
      </c>
      <c r="F173" s="27">
        <f t="shared" si="7"/>
        <v>-178019</v>
      </c>
      <c r="G173" s="28" t="str">
        <f t="shared" si="8"/>
        <v>Lai phat sinh</v>
      </c>
    </row>
    <row r="174" spans="1:7" x14ac:dyDescent="0.25">
      <c r="A174" s="59">
        <v>45040</v>
      </c>
      <c r="B174" s="35">
        <v>-86382.98</v>
      </c>
      <c r="C174" t="s">
        <v>49</v>
      </c>
      <c r="D174" s="17"/>
      <c r="E174" s="26" t="str">
        <f t="shared" si="6"/>
        <v>Lai 2023-03</v>
      </c>
      <c r="F174" s="27">
        <f t="shared" si="7"/>
        <v>-178019</v>
      </c>
      <c r="G174" s="28" t="str">
        <f t="shared" si="8"/>
        <v>Lai phat sinh</v>
      </c>
    </row>
    <row r="175" spans="1:7" x14ac:dyDescent="0.25">
      <c r="A175" s="59">
        <v>45040</v>
      </c>
      <c r="B175" s="35">
        <v>-7648.29</v>
      </c>
      <c r="C175" t="s">
        <v>49</v>
      </c>
      <c r="D175" s="17"/>
      <c r="E175" s="26" t="str">
        <f t="shared" si="6"/>
        <v>Lai 2023-03</v>
      </c>
      <c r="F175" s="27">
        <f t="shared" si="7"/>
        <v>-178019</v>
      </c>
      <c r="G175" s="28" t="str">
        <f t="shared" si="8"/>
        <v>Lai phat sinh</v>
      </c>
    </row>
    <row r="176" spans="1:7" x14ac:dyDescent="0.25">
      <c r="A176" s="59">
        <v>45040</v>
      </c>
      <c r="B176" s="35">
        <v>-37241.4</v>
      </c>
      <c r="C176" t="s">
        <v>49</v>
      </c>
      <c r="D176" s="17"/>
      <c r="E176" s="26" t="str">
        <f t="shared" si="6"/>
        <v>Lai 2023-03</v>
      </c>
      <c r="F176" s="27">
        <f t="shared" si="7"/>
        <v>-178019</v>
      </c>
      <c r="G176" s="28" t="str">
        <f t="shared" si="8"/>
        <v>Lai phat sinh</v>
      </c>
    </row>
    <row r="177" spans="1:7" x14ac:dyDescent="0.25">
      <c r="A177" s="59">
        <v>45040</v>
      </c>
      <c r="B177" s="35">
        <v>-419.97</v>
      </c>
      <c r="C177" t="s">
        <v>49</v>
      </c>
      <c r="D177" s="17"/>
      <c r="E177" s="26" t="str">
        <f t="shared" si="6"/>
        <v>Lai 2023-03</v>
      </c>
      <c r="F177" s="27">
        <f t="shared" si="7"/>
        <v>-178019</v>
      </c>
      <c r="G177" s="28" t="str">
        <f t="shared" si="8"/>
        <v>Lai phat sinh</v>
      </c>
    </row>
    <row r="178" spans="1:7" x14ac:dyDescent="0.25">
      <c r="A178" s="59">
        <v>45040</v>
      </c>
      <c r="B178" s="35">
        <v>-10269.120000000001</v>
      </c>
      <c r="C178" t="s">
        <v>49</v>
      </c>
      <c r="D178" s="17"/>
      <c r="E178" s="26" t="str">
        <f t="shared" si="6"/>
        <v>Lai 2023-03</v>
      </c>
      <c r="F178" s="27">
        <f t="shared" si="7"/>
        <v>-178019</v>
      </c>
      <c r="G178" s="28" t="str">
        <f t="shared" si="8"/>
        <v>Lai phat sinh</v>
      </c>
    </row>
    <row r="179" spans="1:7" x14ac:dyDescent="0.25">
      <c r="A179" s="59">
        <v>45030</v>
      </c>
      <c r="B179" s="35">
        <v>1024048</v>
      </c>
      <c r="C179" t="s">
        <v>51</v>
      </c>
      <c r="D179" s="17" t="s">
        <v>762</v>
      </c>
      <c r="E179" s="26" t="str">
        <f t="shared" si="6"/>
        <v>Da thanh toan 2023-03</v>
      </c>
      <c r="F179" s="27">
        <f t="shared" si="7"/>
        <v>1024048</v>
      </c>
      <c r="G179" s="28" t="str">
        <f t="shared" si="8"/>
        <v>Da thanh toan</v>
      </c>
    </row>
    <row r="180" spans="1:7" x14ac:dyDescent="0.25">
      <c r="A180" s="59">
        <v>45027</v>
      </c>
      <c r="B180" s="35">
        <v>-149000</v>
      </c>
      <c r="C180" t="s">
        <v>50</v>
      </c>
      <c r="D180" s="17"/>
      <c r="E180" s="26" t="str">
        <f t="shared" si="6"/>
        <v>Phi 2023-03</v>
      </c>
      <c r="F180" s="27">
        <f t="shared" si="7"/>
        <v>-149000</v>
      </c>
      <c r="G180" s="28" t="str">
        <f t="shared" si="8"/>
        <v>Phi</v>
      </c>
    </row>
    <row r="181" spans="1:7" x14ac:dyDescent="0.25">
      <c r="A181" s="59">
        <v>45024</v>
      </c>
      <c r="B181" s="35">
        <v>604041.67000000004</v>
      </c>
      <c r="C181" t="s">
        <v>752</v>
      </c>
      <c r="D181" s="17" t="s">
        <v>754</v>
      </c>
      <c r="E181" s="26" t="str">
        <f t="shared" si="6"/>
        <v xml:space="preserve"> 2023-03</v>
      </c>
      <c r="F181" s="27">
        <f t="shared" si="7"/>
        <v>893982</v>
      </c>
      <c r="G181" s="28" t="str">
        <f t="shared" si="8"/>
        <v>Duong</v>
      </c>
    </row>
    <row r="182" spans="1:7" x14ac:dyDescent="0.25">
      <c r="A182" s="59">
        <v>45024</v>
      </c>
      <c r="B182" s="35">
        <v>289940</v>
      </c>
      <c r="C182" t="s">
        <v>752</v>
      </c>
      <c r="D182" s="17" t="s">
        <v>755</v>
      </c>
      <c r="E182" s="26" t="str">
        <f t="shared" si="6"/>
        <v xml:space="preserve"> 2023-03</v>
      </c>
      <c r="F182" s="27">
        <f t="shared" si="7"/>
        <v>893982</v>
      </c>
      <c r="G182" s="28" t="str">
        <f t="shared" si="8"/>
        <v>Duong</v>
      </c>
    </row>
    <row r="183" spans="1:7" x14ac:dyDescent="0.25">
      <c r="A183" s="59">
        <v>45024</v>
      </c>
      <c r="B183" s="35">
        <v>-604041.67000000004</v>
      </c>
      <c r="C183" t="s">
        <v>752</v>
      </c>
      <c r="D183" s="17" t="s">
        <v>754</v>
      </c>
      <c r="E183" s="26" t="str">
        <f t="shared" si="6"/>
        <v xml:space="preserve"> 2023-03</v>
      </c>
      <c r="F183" s="27">
        <f t="shared" si="7"/>
        <v>-893982</v>
      </c>
      <c r="G183" s="28" t="str">
        <f t="shared" si="8"/>
        <v>Lai tra gop</v>
      </c>
    </row>
    <row r="184" spans="1:7" x14ac:dyDescent="0.25">
      <c r="A184" s="59">
        <v>45024</v>
      </c>
      <c r="B184" s="35">
        <v>-289940</v>
      </c>
      <c r="C184" t="s">
        <v>752</v>
      </c>
      <c r="D184" s="17" t="s">
        <v>755</v>
      </c>
      <c r="E184" s="26" t="str">
        <f t="shared" si="6"/>
        <v xml:space="preserve"> 2023-03</v>
      </c>
      <c r="F184" s="27">
        <f t="shared" si="7"/>
        <v>-893982</v>
      </c>
      <c r="G184" s="28" t="str">
        <f t="shared" si="8"/>
        <v>Lai tra gop</v>
      </c>
    </row>
    <row r="185" spans="1:7" x14ac:dyDescent="0.25">
      <c r="A185" s="59">
        <v>45009</v>
      </c>
      <c r="B185" s="35">
        <v>-5953.79</v>
      </c>
      <c r="C185" t="s">
        <v>49</v>
      </c>
      <c r="D185" s="17"/>
      <c r="E185" s="26" t="str">
        <f t="shared" si="6"/>
        <v>Lai 2023-02</v>
      </c>
      <c r="F185" s="27">
        <f t="shared" si="7"/>
        <v>-130790</v>
      </c>
      <c r="G185" s="28" t="str">
        <f t="shared" si="8"/>
        <v>Lai phat sinh</v>
      </c>
    </row>
    <row r="186" spans="1:7" x14ac:dyDescent="0.25">
      <c r="A186" s="59">
        <v>45009</v>
      </c>
      <c r="B186" s="35">
        <v>-4444.8500000000004</v>
      </c>
      <c r="C186" t="s">
        <v>49</v>
      </c>
      <c r="D186" s="17"/>
      <c r="E186" s="26" t="str">
        <f t="shared" si="6"/>
        <v>Lai 2023-02</v>
      </c>
      <c r="F186" s="27">
        <f t="shared" si="7"/>
        <v>-130790</v>
      </c>
      <c r="G186" s="28" t="str">
        <f t="shared" si="8"/>
        <v>Lai phat sinh</v>
      </c>
    </row>
    <row r="187" spans="1:7" x14ac:dyDescent="0.25">
      <c r="A187" s="59">
        <v>45009</v>
      </c>
      <c r="B187" s="35">
        <v>-73755.95</v>
      </c>
      <c r="C187" t="s">
        <v>49</v>
      </c>
      <c r="D187" s="17"/>
      <c r="E187" s="26" t="str">
        <f t="shared" si="6"/>
        <v>Lai 2023-02</v>
      </c>
      <c r="F187" s="27">
        <f t="shared" si="7"/>
        <v>-130790</v>
      </c>
      <c r="G187" s="28" t="str">
        <f t="shared" si="8"/>
        <v>Lai phat sinh</v>
      </c>
    </row>
    <row r="188" spans="1:7" x14ac:dyDescent="0.25">
      <c r="A188" s="59">
        <v>45009</v>
      </c>
      <c r="B188" s="35">
        <v>-3235.19</v>
      </c>
      <c r="C188" t="s">
        <v>49</v>
      </c>
      <c r="D188" s="17"/>
      <c r="E188" s="26" t="str">
        <f t="shared" si="6"/>
        <v>Lai 2023-02</v>
      </c>
      <c r="F188" s="27">
        <f t="shared" si="7"/>
        <v>-130790</v>
      </c>
      <c r="G188" s="28" t="str">
        <f t="shared" si="8"/>
        <v>Lai phat sinh</v>
      </c>
    </row>
    <row r="189" spans="1:7" x14ac:dyDescent="0.25">
      <c r="A189" s="59">
        <v>45009</v>
      </c>
      <c r="B189" s="35">
        <v>-23323.09</v>
      </c>
      <c r="C189" t="s">
        <v>49</v>
      </c>
      <c r="D189" s="25"/>
      <c r="E189" s="26" t="str">
        <f t="shared" si="6"/>
        <v>Lai 2023-02</v>
      </c>
      <c r="F189" s="27">
        <f t="shared" si="7"/>
        <v>-130790</v>
      </c>
      <c r="G189" s="28" t="str">
        <f t="shared" si="8"/>
        <v>Lai phat sinh</v>
      </c>
    </row>
    <row r="190" spans="1:7" x14ac:dyDescent="0.25">
      <c r="A190" s="59">
        <v>45009</v>
      </c>
      <c r="B190" s="35">
        <v>-4831.59</v>
      </c>
      <c r="C190" t="s">
        <v>49</v>
      </c>
      <c r="D190" s="17"/>
      <c r="E190" s="26" t="str">
        <f t="shared" si="6"/>
        <v>Lai 2023-02</v>
      </c>
      <c r="F190" s="27">
        <f t="shared" si="7"/>
        <v>-130790</v>
      </c>
      <c r="G190" s="28" t="str">
        <f t="shared" si="8"/>
        <v>Lai phat sinh</v>
      </c>
    </row>
    <row r="191" spans="1:7" x14ac:dyDescent="0.25">
      <c r="A191" s="59">
        <v>45009</v>
      </c>
      <c r="B191" s="35">
        <v>-4944.3900000000003</v>
      </c>
      <c r="C191" t="s">
        <v>49</v>
      </c>
      <c r="D191" s="17"/>
      <c r="E191" s="26" t="str">
        <f t="shared" si="6"/>
        <v>Lai 2023-02</v>
      </c>
      <c r="F191" s="27">
        <f t="shared" si="7"/>
        <v>-130790</v>
      </c>
      <c r="G191" s="28" t="str">
        <f t="shared" si="8"/>
        <v>Lai phat sinh</v>
      </c>
    </row>
    <row r="192" spans="1:7" x14ac:dyDescent="0.25">
      <c r="A192" s="59">
        <v>45009</v>
      </c>
      <c r="B192" s="35">
        <v>-10300.81</v>
      </c>
      <c r="C192" t="s">
        <v>49</v>
      </c>
      <c r="D192" s="17"/>
      <c r="E192" s="26" t="str">
        <f t="shared" si="6"/>
        <v>Lai 2023-02</v>
      </c>
      <c r="F192" s="27">
        <f t="shared" si="7"/>
        <v>-130790</v>
      </c>
      <c r="G192" s="28" t="str">
        <f t="shared" si="8"/>
        <v>Lai phat sinh</v>
      </c>
    </row>
    <row r="193" spans="1:7" x14ac:dyDescent="0.25">
      <c r="A193" s="59">
        <v>45008</v>
      </c>
      <c r="B193" s="35">
        <v>604041.67000000004</v>
      </c>
      <c r="C193" t="s">
        <v>752</v>
      </c>
      <c r="D193" s="17" t="s">
        <v>760</v>
      </c>
      <c r="E193" s="26" t="str">
        <f t="shared" si="6"/>
        <v xml:space="preserve"> 2023-02</v>
      </c>
      <c r="F193" s="27">
        <f t="shared" si="7"/>
        <v>1498023</v>
      </c>
      <c r="G193" s="28" t="str">
        <f t="shared" si="8"/>
        <v>Duong</v>
      </c>
    </row>
    <row r="194" spans="1:7" x14ac:dyDescent="0.25">
      <c r="A194" s="59">
        <v>45008</v>
      </c>
      <c r="B194" s="33">
        <v>-604041.67000000004</v>
      </c>
      <c r="C194" t="s">
        <v>752</v>
      </c>
      <c r="D194" t="s">
        <v>760</v>
      </c>
      <c r="E194" t="str">
        <f t="shared" ref="E194:E257" si="9">IF(OR(C194="Transaction",C194="Interests",C194="Misc",C194="Account Transfer"), IF(C194="Transaction", IF(B194&lt;0, "Du no", "Da thanh toan"), IF(C194="Interests", "Lai", IF(C194="Misc", "Phi", IF(C194="Account Transfer", IF(OR(ISNUMBER(SEARCH("Trich lai tra gop the TD", D194)), ISNUMBER(SEARCH("Chuyen lai tra gop con lai sang du no thong thuong khi BadDebt", D194))), IF(B194&lt;0, "Lai tra gop", ""), "" )))))) &amp; " " &amp; IF(C194="Interests", TEXT(EDATE(IF(DAY(A194)&gt;=24, A194, EDATE(A194,-1)), -1),"yyyy-mm"), TEXT(IF(DAY(A194)&gt;=24, A194, EDATE(A194,-1)),"yyyy-mm"))</f>
        <v xml:space="preserve"> 2023-02</v>
      </c>
      <c r="F194" s="7">
        <f t="shared" ref="F194:F257" si="10">IF(ISNUMBER(B194), ROUND(SUMIFS($B$2:$B$10000, $E$2:$E$10000, E194, $B$2:$B$10000, IF(B194&lt;0, "&lt;0", "&gt;0")), 0), "")</f>
        <v>-1498023</v>
      </c>
      <c r="G194" s="8" t="str">
        <f t="shared" ref="G194:G257" si="11">IF(F194&gt;0, IF(C194="Transaction", "Da thanh toan", "Duong"), IF(F194&lt;0, IF(C194="Transaction", "Du no", IF(C194="Interests", "Lai phat sinh", IF(C194="Misc", "Phi", IF(C194="Account Transfer", "Lai tra gop", "Am")))), "Bang 0"))</f>
        <v>Lai tra gop</v>
      </c>
    </row>
    <row r="195" spans="1:7" x14ac:dyDescent="0.25">
      <c r="A195" s="59">
        <v>45008</v>
      </c>
      <c r="B195" s="33">
        <v>-289940</v>
      </c>
      <c r="C195" t="s">
        <v>752</v>
      </c>
      <c r="D195" t="s">
        <v>761</v>
      </c>
      <c r="E195" t="str">
        <f t="shared" si="9"/>
        <v>Lai tra gop 2023-02</v>
      </c>
      <c r="F195" s="7">
        <f t="shared" si="10"/>
        <v>-289940</v>
      </c>
      <c r="G195" s="8" t="str">
        <f t="shared" si="11"/>
        <v>Lai tra gop</v>
      </c>
    </row>
    <row r="196" spans="1:7" x14ac:dyDescent="0.25">
      <c r="A196" s="59">
        <v>44999</v>
      </c>
      <c r="B196" s="33">
        <v>-149000</v>
      </c>
      <c r="C196" t="s">
        <v>50</v>
      </c>
      <c r="E196" t="str">
        <f t="shared" si="9"/>
        <v>Phi 2023-02</v>
      </c>
      <c r="F196" s="7">
        <f t="shared" si="10"/>
        <v>-149000</v>
      </c>
      <c r="G196" s="8" t="str">
        <f t="shared" si="11"/>
        <v>Phi</v>
      </c>
    </row>
    <row r="197" spans="1:7" x14ac:dyDescent="0.25">
      <c r="A197" s="59">
        <v>44996</v>
      </c>
      <c r="B197" s="33">
        <v>604041.67000000004</v>
      </c>
      <c r="C197" t="s">
        <v>752</v>
      </c>
      <c r="D197" t="s">
        <v>754</v>
      </c>
      <c r="E197" t="str">
        <f t="shared" si="9"/>
        <v xml:space="preserve"> 2023-02</v>
      </c>
      <c r="F197" s="7">
        <f t="shared" si="10"/>
        <v>1498023</v>
      </c>
      <c r="G197" s="8" t="str">
        <f t="shared" si="11"/>
        <v>Duong</v>
      </c>
    </row>
    <row r="198" spans="1:7" x14ac:dyDescent="0.25">
      <c r="A198" s="59">
        <v>44996</v>
      </c>
      <c r="B198" s="33">
        <v>289940</v>
      </c>
      <c r="C198" t="s">
        <v>752</v>
      </c>
      <c r="D198" t="s">
        <v>755</v>
      </c>
      <c r="E198" t="str">
        <f t="shared" si="9"/>
        <v xml:space="preserve"> 2023-02</v>
      </c>
      <c r="F198" s="7">
        <f t="shared" si="10"/>
        <v>1498023</v>
      </c>
      <c r="G198" s="8" t="str">
        <f t="shared" si="11"/>
        <v>Duong</v>
      </c>
    </row>
    <row r="199" spans="1:7" x14ac:dyDescent="0.25">
      <c r="A199" s="59">
        <v>44996</v>
      </c>
      <c r="B199" s="33">
        <v>-604041.67000000004</v>
      </c>
      <c r="C199" t="s">
        <v>752</v>
      </c>
      <c r="D199" t="s">
        <v>754</v>
      </c>
      <c r="E199" t="str">
        <f t="shared" si="9"/>
        <v xml:space="preserve"> 2023-02</v>
      </c>
      <c r="F199" s="7">
        <f t="shared" si="10"/>
        <v>-1498023</v>
      </c>
      <c r="G199" s="8" t="str">
        <f t="shared" si="11"/>
        <v>Lai tra gop</v>
      </c>
    </row>
    <row r="200" spans="1:7" x14ac:dyDescent="0.25">
      <c r="A200" s="59">
        <v>44996</v>
      </c>
      <c r="B200" s="33">
        <v>-289940</v>
      </c>
      <c r="C200" t="s">
        <v>752</v>
      </c>
      <c r="D200" t="s">
        <v>755</v>
      </c>
      <c r="E200" t="str">
        <f t="shared" si="9"/>
        <v xml:space="preserve"> 2023-02</v>
      </c>
      <c r="F200" s="7">
        <f t="shared" si="10"/>
        <v>-1498023</v>
      </c>
      <c r="G200" s="8" t="str">
        <f t="shared" si="11"/>
        <v>Lai tra gop</v>
      </c>
    </row>
    <row r="201" spans="1:7" x14ac:dyDescent="0.25">
      <c r="A201" s="59">
        <v>44981</v>
      </c>
      <c r="B201" s="33">
        <v>-4286.42</v>
      </c>
      <c r="C201" t="s">
        <v>49</v>
      </c>
      <c r="E201" t="str">
        <f t="shared" si="9"/>
        <v>Lai 2023-01</v>
      </c>
      <c r="F201" s="7">
        <f t="shared" si="10"/>
        <v>-117086</v>
      </c>
      <c r="G201" s="8" t="str">
        <f t="shared" si="11"/>
        <v>Lai phat sinh</v>
      </c>
    </row>
    <row r="202" spans="1:7" x14ac:dyDescent="0.25">
      <c r="A202" s="59">
        <v>44981</v>
      </c>
      <c r="B202" s="33">
        <v>-2892.21</v>
      </c>
      <c r="C202" t="s">
        <v>49</v>
      </c>
      <c r="E202" t="str">
        <f t="shared" si="9"/>
        <v>Lai 2023-01</v>
      </c>
      <c r="F202" s="7">
        <f t="shared" si="10"/>
        <v>-117086</v>
      </c>
      <c r="G202" s="8" t="str">
        <f t="shared" si="11"/>
        <v>Lai phat sinh</v>
      </c>
    </row>
    <row r="203" spans="1:7" x14ac:dyDescent="0.25">
      <c r="A203" s="59">
        <v>44981</v>
      </c>
      <c r="B203" s="33">
        <v>-75524.899999999994</v>
      </c>
      <c r="C203" t="s">
        <v>49</v>
      </c>
      <c r="E203" t="str">
        <f t="shared" si="9"/>
        <v>Lai 2023-01</v>
      </c>
      <c r="F203" s="7">
        <f t="shared" si="10"/>
        <v>-117086</v>
      </c>
      <c r="G203" s="8" t="str">
        <f t="shared" si="11"/>
        <v>Lai phat sinh</v>
      </c>
    </row>
    <row r="204" spans="1:7" x14ac:dyDescent="0.25">
      <c r="A204" s="59">
        <v>44981</v>
      </c>
      <c r="B204" s="33">
        <v>-3029.23</v>
      </c>
      <c r="C204" t="s">
        <v>49</v>
      </c>
      <c r="E204" t="str">
        <f t="shared" si="9"/>
        <v>Lai 2023-01</v>
      </c>
      <c r="F204" s="7">
        <f t="shared" si="10"/>
        <v>-117086</v>
      </c>
      <c r="G204" s="8" t="str">
        <f t="shared" si="11"/>
        <v>Lai phat sinh</v>
      </c>
    </row>
    <row r="205" spans="1:7" x14ac:dyDescent="0.25">
      <c r="A205" s="59">
        <v>44981</v>
      </c>
      <c r="B205" s="33">
        <v>-25821.99</v>
      </c>
      <c r="C205" t="s">
        <v>49</v>
      </c>
      <c r="E205" t="str">
        <f t="shared" si="9"/>
        <v>Lai 2023-01</v>
      </c>
      <c r="F205" s="7">
        <f t="shared" si="10"/>
        <v>-117086</v>
      </c>
      <c r="G205" s="8" t="str">
        <f t="shared" si="11"/>
        <v>Lai phat sinh</v>
      </c>
    </row>
    <row r="206" spans="1:7" x14ac:dyDescent="0.25">
      <c r="A206" s="59">
        <v>44981</v>
      </c>
      <c r="B206" s="33">
        <v>-182.14</v>
      </c>
      <c r="C206" t="s">
        <v>49</v>
      </c>
      <c r="E206" t="str">
        <f t="shared" si="9"/>
        <v>Lai 2023-01</v>
      </c>
      <c r="F206" s="7">
        <f t="shared" si="10"/>
        <v>-117086</v>
      </c>
      <c r="G206" s="8" t="str">
        <f t="shared" si="11"/>
        <v>Lai phat sinh</v>
      </c>
    </row>
    <row r="207" spans="1:7" x14ac:dyDescent="0.25">
      <c r="A207" s="59">
        <v>44981</v>
      </c>
      <c r="B207" s="33">
        <v>-5205.47</v>
      </c>
      <c r="C207" t="s">
        <v>49</v>
      </c>
      <c r="E207" t="str">
        <f t="shared" si="9"/>
        <v>Lai 2023-01</v>
      </c>
      <c r="F207" s="7">
        <f t="shared" si="10"/>
        <v>-117086</v>
      </c>
      <c r="G207" s="8" t="str">
        <f t="shared" si="11"/>
        <v>Lai phat sinh</v>
      </c>
    </row>
    <row r="208" spans="1:7" x14ac:dyDescent="0.25">
      <c r="A208" s="59">
        <v>44981</v>
      </c>
      <c r="B208" s="33">
        <v>-143.80000000000001</v>
      </c>
      <c r="C208" t="s">
        <v>49</v>
      </c>
      <c r="E208" t="str">
        <f t="shared" si="9"/>
        <v>Lai 2023-01</v>
      </c>
      <c r="F208" s="7">
        <f t="shared" si="10"/>
        <v>-117086</v>
      </c>
      <c r="G208" s="8" t="str">
        <f t="shared" si="11"/>
        <v>Lai phat sinh</v>
      </c>
    </row>
    <row r="209" spans="1:7" x14ac:dyDescent="0.25">
      <c r="A209" s="59">
        <v>44980</v>
      </c>
      <c r="B209" s="33">
        <v>604041.67000000004</v>
      </c>
      <c r="C209" t="s">
        <v>752</v>
      </c>
      <c r="D209" t="s">
        <v>760</v>
      </c>
      <c r="E209" t="str">
        <f t="shared" si="9"/>
        <v xml:space="preserve"> 2023-01</v>
      </c>
      <c r="F209" s="7">
        <f t="shared" si="10"/>
        <v>604042</v>
      </c>
      <c r="G209" s="8" t="str">
        <f t="shared" si="11"/>
        <v>Duong</v>
      </c>
    </row>
    <row r="210" spans="1:7" x14ac:dyDescent="0.25">
      <c r="A210" s="59">
        <v>44980</v>
      </c>
      <c r="B210" s="33">
        <v>-604041.67000000004</v>
      </c>
      <c r="C210" t="s">
        <v>752</v>
      </c>
      <c r="D210" t="s">
        <v>760</v>
      </c>
      <c r="E210" t="str">
        <f t="shared" si="9"/>
        <v xml:space="preserve"> 2023-01</v>
      </c>
      <c r="F210" s="7">
        <f t="shared" si="10"/>
        <v>-604042</v>
      </c>
      <c r="G210" s="8" t="str">
        <f t="shared" si="11"/>
        <v>Lai tra gop</v>
      </c>
    </row>
    <row r="211" spans="1:7" x14ac:dyDescent="0.25">
      <c r="A211" s="59">
        <v>44980</v>
      </c>
      <c r="B211" s="33">
        <v>-289940</v>
      </c>
      <c r="C211" t="s">
        <v>752</v>
      </c>
      <c r="D211" t="s">
        <v>761</v>
      </c>
      <c r="E211" t="str">
        <f t="shared" si="9"/>
        <v>Lai tra gop 2023-01</v>
      </c>
      <c r="F211" s="7">
        <f t="shared" si="10"/>
        <v>-289940</v>
      </c>
      <c r="G211" s="8" t="str">
        <f t="shared" si="11"/>
        <v>Lai tra gop</v>
      </c>
    </row>
    <row r="212" spans="1:7" x14ac:dyDescent="0.25">
      <c r="A212" s="59">
        <v>44973</v>
      </c>
      <c r="B212" s="33">
        <v>-450</v>
      </c>
      <c r="C212" t="s">
        <v>50</v>
      </c>
      <c r="E212" t="str">
        <f t="shared" si="9"/>
        <v>Phi 2023-01</v>
      </c>
      <c r="F212" s="7">
        <f t="shared" si="10"/>
        <v>-4950</v>
      </c>
      <c r="G212" s="8" t="str">
        <f t="shared" si="11"/>
        <v>Phi</v>
      </c>
    </row>
    <row r="213" spans="1:7" x14ac:dyDescent="0.25">
      <c r="A213" s="59">
        <v>44973</v>
      </c>
      <c r="B213" s="33">
        <v>-4500</v>
      </c>
      <c r="C213" t="s">
        <v>50</v>
      </c>
      <c r="E213" t="str">
        <f t="shared" si="9"/>
        <v>Phi 2023-01</v>
      </c>
      <c r="F213" s="7">
        <f t="shared" si="10"/>
        <v>-4950</v>
      </c>
      <c r="G213" s="8" t="str">
        <f t="shared" si="11"/>
        <v>Phi</v>
      </c>
    </row>
    <row r="214" spans="1:7" x14ac:dyDescent="0.25">
      <c r="A214" s="59">
        <v>44960</v>
      </c>
      <c r="B214" s="33">
        <v>0</v>
      </c>
      <c r="C214" t="s">
        <v>51</v>
      </c>
      <c r="D214" t="s">
        <v>763</v>
      </c>
      <c r="E214" t="str">
        <f t="shared" si="9"/>
        <v>Da thanh toan 2023-01</v>
      </c>
      <c r="F214" s="7">
        <f t="shared" si="10"/>
        <v>246044</v>
      </c>
      <c r="G214" s="8" t="str">
        <f t="shared" si="11"/>
        <v>Da thanh toan</v>
      </c>
    </row>
    <row r="215" spans="1:7" x14ac:dyDescent="0.25">
      <c r="A215" s="59">
        <v>44960</v>
      </c>
      <c r="B215" s="33">
        <v>50000</v>
      </c>
      <c r="C215" t="s">
        <v>51</v>
      </c>
      <c r="D215" t="s">
        <v>52</v>
      </c>
      <c r="E215" t="str">
        <f t="shared" si="9"/>
        <v>Da thanh toan 2023-01</v>
      </c>
      <c r="F215" s="7">
        <f t="shared" si="10"/>
        <v>246044</v>
      </c>
      <c r="G215" s="8" t="str">
        <f t="shared" si="11"/>
        <v>Da thanh toan</v>
      </c>
    </row>
    <row r="216" spans="1:7" x14ac:dyDescent="0.25">
      <c r="A216" s="59">
        <v>44960</v>
      </c>
      <c r="B216" s="33">
        <v>0</v>
      </c>
      <c r="C216" t="s">
        <v>51</v>
      </c>
      <c r="D216" t="s">
        <v>763</v>
      </c>
      <c r="E216" t="str">
        <f t="shared" si="9"/>
        <v>Da thanh toan 2023-01</v>
      </c>
      <c r="F216" s="7">
        <f t="shared" si="10"/>
        <v>246044</v>
      </c>
      <c r="G216" s="8" t="str">
        <f t="shared" si="11"/>
        <v>Da thanh toan</v>
      </c>
    </row>
    <row r="217" spans="1:7" x14ac:dyDescent="0.25">
      <c r="A217" s="59">
        <v>44960</v>
      </c>
      <c r="B217" s="33">
        <v>-14497000</v>
      </c>
      <c r="C217" t="s">
        <v>51</v>
      </c>
      <c r="D217" t="s">
        <v>764</v>
      </c>
      <c r="E217" t="str">
        <f t="shared" si="9"/>
        <v>Du no 2023-01</v>
      </c>
      <c r="F217" s="7">
        <f t="shared" si="10"/>
        <v>-14656467</v>
      </c>
      <c r="G217" s="8" t="str">
        <f t="shared" si="11"/>
        <v>Du no</v>
      </c>
    </row>
    <row r="218" spans="1:7" x14ac:dyDescent="0.25">
      <c r="A218" s="59">
        <v>44960</v>
      </c>
      <c r="B218" s="33">
        <v>-14497</v>
      </c>
      <c r="C218" t="s">
        <v>51</v>
      </c>
      <c r="D218" t="s">
        <v>764</v>
      </c>
      <c r="E218" t="str">
        <f t="shared" si="9"/>
        <v>Du no 2023-01</v>
      </c>
      <c r="F218" s="7">
        <f t="shared" si="10"/>
        <v>-14656467</v>
      </c>
      <c r="G218" s="8" t="str">
        <f t="shared" si="11"/>
        <v>Du no</v>
      </c>
    </row>
    <row r="219" spans="1:7" x14ac:dyDescent="0.25">
      <c r="A219" s="59">
        <v>44960</v>
      </c>
      <c r="B219" s="33">
        <v>-144970</v>
      </c>
      <c r="C219" t="s">
        <v>51</v>
      </c>
      <c r="D219" t="s">
        <v>764</v>
      </c>
      <c r="E219" t="str">
        <f t="shared" si="9"/>
        <v>Du no 2023-01</v>
      </c>
      <c r="F219" s="7">
        <f t="shared" si="10"/>
        <v>-14656467</v>
      </c>
      <c r="G219" s="8" t="str">
        <f t="shared" si="11"/>
        <v>Du no</v>
      </c>
    </row>
    <row r="220" spans="1:7" x14ac:dyDescent="0.25">
      <c r="A220" s="59">
        <v>44957</v>
      </c>
      <c r="B220" s="33">
        <v>100000</v>
      </c>
      <c r="C220" t="s">
        <v>51</v>
      </c>
      <c r="D220" t="s">
        <v>765</v>
      </c>
      <c r="E220" t="str">
        <f t="shared" si="9"/>
        <v>Da thanh toan 2023-01</v>
      </c>
      <c r="F220" s="7">
        <f t="shared" si="10"/>
        <v>246044</v>
      </c>
      <c r="G220" s="8" t="str">
        <f t="shared" si="11"/>
        <v>Da thanh toan</v>
      </c>
    </row>
    <row r="221" spans="1:7" x14ac:dyDescent="0.25">
      <c r="A221" s="59">
        <v>44957</v>
      </c>
      <c r="B221" s="33">
        <v>96044</v>
      </c>
      <c r="C221" t="s">
        <v>51</v>
      </c>
      <c r="D221" t="s">
        <v>766</v>
      </c>
      <c r="E221" t="str">
        <f t="shared" si="9"/>
        <v>Da thanh toan 2023-01</v>
      </c>
      <c r="F221" s="7">
        <f t="shared" si="10"/>
        <v>246044</v>
      </c>
      <c r="G221" s="8" t="str">
        <f t="shared" si="11"/>
        <v>Da thanh toan</v>
      </c>
    </row>
    <row r="222" spans="1:7" x14ac:dyDescent="0.25">
      <c r="A222" s="59">
        <v>44950</v>
      </c>
      <c r="B222" s="33">
        <v>-8221.7999999999993</v>
      </c>
      <c r="C222" t="s">
        <v>49</v>
      </c>
      <c r="E222" t="str">
        <f t="shared" si="9"/>
        <v>Lai 2022-12</v>
      </c>
      <c r="F222" s="7">
        <f t="shared" si="10"/>
        <v>-114444</v>
      </c>
      <c r="G222" s="8" t="str">
        <f t="shared" si="11"/>
        <v>Lai phat sinh</v>
      </c>
    </row>
    <row r="223" spans="1:7" x14ac:dyDescent="0.25">
      <c r="A223" s="59">
        <v>44950</v>
      </c>
      <c r="B223" s="33">
        <v>-2872.73</v>
      </c>
      <c r="C223" t="s">
        <v>49</v>
      </c>
      <c r="E223" t="str">
        <f t="shared" si="9"/>
        <v>Lai 2022-12</v>
      </c>
      <c r="F223" s="7">
        <f t="shared" si="10"/>
        <v>-114444</v>
      </c>
      <c r="G223" s="8" t="str">
        <f t="shared" si="11"/>
        <v>Lai phat sinh</v>
      </c>
    </row>
    <row r="224" spans="1:7" x14ac:dyDescent="0.25">
      <c r="A224" s="59">
        <v>44950</v>
      </c>
      <c r="B224" s="33">
        <v>-68860.600000000006</v>
      </c>
      <c r="C224" t="s">
        <v>49</v>
      </c>
      <c r="E224" t="str">
        <f t="shared" si="9"/>
        <v>Lai 2022-12</v>
      </c>
      <c r="F224" s="7">
        <f t="shared" si="10"/>
        <v>-114444</v>
      </c>
      <c r="G224" s="8" t="str">
        <f t="shared" si="11"/>
        <v>Lai phat sinh</v>
      </c>
    </row>
    <row r="225" spans="1:7" x14ac:dyDescent="0.25">
      <c r="A225" s="59">
        <v>44950</v>
      </c>
      <c r="B225" s="33">
        <v>-3433.13</v>
      </c>
      <c r="C225" t="s">
        <v>49</v>
      </c>
      <c r="E225" t="str">
        <f t="shared" si="9"/>
        <v>Lai 2022-12</v>
      </c>
      <c r="F225" s="7">
        <f t="shared" si="10"/>
        <v>-114444</v>
      </c>
      <c r="G225" s="8" t="str">
        <f t="shared" si="11"/>
        <v>Lai phat sinh</v>
      </c>
    </row>
    <row r="226" spans="1:7" x14ac:dyDescent="0.25">
      <c r="A226" s="59">
        <v>44950</v>
      </c>
      <c r="B226" s="33">
        <v>-25821.99</v>
      </c>
      <c r="C226" t="s">
        <v>49</v>
      </c>
      <c r="E226" t="str">
        <f t="shared" si="9"/>
        <v>Lai 2022-12</v>
      </c>
      <c r="F226" s="7">
        <f t="shared" si="10"/>
        <v>-114444</v>
      </c>
      <c r="G226" s="8" t="str">
        <f t="shared" si="11"/>
        <v>Lai phat sinh</v>
      </c>
    </row>
    <row r="227" spans="1:7" x14ac:dyDescent="0.25">
      <c r="A227" s="59">
        <v>44950</v>
      </c>
      <c r="B227" s="33">
        <v>-182.14</v>
      </c>
      <c r="C227" t="s">
        <v>49</v>
      </c>
      <c r="E227" t="str">
        <f t="shared" si="9"/>
        <v>Lai 2022-12</v>
      </c>
      <c r="F227" s="7">
        <f t="shared" si="10"/>
        <v>-114444</v>
      </c>
      <c r="G227" s="8" t="str">
        <f t="shared" si="11"/>
        <v>Lai phat sinh</v>
      </c>
    </row>
    <row r="228" spans="1:7" x14ac:dyDescent="0.25">
      <c r="A228" s="59">
        <v>44950</v>
      </c>
      <c r="B228" s="33">
        <v>-4889.1099999999997</v>
      </c>
      <c r="C228" t="s">
        <v>49</v>
      </c>
      <c r="E228" t="str">
        <f t="shared" si="9"/>
        <v>Lai 2022-12</v>
      </c>
      <c r="F228" s="7">
        <f t="shared" si="10"/>
        <v>-114444</v>
      </c>
      <c r="G228" s="8" t="str">
        <f t="shared" si="11"/>
        <v>Lai phat sinh</v>
      </c>
    </row>
    <row r="229" spans="1:7" x14ac:dyDescent="0.25">
      <c r="A229" s="59">
        <v>44950</v>
      </c>
      <c r="B229" s="33">
        <v>-162.97</v>
      </c>
      <c r="C229" t="s">
        <v>49</v>
      </c>
      <c r="E229" t="str">
        <f t="shared" si="9"/>
        <v>Lai 2022-12</v>
      </c>
      <c r="F229" s="7">
        <f t="shared" si="10"/>
        <v>-114444</v>
      </c>
      <c r="G229" s="8" t="str">
        <f t="shared" si="11"/>
        <v>Lai phat sinh</v>
      </c>
    </row>
    <row r="230" spans="1:7" x14ac:dyDescent="0.25">
      <c r="A230" s="59">
        <v>44938</v>
      </c>
      <c r="B230" s="33">
        <v>41724</v>
      </c>
      <c r="C230" t="s">
        <v>51</v>
      </c>
      <c r="D230" t="s">
        <v>53</v>
      </c>
      <c r="E230" t="str">
        <f t="shared" si="9"/>
        <v>Da thanh toan 2022-12</v>
      </c>
      <c r="F230" s="7">
        <f t="shared" si="10"/>
        <v>41724</v>
      </c>
      <c r="G230" s="8" t="str">
        <f t="shared" si="11"/>
        <v>Da thanh toan</v>
      </c>
    </row>
    <row r="231" spans="1:7" x14ac:dyDescent="0.25">
      <c r="A231" s="59">
        <v>44936</v>
      </c>
      <c r="B231" s="33">
        <v>-149000</v>
      </c>
      <c r="C231" t="s">
        <v>50</v>
      </c>
      <c r="E231" t="str">
        <f t="shared" si="9"/>
        <v>Phi 2022-12</v>
      </c>
      <c r="F231" s="7">
        <f t="shared" si="10"/>
        <v>-153950</v>
      </c>
      <c r="G231" s="8" t="str">
        <f t="shared" si="11"/>
        <v>Phi</v>
      </c>
    </row>
    <row r="232" spans="1:7" x14ac:dyDescent="0.25">
      <c r="A232" s="59">
        <v>44931</v>
      </c>
      <c r="B232" s="33">
        <v>-7308</v>
      </c>
      <c r="C232" t="s">
        <v>51</v>
      </c>
      <c r="D232" t="s">
        <v>767</v>
      </c>
      <c r="E232" t="str">
        <f t="shared" si="9"/>
        <v>Du no 2022-12</v>
      </c>
      <c r="F232" s="7">
        <f t="shared" si="10"/>
        <v>-7308</v>
      </c>
      <c r="G232" s="8" t="str">
        <f t="shared" si="11"/>
        <v>Du no</v>
      </c>
    </row>
    <row r="233" spans="1:7" x14ac:dyDescent="0.25">
      <c r="A233" s="59">
        <v>44926</v>
      </c>
      <c r="B233" s="33">
        <v>-450</v>
      </c>
      <c r="C233" t="s">
        <v>50</v>
      </c>
      <c r="E233" t="str">
        <f t="shared" si="9"/>
        <v>Phi 2022-12</v>
      </c>
      <c r="F233" s="7">
        <f t="shared" si="10"/>
        <v>-153950</v>
      </c>
      <c r="G233" s="8" t="str">
        <f t="shared" si="11"/>
        <v>Phi</v>
      </c>
    </row>
    <row r="234" spans="1:7" x14ac:dyDescent="0.25">
      <c r="A234" s="59">
        <v>44926</v>
      </c>
      <c r="B234" s="33">
        <v>-4500</v>
      </c>
      <c r="C234" t="s">
        <v>50</v>
      </c>
      <c r="E234" t="str">
        <f t="shared" si="9"/>
        <v>Phi 2022-12</v>
      </c>
      <c r="F234" s="7">
        <f t="shared" si="10"/>
        <v>-153950</v>
      </c>
      <c r="G234" s="8" t="str">
        <f t="shared" si="11"/>
        <v>Phi</v>
      </c>
    </row>
    <row r="235" spans="1:7" x14ac:dyDescent="0.25">
      <c r="A235" s="59">
        <v>44919</v>
      </c>
      <c r="B235" s="33">
        <v>-7820.32</v>
      </c>
      <c r="C235" t="s">
        <v>49</v>
      </c>
      <c r="E235" t="str">
        <f t="shared" si="9"/>
        <v>Lai 2022-11</v>
      </c>
      <c r="F235">
        <f t="shared" si="10"/>
        <v>-104597</v>
      </c>
      <c r="G235" t="str">
        <f t="shared" si="11"/>
        <v>Lai phat sinh</v>
      </c>
    </row>
    <row r="236" spans="1:7" x14ac:dyDescent="0.25">
      <c r="A236" s="59">
        <v>44919</v>
      </c>
      <c r="B236" s="33">
        <v>-3081.18</v>
      </c>
      <c r="C236" t="s">
        <v>49</v>
      </c>
      <c r="E236" t="str">
        <f t="shared" si="9"/>
        <v>Lai 2022-11</v>
      </c>
      <c r="F236">
        <f t="shared" si="10"/>
        <v>-104597</v>
      </c>
      <c r="G236" t="str">
        <f t="shared" si="11"/>
        <v>Lai phat sinh</v>
      </c>
    </row>
    <row r="237" spans="1:7" x14ac:dyDescent="0.25">
      <c r="A237" s="59">
        <v>44919</v>
      </c>
      <c r="B237" s="33">
        <v>-60873.98</v>
      </c>
      <c r="C237" t="s">
        <v>49</v>
      </c>
      <c r="E237" t="str">
        <f t="shared" si="9"/>
        <v>Lai 2022-11</v>
      </c>
      <c r="F237">
        <f t="shared" si="10"/>
        <v>-104597</v>
      </c>
      <c r="G237" t="str">
        <f t="shared" si="11"/>
        <v>Lai phat sinh</v>
      </c>
    </row>
    <row r="238" spans="1:7" x14ac:dyDescent="0.25">
      <c r="A238" s="59">
        <v>44919</v>
      </c>
      <c r="B238" s="33">
        <v>-3029.23</v>
      </c>
      <c r="C238" t="s">
        <v>49</v>
      </c>
      <c r="E238" t="str">
        <f t="shared" si="9"/>
        <v>Lai 2022-11</v>
      </c>
      <c r="F238">
        <f t="shared" si="10"/>
        <v>-104597</v>
      </c>
      <c r="G238" t="str">
        <f t="shared" si="11"/>
        <v>Lai phat sinh</v>
      </c>
    </row>
    <row r="239" spans="1:7" x14ac:dyDescent="0.25">
      <c r="A239" s="59">
        <v>44919</v>
      </c>
      <c r="B239" s="33">
        <v>-24989.03</v>
      </c>
      <c r="C239" t="s">
        <v>49</v>
      </c>
      <c r="E239" t="str">
        <f t="shared" si="9"/>
        <v>Lai 2022-11</v>
      </c>
      <c r="F239">
        <f t="shared" si="10"/>
        <v>-104597</v>
      </c>
      <c r="G239" t="str">
        <f t="shared" si="11"/>
        <v>Lai phat sinh</v>
      </c>
    </row>
    <row r="240" spans="1:7" x14ac:dyDescent="0.25">
      <c r="A240" s="59">
        <v>44919</v>
      </c>
      <c r="B240" s="33">
        <v>-201.32</v>
      </c>
      <c r="C240" t="s">
        <v>49</v>
      </c>
      <c r="E240" t="str">
        <f t="shared" si="9"/>
        <v>Lai 2022-11</v>
      </c>
      <c r="F240">
        <f t="shared" si="10"/>
        <v>-104597</v>
      </c>
      <c r="G240" t="str">
        <f t="shared" si="11"/>
        <v>Lai phat sinh</v>
      </c>
    </row>
    <row r="241" spans="1:7" x14ac:dyDescent="0.25">
      <c r="A241" s="59">
        <v>44919</v>
      </c>
      <c r="B241" s="33">
        <v>-4457.72</v>
      </c>
      <c r="C241" t="s">
        <v>49</v>
      </c>
      <c r="E241" t="str">
        <f t="shared" si="9"/>
        <v>Lai 2022-11</v>
      </c>
      <c r="F241">
        <f t="shared" si="10"/>
        <v>-104597</v>
      </c>
      <c r="G241" t="str">
        <f t="shared" si="11"/>
        <v>Lai phat sinh</v>
      </c>
    </row>
    <row r="242" spans="1:7" x14ac:dyDescent="0.25">
      <c r="A242" s="59">
        <v>44919</v>
      </c>
      <c r="B242" s="33">
        <v>-143.80000000000001</v>
      </c>
      <c r="C242" t="s">
        <v>49</v>
      </c>
      <c r="E242" t="str">
        <f t="shared" si="9"/>
        <v>Lai 2022-11</v>
      </c>
      <c r="F242">
        <f t="shared" si="10"/>
        <v>-104597</v>
      </c>
      <c r="G242" t="str">
        <f t="shared" si="11"/>
        <v>Lai phat sinh</v>
      </c>
    </row>
    <row r="243" spans="1:7" x14ac:dyDescent="0.25">
      <c r="A243" s="59">
        <v>44915</v>
      </c>
      <c r="B243" s="33">
        <v>23875</v>
      </c>
      <c r="C243" t="s">
        <v>51</v>
      </c>
      <c r="D243" t="s">
        <v>768</v>
      </c>
      <c r="E243" t="str">
        <f t="shared" si="9"/>
        <v>Da thanh toan 2022-11</v>
      </c>
      <c r="F243">
        <f t="shared" si="10"/>
        <v>131027</v>
      </c>
      <c r="G243" t="str">
        <f t="shared" si="11"/>
        <v>Da thanh toan</v>
      </c>
    </row>
    <row r="244" spans="1:7" x14ac:dyDescent="0.25">
      <c r="A244" s="59">
        <v>44907</v>
      </c>
      <c r="B244" s="33">
        <v>107152</v>
      </c>
      <c r="C244" t="s">
        <v>51</v>
      </c>
      <c r="D244" t="s">
        <v>53</v>
      </c>
      <c r="E244" t="str">
        <f t="shared" si="9"/>
        <v>Da thanh toan 2022-11</v>
      </c>
      <c r="F244">
        <f t="shared" si="10"/>
        <v>131027</v>
      </c>
      <c r="G244" t="str">
        <f t="shared" si="11"/>
        <v>Da thanh toan</v>
      </c>
    </row>
    <row r="245" spans="1:7" x14ac:dyDescent="0.25">
      <c r="A245" s="59">
        <v>44905</v>
      </c>
      <c r="B245" s="33">
        <v>-149000</v>
      </c>
      <c r="C245" t="s">
        <v>50</v>
      </c>
      <c r="E245" t="str">
        <f t="shared" si="9"/>
        <v>Phi 2022-11</v>
      </c>
      <c r="F245">
        <f t="shared" si="10"/>
        <v>-153950</v>
      </c>
      <c r="G245" t="str">
        <f t="shared" si="11"/>
        <v>Phi</v>
      </c>
    </row>
    <row r="246" spans="1:7" x14ac:dyDescent="0.25">
      <c r="A246" s="59">
        <v>44900</v>
      </c>
      <c r="B246" s="33">
        <v>-7308</v>
      </c>
      <c r="C246" t="s">
        <v>51</v>
      </c>
      <c r="D246" t="s">
        <v>769</v>
      </c>
      <c r="E246" t="str">
        <f t="shared" si="9"/>
        <v>Du no 2022-11</v>
      </c>
      <c r="F246">
        <f t="shared" si="10"/>
        <v>-7308</v>
      </c>
      <c r="G246" t="str">
        <f t="shared" si="11"/>
        <v>Du no</v>
      </c>
    </row>
    <row r="247" spans="1:7" x14ac:dyDescent="0.25">
      <c r="A247" s="59">
        <v>44898</v>
      </c>
      <c r="B247" s="33">
        <v>-450</v>
      </c>
      <c r="C247" t="s">
        <v>50</v>
      </c>
      <c r="E247" t="str">
        <f t="shared" si="9"/>
        <v>Phi 2022-11</v>
      </c>
      <c r="F247">
        <f t="shared" si="10"/>
        <v>-153950</v>
      </c>
      <c r="G247" t="str">
        <f t="shared" si="11"/>
        <v>Phi</v>
      </c>
    </row>
    <row r="248" spans="1:7" x14ac:dyDescent="0.25">
      <c r="A248" s="59">
        <v>44898</v>
      </c>
      <c r="B248" s="33">
        <v>-4500</v>
      </c>
      <c r="C248" t="s">
        <v>50</v>
      </c>
      <c r="E248" t="str">
        <f t="shared" si="9"/>
        <v>Phi 2022-11</v>
      </c>
      <c r="F248">
        <f t="shared" si="10"/>
        <v>-153950</v>
      </c>
      <c r="G248" t="str">
        <f t="shared" si="11"/>
        <v>Phi</v>
      </c>
    </row>
    <row r="249" spans="1:7" x14ac:dyDescent="0.25">
      <c r="A249" s="59">
        <v>44889</v>
      </c>
      <c r="B249" s="33">
        <v>-141.38999999999999</v>
      </c>
      <c r="C249" t="s">
        <v>49</v>
      </c>
      <c r="E249" t="str">
        <f t="shared" si="9"/>
        <v>Lai 2022-10</v>
      </c>
      <c r="F249">
        <f t="shared" si="10"/>
        <v>-100468</v>
      </c>
      <c r="G249" t="str">
        <f t="shared" si="11"/>
        <v>Lai phat sinh</v>
      </c>
    </row>
    <row r="250" spans="1:7" x14ac:dyDescent="0.25">
      <c r="A250" s="59">
        <v>44889</v>
      </c>
      <c r="B250" s="33">
        <v>-2978.62</v>
      </c>
      <c r="C250" t="s">
        <v>49</v>
      </c>
      <c r="E250" t="str">
        <f t="shared" si="9"/>
        <v>Lai 2022-10</v>
      </c>
      <c r="F250">
        <f t="shared" si="10"/>
        <v>-100468</v>
      </c>
      <c r="G250" t="str">
        <f t="shared" si="11"/>
        <v>Lai phat sinh</v>
      </c>
    </row>
    <row r="251" spans="1:7" x14ac:dyDescent="0.25">
      <c r="A251" s="59">
        <v>44889</v>
      </c>
      <c r="B251" s="33">
        <v>-159.32</v>
      </c>
      <c r="C251" t="s">
        <v>49</v>
      </c>
      <c r="E251" t="str">
        <f t="shared" si="9"/>
        <v>Lai 2022-10</v>
      </c>
      <c r="F251">
        <f t="shared" si="10"/>
        <v>-100468</v>
      </c>
      <c r="G251" t="str">
        <f t="shared" si="11"/>
        <v>Lai phat sinh</v>
      </c>
    </row>
    <row r="252" spans="1:7" x14ac:dyDescent="0.25">
      <c r="A252" s="59">
        <v>44889</v>
      </c>
      <c r="B252" s="33">
        <v>-2358.8200000000002</v>
      </c>
      <c r="C252" t="s">
        <v>49</v>
      </c>
      <c r="E252" t="str">
        <f t="shared" si="9"/>
        <v>Lai 2022-10</v>
      </c>
      <c r="F252">
        <f t="shared" si="10"/>
        <v>-100468</v>
      </c>
      <c r="G252" t="str">
        <f t="shared" si="11"/>
        <v>Lai phat sinh</v>
      </c>
    </row>
    <row r="253" spans="1:7" x14ac:dyDescent="0.25">
      <c r="A253" s="59">
        <v>44889</v>
      </c>
      <c r="B253" s="33">
        <v>-4280.29</v>
      </c>
      <c r="C253" t="s">
        <v>49</v>
      </c>
      <c r="E253" t="str">
        <f t="shared" si="9"/>
        <v>Lai 2022-10</v>
      </c>
      <c r="F253">
        <f t="shared" si="10"/>
        <v>-100468</v>
      </c>
      <c r="G253" t="str">
        <f t="shared" si="11"/>
        <v>Lai phat sinh</v>
      </c>
    </row>
    <row r="254" spans="1:7" x14ac:dyDescent="0.25">
      <c r="A254" s="59">
        <v>44889</v>
      </c>
      <c r="B254" s="33">
        <v>-25613.23</v>
      </c>
      <c r="C254" t="s">
        <v>49</v>
      </c>
      <c r="E254" t="str">
        <f t="shared" si="9"/>
        <v>Lai 2022-10</v>
      </c>
      <c r="F254">
        <f t="shared" si="10"/>
        <v>-100468</v>
      </c>
      <c r="G254" t="str">
        <f t="shared" si="11"/>
        <v>Lai phat sinh</v>
      </c>
    </row>
    <row r="255" spans="1:7" x14ac:dyDescent="0.25">
      <c r="A255" s="59">
        <v>44889</v>
      </c>
      <c r="B255" s="33">
        <v>-56311.040000000001</v>
      </c>
      <c r="C255" t="s">
        <v>49</v>
      </c>
      <c r="E255" t="str">
        <f t="shared" si="9"/>
        <v>Lai 2022-10</v>
      </c>
      <c r="F255">
        <f t="shared" si="10"/>
        <v>-100468</v>
      </c>
      <c r="G255" t="str">
        <f t="shared" si="11"/>
        <v>Lai phat sinh</v>
      </c>
    </row>
    <row r="256" spans="1:7" x14ac:dyDescent="0.25">
      <c r="A256" s="59">
        <v>44889</v>
      </c>
      <c r="B256" s="33">
        <v>-8625.2099999999991</v>
      </c>
      <c r="C256" t="s">
        <v>49</v>
      </c>
      <c r="E256" t="str">
        <f t="shared" si="9"/>
        <v>Lai 2022-10</v>
      </c>
      <c r="F256">
        <f t="shared" si="10"/>
        <v>-100468</v>
      </c>
      <c r="G256" t="str">
        <f t="shared" si="11"/>
        <v>Lai phat sinh</v>
      </c>
    </row>
    <row r="257" spans="1:7" x14ac:dyDescent="0.25">
      <c r="A257" s="59">
        <v>44881</v>
      </c>
      <c r="B257" s="33">
        <v>26130</v>
      </c>
      <c r="C257" t="s">
        <v>51</v>
      </c>
      <c r="D257" t="s">
        <v>770</v>
      </c>
      <c r="E257" t="str">
        <f t="shared" si="9"/>
        <v>Da thanh toan 2022-10</v>
      </c>
      <c r="F257">
        <f t="shared" si="10"/>
        <v>124148</v>
      </c>
      <c r="G257" t="str">
        <f t="shared" si="11"/>
        <v>Da thanh toan</v>
      </c>
    </row>
    <row r="258" spans="1:7" x14ac:dyDescent="0.25">
      <c r="A258" s="59">
        <v>44874</v>
      </c>
      <c r="B258" s="33">
        <v>98018</v>
      </c>
      <c r="C258" t="s">
        <v>51</v>
      </c>
      <c r="D258" t="s">
        <v>53</v>
      </c>
      <c r="E258" t="str">
        <f t="shared" ref="E258:E321" si="12">IF(OR(C258="Transaction",C258="Interests",C258="Misc",C258="Account Transfer"), IF(C258="Transaction", IF(B258&lt;0, "Du no", "Da thanh toan"), IF(C258="Interests", "Lai", IF(C258="Misc", "Phi", IF(C258="Account Transfer", IF(OR(ISNUMBER(SEARCH("Trich lai tra gop the TD", D258)), ISNUMBER(SEARCH("Chuyen lai tra gop con lai sang du no thong thuong khi BadDebt", D258))), IF(B258&lt;0, "Lai tra gop", ""), "" )))))) &amp; " " &amp; IF(C258="Interests", TEXT(EDATE(IF(DAY(A258)&gt;=24, A258, EDATE(A258,-1)), -1),"yyyy-mm"), TEXT(IF(DAY(A258)&gt;=24, A258, EDATE(A258,-1)),"yyyy-mm"))</f>
        <v>Da thanh toan 2022-10</v>
      </c>
      <c r="F258">
        <f t="shared" ref="F258:F321" si="13">IF(ISNUMBER(B258), ROUND(SUMIFS($B$2:$B$10000, $E$2:$E$10000, E258, $B$2:$B$10000, IF(B258&lt;0, "&lt;0", "&gt;0")), 0), "")</f>
        <v>124148</v>
      </c>
      <c r="G258" t="str">
        <f t="shared" ref="G258:G321" si="14">IF(F258&gt;0, IF(C258="Transaction", "Da thanh toan", "Duong"), IF(F258&lt;0, IF(C258="Transaction", "Du no", IF(C258="Interests", "Lai phat sinh", IF(C258="Misc", "Phi", IF(C258="Account Transfer", "Lai tra gop", "Am")))), "Bang 0"))</f>
        <v>Da thanh toan</v>
      </c>
    </row>
    <row r="259" spans="1:7" x14ac:dyDescent="0.25">
      <c r="A259" s="59">
        <v>44874</v>
      </c>
      <c r="B259" s="33">
        <v>-149000</v>
      </c>
      <c r="C259" t="s">
        <v>50</v>
      </c>
      <c r="E259" t="str">
        <f t="shared" si="12"/>
        <v>Phi 2022-10</v>
      </c>
      <c r="F259">
        <f t="shared" si="13"/>
        <v>-153950</v>
      </c>
      <c r="G259" t="str">
        <f t="shared" si="14"/>
        <v>Phi</v>
      </c>
    </row>
    <row r="260" spans="1:7" x14ac:dyDescent="0.25">
      <c r="A260" s="59">
        <v>44868</v>
      </c>
      <c r="B260" s="33">
        <v>-7308</v>
      </c>
      <c r="C260" t="s">
        <v>51</v>
      </c>
      <c r="D260" t="s">
        <v>771</v>
      </c>
      <c r="E260" t="str">
        <f t="shared" si="12"/>
        <v>Du no 2022-10</v>
      </c>
      <c r="F260">
        <f t="shared" si="13"/>
        <v>-7308</v>
      </c>
      <c r="G260" t="str">
        <f t="shared" si="14"/>
        <v>Du no</v>
      </c>
    </row>
    <row r="261" spans="1:7" x14ac:dyDescent="0.25">
      <c r="A261" s="59">
        <v>44866</v>
      </c>
      <c r="B261" s="33">
        <v>-450</v>
      </c>
      <c r="C261" t="s">
        <v>50</v>
      </c>
      <c r="E261" t="str">
        <f t="shared" si="12"/>
        <v>Phi 2022-10</v>
      </c>
      <c r="F261">
        <f t="shared" si="13"/>
        <v>-153950</v>
      </c>
      <c r="G261" t="str">
        <f t="shared" si="14"/>
        <v>Phi</v>
      </c>
    </row>
    <row r="262" spans="1:7" x14ac:dyDescent="0.25">
      <c r="A262" s="59">
        <v>44866</v>
      </c>
      <c r="B262" s="33">
        <v>-4500</v>
      </c>
      <c r="C262" t="s">
        <v>50</v>
      </c>
      <c r="E262" t="str">
        <f t="shared" si="12"/>
        <v>Phi 2022-10</v>
      </c>
      <c r="F262">
        <f t="shared" si="13"/>
        <v>-153950</v>
      </c>
      <c r="G262" t="str">
        <f t="shared" si="14"/>
        <v>Phi</v>
      </c>
    </row>
    <row r="263" spans="1:7" x14ac:dyDescent="0.25">
      <c r="A263" s="59">
        <v>44858</v>
      </c>
      <c r="B263" s="33">
        <v>-404.06</v>
      </c>
      <c r="C263" t="s">
        <v>49</v>
      </c>
      <c r="E263" t="str">
        <f t="shared" si="12"/>
        <v>Lai 2022-09</v>
      </c>
      <c r="F263">
        <f t="shared" si="13"/>
        <v>-82993</v>
      </c>
      <c r="G263" t="str">
        <f t="shared" si="14"/>
        <v>Lai phat sinh</v>
      </c>
    </row>
    <row r="264" spans="1:7" x14ac:dyDescent="0.25">
      <c r="A264" s="59">
        <v>44858</v>
      </c>
      <c r="B264" s="33">
        <v>-9089.0300000000007</v>
      </c>
      <c r="C264" t="s">
        <v>49</v>
      </c>
      <c r="E264" t="str">
        <f t="shared" si="12"/>
        <v>Lai 2022-09</v>
      </c>
      <c r="F264">
        <f t="shared" si="13"/>
        <v>-82993</v>
      </c>
      <c r="G264" t="str">
        <f t="shared" si="14"/>
        <v>Lai phat sinh</v>
      </c>
    </row>
    <row r="265" spans="1:7" x14ac:dyDescent="0.25">
      <c r="A265" s="59">
        <v>44858</v>
      </c>
      <c r="B265" s="33">
        <v>-2672.35</v>
      </c>
      <c r="C265" t="s">
        <v>49</v>
      </c>
      <c r="E265" t="str">
        <f t="shared" si="12"/>
        <v>Lai 2022-09</v>
      </c>
      <c r="F265">
        <f t="shared" si="13"/>
        <v>-82993</v>
      </c>
      <c r="G265" t="str">
        <f t="shared" si="14"/>
        <v>Lai phat sinh</v>
      </c>
    </row>
    <row r="266" spans="1:7" x14ac:dyDescent="0.25">
      <c r="A266" s="59">
        <v>44858</v>
      </c>
      <c r="B266" s="33">
        <v>-42293.87</v>
      </c>
      <c r="C266" t="s">
        <v>49</v>
      </c>
      <c r="E266" t="str">
        <f t="shared" si="12"/>
        <v>Lai 2022-09</v>
      </c>
      <c r="F266">
        <f t="shared" si="13"/>
        <v>-82993</v>
      </c>
      <c r="G266" t="str">
        <f t="shared" si="14"/>
        <v>Lai phat sinh</v>
      </c>
    </row>
    <row r="267" spans="1:7" x14ac:dyDescent="0.25">
      <c r="A267" s="59">
        <v>44858</v>
      </c>
      <c r="B267" s="33">
        <v>-3002.91</v>
      </c>
      <c r="C267" t="s">
        <v>49</v>
      </c>
      <c r="E267" t="str">
        <f t="shared" si="12"/>
        <v>Lai 2022-09</v>
      </c>
      <c r="F267">
        <f t="shared" si="13"/>
        <v>-82993</v>
      </c>
      <c r="G267" t="str">
        <f t="shared" si="14"/>
        <v>Lai phat sinh</v>
      </c>
    </row>
    <row r="268" spans="1:7" x14ac:dyDescent="0.25">
      <c r="A268" s="59">
        <v>44858</v>
      </c>
      <c r="B268" s="33">
        <v>-21857.57</v>
      </c>
      <c r="C268" t="s">
        <v>49</v>
      </c>
      <c r="E268" t="str">
        <f t="shared" si="12"/>
        <v>Lai 2022-09</v>
      </c>
      <c r="F268">
        <f t="shared" si="13"/>
        <v>-82993</v>
      </c>
      <c r="G268" t="str">
        <f t="shared" si="14"/>
        <v>Lai phat sinh</v>
      </c>
    </row>
    <row r="269" spans="1:7" x14ac:dyDescent="0.25">
      <c r="A269" s="59">
        <v>44858</v>
      </c>
      <c r="B269" s="33">
        <v>-150.93</v>
      </c>
      <c r="C269" t="s">
        <v>49</v>
      </c>
      <c r="E269" t="str">
        <f t="shared" si="12"/>
        <v>Lai 2022-09</v>
      </c>
      <c r="F269">
        <f t="shared" si="13"/>
        <v>-82993</v>
      </c>
      <c r="G269" t="str">
        <f t="shared" si="14"/>
        <v>Lai phat sinh</v>
      </c>
    </row>
    <row r="270" spans="1:7" x14ac:dyDescent="0.25">
      <c r="A270" s="59">
        <v>44858</v>
      </c>
      <c r="B270" s="33">
        <v>-3379.23</v>
      </c>
      <c r="C270" t="s">
        <v>49</v>
      </c>
      <c r="E270" t="str">
        <f t="shared" si="12"/>
        <v>Lai 2022-09</v>
      </c>
      <c r="F270">
        <f t="shared" si="13"/>
        <v>-82993</v>
      </c>
      <c r="G270" t="str">
        <f t="shared" si="14"/>
        <v>Lai phat sinh</v>
      </c>
    </row>
    <row r="271" spans="1:7" x14ac:dyDescent="0.25">
      <c r="A271" s="59">
        <v>44858</v>
      </c>
      <c r="B271" s="33">
        <v>-142.55000000000001</v>
      </c>
      <c r="C271" t="s">
        <v>49</v>
      </c>
      <c r="E271" t="str">
        <f t="shared" si="12"/>
        <v>Lai 2022-09</v>
      </c>
      <c r="F271">
        <f t="shared" si="13"/>
        <v>-82993</v>
      </c>
      <c r="G271" t="str">
        <f t="shared" si="14"/>
        <v>Lai phat sinh</v>
      </c>
    </row>
    <row r="272" spans="1:7" x14ac:dyDescent="0.25">
      <c r="A272" s="59">
        <v>44851</v>
      </c>
      <c r="B272" s="33">
        <v>117827</v>
      </c>
      <c r="C272" t="s">
        <v>51</v>
      </c>
      <c r="D272" t="s">
        <v>772</v>
      </c>
      <c r="E272" t="str">
        <f t="shared" si="12"/>
        <v>Da thanh toan 2022-09</v>
      </c>
      <c r="F272">
        <f t="shared" si="13"/>
        <v>117827</v>
      </c>
      <c r="G272" t="str">
        <f t="shared" si="14"/>
        <v>Da thanh toan</v>
      </c>
    </row>
    <row r="273" spans="1:7" x14ac:dyDescent="0.25">
      <c r="A273" s="59">
        <v>44845</v>
      </c>
      <c r="B273" s="33">
        <v>-149000</v>
      </c>
      <c r="C273" t="s">
        <v>50</v>
      </c>
      <c r="E273" t="str">
        <f t="shared" si="12"/>
        <v>Phi 2022-09</v>
      </c>
      <c r="F273">
        <f t="shared" si="13"/>
        <v>-153950</v>
      </c>
      <c r="G273" t="str">
        <f t="shared" si="14"/>
        <v>Phi</v>
      </c>
    </row>
    <row r="274" spans="1:7" x14ac:dyDescent="0.25">
      <c r="A274" s="59">
        <v>44839</v>
      </c>
      <c r="B274" s="33">
        <v>-7308</v>
      </c>
      <c r="C274" t="s">
        <v>51</v>
      </c>
      <c r="D274" t="s">
        <v>773</v>
      </c>
      <c r="E274" t="str">
        <f t="shared" si="12"/>
        <v>Du no 2022-09</v>
      </c>
      <c r="F274">
        <f t="shared" si="13"/>
        <v>-7308</v>
      </c>
      <c r="G274" t="str">
        <f t="shared" si="14"/>
        <v>Du no</v>
      </c>
    </row>
    <row r="275" spans="1:7" x14ac:dyDescent="0.25">
      <c r="A275" s="59">
        <v>44834</v>
      </c>
      <c r="B275" s="33">
        <v>-450</v>
      </c>
      <c r="C275" t="s">
        <v>50</v>
      </c>
      <c r="E275" t="str">
        <f t="shared" si="12"/>
        <v>Phi 2022-09</v>
      </c>
      <c r="F275">
        <f t="shared" si="13"/>
        <v>-153950</v>
      </c>
      <c r="G275" t="str">
        <f t="shared" si="14"/>
        <v>Phi</v>
      </c>
    </row>
    <row r="276" spans="1:7" x14ac:dyDescent="0.25">
      <c r="A276" s="59">
        <v>44834</v>
      </c>
      <c r="B276" s="33">
        <v>-4500</v>
      </c>
      <c r="C276" t="s">
        <v>50</v>
      </c>
      <c r="E276" t="str">
        <f t="shared" si="12"/>
        <v>Phi 2022-09</v>
      </c>
      <c r="F276">
        <f t="shared" si="13"/>
        <v>-153950</v>
      </c>
      <c r="G276" t="str">
        <f t="shared" si="14"/>
        <v>Phi</v>
      </c>
    </row>
    <row r="277" spans="1:7" x14ac:dyDescent="0.25">
      <c r="A277" s="59">
        <v>44828</v>
      </c>
      <c r="B277" s="33">
        <v>-3661.43</v>
      </c>
      <c r="C277" t="s">
        <v>49</v>
      </c>
      <c r="E277" t="str">
        <f t="shared" si="12"/>
        <v>Lai 2022-08</v>
      </c>
      <c r="F277">
        <f t="shared" si="13"/>
        <v>-81195</v>
      </c>
      <c r="G277" t="str">
        <f t="shared" si="14"/>
        <v>Lai phat sinh</v>
      </c>
    </row>
    <row r="278" spans="1:7" x14ac:dyDescent="0.25">
      <c r="A278" s="59">
        <v>44828</v>
      </c>
      <c r="B278" s="33">
        <v>-7354.78</v>
      </c>
      <c r="C278" t="s">
        <v>49</v>
      </c>
      <c r="E278" t="str">
        <f t="shared" si="12"/>
        <v>Lai 2022-08</v>
      </c>
      <c r="F278">
        <f t="shared" si="13"/>
        <v>-81195</v>
      </c>
      <c r="G278" t="str">
        <f t="shared" si="14"/>
        <v>Lai phat sinh</v>
      </c>
    </row>
    <row r="279" spans="1:7" x14ac:dyDescent="0.25">
      <c r="A279" s="59">
        <v>44828</v>
      </c>
      <c r="B279" s="33">
        <v>-2706.42</v>
      </c>
      <c r="C279" t="s">
        <v>49</v>
      </c>
      <c r="E279" t="str">
        <f t="shared" si="12"/>
        <v>Lai 2022-08</v>
      </c>
      <c r="F279">
        <f t="shared" si="13"/>
        <v>-81195</v>
      </c>
      <c r="G279" t="str">
        <f t="shared" si="14"/>
        <v>Lai phat sinh</v>
      </c>
    </row>
    <row r="280" spans="1:7" x14ac:dyDescent="0.25">
      <c r="A280" s="59">
        <v>44828</v>
      </c>
      <c r="B280" s="33">
        <v>-38681.15</v>
      </c>
      <c r="C280" t="s">
        <v>49</v>
      </c>
      <c r="E280" t="str">
        <f t="shared" si="12"/>
        <v>Lai 2022-08</v>
      </c>
      <c r="F280">
        <f t="shared" si="13"/>
        <v>-81195</v>
      </c>
      <c r="G280" t="str">
        <f t="shared" si="14"/>
        <v>Lai phat sinh</v>
      </c>
    </row>
    <row r="281" spans="1:7" x14ac:dyDescent="0.25">
      <c r="A281" s="59">
        <v>44828</v>
      </c>
      <c r="B281" s="33">
        <v>-2649.63</v>
      </c>
      <c r="C281" t="s">
        <v>49</v>
      </c>
      <c r="E281" t="str">
        <f t="shared" si="12"/>
        <v>Lai 2022-08</v>
      </c>
      <c r="F281">
        <f t="shared" si="13"/>
        <v>-81195</v>
      </c>
      <c r="G281" t="str">
        <f t="shared" si="14"/>
        <v>Lai phat sinh</v>
      </c>
    </row>
    <row r="282" spans="1:7" x14ac:dyDescent="0.25">
      <c r="A282" s="59">
        <v>44828</v>
      </c>
      <c r="B282" s="33">
        <v>-22586.15</v>
      </c>
      <c r="C282" t="s">
        <v>49</v>
      </c>
      <c r="E282" t="str">
        <f t="shared" si="12"/>
        <v>Lai 2022-08</v>
      </c>
      <c r="F282">
        <f t="shared" si="13"/>
        <v>-81195</v>
      </c>
      <c r="G282" t="str">
        <f t="shared" si="14"/>
        <v>Lai phat sinh</v>
      </c>
    </row>
    <row r="283" spans="1:7" x14ac:dyDescent="0.25">
      <c r="A283" s="59">
        <v>44828</v>
      </c>
      <c r="B283" s="33">
        <v>-176.09</v>
      </c>
      <c r="C283" t="s">
        <v>49</v>
      </c>
      <c r="E283" t="str">
        <f t="shared" si="12"/>
        <v>Lai 2022-08</v>
      </c>
      <c r="F283">
        <f t="shared" si="13"/>
        <v>-81195</v>
      </c>
      <c r="G283" t="str">
        <f t="shared" si="14"/>
        <v>Lai phat sinh</v>
      </c>
    </row>
    <row r="284" spans="1:7" x14ac:dyDescent="0.25">
      <c r="A284" s="59">
        <v>44828</v>
      </c>
      <c r="B284" s="33">
        <v>-3253.45</v>
      </c>
      <c r="C284" t="s">
        <v>49</v>
      </c>
      <c r="E284" t="str">
        <f t="shared" si="12"/>
        <v>Lai 2022-08</v>
      </c>
      <c r="F284">
        <f t="shared" si="13"/>
        <v>-81195</v>
      </c>
      <c r="G284" t="str">
        <f t="shared" si="14"/>
        <v>Lai phat sinh</v>
      </c>
    </row>
    <row r="285" spans="1:7" x14ac:dyDescent="0.25">
      <c r="A285" s="59">
        <v>44828</v>
      </c>
      <c r="B285" s="33">
        <v>-125.78</v>
      </c>
      <c r="C285" t="s">
        <v>49</v>
      </c>
      <c r="E285" t="str">
        <f t="shared" si="12"/>
        <v>Lai 2022-08</v>
      </c>
      <c r="F285">
        <f t="shared" si="13"/>
        <v>-81195</v>
      </c>
      <c r="G285" t="str">
        <f t="shared" si="14"/>
        <v>Lai phat sinh</v>
      </c>
    </row>
    <row r="286" spans="1:7" x14ac:dyDescent="0.25">
      <c r="A286" s="59">
        <v>44823</v>
      </c>
      <c r="B286" s="33">
        <v>81849</v>
      </c>
      <c r="C286" t="s">
        <v>51</v>
      </c>
      <c r="D286" t="s">
        <v>53</v>
      </c>
      <c r="E286" t="str">
        <f t="shared" si="12"/>
        <v>Da thanh toan 2022-08</v>
      </c>
      <c r="F286">
        <f t="shared" si="13"/>
        <v>111267</v>
      </c>
      <c r="G286" t="str">
        <f t="shared" si="14"/>
        <v>Da thanh toan</v>
      </c>
    </row>
    <row r="287" spans="1:7" x14ac:dyDescent="0.25">
      <c r="A287" s="59">
        <v>44817</v>
      </c>
      <c r="B287" s="33">
        <v>29418</v>
      </c>
      <c r="C287" t="s">
        <v>51</v>
      </c>
      <c r="D287" t="s">
        <v>53</v>
      </c>
      <c r="E287" t="str">
        <f t="shared" si="12"/>
        <v>Da thanh toan 2022-08</v>
      </c>
      <c r="F287">
        <f t="shared" si="13"/>
        <v>111267</v>
      </c>
      <c r="G287" t="str">
        <f t="shared" si="14"/>
        <v>Da thanh toan</v>
      </c>
    </row>
    <row r="288" spans="1:7" x14ac:dyDescent="0.25">
      <c r="A288" s="59">
        <v>44813</v>
      </c>
      <c r="B288" s="33">
        <v>-149000</v>
      </c>
      <c r="C288" t="s">
        <v>50</v>
      </c>
      <c r="E288" t="str">
        <f t="shared" si="12"/>
        <v>Phi 2022-08</v>
      </c>
      <c r="F288">
        <f t="shared" si="13"/>
        <v>-153950</v>
      </c>
      <c r="G288" t="str">
        <f t="shared" si="14"/>
        <v>Phi</v>
      </c>
    </row>
    <row r="289" spans="1:7" x14ac:dyDescent="0.25">
      <c r="A289" s="59">
        <v>44810</v>
      </c>
      <c r="B289" s="33">
        <v>-7308</v>
      </c>
      <c r="C289" t="s">
        <v>51</v>
      </c>
      <c r="D289" t="s">
        <v>774</v>
      </c>
      <c r="E289" t="str">
        <f t="shared" si="12"/>
        <v>Du no 2022-08</v>
      </c>
      <c r="F289">
        <f t="shared" si="13"/>
        <v>-7308</v>
      </c>
      <c r="G289" t="str">
        <f t="shared" si="14"/>
        <v>Du no</v>
      </c>
    </row>
    <row r="290" spans="1:7" x14ac:dyDescent="0.25">
      <c r="A290" s="59">
        <v>44809</v>
      </c>
      <c r="B290" s="33">
        <v>-450</v>
      </c>
      <c r="C290" t="s">
        <v>50</v>
      </c>
      <c r="E290" t="str">
        <f t="shared" si="12"/>
        <v>Phi 2022-08</v>
      </c>
      <c r="F290">
        <f t="shared" si="13"/>
        <v>-153950</v>
      </c>
      <c r="G290" t="str">
        <f t="shared" si="14"/>
        <v>Phi</v>
      </c>
    </row>
    <row r="291" spans="1:7" x14ac:dyDescent="0.25">
      <c r="A291" s="59">
        <v>44809</v>
      </c>
      <c r="B291" s="33">
        <v>-4500</v>
      </c>
      <c r="C291" t="s">
        <v>50</v>
      </c>
      <c r="E291" t="str">
        <f t="shared" si="12"/>
        <v>Phi 2022-08</v>
      </c>
      <c r="F291">
        <f t="shared" si="13"/>
        <v>-153950</v>
      </c>
      <c r="G291" t="str">
        <f t="shared" si="14"/>
        <v>Phi</v>
      </c>
    </row>
    <row r="292" spans="1:7" x14ac:dyDescent="0.25">
      <c r="A292" s="59">
        <v>44797</v>
      </c>
      <c r="B292" s="33">
        <v>-2543.0500000000002</v>
      </c>
      <c r="C292" t="s">
        <v>49</v>
      </c>
      <c r="E292" t="str">
        <f t="shared" si="12"/>
        <v>Lai 2022-07</v>
      </c>
      <c r="F292">
        <f t="shared" si="13"/>
        <v>-75400</v>
      </c>
      <c r="G292" t="str">
        <f t="shared" si="14"/>
        <v>Lai phat sinh</v>
      </c>
    </row>
    <row r="293" spans="1:7" x14ac:dyDescent="0.25">
      <c r="A293" s="59">
        <v>44797</v>
      </c>
      <c r="B293" s="33">
        <v>-4245.28</v>
      </c>
      <c r="C293" t="s">
        <v>49</v>
      </c>
      <c r="E293" t="str">
        <f t="shared" si="12"/>
        <v>Lai 2022-07</v>
      </c>
      <c r="F293">
        <f t="shared" si="13"/>
        <v>-75400</v>
      </c>
      <c r="G293" t="str">
        <f t="shared" si="14"/>
        <v>Lai phat sinh</v>
      </c>
    </row>
    <row r="294" spans="1:7" x14ac:dyDescent="0.25">
      <c r="A294" s="59">
        <v>44797</v>
      </c>
      <c r="B294" s="33">
        <v>-4672.87</v>
      </c>
      <c r="C294" t="s">
        <v>49</v>
      </c>
      <c r="E294" t="str">
        <f t="shared" si="12"/>
        <v>Lai 2022-07</v>
      </c>
      <c r="F294">
        <f t="shared" si="13"/>
        <v>-75400</v>
      </c>
      <c r="G294" t="str">
        <f t="shared" si="14"/>
        <v>Lai phat sinh</v>
      </c>
    </row>
    <row r="295" spans="1:7" x14ac:dyDescent="0.25">
      <c r="A295" s="59">
        <v>44797</v>
      </c>
      <c r="B295" s="33">
        <v>-2193.54</v>
      </c>
      <c r="C295" t="s">
        <v>49</v>
      </c>
      <c r="E295" t="str">
        <f t="shared" si="12"/>
        <v>Lai 2022-07</v>
      </c>
      <c r="F295">
        <f t="shared" si="13"/>
        <v>-75400</v>
      </c>
      <c r="G295" t="str">
        <f t="shared" si="14"/>
        <v>Lai phat sinh</v>
      </c>
    </row>
    <row r="296" spans="1:7" x14ac:dyDescent="0.25">
      <c r="A296" s="59">
        <v>44797</v>
      </c>
      <c r="B296" s="33">
        <v>-33028.61</v>
      </c>
      <c r="C296" t="s">
        <v>49</v>
      </c>
      <c r="E296" t="str">
        <f t="shared" si="12"/>
        <v>Lai 2022-07</v>
      </c>
      <c r="F296">
        <f t="shared" si="13"/>
        <v>-75400</v>
      </c>
      <c r="G296" t="str">
        <f t="shared" si="14"/>
        <v>Lai phat sinh</v>
      </c>
    </row>
    <row r="297" spans="1:7" x14ac:dyDescent="0.25">
      <c r="A297" s="59">
        <v>44797</v>
      </c>
      <c r="B297" s="33">
        <v>-2826.27</v>
      </c>
      <c r="C297" t="s">
        <v>49</v>
      </c>
      <c r="E297" t="str">
        <f t="shared" si="12"/>
        <v>Lai 2022-07</v>
      </c>
      <c r="F297">
        <f t="shared" si="13"/>
        <v>-75400</v>
      </c>
      <c r="G297" t="str">
        <f t="shared" si="14"/>
        <v>Lai phat sinh</v>
      </c>
    </row>
    <row r="298" spans="1:7" x14ac:dyDescent="0.25">
      <c r="A298" s="59">
        <v>44797</v>
      </c>
      <c r="B298" s="33">
        <v>-22586.15</v>
      </c>
      <c r="C298" t="s">
        <v>49</v>
      </c>
      <c r="E298" t="str">
        <f t="shared" si="12"/>
        <v>Lai 2022-07</v>
      </c>
      <c r="F298">
        <f t="shared" si="13"/>
        <v>-75400</v>
      </c>
      <c r="G298" t="str">
        <f t="shared" si="14"/>
        <v>Lai phat sinh</v>
      </c>
    </row>
    <row r="299" spans="1:7" x14ac:dyDescent="0.25">
      <c r="A299" s="59">
        <v>44797</v>
      </c>
      <c r="B299" s="33">
        <v>-184.47</v>
      </c>
      <c r="C299" t="s">
        <v>49</v>
      </c>
      <c r="E299" t="str">
        <f t="shared" si="12"/>
        <v>Lai 2022-07</v>
      </c>
      <c r="F299">
        <f t="shared" si="13"/>
        <v>-75400</v>
      </c>
      <c r="G299" t="str">
        <f t="shared" si="14"/>
        <v>Lai phat sinh</v>
      </c>
    </row>
    <row r="300" spans="1:7" x14ac:dyDescent="0.25">
      <c r="A300" s="59">
        <v>44797</v>
      </c>
      <c r="B300" s="33">
        <v>-2985.12</v>
      </c>
      <c r="C300" t="s">
        <v>49</v>
      </c>
      <c r="E300" t="str">
        <f t="shared" si="12"/>
        <v>Lai 2022-07</v>
      </c>
      <c r="F300">
        <f t="shared" si="13"/>
        <v>-75400</v>
      </c>
      <c r="G300" t="str">
        <f t="shared" si="14"/>
        <v>Lai phat sinh</v>
      </c>
    </row>
    <row r="301" spans="1:7" x14ac:dyDescent="0.25">
      <c r="A301" s="59">
        <v>44797</v>
      </c>
      <c r="B301" s="33">
        <v>-134.16</v>
      </c>
      <c r="C301" t="s">
        <v>49</v>
      </c>
      <c r="E301" t="str">
        <f t="shared" si="12"/>
        <v>Lai 2022-07</v>
      </c>
      <c r="F301">
        <f t="shared" si="13"/>
        <v>-75400</v>
      </c>
      <c r="G301" t="str">
        <f t="shared" si="14"/>
        <v>Lai phat sinh</v>
      </c>
    </row>
    <row r="302" spans="1:7" x14ac:dyDescent="0.25">
      <c r="A302" s="59">
        <v>44790</v>
      </c>
      <c r="B302" s="33">
        <v>18060</v>
      </c>
      <c r="C302" t="s">
        <v>51</v>
      </c>
      <c r="D302" t="s">
        <v>53</v>
      </c>
      <c r="E302" t="str">
        <f t="shared" si="12"/>
        <v>Da thanh toan 2022-07</v>
      </c>
      <c r="F302">
        <f t="shared" si="13"/>
        <v>104667</v>
      </c>
      <c r="G302" t="str">
        <f t="shared" si="14"/>
        <v>Da thanh toan</v>
      </c>
    </row>
    <row r="303" spans="1:7" x14ac:dyDescent="0.25">
      <c r="A303" s="59">
        <v>44784</v>
      </c>
      <c r="B303" s="33">
        <v>86607</v>
      </c>
      <c r="C303" t="s">
        <v>51</v>
      </c>
      <c r="D303" t="s">
        <v>53</v>
      </c>
      <c r="E303" t="str">
        <f t="shared" si="12"/>
        <v>Da thanh toan 2022-07</v>
      </c>
      <c r="F303">
        <f t="shared" si="13"/>
        <v>104667</v>
      </c>
      <c r="G303" t="str">
        <f t="shared" si="14"/>
        <v>Da thanh toan</v>
      </c>
    </row>
    <row r="304" spans="1:7" x14ac:dyDescent="0.25">
      <c r="A304" s="59">
        <v>44782</v>
      </c>
      <c r="B304" s="33">
        <v>-149000</v>
      </c>
      <c r="C304" t="s">
        <v>50</v>
      </c>
      <c r="E304" t="str">
        <f t="shared" si="12"/>
        <v>Phi 2022-07</v>
      </c>
      <c r="F304">
        <f t="shared" si="13"/>
        <v>-153950</v>
      </c>
      <c r="G304" t="str">
        <f t="shared" si="14"/>
        <v>Phi</v>
      </c>
    </row>
    <row r="305" spans="1:7" x14ac:dyDescent="0.25">
      <c r="A305" s="59">
        <v>44776</v>
      </c>
      <c r="B305" s="33">
        <v>-7308</v>
      </c>
      <c r="C305" t="s">
        <v>51</v>
      </c>
      <c r="D305" t="s">
        <v>775</v>
      </c>
      <c r="E305" t="str">
        <f t="shared" si="12"/>
        <v>Du no 2022-07</v>
      </c>
      <c r="F305">
        <f t="shared" si="13"/>
        <v>-7308</v>
      </c>
      <c r="G305" t="str">
        <f t="shared" si="14"/>
        <v>Du no</v>
      </c>
    </row>
    <row r="306" spans="1:7" x14ac:dyDescent="0.25">
      <c r="A306" s="59">
        <v>44772</v>
      </c>
      <c r="B306" s="33">
        <v>-450</v>
      </c>
      <c r="C306" t="s">
        <v>50</v>
      </c>
      <c r="E306" t="str">
        <f t="shared" si="12"/>
        <v>Phi 2022-07</v>
      </c>
      <c r="F306">
        <f t="shared" si="13"/>
        <v>-153950</v>
      </c>
      <c r="G306" t="str">
        <f t="shared" si="14"/>
        <v>Phi</v>
      </c>
    </row>
    <row r="307" spans="1:7" x14ac:dyDescent="0.25">
      <c r="A307" s="59">
        <v>44772</v>
      </c>
      <c r="B307" s="33">
        <v>-4500</v>
      </c>
      <c r="C307" t="s">
        <v>50</v>
      </c>
      <c r="E307" t="str">
        <f t="shared" si="12"/>
        <v>Phi 2022-07</v>
      </c>
      <c r="F307">
        <f t="shared" si="13"/>
        <v>-153950</v>
      </c>
      <c r="G307" t="str">
        <f t="shared" si="14"/>
        <v>Phi</v>
      </c>
    </row>
    <row r="308" spans="1:7" x14ac:dyDescent="0.25">
      <c r="A308" s="59">
        <v>44766</v>
      </c>
      <c r="B308" s="33">
        <v>-7924.96</v>
      </c>
      <c r="C308" t="s">
        <v>49</v>
      </c>
      <c r="E308" t="str">
        <f t="shared" si="12"/>
        <v>Lai 2022-06</v>
      </c>
      <c r="F308">
        <f t="shared" si="13"/>
        <v>-76643</v>
      </c>
      <c r="G308" t="str">
        <f t="shared" si="14"/>
        <v>Lai phat sinh</v>
      </c>
    </row>
    <row r="309" spans="1:7" x14ac:dyDescent="0.25">
      <c r="A309" s="59">
        <v>44766</v>
      </c>
      <c r="B309" s="33">
        <v>-9902.09</v>
      </c>
      <c r="C309" t="s">
        <v>49</v>
      </c>
      <c r="E309" t="str">
        <f t="shared" si="12"/>
        <v>Lai 2022-06</v>
      </c>
      <c r="F309">
        <f t="shared" si="13"/>
        <v>-76643</v>
      </c>
      <c r="G309" t="str">
        <f t="shared" si="14"/>
        <v>Lai phat sinh</v>
      </c>
    </row>
    <row r="310" spans="1:7" x14ac:dyDescent="0.25">
      <c r="A310" s="59">
        <v>44766</v>
      </c>
      <c r="B310" s="33">
        <v>-1883.95</v>
      </c>
      <c r="C310" t="s">
        <v>49</v>
      </c>
      <c r="E310" t="str">
        <f t="shared" si="12"/>
        <v>Lai 2022-06</v>
      </c>
      <c r="F310">
        <f t="shared" si="13"/>
        <v>-76643</v>
      </c>
      <c r="G310" t="str">
        <f t="shared" si="14"/>
        <v>Lai phat sinh</v>
      </c>
    </row>
    <row r="311" spans="1:7" x14ac:dyDescent="0.25">
      <c r="A311" s="59">
        <v>44766</v>
      </c>
      <c r="B311" s="33">
        <v>-2723.46</v>
      </c>
      <c r="C311" t="s">
        <v>49</v>
      </c>
      <c r="E311" t="str">
        <f t="shared" si="12"/>
        <v>Lai 2022-06</v>
      </c>
      <c r="F311">
        <f t="shared" si="13"/>
        <v>-76643</v>
      </c>
      <c r="G311" t="str">
        <f t="shared" si="14"/>
        <v>Lai phat sinh</v>
      </c>
    </row>
    <row r="312" spans="1:7" x14ac:dyDescent="0.25">
      <c r="A312" s="59">
        <v>44766</v>
      </c>
      <c r="B312" s="33">
        <v>-26749.39</v>
      </c>
      <c r="C312" t="s">
        <v>49</v>
      </c>
      <c r="E312" t="str">
        <f t="shared" si="12"/>
        <v>Lai 2022-06</v>
      </c>
      <c r="F312">
        <f t="shared" si="13"/>
        <v>-76643</v>
      </c>
      <c r="G312" t="str">
        <f t="shared" si="14"/>
        <v>Lai phat sinh</v>
      </c>
    </row>
    <row r="313" spans="1:7" x14ac:dyDescent="0.25">
      <c r="A313" s="59">
        <v>44766</v>
      </c>
      <c r="B313" s="33">
        <v>-2649.63</v>
      </c>
      <c r="C313" t="s">
        <v>49</v>
      </c>
      <c r="E313" t="str">
        <f t="shared" si="12"/>
        <v>Lai 2022-06</v>
      </c>
      <c r="F313">
        <f t="shared" si="13"/>
        <v>-76643</v>
      </c>
      <c r="G313" t="str">
        <f t="shared" si="14"/>
        <v>Lai phat sinh</v>
      </c>
    </row>
    <row r="314" spans="1:7" x14ac:dyDescent="0.25">
      <c r="A314" s="59">
        <v>44766</v>
      </c>
      <c r="B314" s="33">
        <v>-21857.57</v>
      </c>
      <c r="C314" t="s">
        <v>49</v>
      </c>
      <c r="E314" t="str">
        <f t="shared" si="12"/>
        <v>Lai 2022-06</v>
      </c>
      <c r="F314">
        <f t="shared" si="13"/>
        <v>-76643</v>
      </c>
      <c r="G314" t="str">
        <f t="shared" si="14"/>
        <v>Lai phat sinh</v>
      </c>
    </row>
    <row r="315" spans="1:7" x14ac:dyDescent="0.25">
      <c r="A315" s="59">
        <v>44766</v>
      </c>
      <c r="B315" s="33">
        <v>-184.47</v>
      </c>
      <c r="C315" t="s">
        <v>49</v>
      </c>
      <c r="E315" t="str">
        <f t="shared" si="12"/>
        <v>Lai 2022-06</v>
      </c>
      <c r="F315">
        <f t="shared" si="13"/>
        <v>-76643</v>
      </c>
      <c r="G315" t="str">
        <f t="shared" si="14"/>
        <v>Lai phat sinh</v>
      </c>
    </row>
    <row r="316" spans="1:7" x14ac:dyDescent="0.25">
      <c r="A316" s="59">
        <v>44766</v>
      </c>
      <c r="B316" s="33">
        <v>-2641.33</v>
      </c>
      <c r="C316" t="s">
        <v>49</v>
      </c>
      <c r="E316" t="str">
        <f t="shared" si="12"/>
        <v>Lai 2022-06</v>
      </c>
      <c r="F316">
        <f t="shared" si="13"/>
        <v>-76643</v>
      </c>
      <c r="G316" t="str">
        <f t="shared" si="14"/>
        <v>Lai phat sinh</v>
      </c>
    </row>
    <row r="317" spans="1:7" x14ac:dyDescent="0.25">
      <c r="A317" s="59">
        <v>44766</v>
      </c>
      <c r="B317" s="33">
        <v>-125.78</v>
      </c>
      <c r="C317" t="s">
        <v>49</v>
      </c>
      <c r="E317" t="str">
        <f t="shared" si="12"/>
        <v>Lai 2022-06</v>
      </c>
      <c r="F317">
        <f t="shared" si="13"/>
        <v>-76643</v>
      </c>
      <c r="G317" t="str">
        <f t="shared" si="14"/>
        <v>Lai phat sinh</v>
      </c>
    </row>
    <row r="318" spans="1:7" x14ac:dyDescent="0.25">
      <c r="A318" s="59">
        <v>44760</v>
      </c>
      <c r="B318" s="33">
        <v>4652</v>
      </c>
      <c r="C318" t="s">
        <v>51</v>
      </c>
      <c r="D318" t="s">
        <v>53</v>
      </c>
      <c r="E318" t="str">
        <f t="shared" si="12"/>
        <v>Da thanh toan 2022-06</v>
      </c>
      <c r="F318">
        <f t="shared" si="13"/>
        <v>97655</v>
      </c>
      <c r="G318" t="str">
        <f t="shared" si="14"/>
        <v>Da thanh toan</v>
      </c>
    </row>
    <row r="319" spans="1:7" x14ac:dyDescent="0.25">
      <c r="A319" s="59">
        <v>44754</v>
      </c>
      <c r="B319" s="33">
        <v>-149000</v>
      </c>
      <c r="C319" t="s">
        <v>50</v>
      </c>
      <c r="E319" t="str">
        <f t="shared" si="12"/>
        <v>Phi 2022-06</v>
      </c>
      <c r="F319">
        <f t="shared" si="13"/>
        <v>-153950</v>
      </c>
      <c r="G319" t="str">
        <f t="shared" si="14"/>
        <v>Phi</v>
      </c>
    </row>
    <row r="320" spans="1:7" x14ac:dyDescent="0.25">
      <c r="A320" s="59">
        <v>44753</v>
      </c>
      <c r="B320" s="33">
        <v>93003</v>
      </c>
      <c r="C320" t="s">
        <v>51</v>
      </c>
      <c r="D320" t="s">
        <v>53</v>
      </c>
      <c r="E320" t="str">
        <f t="shared" si="12"/>
        <v>Da thanh toan 2022-06</v>
      </c>
      <c r="F320">
        <f t="shared" si="13"/>
        <v>97655</v>
      </c>
      <c r="G320" t="str">
        <f t="shared" si="14"/>
        <v>Da thanh toan</v>
      </c>
    </row>
    <row r="321" spans="1:7" x14ac:dyDescent="0.25">
      <c r="A321" s="59">
        <v>44744</v>
      </c>
      <c r="B321" s="33">
        <v>-7308</v>
      </c>
      <c r="C321" t="s">
        <v>51</v>
      </c>
      <c r="D321" t="s">
        <v>776</v>
      </c>
      <c r="E321" t="str">
        <f t="shared" si="12"/>
        <v>Du no 2022-06</v>
      </c>
      <c r="F321">
        <f t="shared" si="13"/>
        <v>-7308</v>
      </c>
      <c r="G321" t="str">
        <f t="shared" si="14"/>
        <v>Du no</v>
      </c>
    </row>
    <row r="322" spans="1:7" x14ac:dyDescent="0.25">
      <c r="A322" s="59">
        <v>44741</v>
      </c>
      <c r="B322" s="33">
        <v>-450</v>
      </c>
      <c r="C322" t="s">
        <v>50</v>
      </c>
      <c r="E322" t="str">
        <f t="shared" ref="E322:E385" si="15">IF(OR(C322="Transaction",C322="Interests",C322="Misc",C322="Account Transfer"), IF(C322="Transaction", IF(B322&lt;0, "Du no", "Da thanh toan"), IF(C322="Interests", "Lai", IF(C322="Misc", "Phi", IF(C322="Account Transfer", IF(OR(ISNUMBER(SEARCH("Trich lai tra gop the TD", D322)), ISNUMBER(SEARCH("Chuyen lai tra gop con lai sang du no thong thuong khi BadDebt", D322))), IF(B322&lt;0, "Lai tra gop", ""), "" )))))) &amp; " " &amp; IF(C322="Interests", TEXT(EDATE(IF(DAY(A322)&gt;=24, A322, EDATE(A322,-1)), -1),"yyyy-mm"), TEXT(IF(DAY(A322)&gt;=24, A322, EDATE(A322,-1)),"yyyy-mm"))</f>
        <v>Phi 2022-06</v>
      </c>
      <c r="F322">
        <f t="shared" ref="F322:F385" si="16">IF(ISNUMBER(B322), ROUND(SUMIFS($B$2:$B$10000, $E$2:$E$10000, E322, $B$2:$B$10000, IF(B322&lt;0, "&lt;0", "&gt;0")), 0), "")</f>
        <v>-153950</v>
      </c>
      <c r="G322" t="str">
        <f t="shared" ref="G322:G385" si="17">IF(F322&gt;0, IF(C322="Transaction", "Da thanh toan", "Duong"), IF(F322&lt;0, IF(C322="Transaction", "Du no", IF(C322="Interests", "Lai phat sinh", IF(C322="Misc", "Phi", IF(C322="Account Transfer", "Lai tra gop", "Am")))), "Bang 0"))</f>
        <v>Phi</v>
      </c>
    </row>
    <row r="323" spans="1:7" x14ac:dyDescent="0.25">
      <c r="A323" s="59">
        <v>44741</v>
      </c>
      <c r="B323" s="33">
        <v>-4500</v>
      </c>
      <c r="C323" t="s">
        <v>50</v>
      </c>
      <c r="E323" t="str">
        <f t="shared" si="15"/>
        <v>Phi 2022-06</v>
      </c>
      <c r="F323">
        <f t="shared" si="16"/>
        <v>-153950</v>
      </c>
      <c r="G323" t="str">
        <f t="shared" si="17"/>
        <v>Phi</v>
      </c>
    </row>
    <row r="324" spans="1:7" x14ac:dyDescent="0.25">
      <c r="A324" s="59">
        <v>44736</v>
      </c>
      <c r="B324" s="33">
        <v>-1259.21</v>
      </c>
      <c r="C324" t="s">
        <v>49</v>
      </c>
      <c r="E324" t="str">
        <f t="shared" si="15"/>
        <v>Lai 2022-05</v>
      </c>
      <c r="F324">
        <f t="shared" si="16"/>
        <v>-54731</v>
      </c>
      <c r="G324" t="str">
        <f t="shared" si="17"/>
        <v>Lai phat sinh</v>
      </c>
    </row>
    <row r="325" spans="1:7" x14ac:dyDescent="0.25">
      <c r="A325" s="59">
        <v>44736</v>
      </c>
      <c r="B325" s="33">
        <v>-2535.46</v>
      </c>
      <c r="C325" t="s">
        <v>49</v>
      </c>
      <c r="E325" t="str">
        <f t="shared" si="15"/>
        <v>Lai 2022-05</v>
      </c>
      <c r="F325">
        <f t="shared" si="16"/>
        <v>-54731</v>
      </c>
      <c r="G325" t="str">
        <f t="shared" si="17"/>
        <v>Lai phat sinh</v>
      </c>
    </row>
    <row r="326" spans="1:7" x14ac:dyDescent="0.25">
      <c r="A326" s="59">
        <v>44736</v>
      </c>
      <c r="B326" s="33">
        <v>-22950.19</v>
      </c>
      <c r="C326" t="s">
        <v>49</v>
      </c>
      <c r="E326" t="str">
        <f t="shared" si="15"/>
        <v>Lai 2022-05</v>
      </c>
      <c r="F326">
        <f t="shared" si="16"/>
        <v>-54731</v>
      </c>
      <c r="G326" t="str">
        <f t="shared" si="17"/>
        <v>Lai phat sinh</v>
      </c>
    </row>
    <row r="327" spans="1:7" x14ac:dyDescent="0.25">
      <c r="A327" s="59">
        <v>44736</v>
      </c>
      <c r="B327" s="33">
        <v>-2649.63</v>
      </c>
      <c r="C327" t="s">
        <v>49</v>
      </c>
      <c r="E327" t="str">
        <f t="shared" si="15"/>
        <v>Lai 2022-05</v>
      </c>
      <c r="F327">
        <f t="shared" si="16"/>
        <v>-54731</v>
      </c>
      <c r="G327" t="str">
        <f t="shared" si="17"/>
        <v>Lai phat sinh</v>
      </c>
    </row>
    <row r="328" spans="1:7" x14ac:dyDescent="0.25">
      <c r="A328" s="59">
        <v>44736</v>
      </c>
      <c r="B328" s="33">
        <v>-22586.15</v>
      </c>
      <c r="C328" t="s">
        <v>49</v>
      </c>
      <c r="E328" t="str">
        <f t="shared" si="15"/>
        <v>Lai 2022-05</v>
      </c>
      <c r="F328">
        <f t="shared" si="16"/>
        <v>-54731</v>
      </c>
      <c r="G328" t="str">
        <f t="shared" si="17"/>
        <v>Lai phat sinh</v>
      </c>
    </row>
    <row r="329" spans="1:7" x14ac:dyDescent="0.25">
      <c r="A329" s="59">
        <v>44736</v>
      </c>
      <c r="B329" s="33">
        <v>-150.93</v>
      </c>
      <c r="C329" t="s">
        <v>49</v>
      </c>
      <c r="E329" t="str">
        <f t="shared" si="15"/>
        <v>Lai 2022-05</v>
      </c>
      <c r="F329">
        <f t="shared" si="16"/>
        <v>-54731</v>
      </c>
      <c r="G329" t="str">
        <f t="shared" si="17"/>
        <v>Lai phat sinh</v>
      </c>
    </row>
    <row r="330" spans="1:7" x14ac:dyDescent="0.25">
      <c r="A330" s="59">
        <v>44736</v>
      </c>
      <c r="B330" s="33">
        <v>-2473.63</v>
      </c>
      <c r="C330" t="s">
        <v>49</v>
      </c>
      <c r="E330" t="str">
        <f t="shared" si="15"/>
        <v>Lai 2022-05</v>
      </c>
      <c r="F330">
        <f t="shared" si="16"/>
        <v>-54731</v>
      </c>
      <c r="G330" t="str">
        <f t="shared" si="17"/>
        <v>Lai phat sinh</v>
      </c>
    </row>
    <row r="331" spans="1:7" x14ac:dyDescent="0.25">
      <c r="A331" s="59">
        <v>44736</v>
      </c>
      <c r="B331" s="33">
        <v>-125.78</v>
      </c>
      <c r="C331" t="s">
        <v>49</v>
      </c>
      <c r="E331" t="str">
        <f t="shared" si="15"/>
        <v>Lai 2022-05</v>
      </c>
      <c r="F331">
        <f t="shared" si="16"/>
        <v>-54731</v>
      </c>
      <c r="G331" t="str">
        <f t="shared" si="17"/>
        <v>Lai phat sinh</v>
      </c>
    </row>
    <row r="332" spans="1:7" x14ac:dyDescent="0.25">
      <c r="A332" s="59">
        <v>44728</v>
      </c>
      <c r="B332" s="33">
        <v>74116</v>
      </c>
      <c r="C332" t="s">
        <v>51</v>
      </c>
      <c r="D332" t="s">
        <v>53</v>
      </c>
      <c r="E332" t="str">
        <f t="shared" si="15"/>
        <v>Da thanh toan 2022-05</v>
      </c>
      <c r="F332">
        <f t="shared" si="16"/>
        <v>74116</v>
      </c>
      <c r="G332" t="str">
        <f t="shared" si="17"/>
        <v>Da thanh toan</v>
      </c>
    </row>
    <row r="333" spans="1:7" x14ac:dyDescent="0.25">
      <c r="A333" s="59">
        <v>44721</v>
      </c>
      <c r="B333" s="33">
        <v>-149000</v>
      </c>
      <c r="C333" t="s">
        <v>50</v>
      </c>
      <c r="E333" t="str">
        <f t="shared" si="15"/>
        <v>Phi 2022-05</v>
      </c>
      <c r="F333">
        <f t="shared" si="16"/>
        <v>-482850</v>
      </c>
      <c r="G333" t="str">
        <f t="shared" si="17"/>
        <v>Phi</v>
      </c>
    </row>
    <row r="334" spans="1:7" x14ac:dyDescent="0.25">
      <c r="A334" s="59">
        <v>44715</v>
      </c>
      <c r="B334" s="33">
        <v>-299000</v>
      </c>
      <c r="C334" t="s">
        <v>50</v>
      </c>
      <c r="E334" t="str">
        <f t="shared" si="15"/>
        <v>Phi 2022-05</v>
      </c>
      <c r="F334">
        <f t="shared" si="16"/>
        <v>-482850</v>
      </c>
      <c r="G334" t="str">
        <f t="shared" si="17"/>
        <v>Phi</v>
      </c>
    </row>
    <row r="335" spans="1:7" x14ac:dyDescent="0.25">
      <c r="A335" s="59">
        <v>44715</v>
      </c>
      <c r="B335" s="33">
        <v>-29900</v>
      </c>
      <c r="C335" t="s">
        <v>50</v>
      </c>
      <c r="E335" t="str">
        <f t="shared" si="15"/>
        <v>Phi 2022-05</v>
      </c>
      <c r="F335">
        <f t="shared" si="16"/>
        <v>-482850</v>
      </c>
      <c r="G335" t="str">
        <f t="shared" si="17"/>
        <v>Phi</v>
      </c>
    </row>
    <row r="336" spans="1:7" x14ac:dyDescent="0.25">
      <c r="A336" s="59">
        <v>44714</v>
      </c>
      <c r="B336" s="33">
        <v>-7308</v>
      </c>
      <c r="C336" t="s">
        <v>51</v>
      </c>
      <c r="D336" t="s">
        <v>777</v>
      </c>
      <c r="E336" t="str">
        <f t="shared" si="15"/>
        <v>Du no 2022-05</v>
      </c>
      <c r="F336">
        <f t="shared" si="16"/>
        <v>-7308</v>
      </c>
      <c r="G336" t="str">
        <f t="shared" si="17"/>
        <v>Du no</v>
      </c>
    </row>
    <row r="337" spans="1:7" x14ac:dyDescent="0.25">
      <c r="A337" s="59">
        <v>44708</v>
      </c>
      <c r="B337" s="33">
        <v>-450</v>
      </c>
      <c r="C337" t="s">
        <v>50</v>
      </c>
      <c r="E337" t="str">
        <f t="shared" si="15"/>
        <v>Phi 2022-05</v>
      </c>
      <c r="F337">
        <f t="shared" si="16"/>
        <v>-482850</v>
      </c>
      <c r="G337" t="str">
        <f t="shared" si="17"/>
        <v>Phi</v>
      </c>
    </row>
    <row r="338" spans="1:7" x14ac:dyDescent="0.25">
      <c r="A338" s="59">
        <v>44708</v>
      </c>
      <c r="B338" s="33">
        <v>-4500</v>
      </c>
      <c r="C338" t="s">
        <v>50</v>
      </c>
      <c r="E338" t="str">
        <f t="shared" si="15"/>
        <v>Phi 2022-05</v>
      </c>
      <c r="F338">
        <f t="shared" si="16"/>
        <v>-482850</v>
      </c>
      <c r="G338" t="str">
        <f t="shared" si="17"/>
        <v>Phi</v>
      </c>
    </row>
    <row r="339" spans="1:7" x14ac:dyDescent="0.25">
      <c r="A339" s="59">
        <v>44705</v>
      </c>
      <c r="B339" s="33">
        <v>-1100.23</v>
      </c>
      <c r="C339" t="s">
        <v>49</v>
      </c>
      <c r="E339" t="str">
        <f t="shared" si="15"/>
        <v>Lai 2022-04</v>
      </c>
      <c r="F339">
        <f t="shared" si="16"/>
        <v>-47715</v>
      </c>
      <c r="G339" t="str">
        <f t="shared" si="17"/>
        <v>Lai phat sinh</v>
      </c>
    </row>
    <row r="340" spans="1:7" x14ac:dyDescent="0.25">
      <c r="A340" s="59">
        <v>44705</v>
      </c>
      <c r="B340" s="33">
        <v>-2045.29</v>
      </c>
      <c r="C340" t="s">
        <v>49</v>
      </c>
      <c r="E340" t="str">
        <f t="shared" si="15"/>
        <v>Lai 2022-04</v>
      </c>
      <c r="F340">
        <f t="shared" si="16"/>
        <v>-47715</v>
      </c>
      <c r="G340" t="str">
        <f t="shared" si="17"/>
        <v>Lai phat sinh</v>
      </c>
    </row>
    <row r="341" spans="1:7" x14ac:dyDescent="0.25">
      <c r="A341" s="59">
        <v>44705</v>
      </c>
      <c r="B341" s="33">
        <v>-17462.32</v>
      </c>
      <c r="C341" t="s">
        <v>49</v>
      </c>
      <c r="E341" t="str">
        <f t="shared" si="15"/>
        <v>Lai 2022-04</v>
      </c>
      <c r="F341">
        <f t="shared" si="16"/>
        <v>-47715</v>
      </c>
      <c r="G341" t="str">
        <f t="shared" si="17"/>
        <v>Lai phat sinh</v>
      </c>
    </row>
    <row r="342" spans="1:7" x14ac:dyDescent="0.25">
      <c r="A342" s="59">
        <v>44705</v>
      </c>
      <c r="B342" s="33">
        <v>-2826.27</v>
      </c>
      <c r="C342" t="s">
        <v>49</v>
      </c>
      <c r="E342" t="str">
        <f t="shared" si="15"/>
        <v>Lai 2022-04</v>
      </c>
      <c r="F342">
        <f t="shared" si="16"/>
        <v>-47715</v>
      </c>
      <c r="G342" t="str">
        <f t="shared" si="17"/>
        <v>Lai phat sinh</v>
      </c>
    </row>
    <row r="343" spans="1:7" x14ac:dyDescent="0.25">
      <c r="A343" s="59">
        <v>44705</v>
      </c>
      <c r="B343" s="33">
        <v>-21857.57</v>
      </c>
      <c r="C343" t="s">
        <v>49</v>
      </c>
      <c r="E343" t="str">
        <f t="shared" si="15"/>
        <v>Lai 2022-04</v>
      </c>
      <c r="F343">
        <f t="shared" si="16"/>
        <v>-47715</v>
      </c>
      <c r="G343" t="str">
        <f t="shared" si="17"/>
        <v>Lai phat sinh</v>
      </c>
    </row>
    <row r="344" spans="1:7" x14ac:dyDescent="0.25">
      <c r="A344" s="59">
        <v>44705</v>
      </c>
      <c r="B344" s="33">
        <v>-159.32</v>
      </c>
      <c r="C344" t="s">
        <v>49</v>
      </c>
      <c r="E344" t="str">
        <f t="shared" si="15"/>
        <v>Lai 2022-04</v>
      </c>
      <c r="F344">
        <f t="shared" si="16"/>
        <v>-47715</v>
      </c>
      <c r="G344" t="str">
        <f t="shared" si="17"/>
        <v>Lai phat sinh</v>
      </c>
    </row>
    <row r="345" spans="1:7" x14ac:dyDescent="0.25">
      <c r="A345" s="59">
        <v>44705</v>
      </c>
      <c r="B345" s="33">
        <v>-2129.84</v>
      </c>
      <c r="C345" t="s">
        <v>49</v>
      </c>
      <c r="E345" t="str">
        <f t="shared" si="15"/>
        <v>Lai 2022-04</v>
      </c>
      <c r="F345">
        <f t="shared" si="16"/>
        <v>-47715</v>
      </c>
      <c r="G345" t="str">
        <f t="shared" si="17"/>
        <v>Lai phat sinh</v>
      </c>
    </row>
    <row r="346" spans="1:7" x14ac:dyDescent="0.25">
      <c r="A346" s="59">
        <v>44705</v>
      </c>
      <c r="B346" s="33">
        <v>-134.16</v>
      </c>
      <c r="C346" t="s">
        <v>49</v>
      </c>
      <c r="E346" t="str">
        <f t="shared" si="15"/>
        <v>Lai 2022-04</v>
      </c>
      <c r="F346">
        <f t="shared" si="16"/>
        <v>-47715</v>
      </c>
      <c r="G346" t="str">
        <f t="shared" si="17"/>
        <v>Lai phat sinh</v>
      </c>
    </row>
    <row r="347" spans="1:7" x14ac:dyDescent="0.25">
      <c r="A347" s="59">
        <v>44697</v>
      </c>
      <c r="B347" s="33">
        <v>64891</v>
      </c>
      <c r="C347" t="s">
        <v>51</v>
      </c>
      <c r="D347" t="s">
        <v>53</v>
      </c>
      <c r="E347" t="str">
        <f t="shared" si="15"/>
        <v>Da thanh toan 2022-04</v>
      </c>
      <c r="F347">
        <f t="shared" si="16"/>
        <v>67019</v>
      </c>
      <c r="G347" t="str">
        <f t="shared" si="17"/>
        <v>Da thanh toan</v>
      </c>
    </row>
    <row r="348" spans="1:7" x14ac:dyDescent="0.25">
      <c r="A348" s="59">
        <v>44692</v>
      </c>
      <c r="B348" s="33">
        <v>2128</v>
      </c>
      <c r="C348" t="s">
        <v>51</v>
      </c>
      <c r="D348" t="s">
        <v>53</v>
      </c>
      <c r="E348" t="str">
        <f t="shared" si="15"/>
        <v>Da thanh toan 2022-04</v>
      </c>
      <c r="F348">
        <f t="shared" si="16"/>
        <v>67019</v>
      </c>
      <c r="G348" t="str">
        <f t="shared" si="17"/>
        <v>Da thanh toan</v>
      </c>
    </row>
    <row r="349" spans="1:7" x14ac:dyDescent="0.25">
      <c r="A349" s="59">
        <v>44691</v>
      </c>
      <c r="B349" s="33">
        <v>-149000</v>
      </c>
      <c r="C349" t="s">
        <v>50</v>
      </c>
      <c r="E349" t="str">
        <f t="shared" si="15"/>
        <v>Phi 2022-04</v>
      </c>
      <c r="F349">
        <f t="shared" si="16"/>
        <v>-153950</v>
      </c>
      <c r="G349" t="str">
        <f t="shared" si="17"/>
        <v>Phi</v>
      </c>
    </row>
    <row r="350" spans="1:7" x14ac:dyDescent="0.25">
      <c r="A350" s="59">
        <v>44687</v>
      </c>
      <c r="B350" s="33">
        <v>-7308</v>
      </c>
      <c r="C350" t="s">
        <v>51</v>
      </c>
      <c r="D350" t="s">
        <v>778</v>
      </c>
      <c r="E350" t="str">
        <f t="shared" si="15"/>
        <v>Du no 2022-04</v>
      </c>
      <c r="F350">
        <f t="shared" si="16"/>
        <v>-7308</v>
      </c>
      <c r="G350" t="str">
        <f t="shared" si="17"/>
        <v>Du no</v>
      </c>
    </row>
    <row r="351" spans="1:7" x14ac:dyDescent="0.25">
      <c r="A351" s="59">
        <v>44680</v>
      </c>
      <c r="B351" s="33">
        <v>-450</v>
      </c>
      <c r="C351" t="s">
        <v>50</v>
      </c>
      <c r="E351" t="str">
        <f t="shared" si="15"/>
        <v>Phi 2022-04</v>
      </c>
      <c r="F351">
        <f t="shared" si="16"/>
        <v>-153950</v>
      </c>
      <c r="G351" t="str">
        <f t="shared" si="17"/>
        <v>Phi</v>
      </c>
    </row>
    <row r="352" spans="1:7" x14ac:dyDescent="0.25">
      <c r="A352" s="59">
        <v>44680</v>
      </c>
      <c r="B352" s="33">
        <v>-4500</v>
      </c>
      <c r="C352" t="s">
        <v>50</v>
      </c>
      <c r="E352" t="str">
        <f t="shared" si="15"/>
        <v>Phi 2022-04</v>
      </c>
      <c r="F352">
        <f t="shared" si="16"/>
        <v>-153950</v>
      </c>
      <c r="G352" t="str">
        <f t="shared" si="17"/>
        <v>Phi</v>
      </c>
    </row>
    <row r="353" spans="1:7" x14ac:dyDescent="0.25">
      <c r="A353" s="59">
        <v>44675</v>
      </c>
      <c r="B353" s="33">
        <v>-882.23</v>
      </c>
      <c r="C353" t="s">
        <v>49</v>
      </c>
      <c r="E353" t="str">
        <f t="shared" si="15"/>
        <v>Lai 2022-03</v>
      </c>
      <c r="F353">
        <f t="shared" si="16"/>
        <v>-44070</v>
      </c>
      <c r="G353" t="str">
        <f t="shared" si="17"/>
        <v>Lai phat sinh</v>
      </c>
    </row>
    <row r="354" spans="1:7" x14ac:dyDescent="0.25">
      <c r="A354" s="59">
        <v>44675</v>
      </c>
      <c r="B354" s="33">
        <v>-2182.1799999999998</v>
      </c>
      <c r="C354" t="s">
        <v>49</v>
      </c>
      <c r="E354" t="str">
        <f t="shared" si="15"/>
        <v>Lai 2022-03</v>
      </c>
      <c r="F354">
        <f t="shared" si="16"/>
        <v>-44070</v>
      </c>
      <c r="G354" t="str">
        <f t="shared" si="17"/>
        <v>Lai phat sinh</v>
      </c>
    </row>
    <row r="355" spans="1:7" x14ac:dyDescent="0.25">
      <c r="A355" s="59">
        <v>44675</v>
      </c>
      <c r="B355" s="33">
        <v>-13522.21</v>
      </c>
      <c r="C355" t="s">
        <v>49</v>
      </c>
      <c r="E355" t="str">
        <f t="shared" si="15"/>
        <v>Lai 2022-03</v>
      </c>
      <c r="F355">
        <f t="shared" si="16"/>
        <v>-44070</v>
      </c>
      <c r="G355" t="str">
        <f t="shared" si="17"/>
        <v>Lai phat sinh</v>
      </c>
    </row>
    <row r="356" spans="1:7" x14ac:dyDescent="0.25">
      <c r="A356" s="59">
        <v>44675</v>
      </c>
      <c r="B356" s="33">
        <v>-2649.63</v>
      </c>
      <c r="C356" t="s">
        <v>49</v>
      </c>
      <c r="E356" t="str">
        <f t="shared" si="15"/>
        <v>Lai 2022-03</v>
      </c>
      <c r="F356">
        <f t="shared" si="16"/>
        <v>-44070</v>
      </c>
      <c r="G356" t="str">
        <f t="shared" si="17"/>
        <v>Lai phat sinh</v>
      </c>
    </row>
    <row r="357" spans="1:7" x14ac:dyDescent="0.25">
      <c r="A357" s="59">
        <v>44675</v>
      </c>
      <c r="B357" s="33">
        <v>-22586.15</v>
      </c>
      <c r="C357" t="s">
        <v>49</v>
      </c>
      <c r="E357" t="str">
        <f t="shared" si="15"/>
        <v>Lai 2022-03</v>
      </c>
      <c r="F357">
        <f t="shared" si="16"/>
        <v>-44070</v>
      </c>
      <c r="G357" t="str">
        <f t="shared" si="17"/>
        <v>Lai phat sinh</v>
      </c>
    </row>
    <row r="358" spans="1:7" x14ac:dyDescent="0.25">
      <c r="A358" s="59">
        <v>44675</v>
      </c>
      <c r="B358" s="33">
        <v>-167.7</v>
      </c>
      <c r="C358" t="s">
        <v>49</v>
      </c>
      <c r="E358" t="str">
        <f t="shared" si="15"/>
        <v>Lai 2022-03</v>
      </c>
      <c r="F358">
        <f t="shared" si="16"/>
        <v>-44070</v>
      </c>
      <c r="G358" t="str">
        <f t="shared" si="17"/>
        <v>Lai phat sinh</v>
      </c>
    </row>
    <row r="359" spans="1:7" x14ac:dyDescent="0.25">
      <c r="A359" s="59">
        <v>44675</v>
      </c>
      <c r="B359" s="33">
        <v>-1953.75</v>
      </c>
      <c r="C359" t="s">
        <v>49</v>
      </c>
      <c r="E359" t="str">
        <f t="shared" si="15"/>
        <v>Lai 2022-03</v>
      </c>
      <c r="F359">
        <f t="shared" si="16"/>
        <v>-44070</v>
      </c>
      <c r="G359" t="str">
        <f t="shared" si="17"/>
        <v>Lai phat sinh</v>
      </c>
    </row>
    <row r="360" spans="1:7" x14ac:dyDescent="0.25">
      <c r="A360" s="59">
        <v>44675</v>
      </c>
      <c r="B360" s="33">
        <v>-125.78</v>
      </c>
      <c r="C360" t="s">
        <v>49</v>
      </c>
      <c r="E360" t="str">
        <f t="shared" si="15"/>
        <v>Lai 2022-03</v>
      </c>
      <c r="F360">
        <f t="shared" si="16"/>
        <v>-44070</v>
      </c>
      <c r="G360" t="str">
        <f t="shared" si="17"/>
        <v>Lai phat sinh</v>
      </c>
    </row>
    <row r="361" spans="1:7" x14ac:dyDescent="0.25">
      <c r="A361" s="59">
        <v>44664</v>
      </c>
      <c r="B361" s="33">
        <v>39276</v>
      </c>
      <c r="C361" t="s">
        <v>51</v>
      </c>
      <c r="D361" t="s">
        <v>53</v>
      </c>
      <c r="E361" t="str">
        <f t="shared" si="15"/>
        <v>Da thanh toan 2022-03</v>
      </c>
      <c r="F361">
        <f t="shared" si="16"/>
        <v>59739</v>
      </c>
      <c r="G361" t="str">
        <f t="shared" si="17"/>
        <v>Da thanh toan</v>
      </c>
    </row>
    <row r="362" spans="1:7" x14ac:dyDescent="0.25">
      <c r="A362" s="59">
        <v>44664</v>
      </c>
      <c r="B362" s="33">
        <v>-149000</v>
      </c>
      <c r="C362" t="s">
        <v>50</v>
      </c>
      <c r="E362" t="str">
        <f t="shared" si="15"/>
        <v>Phi 2022-03</v>
      </c>
      <c r="F362">
        <f t="shared" si="16"/>
        <v>-153950</v>
      </c>
      <c r="G362" t="str">
        <f t="shared" si="17"/>
        <v>Phi</v>
      </c>
    </row>
    <row r="363" spans="1:7" x14ac:dyDescent="0.25">
      <c r="A363" s="59">
        <v>44663</v>
      </c>
      <c r="B363" s="33">
        <v>20463</v>
      </c>
      <c r="C363" t="s">
        <v>51</v>
      </c>
      <c r="D363" t="s">
        <v>53</v>
      </c>
      <c r="E363" t="str">
        <f t="shared" si="15"/>
        <v>Da thanh toan 2022-03</v>
      </c>
      <c r="F363">
        <f t="shared" si="16"/>
        <v>59739</v>
      </c>
      <c r="G363" t="str">
        <f t="shared" si="17"/>
        <v>Da thanh toan</v>
      </c>
    </row>
    <row r="364" spans="1:7" x14ac:dyDescent="0.25">
      <c r="A364" s="59">
        <v>44656</v>
      </c>
      <c r="B364" s="33">
        <v>-7308</v>
      </c>
      <c r="C364" t="s">
        <v>51</v>
      </c>
      <c r="D364" t="s">
        <v>779</v>
      </c>
      <c r="E364" t="str">
        <f t="shared" si="15"/>
        <v>Du no 2022-03</v>
      </c>
      <c r="F364">
        <f t="shared" si="16"/>
        <v>-7308</v>
      </c>
      <c r="G364" t="str">
        <f t="shared" si="17"/>
        <v>Du no</v>
      </c>
    </row>
    <row r="365" spans="1:7" x14ac:dyDescent="0.25">
      <c r="A365" s="59">
        <v>44646</v>
      </c>
      <c r="B365" s="33">
        <v>-450</v>
      </c>
      <c r="C365" t="s">
        <v>50</v>
      </c>
      <c r="E365" t="str">
        <f t="shared" si="15"/>
        <v>Phi 2022-03</v>
      </c>
      <c r="F365">
        <f t="shared" si="16"/>
        <v>-153950</v>
      </c>
      <c r="G365" t="str">
        <f t="shared" si="17"/>
        <v>Phi</v>
      </c>
    </row>
    <row r="366" spans="1:7" x14ac:dyDescent="0.25">
      <c r="A366" s="59">
        <v>44646</v>
      </c>
      <c r="B366" s="33">
        <v>-4500</v>
      </c>
      <c r="C366" t="s">
        <v>50</v>
      </c>
      <c r="E366" t="str">
        <f t="shared" si="15"/>
        <v>Phi 2022-03</v>
      </c>
      <c r="F366">
        <f t="shared" si="16"/>
        <v>-153950</v>
      </c>
      <c r="G366" t="str">
        <f t="shared" si="17"/>
        <v>Phi</v>
      </c>
    </row>
    <row r="367" spans="1:7" x14ac:dyDescent="0.25">
      <c r="A367" s="59">
        <v>44644</v>
      </c>
      <c r="B367" s="33">
        <v>-1407.33</v>
      </c>
      <c r="C367" t="s">
        <v>49</v>
      </c>
      <c r="E367" t="str">
        <f t="shared" si="15"/>
        <v>Lai 2022-02</v>
      </c>
      <c r="F367">
        <f t="shared" si="16"/>
        <v>-36184</v>
      </c>
      <c r="G367" t="str">
        <f t="shared" si="17"/>
        <v>Lai phat sinh</v>
      </c>
    </row>
    <row r="368" spans="1:7" x14ac:dyDescent="0.25">
      <c r="A368" s="59">
        <v>44644</v>
      </c>
      <c r="B368" s="33">
        <v>-2723.46</v>
      </c>
      <c r="C368" t="s">
        <v>49</v>
      </c>
      <c r="E368" t="str">
        <f t="shared" si="15"/>
        <v>Lai 2022-02</v>
      </c>
      <c r="F368">
        <f t="shared" si="16"/>
        <v>-36184</v>
      </c>
      <c r="G368" t="str">
        <f t="shared" si="17"/>
        <v>Lai phat sinh</v>
      </c>
    </row>
    <row r="369" spans="1:7" x14ac:dyDescent="0.25">
      <c r="A369" s="59">
        <v>44644</v>
      </c>
      <c r="B369" s="33">
        <v>-7242.31</v>
      </c>
      <c r="C369" t="s">
        <v>49</v>
      </c>
      <c r="E369" t="str">
        <f t="shared" si="15"/>
        <v>Lai 2022-02</v>
      </c>
      <c r="F369">
        <f t="shared" si="16"/>
        <v>-36184</v>
      </c>
      <c r="G369" t="str">
        <f t="shared" si="17"/>
        <v>Lai phat sinh</v>
      </c>
    </row>
    <row r="370" spans="1:7" x14ac:dyDescent="0.25">
      <c r="A370" s="59">
        <v>44644</v>
      </c>
      <c r="B370" s="33">
        <v>-2649.63</v>
      </c>
      <c r="C370" t="s">
        <v>49</v>
      </c>
      <c r="E370" t="str">
        <f t="shared" si="15"/>
        <v>Lai 2022-02</v>
      </c>
      <c r="F370">
        <f t="shared" si="16"/>
        <v>-36184</v>
      </c>
      <c r="G370" t="str">
        <f t="shared" si="17"/>
        <v>Lai phat sinh</v>
      </c>
    </row>
    <row r="371" spans="1:7" x14ac:dyDescent="0.25">
      <c r="A371" s="59">
        <v>44644</v>
      </c>
      <c r="B371" s="33">
        <v>-20400.400000000001</v>
      </c>
      <c r="C371" t="s">
        <v>49</v>
      </c>
      <c r="E371" t="str">
        <f t="shared" si="15"/>
        <v>Lai 2022-02</v>
      </c>
      <c r="F371">
        <f t="shared" si="16"/>
        <v>-36184</v>
      </c>
      <c r="G371" t="str">
        <f t="shared" si="17"/>
        <v>Lai phat sinh</v>
      </c>
    </row>
    <row r="372" spans="1:7" x14ac:dyDescent="0.25">
      <c r="A372" s="59">
        <v>44644</v>
      </c>
      <c r="B372" s="33">
        <v>-117.39</v>
      </c>
      <c r="C372" t="s">
        <v>49</v>
      </c>
      <c r="E372" t="str">
        <f t="shared" si="15"/>
        <v>Lai 2022-02</v>
      </c>
      <c r="F372">
        <f t="shared" si="16"/>
        <v>-36184</v>
      </c>
      <c r="G372" t="str">
        <f t="shared" si="17"/>
        <v>Lai phat sinh</v>
      </c>
    </row>
    <row r="373" spans="1:7" x14ac:dyDescent="0.25">
      <c r="A373" s="59">
        <v>44644</v>
      </c>
      <c r="B373" s="33">
        <v>-1517.72</v>
      </c>
      <c r="C373" t="s">
        <v>49</v>
      </c>
      <c r="E373" t="str">
        <f t="shared" si="15"/>
        <v>Lai 2022-02</v>
      </c>
      <c r="F373">
        <f t="shared" si="16"/>
        <v>-36184</v>
      </c>
      <c r="G373" t="str">
        <f t="shared" si="17"/>
        <v>Lai phat sinh</v>
      </c>
    </row>
    <row r="374" spans="1:7" x14ac:dyDescent="0.25">
      <c r="A374" s="59">
        <v>44644</v>
      </c>
      <c r="B374" s="33">
        <v>-125.78</v>
      </c>
      <c r="C374" t="s">
        <v>49</v>
      </c>
      <c r="E374" t="str">
        <f t="shared" si="15"/>
        <v>Lai 2022-02</v>
      </c>
      <c r="F374">
        <f t="shared" si="16"/>
        <v>-36184</v>
      </c>
      <c r="G374" t="str">
        <f t="shared" si="17"/>
        <v>Lai phat sinh</v>
      </c>
    </row>
    <row r="375" spans="1:7" x14ac:dyDescent="0.25">
      <c r="A375" s="59">
        <v>44641</v>
      </c>
      <c r="B375" s="33">
        <v>27106</v>
      </c>
      <c r="C375" t="s">
        <v>51</v>
      </c>
      <c r="D375" t="s">
        <v>53</v>
      </c>
      <c r="E375" t="str">
        <f t="shared" si="15"/>
        <v>Da thanh toan 2022-02</v>
      </c>
      <c r="F375">
        <f t="shared" si="16"/>
        <v>52492</v>
      </c>
      <c r="G375" t="str">
        <f t="shared" si="17"/>
        <v>Da thanh toan</v>
      </c>
    </row>
    <row r="376" spans="1:7" x14ac:dyDescent="0.25">
      <c r="A376" s="59">
        <v>44634</v>
      </c>
      <c r="B376" s="33">
        <v>25386</v>
      </c>
      <c r="C376" t="s">
        <v>51</v>
      </c>
      <c r="D376" t="s">
        <v>53</v>
      </c>
      <c r="E376" t="str">
        <f t="shared" si="15"/>
        <v>Da thanh toan 2022-02</v>
      </c>
      <c r="F376">
        <f t="shared" si="16"/>
        <v>52492</v>
      </c>
      <c r="G376" t="str">
        <f t="shared" si="17"/>
        <v>Da thanh toan</v>
      </c>
    </row>
    <row r="377" spans="1:7" x14ac:dyDescent="0.25">
      <c r="A377" s="59">
        <v>44632</v>
      </c>
      <c r="B377" s="33">
        <v>-149000</v>
      </c>
      <c r="C377" t="s">
        <v>50</v>
      </c>
      <c r="E377" t="str">
        <f t="shared" si="15"/>
        <v>Phi 2022-02</v>
      </c>
      <c r="F377">
        <f t="shared" si="16"/>
        <v>-153950</v>
      </c>
      <c r="G377" t="str">
        <f t="shared" si="17"/>
        <v>Phi</v>
      </c>
    </row>
    <row r="378" spans="1:7" x14ac:dyDescent="0.25">
      <c r="A378" s="59">
        <v>44624</v>
      </c>
      <c r="B378" s="33">
        <v>-7308</v>
      </c>
      <c r="C378" t="s">
        <v>51</v>
      </c>
      <c r="D378" t="s">
        <v>780</v>
      </c>
      <c r="E378" t="str">
        <f t="shared" si="15"/>
        <v>Du no 2022-02</v>
      </c>
      <c r="F378">
        <f t="shared" si="16"/>
        <v>-7308</v>
      </c>
      <c r="G378" t="str">
        <f t="shared" si="17"/>
        <v>Du no</v>
      </c>
    </row>
    <row r="379" spans="1:7" x14ac:dyDescent="0.25">
      <c r="A379" s="59">
        <v>44621</v>
      </c>
      <c r="B379" s="33">
        <v>-450</v>
      </c>
      <c r="C379" t="s">
        <v>50</v>
      </c>
      <c r="E379" t="str">
        <f t="shared" si="15"/>
        <v>Phi 2022-02</v>
      </c>
      <c r="F379">
        <f t="shared" si="16"/>
        <v>-153950</v>
      </c>
      <c r="G379" t="str">
        <f t="shared" si="17"/>
        <v>Phi</v>
      </c>
    </row>
    <row r="380" spans="1:7" x14ac:dyDescent="0.25">
      <c r="A380" s="59">
        <v>44621</v>
      </c>
      <c r="B380" s="33">
        <v>-4500</v>
      </c>
      <c r="C380" t="s">
        <v>50</v>
      </c>
      <c r="E380" t="str">
        <f t="shared" si="15"/>
        <v>Phi 2022-02</v>
      </c>
      <c r="F380">
        <f t="shared" si="16"/>
        <v>-153950</v>
      </c>
      <c r="G380" t="str">
        <f t="shared" si="17"/>
        <v>Phi</v>
      </c>
    </row>
    <row r="381" spans="1:7" x14ac:dyDescent="0.25">
      <c r="A381" s="59">
        <v>44616</v>
      </c>
      <c r="B381" s="33">
        <v>-1692.86</v>
      </c>
      <c r="C381" t="s">
        <v>49</v>
      </c>
      <c r="E381" t="str">
        <f t="shared" si="15"/>
        <v>Lai 2022-01</v>
      </c>
      <c r="F381">
        <f t="shared" si="16"/>
        <v>-31465</v>
      </c>
      <c r="G381" t="str">
        <f t="shared" si="17"/>
        <v>Lai phat sinh</v>
      </c>
    </row>
    <row r="382" spans="1:7" x14ac:dyDescent="0.25">
      <c r="A382" s="59">
        <v>44616</v>
      </c>
      <c r="B382" s="33">
        <v>-5475.9</v>
      </c>
      <c r="C382" t="s">
        <v>49</v>
      </c>
      <c r="E382" t="str">
        <f t="shared" si="15"/>
        <v>Lai 2022-01</v>
      </c>
      <c r="F382">
        <f t="shared" si="16"/>
        <v>-31465</v>
      </c>
      <c r="G382" t="str">
        <f t="shared" si="17"/>
        <v>Lai phat sinh</v>
      </c>
    </row>
    <row r="383" spans="1:7" x14ac:dyDescent="0.25">
      <c r="A383" s="59">
        <v>44616</v>
      </c>
      <c r="B383" s="33">
        <v>-22586.15</v>
      </c>
      <c r="C383" t="s">
        <v>49</v>
      </c>
      <c r="E383" t="str">
        <f t="shared" si="15"/>
        <v>Lai 2022-01</v>
      </c>
      <c r="F383">
        <f t="shared" si="16"/>
        <v>-31465</v>
      </c>
      <c r="G383" t="str">
        <f t="shared" si="17"/>
        <v>Lai phat sinh</v>
      </c>
    </row>
    <row r="384" spans="1:7" x14ac:dyDescent="0.25">
      <c r="A384" s="59">
        <v>44616</v>
      </c>
      <c r="B384" s="33">
        <v>-150.93</v>
      </c>
      <c r="C384" t="s">
        <v>49</v>
      </c>
      <c r="E384" t="str">
        <f t="shared" si="15"/>
        <v>Lai 2022-01</v>
      </c>
      <c r="F384">
        <f t="shared" si="16"/>
        <v>-31465</v>
      </c>
      <c r="G384" t="str">
        <f t="shared" si="17"/>
        <v>Lai phat sinh</v>
      </c>
    </row>
    <row r="385" spans="1:7" x14ac:dyDescent="0.25">
      <c r="A385" s="59">
        <v>44616</v>
      </c>
      <c r="B385" s="33">
        <v>-1433.87</v>
      </c>
      <c r="C385" t="s">
        <v>49</v>
      </c>
      <c r="E385" t="str">
        <f t="shared" si="15"/>
        <v>Lai 2022-01</v>
      </c>
      <c r="F385">
        <f t="shared" si="16"/>
        <v>-31465</v>
      </c>
      <c r="G385" t="str">
        <f t="shared" si="17"/>
        <v>Lai phat sinh</v>
      </c>
    </row>
    <row r="386" spans="1:7" x14ac:dyDescent="0.25">
      <c r="A386" s="59">
        <v>44616</v>
      </c>
      <c r="B386" s="33">
        <v>-125.78</v>
      </c>
      <c r="C386" t="s">
        <v>49</v>
      </c>
      <c r="E386" t="str">
        <f t="shared" ref="E386:E449" si="18">IF(OR(C386="Transaction",C386="Interests",C386="Misc",C386="Account Transfer"), IF(C386="Transaction", IF(B386&lt;0, "Du no", "Da thanh toan"), IF(C386="Interests", "Lai", IF(C386="Misc", "Phi", IF(C386="Account Transfer", IF(OR(ISNUMBER(SEARCH("Trich lai tra gop the TD", D386)), ISNUMBER(SEARCH("Chuyen lai tra gop con lai sang du no thong thuong khi BadDebt", D386))), IF(B386&lt;0, "Lai tra gop", ""), "" )))))) &amp; " " &amp; IF(C386="Interests", TEXT(EDATE(IF(DAY(A386)&gt;=24, A386, EDATE(A386,-1)), -1),"yyyy-mm"), TEXT(IF(DAY(A386)&gt;=24, A386, EDATE(A386,-1)),"yyyy-mm"))</f>
        <v>Lai 2022-01</v>
      </c>
      <c r="F386">
        <f t="shared" ref="F386:F449" si="19">IF(ISNUMBER(B386), ROUND(SUMIFS($B$2:$B$10000, $E$2:$E$10000, E386, $B$2:$B$10000, IF(B386&lt;0, "&lt;0", "&gt;0")), 0), "")</f>
        <v>-31465</v>
      </c>
      <c r="G386" t="str">
        <f t="shared" ref="G386:G449" si="20">IF(F386&gt;0, IF(C386="Transaction", "Da thanh toan", "Duong"), IF(F386&lt;0, IF(C386="Transaction", "Du no", IF(C386="Interests", "Lai phat sinh", IF(C386="Misc", "Phi", IF(C386="Account Transfer", "Lai tra gop", "Am")))), "Bang 0"))</f>
        <v>Lai phat sinh</v>
      </c>
    </row>
    <row r="387" spans="1:7" x14ac:dyDescent="0.25">
      <c r="A387" s="59">
        <v>44602</v>
      </c>
      <c r="B387" s="33">
        <v>-7308</v>
      </c>
      <c r="C387" t="s">
        <v>51</v>
      </c>
      <c r="D387" t="s">
        <v>781</v>
      </c>
      <c r="E387" t="str">
        <f t="shared" si="18"/>
        <v>Du no 2022-01</v>
      </c>
      <c r="F387">
        <f t="shared" si="19"/>
        <v>-7308</v>
      </c>
      <c r="G387" t="str">
        <f t="shared" si="20"/>
        <v>Du no</v>
      </c>
    </row>
    <row r="388" spans="1:7" x14ac:dyDescent="0.25">
      <c r="A388" s="59">
        <v>44601</v>
      </c>
      <c r="B388" s="33">
        <v>45111</v>
      </c>
      <c r="C388" t="s">
        <v>51</v>
      </c>
      <c r="D388" t="s">
        <v>53</v>
      </c>
      <c r="E388" t="str">
        <f t="shared" si="18"/>
        <v>Da thanh toan 2022-01</v>
      </c>
      <c r="F388">
        <f t="shared" si="19"/>
        <v>45111</v>
      </c>
      <c r="G388" t="str">
        <f t="shared" si="20"/>
        <v>Da thanh toan</v>
      </c>
    </row>
    <row r="389" spans="1:7" x14ac:dyDescent="0.25">
      <c r="A389" s="59">
        <v>44601</v>
      </c>
      <c r="B389" s="33">
        <v>-149000</v>
      </c>
      <c r="C389" t="s">
        <v>50</v>
      </c>
      <c r="E389" t="str">
        <f t="shared" si="18"/>
        <v>Phi 2022-01</v>
      </c>
      <c r="F389">
        <f t="shared" si="19"/>
        <v>-153950</v>
      </c>
      <c r="G389" t="str">
        <f t="shared" si="20"/>
        <v>Phi</v>
      </c>
    </row>
    <row r="390" spans="1:7" x14ac:dyDescent="0.25">
      <c r="A390" s="59">
        <v>44588</v>
      </c>
      <c r="B390" s="33">
        <v>-450</v>
      </c>
      <c r="C390" t="s">
        <v>50</v>
      </c>
      <c r="E390" t="str">
        <f t="shared" si="18"/>
        <v>Phi 2022-01</v>
      </c>
      <c r="F390">
        <f t="shared" si="19"/>
        <v>-153950</v>
      </c>
      <c r="G390" t="str">
        <f t="shared" si="20"/>
        <v>Phi</v>
      </c>
    </row>
    <row r="391" spans="1:7" x14ac:dyDescent="0.25">
      <c r="A391" s="59">
        <v>44588</v>
      </c>
      <c r="B391" s="33">
        <v>-4500</v>
      </c>
      <c r="C391" t="s">
        <v>50</v>
      </c>
      <c r="E391" t="str">
        <f t="shared" si="18"/>
        <v>Phi 2022-01</v>
      </c>
      <c r="F391">
        <f t="shared" si="19"/>
        <v>-153950</v>
      </c>
      <c r="G391" t="str">
        <f t="shared" si="20"/>
        <v>Phi</v>
      </c>
    </row>
    <row r="392" spans="1:7" x14ac:dyDescent="0.25">
      <c r="A392" s="59">
        <v>44585</v>
      </c>
      <c r="B392" s="33">
        <v>-1790.96</v>
      </c>
      <c r="C392" t="s">
        <v>49</v>
      </c>
      <c r="E392" t="str">
        <f t="shared" si="18"/>
        <v>Lai 2021-12</v>
      </c>
      <c r="F392">
        <f t="shared" si="19"/>
        <v>-33677</v>
      </c>
      <c r="G392" t="str">
        <f t="shared" si="20"/>
        <v>Lai phat sinh</v>
      </c>
    </row>
    <row r="393" spans="1:7" x14ac:dyDescent="0.25">
      <c r="A393" s="59">
        <v>44585</v>
      </c>
      <c r="B393" s="33">
        <v>-2524.1</v>
      </c>
      <c r="C393" t="s">
        <v>49</v>
      </c>
      <c r="E393" t="str">
        <f t="shared" si="18"/>
        <v>Lai 2021-12</v>
      </c>
      <c r="F393">
        <f t="shared" si="19"/>
        <v>-33677</v>
      </c>
      <c r="G393" t="str">
        <f t="shared" si="20"/>
        <v>Lai phat sinh</v>
      </c>
    </row>
    <row r="394" spans="1:7" x14ac:dyDescent="0.25">
      <c r="A394" s="59">
        <v>44585</v>
      </c>
      <c r="B394" s="33">
        <v>-2826.27</v>
      </c>
      <c r="C394" t="s">
        <v>49</v>
      </c>
      <c r="E394" t="str">
        <f t="shared" si="18"/>
        <v>Lai 2021-12</v>
      </c>
      <c r="F394">
        <f t="shared" si="19"/>
        <v>-33677</v>
      </c>
      <c r="G394" t="str">
        <f t="shared" si="20"/>
        <v>Lai phat sinh</v>
      </c>
    </row>
    <row r="395" spans="1:7" x14ac:dyDescent="0.25">
      <c r="A395" s="59">
        <v>44585</v>
      </c>
      <c r="B395" s="33">
        <v>-2649.63</v>
      </c>
      <c r="C395" t="s">
        <v>49</v>
      </c>
      <c r="E395" t="str">
        <f t="shared" si="18"/>
        <v>Lai 2021-12</v>
      </c>
      <c r="F395">
        <f t="shared" si="19"/>
        <v>-33677</v>
      </c>
      <c r="G395" t="str">
        <f t="shared" si="20"/>
        <v>Lai phat sinh</v>
      </c>
    </row>
    <row r="396" spans="1:7" x14ac:dyDescent="0.25">
      <c r="A396" s="59">
        <v>44585</v>
      </c>
      <c r="B396" s="33">
        <v>-22586.15</v>
      </c>
      <c r="C396" t="s">
        <v>49</v>
      </c>
      <c r="E396" t="str">
        <f t="shared" si="18"/>
        <v>Lai 2021-12</v>
      </c>
      <c r="F396">
        <f t="shared" si="19"/>
        <v>-33677</v>
      </c>
      <c r="G396" t="str">
        <f t="shared" si="20"/>
        <v>Lai phat sinh</v>
      </c>
    </row>
    <row r="397" spans="1:7" x14ac:dyDescent="0.25">
      <c r="A397" s="59">
        <v>44585</v>
      </c>
      <c r="B397" s="33">
        <v>-1299.7</v>
      </c>
      <c r="C397" t="s">
        <v>49</v>
      </c>
      <c r="E397" t="str">
        <f t="shared" si="18"/>
        <v>Lai 2021-12</v>
      </c>
      <c r="F397">
        <f t="shared" si="19"/>
        <v>-33677</v>
      </c>
      <c r="G397" t="str">
        <f t="shared" si="20"/>
        <v>Lai phat sinh</v>
      </c>
    </row>
    <row r="398" spans="1:7" x14ac:dyDescent="0.25">
      <c r="A398" s="59">
        <v>44571</v>
      </c>
      <c r="B398" s="33">
        <v>26636</v>
      </c>
      <c r="C398" t="s">
        <v>51</v>
      </c>
      <c r="D398" t="s">
        <v>53</v>
      </c>
      <c r="E398" t="str">
        <f t="shared" si="18"/>
        <v>Da thanh toan 2021-12</v>
      </c>
      <c r="F398">
        <f t="shared" si="19"/>
        <v>26636</v>
      </c>
      <c r="G398" t="str">
        <f t="shared" si="20"/>
        <v>Da thanh toan</v>
      </c>
    </row>
    <row r="399" spans="1:7" x14ac:dyDescent="0.25">
      <c r="A399" s="59">
        <v>44567</v>
      </c>
      <c r="B399" s="33">
        <v>-7308</v>
      </c>
      <c r="C399" t="s">
        <v>51</v>
      </c>
      <c r="D399" t="s">
        <v>782</v>
      </c>
      <c r="E399" t="str">
        <f t="shared" si="18"/>
        <v>Du no 2021-12</v>
      </c>
      <c r="F399">
        <f t="shared" si="19"/>
        <v>-7308</v>
      </c>
      <c r="G399" t="str">
        <f t="shared" si="20"/>
        <v>Du no</v>
      </c>
    </row>
    <row r="400" spans="1:7" x14ac:dyDescent="0.25">
      <c r="A400" s="59">
        <v>44554</v>
      </c>
      <c r="B400" s="33">
        <v>-1104.52</v>
      </c>
      <c r="C400" t="s">
        <v>49</v>
      </c>
      <c r="E400" t="str">
        <f t="shared" si="18"/>
        <v>Lai 2021-11</v>
      </c>
      <c r="F400">
        <f t="shared" si="19"/>
        <v>-62380</v>
      </c>
      <c r="G400" t="str">
        <f t="shared" si="20"/>
        <v>Lai phat sinh</v>
      </c>
    </row>
    <row r="401" spans="1:7" x14ac:dyDescent="0.25">
      <c r="A401" s="59">
        <v>44554</v>
      </c>
      <c r="B401" s="33">
        <v>-2712.1</v>
      </c>
      <c r="C401" t="s">
        <v>49</v>
      </c>
      <c r="E401" t="str">
        <f t="shared" si="18"/>
        <v>Lai 2021-11</v>
      </c>
      <c r="F401">
        <f t="shared" si="19"/>
        <v>-62380</v>
      </c>
      <c r="G401" t="str">
        <f t="shared" si="20"/>
        <v>Lai phat sinh</v>
      </c>
    </row>
    <row r="402" spans="1:7" x14ac:dyDescent="0.25">
      <c r="A402" s="59">
        <v>44554</v>
      </c>
      <c r="B402" s="33">
        <v>-706.57</v>
      </c>
      <c r="C402" t="s">
        <v>49</v>
      </c>
      <c r="E402" t="str">
        <f t="shared" si="18"/>
        <v>Lai 2021-11</v>
      </c>
      <c r="F402">
        <f t="shared" si="19"/>
        <v>-62380</v>
      </c>
      <c r="G402" t="str">
        <f t="shared" si="20"/>
        <v>Lai phat sinh</v>
      </c>
    </row>
    <row r="403" spans="1:7" x14ac:dyDescent="0.25">
      <c r="A403" s="59">
        <v>44554</v>
      </c>
      <c r="B403" s="33">
        <v>-2649.63</v>
      </c>
      <c r="C403" t="s">
        <v>49</v>
      </c>
      <c r="E403" t="str">
        <f t="shared" si="18"/>
        <v>Lai 2021-11</v>
      </c>
      <c r="F403">
        <f t="shared" si="19"/>
        <v>-62380</v>
      </c>
      <c r="G403" t="str">
        <f t="shared" si="20"/>
        <v>Lai phat sinh</v>
      </c>
    </row>
    <row r="404" spans="1:7" x14ac:dyDescent="0.25">
      <c r="A404" s="59">
        <v>44554</v>
      </c>
      <c r="B404" s="33">
        <v>-53765.39</v>
      </c>
      <c r="C404" t="s">
        <v>49</v>
      </c>
      <c r="E404" t="str">
        <f t="shared" si="18"/>
        <v>Lai 2021-11</v>
      </c>
      <c r="F404">
        <f t="shared" si="19"/>
        <v>-62380</v>
      </c>
      <c r="G404" t="str">
        <f t="shared" si="20"/>
        <v>Lai phat sinh</v>
      </c>
    </row>
    <row r="405" spans="1:7" x14ac:dyDescent="0.25">
      <c r="A405" s="59">
        <v>44554</v>
      </c>
      <c r="B405" s="33">
        <v>-184.47</v>
      </c>
      <c r="C405" t="s">
        <v>49</v>
      </c>
      <c r="E405" t="str">
        <f t="shared" si="18"/>
        <v>Lai 2021-11</v>
      </c>
      <c r="F405">
        <f t="shared" si="19"/>
        <v>-62380</v>
      </c>
      <c r="G405" t="str">
        <f t="shared" si="20"/>
        <v>Lai phat sinh</v>
      </c>
    </row>
    <row r="406" spans="1:7" x14ac:dyDescent="0.25">
      <c r="A406" s="59">
        <v>44554</v>
      </c>
      <c r="B406" s="33">
        <v>-1132</v>
      </c>
      <c r="C406" t="s">
        <v>49</v>
      </c>
      <c r="E406" t="str">
        <f t="shared" si="18"/>
        <v>Lai 2021-11</v>
      </c>
      <c r="F406">
        <f t="shared" si="19"/>
        <v>-62380</v>
      </c>
      <c r="G406" t="str">
        <f t="shared" si="20"/>
        <v>Lai phat sinh</v>
      </c>
    </row>
    <row r="407" spans="1:7" x14ac:dyDescent="0.25">
      <c r="A407" s="59">
        <v>44554</v>
      </c>
      <c r="B407" s="33">
        <v>-125.78</v>
      </c>
      <c r="C407" t="s">
        <v>49</v>
      </c>
      <c r="E407" t="str">
        <f t="shared" si="18"/>
        <v>Lai 2021-11</v>
      </c>
      <c r="F407">
        <f t="shared" si="19"/>
        <v>-62380</v>
      </c>
      <c r="G407" t="str">
        <f t="shared" si="20"/>
        <v>Lai phat sinh</v>
      </c>
    </row>
    <row r="408" spans="1:7" x14ac:dyDescent="0.25">
      <c r="A408" s="59">
        <v>44543</v>
      </c>
      <c r="B408" s="33">
        <v>1668231</v>
      </c>
      <c r="C408" t="s">
        <v>51</v>
      </c>
      <c r="D408" t="s">
        <v>53</v>
      </c>
      <c r="E408" t="str">
        <f t="shared" si="18"/>
        <v>Da thanh toan 2021-11</v>
      </c>
      <c r="F408">
        <f t="shared" si="19"/>
        <v>1668253</v>
      </c>
      <c r="G408" t="str">
        <f t="shared" si="20"/>
        <v>Da thanh toan</v>
      </c>
    </row>
    <row r="409" spans="1:7" x14ac:dyDescent="0.25">
      <c r="A409" s="59">
        <v>44540</v>
      </c>
      <c r="B409" s="33">
        <v>-149000</v>
      </c>
      <c r="C409" t="s">
        <v>50</v>
      </c>
      <c r="E409" t="str">
        <f t="shared" si="18"/>
        <v>Phi 2021-11</v>
      </c>
      <c r="F409">
        <f t="shared" si="19"/>
        <v>-153950</v>
      </c>
      <c r="G409" t="str">
        <f t="shared" si="20"/>
        <v>Phi</v>
      </c>
    </row>
    <row r="410" spans="1:7" x14ac:dyDescent="0.25">
      <c r="A410" s="59">
        <v>44531</v>
      </c>
      <c r="B410" s="33">
        <v>22</v>
      </c>
      <c r="C410" t="s">
        <v>51</v>
      </c>
      <c r="D410" t="s">
        <v>53</v>
      </c>
      <c r="E410" t="str">
        <f t="shared" si="18"/>
        <v>Da thanh toan 2021-11</v>
      </c>
      <c r="F410">
        <f t="shared" si="19"/>
        <v>1668253</v>
      </c>
      <c r="G410" t="str">
        <f t="shared" si="20"/>
        <v>Da thanh toan</v>
      </c>
    </row>
    <row r="411" spans="1:7" x14ac:dyDescent="0.25">
      <c r="A411" s="59">
        <v>44531</v>
      </c>
      <c r="B411" s="33">
        <v>-450</v>
      </c>
      <c r="C411" t="s">
        <v>50</v>
      </c>
      <c r="E411" t="str">
        <f t="shared" si="18"/>
        <v>Phi 2021-11</v>
      </c>
      <c r="F411">
        <f t="shared" si="19"/>
        <v>-153950</v>
      </c>
      <c r="G411" t="str">
        <f t="shared" si="20"/>
        <v>Phi</v>
      </c>
    </row>
    <row r="412" spans="1:7" x14ac:dyDescent="0.25">
      <c r="A412" s="59">
        <v>44531</v>
      </c>
      <c r="B412" s="33">
        <v>-4500</v>
      </c>
      <c r="C412" t="s">
        <v>50</v>
      </c>
      <c r="E412" t="str">
        <f t="shared" si="18"/>
        <v>Phi 2021-11</v>
      </c>
      <c r="F412">
        <f t="shared" si="19"/>
        <v>-153950</v>
      </c>
      <c r="G412" t="str">
        <f t="shared" si="20"/>
        <v>Phi</v>
      </c>
    </row>
    <row r="413" spans="1:7" x14ac:dyDescent="0.25">
      <c r="A413" s="59">
        <v>44524</v>
      </c>
      <c r="B413" s="33">
        <v>-519.47</v>
      </c>
      <c r="C413" t="s">
        <v>49</v>
      </c>
      <c r="E413" t="str">
        <f t="shared" si="18"/>
        <v>Lai 2021-10</v>
      </c>
      <c r="F413">
        <f t="shared" si="19"/>
        <v>-50678</v>
      </c>
      <c r="G413" t="str">
        <f t="shared" si="20"/>
        <v>Lai phat sinh</v>
      </c>
    </row>
    <row r="414" spans="1:7" x14ac:dyDescent="0.25">
      <c r="A414" s="59">
        <v>44524</v>
      </c>
      <c r="B414" s="33">
        <v>-147.66999999999999</v>
      </c>
      <c r="C414" t="s">
        <v>49</v>
      </c>
      <c r="E414" t="str">
        <f t="shared" si="18"/>
        <v>Lai 2021-10</v>
      </c>
      <c r="F414">
        <f t="shared" si="19"/>
        <v>-50678</v>
      </c>
      <c r="G414" t="str">
        <f t="shared" si="20"/>
        <v>Lai phat sinh</v>
      </c>
    </row>
    <row r="415" spans="1:7" x14ac:dyDescent="0.25">
      <c r="A415" s="59">
        <v>44524</v>
      </c>
      <c r="B415" s="33">
        <v>-5.68</v>
      </c>
      <c r="C415" t="s">
        <v>49</v>
      </c>
      <c r="E415" t="str">
        <f t="shared" si="18"/>
        <v>Lai 2021-10</v>
      </c>
      <c r="F415">
        <f t="shared" si="19"/>
        <v>-50678</v>
      </c>
      <c r="G415" t="str">
        <f t="shared" si="20"/>
        <v>Lai phat sinh</v>
      </c>
    </row>
    <row r="416" spans="1:7" x14ac:dyDescent="0.25">
      <c r="A416" s="59">
        <v>44524</v>
      </c>
      <c r="B416" s="33">
        <v>-90.87</v>
      </c>
      <c r="C416" t="s">
        <v>49</v>
      </c>
      <c r="E416" t="str">
        <f t="shared" si="18"/>
        <v>Lai 2021-10</v>
      </c>
      <c r="F416">
        <f t="shared" si="19"/>
        <v>-50678</v>
      </c>
      <c r="G416" t="str">
        <f t="shared" si="20"/>
        <v>Lai phat sinh</v>
      </c>
    </row>
    <row r="417" spans="1:7" x14ac:dyDescent="0.25">
      <c r="A417" s="59">
        <v>44524</v>
      </c>
      <c r="B417" s="33">
        <v>-48707.31</v>
      </c>
      <c r="C417" t="s">
        <v>49</v>
      </c>
      <c r="E417" t="str">
        <f t="shared" si="18"/>
        <v>Lai 2021-10</v>
      </c>
      <c r="F417">
        <f t="shared" si="19"/>
        <v>-50678</v>
      </c>
      <c r="G417" t="str">
        <f t="shared" si="20"/>
        <v>Lai phat sinh</v>
      </c>
    </row>
    <row r="418" spans="1:7" x14ac:dyDescent="0.25">
      <c r="A418" s="59">
        <v>44524</v>
      </c>
      <c r="B418" s="33">
        <v>-167.7</v>
      </c>
      <c r="C418" t="s">
        <v>49</v>
      </c>
      <c r="E418" t="str">
        <f t="shared" si="18"/>
        <v>Lai 2021-10</v>
      </c>
      <c r="F418">
        <f t="shared" si="19"/>
        <v>-50678</v>
      </c>
      <c r="G418" t="str">
        <f t="shared" si="20"/>
        <v>Lai phat sinh</v>
      </c>
    </row>
    <row r="419" spans="1:7" x14ac:dyDescent="0.25">
      <c r="A419" s="59">
        <v>44524</v>
      </c>
      <c r="B419" s="33">
        <v>-905.6</v>
      </c>
      <c r="C419" t="s">
        <v>49</v>
      </c>
      <c r="E419" t="str">
        <f t="shared" si="18"/>
        <v>Lai 2021-10</v>
      </c>
      <c r="F419">
        <f t="shared" si="19"/>
        <v>-50678</v>
      </c>
      <c r="G419" t="str">
        <f t="shared" si="20"/>
        <v>Lai phat sinh</v>
      </c>
    </row>
    <row r="420" spans="1:7" x14ac:dyDescent="0.25">
      <c r="A420" s="59">
        <v>44524</v>
      </c>
      <c r="B420" s="33">
        <v>-134.16</v>
      </c>
      <c r="C420" t="s">
        <v>49</v>
      </c>
      <c r="E420" t="str">
        <f t="shared" si="18"/>
        <v>Lai 2021-10</v>
      </c>
      <c r="F420">
        <f t="shared" si="19"/>
        <v>-50678</v>
      </c>
      <c r="G420" t="str">
        <f t="shared" si="20"/>
        <v>Lai phat sinh</v>
      </c>
    </row>
    <row r="421" spans="1:7" x14ac:dyDescent="0.25">
      <c r="A421" s="59">
        <v>44518</v>
      </c>
      <c r="B421" s="33">
        <v>263586</v>
      </c>
      <c r="C421" t="s">
        <v>51</v>
      </c>
      <c r="D421" t="s">
        <v>53</v>
      </c>
      <c r="E421" t="str">
        <f t="shared" si="18"/>
        <v>Da thanh toan 2021-10</v>
      </c>
      <c r="F421">
        <f t="shared" si="19"/>
        <v>1128199</v>
      </c>
      <c r="G421" t="str">
        <f t="shared" si="20"/>
        <v>Da thanh toan</v>
      </c>
    </row>
    <row r="422" spans="1:7" x14ac:dyDescent="0.25">
      <c r="A422" s="59">
        <v>44510</v>
      </c>
      <c r="B422" s="33">
        <v>864613</v>
      </c>
      <c r="C422" t="s">
        <v>51</v>
      </c>
      <c r="D422" t="s">
        <v>53</v>
      </c>
      <c r="E422" t="str">
        <f t="shared" si="18"/>
        <v>Da thanh toan 2021-10</v>
      </c>
      <c r="F422">
        <f t="shared" si="19"/>
        <v>1128199</v>
      </c>
      <c r="G422" t="str">
        <f t="shared" si="20"/>
        <v>Da thanh toan</v>
      </c>
    </row>
    <row r="423" spans="1:7" x14ac:dyDescent="0.25">
      <c r="A423" s="59">
        <v>44509</v>
      </c>
      <c r="B423" s="33">
        <v>2709873</v>
      </c>
      <c r="C423" t="s">
        <v>752</v>
      </c>
      <c r="D423" t="s">
        <v>783</v>
      </c>
      <c r="E423" t="str">
        <f t="shared" si="18"/>
        <v xml:space="preserve"> 2021-10</v>
      </c>
      <c r="F423">
        <f t="shared" si="19"/>
        <v>2709873</v>
      </c>
      <c r="G423" t="str">
        <f t="shared" si="20"/>
        <v>Duong</v>
      </c>
    </row>
    <row r="424" spans="1:7" x14ac:dyDescent="0.25">
      <c r="A424" s="59">
        <v>44509</v>
      </c>
      <c r="B424" s="33">
        <v>-149000</v>
      </c>
      <c r="C424" t="s">
        <v>50</v>
      </c>
      <c r="E424" t="str">
        <f t="shared" si="18"/>
        <v>Phi 2021-10</v>
      </c>
      <c r="F424">
        <f t="shared" si="19"/>
        <v>-153950</v>
      </c>
      <c r="G424" t="str">
        <f t="shared" si="20"/>
        <v>Phi</v>
      </c>
    </row>
    <row r="425" spans="1:7" x14ac:dyDescent="0.25">
      <c r="A425" s="59">
        <v>44509</v>
      </c>
      <c r="B425" s="33">
        <v>-2709873</v>
      </c>
      <c r="C425" t="s">
        <v>752</v>
      </c>
      <c r="D425" t="s">
        <v>783</v>
      </c>
      <c r="E425" t="str">
        <f t="shared" si="18"/>
        <v xml:space="preserve"> 2021-10</v>
      </c>
      <c r="F425">
        <f t="shared" si="19"/>
        <v>-2709873</v>
      </c>
      <c r="G425" t="str">
        <f t="shared" si="20"/>
        <v>Lai tra gop</v>
      </c>
    </row>
    <row r="426" spans="1:7" x14ac:dyDescent="0.25">
      <c r="A426" s="59">
        <v>44502</v>
      </c>
      <c r="B426" s="33">
        <v>-7308</v>
      </c>
      <c r="C426" t="s">
        <v>51</v>
      </c>
      <c r="D426" t="s">
        <v>784</v>
      </c>
      <c r="E426" t="str">
        <f t="shared" si="18"/>
        <v>Du no 2021-10</v>
      </c>
      <c r="F426">
        <f t="shared" si="19"/>
        <v>-7308</v>
      </c>
      <c r="G426" t="str">
        <f t="shared" si="20"/>
        <v>Du no</v>
      </c>
    </row>
    <row r="427" spans="1:7" x14ac:dyDescent="0.25">
      <c r="A427" s="59">
        <v>44498</v>
      </c>
      <c r="B427" s="33">
        <v>-450</v>
      </c>
      <c r="C427" t="s">
        <v>50</v>
      </c>
      <c r="E427" t="str">
        <f t="shared" si="18"/>
        <v>Phi 2021-10</v>
      </c>
      <c r="F427">
        <f t="shared" si="19"/>
        <v>-153950</v>
      </c>
      <c r="G427" t="str">
        <f t="shared" si="20"/>
        <v>Phi</v>
      </c>
    </row>
    <row r="428" spans="1:7" x14ac:dyDescent="0.25">
      <c r="A428" s="59">
        <v>44498</v>
      </c>
      <c r="B428" s="33">
        <v>-4500</v>
      </c>
      <c r="C428" t="s">
        <v>50</v>
      </c>
      <c r="E428" t="str">
        <f t="shared" si="18"/>
        <v>Phi 2021-10</v>
      </c>
      <c r="F428">
        <f t="shared" si="19"/>
        <v>-153950</v>
      </c>
      <c r="G428" t="str">
        <f t="shared" si="20"/>
        <v>Phi</v>
      </c>
    </row>
    <row r="429" spans="1:7" x14ac:dyDescent="0.25">
      <c r="A429" s="59">
        <v>44493</v>
      </c>
      <c r="B429" s="33">
        <v>-346.17</v>
      </c>
      <c r="C429" t="s">
        <v>49</v>
      </c>
      <c r="E429" t="str">
        <f t="shared" si="18"/>
        <v>Lai 2021-09</v>
      </c>
      <c r="F429">
        <f t="shared" si="19"/>
        <v>-26632</v>
      </c>
      <c r="G429" t="str">
        <f t="shared" si="20"/>
        <v>Lai phat sinh</v>
      </c>
    </row>
    <row r="430" spans="1:7" x14ac:dyDescent="0.25">
      <c r="A430" s="59">
        <v>44493</v>
      </c>
      <c r="B430" s="33">
        <v>-2700.74</v>
      </c>
      <c r="C430" t="s">
        <v>49</v>
      </c>
      <c r="E430" t="str">
        <f t="shared" si="18"/>
        <v>Lai 2021-09</v>
      </c>
      <c r="F430">
        <f t="shared" si="19"/>
        <v>-26632</v>
      </c>
      <c r="G430" t="str">
        <f t="shared" si="20"/>
        <v>Lai phat sinh</v>
      </c>
    </row>
    <row r="431" spans="1:7" x14ac:dyDescent="0.25">
      <c r="A431" s="59">
        <v>44493</v>
      </c>
      <c r="B431" s="33">
        <v>-353.28</v>
      </c>
      <c r="C431" t="s">
        <v>49</v>
      </c>
      <c r="E431" t="str">
        <f t="shared" si="18"/>
        <v>Lai 2021-09</v>
      </c>
      <c r="F431">
        <f t="shared" si="19"/>
        <v>-26632</v>
      </c>
      <c r="G431" t="str">
        <f t="shared" si="20"/>
        <v>Lai phat sinh</v>
      </c>
    </row>
    <row r="432" spans="1:7" x14ac:dyDescent="0.25">
      <c r="A432" s="59">
        <v>44493</v>
      </c>
      <c r="B432" s="33">
        <v>-2649.63</v>
      </c>
      <c r="C432" t="s">
        <v>49</v>
      </c>
      <c r="E432" t="str">
        <f t="shared" si="18"/>
        <v>Lai 2021-09</v>
      </c>
      <c r="F432">
        <f t="shared" si="19"/>
        <v>-26632</v>
      </c>
      <c r="G432" t="str">
        <f t="shared" si="20"/>
        <v>Lai phat sinh</v>
      </c>
    </row>
    <row r="433" spans="1:7" x14ac:dyDescent="0.25">
      <c r="A433" s="59">
        <v>44493</v>
      </c>
      <c r="B433" s="33">
        <v>-19676.46</v>
      </c>
      <c r="C433" t="s">
        <v>49</v>
      </c>
      <c r="E433" t="str">
        <f t="shared" si="18"/>
        <v>Lai 2021-09</v>
      </c>
      <c r="F433">
        <f t="shared" si="19"/>
        <v>-26632</v>
      </c>
      <c r="G433" t="str">
        <f t="shared" si="20"/>
        <v>Lai phat sinh</v>
      </c>
    </row>
    <row r="434" spans="1:7" x14ac:dyDescent="0.25">
      <c r="A434" s="59">
        <v>44493</v>
      </c>
      <c r="B434" s="33">
        <v>-150.93</v>
      </c>
      <c r="C434" t="s">
        <v>49</v>
      </c>
      <c r="E434" t="str">
        <f t="shared" si="18"/>
        <v>Lai 2021-09</v>
      </c>
      <c r="F434">
        <f t="shared" si="19"/>
        <v>-26632</v>
      </c>
      <c r="G434" t="str">
        <f t="shared" si="20"/>
        <v>Lai phat sinh</v>
      </c>
    </row>
    <row r="435" spans="1:7" x14ac:dyDescent="0.25">
      <c r="A435" s="59">
        <v>44493</v>
      </c>
      <c r="B435" s="33">
        <v>-628.89</v>
      </c>
      <c r="C435" t="s">
        <v>49</v>
      </c>
      <c r="E435" t="str">
        <f t="shared" si="18"/>
        <v>Lai 2021-09</v>
      </c>
      <c r="F435">
        <f t="shared" si="19"/>
        <v>-26632</v>
      </c>
      <c r="G435" t="str">
        <f t="shared" si="20"/>
        <v>Lai phat sinh</v>
      </c>
    </row>
    <row r="436" spans="1:7" x14ac:dyDescent="0.25">
      <c r="A436" s="59">
        <v>44493</v>
      </c>
      <c r="B436" s="33">
        <v>-125.78</v>
      </c>
      <c r="C436" t="s">
        <v>49</v>
      </c>
      <c r="E436" t="str">
        <f t="shared" si="18"/>
        <v>Lai 2021-09</v>
      </c>
      <c r="F436">
        <f t="shared" si="19"/>
        <v>-26632</v>
      </c>
      <c r="G436" t="str">
        <f t="shared" si="20"/>
        <v>Lai phat sinh</v>
      </c>
    </row>
    <row r="437" spans="1:7" x14ac:dyDescent="0.25">
      <c r="A437" s="59">
        <v>44492</v>
      </c>
      <c r="B437" s="33">
        <v>2709873</v>
      </c>
      <c r="C437" t="s">
        <v>752</v>
      </c>
      <c r="D437" t="s">
        <v>785</v>
      </c>
      <c r="E437" t="str">
        <f t="shared" si="18"/>
        <v xml:space="preserve"> 2021-09</v>
      </c>
      <c r="F437">
        <f t="shared" si="19"/>
        <v>5419746</v>
      </c>
      <c r="G437" t="str">
        <f t="shared" si="20"/>
        <v>Duong</v>
      </c>
    </row>
    <row r="438" spans="1:7" x14ac:dyDescent="0.25">
      <c r="A438" s="59">
        <v>44492</v>
      </c>
      <c r="B438" s="33">
        <v>-2709873</v>
      </c>
      <c r="C438" t="s">
        <v>752</v>
      </c>
      <c r="D438" t="s">
        <v>785</v>
      </c>
      <c r="E438" t="str">
        <f t="shared" si="18"/>
        <v xml:space="preserve"> 2021-09</v>
      </c>
      <c r="F438">
        <f t="shared" si="19"/>
        <v>-5419746</v>
      </c>
      <c r="G438" t="str">
        <f t="shared" si="20"/>
        <v>Lai tra gop</v>
      </c>
    </row>
    <row r="439" spans="1:7" x14ac:dyDescent="0.25">
      <c r="A439" s="59">
        <v>44480</v>
      </c>
      <c r="B439" s="33">
        <v>2714998</v>
      </c>
      <c r="C439" t="s">
        <v>51</v>
      </c>
      <c r="D439" t="s">
        <v>53</v>
      </c>
      <c r="E439" t="str">
        <f t="shared" si="18"/>
        <v>Da thanh toan 2021-09</v>
      </c>
      <c r="F439">
        <f t="shared" si="19"/>
        <v>2714998</v>
      </c>
      <c r="G439" t="str">
        <f t="shared" si="20"/>
        <v>Da thanh toan</v>
      </c>
    </row>
    <row r="440" spans="1:7" x14ac:dyDescent="0.25">
      <c r="A440" s="59">
        <v>44478</v>
      </c>
      <c r="B440" s="33">
        <v>2709873</v>
      </c>
      <c r="C440" t="s">
        <v>752</v>
      </c>
      <c r="D440" t="s">
        <v>783</v>
      </c>
      <c r="E440" t="str">
        <f t="shared" si="18"/>
        <v xml:space="preserve"> 2021-09</v>
      </c>
      <c r="F440">
        <f t="shared" si="19"/>
        <v>5419746</v>
      </c>
      <c r="G440" t="str">
        <f t="shared" si="20"/>
        <v>Duong</v>
      </c>
    </row>
    <row r="441" spans="1:7" x14ac:dyDescent="0.25">
      <c r="A441" s="59">
        <v>44478</v>
      </c>
      <c r="B441" s="33">
        <v>-2709873</v>
      </c>
      <c r="C441" t="s">
        <v>752</v>
      </c>
      <c r="D441" t="s">
        <v>783</v>
      </c>
      <c r="E441" t="str">
        <f t="shared" si="18"/>
        <v xml:space="preserve"> 2021-09</v>
      </c>
      <c r="F441">
        <f t="shared" si="19"/>
        <v>-5419746</v>
      </c>
      <c r="G441" t="str">
        <f t="shared" si="20"/>
        <v>Lai tra gop</v>
      </c>
    </row>
    <row r="442" spans="1:7" x14ac:dyDescent="0.25">
      <c r="A442" s="59">
        <v>44473</v>
      </c>
      <c r="B442" s="33">
        <v>-7308</v>
      </c>
      <c r="C442" t="s">
        <v>51</v>
      </c>
      <c r="D442" t="s">
        <v>786</v>
      </c>
      <c r="E442" t="str">
        <f t="shared" si="18"/>
        <v>Du no 2021-09</v>
      </c>
      <c r="F442">
        <f t="shared" si="19"/>
        <v>-7308</v>
      </c>
      <c r="G442" t="str">
        <f t="shared" si="20"/>
        <v>Du no</v>
      </c>
    </row>
    <row r="443" spans="1:7" x14ac:dyDescent="0.25">
      <c r="A443" s="59">
        <v>44467</v>
      </c>
      <c r="B443" s="33">
        <v>-450</v>
      </c>
      <c r="C443" t="s">
        <v>50</v>
      </c>
      <c r="E443" t="str">
        <f t="shared" si="18"/>
        <v>Phi 2021-09</v>
      </c>
      <c r="F443">
        <f t="shared" si="19"/>
        <v>-4950</v>
      </c>
      <c r="G443" t="str">
        <f t="shared" si="20"/>
        <v>Phi</v>
      </c>
    </row>
    <row r="444" spans="1:7" x14ac:dyDescent="0.25">
      <c r="A444" s="59">
        <v>44467</v>
      </c>
      <c r="B444" s="33">
        <v>-4500</v>
      </c>
      <c r="C444" t="s">
        <v>50</v>
      </c>
      <c r="E444" t="str">
        <f t="shared" si="18"/>
        <v>Phi 2021-09</v>
      </c>
      <c r="F444">
        <f t="shared" si="19"/>
        <v>-4950</v>
      </c>
      <c r="G444" t="str">
        <f t="shared" si="20"/>
        <v>Phi</v>
      </c>
    </row>
    <row r="445" spans="1:7" x14ac:dyDescent="0.25">
      <c r="A445" s="59">
        <v>44463</v>
      </c>
      <c r="B445" s="33">
        <v>-214.72</v>
      </c>
      <c r="C445" t="s">
        <v>49</v>
      </c>
      <c r="E445" t="str">
        <f t="shared" si="18"/>
        <v>Lai 2021-08</v>
      </c>
      <c r="F445">
        <f t="shared" si="19"/>
        <v>-17747</v>
      </c>
      <c r="G445" t="str">
        <f t="shared" si="20"/>
        <v>Lai phat sinh</v>
      </c>
    </row>
    <row r="446" spans="1:7" x14ac:dyDescent="0.25">
      <c r="A446" s="59">
        <v>44463</v>
      </c>
      <c r="B446" s="33">
        <v>-2541.14</v>
      </c>
      <c r="C446" t="s">
        <v>49</v>
      </c>
      <c r="E446" t="str">
        <f t="shared" si="18"/>
        <v>Lai 2021-08</v>
      </c>
      <c r="F446">
        <f t="shared" si="19"/>
        <v>-17747</v>
      </c>
      <c r="G446" t="str">
        <f t="shared" si="20"/>
        <v>Lai phat sinh</v>
      </c>
    </row>
    <row r="447" spans="1:7" x14ac:dyDescent="0.25">
      <c r="A447" s="59">
        <v>44463</v>
      </c>
      <c r="B447" s="33">
        <v>-176.64</v>
      </c>
      <c r="C447" t="s">
        <v>49</v>
      </c>
      <c r="E447" t="str">
        <f t="shared" si="18"/>
        <v>Lai 2021-08</v>
      </c>
      <c r="F447">
        <f t="shared" si="19"/>
        <v>-17747</v>
      </c>
      <c r="G447" t="str">
        <f t="shared" si="20"/>
        <v>Lai phat sinh</v>
      </c>
    </row>
    <row r="448" spans="1:7" x14ac:dyDescent="0.25">
      <c r="A448" s="59">
        <v>44463</v>
      </c>
      <c r="B448" s="33">
        <v>-2649.63</v>
      </c>
      <c r="C448" t="s">
        <v>49</v>
      </c>
      <c r="E448" t="str">
        <f t="shared" si="18"/>
        <v>Lai 2021-08</v>
      </c>
      <c r="F448">
        <f t="shared" si="19"/>
        <v>-17747</v>
      </c>
      <c r="G448" t="str">
        <f t="shared" si="20"/>
        <v>Lai phat sinh</v>
      </c>
    </row>
    <row r="449" spans="1:7" x14ac:dyDescent="0.25">
      <c r="A449" s="59">
        <v>44463</v>
      </c>
      <c r="B449" s="33">
        <v>-11469.15</v>
      </c>
      <c r="C449" t="s">
        <v>49</v>
      </c>
      <c r="E449" t="str">
        <f t="shared" si="18"/>
        <v>Lai 2021-08</v>
      </c>
      <c r="F449">
        <f t="shared" si="19"/>
        <v>-17747</v>
      </c>
      <c r="G449" t="str">
        <f t="shared" si="20"/>
        <v>Lai phat sinh</v>
      </c>
    </row>
    <row r="450" spans="1:7" x14ac:dyDescent="0.25">
      <c r="A450" s="59">
        <v>44463</v>
      </c>
      <c r="B450" s="33">
        <v>-176.09</v>
      </c>
      <c r="C450" t="s">
        <v>49</v>
      </c>
      <c r="E450" t="str">
        <f t="shared" ref="E450:E513" si="21">IF(OR(C450="Transaction",C450="Interests",C450="Misc",C450="Account Transfer"), IF(C450="Transaction", IF(B450&lt;0, "Du no", "Da thanh toan"), IF(C450="Interests", "Lai", IF(C450="Misc", "Phi", IF(C450="Account Transfer", IF(OR(ISNUMBER(SEARCH("Trich lai tra gop the TD", D450)), ISNUMBER(SEARCH("Chuyen lai tra gop con lai sang du no thong thuong khi BadDebt", D450))), IF(B450&lt;0, "Lai tra gop", ""), "" )))))) &amp; " " &amp; IF(C450="Interests", TEXT(EDATE(IF(DAY(A450)&gt;=24, A450, EDATE(A450,-1)), -1),"yyyy-mm"), TEXT(IF(DAY(A450)&gt;=24, A450, EDATE(A450,-1)),"yyyy-mm"))</f>
        <v>Lai 2021-08</v>
      </c>
      <c r="F450">
        <f t="shared" ref="F450:F513" si="22">IF(ISNUMBER(B450), ROUND(SUMIFS($B$2:$B$10000, $E$2:$E$10000, E450, $B$2:$B$10000, IF(B450&lt;0, "&lt;0", "&gt;0")), 0), "")</f>
        <v>-17747</v>
      </c>
      <c r="G450" t="str">
        <f t="shared" ref="G450:G513" si="23">IF(F450&gt;0, IF(C450="Transaction", "Da thanh toan", "Duong"), IF(F450&lt;0, IF(C450="Transaction", "Du no", IF(C450="Interests", "Lai phat sinh", IF(C450="Misc", "Phi", IF(C450="Account Transfer", "Lai tra gop", "Am")))), "Bang 0"))</f>
        <v>Lai phat sinh</v>
      </c>
    </row>
    <row r="451" spans="1:7" x14ac:dyDescent="0.25">
      <c r="A451" s="59">
        <v>44463</v>
      </c>
      <c r="B451" s="33">
        <v>-394.1</v>
      </c>
      <c r="C451" t="s">
        <v>49</v>
      </c>
      <c r="E451" t="str">
        <f t="shared" si="21"/>
        <v>Lai 2021-08</v>
      </c>
      <c r="F451">
        <f t="shared" si="22"/>
        <v>-17747</v>
      </c>
      <c r="G451" t="str">
        <f t="shared" si="23"/>
        <v>Lai phat sinh</v>
      </c>
    </row>
    <row r="452" spans="1:7" x14ac:dyDescent="0.25">
      <c r="A452" s="59">
        <v>44463</v>
      </c>
      <c r="B452" s="33">
        <v>-125.78</v>
      </c>
      <c r="C452" t="s">
        <v>49</v>
      </c>
      <c r="E452" t="str">
        <f t="shared" si="21"/>
        <v>Lai 2021-08</v>
      </c>
      <c r="F452">
        <f t="shared" si="22"/>
        <v>-17747</v>
      </c>
      <c r="G452" t="str">
        <f t="shared" si="23"/>
        <v>Lai phat sinh</v>
      </c>
    </row>
    <row r="453" spans="1:7" x14ac:dyDescent="0.25">
      <c r="A453" s="59">
        <v>44462</v>
      </c>
      <c r="B453" s="33">
        <v>2709873</v>
      </c>
      <c r="C453" t="s">
        <v>752</v>
      </c>
      <c r="D453" t="s">
        <v>785</v>
      </c>
      <c r="E453" t="str">
        <f t="shared" si="21"/>
        <v xml:space="preserve"> 2021-08</v>
      </c>
      <c r="F453">
        <f t="shared" si="22"/>
        <v>5419746</v>
      </c>
      <c r="G453" t="str">
        <f t="shared" si="23"/>
        <v>Duong</v>
      </c>
    </row>
    <row r="454" spans="1:7" x14ac:dyDescent="0.25">
      <c r="A454" s="59">
        <v>44462</v>
      </c>
      <c r="B454" s="33">
        <v>-2709873</v>
      </c>
      <c r="C454" t="s">
        <v>752</v>
      </c>
      <c r="D454" t="s">
        <v>785</v>
      </c>
      <c r="E454" t="str">
        <f t="shared" si="21"/>
        <v xml:space="preserve"> 2021-08</v>
      </c>
      <c r="F454">
        <f t="shared" si="22"/>
        <v>-5419746</v>
      </c>
      <c r="G454" t="str">
        <f t="shared" si="23"/>
        <v>Lai tra gop</v>
      </c>
    </row>
    <row r="455" spans="1:7" x14ac:dyDescent="0.25">
      <c r="A455" s="59">
        <v>44448</v>
      </c>
      <c r="B455" s="33">
        <v>2713241</v>
      </c>
      <c r="C455" t="s">
        <v>51</v>
      </c>
      <c r="D455" t="s">
        <v>53</v>
      </c>
      <c r="E455" t="str">
        <f t="shared" si="21"/>
        <v>Da thanh toan 2021-08</v>
      </c>
      <c r="F455">
        <f t="shared" si="22"/>
        <v>2713241</v>
      </c>
      <c r="G455" t="str">
        <f t="shared" si="23"/>
        <v>Da thanh toan</v>
      </c>
    </row>
    <row r="456" spans="1:7" x14ac:dyDescent="0.25">
      <c r="A456" s="59">
        <v>44448</v>
      </c>
      <c r="B456" s="33">
        <v>-149000</v>
      </c>
      <c r="C456" t="s">
        <v>50</v>
      </c>
      <c r="E456" t="str">
        <f t="shared" si="21"/>
        <v>Phi 2021-08</v>
      </c>
      <c r="F456">
        <f t="shared" si="22"/>
        <v>-153950</v>
      </c>
      <c r="G456" t="str">
        <f t="shared" si="23"/>
        <v>Phi</v>
      </c>
    </row>
    <row r="457" spans="1:7" x14ac:dyDescent="0.25">
      <c r="A457" s="59">
        <v>44447</v>
      </c>
      <c r="B457" s="33">
        <v>2709873</v>
      </c>
      <c r="C457" t="s">
        <v>752</v>
      </c>
      <c r="D457" t="s">
        <v>783</v>
      </c>
      <c r="E457" t="str">
        <f t="shared" si="21"/>
        <v xml:space="preserve"> 2021-08</v>
      </c>
      <c r="F457">
        <f t="shared" si="22"/>
        <v>5419746</v>
      </c>
      <c r="G457" t="str">
        <f t="shared" si="23"/>
        <v>Duong</v>
      </c>
    </row>
    <row r="458" spans="1:7" x14ac:dyDescent="0.25">
      <c r="A458" s="59">
        <v>44447</v>
      </c>
      <c r="B458" s="33">
        <v>-2709873</v>
      </c>
      <c r="C458" t="s">
        <v>752</v>
      </c>
      <c r="D458" t="s">
        <v>783</v>
      </c>
      <c r="E458" t="str">
        <f t="shared" si="21"/>
        <v xml:space="preserve"> 2021-08</v>
      </c>
      <c r="F458">
        <f t="shared" si="22"/>
        <v>-5419746</v>
      </c>
      <c r="G458" t="str">
        <f t="shared" si="23"/>
        <v>Lai tra gop</v>
      </c>
    </row>
    <row r="459" spans="1:7" x14ac:dyDescent="0.25">
      <c r="A459" s="59">
        <v>44445</v>
      </c>
      <c r="B459" s="33">
        <v>-7308</v>
      </c>
      <c r="C459" t="s">
        <v>51</v>
      </c>
      <c r="D459" t="s">
        <v>787</v>
      </c>
      <c r="E459" t="str">
        <f t="shared" si="21"/>
        <v>Du no 2021-08</v>
      </c>
      <c r="F459">
        <f t="shared" si="22"/>
        <v>-7308</v>
      </c>
      <c r="G459" t="str">
        <f t="shared" si="23"/>
        <v>Du no</v>
      </c>
    </row>
    <row r="460" spans="1:7" x14ac:dyDescent="0.25">
      <c r="A460" s="59">
        <v>44439</v>
      </c>
      <c r="B460" s="33">
        <v>-450</v>
      </c>
      <c r="C460" t="s">
        <v>50</v>
      </c>
      <c r="E460" t="str">
        <f t="shared" si="21"/>
        <v>Phi 2021-08</v>
      </c>
      <c r="F460">
        <f t="shared" si="22"/>
        <v>-153950</v>
      </c>
      <c r="G460" t="str">
        <f t="shared" si="23"/>
        <v>Phi</v>
      </c>
    </row>
    <row r="461" spans="1:7" x14ac:dyDescent="0.25">
      <c r="A461" s="59">
        <v>44439</v>
      </c>
      <c r="B461" s="33">
        <v>-4500</v>
      </c>
      <c r="C461" t="s">
        <v>50</v>
      </c>
      <c r="E461" t="str">
        <f t="shared" si="21"/>
        <v>Phi 2021-08</v>
      </c>
      <c r="F461">
        <f t="shared" si="22"/>
        <v>-153950</v>
      </c>
      <c r="G461" t="str">
        <f t="shared" si="23"/>
        <v>Phi</v>
      </c>
    </row>
    <row r="462" spans="1:7" x14ac:dyDescent="0.25">
      <c r="A462" s="59">
        <v>44432</v>
      </c>
      <c r="B462" s="33">
        <v>-45.85</v>
      </c>
      <c r="C462" t="s">
        <v>49</v>
      </c>
      <c r="E462" t="str">
        <f t="shared" si="21"/>
        <v>Lai 2021-07</v>
      </c>
      <c r="F462">
        <f t="shared" si="22"/>
        <v>-11696</v>
      </c>
      <c r="G462" t="str">
        <f t="shared" si="23"/>
        <v>Lai phat sinh</v>
      </c>
    </row>
    <row r="463" spans="1:7" x14ac:dyDescent="0.25">
      <c r="A463" s="59">
        <v>44432</v>
      </c>
      <c r="B463" s="33">
        <v>-2541.14</v>
      </c>
      <c r="C463" t="s">
        <v>49</v>
      </c>
      <c r="E463" t="str">
        <f t="shared" si="21"/>
        <v>Lai 2021-07</v>
      </c>
      <c r="F463">
        <f t="shared" si="22"/>
        <v>-11696</v>
      </c>
      <c r="G463" t="str">
        <f t="shared" si="23"/>
        <v>Lai phat sinh</v>
      </c>
    </row>
    <row r="464" spans="1:7" x14ac:dyDescent="0.25">
      <c r="A464" s="59">
        <v>44432</v>
      </c>
      <c r="B464" s="33">
        <v>-176.64</v>
      </c>
      <c r="C464" t="s">
        <v>49</v>
      </c>
      <c r="E464" t="str">
        <f t="shared" si="21"/>
        <v>Lai 2021-07</v>
      </c>
      <c r="F464">
        <f t="shared" si="22"/>
        <v>-11696</v>
      </c>
      <c r="G464" t="str">
        <f t="shared" si="23"/>
        <v>Lai phat sinh</v>
      </c>
    </row>
    <row r="465" spans="1:7" x14ac:dyDescent="0.25">
      <c r="A465" s="59">
        <v>44432</v>
      </c>
      <c r="B465" s="33">
        <v>-3002.91</v>
      </c>
      <c r="C465" t="s">
        <v>49</v>
      </c>
      <c r="E465" t="str">
        <f t="shared" si="21"/>
        <v>Lai 2021-07</v>
      </c>
      <c r="F465">
        <f t="shared" si="22"/>
        <v>-11696</v>
      </c>
      <c r="G465" t="str">
        <f t="shared" si="23"/>
        <v>Lai phat sinh</v>
      </c>
    </row>
    <row r="466" spans="1:7" x14ac:dyDescent="0.25">
      <c r="A466" s="59">
        <v>44432</v>
      </c>
      <c r="B466" s="33">
        <v>-5484.97</v>
      </c>
      <c r="C466" t="s">
        <v>49</v>
      </c>
      <c r="E466" t="str">
        <f t="shared" si="21"/>
        <v>Lai 2021-07</v>
      </c>
      <c r="F466">
        <f t="shared" si="22"/>
        <v>-11696</v>
      </c>
      <c r="G466" t="str">
        <f t="shared" si="23"/>
        <v>Lai phat sinh</v>
      </c>
    </row>
    <row r="467" spans="1:7" x14ac:dyDescent="0.25">
      <c r="A467" s="59">
        <v>44432</v>
      </c>
      <c r="B467" s="33">
        <v>-184.47</v>
      </c>
      <c r="C467" t="s">
        <v>49</v>
      </c>
      <c r="E467" t="str">
        <f t="shared" si="21"/>
        <v>Lai 2021-07</v>
      </c>
      <c r="F467">
        <f t="shared" si="22"/>
        <v>-11696</v>
      </c>
      <c r="G467" t="str">
        <f t="shared" si="23"/>
        <v>Lai phat sinh</v>
      </c>
    </row>
    <row r="468" spans="1:7" x14ac:dyDescent="0.25">
      <c r="A468" s="59">
        <v>44432</v>
      </c>
      <c r="B468" s="33">
        <v>-117.39</v>
      </c>
      <c r="C468" t="s">
        <v>49</v>
      </c>
      <c r="E468" t="str">
        <f t="shared" si="21"/>
        <v>Lai 2021-07</v>
      </c>
      <c r="F468">
        <f t="shared" si="22"/>
        <v>-11696</v>
      </c>
      <c r="G468" t="str">
        <f t="shared" si="23"/>
        <v>Lai phat sinh</v>
      </c>
    </row>
    <row r="469" spans="1:7" x14ac:dyDescent="0.25">
      <c r="A469" s="59">
        <v>44432</v>
      </c>
      <c r="B469" s="33">
        <v>-142.55000000000001</v>
      </c>
      <c r="C469" t="s">
        <v>49</v>
      </c>
      <c r="E469" t="str">
        <f t="shared" si="21"/>
        <v>Lai 2021-07</v>
      </c>
      <c r="F469">
        <f t="shared" si="22"/>
        <v>-11696</v>
      </c>
      <c r="G469" t="str">
        <f t="shared" si="23"/>
        <v>Lai phat sinh</v>
      </c>
    </row>
    <row r="470" spans="1:7" x14ac:dyDescent="0.25">
      <c r="A470" s="59">
        <v>44431</v>
      </c>
      <c r="B470" s="33">
        <v>2709873</v>
      </c>
      <c r="C470" t="s">
        <v>752</v>
      </c>
      <c r="D470" t="s">
        <v>785</v>
      </c>
      <c r="E470" t="str">
        <f t="shared" si="21"/>
        <v xml:space="preserve"> 2021-07</v>
      </c>
      <c r="F470">
        <f t="shared" si="22"/>
        <v>5419746</v>
      </c>
      <c r="G470" t="str">
        <f t="shared" si="23"/>
        <v>Duong</v>
      </c>
    </row>
    <row r="471" spans="1:7" x14ac:dyDescent="0.25">
      <c r="A471" s="59">
        <v>44431</v>
      </c>
      <c r="B471" s="33">
        <v>-2709873</v>
      </c>
      <c r="C471" t="s">
        <v>752</v>
      </c>
      <c r="D471" t="s">
        <v>785</v>
      </c>
      <c r="E471" t="str">
        <f t="shared" si="21"/>
        <v xml:space="preserve"> 2021-07</v>
      </c>
      <c r="F471">
        <f t="shared" si="22"/>
        <v>-5419746</v>
      </c>
      <c r="G471" t="str">
        <f t="shared" si="23"/>
        <v>Lai tra gop</v>
      </c>
    </row>
    <row r="472" spans="1:7" x14ac:dyDescent="0.25">
      <c r="A472" s="59">
        <v>44419</v>
      </c>
      <c r="B472" s="33">
        <v>2711528</v>
      </c>
      <c r="C472" t="s">
        <v>51</v>
      </c>
      <c r="D472" t="s">
        <v>53</v>
      </c>
      <c r="E472" t="str">
        <f t="shared" si="21"/>
        <v>Da thanh toan 2021-07</v>
      </c>
      <c r="F472">
        <f t="shared" si="22"/>
        <v>2711528</v>
      </c>
      <c r="G472" t="str">
        <f t="shared" si="23"/>
        <v>Da thanh toan</v>
      </c>
    </row>
    <row r="473" spans="1:7" x14ac:dyDescent="0.25">
      <c r="A473" s="59">
        <v>44418</v>
      </c>
      <c r="B473" s="33">
        <v>2709873</v>
      </c>
      <c r="C473" t="s">
        <v>752</v>
      </c>
      <c r="D473" t="s">
        <v>783</v>
      </c>
      <c r="E473" t="str">
        <f t="shared" si="21"/>
        <v xml:space="preserve"> 2021-07</v>
      </c>
      <c r="F473">
        <f t="shared" si="22"/>
        <v>5419746</v>
      </c>
      <c r="G473" t="str">
        <f t="shared" si="23"/>
        <v>Duong</v>
      </c>
    </row>
    <row r="474" spans="1:7" x14ac:dyDescent="0.25">
      <c r="A474" s="59">
        <v>44418</v>
      </c>
      <c r="B474" s="33">
        <v>-149000</v>
      </c>
      <c r="C474" t="s">
        <v>50</v>
      </c>
      <c r="E474" t="str">
        <f t="shared" si="21"/>
        <v>Phi 2021-07</v>
      </c>
      <c r="F474">
        <f t="shared" si="22"/>
        <v>-153950</v>
      </c>
      <c r="G474" t="str">
        <f t="shared" si="23"/>
        <v>Phi</v>
      </c>
    </row>
    <row r="475" spans="1:7" x14ac:dyDescent="0.25">
      <c r="A475" s="59">
        <v>44418</v>
      </c>
      <c r="B475" s="33">
        <v>-2709873</v>
      </c>
      <c r="C475" t="s">
        <v>752</v>
      </c>
      <c r="D475" t="s">
        <v>783</v>
      </c>
      <c r="E475" t="str">
        <f t="shared" si="21"/>
        <v xml:space="preserve"> 2021-07</v>
      </c>
      <c r="F475">
        <f t="shared" si="22"/>
        <v>-5419746</v>
      </c>
      <c r="G475" t="str">
        <f t="shared" si="23"/>
        <v>Lai tra gop</v>
      </c>
    </row>
    <row r="476" spans="1:7" x14ac:dyDescent="0.25">
      <c r="A476" s="59">
        <v>44411</v>
      </c>
      <c r="B476" s="33">
        <v>-7308</v>
      </c>
      <c r="C476" t="s">
        <v>51</v>
      </c>
      <c r="D476" t="s">
        <v>788</v>
      </c>
      <c r="E476" t="str">
        <f t="shared" si="21"/>
        <v>Du no 2021-07</v>
      </c>
      <c r="F476">
        <f t="shared" si="22"/>
        <v>-7308</v>
      </c>
      <c r="G476" t="str">
        <f t="shared" si="23"/>
        <v>Du no</v>
      </c>
    </row>
    <row r="477" spans="1:7" x14ac:dyDescent="0.25">
      <c r="A477" s="59">
        <v>44406</v>
      </c>
      <c r="B477" s="33">
        <v>-450</v>
      </c>
      <c r="C477" t="s">
        <v>50</v>
      </c>
      <c r="E477" t="str">
        <f t="shared" si="21"/>
        <v>Phi 2021-07</v>
      </c>
      <c r="F477">
        <f t="shared" si="22"/>
        <v>-153950</v>
      </c>
      <c r="G477" t="str">
        <f t="shared" si="23"/>
        <v>Phi</v>
      </c>
    </row>
    <row r="478" spans="1:7" x14ac:dyDescent="0.25">
      <c r="A478" s="59">
        <v>44406</v>
      </c>
      <c r="B478" s="33">
        <v>-4500</v>
      </c>
      <c r="C478" t="s">
        <v>50</v>
      </c>
      <c r="E478" t="str">
        <f t="shared" si="21"/>
        <v>Phi 2021-07</v>
      </c>
      <c r="F478">
        <f t="shared" si="22"/>
        <v>-153950</v>
      </c>
      <c r="G478" t="str">
        <f t="shared" si="23"/>
        <v>Phi</v>
      </c>
    </row>
    <row r="479" spans="1:7" x14ac:dyDescent="0.25">
      <c r="A479" s="59">
        <v>44401</v>
      </c>
      <c r="B479" s="33">
        <v>-38.53</v>
      </c>
      <c r="C479" t="s">
        <v>49</v>
      </c>
      <c r="E479" t="str">
        <f t="shared" si="21"/>
        <v>Lai 2021-06</v>
      </c>
      <c r="F479">
        <f t="shared" si="22"/>
        <v>-2220</v>
      </c>
      <c r="G479" t="str">
        <f t="shared" si="23"/>
        <v>Lai phat sinh</v>
      </c>
    </row>
    <row r="480" spans="1:7" x14ac:dyDescent="0.25">
      <c r="A480" s="59">
        <v>44401</v>
      </c>
      <c r="B480" s="33">
        <v>-951.36</v>
      </c>
      <c r="C480" t="s">
        <v>49</v>
      </c>
      <c r="E480" t="str">
        <f t="shared" si="21"/>
        <v>Lai 2021-06</v>
      </c>
      <c r="F480">
        <f t="shared" si="22"/>
        <v>-2220</v>
      </c>
      <c r="G480" t="str">
        <f t="shared" si="23"/>
        <v>Lai phat sinh</v>
      </c>
    </row>
    <row r="481" spans="1:7" x14ac:dyDescent="0.25">
      <c r="A481" s="59">
        <v>44401</v>
      </c>
      <c r="B481" s="33">
        <v>-1146.29</v>
      </c>
      <c r="C481" t="s">
        <v>49</v>
      </c>
      <c r="E481" t="str">
        <f t="shared" si="21"/>
        <v>Lai 2021-06</v>
      </c>
      <c r="F481">
        <f t="shared" si="22"/>
        <v>-2220</v>
      </c>
      <c r="G481" t="str">
        <f t="shared" si="23"/>
        <v>Lai phat sinh</v>
      </c>
    </row>
    <row r="482" spans="1:7" x14ac:dyDescent="0.25">
      <c r="A482" s="59">
        <v>44401</v>
      </c>
      <c r="B482" s="33">
        <v>-83.85</v>
      </c>
      <c r="C482" t="s">
        <v>49</v>
      </c>
      <c r="E482" t="str">
        <f t="shared" si="21"/>
        <v>Lai 2021-06</v>
      </c>
      <c r="F482">
        <f t="shared" si="22"/>
        <v>-2220</v>
      </c>
      <c r="G482" t="str">
        <f t="shared" si="23"/>
        <v>Lai phat sinh</v>
      </c>
    </row>
    <row r="483" spans="1:7" x14ac:dyDescent="0.25">
      <c r="A483" s="59">
        <v>44400</v>
      </c>
      <c r="B483" s="33">
        <v>2709873</v>
      </c>
      <c r="C483" t="s">
        <v>752</v>
      </c>
      <c r="D483" t="s">
        <v>785</v>
      </c>
      <c r="E483" t="str">
        <f t="shared" si="21"/>
        <v xml:space="preserve"> 2021-06</v>
      </c>
      <c r="F483">
        <f t="shared" si="22"/>
        <v>3681004</v>
      </c>
      <c r="G483" t="str">
        <f t="shared" si="23"/>
        <v>Duong</v>
      </c>
    </row>
    <row r="484" spans="1:7" x14ac:dyDescent="0.25">
      <c r="A484" s="59">
        <v>44400</v>
      </c>
      <c r="B484" s="33">
        <v>-2709873</v>
      </c>
      <c r="C484" t="s">
        <v>752</v>
      </c>
      <c r="D484" t="s">
        <v>785</v>
      </c>
      <c r="E484" t="str">
        <f t="shared" si="21"/>
        <v xml:space="preserve"> 2021-06</v>
      </c>
      <c r="F484">
        <f t="shared" si="22"/>
        <v>-3681004</v>
      </c>
      <c r="G484" t="str">
        <f t="shared" si="23"/>
        <v>Lai tra gop</v>
      </c>
    </row>
    <row r="485" spans="1:7" x14ac:dyDescent="0.25">
      <c r="A485" s="59">
        <v>44387</v>
      </c>
      <c r="B485" s="33">
        <v>971236</v>
      </c>
      <c r="C485" t="s">
        <v>51</v>
      </c>
      <c r="D485" t="s">
        <v>789</v>
      </c>
      <c r="E485" t="str">
        <f t="shared" si="21"/>
        <v>Da thanh toan 2021-06</v>
      </c>
      <c r="F485">
        <f t="shared" si="22"/>
        <v>971236</v>
      </c>
      <c r="G485" t="str">
        <f t="shared" si="23"/>
        <v>Da thanh toan</v>
      </c>
    </row>
    <row r="486" spans="1:7" x14ac:dyDescent="0.25">
      <c r="A486" s="59">
        <v>44387</v>
      </c>
      <c r="B486" s="33">
        <v>-149000</v>
      </c>
      <c r="C486" t="s">
        <v>50</v>
      </c>
      <c r="E486" t="str">
        <f t="shared" si="21"/>
        <v>Phi 2021-06</v>
      </c>
      <c r="F486">
        <f t="shared" si="22"/>
        <v>-153950</v>
      </c>
      <c r="G486" t="str">
        <f t="shared" si="23"/>
        <v>Phi</v>
      </c>
    </row>
    <row r="487" spans="1:7" x14ac:dyDescent="0.25">
      <c r="A487" s="59">
        <v>44386</v>
      </c>
      <c r="B487" s="33">
        <v>971130.7</v>
      </c>
      <c r="C487" t="s">
        <v>752</v>
      </c>
      <c r="D487" t="s">
        <v>783</v>
      </c>
      <c r="E487" t="str">
        <f t="shared" si="21"/>
        <v xml:space="preserve"> 2021-06</v>
      </c>
      <c r="F487">
        <f t="shared" si="22"/>
        <v>3681004</v>
      </c>
      <c r="G487" t="str">
        <f t="shared" si="23"/>
        <v>Duong</v>
      </c>
    </row>
    <row r="488" spans="1:7" x14ac:dyDescent="0.25">
      <c r="A488" s="59">
        <v>44386</v>
      </c>
      <c r="B488" s="33">
        <v>-971130.7</v>
      </c>
      <c r="C488" t="s">
        <v>752</v>
      </c>
      <c r="D488" t="s">
        <v>783</v>
      </c>
      <c r="E488" t="str">
        <f t="shared" si="21"/>
        <v xml:space="preserve"> 2021-06</v>
      </c>
      <c r="F488">
        <f t="shared" si="22"/>
        <v>-3681004</v>
      </c>
      <c r="G488" t="str">
        <f t="shared" si="23"/>
        <v>Lai tra gop</v>
      </c>
    </row>
    <row r="489" spans="1:7" x14ac:dyDescent="0.25">
      <c r="A489" s="59">
        <v>44379</v>
      </c>
      <c r="B489" s="33">
        <v>-7308</v>
      </c>
      <c r="C489" t="s">
        <v>51</v>
      </c>
      <c r="D489" t="s">
        <v>790</v>
      </c>
      <c r="E489" t="str">
        <f t="shared" si="21"/>
        <v>Du no 2021-06</v>
      </c>
      <c r="F489">
        <f t="shared" si="22"/>
        <v>-7308</v>
      </c>
      <c r="G489" t="str">
        <f t="shared" si="23"/>
        <v>Du no</v>
      </c>
    </row>
    <row r="490" spans="1:7" x14ac:dyDescent="0.25">
      <c r="A490" s="59">
        <v>44375</v>
      </c>
      <c r="B490" s="33">
        <v>-450</v>
      </c>
      <c r="C490" t="s">
        <v>50</v>
      </c>
      <c r="E490" t="str">
        <f t="shared" si="21"/>
        <v>Phi 2021-06</v>
      </c>
      <c r="F490">
        <f t="shared" si="22"/>
        <v>-153950</v>
      </c>
      <c r="G490" t="str">
        <f t="shared" si="23"/>
        <v>Phi</v>
      </c>
    </row>
    <row r="491" spans="1:7" x14ac:dyDescent="0.25">
      <c r="A491" s="59">
        <v>44375</v>
      </c>
      <c r="B491" s="33">
        <v>-4500</v>
      </c>
      <c r="C491" t="s">
        <v>50</v>
      </c>
      <c r="E491" t="str">
        <f t="shared" si="21"/>
        <v>Phi 2021-06</v>
      </c>
      <c r="F491">
        <f t="shared" si="22"/>
        <v>-153950</v>
      </c>
      <c r="G491" t="str">
        <f t="shared" si="23"/>
        <v>Phi</v>
      </c>
    </row>
    <row r="492" spans="1:7" x14ac:dyDescent="0.25">
      <c r="A492" s="59">
        <v>44371</v>
      </c>
      <c r="B492" s="33">
        <v>-2098.63</v>
      </c>
      <c r="C492" t="s">
        <v>49</v>
      </c>
      <c r="E492" t="str">
        <f t="shared" si="21"/>
        <v>Lai 2021-05</v>
      </c>
      <c r="F492">
        <f t="shared" si="22"/>
        <v>-2099</v>
      </c>
      <c r="G492" t="str">
        <f t="shared" si="23"/>
        <v>Lai phat sinh</v>
      </c>
    </row>
    <row r="493" spans="1:7" x14ac:dyDescent="0.25">
      <c r="A493" s="59">
        <v>44370</v>
      </c>
      <c r="B493" s="33">
        <v>2709873</v>
      </c>
      <c r="C493" t="s">
        <v>752</v>
      </c>
      <c r="D493" t="s">
        <v>785</v>
      </c>
      <c r="E493" t="str">
        <f t="shared" si="21"/>
        <v xml:space="preserve"> 2021-05</v>
      </c>
      <c r="F493">
        <f t="shared" si="22"/>
        <v>7248780</v>
      </c>
      <c r="G493" t="str">
        <f t="shared" si="23"/>
        <v>Duong</v>
      </c>
    </row>
    <row r="494" spans="1:7" x14ac:dyDescent="0.25">
      <c r="A494" s="59">
        <v>44370</v>
      </c>
      <c r="B494" s="33">
        <v>-2709873</v>
      </c>
      <c r="C494" t="s">
        <v>752</v>
      </c>
      <c r="D494" t="s">
        <v>785</v>
      </c>
      <c r="E494" t="str">
        <f t="shared" si="21"/>
        <v xml:space="preserve"> 2021-05</v>
      </c>
      <c r="F494">
        <f t="shared" si="22"/>
        <v>-7248780</v>
      </c>
      <c r="G494" t="str">
        <f t="shared" si="23"/>
        <v>Lai tra gop</v>
      </c>
    </row>
    <row r="495" spans="1:7" x14ac:dyDescent="0.25">
      <c r="A495" s="59">
        <v>44361</v>
      </c>
      <c r="B495" s="33">
        <v>1900000</v>
      </c>
      <c r="C495" t="s">
        <v>51</v>
      </c>
      <c r="D495" t="s">
        <v>791</v>
      </c>
      <c r="E495" t="str">
        <f t="shared" si="21"/>
        <v>Da thanh toan 2021-05</v>
      </c>
      <c r="F495">
        <f t="shared" si="22"/>
        <v>3729034</v>
      </c>
      <c r="G495" t="str">
        <f t="shared" si="23"/>
        <v>Da thanh toan</v>
      </c>
    </row>
    <row r="496" spans="1:7" x14ac:dyDescent="0.25">
      <c r="A496" s="59">
        <v>44356</v>
      </c>
      <c r="B496" s="33">
        <v>1829034</v>
      </c>
      <c r="C496" t="s">
        <v>51</v>
      </c>
      <c r="D496" t="s">
        <v>792</v>
      </c>
      <c r="E496" t="str">
        <f t="shared" si="21"/>
        <v>Da thanh toan 2021-05</v>
      </c>
      <c r="F496">
        <f t="shared" si="22"/>
        <v>3729034</v>
      </c>
      <c r="G496" t="str">
        <f t="shared" si="23"/>
        <v>Da thanh toan</v>
      </c>
    </row>
    <row r="497" spans="1:7" x14ac:dyDescent="0.25">
      <c r="A497" s="59">
        <v>44356</v>
      </c>
      <c r="B497" s="33">
        <v>-149000</v>
      </c>
      <c r="C497" t="s">
        <v>50</v>
      </c>
      <c r="E497" t="str">
        <f t="shared" si="21"/>
        <v>Phi 2021-05</v>
      </c>
      <c r="F497">
        <f t="shared" si="22"/>
        <v>-153950</v>
      </c>
      <c r="G497" t="str">
        <f t="shared" si="23"/>
        <v>Phi</v>
      </c>
    </row>
    <row r="498" spans="1:7" x14ac:dyDescent="0.25">
      <c r="A498" s="59">
        <v>44355</v>
      </c>
      <c r="B498" s="33">
        <v>1829033.7</v>
      </c>
      <c r="C498" t="s">
        <v>752</v>
      </c>
      <c r="D498" t="s">
        <v>783</v>
      </c>
      <c r="E498" t="str">
        <f t="shared" si="21"/>
        <v xml:space="preserve"> 2021-05</v>
      </c>
      <c r="F498">
        <f t="shared" si="22"/>
        <v>7248780</v>
      </c>
      <c r="G498" t="str">
        <f t="shared" si="23"/>
        <v>Duong</v>
      </c>
    </row>
    <row r="499" spans="1:7" x14ac:dyDescent="0.25">
      <c r="A499" s="59">
        <v>44355</v>
      </c>
      <c r="B499" s="33">
        <v>-1829033.7</v>
      </c>
      <c r="C499" t="s">
        <v>752</v>
      </c>
      <c r="D499" t="s">
        <v>783</v>
      </c>
      <c r="E499" t="str">
        <f t="shared" si="21"/>
        <v xml:space="preserve"> 2021-05</v>
      </c>
      <c r="F499">
        <f t="shared" si="22"/>
        <v>-7248780</v>
      </c>
      <c r="G499" t="str">
        <f t="shared" si="23"/>
        <v>Lai tra gop</v>
      </c>
    </row>
    <row r="500" spans="1:7" x14ac:dyDescent="0.25">
      <c r="A500" s="59">
        <v>44351</v>
      </c>
      <c r="B500" s="33">
        <v>-7308</v>
      </c>
      <c r="C500" t="s">
        <v>51</v>
      </c>
      <c r="D500" t="s">
        <v>793</v>
      </c>
      <c r="E500" t="str">
        <f t="shared" si="21"/>
        <v>Du no 2021-05</v>
      </c>
      <c r="F500">
        <f t="shared" si="22"/>
        <v>-7308</v>
      </c>
      <c r="G500" t="str">
        <f t="shared" si="23"/>
        <v>Du no</v>
      </c>
    </row>
    <row r="501" spans="1:7" x14ac:dyDescent="0.25">
      <c r="A501" s="59">
        <v>44344</v>
      </c>
      <c r="B501" s="33">
        <v>-450</v>
      </c>
      <c r="C501" t="s">
        <v>50</v>
      </c>
      <c r="E501" t="str">
        <f t="shared" si="21"/>
        <v>Phi 2021-05</v>
      </c>
      <c r="F501">
        <f t="shared" si="22"/>
        <v>-153950</v>
      </c>
      <c r="G501" t="str">
        <f t="shared" si="23"/>
        <v>Phi</v>
      </c>
    </row>
    <row r="502" spans="1:7" x14ac:dyDescent="0.25">
      <c r="A502" s="59">
        <v>44344</v>
      </c>
      <c r="B502" s="33">
        <v>-4500</v>
      </c>
      <c r="C502" t="s">
        <v>50</v>
      </c>
      <c r="E502" t="str">
        <f t="shared" si="21"/>
        <v>Phi 2021-05</v>
      </c>
      <c r="F502">
        <f t="shared" si="22"/>
        <v>-153950</v>
      </c>
      <c r="G502" t="str">
        <f t="shared" si="23"/>
        <v>Phi</v>
      </c>
    </row>
    <row r="503" spans="1:7" x14ac:dyDescent="0.25">
      <c r="A503" s="59">
        <v>44340</v>
      </c>
      <c r="B503" s="33">
        <v>2709873</v>
      </c>
      <c r="C503" t="s">
        <v>752</v>
      </c>
      <c r="D503" t="s">
        <v>785</v>
      </c>
      <c r="E503" t="str">
        <f t="shared" si="21"/>
        <v xml:space="preserve"> 2021-05</v>
      </c>
      <c r="F503">
        <f t="shared" si="22"/>
        <v>7248780</v>
      </c>
      <c r="G503" t="str">
        <f t="shared" si="23"/>
        <v>Duong</v>
      </c>
    </row>
    <row r="504" spans="1:7" x14ac:dyDescent="0.25">
      <c r="A504" s="59">
        <v>44340</v>
      </c>
      <c r="B504" s="33">
        <v>-2709873</v>
      </c>
      <c r="C504" t="s">
        <v>752</v>
      </c>
      <c r="D504" t="s">
        <v>785</v>
      </c>
      <c r="E504" t="str">
        <f t="shared" si="21"/>
        <v xml:space="preserve"> 2021-05</v>
      </c>
      <c r="F504">
        <f t="shared" si="22"/>
        <v>-7248780</v>
      </c>
      <c r="G504" t="str">
        <f t="shared" si="23"/>
        <v>Lai tra gop</v>
      </c>
    </row>
    <row r="505" spans="1:7" x14ac:dyDescent="0.25">
      <c r="A505" s="59">
        <v>44328</v>
      </c>
      <c r="B505" s="33">
        <v>0</v>
      </c>
      <c r="C505" t="s">
        <v>51</v>
      </c>
      <c r="D505" t="s">
        <v>794</v>
      </c>
      <c r="E505" t="str">
        <f t="shared" si="21"/>
        <v>Da thanh toan 2021-04</v>
      </c>
      <c r="F505">
        <f t="shared" si="22"/>
        <v>0</v>
      </c>
      <c r="G505" t="str">
        <f t="shared" si="23"/>
        <v>Bang 0</v>
      </c>
    </row>
    <row r="506" spans="1:7" x14ac:dyDescent="0.25">
      <c r="A506" s="59">
        <v>44328</v>
      </c>
      <c r="B506" s="33">
        <v>-16259238</v>
      </c>
      <c r="C506" t="s">
        <v>51</v>
      </c>
      <c r="D506" t="s">
        <v>795</v>
      </c>
      <c r="E506" t="str">
        <f t="shared" si="21"/>
        <v>Du no 2021-04</v>
      </c>
      <c r="F506">
        <f t="shared" si="22"/>
        <v>-16266546</v>
      </c>
      <c r="G506" t="str">
        <f t="shared" si="23"/>
        <v>Du no</v>
      </c>
    </row>
    <row r="507" spans="1:7" x14ac:dyDescent="0.25">
      <c r="A507" s="59">
        <v>44328</v>
      </c>
      <c r="B507" s="33">
        <v>0</v>
      </c>
      <c r="C507" t="s">
        <v>51</v>
      </c>
      <c r="D507" t="s">
        <v>794</v>
      </c>
      <c r="E507" t="str">
        <f t="shared" si="21"/>
        <v>Da thanh toan 2021-04</v>
      </c>
      <c r="F507">
        <f t="shared" si="22"/>
        <v>0</v>
      </c>
      <c r="G507" t="str">
        <f t="shared" si="23"/>
        <v>Bang 0</v>
      </c>
    </row>
    <row r="508" spans="1:7" x14ac:dyDescent="0.25">
      <c r="A508" s="59">
        <v>44320</v>
      </c>
      <c r="B508" s="33">
        <v>-7308</v>
      </c>
      <c r="C508" t="s">
        <v>51</v>
      </c>
      <c r="D508" t="s">
        <v>796</v>
      </c>
      <c r="E508" t="str">
        <f t="shared" si="21"/>
        <v>Du no 2021-04</v>
      </c>
      <c r="F508">
        <f t="shared" si="22"/>
        <v>-16266546</v>
      </c>
      <c r="G508" t="str">
        <f t="shared" si="23"/>
        <v>Du no</v>
      </c>
    </row>
    <row r="509" spans="1:7" x14ac:dyDescent="0.25">
      <c r="A509" s="59">
        <v>44314</v>
      </c>
      <c r="B509" s="33">
        <v>-450</v>
      </c>
      <c r="C509" t="s">
        <v>50</v>
      </c>
      <c r="E509" t="str">
        <f t="shared" si="21"/>
        <v>Phi 2021-04</v>
      </c>
      <c r="F509">
        <f t="shared" si="22"/>
        <v>-4950</v>
      </c>
      <c r="G509" t="str">
        <f t="shared" si="23"/>
        <v>Phi</v>
      </c>
    </row>
    <row r="510" spans="1:7" x14ac:dyDescent="0.25">
      <c r="A510" s="59">
        <v>44314</v>
      </c>
      <c r="B510" s="33">
        <v>-4500</v>
      </c>
      <c r="C510" t="s">
        <v>50</v>
      </c>
      <c r="E510" t="str">
        <f t="shared" si="21"/>
        <v>Phi 2021-04</v>
      </c>
      <c r="F510">
        <f t="shared" si="22"/>
        <v>-4950</v>
      </c>
      <c r="G510" t="str">
        <f t="shared" si="23"/>
        <v>Phi</v>
      </c>
    </row>
    <row r="511" spans="1:7" x14ac:dyDescent="0.25">
      <c r="A511" s="59">
        <v>44288</v>
      </c>
      <c r="B511" s="33">
        <v>-7308</v>
      </c>
      <c r="C511" t="s">
        <v>51</v>
      </c>
      <c r="D511" t="s">
        <v>797</v>
      </c>
      <c r="E511" t="str">
        <f t="shared" si="21"/>
        <v>Du no 2021-03</v>
      </c>
      <c r="F511">
        <f t="shared" si="22"/>
        <v>-7308</v>
      </c>
      <c r="G511" t="str">
        <f t="shared" si="23"/>
        <v>Du no</v>
      </c>
    </row>
    <row r="512" spans="1:7" x14ac:dyDescent="0.25">
      <c r="A512" s="59">
        <v>44285</v>
      </c>
      <c r="B512" s="33">
        <v>-450</v>
      </c>
      <c r="C512" t="s">
        <v>50</v>
      </c>
      <c r="E512" t="str">
        <f t="shared" si="21"/>
        <v>Phi 2021-03</v>
      </c>
      <c r="F512">
        <f t="shared" si="22"/>
        <v>-4950</v>
      </c>
      <c r="G512" t="str">
        <f t="shared" si="23"/>
        <v>Phi</v>
      </c>
    </row>
    <row r="513" spans="1:7" x14ac:dyDescent="0.25">
      <c r="A513" s="59">
        <v>44285</v>
      </c>
      <c r="B513" s="33">
        <v>-4500</v>
      </c>
      <c r="C513" t="s">
        <v>50</v>
      </c>
      <c r="E513" t="str">
        <f t="shared" si="21"/>
        <v>Phi 2021-03</v>
      </c>
      <c r="F513">
        <f t="shared" si="22"/>
        <v>-4950</v>
      </c>
      <c r="G513" t="str">
        <f t="shared" si="23"/>
        <v>Phi</v>
      </c>
    </row>
    <row r="514" spans="1:7" x14ac:dyDescent="0.25">
      <c r="A514" s="59">
        <v>44257</v>
      </c>
      <c r="B514" s="33">
        <v>-7308</v>
      </c>
      <c r="C514" t="s">
        <v>51</v>
      </c>
      <c r="D514" t="s">
        <v>798</v>
      </c>
      <c r="E514" t="str">
        <f t="shared" ref="E514:E577" si="24">IF(OR(C514="Transaction",C514="Interests",C514="Misc",C514="Account Transfer"), IF(C514="Transaction", IF(B514&lt;0, "Du no", "Da thanh toan"), IF(C514="Interests", "Lai", IF(C514="Misc", "Phi", IF(C514="Account Transfer", IF(OR(ISNUMBER(SEARCH("Trich lai tra gop the TD", D514)), ISNUMBER(SEARCH("Chuyen lai tra gop con lai sang du no thong thuong khi BadDebt", D514))), IF(B514&lt;0, "Lai tra gop", ""), "" )))))) &amp; " " &amp; IF(C514="Interests", TEXT(EDATE(IF(DAY(A514)&gt;=24, A514, EDATE(A514,-1)), -1),"yyyy-mm"), TEXT(IF(DAY(A514)&gt;=24, A514, EDATE(A514,-1)),"yyyy-mm"))</f>
        <v>Du no 2021-02</v>
      </c>
      <c r="F514">
        <f t="shared" ref="F514:F577" si="25">IF(ISNUMBER(B514), ROUND(SUMIFS($B$2:$B$10000, $E$2:$E$10000, E514, $B$2:$B$10000, IF(B514&lt;0, "&lt;0", "&gt;0")), 0), "")</f>
        <v>-7308</v>
      </c>
      <c r="G514" t="str">
        <f t="shared" ref="G514:G577" si="26">IF(F514&gt;0, IF(C514="Transaction", "Da thanh toan", "Duong"), IF(F514&lt;0, IF(C514="Transaction", "Du no", IF(C514="Interests", "Lai phat sinh", IF(C514="Misc", "Phi", IF(C514="Account Transfer", "Lai tra gop", "Am")))), "Bang 0"))</f>
        <v>Du no</v>
      </c>
    </row>
    <row r="515" spans="1:7" x14ac:dyDescent="0.25">
      <c r="A515" s="59">
        <v>44256</v>
      </c>
      <c r="B515" s="33">
        <v>-450</v>
      </c>
      <c r="C515" t="s">
        <v>50</v>
      </c>
      <c r="E515" t="str">
        <f t="shared" si="24"/>
        <v>Phi 2021-02</v>
      </c>
      <c r="F515">
        <f t="shared" si="25"/>
        <v>-4950</v>
      </c>
      <c r="G515" t="str">
        <f t="shared" si="26"/>
        <v>Phi</v>
      </c>
    </row>
    <row r="516" spans="1:7" x14ac:dyDescent="0.25">
      <c r="A516" s="59">
        <v>44256</v>
      </c>
      <c r="B516" s="33">
        <v>-4500</v>
      </c>
      <c r="C516" t="s">
        <v>50</v>
      </c>
      <c r="E516" t="str">
        <f t="shared" si="24"/>
        <v>Phi 2021-02</v>
      </c>
      <c r="F516">
        <f t="shared" si="25"/>
        <v>-4950</v>
      </c>
      <c r="G516" t="str">
        <f t="shared" si="26"/>
        <v>Phi</v>
      </c>
    </row>
    <row r="517" spans="1:7" x14ac:dyDescent="0.25">
      <c r="A517" s="59">
        <v>44235</v>
      </c>
      <c r="B517" s="33">
        <v>-7308</v>
      </c>
      <c r="C517" t="s">
        <v>51</v>
      </c>
      <c r="D517" t="s">
        <v>799</v>
      </c>
      <c r="E517" t="str">
        <f t="shared" si="24"/>
        <v>Du no 2021-01</v>
      </c>
      <c r="F517">
        <f t="shared" si="25"/>
        <v>-7308</v>
      </c>
      <c r="G517" t="str">
        <f t="shared" si="26"/>
        <v>Du no</v>
      </c>
    </row>
    <row r="518" spans="1:7" x14ac:dyDescent="0.25">
      <c r="A518" s="59">
        <v>44224</v>
      </c>
      <c r="B518" s="33">
        <v>-450</v>
      </c>
      <c r="C518" t="s">
        <v>50</v>
      </c>
      <c r="E518" t="str">
        <f t="shared" si="24"/>
        <v>Phi 2021-01</v>
      </c>
      <c r="F518">
        <f t="shared" si="25"/>
        <v>-4950</v>
      </c>
      <c r="G518" t="str">
        <f t="shared" si="26"/>
        <v>Phi</v>
      </c>
    </row>
    <row r="519" spans="1:7" x14ac:dyDescent="0.25">
      <c r="A519" s="59">
        <v>44224</v>
      </c>
      <c r="B519" s="33">
        <v>-4500</v>
      </c>
      <c r="C519" t="s">
        <v>50</v>
      </c>
      <c r="E519" t="str">
        <f t="shared" si="24"/>
        <v>Phi 2021-01</v>
      </c>
      <c r="F519">
        <f t="shared" si="25"/>
        <v>-4950</v>
      </c>
      <c r="G519" t="str">
        <f t="shared" si="26"/>
        <v>Phi</v>
      </c>
    </row>
    <row r="520" spans="1:7" x14ac:dyDescent="0.25">
      <c r="A520" s="59">
        <v>44207</v>
      </c>
      <c r="B520" s="33">
        <v>-7308</v>
      </c>
      <c r="C520" t="s">
        <v>51</v>
      </c>
      <c r="D520" t="s">
        <v>800</v>
      </c>
      <c r="E520" t="str">
        <f t="shared" si="24"/>
        <v>Du no 2020-12</v>
      </c>
      <c r="F520">
        <f t="shared" si="25"/>
        <v>-7308</v>
      </c>
      <c r="G520" t="str">
        <f t="shared" si="26"/>
        <v>Du no</v>
      </c>
    </row>
    <row r="521" spans="1:7" x14ac:dyDescent="0.25">
      <c r="A521" s="59">
        <v>44193</v>
      </c>
      <c r="B521" s="33">
        <v>-450</v>
      </c>
      <c r="C521" t="s">
        <v>50</v>
      </c>
      <c r="E521" t="str">
        <f t="shared" si="24"/>
        <v>Phi 2020-12</v>
      </c>
      <c r="F521">
        <f t="shared" si="25"/>
        <v>-4950</v>
      </c>
      <c r="G521" t="str">
        <f t="shared" si="26"/>
        <v>Phi</v>
      </c>
    </row>
    <row r="522" spans="1:7" x14ac:dyDescent="0.25">
      <c r="A522" s="59">
        <v>44193</v>
      </c>
      <c r="B522" s="33">
        <v>-4500</v>
      </c>
      <c r="C522" t="s">
        <v>50</v>
      </c>
      <c r="E522" t="str">
        <f t="shared" si="24"/>
        <v>Phi 2020-12</v>
      </c>
      <c r="F522">
        <f t="shared" si="25"/>
        <v>-4950</v>
      </c>
      <c r="G522" t="str">
        <f t="shared" si="26"/>
        <v>Phi</v>
      </c>
    </row>
    <row r="523" spans="1:7" x14ac:dyDescent="0.25">
      <c r="A523" s="59">
        <v>44168</v>
      </c>
      <c r="B523" s="33">
        <v>-7308</v>
      </c>
      <c r="C523" t="s">
        <v>51</v>
      </c>
      <c r="D523" t="s">
        <v>801</v>
      </c>
      <c r="E523" t="str">
        <f t="shared" si="24"/>
        <v>Du no 2020-11</v>
      </c>
      <c r="F523">
        <f t="shared" si="25"/>
        <v>-7308</v>
      </c>
      <c r="G523" t="str">
        <f t="shared" si="26"/>
        <v>Du no</v>
      </c>
    </row>
    <row r="524" spans="1:7" x14ac:dyDescent="0.25">
      <c r="A524" s="59">
        <v>44165</v>
      </c>
      <c r="B524" s="33">
        <v>-450</v>
      </c>
      <c r="C524" t="s">
        <v>50</v>
      </c>
      <c r="E524" t="str">
        <f t="shared" si="24"/>
        <v>Phi 2020-11</v>
      </c>
      <c r="F524">
        <f t="shared" si="25"/>
        <v>-4950</v>
      </c>
      <c r="G524" t="str">
        <f t="shared" si="26"/>
        <v>Phi</v>
      </c>
    </row>
    <row r="525" spans="1:7" x14ac:dyDescent="0.25">
      <c r="A525" s="59">
        <v>44165</v>
      </c>
      <c r="B525" s="33">
        <v>-4500</v>
      </c>
      <c r="C525" t="s">
        <v>50</v>
      </c>
      <c r="E525" t="str">
        <f t="shared" si="24"/>
        <v>Phi 2020-11</v>
      </c>
      <c r="F525">
        <f t="shared" si="25"/>
        <v>-4950</v>
      </c>
      <c r="G525" t="str">
        <f t="shared" si="26"/>
        <v>Phi</v>
      </c>
    </row>
    <row r="526" spans="1:7" x14ac:dyDescent="0.25">
      <c r="A526" s="59">
        <v>44159</v>
      </c>
      <c r="B526" s="33">
        <v>-11359.23</v>
      </c>
      <c r="C526" t="s">
        <v>49</v>
      </c>
      <c r="E526" t="str">
        <f t="shared" si="24"/>
        <v>Lai 2020-10</v>
      </c>
      <c r="F526">
        <f t="shared" si="25"/>
        <v>-252870</v>
      </c>
      <c r="G526" t="str">
        <f t="shared" si="26"/>
        <v>Lai phat sinh</v>
      </c>
    </row>
    <row r="527" spans="1:7" x14ac:dyDescent="0.25">
      <c r="A527" s="59">
        <v>44159</v>
      </c>
      <c r="B527" s="33">
        <v>-1632.66</v>
      </c>
      <c r="C527" t="s">
        <v>49</v>
      </c>
      <c r="E527" t="str">
        <f t="shared" si="24"/>
        <v>Lai 2020-10</v>
      </c>
      <c r="F527">
        <f t="shared" si="25"/>
        <v>-252870</v>
      </c>
      <c r="G527" t="str">
        <f t="shared" si="26"/>
        <v>Lai phat sinh</v>
      </c>
    </row>
    <row r="528" spans="1:7" x14ac:dyDescent="0.25">
      <c r="A528" s="59">
        <v>44159</v>
      </c>
      <c r="B528" s="33">
        <v>-239878.44</v>
      </c>
      <c r="C528" t="s">
        <v>49</v>
      </c>
      <c r="E528" t="str">
        <f t="shared" si="24"/>
        <v>Lai 2020-10</v>
      </c>
      <c r="F528">
        <f t="shared" si="25"/>
        <v>-252870</v>
      </c>
      <c r="G528" t="str">
        <f t="shared" si="26"/>
        <v>Lai phat sinh</v>
      </c>
    </row>
    <row r="529" spans="1:7" x14ac:dyDescent="0.25">
      <c r="A529" s="59">
        <v>44146</v>
      </c>
      <c r="B529" s="33">
        <v>612184</v>
      </c>
      <c r="C529" t="s">
        <v>51</v>
      </c>
      <c r="D529" t="s">
        <v>53</v>
      </c>
      <c r="E529" t="str">
        <f t="shared" si="24"/>
        <v>Da thanh toan 2020-10</v>
      </c>
      <c r="F529">
        <f t="shared" si="25"/>
        <v>13612184</v>
      </c>
      <c r="G529" t="str">
        <f t="shared" si="26"/>
        <v>Da thanh toan</v>
      </c>
    </row>
    <row r="530" spans="1:7" x14ac:dyDescent="0.25">
      <c r="A530" s="59">
        <v>44146</v>
      </c>
      <c r="B530" s="33">
        <v>13000000</v>
      </c>
      <c r="C530" t="s">
        <v>51</v>
      </c>
      <c r="D530" t="s">
        <v>765</v>
      </c>
      <c r="E530" t="str">
        <f t="shared" si="24"/>
        <v>Da thanh toan 2020-10</v>
      </c>
      <c r="F530">
        <f t="shared" si="25"/>
        <v>13612184</v>
      </c>
      <c r="G530" t="str">
        <f t="shared" si="26"/>
        <v>Da thanh toan</v>
      </c>
    </row>
    <row r="531" spans="1:7" x14ac:dyDescent="0.25">
      <c r="A531" s="59">
        <v>44145</v>
      </c>
      <c r="B531" s="33">
        <v>-149000</v>
      </c>
      <c r="C531" t="s">
        <v>50</v>
      </c>
      <c r="E531" t="str">
        <f t="shared" si="24"/>
        <v>Phi 2020-10</v>
      </c>
      <c r="F531">
        <f t="shared" si="25"/>
        <v>-153950</v>
      </c>
      <c r="G531" t="str">
        <f t="shared" si="26"/>
        <v>Phi</v>
      </c>
    </row>
    <row r="532" spans="1:7" x14ac:dyDescent="0.25">
      <c r="A532" s="59">
        <v>44137</v>
      </c>
      <c r="B532" s="33">
        <v>-7308</v>
      </c>
      <c r="C532" t="s">
        <v>51</v>
      </c>
      <c r="D532" t="s">
        <v>802</v>
      </c>
      <c r="E532" t="str">
        <f t="shared" si="24"/>
        <v>Du no 2020-10</v>
      </c>
      <c r="F532">
        <f t="shared" si="25"/>
        <v>-7308</v>
      </c>
      <c r="G532" t="str">
        <f t="shared" si="26"/>
        <v>Du no</v>
      </c>
    </row>
    <row r="533" spans="1:7" x14ac:dyDescent="0.25">
      <c r="A533" s="59">
        <v>44131</v>
      </c>
      <c r="B533" s="33">
        <v>-450</v>
      </c>
      <c r="C533" t="s">
        <v>50</v>
      </c>
      <c r="E533" t="str">
        <f t="shared" si="24"/>
        <v>Phi 2020-10</v>
      </c>
      <c r="F533">
        <f t="shared" si="25"/>
        <v>-153950</v>
      </c>
      <c r="G533" t="str">
        <f t="shared" si="26"/>
        <v>Phi</v>
      </c>
    </row>
    <row r="534" spans="1:7" x14ac:dyDescent="0.25">
      <c r="A534" s="59">
        <v>44131</v>
      </c>
      <c r="B534" s="33">
        <v>-4500</v>
      </c>
      <c r="C534" t="s">
        <v>50</v>
      </c>
      <c r="E534" t="str">
        <f t="shared" si="24"/>
        <v>Phi 2020-10</v>
      </c>
      <c r="F534">
        <f t="shared" si="25"/>
        <v>-153950</v>
      </c>
      <c r="G534" t="str">
        <f t="shared" si="26"/>
        <v>Phi</v>
      </c>
    </row>
    <row r="535" spans="1:7" x14ac:dyDescent="0.25">
      <c r="A535" s="59">
        <v>44128</v>
      </c>
      <c r="B535" s="33">
        <v>-3155.34</v>
      </c>
      <c r="C535" t="s">
        <v>49</v>
      </c>
      <c r="E535" t="str">
        <f t="shared" si="24"/>
        <v>Lai 2020-09</v>
      </c>
      <c r="F535">
        <f t="shared" si="25"/>
        <v>-79051</v>
      </c>
      <c r="G535" t="str">
        <f t="shared" si="26"/>
        <v>Lai phat sinh</v>
      </c>
    </row>
    <row r="536" spans="1:7" x14ac:dyDescent="0.25">
      <c r="A536" s="59">
        <v>44128</v>
      </c>
      <c r="B536" s="33">
        <v>-75895.94</v>
      </c>
      <c r="C536" t="s">
        <v>49</v>
      </c>
      <c r="E536" t="str">
        <f t="shared" si="24"/>
        <v>Lai 2020-09</v>
      </c>
      <c r="F536">
        <f t="shared" si="25"/>
        <v>-79051</v>
      </c>
      <c r="G536" t="str">
        <f t="shared" si="26"/>
        <v>Lai phat sinh</v>
      </c>
    </row>
    <row r="537" spans="1:7" x14ac:dyDescent="0.25">
      <c r="A537" s="59">
        <v>44123</v>
      </c>
      <c r="B537" s="33">
        <v>-2000000</v>
      </c>
      <c r="C537" t="s">
        <v>51</v>
      </c>
      <c r="D537" t="s">
        <v>803</v>
      </c>
      <c r="E537" t="str">
        <f t="shared" si="24"/>
        <v>Du no 2020-09</v>
      </c>
      <c r="F537">
        <f t="shared" si="25"/>
        <v>-12667308</v>
      </c>
      <c r="G537" t="str">
        <f t="shared" si="26"/>
        <v>Du no</v>
      </c>
    </row>
    <row r="538" spans="1:7" x14ac:dyDescent="0.25">
      <c r="A538" s="59">
        <v>44123</v>
      </c>
      <c r="B538" s="33">
        <v>-2000000</v>
      </c>
      <c r="C538" t="s">
        <v>51</v>
      </c>
      <c r="D538" t="s">
        <v>803</v>
      </c>
      <c r="E538" t="str">
        <f t="shared" si="24"/>
        <v>Du no 2020-09</v>
      </c>
      <c r="F538">
        <f t="shared" si="25"/>
        <v>-12667308</v>
      </c>
      <c r="G538" t="str">
        <f t="shared" si="26"/>
        <v>Du no</v>
      </c>
    </row>
    <row r="539" spans="1:7" x14ac:dyDescent="0.25">
      <c r="A539" s="59">
        <v>44123</v>
      </c>
      <c r="B539" s="33">
        <v>-2000000</v>
      </c>
      <c r="C539" t="s">
        <v>51</v>
      </c>
      <c r="D539" t="s">
        <v>803</v>
      </c>
      <c r="E539" t="str">
        <f t="shared" si="24"/>
        <v>Du no 2020-09</v>
      </c>
      <c r="F539">
        <f t="shared" si="25"/>
        <v>-12667308</v>
      </c>
      <c r="G539" t="str">
        <f t="shared" si="26"/>
        <v>Du no</v>
      </c>
    </row>
    <row r="540" spans="1:7" x14ac:dyDescent="0.25">
      <c r="A540" s="59">
        <v>44123</v>
      </c>
      <c r="B540" s="33">
        <v>-2000000</v>
      </c>
      <c r="C540" t="s">
        <v>51</v>
      </c>
      <c r="D540" t="s">
        <v>803</v>
      </c>
      <c r="E540" t="str">
        <f t="shared" si="24"/>
        <v>Du no 2020-09</v>
      </c>
      <c r="F540">
        <f t="shared" si="25"/>
        <v>-12667308</v>
      </c>
      <c r="G540" t="str">
        <f t="shared" si="26"/>
        <v>Du no</v>
      </c>
    </row>
    <row r="541" spans="1:7" x14ac:dyDescent="0.25">
      <c r="A541" s="59">
        <v>44123</v>
      </c>
      <c r="B541" s="33">
        <v>-2000000</v>
      </c>
      <c r="C541" t="s">
        <v>51</v>
      </c>
      <c r="D541" t="s">
        <v>803</v>
      </c>
      <c r="E541" t="str">
        <f t="shared" si="24"/>
        <v>Du no 2020-09</v>
      </c>
      <c r="F541">
        <f t="shared" si="25"/>
        <v>-12667308</v>
      </c>
      <c r="G541" t="str">
        <f t="shared" si="26"/>
        <v>Du no</v>
      </c>
    </row>
    <row r="542" spans="1:7" x14ac:dyDescent="0.25">
      <c r="A542" s="59">
        <v>44123</v>
      </c>
      <c r="B542" s="33">
        <v>-100000</v>
      </c>
      <c r="C542" t="s">
        <v>51</v>
      </c>
      <c r="D542" t="s">
        <v>803</v>
      </c>
      <c r="E542" t="str">
        <f t="shared" si="24"/>
        <v>Du no 2020-09</v>
      </c>
      <c r="F542">
        <f t="shared" si="25"/>
        <v>-12667308</v>
      </c>
      <c r="G542" t="str">
        <f t="shared" si="26"/>
        <v>Du no</v>
      </c>
    </row>
    <row r="543" spans="1:7" x14ac:dyDescent="0.25">
      <c r="A543" s="59">
        <v>44123</v>
      </c>
      <c r="B543" s="33">
        <v>-10000</v>
      </c>
      <c r="C543" t="s">
        <v>51</v>
      </c>
      <c r="D543" t="s">
        <v>803</v>
      </c>
      <c r="E543" t="str">
        <f t="shared" si="24"/>
        <v>Du no 2020-09</v>
      </c>
      <c r="F543">
        <f t="shared" si="25"/>
        <v>-12667308</v>
      </c>
      <c r="G543" t="str">
        <f t="shared" si="26"/>
        <v>Du no</v>
      </c>
    </row>
    <row r="544" spans="1:7" x14ac:dyDescent="0.25">
      <c r="A544" s="59">
        <v>44123</v>
      </c>
      <c r="B544" s="33">
        <v>-100000</v>
      </c>
      <c r="C544" t="s">
        <v>51</v>
      </c>
      <c r="D544" t="s">
        <v>803</v>
      </c>
      <c r="E544" t="str">
        <f t="shared" si="24"/>
        <v>Du no 2020-09</v>
      </c>
      <c r="F544">
        <f t="shared" si="25"/>
        <v>-12667308</v>
      </c>
      <c r="G544" t="str">
        <f t="shared" si="26"/>
        <v>Du no</v>
      </c>
    </row>
    <row r="545" spans="1:7" x14ac:dyDescent="0.25">
      <c r="A545" s="59">
        <v>44123</v>
      </c>
      <c r="B545" s="33">
        <v>-10000</v>
      </c>
      <c r="C545" t="s">
        <v>51</v>
      </c>
      <c r="D545" t="s">
        <v>803</v>
      </c>
      <c r="E545" t="str">
        <f t="shared" si="24"/>
        <v>Du no 2020-09</v>
      </c>
      <c r="F545">
        <f t="shared" si="25"/>
        <v>-12667308</v>
      </c>
      <c r="G545" t="str">
        <f t="shared" si="26"/>
        <v>Du no</v>
      </c>
    </row>
    <row r="546" spans="1:7" x14ac:dyDescent="0.25">
      <c r="A546" s="59">
        <v>44123</v>
      </c>
      <c r="B546" s="33">
        <v>-100000</v>
      </c>
      <c r="C546" t="s">
        <v>51</v>
      </c>
      <c r="D546" t="s">
        <v>803</v>
      </c>
      <c r="E546" t="str">
        <f t="shared" si="24"/>
        <v>Du no 2020-09</v>
      </c>
      <c r="F546">
        <f t="shared" si="25"/>
        <v>-12667308</v>
      </c>
      <c r="G546" t="str">
        <f t="shared" si="26"/>
        <v>Du no</v>
      </c>
    </row>
    <row r="547" spans="1:7" x14ac:dyDescent="0.25">
      <c r="A547" s="59">
        <v>44123</v>
      </c>
      <c r="B547" s="33">
        <v>-10000</v>
      </c>
      <c r="C547" t="s">
        <v>51</v>
      </c>
      <c r="D547" t="s">
        <v>803</v>
      </c>
      <c r="E547" t="str">
        <f t="shared" si="24"/>
        <v>Du no 2020-09</v>
      </c>
      <c r="F547">
        <f t="shared" si="25"/>
        <v>-12667308</v>
      </c>
      <c r="G547" t="str">
        <f t="shared" si="26"/>
        <v>Du no</v>
      </c>
    </row>
    <row r="548" spans="1:7" x14ac:dyDescent="0.25">
      <c r="A548" s="59">
        <v>44123</v>
      </c>
      <c r="B548" s="33">
        <v>-100000</v>
      </c>
      <c r="C548" t="s">
        <v>51</v>
      </c>
      <c r="D548" t="s">
        <v>803</v>
      </c>
      <c r="E548" t="str">
        <f t="shared" si="24"/>
        <v>Du no 2020-09</v>
      </c>
      <c r="F548">
        <f t="shared" si="25"/>
        <v>-12667308</v>
      </c>
      <c r="G548" t="str">
        <f t="shared" si="26"/>
        <v>Du no</v>
      </c>
    </row>
    <row r="549" spans="1:7" x14ac:dyDescent="0.25">
      <c r="A549" s="59">
        <v>44123</v>
      </c>
      <c r="B549" s="33">
        <v>-10000</v>
      </c>
      <c r="C549" t="s">
        <v>51</v>
      </c>
      <c r="D549" t="s">
        <v>803</v>
      </c>
      <c r="E549" t="str">
        <f t="shared" si="24"/>
        <v>Du no 2020-09</v>
      </c>
      <c r="F549">
        <f t="shared" si="25"/>
        <v>-12667308</v>
      </c>
      <c r="G549" t="str">
        <f t="shared" si="26"/>
        <v>Du no</v>
      </c>
    </row>
    <row r="550" spans="1:7" x14ac:dyDescent="0.25">
      <c r="A550" s="59">
        <v>44123</v>
      </c>
      <c r="B550" s="33">
        <v>-100000</v>
      </c>
      <c r="C550" t="s">
        <v>51</v>
      </c>
      <c r="D550" t="s">
        <v>803</v>
      </c>
      <c r="E550" t="str">
        <f t="shared" si="24"/>
        <v>Du no 2020-09</v>
      </c>
      <c r="F550">
        <f t="shared" si="25"/>
        <v>-12667308</v>
      </c>
      <c r="G550" t="str">
        <f t="shared" si="26"/>
        <v>Du no</v>
      </c>
    </row>
    <row r="551" spans="1:7" x14ac:dyDescent="0.25">
      <c r="A551" s="59">
        <v>44123</v>
      </c>
      <c r="B551" s="33">
        <v>-10000</v>
      </c>
      <c r="C551" t="s">
        <v>51</v>
      </c>
      <c r="D551" t="s">
        <v>803</v>
      </c>
      <c r="E551" t="str">
        <f t="shared" si="24"/>
        <v>Du no 2020-09</v>
      </c>
      <c r="F551">
        <f t="shared" si="25"/>
        <v>-12667308</v>
      </c>
      <c r="G551" t="str">
        <f t="shared" si="26"/>
        <v>Du no</v>
      </c>
    </row>
    <row r="552" spans="1:7" x14ac:dyDescent="0.25">
      <c r="A552" s="59">
        <v>44118</v>
      </c>
      <c r="B552" s="33">
        <v>-2000000</v>
      </c>
      <c r="C552" t="s">
        <v>51</v>
      </c>
      <c r="D552" t="s">
        <v>804</v>
      </c>
      <c r="E552" t="str">
        <f t="shared" si="24"/>
        <v>Du no 2020-09</v>
      </c>
      <c r="F552">
        <f t="shared" si="25"/>
        <v>-12667308</v>
      </c>
      <c r="G552" t="str">
        <f t="shared" si="26"/>
        <v>Du no</v>
      </c>
    </row>
    <row r="553" spans="1:7" x14ac:dyDescent="0.25">
      <c r="A553" s="59">
        <v>44118</v>
      </c>
      <c r="B553" s="33">
        <v>-100000</v>
      </c>
      <c r="C553" t="s">
        <v>51</v>
      </c>
      <c r="D553" t="s">
        <v>804</v>
      </c>
      <c r="E553" t="str">
        <f t="shared" si="24"/>
        <v>Du no 2020-09</v>
      </c>
      <c r="F553">
        <f t="shared" si="25"/>
        <v>-12667308</v>
      </c>
      <c r="G553" t="str">
        <f t="shared" si="26"/>
        <v>Du no</v>
      </c>
    </row>
    <row r="554" spans="1:7" x14ac:dyDescent="0.25">
      <c r="A554" s="59">
        <v>44118</v>
      </c>
      <c r="B554" s="33">
        <v>-10000</v>
      </c>
      <c r="C554" t="s">
        <v>51</v>
      </c>
      <c r="D554" t="s">
        <v>804</v>
      </c>
      <c r="E554" t="str">
        <f t="shared" si="24"/>
        <v>Du no 2020-09</v>
      </c>
      <c r="F554">
        <f t="shared" si="25"/>
        <v>-12667308</v>
      </c>
      <c r="G554" t="str">
        <f t="shared" si="26"/>
        <v>Du no</v>
      </c>
    </row>
    <row r="555" spans="1:7" x14ac:dyDescent="0.25">
      <c r="A555" s="59">
        <v>44106</v>
      </c>
      <c r="B555" s="33">
        <v>-7308</v>
      </c>
      <c r="C555" t="s">
        <v>51</v>
      </c>
      <c r="D555" t="s">
        <v>805</v>
      </c>
      <c r="E555" t="str">
        <f t="shared" si="24"/>
        <v>Du no 2020-09</v>
      </c>
      <c r="F555">
        <f t="shared" si="25"/>
        <v>-12667308</v>
      </c>
      <c r="G555" t="str">
        <f t="shared" si="26"/>
        <v>Du no</v>
      </c>
    </row>
    <row r="556" spans="1:7" x14ac:dyDescent="0.25">
      <c r="A556" s="59">
        <v>44104</v>
      </c>
      <c r="B556" s="33">
        <v>-450</v>
      </c>
      <c r="C556" t="s">
        <v>50</v>
      </c>
      <c r="E556" t="str">
        <f t="shared" si="24"/>
        <v>Phi 2020-09</v>
      </c>
      <c r="F556">
        <f t="shared" si="25"/>
        <v>-4950</v>
      </c>
      <c r="G556" t="str">
        <f t="shared" si="26"/>
        <v>Phi</v>
      </c>
    </row>
    <row r="557" spans="1:7" x14ac:dyDescent="0.25">
      <c r="A557" s="59">
        <v>44104</v>
      </c>
      <c r="B557" s="33">
        <v>-4500</v>
      </c>
      <c r="C557" t="s">
        <v>50</v>
      </c>
      <c r="E557" t="str">
        <f t="shared" si="24"/>
        <v>Phi 2020-09</v>
      </c>
      <c r="F557">
        <f t="shared" si="25"/>
        <v>-4950</v>
      </c>
      <c r="G557" t="str">
        <f t="shared" si="26"/>
        <v>Phi</v>
      </c>
    </row>
    <row r="558" spans="1:7" x14ac:dyDescent="0.25">
      <c r="A558" s="59">
        <v>44077</v>
      </c>
      <c r="B558" s="33">
        <v>-7308</v>
      </c>
      <c r="C558" t="s">
        <v>51</v>
      </c>
      <c r="D558" t="s">
        <v>806</v>
      </c>
      <c r="E558" t="str">
        <f t="shared" si="24"/>
        <v>Du no 2020-08</v>
      </c>
      <c r="F558">
        <f t="shared" si="25"/>
        <v>-7308</v>
      </c>
      <c r="G558" t="str">
        <f t="shared" si="26"/>
        <v>Du no</v>
      </c>
    </row>
    <row r="559" spans="1:7" x14ac:dyDescent="0.25">
      <c r="A559" s="59">
        <v>44071</v>
      </c>
      <c r="B559" s="33">
        <v>-450</v>
      </c>
      <c r="C559" t="s">
        <v>50</v>
      </c>
      <c r="E559" t="str">
        <f t="shared" si="24"/>
        <v>Phi 2020-08</v>
      </c>
      <c r="F559">
        <f t="shared" si="25"/>
        <v>-4950</v>
      </c>
      <c r="G559" t="str">
        <f t="shared" si="26"/>
        <v>Phi</v>
      </c>
    </row>
    <row r="560" spans="1:7" x14ac:dyDescent="0.25">
      <c r="A560" s="59">
        <v>44071</v>
      </c>
      <c r="B560" s="33">
        <v>-4500</v>
      </c>
      <c r="C560" t="s">
        <v>50</v>
      </c>
      <c r="E560" t="str">
        <f t="shared" si="24"/>
        <v>Phi 2020-08</v>
      </c>
      <c r="F560">
        <f t="shared" si="25"/>
        <v>-4950</v>
      </c>
      <c r="G560" t="str">
        <f t="shared" si="26"/>
        <v>Phi</v>
      </c>
    </row>
    <row r="561" spans="1:7" x14ac:dyDescent="0.25">
      <c r="A561" s="59">
        <v>44067</v>
      </c>
      <c r="B561" s="33">
        <v>-2819.1</v>
      </c>
      <c r="C561" t="s">
        <v>49</v>
      </c>
      <c r="E561" t="str">
        <f t="shared" si="24"/>
        <v>Lai 2020-07</v>
      </c>
      <c r="F561">
        <f t="shared" si="25"/>
        <v>-111482</v>
      </c>
      <c r="G561" t="str">
        <f t="shared" si="26"/>
        <v>Lai phat sinh</v>
      </c>
    </row>
    <row r="562" spans="1:7" x14ac:dyDescent="0.25">
      <c r="A562" s="59">
        <v>44067</v>
      </c>
      <c r="B562" s="33">
        <v>-2711.71</v>
      </c>
      <c r="C562" t="s">
        <v>49</v>
      </c>
      <c r="E562" t="str">
        <f t="shared" si="24"/>
        <v>Lai 2020-07</v>
      </c>
      <c r="F562">
        <f t="shared" si="25"/>
        <v>-111482</v>
      </c>
      <c r="G562" t="str">
        <f t="shared" si="26"/>
        <v>Lai phat sinh</v>
      </c>
    </row>
    <row r="563" spans="1:7" x14ac:dyDescent="0.25">
      <c r="A563" s="59">
        <v>44067</v>
      </c>
      <c r="B563" s="33">
        <v>-390.41</v>
      </c>
      <c r="C563" t="s">
        <v>49</v>
      </c>
      <c r="E563" t="str">
        <f t="shared" si="24"/>
        <v>Lai 2020-07</v>
      </c>
      <c r="F563">
        <f t="shared" si="25"/>
        <v>-111482</v>
      </c>
      <c r="G563" t="str">
        <f t="shared" si="26"/>
        <v>Lai phat sinh</v>
      </c>
    </row>
    <row r="564" spans="1:7" x14ac:dyDescent="0.25">
      <c r="A564" s="59">
        <v>44067</v>
      </c>
      <c r="B564" s="33">
        <v>-59664.66</v>
      </c>
      <c r="C564" t="s">
        <v>49</v>
      </c>
      <c r="E564" t="str">
        <f t="shared" si="24"/>
        <v>Lai 2020-07</v>
      </c>
      <c r="F564">
        <f t="shared" si="25"/>
        <v>-111482</v>
      </c>
      <c r="G564" t="str">
        <f t="shared" si="26"/>
        <v>Lai phat sinh</v>
      </c>
    </row>
    <row r="565" spans="1:7" x14ac:dyDescent="0.25">
      <c r="A565" s="59">
        <v>44067</v>
      </c>
      <c r="B565" s="33">
        <v>-45895.89</v>
      </c>
      <c r="C565" t="s">
        <v>49</v>
      </c>
      <c r="E565" t="str">
        <f t="shared" si="24"/>
        <v>Lai 2020-07</v>
      </c>
      <c r="F565">
        <f t="shared" si="25"/>
        <v>-111482</v>
      </c>
      <c r="G565" t="str">
        <f t="shared" si="26"/>
        <v>Lai phat sinh</v>
      </c>
    </row>
    <row r="566" spans="1:7" x14ac:dyDescent="0.25">
      <c r="A566" s="59">
        <v>44062</v>
      </c>
      <c r="B566" s="33">
        <v>-3000000</v>
      </c>
      <c r="C566" t="s">
        <v>51</v>
      </c>
      <c r="D566" t="s">
        <v>807</v>
      </c>
      <c r="E566" t="str">
        <f t="shared" si="24"/>
        <v>Du no 2020-07</v>
      </c>
      <c r="F566">
        <f t="shared" si="25"/>
        <v>-31393308</v>
      </c>
      <c r="G566" t="str">
        <f t="shared" si="26"/>
        <v>Du no</v>
      </c>
    </row>
    <row r="567" spans="1:7" x14ac:dyDescent="0.25">
      <c r="A567" s="59">
        <v>44062</v>
      </c>
      <c r="B567" s="33">
        <v>-2000000</v>
      </c>
      <c r="C567" t="s">
        <v>51</v>
      </c>
      <c r="D567" t="s">
        <v>807</v>
      </c>
      <c r="E567" t="str">
        <f t="shared" si="24"/>
        <v>Du no 2020-07</v>
      </c>
      <c r="F567">
        <f t="shared" si="25"/>
        <v>-31393308</v>
      </c>
      <c r="G567" t="str">
        <f t="shared" si="26"/>
        <v>Du no</v>
      </c>
    </row>
    <row r="568" spans="1:7" x14ac:dyDescent="0.25">
      <c r="A568" s="59">
        <v>44062</v>
      </c>
      <c r="B568" s="33">
        <v>-3000000</v>
      </c>
      <c r="C568" t="s">
        <v>51</v>
      </c>
      <c r="D568" t="s">
        <v>807</v>
      </c>
      <c r="E568" t="str">
        <f t="shared" si="24"/>
        <v>Du no 2020-07</v>
      </c>
      <c r="F568">
        <f t="shared" si="25"/>
        <v>-31393308</v>
      </c>
      <c r="G568" t="str">
        <f t="shared" si="26"/>
        <v>Du no</v>
      </c>
    </row>
    <row r="569" spans="1:7" x14ac:dyDescent="0.25">
      <c r="A569" s="59">
        <v>44062</v>
      </c>
      <c r="B569" s="33">
        <v>-120000</v>
      </c>
      <c r="C569" t="s">
        <v>51</v>
      </c>
      <c r="D569" t="s">
        <v>807</v>
      </c>
      <c r="E569" t="str">
        <f t="shared" si="24"/>
        <v>Du no 2020-07</v>
      </c>
      <c r="F569">
        <f t="shared" si="25"/>
        <v>-31393308</v>
      </c>
      <c r="G569" t="str">
        <f t="shared" si="26"/>
        <v>Du no</v>
      </c>
    </row>
    <row r="570" spans="1:7" x14ac:dyDescent="0.25">
      <c r="A570" s="59">
        <v>44062</v>
      </c>
      <c r="B570" s="33">
        <v>-12000</v>
      </c>
      <c r="C570" t="s">
        <v>51</v>
      </c>
      <c r="D570" t="s">
        <v>807</v>
      </c>
      <c r="E570" t="str">
        <f t="shared" si="24"/>
        <v>Du no 2020-07</v>
      </c>
      <c r="F570">
        <f t="shared" si="25"/>
        <v>-31393308</v>
      </c>
      <c r="G570" t="str">
        <f t="shared" si="26"/>
        <v>Du no</v>
      </c>
    </row>
    <row r="571" spans="1:7" x14ac:dyDescent="0.25">
      <c r="A571" s="59">
        <v>44062</v>
      </c>
      <c r="B571" s="33">
        <v>-100000</v>
      </c>
      <c r="C571" t="s">
        <v>51</v>
      </c>
      <c r="D571" t="s">
        <v>807</v>
      </c>
      <c r="E571" t="str">
        <f t="shared" si="24"/>
        <v>Du no 2020-07</v>
      </c>
      <c r="F571">
        <f t="shared" si="25"/>
        <v>-31393308</v>
      </c>
      <c r="G571" t="str">
        <f t="shared" si="26"/>
        <v>Du no</v>
      </c>
    </row>
    <row r="572" spans="1:7" x14ac:dyDescent="0.25">
      <c r="A572" s="59">
        <v>44062</v>
      </c>
      <c r="B572" s="33">
        <v>-10000</v>
      </c>
      <c r="C572" t="s">
        <v>51</v>
      </c>
      <c r="D572" t="s">
        <v>807</v>
      </c>
      <c r="E572" t="str">
        <f t="shared" si="24"/>
        <v>Du no 2020-07</v>
      </c>
      <c r="F572">
        <f t="shared" si="25"/>
        <v>-31393308</v>
      </c>
      <c r="G572" t="str">
        <f t="shared" si="26"/>
        <v>Du no</v>
      </c>
    </row>
    <row r="573" spans="1:7" x14ac:dyDescent="0.25">
      <c r="A573" s="59">
        <v>44062</v>
      </c>
      <c r="B573" s="33">
        <v>-120000</v>
      </c>
      <c r="C573" t="s">
        <v>51</v>
      </c>
      <c r="D573" t="s">
        <v>807</v>
      </c>
      <c r="E573" t="str">
        <f t="shared" si="24"/>
        <v>Du no 2020-07</v>
      </c>
      <c r="F573">
        <f t="shared" si="25"/>
        <v>-31393308</v>
      </c>
      <c r="G573" t="str">
        <f t="shared" si="26"/>
        <v>Du no</v>
      </c>
    </row>
    <row r="574" spans="1:7" x14ac:dyDescent="0.25">
      <c r="A574" s="59">
        <v>44062</v>
      </c>
      <c r="B574" s="33">
        <v>-12000</v>
      </c>
      <c r="C574" t="s">
        <v>51</v>
      </c>
      <c r="D574" t="s">
        <v>807</v>
      </c>
      <c r="E574" t="str">
        <f t="shared" si="24"/>
        <v>Du no 2020-07</v>
      </c>
      <c r="F574">
        <f t="shared" si="25"/>
        <v>-31393308</v>
      </c>
      <c r="G574" t="str">
        <f t="shared" si="26"/>
        <v>Du no</v>
      </c>
    </row>
    <row r="575" spans="1:7" x14ac:dyDescent="0.25">
      <c r="A575" s="59">
        <v>44061</v>
      </c>
      <c r="B575" s="33">
        <v>-3000000</v>
      </c>
      <c r="C575" t="s">
        <v>51</v>
      </c>
      <c r="D575" t="s">
        <v>807</v>
      </c>
      <c r="E575" t="str">
        <f t="shared" si="24"/>
        <v>Du no 2020-07</v>
      </c>
      <c r="F575">
        <f t="shared" si="25"/>
        <v>-31393308</v>
      </c>
      <c r="G575" t="str">
        <f t="shared" si="26"/>
        <v>Du no</v>
      </c>
    </row>
    <row r="576" spans="1:7" x14ac:dyDescent="0.25">
      <c r="A576" s="59">
        <v>44061</v>
      </c>
      <c r="B576" s="33">
        <v>-3000000</v>
      </c>
      <c r="C576" t="s">
        <v>51</v>
      </c>
      <c r="D576" t="s">
        <v>807</v>
      </c>
      <c r="E576" t="str">
        <f t="shared" si="24"/>
        <v>Du no 2020-07</v>
      </c>
      <c r="F576">
        <f t="shared" si="25"/>
        <v>-31393308</v>
      </c>
      <c r="G576" t="str">
        <f t="shared" si="26"/>
        <v>Du no</v>
      </c>
    </row>
    <row r="577" spans="1:7" x14ac:dyDescent="0.25">
      <c r="A577" s="59">
        <v>44061</v>
      </c>
      <c r="B577" s="33">
        <v>-3000000</v>
      </c>
      <c r="C577" t="s">
        <v>51</v>
      </c>
      <c r="D577" t="s">
        <v>807</v>
      </c>
      <c r="E577" t="str">
        <f t="shared" si="24"/>
        <v>Du no 2020-07</v>
      </c>
      <c r="F577">
        <f t="shared" si="25"/>
        <v>-31393308</v>
      </c>
      <c r="G577" t="str">
        <f t="shared" si="26"/>
        <v>Du no</v>
      </c>
    </row>
    <row r="578" spans="1:7" x14ac:dyDescent="0.25">
      <c r="A578" s="59">
        <v>44061</v>
      </c>
      <c r="B578" s="33">
        <v>-3000000</v>
      </c>
      <c r="C578" t="s">
        <v>51</v>
      </c>
      <c r="D578" t="s">
        <v>807</v>
      </c>
      <c r="E578" t="str">
        <f t="shared" ref="E578:E630" si="27">IF(OR(C578="Transaction",C578="Interests",C578="Misc",C578="Account Transfer"), IF(C578="Transaction", IF(B578&lt;0, "Du no", "Da thanh toan"), IF(C578="Interests", "Lai", IF(C578="Misc", "Phi", IF(C578="Account Transfer", IF(OR(ISNUMBER(SEARCH("Trich lai tra gop the TD", D578)), ISNUMBER(SEARCH("Chuyen lai tra gop con lai sang du no thong thuong khi BadDebt", D578))), IF(B578&lt;0, "Lai tra gop", ""), "" )))))) &amp; " " &amp; IF(C578="Interests", TEXT(EDATE(IF(DAY(A578)&gt;=24, A578, EDATE(A578,-1)), -1),"yyyy-mm"), TEXT(IF(DAY(A578)&gt;=24, A578, EDATE(A578,-1)),"yyyy-mm"))</f>
        <v>Du no 2020-07</v>
      </c>
      <c r="F578">
        <f t="shared" ref="F578:F630" si="28">IF(ISNUMBER(B578), ROUND(SUMIFS($B$2:$B$10000, $E$2:$E$10000, E578, $B$2:$B$10000, IF(B578&lt;0, "&lt;0", "&gt;0")), 0), "")</f>
        <v>-31393308</v>
      </c>
      <c r="G578" t="str">
        <f t="shared" ref="G578:G630" si="29">IF(F578&gt;0, IF(C578="Transaction", "Da thanh toan", "Duong"), IF(F578&lt;0, IF(C578="Transaction", "Du no", IF(C578="Interests", "Lai phat sinh", IF(C578="Misc", "Phi", IF(C578="Account Transfer", "Lai tra gop", "Am")))), "Bang 0"))</f>
        <v>Du no</v>
      </c>
    </row>
    <row r="579" spans="1:7" x14ac:dyDescent="0.25">
      <c r="A579" s="59">
        <v>44061</v>
      </c>
      <c r="B579" s="33">
        <v>-3000000</v>
      </c>
      <c r="C579" t="s">
        <v>51</v>
      </c>
      <c r="D579" t="s">
        <v>807</v>
      </c>
      <c r="E579" t="str">
        <f t="shared" si="27"/>
        <v>Du no 2020-07</v>
      </c>
      <c r="F579">
        <f t="shared" si="28"/>
        <v>-31393308</v>
      </c>
      <c r="G579" t="str">
        <f t="shared" si="29"/>
        <v>Du no</v>
      </c>
    </row>
    <row r="580" spans="1:7" x14ac:dyDescent="0.25">
      <c r="A580" s="59">
        <v>44061</v>
      </c>
      <c r="B580" s="33">
        <v>-120000</v>
      </c>
      <c r="C580" t="s">
        <v>51</v>
      </c>
      <c r="D580" t="s">
        <v>807</v>
      </c>
      <c r="E580" t="str">
        <f t="shared" si="27"/>
        <v>Du no 2020-07</v>
      </c>
      <c r="F580">
        <f t="shared" si="28"/>
        <v>-31393308</v>
      </c>
      <c r="G580" t="str">
        <f t="shared" si="29"/>
        <v>Du no</v>
      </c>
    </row>
    <row r="581" spans="1:7" x14ac:dyDescent="0.25">
      <c r="A581" s="59">
        <v>44061</v>
      </c>
      <c r="B581" s="33">
        <v>-12000</v>
      </c>
      <c r="C581" t="s">
        <v>51</v>
      </c>
      <c r="D581" t="s">
        <v>807</v>
      </c>
      <c r="E581" t="str">
        <f t="shared" si="27"/>
        <v>Du no 2020-07</v>
      </c>
      <c r="F581">
        <f t="shared" si="28"/>
        <v>-31393308</v>
      </c>
      <c r="G581" t="str">
        <f t="shared" si="29"/>
        <v>Du no</v>
      </c>
    </row>
    <row r="582" spans="1:7" x14ac:dyDescent="0.25">
      <c r="A582" s="59">
        <v>44061</v>
      </c>
      <c r="B582" s="33">
        <v>-120000</v>
      </c>
      <c r="C582" t="s">
        <v>51</v>
      </c>
      <c r="D582" t="s">
        <v>807</v>
      </c>
      <c r="E582" t="str">
        <f t="shared" si="27"/>
        <v>Du no 2020-07</v>
      </c>
      <c r="F582">
        <f t="shared" si="28"/>
        <v>-31393308</v>
      </c>
      <c r="G582" t="str">
        <f t="shared" si="29"/>
        <v>Du no</v>
      </c>
    </row>
    <row r="583" spans="1:7" x14ac:dyDescent="0.25">
      <c r="A583" s="59">
        <v>44061</v>
      </c>
      <c r="B583" s="33">
        <v>-12000</v>
      </c>
      <c r="C583" t="s">
        <v>51</v>
      </c>
      <c r="D583" t="s">
        <v>807</v>
      </c>
      <c r="E583" t="str">
        <f t="shared" si="27"/>
        <v>Du no 2020-07</v>
      </c>
      <c r="F583">
        <f t="shared" si="28"/>
        <v>-31393308</v>
      </c>
      <c r="G583" t="str">
        <f t="shared" si="29"/>
        <v>Du no</v>
      </c>
    </row>
    <row r="584" spans="1:7" x14ac:dyDescent="0.25">
      <c r="A584" s="59">
        <v>44061</v>
      </c>
      <c r="B584" s="33">
        <v>-120000</v>
      </c>
      <c r="C584" t="s">
        <v>51</v>
      </c>
      <c r="D584" t="s">
        <v>807</v>
      </c>
      <c r="E584" t="str">
        <f t="shared" si="27"/>
        <v>Du no 2020-07</v>
      </c>
      <c r="F584">
        <f t="shared" si="28"/>
        <v>-31393308</v>
      </c>
      <c r="G584" t="str">
        <f t="shared" si="29"/>
        <v>Du no</v>
      </c>
    </row>
    <row r="585" spans="1:7" x14ac:dyDescent="0.25">
      <c r="A585" s="59">
        <v>44061</v>
      </c>
      <c r="B585" s="33">
        <v>-12000</v>
      </c>
      <c r="C585" t="s">
        <v>51</v>
      </c>
      <c r="D585" t="s">
        <v>807</v>
      </c>
      <c r="E585" t="str">
        <f t="shared" si="27"/>
        <v>Du no 2020-07</v>
      </c>
      <c r="F585">
        <f t="shared" si="28"/>
        <v>-31393308</v>
      </c>
      <c r="G585" t="str">
        <f t="shared" si="29"/>
        <v>Du no</v>
      </c>
    </row>
    <row r="586" spans="1:7" x14ac:dyDescent="0.25">
      <c r="A586" s="59">
        <v>44061</v>
      </c>
      <c r="B586" s="33">
        <v>-120000</v>
      </c>
      <c r="C586" t="s">
        <v>51</v>
      </c>
      <c r="D586" t="s">
        <v>807</v>
      </c>
      <c r="E586" t="str">
        <f t="shared" si="27"/>
        <v>Du no 2020-07</v>
      </c>
      <c r="F586">
        <f t="shared" si="28"/>
        <v>-31393308</v>
      </c>
      <c r="G586" t="str">
        <f t="shared" si="29"/>
        <v>Du no</v>
      </c>
    </row>
    <row r="587" spans="1:7" x14ac:dyDescent="0.25">
      <c r="A587" s="59">
        <v>44061</v>
      </c>
      <c r="B587" s="33">
        <v>-12000</v>
      </c>
      <c r="C587" t="s">
        <v>51</v>
      </c>
      <c r="D587" t="s">
        <v>807</v>
      </c>
      <c r="E587" t="str">
        <f t="shared" si="27"/>
        <v>Du no 2020-07</v>
      </c>
      <c r="F587">
        <f t="shared" si="28"/>
        <v>-31393308</v>
      </c>
      <c r="G587" t="str">
        <f t="shared" si="29"/>
        <v>Du no</v>
      </c>
    </row>
    <row r="588" spans="1:7" x14ac:dyDescent="0.25">
      <c r="A588" s="59">
        <v>44061</v>
      </c>
      <c r="B588" s="33">
        <v>-120000</v>
      </c>
      <c r="C588" t="s">
        <v>51</v>
      </c>
      <c r="D588" t="s">
        <v>807</v>
      </c>
      <c r="E588" t="str">
        <f t="shared" si="27"/>
        <v>Du no 2020-07</v>
      </c>
      <c r="F588">
        <f t="shared" si="28"/>
        <v>-31393308</v>
      </c>
      <c r="G588" t="str">
        <f t="shared" si="29"/>
        <v>Du no</v>
      </c>
    </row>
    <row r="589" spans="1:7" x14ac:dyDescent="0.25">
      <c r="A589" s="59">
        <v>44061</v>
      </c>
      <c r="B589" s="33">
        <v>-12000</v>
      </c>
      <c r="C589" t="s">
        <v>51</v>
      </c>
      <c r="D589" t="s">
        <v>807</v>
      </c>
      <c r="E589" t="str">
        <f t="shared" si="27"/>
        <v>Du no 2020-07</v>
      </c>
      <c r="F589">
        <f t="shared" si="28"/>
        <v>-31393308</v>
      </c>
      <c r="G589" t="str">
        <f t="shared" si="29"/>
        <v>Du no</v>
      </c>
    </row>
    <row r="590" spans="1:7" x14ac:dyDescent="0.25">
      <c r="A590" s="59">
        <v>44055</v>
      </c>
      <c r="B590" s="33">
        <v>32000000</v>
      </c>
      <c r="C590" t="s">
        <v>51</v>
      </c>
      <c r="D590" t="s">
        <v>765</v>
      </c>
      <c r="E590" t="str">
        <f t="shared" si="27"/>
        <v>Da thanh toan 2020-07</v>
      </c>
      <c r="F590">
        <f t="shared" si="28"/>
        <v>36300000</v>
      </c>
      <c r="G590" t="str">
        <f t="shared" si="29"/>
        <v>Da thanh toan</v>
      </c>
    </row>
    <row r="591" spans="1:7" x14ac:dyDescent="0.25">
      <c r="A591" s="59">
        <v>44048</v>
      </c>
      <c r="B591" s="33">
        <v>-2000000</v>
      </c>
      <c r="C591" t="s">
        <v>51</v>
      </c>
      <c r="D591" t="s">
        <v>807</v>
      </c>
      <c r="E591" t="str">
        <f t="shared" si="27"/>
        <v>Du no 2020-07</v>
      </c>
      <c r="F591">
        <f t="shared" si="28"/>
        <v>-31393308</v>
      </c>
      <c r="G591" t="str">
        <f t="shared" si="29"/>
        <v>Du no</v>
      </c>
    </row>
    <row r="592" spans="1:7" x14ac:dyDescent="0.25">
      <c r="A592" s="59">
        <v>44048</v>
      </c>
      <c r="B592" s="33">
        <v>-2000000</v>
      </c>
      <c r="C592" t="s">
        <v>51</v>
      </c>
      <c r="D592" t="s">
        <v>808</v>
      </c>
      <c r="E592" t="str">
        <f t="shared" si="27"/>
        <v>Du no 2020-07</v>
      </c>
      <c r="F592">
        <f t="shared" si="28"/>
        <v>-31393308</v>
      </c>
      <c r="G592" t="str">
        <f t="shared" si="29"/>
        <v>Du no</v>
      </c>
    </row>
    <row r="593" spans="1:7" x14ac:dyDescent="0.25">
      <c r="A593" s="59">
        <v>44048</v>
      </c>
      <c r="B593" s="33">
        <v>-100000</v>
      </c>
      <c r="C593" t="s">
        <v>51</v>
      </c>
      <c r="D593" t="s">
        <v>807</v>
      </c>
      <c r="E593" t="str">
        <f t="shared" si="27"/>
        <v>Du no 2020-07</v>
      </c>
      <c r="F593">
        <f t="shared" si="28"/>
        <v>-31393308</v>
      </c>
      <c r="G593" t="str">
        <f t="shared" si="29"/>
        <v>Du no</v>
      </c>
    </row>
    <row r="594" spans="1:7" x14ac:dyDescent="0.25">
      <c r="A594" s="59">
        <v>44048</v>
      </c>
      <c r="B594" s="33">
        <v>-10000</v>
      </c>
      <c r="C594" t="s">
        <v>51</v>
      </c>
      <c r="D594" t="s">
        <v>807</v>
      </c>
      <c r="E594" t="str">
        <f t="shared" si="27"/>
        <v>Du no 2020-07</v>
      </c>
      <c r="F594">
        <f t="shared" si="28"/>
        <v>-31393308</v>
      </c>
      <c r="G594" t="str">
        <f t="shared" si="29"/>
        <v>Du no</v>
      </c>
    </row>
    <row r="595" spans="1:7" x14ac:dyDescent="0.25">
      <c r="A595" s="59">
        <v>44048</v>
      </c>
      <c r="B595" s="33">
        <v>-100000</v>
      </c>
      <c r="C595" t="s">
        <v>51</v>
      </c>
      <c r="D595" t="s">
        <v>808</v>
      </c>
      <c r="E595" t="str">
        <f t="shared" si="27"/>
        <v>Du no 2020-07</v>
      </c>
      <c r="F595">
        <f t="shared" si="28"/>
        <v>-31393308</v>
      </c>
      <c r="G595" t="str">
        <f t="shared" si="29"/>
        <v>Du no</v>
      </c>
    </row>
    <row r="596" spans="1:7" x14ac:dyDescent="0.25">
      <c r="A596" s="59">
        <v>44048</v>
      </c>
      <c r="B596" s="33">
        <v>-10000</v>
      </c>
      <c r="C596" t="s">
        <v>51</v>
      </c>
      <c r="D596" t="s">
        <v>808</v>
      </c>
      <c r="E596" t="str">
        <f t="shared" si="27"/>
        <v>Du no 2020-07</v>
      </c>
      <c r="F596">
        <f t="shared" si="28"/>
        <v>-31393308</v>
      </c>
      <c r="G596" t="str">
        <f t="shared" si="29"/>
        <v>Du no</v>
      </c>
    </row>
    <row r="597" spans="1:7" x14ac:dyDescent="0.25">
      <c r="A597" s="59">
        <v>44047</v>
      </c>
      <c r="B597" s="33">
        <v>-3000000</v>
      </c>
      <c r="C597" t="s">
        <v>51</v>
      </c>
      <c r="D597" t="s">
        <v>809</v>
      </c>
      <c r="E597" t="str">
        <f t="shared" si="27"/>
        <v>Du no 2020-07</v>
      </c>
      <c r="F597">
        <f t="shared" si="28"/>
        <v>-31393308</v>
      </c>
      <c r="G597" t="str">
        <f t="shared" si="29"/>
        <v>Du no</v>
      </c>
    </row>
    <row r="598" spans="1:7" x14ac:dyDescent="0.25">
      <c r="A598" s="59">
        <v>44047</v>
      </c>
      <c r="B598" s="33">
        <v>-120000</v>
      </c>
      <c r="C598" t="s">
        <v>51</v>
      </c>
      <c r="D598" t="s">
        <v>809</v>
      </c>
      <c r="E598" t="str">
        <f t="shared" si="27"/>
        <v>Du no 2020-07</v>
      </c>
      <c r="F598">
        <f t="shared" si="28"/>
        <v>-31393308</v>
      </c>
      <c r="G598" t="str">
        <f t="shared" si="29"/>
        <v>Du no</v>
      </c>
    </row>
    <row r="599" spans="1:7" x14ac:dyDescent="0.25">
      <c r="A599" s="59">
        <v>44047</v>
      </c>
      <c r="B599" s="33">
        <v>-12000</v>
      </c>
      <c r="C599" t="s">
        <v>51</v>
      </c>
      <c r="D599" t="s">
        <v>809</v>
      </c>
      <c r="E599" t="str">
        <f t="shared" si="27"/>
        <v>Du no 2020-07</v>
      </c>
      <c r="F599">
        <f t="shared" si="28"/>
        <v>-31393308</v>
      </c>
      <c r="G599" t="str">
        <f t="shared" si="29"/>
        <v>Du no</v>
      </c>
    </row>
    <row r="600" spans="1:7" x14ac:dyDescent="0.25">
      <c r="A600" s="59">
        <v>44046</v>
      </c>
      <c r="B600" s="33">
        <v>4200000</v>
      </c>
      <c r="C600" t="s">
        <v>51</v>
      </c>
      <c r="D600" t="s">
        <v>765</v>
      </c>
      <c r="E600" t="str">
        <f t="shared" si="27"/>
        <v>Da thanh toan 2020-07</v>
      </c>
      <c r="F600">
        <f t="shared" si="28"/>
        <v>36300000</v>
      </c>
      <c r="G600" t="str">
        <f t="shared" si="29"/>
        <v>Da thanh toan</v>
      </c>
    </row>
    <row r="601" spans="1:7" x14ac:dyDescent="0.25">
      <c r="A601" s="59">
        <v>44046</v>
      </c>
      <c r="B601" s="33">
        <v>100000</v>
      </c>
      <c r="C601" t="s">
        <v>51</v>
      </c>
      <c r="D601" t="s">
        <v>765</v>
      </c>
      <c r="E601" t="str">
        <f t="shared" si="27"/>
        <v>Da thanh toan 2020-07</v>
      </c>
      <c r="F601">
        <f t="shared" si="28"/>
        <v>36300000</v>
      </c>
      <c r="G601" t="str">
        <f t="shared" si="29"/>
        <v>Da thanh toan</v>
      </c>
    </row>
    <row r="602" spans="1:7" x14ac:dyDescent="0.25">
      <c r="A602" s="59">
        <v>44046</v>
      </c>
      <c r="B602" s="33">
        <v>-7308</v>
      </c>
      <c r="C602" t="s">
        <v>51</v>
      </c>
      <c r="D602" t="s">
        <v>810</v>
      </c>
      <c r="E602" t="str">
        <f t="shared" si="27"/>
        <v>Du no 2020-07</v>
      </c>
      <c r="F602">
        <f t="shared" si="28"/>
        <v>-31393308</v>
      </c>
      <c r="G602" t="str">
        <f t="shared" si="29"/>
        <v>Du no</v>
      </c>
    </row>
    <row r="603" spans="1:7" x14ac:dyDescent="0.25">
      <c r="A603" s="59">
        <v>44041</v>
      </c>
      <c r="B603" s="33">
        <v>-450</v>
      </c>
      <c r="C603" t="s">
        <v>50</v>
      </c>
      <c r="E603" t="str">
        <f t="shared" si="27"/>
        <v>Phi 2020-07</v>
      </c>
      <c r="F603">
        <f t="shared" si="28"/>
        <v>-4950</v>
      </c>
      <c r="G603" t="str">
        <f t="shared" si="29"/>
        <v>Phi</v>
      </c>
    </row>
    <row r="604" spans="1:7" x14ac:dyDescent="0.25">
      <c r="A604" s="59">
        <v>44041</v>
      </c>
      <c r="B604" s="33">
        <v>-4500</v>
      </c>
      <c r="C604" t="s">
        <v>50</v>
      </c>
      <c r="E604" t="str">
        <f t="shared" si="27"/>
        <v>Phi 2020-07</v>
      </c>
      <c r="F604">
        <f t="shared" si="28"/>
        <v>-4950</v>
      </c>
      <c r="G604" t="str">
        <f t="shared" si="29"/>
        <v>Phi</v>
      </c>
    </row>
    <row r="605" spans="1:7" x14ac:dyDescent="0.25">
      <c r="A605" s="59">
        <v>44036</v>
      </c>
      <c r="B605" s="33">
        <v>-1898.2</v>
      </c>
      <c r="C605" t="s">
        <v>49</v>
      </c>
      <c r="E605" t="str">
        <f t="shared" si="27"/>
        <v>Lai 2020-06</v>
      </c>
      <c r="F605">
        <f t="shared" si="28"/>
        <v>-34025</v>
      </c>
      <c r="G605" t="str">
        <f t="shared" si="29"/>
        <v>Lai phat sinh</v>
      </c>
    </row>
    <row r="606" spans="1:7" x14ac:dyDescent="0.25">
      <c r="A606" s="59">
        <v>44036</v>
      </c>
      <c r="B606" s="33">
        <v>-32127.119999999999</v>
      </c>
      <c r="C606" t="s">
        <v>49</v>
      </c>
      <c r="E606" t="str">
        <f t="shared" si="27"/>
        <v>Lai 2020-06</v>
      </c>
      <c r="F606">
        <f t="shared" si="28"/>
        <v>-34025</v>
      </c>
      <c r="G606" t="str">
        <f t="shared" si="29"/>
        <v>Lai phat sinh</v>
      </c>
    </row>
    <row r="607" spans="1:7" x14ac:dyDescent="0.25">
      <c r="A607" s="59">
        <v>44029</v>
      </c>
      <c r="B607" s="33">
        <v>-3000000</v>
      </c>
      <c r="C607" t="s">
        <v>51</v>
      </c>
      <c r="D607" t="s">
        <v>811</v>
      </c>
      <c r="E607" t="str">
        <f t="shared" si="27"/>
        <v>Du no 2020-06</v>
      </c>
      <c r="F607">
        <f t="shared" si="28"/>
        <v>-9491308</v>
      </c>
      <c r="G607" t="str">
        <f t="shared" si="29"/>
        <v>Du no</v>
      </c>
    </row>
    <row r="608" spans="1:7" x14ac:dyDescent="0.25">
      <c r="A608" s="59">
        <v>44029</v>
      </c>
      <c r="B608" s="33">
        <v>3000000</v>
      </c>
      <c r="C608" t="s">
        <v>51</v>
      </c>
      <c r="D608" t="s">
        <v>811</v>
      </c>
      <c r="E608" t="str">
        <f t="shared" si="27"/>
        <v>Da thanh toan 2020-06</v>
      </c>
      <c r="F608">
        <f t="shared" si="28"/>
        <v>5592000</v>
      </c>
      <c r="G608" t="str">
        <f t="shared" si="29"/>
        <v>Da thanh toan</v>
      </c>
    </row>
    <row r="609" spans="1:7" x14ac:dyDescent="0.25">
      <c r="A609" s="59">
        <v>44029</v>
      </c>
      <c r="B609" s="33">
        <v>-2000000</v>
      </c>
      <c r="C609" t="s">
        <v>51</v>
      </c>
      <c r="D609" t="s">
        <v>811</v>
      </c>
      <c r="E609" t="str">
        <f t="shared" si="27"/>
        <v>Du no 2020-06</v>
      </c>
      <c r="F609">
        <f t="shared" si="28"/>
        <v>-9491308</v>
      </c>
      <c r="G609" t="str">
        <f t="shared" si="29"/>
        <v>Du no</v>
      </c>
    </row>
    <row r="610" spans="1:7" x14ac:dyDescent="0.25">
      <c r="A610" s="59">
        <v>44029</v>
      </c>
      <c r="B610" s="33">
        <v>2000000</v>
      </c>
      <c r="C610" t="s">
        <v>51</v>
      </c>
      <c r="D610" t="s">
        <v>811</v>
      </c>
      <c r="E610" t="str">
        <f t="shared" si="27"/>
        <v>Da thanh toan 2020-06</v>
      </c>
      <c r="F610">
        <f t="shared" si="28"/>
        <v>5592000</v>
      </c>
      <c r="G610" t="str">
        <f t="shared" si="29"/>
        <v>Da thanh toan</v>
      </c>
    </row>
    <row r="611" spans="1:7" x14ac:dyDescent="0.25">
      <c r="A611" s="59">
        <v>44029</v>
      </c>
      <c r="B611" s="33">
        <v>-3000000</v>
      </c>
      <c r="C611" t="s">
        <v>51</v>
      </c>
      <c r="D611" t="s">
        <v>812</v>
      </c>
      <c r="E611" t="str">
        <f t="shared" si="27"/>
        <v>Du no 2020-06</v>
      </c>
      <c r="F611">
        <f t="shared" si="28"/>
        <v>-9491308</v>
      </c>
      <c r="G611" t="str">
        <f t="shared" si="29"/>
        <v>Du no</v>
      </c>
    </row>
    <row r="612" spans="1:7" x14ac:dyDescent="0.25">
      <c r="A612" s="59">
        <v>44029</v>
      </c>
      <c r="B612" s="33">
        <v>-1000000</v>
      </c>
      <c r="C612" t="s">
        <v>51</v>
      </c>
      <c r="D612" t="s">
        <v>812</v>
      </c>
      <c r="E612" t="str">
        <f t="shared" si="27"/>
        <v>Du no 2020-06</v>
      </c>
      <c r="F612">
        <f t="shared" si="28"/>
        <v>-9491308</v>
      </c>
      <c r="G612" t="str">
        <f t="shared" si="29"/>
        <v>Du no</v>
      </c>
    </row>
    <row r="613" spans="1:7" x14ac:dyDescent="0.25">
      <c r="A613" s="59">
        <v>44029</v>
      </c>
      <c r="B613" s="33">
        <v>-120000</v>
      </c>
      <c r="C613" t="s">
        <v>51</v>
      </c>
      <c r="D613" t="s">
        <v>811</v>
      </c>
      <c r="E613" t="str">
        <f t="shared" si="27"/>
        <v>Du no 2020-06</v>
      </c>
      <c r="F613">
        <f t="shared" si="28"/>
        <v>-9491308</v>
      </c>
      <c r="G613" t="str">
        <f t="shared" si="29"/>
        <v>Du no</v>
      </c>
    </row>
    <row r="614" spans="1:7" x14ac:dyDescent="0.25">
      <c r="A614" s="59">
        <v>44029</v>
      </c>
      <c r="B614" s="33">
        <v>-12000</v>
      </c>
      <c r="C614" t="s">
        <v>51</v>
      </c>
      <c r="D614" t="s">
        <v>811</v>
      </c>
      <c r="E614" t="str">
        <f t="shared" si="27"/>
        <v>Du no 2020-06</v>
      </c>
      <c r="F614">
        <f t="shared" si="28"/>
        <v>-9491308</v>
      </c>
      <c r="G614" t="str">
        <f t="shared" si="29"/>
        <v>Du no</v>
      </c>
    </row>
    <row r="615" spans="1:7" x14ac:dyDescent="0.25">
      <c r="A615" s="59">
        <v>44029</v>
      </c>
      <c r="B615" s="33">
        <v>120000</v>
      </c>
      <c r="C615" t="s">
        <v>51</v>
      </c>
      <c r="D615" t="s">
        <v>811</v>
      </c>
      <c r="E615" t="str">
        <f t="shared" si="27"/>
        <v>Da thanh toan 2020-06</v>
      </c>
      <c r="F615">
        <f t="shared" si="28"/>
        <v>5592000</v>
      </c>
      <c r="G615" t="str">
        <f t="shared" si="29"/>
        <v>Da thanh toan</v>
      </c>
    </row>
    <row r="616" spans="1:7" x14ac:dyDescent="0.25">
      <c r="A616" s="59">
        <v>44029</v>
      </c>
      <c r="B616" s="33">
        <v>12000</v>
      </c>
      <c r="C616" t="s">
        <v>51</v>
      </c>
      <c r="D616" t="s">
        <v>811</v>
      </c>
      <c r="E616" t="str">
        <f t="shared" si="27"/>
        <v>Da thanh toan 2020-06</v>
      </c>
      <c r="F616">
        <f t="shared" si="28"/>
        <v>5592000</v>
      </c>
      <c r="G616" t="str">
        <f t="shared" si="29"/>
        <v>Da thanh toan</v>
      </c>
    </row>
    <row r="617" spans="1:7" x14ac:dyDescent="0.25">
      <c r="A617" s="59">
        <v>44029</v>
      </c>
      <c r="B617" s="33">
        <v>-100000</v>
      </c>
      <c r="C617" t="s">
        <v>51</v>
      </c>
      <c r="D617" t="s">
        <v>811</v>
      </c>
      <c r="E617" t="str">
        <f t="shared" si="27"/>
        <v>Du no 2020-06</v>
      </c>
      <c r="F617">
        <f t="shared" si="28"/>
        <v>-9491308</v>
      </c>
      <c r="G617" t="str">
        <f t="shared" si="29"/>
        <v>Du no</v>
      </c>
    </row>
    <row r="618" spans="1:7" x14ac:dyDescent="0.25">
      <c r="A618" s="59">
        <v>44029</v>
      </c>
      <c r="B618" s="33">
        <v>-10000</v>
      </c>
      <c r="C618" t="s">
        <v>51</v>
      </c>
      <c r="D618" t="s">
        <v>811</v>
      </c>
      <c r="E618" t="str">
        <f t="shared" si="27"/>
        <v>Du no 2020-06</v>
      </c>
      <c r="F618">
        <f t="shared" si="28"/>
        <v>-9491308</v>
      </c>
      <c r="G618" t="str">
        <f t="shared" si="29"/>
        <v>Du no</v>
      </c>
    </row>
    <row r="619" spans="1:7" x14ac:dyDescent="0.25">
      <c r="A619" s="59">
        <v>44029</v>
      </c>
      <c r="B619" s="33">
        <v>100000</v>
      </c>
      <c r="C619" t="s">
        <v>51</v>
      </c>
      <c r="D619" t="s">
        <v>811</v>
      </c>
      <c r="E619" t="str">
        <f t="shared" si="27"/>
        <v>Da thanh toan 2020-06</v>
      </c>
      <c r="F619">
        <f t="shared" si="28"/>
        <v>5592000</v>
      </c>
      <c r="G619" t="str">
        <f t="shared" si="29"/>
        <v>Da thanh toan</v>
      </c>
    </row>
    <row r="620" spans="1:7" x14ac:dyDescent="0.25">
      <c r="A620" s="59">
        <v>44029</v>
      </c>
      <c r="B620" s="33">
        <v>10000</v>
      </c>
      <c r="C620" t="s">
        <v>51</v>
      </c>
      <c r="D620" t="s">
        <v>811</v>
      </c>
      <c r="E620" t="str">
        <f t="shared" si="27"/>
        <v>Da thanh toan 2020-06</v>
      </c>
      <c r="F620">
        <f t="shared" si="28"/>
        <v>5592000</v>
      </c>
      <c r="G620" t="str">
        <f t="shared" si="29"/>
        <v>Da thanh toan</v>
      </c>
    </row>
    <row r="621" spans="1:7" x14ac:dyDescent="0.25">
      <c r="A621" s="59">
        <v>44029</v>
      </c>
      <c r="B621" s="33">
        <v>-120000</v>
      </c>
      <c r="C621" t="s">
        <v>51</v>
      </c>
      <c r="D621" t="s">
        <v>812</v>
      </c>
      <c r="E621" t="str">
        <f t="shared" si="27"/>
        <v>Du no 2020-06</v>
      </c>
      <c r="F621">
        <f t="shared" si="28"/>
        <v>-9491308</v>
      </c>
      <c r="G621" t="str">
        <f t="shared" si="29"/>
        <v>Du no</v>
      </c>
    </row>
    <row r="622" spans="1:7" x14ac:dyDescent="0.25">
      <c r="A622" s="59">
        <v>44029</v>
      </c>
      <c r="B622" s="33">
        <v>-12000</v>
      </c>
      <c r="C622" t="s">
        <v>51</v>
      </c>
      <c r="D622" t="s">
        <v>812</v>
      </c>
      <c r="E622" t="str">
        <f t="shared" si="27"/>
        <v>Du no 2020-06</v>
      </c>
      <c r="F622">
        <f t="shared" si="28"/>
        <v>-9491308</v>
      </c>
      <c r="G622" t="str">
        <f t="shared" si="29"/>
        <v>Du no</v>
      </c>
    </row>
    <row r="623" spans="1:7" x14ac:dyDescent="0.25">
      <c r="A623" s="59">
        <v>44029</v>
      </c>
      <c r="B623" s="33">
        <v>-100000</v>
      </c>
      <c r="C623" t="s">
        <v>51</v>
      </c>
      <c r="D623" t="s">
        <v>812</v>
      </c>
      <c r="E623" t="str">
        <f t="shared" si="27"/>
        <v>Du no 2020-06</v>
      </c>
      <c r="F623">
        <f t="shared" si="28"/>
        <v>-9491308</v>
      </c>
      <c r="G623" t="str">
        <f t="shared" si="29"/>
        <v>Du no</v>
      </c>
    </row>
    <row r="624" spans="1:7" x14ac:dyDescent="0.25">
      <c r="A624" s="59">
        <v>44029</v>
      </c>
      <c r="B624" s="33">
        <v>-10000</v>
      </c>
      <c r="C624" t="s">
        <v>51</v>
      </c>
      <c r="D624" t="s">
        <v>812</v>
      </c>
      <c r="E624" t="str">
        <f t="shared" si="27"/>
        <v>Du no 2020-06</v>
      </c>
      <c r="F624">
        <f t="shared" si="28"/>
        <v>-9491308</v>
      </c>
      <c r="G624" t="str">
        <f t="shared" si="29"/>
        <v>Du no</v>
      </c>
    </row>
    <row r="625" spans="1:7" x14ac:dyDescent="0.25">
      <c r="A625" s="59">
        <v>44026</v>
      </c>
      <c r="B625" s="33">
        <v>-7308</v>
      </c>
      <c r="C625" t="s">
        <v>51</v>
      </c>
      <c r="D625" t="s">
        <v>813</v>
      </c>
      <c r="E625" t="str">
        <f t="shared" si="27"/>
        <v>Du no 2020-06</v>
      </c>
      <c r="F625">
        <f t="shared" si="28"/>
        <v>-9491308</v>
      </c>
      <c r="G625" t="str">
        <f t="shared" si="29"/>
        <v>Du no</v>
      </c>
    </row>
    <row r="626" spans="1:7" x14ac:dyDescent="0.25">
      <c r="A626" s="59">
        <v>44020</v>
      </c>
      <c r="B626" s="33">
        <v>350000</v>
      </c>
      <c r="C626" t="s">
        <v>51</v>
      </c>
      <c r="D626" t="s">
        <v>765</v>
      </c>
      <c r="E626" t="str">
        <f t="shared" si="27"/>
        <v>Da thanh toan 2020-06</v>
      </c>
      <c r="F626">
        <f t="shared" si="28"/>
        <v>5592000</v>
      </c>
      <c r="G626" t="str">
        <f t="shared" si="29"/>
        <v>Da thanh toan</v>
      </c>
    </row>
    <row r="627" spans="1:7" x14ac:dyDescent="0.25">
      <c r="A627" s="59">
        <v>44012</v>
      </c>
      <c r="B627" s="33">
        <v>-450</v>
      </c>
      <c r="C627" t="s">
        <v>50</v>
      </c>
      <c r="E627" t="str">
        <f t="shared" si="27"/>
        <v>Phi 2020-06</v>
      </c>
      <c r="F627">
        <f t="shared" si="28"/>
        <v>-4950</v>
      </c>
      <c r="G627" t="str">
        <f t="shared" si="29"/>
        <v>Phi</v>
      </c>
    </row>
    <row r="628" spans="1:7" x14ac:dyDescent="0.25">
      <c r="A628" s="59">
        <v>44012</v>
      </c>
      <c r="B628" s="33">
        <v>-4500</v>
      </c>
      <c r="C628" t="s">
        <v>50</v>
      </c>
      <c r="E628" t="str">
        <f t="shared" si="27"/>
        <v>Phi 2020-06</v>
      </c>
      <c r="F628">
        <f t="shared" si="28"/>
        <v>-4950</v>
      </c>
      <c r="G628" t="str">
        <f t="shared" si="29"/>
        <v>Phi</v>
      </c>
    </row>
    <row r="629" spans="1:7" x14ac:dyDescent="0.25">
      <c r="A629" s="59">
        <v>43994</v>
      </c>
      <c r="B629" s="33">
        <v>-7308</v>
      </c>
      <c r="C629" t="s">
        <v>51</v>
      </c>
      <c r="D629" t="s">
        <v>814</v>
      </c>
      <c r="E629" t="str">
        <f t="shared" si="27"/>
        <v>Du no 2020-05</v>
      </c>
      <c r="F629">
        <f t="shared" si="28"/>
        <v>-332078</v>
      </c>
      <c r="G629" t="str">
        <f t="shared" si="29"/>
        <v>Du no</v>
      </c>
    </row>
    <row r="630" spans="1:7" x14ac:dyDescent="0.25">
      <c r="A630" s="59">
        <v>43987</v>
      </c>
      <c r="B630" s="33">
        <v>-324770</v>
      </c>
      <c r="C630" t="s">
        <v>51</v>
      </c>
      <c r="D630" t="s">
        <v>815</v>
      </c>
      <c r="E630" t="str">
        <f t="shared" si="27"/>
        <v>Du no 2020-05</v>
      </c>
      <c r="F630">
        <f t="shared" si="28"/>
        <v>-332078</v>
      </c>
      <c r="G630" t="str">
        <f t="shared" si="29"/>
        <v>Du no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BKTL</vt:lpstr>
      <vt:lpstr>THTT</vt:lpstr>
      <vt:lpstr>saokethe</vt:lpstr>
      <vt:lpstr>tinhnhanh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2025-12-23T04:20:32Z</dcterms:modified>
</cp:coreProperties>
</file>