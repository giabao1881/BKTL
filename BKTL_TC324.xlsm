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040" windowHeight="8496" activeTab="4"/>
  </bookViews>
  <sheets>
    <sheet name="THTT" sheetId="3" r:id="rId1"/>
    <sheet name="PVSKTC" sheetId="27" r:id="rId2"/>
    <sheet name="SKTC" sheetId="26" r:id="rId3"/>
    <sheet name="BANGTINH" sheetId="30" r:id="rId4"/>
    <sheet name="378137873" sheetId="54" r:id="rId5"/>
    <sheet name="hehe" sheetId="23" state="hidden" r:id="rId6"/>
    <sheet name="_LKLS_LOG" sheetId="21" state="veryHidden" r:id="rId7"/>
  </sheets>
  <definedNames>
    <definedName name="__AUTH_CACHE_OK__">FALSE</definedName>
    <definedName name="__AUTH_CACHE_TS__">"2025-09-07 03:21:58"</definedName>
    <definedName name="__RUN_ONCE_INIT__">TRUE</definedName>
    <definedName name="_xlnm._FilterDatabase" localSheetId="4" hidden="1">'378137873'!$A$12:$L$39</definedName>
    <definedName name="_xlnm._FilterDatabase" localSheetId="3" hidden="1">BANGTINH!$A$12:$L$251</definedName>
    <definedName name="_xlnm._FilterDatabase" localSheetId="5" hidden="1">hehe!$A$12:$L$184</definedName>
    <definedName name="_xlnm._FilterDatabase" localSheetId="2" hidden="1">SKTC!$I$6:$X$386</definedName>
    <definedName name="_xlnm.Print_Area" localSheetId="4">'378137873'!$A$1:$L$48</definedName>
    <definedName name="_xlnm.Print_Area" localSheetId="3">BANGTINH!$A$1:$L$260</definedName>
    <definedName name="_xlnm.Print_Area" localSheetId="5">hehe!$A$1:$L$193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54" l="1"/>
  <c r="G38" i="54"/>
  <c r="F38" i="54"/>
  <c r="H37" i="54"/>
  <c r="G37" i="54"/>
  <c r="F37" i="54"/>
  <c r="H36" i="54"/>
  <c r="G36" i="54"/>
  <c r="F36" i="54"/>
  <c r="C36" i="54"/>
  <c r="D36" i="54" s="1"/>
  <c r="H35" i="54"/>
  <c r="G35" i="54"/>
  <c r="F35" i="54"/>
  <c r="H34" i="54"/>
  <c r="G34" i="54"/>
  <c r="F34" i="54"/>
  <c r="C34" i="54"/>
  <c r="D34" i="54" s="1"/>
  <c r="H33" i="54"/>
  <c r="G33" i="54"/>
  <c r="F33" i="54"/>
  <c r="H32" i="54"/>
  <c r="G32" i="54"/>
  <c r="F32" i="54"/>
  <c r="C32" i="54"/>
  <c r="D32" i="54" s="1"/>
  <c r="H31" i="54"/>
  <c r="G31" i="54"/>
  <c r="F31" i="54"/>
  <c r="C31" i="54"/>
  <c r="D31" i="54" s="1"/>
  <c r="H30" i="54"/>
  <c r="G30" i="54"/>
  <c r="F30" i="54"/>
  <c r="C30" i="54"/>
  <c r="D30" i="54" s="1"/>
  <c r="H29" i="54"/>
  <c r="G29" i="54"/>
  <c r="F29" i="54"/>
  <c r="H28" i="54"/>
  <c r="G28" i="54"/>
  <c r="F28" i="54"/>
  <c r="C28" i="54"/>
  <c r="D28" i="54" s="1"/>
  <c r="H27" i="54"/>
  <c r="G27" i="54"/>
  <c r="F27" i="54"/>
  <c r="H26" i="54"/>
  <c r="G26" i="54"/>
  <c r="F26" i="54"/>
  <c r="C26" i="54"/>
  <c r="D26" i="54" s="1"/>
  <c r="H25" i="54"/>
  <c r="G25" i="54"/>
  <c r="F25" i="54"/>
  <c r="H24" i="54"/>
  <c r="G24" i="54"/>
  <c r="F24" i="54"/>
  <c r="C24" i="54"/>
  <c r="D24" i="54" s="1"/>
  <c r="H23" i="54"/>
  <c r="G23" i="54"/>
  <c r="F23" i="54"/>
  <c r="C23" i="54"/>
  <c r="D23" i="54" s="1"/>
  <c r="H22" i="54"/>
  <c r="G22" i="54"/>
  <c r="F22" i="54"/>
  <c r="C22" i="54"/>
  <c r="D22" i="54" s="1"/>
  <c r="H21" i="54"/>
  <c r="G21" i="54"/>
  <c r="F21" i="54"/>
  <c r="H20" i="54"/>
  <c r="G20" i="54"/>
  <c r="F20" i="54"/>
  <c r="C20" i="54"/>
  <c r="D20" i="54" s="1"/>
  <c r="H19" i="54"/>
  <c r="G19" i="54"/>
  <c r="F19" i="54"/>
  <c r="H18" i="54"/>
  <c r="G18" i="54"/>
  <c r="F18" i="54"/>
  <c r="C18" i="54"/>
  <c r="D18" i="54" s="1"/>
  <c r="H17" i="54"/>
  <c r="G17" i="54"/>
  <c r="F17" i="54"/>
  <c r="H16" i="54"/>
  <c r="G16" i="54"/>
  <c r="F16" i="54"/>
  <c r="C16" i="54"/>
  <c r="D16" i="54" s="1"/>
  <c r="H15" i="54"/>
  <c r="G15" i="54"/>
  <c r="F15" i="54"/>
  <c r="C15" i="54"/>
  <c r="D15" i="54" s="1"/>
  <c r="H14" i="54"/>
  <c r="G14" i="54"/>
  <c r="F14" i="54"/>
  <c r="C14" i="54"/>
  <c r="D14" i="54" s="1"/>
  <c r="H13" i="54"/>
  <c r="E13" i="54"/>
  <c r="I13" i="54" s="1"/>
  <c r="B10" i="54"/>
  <c r="C38" i="54" s="1"/>
  <c r="D38" i="54" s="1"/>
  <c r="B9" i="54"/>
  <c r="B8" i="54"/>
  <c r="B7" i="54"/>
  <c r="B6" i="54"/>
  <c r="B5" i="54"/>
  <c r="B4" i="54"/>
  <c r="E251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201" i="30"/>
  <c r="H202" i="30"/>
  <c r="H203" i="30"/>
  <c r="H204" i="30"/>
  <c r="H205" i="30"/>
  <c r="H206" i="30"/>
  <c r="H207" i="30"/>
  <c r="H208" i="30"/>
  <c r="H209" i="30"/>
  <c r="H210" i="30"/>
  <c r="H211" i="30"/>
  <c r="H212" i="30"/>
  <c r="H213" i="30"/>
  <c r="H214" i="30"/>
  <c r="H215" i="30"/>
  <c r="H216" i="30"/>
  <c r="H217" i="30"/>
  <c r="H218" i="30"/>
  <c r="H219" i="30"/>
  <c r="H220" i="30"/>
  <c r="H221" i="30"/>
  <c r="H222" i="30"/>
  <c r="H223" i="30"/>
  <c r="H224" i="30"/>
  <c r="H225" i="30"/>
  <c r="H226" i="30"/>
  <c r="H227" i="30"/>
  <c r="H228" i="30"/>
  <c r="H229" i="30"/>
  <c r="H230" i="30"/>
  <c r="H231" i="30"/>
  <c r="H232" i="30"/>
  <c r="H233" i="30"/>
  <c r="H234" i="30"/>
  <c r="H235" i="30"/>
  <c r="H236" i="30"/>
  <c r="H237" i="30"/>
  <c r="H238" i="30"/>
  <c r="H239" i="30"/>
  <c r="H240" i="30"/>
  <c r="H241" i="30"/>
  <c r="H242" i="30"/>
  <c r="H243" i="30"/>
  <c r="H244" i="30"/>
  <c r="H245" i="30"/>
  <c r="H246" i="30"/>
  <c r="H247" i="30"/>
  <c r="H248" i="30"/>
  <c r="H249" i="30"/>
  <c r="H250" i="30"/>
  <c r="H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E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A13" i="54" l="1"/>
  <c r="G39" i="54"/>
  <c r="C21" i="54"/>
  <c r="D21" i="54" s="1"/>
  <c r="C29" i="54"/>
  <c r="D29" i="54" s="1"/>
  <c r="C37" i="54"/>
  <c r="D37" i="54" s="1"/>
  <c r="F39" i="54"/>
  <c r="C13" i="54"/>
  <c r="D13" i="54" s="1"/>
  <c r="K13" i="54" s="1"/>
  <c r="C19" i="54"/>
  <c r="D19" i="54" s="1"/>
  <c r="C27" i="54"/>
  <c r="D27" i="54" s="1"/>
  <c r="C35" i="54"/>
  <c r="D35" i="54" s="1"/>
  <c r="C17" i="54"/>
  <c r="D17" i="54" s="1"/>
  <c r="C25" i="54"/>
  <c r="D25" i="54" s="1"/>
  <c r="C33" i="54"/>
  <c r="D33" i="54" s="1"/>
  <c r="H39" i="54"/>
  <c r="E14" i="54"/>
  <c r="A13" i="30"/>
  <c r="K13" i="30"/>
  <c r="I13" i="30"/>
  <c r="E14" i="30"/>
  <c r="L13" i="54" l="1"/>
  <c r="J13" i="54"/>
  <c r="A14" i="54"/>
  <c r="I14" i="54"/>
  <c r="K14" i="54" s="1"/>
  <c r="E15" i="54"/>
  <c r="L13" i="30"/>
  <c r="J13" i="30"/>
  <c r="A14" i="30"/>
  <c r="K14" i="30"/>
  <c r="I14" i="30"/>
  <c r="E15" i="30"/>
  <c r="L14" i="54" l="1"/>
  <c r="J14" i="54"/>
  <c r="A15" i="54"/>
  <c r="I15" i="54"/>
  <c r="K15" i="54" s="1"/>
  <c r="E16" i="54"/>
  <c r="A15" i="30"/>
  <c r="K15" i="30"/>
  <c r="I15" i="30"/>
  <c r="L14" i="30"/>
  <c r="J14" i="30"/>
  <c r="E16" i="30"/>
  <c r="E17" i="54" l="1"/>
  <c r="I16" i="54"/>
  <c r="K16" i="54" s="1"/>
  <c r="A16" i="54"/>
  <c r="J15" i="54"/>
  <c r="L15" i="54"/>
  <c r="A16" i="30"/>
  <c r="K16" i="30"/>
  <c r="I16" i="30"/>
  <c r="J15" i="30"/>
  <c r="L15" i="30"/>
  <c r="E17" i="30"/>
  <c r="L16" i="54" l="1"/>
  <c r="J16" i="54"/>
  <c r="E18" i="54"/>
  <c r="A17" i="54"/>
  <c r="I17" i="54"/>
  <c r="K17" i="54" s="1"/>
  <c r="A17" i="30"/>
  <c r="I17" i="30"/>
  <c r="K17" i="30"/>
  <c r="J16" i="30"/>
  <c r="L16" i="30"/>
  <c r="E18" i="30"/>
  <c r="L17" i="54" l="1"/>
  <c r="J17" i="54"/>
  <c r="I18" i="54"/>
  <c r="K18" i="54" s="1"/>
  <c r="A18" i="54"/>
  <c r="E19" i="54"/>
  <c r="A18" i="30"/>
  <c r="K18" i="30"/>
  <c r="I18" i="30"/>
  <c r="L17" i="30"/>
  <c r="J17" i="30"/>
  <c r="E19" i="30"/>
  <c r="J18" i="54" l="1"/>
  <c r="L18" i="54"/>
  <c r="A19" i="54"/>
  <c r="E20" i="54"/>
  <c r="I19" i="54"/>
  <c r="K19" i="54" s="1"/>
  <c r="J18" i="30"/>
  <c r="L18" i="30"/>
  <c r="A19" i="30"/>
  <c r="K19" i="30"/>
  <c r="I19" i="30"/>
  <c r="E20" i="30"/>
  <c r="A20" i="54" l="1"/>
  <c r="I20" i="54"/>
  <c r="K20" i="54" s="1"/>
  <c r="E21" i="54"/>
  <c r="L19" i="54"/>
  <c r="J19" i="54"/>
  <c r="A20" i="30"/>
  <c r="K20" i="30"/>
  <c r="I20" i="30"/>
  <c r="L19" i="30"/>
  <c r="J19" i="30"/>
  <c r="E21" i="30"/>
  <c r="E22" i="54" l="1"/>
  <c r="A21" i="54"/>
  <c r="I21" i="54"/>
  <c r="K21" i="54" s="1"/>
  <c r="L20" i="54"/>
  <c r="J20" i="54"/>
  <c r="L20" i="30"/>
  <c r="J20" i="30"/>
  <c r="A21" i="30"/>
  <c r="K21" i="30"/>
  <c r="I21" i="30"/>
  <c r="E22" i="30"/>
  <c r="L21" i="54" l="1"/>
  <c r="J21" i="54"/>
  <c r="I22" i="54"/>
  <c r="K22" i="54" s="1"/>
  <c r="A22" i="54"/>
  <c r="E23" i="54"/>
  <c r="A22" i="30"/>
  <c r="K22" i="30"/>
  <c r="I22" i="30"/>
  <c r="J21" i="30"/>
  <c r="L21" i="30"/>
  <c r="E23" i="30"/>
  <c r="A23" i="54" l="1"/>
  <c r="I23" i="54"/>
  <c r="K23" i="54" s="1"/>
  <c r="E24" i="54"/>
  <c r="L22" i="54"/>
  <c r="J22" i="54"/>
  <c r="A23" i="30"/>
  <c r="K23" i="30"/>
  <c r="I23" i="30"/>
  <c r="L22" i="30"/>
  <c r="J22" i="30"/>
  <c r="E24" i="30"/>
  <c r="J23" i="54" l="1"/>
  <c r="L23" i="54"/>
  <c r="E25" i="54"/>
  <c r="I24" i="54"/>
  <c r="K24" i="54" s="1"/>
  <c r="A24" i="54"/>
  <c r="J23" i="30"/>
  <c r="L23" i="30"/>
  <c r="A24" i="30"/>
  <c r="K24" i="30"/>
  <c r="I24" i="30"/>
  <c r="E25" i="30"/>
  <c r="A25" i="54" l="1"/>
  <c r="E26" i="54"/>
  <c r="I25" i="54"/>
  <c r="K25" i="54" s="1"/>
  <c r="L24" i="54"/>
  <c r="J24" i="54"/>
  <c r="A25" i="30"/>
  <c r="I25" i="30"/>
  <c r="K25" i="30"/>
  <c r="J24" i="30"/>
  <c r="L24" i="30"/>
  <c r="E26" i="30"/>
  <c r="I26" i="54" l="1"/>
  <c r="K26" i="54" s="1"/>
  <c r="E27" i="54"/>
  <c r="A26" i="54"/>
  <c r="L25" i="54"/>
  <c r="J25" i="54"/>
  <c r="A26" i="30"/>
  <c r="I26" i="30"/>
  <c r="K26" i="30"/>
  <c r="L25" i="30"/>
  <c r="J25" i="30"/>
  <c r="E27" i="30"/>
  <c r="J26" i="54" l="1"/>
  <c r="L26" i="54"/>
  <c r="A27" i="54"/>
  <c r="I27" i="54"/>
  <c r="K27" i="54" s="1"/>
  <c r="E28" i="54"/>
  <c r="A27" i="30"/>
  <c r="K27" i="30"/>
  <c r="I27" i="30"/>
  <c r="J26" i="30"/>
  <c r="L26" i="30"/>
  <c r="E28" i="30"/>
  <c r="A28" i="54" l="1"/>
  <c r="I28" i="54"/>
  <c r="K28" i="54" s="1"/>
  <c r="E29" i="54"/>
  <c r="L27" i="54"/>
  <c r="J27" i="54"/>
  <c r="A28" i="30"/>
  <c r="K28" i="30"/>
  <c r="I28" i="30"/>
  <c r="L27" i="30"/>
  <c r="J27" i="30"/>
  <c r="E29" i="30"/>
  <c r="E30" i="54" l="1"/>
  <c r="I29" i="54"/>
  <c r="A29" i="54"/>
  <c r="K29" i="54"/>
  <c r="L28" i="54"/>
  <c r="J28" i="54"/>
  <c r="A29" i="30"/>
  <c r="K29" i="30"/>
  <c r="I29" i="30"/>
  <c r="L28" i="30"/>
  <c r="J28" i="30"/>
  <c r="E30" i="30"/>
  <c r="A30" i="54" l="1"/>
  <c r="I30" i="54"/>
  <c r="K30" i="54" s="1"/>
  <c r="E31" i="54"/>
  <c r="L29" i="54"/>
  <c r="J29" i="54"/>
  <c r="A30" i="30"/>
  <c r="K30" i="30"/>
  <c r="I30" i="30"/>
  <c r="J29" i="30"/>
  <c r="L29" i="30"/>
  <c r="E31" i="30"/>
  <c r="L30" i="54" l="1"/>
  <c r="J30" i="54"/>
  <c r="A31" i="54"/>
  <c r="I31" i="54"/>
  <c r="K31" i="54" s="1"/>
  <c r="E32" i="54"/>
  <c r="A31" i="30"/>
  <c r="K31" i="30"/>
  <c r="I31" i="30"/>
  <c r="L30" i="30"/>
  <c r="J30" i="30"/>
  <c r="E32" i="30"/>
  <c r="I32" i="54" l="1"/>
  <c r="K32" i="54" s="1"/>
  <c r="E33" i="54"/>
  <c r="A32" i="54"/>
  <c r="J31" i="54"/>
  <c r="L31" i="54"/>
  <c r="A32" i="30"/>
  <c r="K32" i="30"/>
  <c r="I32" i="30"/>
  <c r="J31" i="30"/>
  <c r="L31" i="30"/>
  <c r="E33" i="30"/>
  <c r="L32" i="54" l="1"/>
  <c r="J32" i="54"/>
  <c r="A33" i="54"/>
  <c r="I33" i="54"/>
  <c r="K33" i="54" s="1"/>
  <c r="E34" i="54"/>
  <c r="A33" i="30"/>
  <c r="I33" i="30"/>
  <c r="K33" i="30"/>
  <c r="J32" i="30"/>
  <c r="L32" i="30"/>
  <c r="E34" i="30"/>
  <c r="I34" i="54" l="1"/>
  <c r="E35" i="54"/>
  <c r="A34" i="54"/>
  <c r="K34" i="54"/>
  <c r="L33" i="54"/>
  <c r="J33" i="54"/>
  <c r="A34" i="30"/>
  <c r="I34" i="30"/>
  <c r="K34" i="30"/>
  <c r="L33" i="30"/>
  <c r="J33" i="30"/>
  <c r="E35" i="30"/>
  <c r="A35" i="54" l="1"/>
  <c r="E36" i="54"/>
  <c r="I35" i="54"/>
  <c r="K35" i="54" s="1"/>
  <c r="J34" i="54"/>
  <c r="L34" i="54"/>
  <c r="A35" i="30"/>
  <c r="K35" i="30"/>
  <c r="I35" i="30"/>
  <c r="J34" i="30"/>
  <c r="L34" i="30"/>
  <c r="E36" i="30"/>
  <c r="A36" i="54" l="1"/>
  <c r="I36" i="54"/>
  <c r="K36" i="54" s="1"/>
  <c r="E37" i="54"/>
  <c r="J35" i="54"/>
  <c r="L35" i="54"/>
  <c r="A36" i="30"/>
  <c r="I36" i="30"/>
  <c r="K36" i="30"/>
  <c r="L35" i="30"/>
  <c r="J35" i="30"/>
  <c r="E37" i="30"/>
  <c r="J36" i="54" l="1"/>
  <c r="L36" i="54"/>
  <c r="E38" i="54"/>
  <c r="I37" i="54"/>
  <c r="A37" i="54"/>
  <c r="K37" i="54"/>
  <c r="A37" i="30"/>
  <c r="K37" i="30"/>
  <c r="I37" i="30"/>
  <c r="L36" i="30"/>
  <c r="J36" i="30"/>
  <c r="E38" i="30"/>
  <c r="J37" i="54" l="1"/>
  <c r="L37" i="54"/>
  <c r="A38" i="54"/>
  <c r="I38" i="54"/>
  <c r="K38" i="54" s="1"/>
  <c r="A38" i="30"/>
  <c r="K38" i="30"/>
  <c r="I38" i="30"/>
  <c r="J37" i="30"/>
  <c r="L37" i="30"/>
  <c r="E39" i="30"/>
  <c r="L38" i="54" l="1"/>
  <c r="J38" i="54"/>
  <c r="A39" i="30"/>
  <c r="K39" i="30"/>
  <c r="I39" i="30"/>
  <c r="L38" i="30"/>
  <c r="J38" i="30"/>
  <c r="E40" i="30"/>
  <c r="A40" i="30" l="1"/>
  <c r="K40" i="30"/>
  <c r="I40" i="30"/>
  <c r="J39" i="30"/>
  <c r="L39" i="30"/>
  <c r="E41" i="30"/>
  <c r="J40" i="30" l="1"/>
  <c r="L40" i="30"/>
  <c r="A41" i="30"/>
  <c r="K41" i="30"/>
  <c r="I41" i="30"/>
  <c r="E42" i="30"/>
  <c r="A42" i="30" l="1"/>
  <c r="K42" i="30"/>
  <c r="I42" i="30"/>
  <c r="L41" i="30"/>
  <c r="J41" i="30"/>
  <c r="E43" i="30"/>
  <c r="A43" i="30" l="1"/>
  <c r="K43" i="30"/>
  <c r="I43" i="30"/>
  <c r="J42" i="30"/>
  <c r="L42" i="30"/>
  <c r="E44" i="30"/>
  <c r="A44" i="30" l="1"/>
  <c r="K44" i="30"/>
  <c r="I44" i="30"/>
  <c r="L43" i="30"/>
  <c r="J43" i="30"/>
  <c r="E45" i="30"/>
  <c r="A45" i="30" l="1"/>
  <c r="K45" i="30"/>
  <c r="I45" i="30"/>
  <c r="L44" i="30"/>
  <c r="J44" i="30"/>
  <c r="E46" i="30"/>
  <c r="A46" i="30" l="1"/>
  <c r="K46" i="30"/>
  <c r="I46" i="30"/>
  <c r="J45" i="30"/>
  <c r="L45" i="30"/>
  <c r="E47" i="30"/>
  <c r="A47" i="30" l="1"/>
  <c r="K47" i="30"/>
  <c r="I47" i="30"/>
  <c r="L46" i="30"/>
  <c r="J46" i="30"/>
  <c r="E48" i="30"/>
  <c r="A48" i="30" l="1"/>
  <c r="K48" i="30"/>
  <c r="I48" i="30"/>
  <c r="J47" i="30"/>
  <c r="L47" i="30"/>
  <c r="E49" i="30"/>
  <c r="A49" i="30" l="1"/>
  <c r="I49" i="30"/>
  <c r="K49" i="30"/>
  <c r="J48" i="30"/>
  <c r="L48" i="30"/>
  <c r="E50" i="30"/>
  <c r="A50" i="30" l="1"/>
  <c r="I50" i="30"/>
  <c r="K50" i="30"/>
  <c r="L49" i="30"/>
  <c r="J49" i="30"/>
  <c r="E51" i="30"/>
  <c r="A51" i="30" l="1"/>
  <c r="K51" i="30"/>
  <c r="I51" i="30"/>
  <c r="J50" i="30"/>
  <c r="L50" i="30"/>
  <c r="E52" i="30"/>
  <c r="A52" i="30" l="1"/>
  <c r="I52" i="30"/>
  <c r="K52" i="30"/>
  <c r="L51" i="30"/>
  <c r="J51" i="30"/>
  <c r="E53" i="30"/>
  <c r="A53" i="30" l="1"/>
  <c r="K53" i="30"/>
  <c r="I53" i="30"/>
  <c r="L52" i="30"/>
  <c r="J52" i="30"/>
  <c r="E54" i="30"/>
  <c r="A54" i="30" l="1"/>
  <c r="K54" i="30"/>
  <c r="I54" i="30"/>
  <c r="J53" i="30"/>
  <c r="L53" i="30"/>
  <c r="E55" i="30"/>
  <c r="A55" i="30" l="1"/>
  <c r="K55" i="30"/>
  <c r="I55" i="30"/>
  <c r="L54" i="30"/>
  <c r="J54" i="30"/>
  <c r="E56" i="30"/>
  <c r="A56" i="30" l="1"/>
  <c r="K56" i="30"/>
  <c r="I56" i="30"/>
  <c r="J55" i="30"/>
  <c r="L55" i="30"/>
  <c r="E57" i="30"/>
  <c r="A57" i="30" l="1"/>
  <c r="I57" i="30"/>
  <c r="K57" i="30"/>
  <c r="J56" i="30"/>
  <c r="L56" i="30"/>
  <c r="E58" i="30"/>
  <c r="A58" i="30" l="1"/>
  <c r="I58" i="30"/>
  <c r="K58" i="30"/>
  <c r="L57" i="30"/>
  <c r="J57" i="30"/>
  <c r="E59" i="30"/>
  <c r="A59" i="30" l="1"/>
  <c r="K59" i="30"/>
  <c r="I59" i="30"/>
  <c r="J58" i="30"/>
  <c r="L58" i="30"/>
  <c r="E60" i="30"/>
  <c r="A60" i="30" l="1"/>
  <c r="K60" i="30"/>
  <c r="I60" i="30"/>
  <c r="L59" i="30"/>
  <c r="J59" i="30"/>
  <c r="E61" i="30"/>
  <c r="A61" i="30" l="1"/>
  <c r="K61" i="30"/>
  <c r="I61" i="30"/>
  <c r="L60" i="30"/>
  <c r="J60" i="30"/>
  <c r="E62" i="30"/>
  <c r="A62" i="30" l="1"/>
  <c r="K62" i="30"/>
  <c r="I62" i="30"/>
  <c r="J61" i="30"/>
  <c r="L61" i="30"/>
  <c r="E63" i="30"/>
  <c r="A63" i="30" l="1"/>
  <c r="K63" i="30"/>
  <c r="I63" i="30"/>
  <c r="L62" i="30"/>
  <c r="J62" i="30"/>
  <c r="E64" i="30"/>
  <c r="A64" i="30" l="1"/>
  <c r="K64" i="30"/>
  <c r="I64" i="30"/>
  <c r="J63" i="30"/>
  <c r="L63" i="30"/>
  <c r="E65" i="30"/>
  <c r="A65" i="30" l="1"/>
  <c r="K65" i="30"/>
  <c r="I65" i="30"/>
  <c r="J64" i="30"/>
  <c r="L64" i="30"/>
  <c r="E66" i="30"/>
  <c r="L65" i="30" l="1"/>
  <c r="J65" i="30"/>
  <c r="A66" i="30"/>
  <c r="K66" i="30"/>
  <c r="I66" i="30"/>
  <c r="E67" i="30"/>
  <c r="A67" i="30" l="1"/>
  <c r="K67" i="30"/>
  <c r="I67" i="30"/>
  <c r="J66" i="30"/>
  <c r="L66" i="30"/>
  <c r="E68" i="30"/>
  <c r="L67" i="30" l="1"/>
  <c r="J67" i="30"/>
  <c r="A68" i="30"/>
  <c r="K68" i="30"/>
  <c r="I68" i="30"/>
  <c r="E69" i="30"/>
  <c r="A69" i="30" l="1"/>
  <c r="K69" i="30"/>
  <c r="I69" i="30"/>
  <c r="L68" i="30"/>
  <c r="J68" i="30"/>
  <c r="E70" i="30"/>
  <c r="J69" i="30" l="1"/>
  <c r="L69" i="30"/>
  <c r="A70" i="30"/>
  <c r="K70" i="30"/>
  <c r="I70" i="30"/>
  <c r="E71" i="30"/>
  <c r="A71" i="30" l="1"/>
  <c r="K71" i="30"/>
  <c r="I71" i="30"/>
  <c r="L70" i="30"/>
  <c r="J70" i="30"/>
  <c r="E72" i="30"/>
  <c r="A72" i="30" l="1"/>
  <c r="K72" i="30"/>
  <c r="I72" i="30"/>
  <c r="J71" i="30"/>
  <c r="L71" i="30"/>
  <c r="E73" i="30"/>
  <c r="A73" i="30" l="1"/>
  <c r="I73" i="30"/>
  <c r="K73" i="30"/>
  <c r="J72" i="30"/>
  <c r="L72" i="30"/>
  <c r="E74" i="30"/>
  <c r="A74" i="30" l="1"/>
  <c r="I74" i="30"/>
  <c r="K74" i="30"/>
  <c r="L73" i="30"/>
  <c r="J73" i="30"/>
  <c r="E75" i="30"/>
  <c r="A75" i="30" l="1"/>
  <c r="K75" i="30"/>
  <c r="I75" i="30"/>
  <c r="J74" i="30"/>
  <c r="L74" i="30"/>
  <c r="E76" i="30"/>
  <c r="A76" i="30" l="1"/>
  <c r="I76" i="30"/>
  <c r="K76" i="30"/>
  <c r="L75" i="30"/>
  <c r="J75" i="30"/>
  <c r="E77" i="30"/>
  <c r="A77" i="30" l="1"/>
  <c r="K77" i="30"/>
  <c r="I77" i="30"/>
  <c r="L76" i="30"/>
  <c r="J76" i="30"/>
  <c r="E78" i="30"/>
  <c r="A78" i="30" l="1"/>
  <c r="K78" i="30"/>
  <c r="I78" i="30"/>
  <c r="J77" i="30"/>
  <c r="L77" i="30"/>
  <c r="E79" i="30"/>
  <c r="A79" i="30" l="1"/>
  <c r="K79" i="30"/>
  <c r="I79" i="30"/>
  <c r="L78" i="30"/>
  <c r="J78" i="30"/>
  <c r="E80" i="30"/>
  <c r="A80" i="30" l="1"/>
  <c r="K80" i="30"/>
  <c r="I80" i="30"/>
  <c r="J79" i="30"/>
  <c r="L79" i="30"/>
  <c r="E81" i="30"/>
  <c r="A81" i="30" l="1"/>
  <c r="I81" i="30"/>
  <c r="K81" i="30"/>
  <c r="J80" i="30"/>
  <c r="L80" i="30"/>
  <c r="E82" i="30"/>
  <c r="L81" i="30" l="1"/>
  <c r="J81" i="30"/>
  <c r="A82" i="30"/>
  <c r="K82" i="30"/>
  <c r="I82" i="30"/>
  <c r="E83" i="30"/>
  <c r="A83" i="30" l="1"/>
  <c r="K83" i="30"/>
  <c r="I83" i="30"/>
  <c r="J82" i="30"/>
  <c r="L82" i="30"/>
  <c r="E84" i="30"/>
  <c r="A84" i="30" l="1"/>
  <c r="K84" i="30"/>
  <c r="I84" i="30"/>
  <c r="L83" i="30"/>
  <c r="J83" i="30"/>
  <c r="E85" i="30"/>
  <c r="L84" i="30" l="1"/>
  <c r="J84" i="30"/>
  <c r="A85" i="30"/>
  <c r="K85" i="30"/>
  <c r="I85" i="30"/>
  <c r="E86" i="30"/>
  <c r="A86" i="30" l="1"/>
  <c r="K86" i="30"/>
  <c r="I86" i="30"/>
  <c r="J85" i="30"/>
  <c r="L85" i="30"/>
  <c r="E87" i="30"/>
  <c r="A87" i="30" l="1"/>
  <c r="K87" i="30"/>
  <c r="I87" i="30"/>
  <c r="L86" i="30"/>
  <c r="J86" i="30"/>
  <c r="E88" i="30"/>
  <c r="J87" i="30" l="1"/>
  <c r="L87" i="30"/>
  <c r="A88" i="30"/>
  <c r="K88" i="30"/>
  <c r="I88" i="30"/>
  <c r="E89" i="30"/>
  <c r="A89" i="30" l="1"/>
  <c r="I89" i="30"/>
  <c r="K89" i="30"/>
  <c r="J88" i="30"/>
  <c r="L88" i="30"/>
  <c r="E90" i="30"/>
  <c r="A90" i="30" l="1"/>
  <c r="I90" i="30"/>
  <c r="K90" i="30"/>
  <c r="L89" i="30"/>
  <c r="J89" i="30"/>
  <c r="E91" i="30"/>
  <c r="J90" i="30" l="1"/>
  <c r="L90" i="30"/>
  <c r="A91" i="30"/>
  <c r="K91" i="30"/>
  <c r="I91" i="30"/>
  <c r="E92" i="30"/>
  <c r="A92" i="30" l="1"/>
  <c r="K92" i="30"/>
  <c r="I92" i="30"/>
  <c r="L91" i="30"/>
  <c r="J91" i="30"/>
  <c r="E93" i="30"/>
  <c r="L92" i="30" l="1"/>
  <c r="J92" i="30"/>
  <c r="A93" i="30"/>
  <c r="K93" i="30"/>
  <c r="I93" i="30"/>
  <c r="E94" i="30"/>
  <c r="A94" i="30" l="1"/>
  <c r="K94" i="30"/>
  <c r="I94" i="30"/>
  <c r="J93" i="30"/>
  <c r="L93" i="30"/>
  <c r="E95" i="30"/>
  <c r="L94" i="30" l="1"/>
  <c r="J94" i="30"/>
  <c r="A95" i="30"/>
  <c r="K95" i="30"/>
  <c r="I95" i="30"/>
  <c r="E96" i="30"/>
  <c r="A96" i="30" l="1"/>
  <c r="K96" i="30"/>
  <c r="I96" i="30"/>
  <c r="J95" i="30"/>
  <c r="L95" i="30"/>
  <c r="E97" i="30"/>
  <c r="J96" i="30" l="1"/>
  <c r="L96" i="30"/>
  <c r="A97" i="30"/>
  <c r="I97" i="30"/>
  <c r="K97" i="30"/>
  <c r="E98" i="30"/>
  <c r="A98" i="30" l="1"/>
  <c r="I98" i="30"/>
  <c r="K98" i="30"/>
  <c r="L97" i="30"/>
  <c r="J97" i="30"/>
  <c r="E99" i="30"/>
  <c r="J98" i="30" l="1"/>
  <c r="L98" i="30"/>
  <c r="A99" i="30"/>
  <c r="K99" i="30"/>
  <c r="I99" i="30"/>
  <c r="E100" i="30"/>
  <c r="A100" i="30" l="1"/>
  <c r="I100" i="30"/>
  <c r="K100" i="30"/>
  <c r="L99" i="30"/>
  <c r="J99" i="30"/>
  <c r="E101" i="30"/>
  <c r="L100" i="30" l="1"/>
  <c r="J100" i="30"/>
  <c r="A101" i="30"/>
  <c r="K101" i="30"/>
  <c r="I101" i="30"/>
  <c r="E102" i="30"/>
  <c r="A102" i="30" l="1"/>
  <c r="K102" i="30"/>
  <c r="I102" i="30"/>
  <c r="J101" i="30"/>
  <c r="L101" i="30"/>
  <c r="E103" i="30"/>
  <c r="L102" i="30" l="1"/>
  <c r="J102" i="30"/>
  <c r="A103" i="30"/>
  <c r="K103" i="30"/>
  <c r="I103" i="30"/>
  <c r="E104" i="30"/>
  <c r="A104" i="30" l="1"/>
  <c r="K104" i="30"/>
  <c r="I104" i="30"/>
  <c r="J103" i="30"/>
  <c r="L103" i="30"/>
  <c r="E105" i="30"/>
  <c r="A105" i="30" l="1"/>
  <c r="K105" i="30"/>
  <c r="I105" i="30"/>
  <c r="J104" i="30"/>
  <c r="L104" i="30"/>
  <c r="E106" i="30"/>
  <c r="A106" i="30" l="1"/>
  <c r="K106" i="30"/>
  <c r="I106" i="30"/>
  <c r="L105" i="30"/>
  <c r="J105" i="30"/>
  <c r="E107" i="30"/>
  <c r="A107" i="30" l="1"/>
  <c r="K107" i="30"/>
  <c r="I107" i="30"/>
  <c r="J106" i="30"/>
  <c r="L106" i="30"/>
  <c r="E108" i="30"/>
  <c r="L107" i="30" l="1"/>
  <c r="J107" i="30"/>
  <c r="A108" i="30"/>
  <c r="K108" i="30"/>
  <c r="I108" i="30"/>
  <c r="E109" i="30"/>
  <c r="A109" i="30" l="1"/>
  <c r="K109" i="30"/>
  <c r="I109" i="30"/>
  <c r="L108" i="30"/>
  <c r="J108" i="30"/>
  <c r="E110" i="30"/>
  <c r="A110" i="30" l="1"/>
  <c r="K110" i="30"/>
  <c r="I110" i="30"/>
  <c r="J109" i="30"/>
  <c r="L109" i="30"/>
  <c r="E111" i="30"/>
  <c r="A111" i="30" l="1"/>
  <c r="K111" i="30"/>
  <c r="I111" i="30"/>
  <c r="L110" i="30"/>
  <c r="J110" i="30"/>
  <c r="E112" i="30"/>
  <c r="A112" i="30" l="1"/>
  <c r="K112" i="30"/>
  <c r="I112" i="30"/>
  <c r="J111" i="30"/>
  <c r="L111" i="30"/>
  <c r="E113" i="30"/>
  <c r="A113" i="30" l="1"/>
  <c r="I113" i="30"/>
  <c r="K113" i="30"/>
  <c r="J112" i="30"/>
  <c r="L112" i="30"/>
  <c r="E114" i="30"/>
  <c r="A114" i="30" l="1"/>
  <c r="I114" i="30"/>
  <c r="K114" i="30"/>
  <c r="L113" i="30"/>
  <c r="J113" i="30"/>
  <c r="E115" i="30"/>
  <c r="A115" i="30" l="1"/>
  <c r="K115" i="30"/>
  <c r="I115" i="30"/>
  <c r="J114" i="30"/>
  <c r="L114" i="30"/>
  <c r="E116" i="30"/>
  <c r="A116" i="30" l="1"/>
  <c r="I116" i="30"/>
  <c r="K116" i="30"/>
  <c r="L115" i="30"/>
  <c r="J115" i="30"/>
  <c r="E117" i="30"/>
  <c r="A117" i="30" l="1"/>
  <c r="K117" i="30"/>
  <c r="I117" i="30"/>
  <c r="L116" i="30"/>
  <c r="J116" i="30"/>
  <c r="E118" i="30"/>
  <c r="A118" i="30" l="1"/>
  <c r="K118" i="30"/>
  <c r="I118" i="30"/>
  <c r="J117" i="30"/>
  <c r="L117" i="30"/>
  <c r="E119" i="30"/>
  <c r="A119" i="30" l="1"/>
  <c r="K119" i="30"/>
  <c r="I119" i="30"/>
  <c r="L118" i="30"/>
  <c r="J118" i="30"/>
  <c r="E120" i="30"/>
  <c r="A120" i="30" l="1"/>
  <c r="K120" i="30"/>
  <c r="I120" i="30"/>
  <c r="J119" i="30"/>
  <c r="L119" i="30"/>
  <c r="E121" i="30"/>
  <c r="A121" i="30" l="1"/>
  <c r="I121" i="30"/>
  <c r="K121" i="30"/>
  <c r="J120" i="30"/>
  <c r="L120" i="30"/>
  <c r="E122" i="30"/>
  <c r="A122" i="30" l="1"/>
  <c r="I122" i="30"/>
  <c r="K122" i="30"/>
  <c r="L121" i="30"/>
  <c r="J121" i="30"/>
  <c r="E123" i="30"/>
  <c r="A123" i="30" l="1"/>
  <c r="K123" i="30"/>
  <c r="I123" i="30"/>
  <c r="J122" i="30"/>
  <c r="L122" i="30"/>
  <c r="E124" i="30"/>
  <c r="A124" i="30" l="1"/>
  <c r="K124" i="30"/>
  <c r="I124" i="30"/>
  <c r="L123" i="30"/>
  <c r="J123" i="30"/>
  <c r="E125" i="30"/>
  <c r="A125" i="30" l="1"/>
  <c r="K125" i="30"/>
  <c r="I125" i="30"/>
  <c r="L124" i="30"/>
  <c r="J124" i="30"/>
  <c r="E126" i="30"/>
  <c r="A126" i="30" l="1"/>
  <c r="K126" i="30"/>
  <c r="I126" i="30"/>
  <c r="J125" i="30"/>
  <c r="L125" i="30"/>
  <c r="E127" i="30"/>
  <c r="A127" i="30" l="1"/>
  <c r="K127" i="30"/>
  <c r="I127" i="30"/>
  <c r="L126" i="30"/>
  <c r="J126" i="30"/>
  <c r="E128" i="30"/>
  <c r="A128" i="30" l="1"/>
  <c r="K128" i="30"/>
  <c r="I128" i="30"/>
  <c r="J127" i="30"/>
  <c r="L127" i="30"/>
  <c r="E129" i="30"/>
  <c r="A129" i="30" l="1"/>
  <c r="K129" i="30"/>
  <c r="I129" i="30"/>
  <c r="J128" i="30"/>
  <c r="L128" i="30"/>
  <c r="E130" i="30"/>
  <c r="A130" i="30" l="1"/>
  <c r="K130" i="30"/>
  <c r="I130" i="30"/>
  <c r="L129" i="30"/>
  <c r="J129" i="30"/>
  <c r="E131" i="30"/>
  <c r="A131" i="30" l="1"/>
  <c r="K131" i="30"/>
  <c r="I131" i="30"/>
  <c r="J130" i="30"/>
  <c r="L130" i="30"/>
  <c r="E132" i="30"/>
  <c r="A132" i="30" l="1"/>
  <c r="K132" i="30"/>
  <c r="I132" i="30"/>
  <c r="L131" i="30"/>
  <c r="J131" i="30"/>
  <c r="E133" i="30"/>
  <c r="A133" i="30" l="1"/>
  <c r="K133" i="30"/>
  <c r="I133" i="30"/>
  <c r="L132" i="30"/>
  <c r="J132" i="30"/>
  <c r="E134" i="30"/>
  <c r="A134" i="30" l="1"/>
  <c r="K134" i="30"/>
  <c r="I134" i="30"/>
  <c r="J133" i="30"/>
  <c r="L133" i="30"/>
  <c r="E135" i="30"/>
  <c r="A135" i="30" l="1"/>
  <c r="K135" i="30"/>
  <c r="I135" i="30"/>
  <c r="L134" i="30"/>
  <c r="J134" i="30"/>
  <c r="E136" i="30"/>
  <c r="A136" i="30" l="1"/>
  <c r="K136" i="30"/>
  <c r="I136" i="30"/>
  <c r="J135" i="30"/>
  <c r="L135" i="30"/>
  <c r="E137" i="30"/>
  <c r="A137" i="30" l="1"/>
  <c r="I137" i="30"/>
  <c r="K137" i="30"/>
  <c r="J136" i="30"/>
  <c r="L136" i="30"/>
  <c r="E138" i="30"/>
  <c r="A138" i="30" l="1"/>
  <c r="I138" i="30"/>
  <c r="K138" i="30"/>
  <c r="L137" i="30"/>
  <c r="J137" i="30"/>
  <c r="E139" i="30"/>
  <c r="A139" i="30" l="1"/>
  <c r="K139" i="30"/>
  <c r="I139" i="30"/>
  <c r="J138" i="30"/>
  <c r="L138" i="30"/>
  <c r="E140" i="30"/>
  <c r="A140" i="30" l="1"/>
  <c r="I140" i="30"/>
  <c r="K140" i="30"/>
  <c r="L139" i="30"/>
  <c r="J139" i="30"/>
  <c r="E141" i="30"/>
  <c r="A141" i="30" l="1"/>
  <c r="K141" i="30"/>
  <c r="I141" i="30"/>
  <c r="L140" i="30"/>
  <c r="J140" i="30"/>
  <c r="E142" i="30"/>
  <c r="A142" i="30" l="1"/>
  <c r="K142" i="30"/>
  <c r="I142" i="30"/>
  <c r="J141" i="30"/>
  <c r="L141" i="30"/>
  <c r="E143" i="30"/>
  <c r="A143" i="30" l="1"/>
  <c r="K143" i="30"/>
  <c r="I143" i="30"/>
  <c r="L142" i="30"/>
  <c r="J142" i="30"/>
  <c r="E144" i="30"/>
  <c r="A144" i="30" l="1"/>
  <c r="K144" i="30"/>
  <c r="I144" i="30"/>
  <c r="J143" i="30"/>
  <c r="L143" i="30"/>
  <c r="E145" i="30"/>
  <c r="A145" i="30" l="1"/>
  <c r="I145" i="30"/>
  <c r="K145" i="30"/>
  <c r="J144" i="30"/>
  <c r="L144" i="30"/>
  <c r="E146" i="30"/>
  <c r="A146" i="30" l="1"/>
  <c r="K146" i="30"/>
  <c r="I146" i="30"/>
  <c r="L145" i="30"/>
  <c r="J145" i="30"/>
  <c r="E147" i="30"/>
  <c r="A147" i="30" l="1"/>
  <c r="K147" i="30"/>
  <c r="I147" i="30"/>
  <c r="J146" i="30"/>
  <c r="L146" i="30"/>
  <c r="E148" i="30"/>
  <c r="A148" i="30" l="1"/>
  <c r="K148" i="30"/>
  <c r="I148" i="30"/>
  <c r="L147" i="30"/>
  <c r="J147" i="30"/>
  <c r="E149" i="30"/>
  <c r="A149" i="30" l="1"/>
  <c r="K149" i="30"/>
  <c r="I149" i="30"/>
  <c r="L148" i="30"/>
  <c r="J148" i="30"/>
  <c r="E150" i="30"/>
  <c r="A150" i="30" l="1"/>
  <c r="K150" i="30"/>
  <c r="I150" i="30"/>
  <c r="J149" i="30"/>
  <c r="L149" i="30"/>
  <c r="E151" i="30"/>
  <c r="A151" i="30" l="1"/>
  <c r="K151" i="30"/>
  <c r="I151" i="30"/>
  <c r="L150" i="30"/>
  <c r="J150" i="30"/>
  <c r="E152" i="30"/>
  <c r="A152" i="30" l="1"/>
  <c r="K152" i="30"/>
  <c r="I152" i="30"/>
  <c r="J151" i="30"/>
  <c r="L151" i="30"/>
  <c r="E153" i="30"/>
  <c r="A153" i="30" l="1"/>
  <c r="I153" i="30"/>
  <c r="K153" i="30"/>
  <c r="J152" i="30"/>
  <c r="L152" i="30"/>
  <c r="E154" i="30"/>
  <c r="A154" i="30" l="1"/>
  <c r="I154" i="30"/>
  <c r="K154" i="30"/>
  <c r="L153" i="30"/>
  <c r="J153" i="30"/>
  <c r="E155" i="30"/>
  <c r="A155" i="30" l="1"/>
  <c r="K155" i="30"/>
  <c r="I155" i="30"/>
  <c r="J154" i="30"/>
  <c r="L154" i="30"/>
  <c r="E156" i="30"/>
  <c r="A156" i="30" l="1"/>
  <c r="K156" i="30"/>
  <c r="I156" i="30"/>
  <c r="L155" i="30"/>
  <c r="J155" i="30"/>
  <c r="E157" i="30"/>
  <c r="A157" i="30" l="1"/>
  <c r="K157" i="30"/>
  <c r="I157" i="30"/>
  <c r="L156" i="30"/>
  <c r="J156" i="30"/>
  <c r="E158" i="30"/>
  <c r="A158" i="30" l="1"/>
  <c r="K158" i="30"/>
  <c r="I158" i="30"/>
  <c r="J157" i="30"/>
  <c r="L157" i="30"/>
  <c r="E159" i="30"/>
  <c r="A159" i="30" l="1"/>
  <c r="K159" i="30"/>
  <c r="I159" i="30"/>
  <c r="L158" i="30"/>
  <c r="J158" i="30"/>
  <c r="E160" i="30"/>
  <c r="A160" i="30" l="1"/>
  <c r="K160" i="30"/>
  <c r="I160" i="30"/>
  <c r="J159" i="30"/>
  <c r="L159" i="30"/>
  <c r="E161" i="30"/>
  <c r="B10" i="30"/>
  <c r="B9" i="30"/>
  <c r="B8" i="30"/>
  <c r="B7" i="30"/>
  <c r="B6" i="30"/>
  <c r="B5" i="30"/>
  <c r="B4" i="30"/>
  <c r="A161" i="30" l="1"/>
  <c r="I161" i="30"/>
  <c r="K161" i="30"/>
  <c r="J160" i="30"/>
  <c r="L160" i="30"/>
  <c r="E162" i="30"/>
  <c r="C17" i="30"/>
  <c r="D17" i="30" s="1"/>
  <c r="C25" i="30"/>
  <c r="D25" i="30" s="1"/>
  <c r="C33" i="30"/>
  <c r="D33" i="30" s="1"/>
  <c r="C41" i="30"/>
  <c r="D41" i="30" s="1"/>
  <c r="C49" i="30"/>
  <c r="D49" i="30" s="1"/>
  <c r="C57" i="30"/>
  <c r="D57" i="30" s="1"/>
  <c r="C65" i="30"/>
  <c r="D65" i="30" s="1"/>
  <c r="C73" i="30"/>
  <c r="D73" i="30" s="1"/>
  <c r="C81" i="30"/>
  <c r="D81" i="30" s="1"/>
  <c r="C89" i="30"/>
  <c r="D89" i="30" s="1"/>
  <c r="C97" i="30"/>
  <c r="D97" i="30" s="1"/>
  <c r="C105" i="30"/>
  <c r="D105" i="30" s="1"/>
  <c r="C113" i="30"/>
  <c r="D113" i="30" s="1"/>
  <c r="C121" i="30"/>
  <c r="D121" i="30" s="1"/>
  <c r="C129" i="30"/>
  <c r="D129" i="30" s="1"/>
  <c r="C137" i="30"/>
  <c r="D137" i="30" s="1"/>
  <c r="C145" i="30"/>
  <c r="D145" i="30" s="1"/>
  <c r="C153" i="30"/>
  <c r="D153" i="30" s="1"/>
  <c r="C161" i="30"/>
  <c r="D161" i="30" s="1"/>
  <c r="C169" i="30"/>
  <c r="D169" i="30" s="1"/>
  <c r="C177" i="30"/>
  <c r="D177" i="30" s="1"/>
  <c r="C185" i="30"/>
  <c r="D185" i="30" s="1"/>
  <c r="C193" i="30"/>
  <c r="D193" i="30" s="1"/>
  <c r="C201" i="30"/>
  <c r="D201" i="30" s="1"/>
  <c r="C209" i="30"/>
  <c r="D209" i="30" s="1"/>
  <c r="C217" i="30"/>
  <c r="D217" i="30" s="1"/>
  <c r="C225" i="30"/>
  <c r="D225" i="30" s="1"/>
  <c r="C18" i="30"/>
  <c r="D18" i="30" s="1"/>
  <c r="C26" i="30"/>
  <c r="D26" i="30" s="1"/>
  <c r="C34" i="30"/>
  <c r="D34" i="30" s="1"/>
  <c r="C42" i="30"/>
  <c r="D42" i="30" s="1"/>
  <c r="C50" i="30"/>
  <c r="D50" i="30" s="1"/>
  <c r="C58" i="30"/>
  <c r="D58" i="30" s="1"/>
  <c r="C66" i="30"/>
  <c r="D66" i="30" s="1"/>
  <c r="C74" i="30"/>
  <c r="D74" i="30" s="1"/>
  <c r="C82" i="30"/>
  <c r="D82" i="30" s="1"/>
  <c r="C90" i="30"/>
  <c r="D90" i="30" s="1"/>
  <c r="C98" i="30"/>
  <c r="D98" i="30" s="1"/>
  <c r="C106" i="30"/>
  <c r="D106" i="30" s="1"/>
  <c r="C114" i="30"/>
  <c r="D114" i="30" s="1"/>
  <c r="C122" i="30"/>
  <c r="D122" i="30" s="1"/>
  <c r="C130" i="30"/>
  <c r="D130" i="30" s="1"/>
  <c r="C138" i="30"/>
  <c r="D138" i="30" s="1"/>
  <c r="C146" i="30"/>
  <c r="D146" i="30" s="1"/>
  <c r="C154" i="30"/>
  <c r="D154" i="30" s="1"/>
  <c r="C162" i="30"/>
  <c r="D162" i="30" s="1"/>
  <c r="C170" i="30"/>
  <c r="D170" i="30" s="1"/>
  <c r="C178" i="30"/>
  <c r="D178" i="30" s="1"/>
  <c r="C186" i="30"/>
  <c r="D186" i="30" s="1"/>
  <c r="C194" i="30"/>
  <c r="D194" i="30" s="1"/>
  <c r="C202" i="30"/>
  <c r="D202" i="30" s="1"/>
  <c r="C210" i="30"/>
  <c r="D210" i="30" s="1"/>
  <c r="C218" i="30"/>
  <c r="D218" i="30" s="1"/>
  <c r="C226" i="30"/>
  <c r="D226" i="30" s="1"/>
  <c r="C234" i="30"/>
  <c r="D234" i="30" s="1"/>
  <c r="C242" i="30"/>
  <c r="D242" i="30" s="1"/>
  <c r="C250" i="30"/>
  <c r="D250" i="30" s="1"/>
  <c r="C243" i="30"/>
  <c r="D243" i="30" s="1"/>
  <c r="C20" i="30"/>
  <c r="D20" i="30" s="1"/>
  <c r="C44" i="30"/>
  <c r="D44" i="30" s="1"/>
  <c r="C60" i="30"/>
  <c r="D60" i="30" s="1"/>
  <c r="C92" i="30"/>
  <c r="D92" i="30" s="1"/>
  <c r="C108" i="30"/>
  <c r="D108" i="30" s="1"/>
  <c r="C132" i="30"/>
  <c r="D132" i="30" s="1"/>
  <c r="C156" i="30"/>
  <c r="D156" i="30" s="1"/>
  <c r="C180" i="30"/>
  <c r="D180" i="30" s="1"/>
  <c r="C204" i="30"/>
  <c r="D204" i="30" s="1"/>
  <c r="C228" i="30"/>
  <c r="D228" i="30" s="1"/>
  <c r="C244" i="30"/>
  <c r="D244" i="30" s="1"/>
  <c r="C19" i="30"/>
  <c r="D19" i="30" s="1"/>
  <c r="C27" i="30"/>
  <c r="D27" i="30" s="1"/>
  <c r="C35" i="30"/>
  <c r="D35" i="30" s="1"/>
  <c r="C43" i="30"/>
  <c r="D43" i="30" s="1"/>
  <c r="C51" i="30"/>
  <c r="D51" i="30" s="1"/>
  <c r="C59" i="30"/>
  <c r="D59" i="30" s="1"/>
  <c r="C67" i="30"/>
  <c r="D67" i="30" s="1"/>
  <c r="C75" i="30"/>
  <c r="D75" i="30" s="1"/>
  <c r="C83" i="30"/>
  <c r="D83" i="30" s="1"/>
  <c r="C91" i="30"/>
  <c r="D91" i="30" s="1"/>
  <c r="C99" i="30"/>
  <c r="D99" i="30" s="1"/>
  <c r="C107" i="30"/>
  <c r="D107" i="30" s="1"/>
  <c r="C115" i="30"/>
  <c r="D115" i="30" s="1"/>
  <c r="C123" i="30"/>
  <c r="D123" i="30" s="1"/>
  <c r="C131" i="30"/>
  <c r="D131" i="30" s="1"/>
  <c r="C139" i="30"/>
  <c r="D139" i="30" s="1"/>
  <c r="C147" i="30"/>
  <c r="D147" i="30" s="1"/>
  <c r="C155" i="30"/>
  <c r="D155" i="30" s="1"/>
  <c r="C163" i="30"/>
  <c r="D163" i="30" s="1"/>
  <c r="C171" i="30"/>
  <c r="D171" i="30" s="1"/>
  <c r="C179" i="30"/>
  <c r="D179" i="30" s="1"/>
  <c r="C187" i="30"/>
  <c r="D187" i="30" s="1"/>
  <c r="C195" i="30"/>
  <c r="D195" i="30" s="1"/>
  <c r="C203" i="30"/>
  <c r="D203" i="30" s="1"/>
  <c r="C211" i="30"/>
  <c r="D211" i="30" s="1"/>
  <c r="C219" i="30"/>
  <c r="D219" i="30" s="1"/>
  <c r="C227" i="30"/>
  <c r="D227" i="30" s="1"/>
  <c r="C235" i="30"/>
  <c r="D235" i="30" s="1"/>
  <c r="C13" i="30"/>
  <c r="D13" i="30" s="1"/>
  <c r="C28" i="30"/>
  <c r="D28" i="30" s="1"/>
  <c r="C52" i="30"/>
  <c r="D52" i="30" s="1"/>
  <c r="C68" i="30"/>
  <c r="D68" i="30" s="1"/>
  <c r="C84" i="30"/>
  <c r="D84" i="30" s="1"/>
  <c r="C100" i="30"/>
  <c r="D100" i="30" s="1"/>
  <c r="C124" i="30"/>
  <c r="D124" i="30" s="1"/>
  <c r="C148" i="30"/>
  <c r="D148" i="30" s="1"/>
  <c r="C172" i="30"/>
  <c r="D172" i="30" s="1"/>
  <c r="C196" i="30"/>
  <c r="D196" i="30" s="1"/>
  <c r="C212" i="30"/>
  <c r="D212" i="30" s="1"/>
  <c r="C236" i="30"/>
  <c r="D236" i="30" s="1"/>
  <c r="C36" i="30"/>
  <c r="D36" i="30" s="1"/>
  <c r="C76" i="30"/>
  <c r="D76" i="30" s="1"/>
  <c r="C116" i="30"/>
  <c r="D116" i="30" s="1"/>
  <c r="C140" i="30"/>
  <c r="D140" i="30" s="1"/>
  <c r="C164" i="30"/>
  <c r="D164" i="30" s="1"/>
  <c r="C188" i="30"/>
  <c r="D188" i="30" s="1"/>
  <c r="C220" i="30"/>
  <c r="D220" i="30" s="1"/>
  <c r="C21" i="30"/>
  <c r="D21" i="30" s="1"/>
  <c r="C29" i="30"/>
  <c r="D29" i="30" s="1"/>
  <c r="C37" i="30"/>
  <c r="D37" i="30" s="1"/>
  <c r="C45" i="30"/>
  <c r="D45" i="30" s="1"/>
  <c r="C53" i="30"/>
  <c r="D53" i="30" s="1"/>
  <c r="C61" i="30"/>
  <c r="D61" i="30" s="1"/>
  <c r="C69" i="30"/>
  <c r="D69" i="30" s="1"/>
  <c r="C77" i="30"/>
  <c r="D77" i="30" s="1"/>
  <c r="C85" i="30"/>
  <c r="D85" i="30" s="1"/>
  <c r="C93" i="30"/>
  <c r="D93" i="30" s="1"/>
  <c r="C101" i="30"/>
  <c r="D101" i="30" s="1"/>
  <c r="C109" i="30"/>
  <c r="D109" i="30" s="1"/>
  <c r="C117" i="30"/>
  <c r="D117" i="30" s="1"/>
  <c r="C125" i="30"/>
  <c r="D125" i="30" s="1"/>
  <c r="C133" i="30"/>
  <c r="D133" i="30" s="1"/>
  <c r="C141" i="30"/>
  <c r="D141" i="30" s="1"/>
  <c r="C149" i="30"/>
  <c r="D149" i="30" s="1"/>
  <c r="C157" i="30"/>
  <c r="D157" i="30" s="1"/>
  <c r="C165" i="30"/>
  <c r="D165" i="30" s="1"/>
  <c r="C173" i="30"/>
  <c r="D173" i="30" s="1"/>
  <c r="C181" i="30"/>
  <c r="D181" i="30" s="1"/>
  <c r="C189" i="30"/>
  <c r="D189" i="30" s="1"/>
  <c r="C197" i="30"/>
  <c r="D197" i="30" s="1"/>
  <c r="C205" i="30"/>
  <c r="D205" i="30" s="1"/>
  <c r="C213" i="30"/>
  <c r="D213" i="30" s="1"/>
  <c r="C221" i="30"/>
  <c r="D221" i="30" s="1"/>
  <c r="C229" i="30"/>
  <c r="D229" i="30" s="1"/>
  <c r="C237" i="30"/>
  <c r="D237" i="30" s="1"/>
  <c r="C245" i="30"/>
  <c r="D245" i="30" s="1"/>
  <c r="C15" i="30"/>
  <c r="D15" i="30" s="1"/>
  <c r="C23" i="30"/>
  <c r="D23" i="30" s="1"/>
  <c r="C31" i="30"/>
  <c r="D31" i="30" s="1"/>
  <c r="C39" i="30"/>
  <c r="D39" i="30" s="1"/>
  <c r="C47" i="30"/>
  <c r="D47" i="30" s="1"/>
  <c r="C55" i="30"/>
  <c r="D55" i="30" s="1"/>
  <c r="C32" i="30"/>
  <c r="D32" i="30" s="1"/>
  <c r="C63" i="30"/>
  <c r="D63" i="30" s="1"/>
  <c r="C86" i="30"/>
  <c r="D86" i="30" s="1"/>
  <c r="C104" i="30"/>
  <c r="D104" i="30" s="1"/>
  <c r="C127" i="30"/>
  <c r="D127" i="30" s="1"/>
  <c r="C150" i="30"/>
  <c r="D150" i="30" s="1"/>
  <c r="C168" i="30"/>
  <c r="D168" i="30" s="1"/>
  <c r="C191" i="30"/>
  <c r="D191" i="30" s="1"/>
  <c r="C214" i="30"/>
  <c r="D214" i="30" s="1"/>
  <c r="C232" i="30"/>
  <c r="D232" i="30" s="1"/>
  <c r="C248" i="30"/>
  <c r="D248" i="30" s="1"/>
  <c r="C215" i="30"/>
  <c r="D215" i="30" s="1"/>
  <c r="C249" i="30"/>
  <c r="D249" i="30" s="1"/>
  <c r="C160" i="30"/>
  <c r="D160" i="30" s="1"/>
  <c r="C24" i="30"/>
  <c r="D24" i="30" s="1"/>
  <c r="C143" i="30"/>
  <c r="D143" i="30" s="1"/>
  <c r="C207" i="30"/>
  <c r="D207" i="30" s="1"/>
  <c r="C30" i="30"/>
  <c r="D30" i="30" s="1"/>
  <c r="C126" i="30"/>
  <c r="D126" i="30" s="1"/>
  <c r="C38" i="30"/>
  <c r="D38" i="30" s="1"/>
  <c r="C64" i="30"/>
  <c r="D64" i="30" s="1"/>
  <c r="C87" i="30"/>
  <c r="D87" i="30" s="1"/>
  <c r="C110" i="30"/>
  <c r="D110" i="30" s="1"/>
  <c r="C128" i="30"/>
  <c r="D128" i="30" s="1"/>
  <c r="C151" i="30"/>
  <c r="D151" i="30" s="1"/>
  <c r="C174" i="30"/>
  <c r="D174" i="30" s="1"/>
  <c r="C192" i="30"/>
  <c r="D192" i="30" s="1"/>
  <c r="C233" i="30"/>
  <c r="D233" i="30" s="1"/>
  <c r="C119" i="30"/>
  <c r="D119" i="30" s="1"/>
  <c r="C230" i="30"/>
  <c r="D230" i="30" s="1"/>
  <c r="C167" i="30"/>
  <c r="D167" i="30" s="1"/>
  <c r="C40" i="30"/>
  <c r="D40" i="30" s="1"/>
  <c r="C70" i="30"/>
  <c r="D70" i="30" s="1"/>
  <c r="C88" i="30"/>
  <c r="D88" i="30" s="1"/>
  <c r="C111" i="30"/>
  <c r="D111" i="30" s="1"/>
  <c r="C134" i="30"/>
  <c r="D134" i="30" s="1"/>
  <c r="C152" i="30"/>
  <c r="D152" i="30" s="1"/>
  <c r="C175" i="30"/>
  <c r="D175" i="30" s="1"/>
  <c r="C198" i="30"/>
  <c r="D198" i="30" s="1"/>
  <c r="C216" i="30"/>
  <c r="D216" i="30" s="1"/>
  <c r="C238" i="30"/>
  <c r="D238" i="30" s="1"/>
  <c r="C224" i="30"/>
  <c r="D224" i="30" s="1"/>
  <c r="C102" i="30"/>
  <c r="D102" i="30" s="1"/>
  <c r="C190" i="30"/>
  <c r="D190" i="30" s="1"/>
  <c r="C14" i="30"/>
  <c r="D14" i="30" s="1"/>
  <c r="C46" i="30"/>
  <c r="D46" i="30" s="1"/>
  <c r="C71" i="30"/>
  <c r="D71" i="30" s="1"/>
  <c r="C94" i="30"/>
  <c r="D94" i="30" s="1"/>
  <c r="C112" i="30"/>
  <c r="D112" i="30" s="1"/>
  <c r="C135" i="30"/>
  <c r="D135" i="30" s="1"/>
  <c r="C158" i="30"/>
  <c r="D158" i="30" s="1"/>
  <c r="C176" i="30"/>
  <c r="D176" i="30" s="1"/>
  <c r="C199" i="30"/>
  <c r="D199" i="30" s="1"/>
  <c r="C222" i="30"/>
  <c r="D222" i="30" s="1"/>
  <c r="C239" i="30"/>
  <c r="D239" i="30" s="1"/>
  <c r="C142" i="30"/>
  <c r="D142" i="30" s="1"/>
  <c r="C241" i="30"/>
  <c r="D241" i="30" s="1"/>
  <c r="C79" i="30"/>
  <c r="D79" i="30" s="1"/>
  <c r="C184" i="30"/>
  <c r="D184" i="30" s="1"/>
  <c r="C62" i="30"/>
  <c r="D62" i="30" s="1"/>
  <c r="C144" i="30"/>
  <c r="D144" i="30" s="1"/>
  <c r="C231" i="30"/>
  <c r="D231" i="30" s="1"/>
  <c r="C16" i="30"/>
  <c r="D16" i="30" s="1"/>
  <c r="C48" i="30"/>
  <c r="D48" i="30" s="1"/>
  <c r="C72" i="30"/>
  <c r="D72" i="30" s="1"/>
  <c r="C95" i="30"/>
  <c r="D95" i="30" s="1"/>
  <c r="C118" i="30"/>
  <c r="D118" i="30" s="1"/>
  <c r="C136" i="30"/>
  <c r="D136" i="30" s="1"/>
  <c r="C159" i="30"/>
  <c r="D159" i="30" s="1"/>
  <c r="C182" i="30"/>
  <c r="D182" i="30" s="1"/>
  <c r="C200" i="30"/>
  <c r="D200" i="30" s="1"/>
  <c r="C223" i="30"/>
  <c r="D223" i="30" s="1"/>
  <c r="C240" i="30"/>
  <c r="D240" i="30" s="1"/>
  <c r="C54" i="30"/>
  <c r="D54" i="30" s="1"/>
  <c r="C78" i="30"/>
  <c r="D78" i="30" s="1"/>
  <c r="C96" i="30"/>
  <c r="D96" i="30" s="1"/>
  <c r="C206" i="30"/>
  <c r="D206" i="30" s="1"/>
  <c r="C56" i="30"/>
  <c r="D56" i="30" s="1"/>
  <c r="C166" i="30"/>
  <c r="D166" i="30" s="1"/>
  <c r="C80" i="30"/>
  <c r="D80" i="30" s="1"/>
  <c r="C208" i="30"/>
  <c r="D208" i="30" s="1"/>
  <c r="C22" i="30"/>
  <c r="D22" i="30" s="1"/>
  <c r="C183" i="30"/>
  <c r="D183" i="30" s="1"/>
  <c r="C120" i="30"/>
  <c r="D120" i="30" s="1"/>
  <c r="C246" i="30"/>
  <c r="D246" i="30" s="1"/>
  <c r="C103" i="30"/>
  <c r="D103" i="30" s="1"/>
  <c r="C247" i="30"/>
  <c r="D247" i="30" s="1"/>
  <c r="H251" i="30"/>
  <c r="G251" i="30"/>
  <c r="F251" i="30"/>
  <c r="A162" i="30" l="1"/>
  <c r="I162" i="30"/>
  <c r="K162" i="30"/>
  <c r="L161" i="30"/>
  <c r="J161" i="30"/>
  <c r="E163" i="30"/>
  <c r="H6" i="23"/>
  <c r="L177" i="23"/>
  <c r="L178" i="23"/>
  <c r="L179" i="23"/>
  <c r="L180" i="23"/>
  <c r="L181" i="23"/>
  <c r="L182" i="23"/>
  <c r="L183" i="23"/>
  <c r="L176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3" i="23"/>
  <c r="K158" i="23"/>
  <c r="J177" i="23"/>
  <c r="J178" i="23"/>
  <c r="J179" i="23"/>
  <c r="J180" i="23"/>
  <c r="J181" i="23"/>
  <c r="J182" i="23"/>
  <c r="J183" i="23"/>
  <c r="J176" i="23"/>
  <c r="F184" i="23"/>
  <c r="E13" i="23"/>
  <c r="E14" i="23" s="1"/>
  <c r="E15" i="23" s="1"/>
  <c r="E16" i="23" s="1"/>
  <c r="E17" i="23" s="1"/>
  <c r="E18" i="23" s="1"/>
  <c r="E19" i="23" s="1"/>
  <c r="E20" i="23" s="1"/>
  <c r="E21" i="23" s="1"/>
  <c r="E22" i="23" s="1"/>
  <c r="E23" i="23" s="1"/>
  <c r="E24" i="23" s="1"/>
  <c r="E25" i="23" s="1"/>
  <c r="E26" i="23" s="1"/>
  <c r="E27" i="23" s="1"/>
  <c r="E28" i="23" s="1"/>
  <c r="E29" i="23" s="1"/>
  <c r="E30" i="23" s="1"/>
  <c r="E31" i="23" s="1"/>
  <c r="E32" i="23" s="1"/>
  <c r="E33" i="23" s="1"/>
  <c r="E34" i="23" s="1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E50" i="23" s="1"/>
  <c r="E51" i="23" s="1"/>
  <c r="E52" i="23" s="1"/>
  <c r="E53" i="23" s="1"/>
  <c r="E54" i="23" s="1"/>
  <c r="E55" i="23" s="1"/>
  <c r="E56" i="23" s="1"/>
  <c r="E57" i="23" s="1"/>
  <c r="E58" i="23" s="1"/>
  <c r="E59" i="23" s="1"/>
  <c r="E60" i="23" s="1"/>
  <c r="E61" i="23" s="1"/>
  <c r="E62" i="23" s="1"/>
  <c r="E63" i="23" s="1"/>
  <c r="E64" i="23" s="1"/>
  <c r="E65" i="23" s="1"/>
  <c r="E66" i="23" s="1"/>
  <c r="E67" i="23" s="1"/>
  <c r="E68" i="23" s="1"/>
  <c r="E69" i="23" s="1"/>
  <c r="E70" i="23" s="1"/>
  <c r="E71" i="23" s="1"/>
  <c r="E72" i="23" s="1"/>
  <c r="E73" i="23" s="1"/>
  <c r="E74" i="23" s="1"/>
  <c r="E75" i="23" s="1"/>
  <c r="E76" i="23" s="1"/>
  <c r="E77" i="23" s="1"/>
  <c r="E78" i="23" s="1"/>
  <c r="E79" i="23" s="1"/>
  <c r="E80" i="23" s="1"/>
  <c r="E81" i="23" s="1"/>
  <c r="E82" i="23" s="1"/>
  <c r="E83" i="23" s="1"/>
  <c r="E84" i="23" s="1"/>
  <c r="E85" i="23" s="1"/>
  <c r="E86" i="23" s="1"/>
  <c r="E87" i="23" s="1"/>
  <c r="E88" i="23" s="1"/>
  <c r="E89" i="23" s="1"/>
  <c r="E90" i="23" s="1"/>
  <c r="E91" i="23" s="1"/>
  <c r="E92" i="23" s="1"/>
  <c r="E93" i="23" s="1"/>
  <c r="E94" i="23" s="1"/>
  <c r="E95" i="23" s="1"/>
  <c r="E96" i="23" s="1"/>
  <c r="E97" i="23" s="1"/>
  <c r="E98" i="23" s="1"/>
  <c r="E99" i="23" s="1"/>
  <c r="E100" i="23" s="1"/>
  <c r="E101" i="23" s="1"/>
  <c r="E102" i="23" s="1"/>
  <c r="E103" i="23" s="1"/>
  <c r="E104" i="23" s="1"/>
  <c r="E105" i="23" s="1"/>
  <c r="E106" i="23" s="1"/>
  <c r="E107" i="23" s="1"/>
  <c r="E108" i="23" s="1"/>
  <c r="E109" i="23" s="1"/>
  <c r="E110" i="23" s="1"/>
  <c r="E111" i="23" s="1"/>
  <c r="E112" i="23" s="1"/>
  <c r="E113" i="23" s="1"/>
  <c r="E114" i="23" s="1"/>
  <c r="E115" i="23" s="1"/>
  <c r="E116" i="23" s="1"/>
  <c r="E117" i="23" s="1"/>
  <c r="E118" i="23" s="1"/>
  <c r="E119" i="23" s="1"/>
  <c r="E120" i="23" s="1"/>
  <c r="E121" i="23" s="1"/>
  <c r="E122" i="23" s="1"/>
  <c r="E123" i="23" s="1"/>
  <c r="E124" i="23" s="1"/>
  <c r="E125" i="23" s="1"/>
  <c r="E126" i="23" s="1"/>
  <c r="E127" i="23" s="1"/>
  <c r="E128" i="23" s="1"/>
  <c r="E129" i="23" s="1"/>
  <c r="E130" i="23" s="1"/>
  <c r="E131" i="23" s="1"/>
  <c r="E132" i="23" s="1"/>
  <c r="E133" i="23" s="1"/>
  <c r="E134" i="23" s="1"/>
  <c r="E135" i="23" s="1"/>
  <c r="E136" i="23" s="1"/>
  <c r="E137" i="23" s="1"/>
  <c r="E138" i="23" s="1"/>
  <c r="E139" i="23" s="1"/>
  <c r="E140" i="23" s="1"/>
  <c r="E141" i="23" s="1"/>
  <c r="E142" i="23" s="1"/>
  <c r="E143" i="23" s="1"/>
  <c r="E144" i="23" s="1"/>
  <c r="E145" i="23" s="1"/>
  <c r="E146" i="23" s="1"/>
  <c r="E147" i="23" s="1"/>
  <c r="E148" i="23" s="1"/>
  <c r="E149" i="23" s="1"/>
  <c r="E150" i="23" s="1"/>
  <c r="E151" i="23" s="1"/>
  <c r="E152" i="23" s="1"/>
  <c r="E153" i="23" s="1"/>
  <c r="E154" i="23" s="1"/>
  <c r="E155" i="23" s="1"/>
  <c r="E156" i="23" s="1"/>
  <c r="E157" i="23" s="1"/>
  <c r="E158" i="23" s="1"/>
  <c r="E159" i="23" s="1"/>
  <c r="E160" i="23" s="1"/>
  <c r="E161" i="23" s="1"/>
  <c r="E162" i="23" s="1"/>
  <c r="E163" i="23" s="1"/>
  <c r="E164" i="23" s="1"/>
  <c r="E165" i="23" s="1"/>
  <c r="E166" i="23" s="1"/>
  <c r="E167" i="23" s="1"/>
  <c r="E168" i="23" s="1"/>
  <c r="E169" i="23" s="1"/>
  <c r="E170" i="23" s="1"/>
  <c r="E171" i="23" s="1"/>
  <c r="E172" i="23" s="1"/>
  <c r="E173" i="23" s="1"/>
  <c r="E174" i="23" s="1"/>
  <c r="E175" i="23" s="1"/>
  <c r="E176" i="23" s="1"/>
  <c r="E177" i="23" s="1"/>
  <c r="E178" i="23" s="1"/>
  <c r="E179" i="23" s="1"/>
  <c r="E180" i="23" s="1"/>
  <c r="E181" i="23" s="1"/>
  <c r="E182" i="23" s="1"/>
  <c r="E183" i="23" s="1"/>
  <c r="E184" i="23" s="1"/>
  <c r="A163" i="30" l="1"/>
  <c r="K163" i="30"/>
  <c r="I163" i="30"/>
  <c r="J162" i="30"/>
  <c r="L162" i="30"/>
  <c r="E164" i="30"/>
  <c r="G184" i="23"/>
  <c r="H184" i="23"/>
  <c r="A164" i="30" l="1"/>
  <c r="I164" i="30"/>
  <c r="K164" i="30"/>
  <c r="L163" i="30"/>
  <c r="J163" i="30"/>
  <c r="E165" i="30"/>
  <c r="K184" i="23"/>
  <c r="A165" i="30" l="1"/>
  <c r="K165" i="30"/>
  <c r="I165" i="30"/>
  <c r="L164" i="30"/>
  <c r="J164" i="30"/>
  <c r="E166" i="30"/>
  <c r="H5" i="23"/>
  <c r="L184" i="23"/>
  <c r="A166" i="30" l="1"/>
  <c r="K166" i="30"/>
  <c r="I166" i="30"/>
  <c r="J165" i="30"/>
  <c r="L165" i="30"/>
  <c r="E167" i="30"/>
  <c r="H7" i="23"/>
  <c r="A167" i="30" l="1"/>
  <c r="K167" i="30"/>
  <c r="I167" i="30"/>
  <c r="L166" i="30"/>
  <c r="J166" i="30"/>
  <c r="E168" i="30"/>
  <c r="A168" i="30" l="1"/>
  <c r="K168" i="30"/>
  <c r="I168" i="30"/>
  <c r="J167" i="30"/>
  <c r="L167" i="30"/>
  <c r="E169" i="30"/>
  <c r="A169" i="30" l="1"/>
  <c r="K169" i="30"/>
  <c r="I169" i="30"/>
  <c r="J168" i="30"/>
  <c r="L168" i="30"/>
  <c r="E170" i="30"/>
  <c r="A170" i="30" l="1"/>
  <c r="K170" i="30"/>
  <c r="I170" i="30"/>
  <c r="L169" i="30"/>
  <c r="J169" i="30"/>
  <c r="E171" i="30"/>
  <c r="J170" i="30" l="1"/>
  <c r="L170" i="30"/>
  <c r="A171" i="30"/>
  <c r="K171" i="30"/>
  <c r="I171" i="30"/>
  <c r="E172" i="30"/>
  <c r="L171" i="30" l="1"/>
  <c r="J171" i="30"/>
  <c r="A172" i="30"/>
  <c r="K172" i="30"/>
  <c r="I172" i="30"/>
  <c r="E173" i="30"/>
  <c r="L172" i="30" l="1"/>
  <c r="J172" i="30"/>
  <c r="A173" i="30"/>
  <c r="K173" i="30"/>
  <c r="I173" i="30"/>
  <c r="E174" i="30"/>
  <c r="J173" i="30" l="1"/>
  <c r="L173" i="30"/>
  <c r="A174" i="30"/>
  <c r="K174" i="30"/>
  <c r="I174" i="30"/>
  <c r="E175" i="30"/>
  <c r="A175" i="30" l="1"/>
  <c r="K175" i="30"/>
  <c r="I175" i="30"/>
  <c r="L174" i="30"/>
  <c r="J174" i="30"/>
  <c r="E176" i="30"/>
  <c r="A176" i="30" l="1"/>
  <c r="K176" i="30"/>
  <c r="I176" i="30"/>
  <c r="J175" i="30"/>
  <c r="L175" i="30"/>
  <c r="E177" i="30"/>
  <c r="A177" i="30" l="1"/>
  <c r="I177" i="30"/>
  <c r="K177" i="30"/>
  <c r="J176" i="30"/>
  <c r="L176" i="30"/>
  <c r="E178" i="30"/>
  <c r="A178" i="30" l="1"/>
  <c r="I178" i="30"/>
  <c r="K178" i="30"/>
  <c r="L177" i="30"/>
  <c r="J177" i="30"/>
  <c r="E179" i="30"/>
  <c r="A179" i="30" l="1"/>
  <c r="K179" i="30"/>
  <c r="I179" i="30"/>
  <c r="J178" i="30"/>
  <c r="L178" i="30"/>
  <c r="E180" i="30"/>
  <c r="A180" i="30" l="1"/>
  <c r="I180" i="30"/>
  <c r="K180" i="30"/>
  <c r="L179" i="30"/>
  <c r="J179" i="30"/>
  <c r="E181" i="30"/>
  <c r="L180" i="30" l="1"/>
  <c r="J180" i="30"/>
  <c r="A181" i="30"/>
  <c r="K181" i="30"/>
  <c r="I181" i="30"/>
  <c r="E182" i="30"/>
  <c r="A182" i="30" l="1"/>
  <c r="K182" i="30"/>
  <c r="I182" i="30"/>
  <c r="J181" i="30"/>
  <c r="L181" i="30"/>
  <c r="E183" i="30"/>
  <c r="A183" i="30" l="1"/>
  <c r="K183" i="30"/>
  <c r="I183" i="30"/>
  <c r="L182" i="30"/>
  <c r="J182" i="30"/>
  <c r="E184" i="30"/>
  <c r="A184" i="30" l="1"/>
  <c r="K184" i="30"/>
  <c r="I184" i="30"/>
  <c r="J183" i="30"/>
  <c r="L183" i="30"/>
  <c r="E185" i="30"/>
  <c r="A185" i="30" l="1"/>
  <c r="I185" i="30"/>
  <c r="K185" i="30"/>
  <c r="J184" i="30"/>
  <c r="L184" i="30"/>
  <c r="E186" i="30"/>
  <c r="A186" i="30" l="1"/>
  <c r="I186" i="30"/>
  <c r="K186" i="30"/>
  <c r="L185" i="30"/>
  <c r="J185" i="30"/>
  <c r="E187" i="30"/>
  <c r="A187" i="30" l="1"/>
  <c r="K187" i="30"/>
  <c r="I187" i="30"/>
  <c r="J186" i="30"/>
  <c r="L186" i="30"/>
  <c r="E188" i="30"/>
  <c r="A188" i="30" l="1"/>
  <c r="K188" i="30"/>
  <c r="I188" i="30"/>
  <c r="L187" i="30"/>
  <c r="J187" i="30"/>
  <c r="E189" i="30"/>
  <c r="A189" i="30" l="1"/>
  <c r="K189" i="30"/>
  <c r="I189" i="30"/>
  <c r="L188" i="30"/>
  <c r="J188" i="30"/>
  <c r="E190" i="30"/>
  <c r="A190" i="30" l="1"/>
  <c r="K190" i="30"/>
  <c r="I190" i="30"/>
  <c r="J189" i="30"/>
  <c r="L189" i="30"/>
  <c r="E191" i="30"/>
  <c r="A191" i="30" l="1"/>
  <c r="K191" i="30"/>
  <c r="I191" i="30"/>
  <c r="L190" i="30"/>
  <c r="J190" i="30"/>
  <c r="E192" i="30"/>
  <c r="J191" i="30" l="1"/>
  <c r="L191" i="30"/>
  <c r="A192" i="30"/>
  <c r="K192" i="30"/>
  <c r="I192" i="30"/>
  <c r="E193" i="30"/>
  <c r="A193" i="30" l="1"/>
  <c r="K193" i="30"/>
  <c r="I193" i="30"/>
  <c r="J192" i="30"/>
  <c r="L192" i="30"/>
  <c r="E194" i="30"/>
  <c r="A194" i="30" l="1"/>
  <c r="K194" i="30"/>
  <c r="I194" i="30"/>
  <c r="L193" i="30"/>
  <c r="J193" i="30"/>
  <c r="E195" i="30"/>
  <c r="A195" i="30" l="1"/>
  <c r="K195" i="30"/>
  <c r="I195" i="30"/>
  <c r="L194" i="30"/>
  <c r="J194" i="30"/>
  <c r="E196" i="30"/>
  <c r="A196" i="30" l="1"/>
  <c r="K196" i="30"/>
  <c r="I196" i="30"/>
  <c r="L195" i="30"/>
  <c r="J195" i="30"/>
  <c r="E197" i="30"/>
  <c r="A197" i="30" l="1"/>
  <c r="K197" i="30"/>
  <c r="I197" i="30"/>
  <c r="L196" i="30"/>
  <c r="J196" i="30"/>
  <c r="E198" i="30"/>
  <c r="A198" i="30" l="1"/>
  <c r="K198" i="30"/>
  <c r="I198" i="30"/>
  <c r="J197" i="30"/>
  <c r="L197" i="30"/>
  <c r="E199" i="30"/>
  <c r="A199" i="30" l="1"/>
  <c r="K199" i="30"/>
  <c r="I199" i="30"/>
  <c r="L198" i="30"/>
  <c r="J198" i="30"/>
  <c r="E200" i="30"/>
  <c r="A200" i="30" l="1"/>
  <c r="K200" i="30"/>
  <c r="I200" i="30"/>
  <c r="J199" i="30"/>
  <c r="L199" i="30"/>
  <c r="E201" i="30"/>
  <c r="A201" i="30" l="1"/>
  <c r="I201" i="30"/>
  <c r="K201" i="30"/>
  <c r="J200" i="30"/>
  <c r="L200" i="30"/>
  <c r="E202" i="30"/>
  <c r="A202" i="30" l="1"/>
  <c r="I202" i="30"/>
  <c r="K202" i="30"/>
  <c r="L201" i="30"/>
  <c r="J201" i="30"/>
  <c r="E203" i="30"/>
  <c r="A203" i="30" l="1"/>
  <c r="K203" i="30"/>
  <c r="I203" i="30"/>
  <c r="J202" i="30"/>
  <c r="L202" i="30"/>
  <c r="E204" i="30"/>
  <c r="A204" i="30" l="1"/>
  <c r="I204" i="30"/>
  <c r="K204" i="30"/>
  <c r="L203" i="30"/>
  <c r="J203" i="30"/>
  <c r="E205" i="30"/>
  <c r="A205" i="30" l="1"/>
  <c r="K205" i="30"/>
  <c r="I205" i="30"/>
  <c r="L204" i="30"/>
  <c r="J204" i="30"/>
  <c r="E206" i="30"/>
  <c r="A206" i="30" l="1"/>
  <c r="K206" i="30"/>
  <c r="I206" i="30"/>
  <c r="J205" i="30"/>
  <c r="L205" i="30"/>
  <c r="E207" i="30"/>
  <c r="A207" i="30" l="1"/>
  <c r="K207" i="30"/>
  <c r="I207" i="30"/>
  <c r="L206" i="30"/>
  <c r="J206" i="30"/>
  <c r="E208" i="30"/>
  <c r="A208" i="30" l="1"/>
  <c r="K208" i="30"/>
  <c r="I208" i="30"/>
  <c r="J207" i="30"/>
  <c r="L207" i="30"/>
  <c r="E209" i="30"/>
  <c r="A209" i="30" l="1"/>
  <c r="I209" i="30"/>
  <c r="K209" i="30"/>
  <c r="J208" i="30"/>
  <c r="L208" i="30"/>
  <c r="E210" i="30"/>
  <c r="A210" i="30" l="1"/>
  <c r="K210" i="30"/>
  <c r="I210" i="30"/>
  <c r="L209" i="30"/>
  <c r="J209" i="30"/>
  <c r="E211" i="30"/>
  <c r="A211" i="30" l="1"/>
  <c r="K211" i="30"/>
  <c r="I211" i="30"/>
  <c r="J210" i="30"/>
  <c r="L210" i="30"/>
  <c r="E212" i="30"/>
  <c r="A212" i="30" l="1"/>
  <c r="K212" i="30"/>
  <c r="I212" i="30"/>
  <c r="L211" i="30"/>
  <c r="J211" i="30"/>
  <c r="E213" i="30"/>
  <c r="A213" i="30" l="1"/>
  <c r="K213" i="30"/>
  <c r="I213" i="30"/>
  <c r="L212" i="30"/>
  <c r="J212" i="30"/>
  <c r="E214" i="30"/>
  <c r="A214" i="30" l="1"/>
  <c r="K214" i="30"/>
  <c r="I214" i="30"/>
  <c r="J213" i="30"/>
  <c r="L213" i="30"/>
  <c r="E215" i="30"/>
  <c r="A215" i="30" l="1"/>
  <c r="K215" i="30"/>
  <c r="I215" i="30"/>
  <c r="L214" i="30"/>
  <c r="J214" i="30"/>
  <c r="E216" i="30"/>
  <c r="A216" i="30" l="1"/>
  <c r="K216" i="30"/>
  <c r="I216" i="30"/>
  <c r="L215" i="30"/>
  <c r="J215" i="30"/>
  <c r="E217" i="30"/>
  <c r="A217" i="30" l="1"/>
  <c r="I217" i="30"/>
  <c r="K217" i="30"/>
  <c r="L216" i="30"/>
  <c r="J216" i="30"/>
  <c r="E218" i="30"/>
  <c r="L217" i="30" l="1"/>
  <c r="J217" i="30"/>
  <c r="A218" i="30"/>
  <c r="I218" i="30"/>
  <c r="K218" i="30"/>
  <c r="E219" i="30"/>
  <c r="A219" i="30" l="1"/>
  <c r="K219" i="30"/>
  <c r="I219" i="30"/>
  <c r="L218" i="30"/>
  <c r="J218" i="30"/>
  <c r="E220" i="30"/>
  <c r="A220" i="30" l="1"/>
  <c r="K220" i="30"/>
  <c r="I220" i="30"/>
  <c r="L219" i="30"/>
  <c r="J219" i="30"/>
  <c r="E221" i="30"/>
  <c r="A221" i="30" l="1"/>
  <c r="K221" i="30"/>
  <c r="I221" i="30"/>
  <c r="L220" i="30"/>
  <c r="J220" i="30"/>
  <c r="E222" i="30"/>
  <c r="A222" i="30" l="1"/>
  <c r="K222" i="30"/>
  <c r="I222" i="30"/>
  <c r="L221" i="30"/>
  <c r="J221" i="30"/>
  <c r="E223" i="30"/>
  <c r="A223" i="30" l="1"/>
  <c r="K223" i="30"/>
  <c r="I223" i="30"/>
  <c r="L222" i="30"/>
  <c r="J222" i="30"/>
  <c r="E224" i="30"/>
  <c r="A224" i="30" l="1"/>
  <c r="K224" i="30"/>
  <c r="I224" i="30"/>
  <c r="J223" i="30"/>
  <c r="L223" i="30"/>
  <c r="E225" i="30"/>
  <c r="A225" i="30" l="1"/>
  <c r="I225" i="30"/>
  <c r="K225" i="30"/>
  <c r="J224" i="30"/>
  <c r="L224" i="30"/>
  <c r="E226" i="30"/>
  <c r="A226" i="30" l="1"/>
  <c r="I226" i="30"/>
  <c r="K226" i="30"/>
  <c r="L225" i="30"/>
  <c r="J225" i="30"/>
  <c r="E227" i="30"/>
  <c r="A227" i="30" l="1"/>
  <c r="K227" i="30"/>
  <c r="I227" i="30"/>
  <c r="J226" i="30"/>
  <c r="L226" i="30"/>
  <c r="E228" i="30"/>
  <c r="A228" i="30" l="1"/>
  <c r="I228" i="30"/>
  <c r="K228" i="30"/>
  <c r="L227" i="30"/>
  <c r="J227" i="30"/>
  <c r="E229" i="30"/>
  <c r="A229" i="30" l="1"/>
  <c r="K229" i="30"/>
  <c r="I229" i="30"/>
  <c r="L228" i="30"/>
  <c r="J228" i="30"/>
  <c r="E230" i="30"/>
  <c r="A230" i="30" l="1"/>
  <c r="K230" i="30"/>
  <c r="I230" i="30"/>
  <c r="L229" i="30"/>
  <c r="J229" i="30"/>
  <c r="E231" i="30"/>
  <c r="A231" i="30" l="1"/>
  <c r="K231" i="30"/>
  <c r="I231" i="30"/>
  <c r="L230" i="30"/>
  <c r="J230" i="30"/>
  <c r="E232" i="30"/>
  <c r="A232" i="30" l="1"/>
  <c r="K232" i="30"/>
  <c r="I232" i="30"/>
  <c r="J231" i="30"/>
  <c r="L231" i="30"/>
  <c r="E233" i="30"/>
  <c r="A233" i="30" l="1"/>
  <c r="K233" i="30"/>
  <c r="I233" i="30"/>
  <c r="J232" i="30"/>
  <c r="L232" i="30"/>
  <c r="E234" i="30"/>
  <c r="A234" i="30" l="1"/>
  <c r="K234" i="30"/>
  <c r="I234" i="30"/>
  <c r="L233" i="30"/>
  <c r="J233" i="30"/>
  <c r="E235" i="30"/>
  <c r="A235" i="30" l="1"/>
  <c r="K235" i="30"/>
  <c r="I235" i="30"/>
  <c r="L234" i="30"/>
  <c r="J234" i="30"/>
  <c r="E236" i="30"/>
  <c r="A236" i="30" l="1"/>
  <c r="K236" i="30"/>
  <c r="I236" i="30"/>
  <c r="L235" i="30"/>
  <c r="J235" i="30"/>
  <c r="E237" i="30"/>
  <c r="A237" i="30" l="1"/>
  <c r="K237" i="30"/>
  <c r="I237" i="30"/>
  <c r="L236" i="30"/>
  <c r="J236" i="30"/>
  <c r="E238" i="30"/>
  <c r="A238" i="30" l="1"/>
  <c r="K238" i="30"/>
  <c r="I238" i="30"/>
  <c r="L237" i="30"/>
  <c r="J237" i="30"/>
  <c r="E239" i="30"/>
  <c r="A239" i="30" l="1"/>
  <c r="K239" i="30"/>
  <c r="I239" i="30"/>
  <c r="L238" i="30"/>
  <c r="J238" i="30"/>
  <c r="E240" i="30"/>
  <c r="A240" i="30" l="1"/>
  <c r="K240" i="30"/>
  <c r="I240" i="30"/>
  <c r="J239" i="30"/>
  <c r="L239" i="30"/>
  <c r="E241" i="30"/>
  <c r="A241" i="30" l="1"/>
  <c r="I241" i="30"/>
  <c r="K241" i="30"/>
  <c r="J240" i="30"/>
  <c r="L240" i="30"/>
  <c r="E242" i="30"/>
  <c r="A242" i="30" l="1"/>
  <c r="I242" i="30"/>
  <c r="K242" i="30"/>
  <c r="L241" i="30"/>
  <c r="J241" i="30"/>
  <c r="E243" i="30"/>
  <c r="A243" i="30" l="1"/>
  <c r="K243" i="30"/>
  <c r="I243" i="30"/>
  <c r="L242" i="30"/>
  <c r="J242" i="30"/>
  <c r="E244" i="30"/>
  <c r="A244" i="30" l="1"/>
  <c r="I244" i="30"/>
  <c r="K244" i="30"/>
  <c r="L243" i="30"/>
  <c r="J243" i="30"/>
  <c r="E245" i="30"/>
  <c r="A245" i="30" l="1"/>
  <c r="K245" i="30"/>
  <c r="I245" i="30"/>
  <c r="L244" i="30"/>
  <c r="J244" i="30"/>
  <c r="E246" i="30"/>
  <c r="L245" i="30" l="1"/>
  <c r="J245" i="30"/>
  <c r="A246" i="30"/>
  <c r="K246" i="30"/>
  <c r="I246" i="30"/>
  <c r="E247" i="30"/>
  <c r="A247" i="30" l="1"/>
  <c r="K247" i="30"/>
  <c r="I247" i="30"/>
  <c r="L246" i="30"/>
  <c r="J246" i="30"/>
  <c r="E248" i="30"/>
  <c r="A248" i="30" l="1"/>
  <c r="K248" i="30"/>
  <c r="I248" i="30"/>
  <c r="J247" i="30"/>
  <c r="L247" i="30"/>
  <c r="E249" i="30"/>
  <c r="A249" i="30" l="1"/>
  <c r="I249" i="30"/>
  <c r="K249" i="30"/>
  <c r="J248" i="30"/>
  <c r="L248" i="30"/>
  <c r="E250" i="30"/>
  <c r="K39" i="54" l="1"/>
  <c r="E39" i="54"/>
  <c r="H5" i="54" s="1"/>
  <c r="A250" i="30"/>
  <c r="I250" i="30"/>
  <c r="K250" i="30"/>
  <c r="K251" i="30" s="1"/>
  <c r="L249" i="30"/>
  <c r="J249" i="30"/>
  <c r="H5" i="30"/>
  <c r="L39" i="54" l="1"/>
  <c r="H6" i="54" s="1"/>
  <c r="H7" i="54" s="1"/>
  <c r="J250" i="30"/>
  <c r="L250" i="30"/>
  <c r="L251" i="30" s="1"/>
  <c r="H6" i="30" s="1"/>
  <c r="H7" i="30" s="1"/>
</calcChain>
</file>

<file path=xl/sharedStrings.xml><?xml version="1.0" encoding="utf-8"?>
<sst xmlns="http://schemas.openxmlformats.org/spreadsheetml/2006/main" count="3346" uniqueCount="805">
  <si>
    <t>Tổng hợp thông tin hợp đồng</t>
  </si>
  <si>
    <t>Tên khách hàng</t>
  </si>
  <si>
    <t>Mã khách hàng</t>
  </si>
  <si>
    <t>Ngày quá hạn</t>
  </si>
  <si>
    <t>Trạng thái</t>
  </si>
  <si>
    <t>Đến ngày</t>
  </si>
  <si>
    <t>Số ngày tính lãi</t>
  </si>
  <si>
    <t>Lãi suất TH (%)</t>
  </si>
  <si>
    <t>Lãi trong hạn</t>
  </si>
  <si>
    <t>Lãi quá hạn</t>
  </si>
  <si>
    <t>Lãi đã trả</t>
  </si>
  <si>
    <t>Tổng</t>
  </si>
  <si>
    <t>Ngày cần tính</t>
  </si>
  <si>
    <t>- Nợ lãi</t>
  </si>
  <si>
    <t>Từ ngày</t>
  </si>
  <si>
    <t xml:space="preserve">BẢNG TÓM TẮT SAO KÊ    </t>
  </si>
  <si>
    <t>Thống kê</t>
  </si>
  <si>
    <t>Lãi suất QH (%)</t>
  </si>
  <si>
    <t>BAOTG10</t>
  </si>
  <si>
    <t>BAO</t>
  </si>
  <si>
    <t>TG10</t>
  </si>
  <si>
    <t>- Tổng dư nợ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</si>
  <si>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</si>
  <si>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</si>
  <si>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</si>
  <si>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</si>
  <si>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</si>
  <si>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</si>
  <si>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</si>
  <si>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</si>
  <si>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</si>
  <si>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</si>
  <si>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</si>
  <si>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</si>
  <si>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</si>
  <si>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</si>
  <si>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</si>
  <si>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</si>
  <si>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</si>
  <si>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</si>
  <si>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</si>
  <si>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</si>
  <si>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</si>
  <si>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</si>
  <si>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</si>
  <si>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</si>
  <si>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 xml:space="preserve">Hạn mức thấu chi </t>
  </si>
  <si>
    <t>Dư nợ thấu chi</t>
  </si>
  <si>
    <t>Gốc Đã Trả</t>
  </si>
  <si>
    <t>Nợ phát sinh</t>
  </si>
  <si>
    <t>- Dư nợ thấu chi</t>
  </si>
  <si>
    <t>Trần Gia Bảo</t>
  </si>
  <si>
    <t>QUA HAN</t>
  </si>
  <si>
    <t>TRONG HAN</t>
  </si>
  <si>
    <t>NGUYEN THI KIEU OANH</t>
  </si>
  <si>
    <t>STATEMENT ENTRY DATED ENQUIRY</t>
  </si>
  <si>
    <t>NR.</t>
  </si>
  <si>
    <t>CUSTOMER</t>
  </si>
  <si>
    <t>CCY:</t>
  </si>
  <si>
    <t>VND</t>
  </si>
  <si>
    <t>BOOK:</t>
  </si>
  <si>
    <t>VPBANK THUAN AN</t>
  </si>
  <si>
    <t>PASSWORD</t>
  </si>
  <si>
    <t>VAL. DATE</t>
  </si>
  <si>
    <t>DESCRIPTION</t>
  </si>
  <si>
    <t>TRANS.REF.NO</t>
  </si>
  <si>
    <t>POST DATE</t>
  </si>
  <si>
    <t>DEBIT AMOUNT</t>
  </si>
  <si>
    <t>CREDIT AMOUNT</t>
  </si>
  <si>
    <t>NARRATIVE</t>
  </si>
  <si>
    <t>DATETIME</t>
  </si>
  <si>
    <t>INPUTTER</t>
  </si>
  <si>
    <t>AUTHORISER</t>
  </si>
  <si>
    <t>PF.CENT.CUST</t>
  </si>
  <si>
    <t>CO.CODE</t>
  </si>
  <si>
    <t>CARD.NO</t>
  </si>
  <si>
    <t>ATM REF</t>
  </si>
  <si>
    <t>SUSPENSE.ID</t>
  </si>
  <si>
    <t>BALANCE AT PERIOD START</t>
  </si>
  <si>
    <t>VALDESC</t>
  </si>
  <si>
    <t>PDESC</t>
  </si>
  <si>
    <t>REFNO</t>
  </si>
  <si>
    <t>POST</t>
  </si>
  <si>
    <t>PDAMT</t>
  </si>
  <si>
    <t>PCAMT</t>
  </si>
  <si>
    <t>NARR</t>
  </si>
  <si>
    <t>Y.INPUTTER</t>
  </si>
  <si>
    <t>Y.AUTHORISER</t>
  </si>
  <si>
    <t>PROFIT.CUST</t>
  </si>
  <si>
    <t>ATM.REF</t>
  </si>
  <si>
    <t>BOOKED BALANCE</t>
  </si>
  <si>
    <t>VIRTUAL.ACCT.ID</t>
  </si>
  <si>
    <t>VIRTUAL.ACCT.NAME</t>
  </si>
  <si>
    <t>NICE.ACCT</t>
  </si>
  <si>
    <t>KENH.TT</t>
  </si>
  <si>
    <t>ATM Cash Deposit</t>
  </si>
  <si>
    <t>FT22208548670631</t>
  </si>
  <si>
    <t>KHACH HANG CMT 123456789 NOP TIEN T AI MAY CDM</t>
  </si>
  <si>
    <t>TEMENOS1</t>
  </si>
  <si>
    <t>TEMENOS2</t>
  </si>
  <si>
    <t>VN0010349</t>
  </si>
  <si>
    <t>111111xxxxxx0385</t>
  </si>
  <si>
    <t>ATM/CDM</t>
  </si>
  <si>
    <t>New Deposit</t>
  </si>
  <si>
    <t>LD2220800098</t>
  </si>
  <si>
    <t>Rut tien nop vao tiet kiem/tien gui CKH-LD2220800098</t>
  </si>
  <si>
    <t>EBANK.4</t>
  </si>
  <si>
    <t>FT22217023050576</t>
  </si>
  <si>
    <t>NOP TIEN TAI MAY CDM</t>
  </si>
  <si>
    <t>454119xxxxxx1200</t>
  </si>
  <si>
    <t>CSH WD ATM</t>
  </si>
  <si>
    <t>FT22217853563164</t>
  </si>
  <si>
    <t>RUT TIEN TAI ATM</t>
  </si>
  <si>
    <t>1733906/NGUYEN THI KIEU OANH</t>
  </si>
  <si>
    <t>Transfer</t>
  </si>
  <si>
    <t>FT22249403710670\BDG</t>
  </si>
  <si>
    <t>Chantelle TT luong thang 8.2022</t>
  </si>
  <si>
    <t>VN0010261</t>
  </si>
  <si>
    <t>VPB202209060000002374</t>
  </si>
  <si>
    <t>FT22249106003514\I2B</t>
  </si>
  <si>
    <t>NGUYEN THI KIEU OANH chuyen tien</t>
  </si>
  <si>
    <t>VN0010005</t>
  </si>
  <si>
    <t>VPB2209060318382308</t>
  </si>
  <si>
    <t>NAPAS</t>
  </si>
  <si>
    <t>Inward SIC Payment</t>
  </si>
  <si>
    <t>FT22272CM0000077\HCM</t>
  </si>
  <si>
    <t>TGIAN MODULE DD-DU CO SAL2022271S0 41001321002 BHXH THUAN AN CHUYEN TI EN TRO CAP ODTS QUA TAI KHOAN ATM C UA NGUOI LAO DONG DOT 12 NGAY 23 26 .09.22</t>
  </si>
  <si>
    <t>VN0010102</t>
  </si>
  <si>
    <t>CITAD</t>
  </si>
  <si>
    <t>Hach toan lai</t>
  </si>
  <si>
    <t>0378137873-20220930</t>
  </si>
  <si>
    <t>Hach toan lai-0378137873-20220930</t>
  </si>
  <si>
    <t>COBUSER</t>
  </si>
  <si>
    <t>FT22277054389003\BDG</t>
  </si>
  <si>
    <t>Chantelle TT luong T9.2022</t>
  </si>
  <si>
    <t>VPB202210040000016200</t>
  </si>
  <si>
    <t>FT22278800923900</t>
  </si>
  <si>
    <t>FT22278800928283</t>
  </si>
  <si>
    <t>FT22278369582296</t>
  </si>
  <si>
    <t>0378137873-20221031</t>
  </si>
  <si>
    <t>Hach toan lai-0378137873-20221031</t>
  </si>
  <si>
    <t>FT22306158764696\BDG</t>
  </si>
  <si>
    <t>Chantelle TT luong T10.2022</t>
  </si>
  <si>
    <t>VPB202211020000013631</t>
  </si>
  <si>
    <t>FT22306208889090</t>
  </si>
  <si>
    <t>FT22306303253650</t>
  </si>
  <si>
    <t>FT22306700976590</t>
  </si>
  <si>
    <t>FT22315450734510</t>
  </si>
  <si>
    <t>NHAN TU 104875231276 TRACE 600273 ND NGUYEN THI KIEU OANH Chuyen tien</t>
  </si>
  <si>
    <t>FT22315654891119\I2B</t>
  </si>
  <si>
    <t>Nap tien dich vu 0848244336 100000 .0</t>
  </si>
  <si>
    <t>TOP2211110363176747</t>
  </si>
  <si>
    <t>FT22325601613902</t>
  </si>
  <si>
    <t>NHAN TU 6321205323995 TRACE 225891 ND VPB 0378137873 DAO CHAU TU THIEN chuyen khoan</t>
  </si>
  <si>
    <t>0378137873-20221130</t>
  </si>
  <si>
    <t>Hach toan lai-0378137873-20221130</t>
  </si>
  <si>
    <t>FT22336980013704\BDG</t>
  </si>
  <si>
    <t>Chantelle TT luong T11.2022</t>
  </si>
  <si>
    <t>VPB202212020000012427</t>
  </si>
  <si>
    <t>FT22337770682716</t>
  </si>
  <si>
    <t>FT22337685542766</t>
  </si>
  <si>
    <t>FT22337407303020</t>
  </si>
  <si>
    <t>FT22337685550407</t>
  </si>
  <si>
    <t>FT22339410581281\I2B</t>
  </si>
  <si>
    <t>VPB2212030379823051</t>
  </si>
  <si>
    <t>FT22339709905839</t>
  </si>
  <si>
    <t>NHAN TU 104875231276 TRACE 312976 ND NGUYEN THI KIEU OANH Chuyen tien</t>
  </si>
  <si>
    <t>FT22343943421213\I2B</t>
  </si>
  <si>
    <t>VPB2212090383779339</t>
  </si>
  <si>
    <t>FT22343264090838</t>
  </si>
  <si>
    <t>NHAN TU 104875231276 TRACE 113190 ND NGUYEN THI KIEU OANH Chuyen tien</t>
  </si>
  <si>
    <t>FT22344401014070</t>
  </si>
  <si>
    <t>NHAN TU 5590206024789 TRACE 512228 ND VPB 0378137873 TRAN THANH THIEN chuyen khoan</t>
  </si>
  <si>
    <t>FT22344430206012\I2B</t>
  </si>
  <si>
    <t>VPB2212100385077322</t>
  </si>
  <si>
    <t>FT22344089907913</t>
  </si>
  <si>
    <t>NHAN TU 5590206024789 TRACE 016806 ND VPB 0378137873 TRAN THANH THIEN chuyen khoan</t>
  </si>
  <si>
    <t>FT22344060364931\I2B</t>
  </si>
  <si>
    <t>VPB2212100385082810</t>
  </si>
  <si>
    <t>FT22356264511001\I2B</t>
  </si>
  <si>
    <t>Nap tien dich vu 0378137873 200000 .0</t>
  </si>
  <si>
    <t>TOP2212220394220498</t>
  </si>
  <si>
    <t>FT22356264512802\I2B</t>
  </si>
  <si>
    <t>TOP2212220394220568</t>
  </si>
  <si>
    <t>FT22356264520840\I2B</t>
  </si>
  <si>
    <t>Nap tien dich vu 0848244336 200000 .0</t>
  </si>
  <si>
    <t>TOP2212220394220783</t>
  </si>
  <si>
    <t>FT22356777945272</t>
  </si>
  <si>
    <t>FT22356260636808</t>
  </si>
  <si>
    <t>FT22364654944505</t>
  </si>
  <si>
    <t>FT22364537730646</t>
  </si>
  <si>
    <t>0378137873-20221231</t>
  </si>
  <si>
    <t>Hach toan lai-0378137873-20221231</t>
  </si>
  <si>
    <t>FT23004078280495\I2B</t>
  </si>
  <si>
    <t>DANG THANH THUY chuyen tien</t>
  </si>
  <si>
    <t>4940974/DANG THANH THUY DANG THANH THUY</t>
  </si>
  <si>
    <t>VPB2301040404472817</t>
  </si>
  <si>
    <t>FT23004260070074\BDG</t>
  </si>
  <si>
    <t>Chantelle TT luong T12.2022</t>
  </si>
  <si>
    <t>VPB202301040000022591</t>
  </si>
  <si>
    <t>FT23004671200422\TTT</t>
  </si>
  <si>
    <t>VN0010242</t>
  </si>
  <si>
    <t>VPB2301040405077847</t>
  </si>
  <si>
    <t>FT23005129488003</t>
  </si>
  <si>
    <t>FT23005874108081</t>
  </si>
  <si>
    <t>FT23005086747973</t>
  </si>
  <si>
    <t>FT23006126058352\I2B</t>
  </si>
  <si>
    <t>HA THI THAO chuyen tien</t>
  </si>
  <si>
    <t>4124686/HA THI THAO HA THI THAO</t>
  </si>
  <si>
    <t>VPB2301060406778083</t>
  </si>
  <si>
    <t>FT23006286698445\I2B</t>
  </si>
  <si>
    <t>VPB2301060407011518</t>
  </si>
  <si>
    <t>FT23007548316507</t>
  </si>
  <si>
    <t>FT23011562867166\BDG</t>
  </si>
  <si>
    <t>Chantelle TT thuong T1.2023</t>
  </si>
  <si>
    <t>VPB202301110000032574</t>
  </si>
  <si>
    <t>FT23011091989062</t>
  </si>
  <si>
    <t>VPB2301110411220871</t>
  </si>
  <si>
    <t>FT23016708818086</t>
  </si>
  <si>
    <t>NHAN TU 104875231276 TRACE 448189 ND NGUYEN THI KIEU OANH Chuyen tien</t>
  </si>
  <si>
    <t>FT23016145279860</t>
  </si>
  <si>
    <t>FT23016185028650</t>
  </si>
  <si>
    <t>FT23016145288510</t>
  </si>
  <si>
    <t>FT23017060114708</t>
  </si>
  <si>
    <t>NHAN TU 5590206024789 TRACE 321458 ND VPB 0378137873 TRAN THANH THIEN chuyen khoan</t>
  </si>
  <si>
    <t>FT23018901982290</t>
  </si>
  <si>
    <t>FT23026522857487\BNK</t>
  </si>
  <si>
    <t>VN0010001</t>
  </si>
  <si>
    <t>FT23026001516834\BNK</t>
  </si>
  <si>
    <t>FT23027175131378</t>
  </si>
  <si>
    <t>Thanh toan goc lai LD2220800098</t>
  </si>
  <si>
    <t>FT23028320753254\BDG</t>
  </si>
  <si>
    <t>VPB2301280423460522</t>
  </si>
  <si>
    <t>FT23028601921000</t>
  </si>
  <si>
    <t>VPB2301280423514586</t>
  </si>
  <si>
    <t>0378137873-20230131</t>
  </si>
  <si>
    <t>Hach toan lai-0378137873-20230131</t>
  </si>
  <si>
    <t>FT23033481929700\BDG</t>
  </si>
  <si>
    <t>Chantelle TT luong T1.2023</t>
  </si>
  <si>
    <t>VPB202302020000020543</t>
  </si>
  <si>
    <t>FT23033950772064</t>
  </si>
  <si>
    <t>FT23033650460452</t>
  </si>
  <si>
    <t>FT23033862640025</t>
  </si>
  <si>
    <t>FT23034716734401</t>
  </si>
  <si>
    <t>VPB2302030427014003</t>
  </si>
  <si>
    <t>Outward Loc Clearing Payment</t>
  </si>
  <si>
    <t>FT23040CI2B00711</t>
  </si>
  <si>
    <t>VPB2302080431295638</t>
  </si>
  <si>
    <t>FT23040913359217</t>
  </si>
  <si>
    <t>VPB2302090431416475</t>
  </si>
  <si>
    <t>FT23040061020728</t>
  </si>
  <si>
    <t>NHAN TU 104875231276 TRACE 519798 ND NGUYEN THI KIEU OANH Chuyen tien</t>
  </si>
  <si>
    <t>FT23040662511921</t>
  </si>
  <si>
    <t>VPB2302090431417144</t>
  </si>
  <si>
    <t>FT23051760315707\BDG</t>
  </si>
  <si>
    <t>VPB2302200440162629</t>
  </si>
  <si>
    <t>FT23052402834835</t>
  </si>
  <si>
    <t>VPB2302200440394692</t>
  </si>
  <si>
    <t>FT23053106223047</t>
  </si>
  <si>
    <t>NHAN TU 902591356 TRACE 742411 ND TRAN THI TUYET NHUNG chuyen tien den NGUYEN THI KIEU OANH - 0378137873</t>
  </si>
  <si>
    <t>FT23055252404901</t>
  </si>
  <si>
    <t>VPB2302240443296055</t>
  </si>
  <si>
    <t>FT23058084206424\BNK</t>
  </si>
  <si>
    <t>TOP2302260444839491 Nap tien dich vu:-0378137873-100000.0</t>
  </si>
  <si>
    <t>TOP2302260444839491</t>
  </si>
  <si>
    <t>FT23058030487602\BNK</t>
  </si>
  <si>
    <t>TOP2302260444841244 Nap tien dich vu:-0848244336-100000.0</t>
  </si>
  <si>
    <t>TOP2302260444841244</t>
  </si>
  <si>
    <t>FT23058900252795\BNK</t>
  </si>
  <si>
    <t>TOP2302260444841653 Nap tien dich vu:-0848244336-50000.0</t>
  </si>
  <si>
    <t>TOP2302260444841653</t>
  </si>
  <si>
    <t>0378137873-20230228</t>
  </si>
  <si>
    <t>Hach toan lai-0378137873-20230228</t>
  </si>
  <si>
    <t>FT23061094085280\BDG</t>
  </si>
  <si>
    <t>Chantelle TT luong T2.2023</t>
  </si>
  <si>
    <t>VPB202303020000011498</t>
  </si>
  <si>
    <t>FT23061901707005</t>
  </si>
  <si>
    <t>W000000065401480</t>
  </si>
  <si>
    <t>FT23061980342779</t>
  </si>
  <si>
    <t>FT23061100030973</t>
  </si>
  <si>
    <t>FT23062517303348</t>
  </si>
  <si>
    <t>FT23062989517750</t>
  </si>
  <si>
    <t>FT23062320853566</t>
  </si>
  <si>
    <t>FT23062320857625</t>
  </si>
  <si>
    <t>FT23081496776007</t>
  </si>
  <si>
    <t>FT23090836082855\I2B</t>
  </si>
  <si>
    <t>TOP2303310471844560</t>
  </si>
  <si>
    <t>FT23090836085942\I2B</t>
  </si>
  <si>
    <t>TOP2303310471844677</t>
  </si>
  <si>
    <t>FT23090617865295\I2B</t>
  </si>
  <si>
    <t>TOP2303310471844828</t>
  </si>
  <si>
    <t>FT23090617868959\I2B</t>
  </si>
  <si>
    <t>TOP2303310471844958</t>
  </si>
  <si>
    <t>0378137873-20230331</t>
  </si>
  <si>
    <t>Hach toan lai-0378137873-20230331</t>
  </si>
  <si>
    <t>FT23093930587008</t>
  </si>
  <si>
    <t>NHAN TU 902591356 TRACE 738829 ND TRAN THI TUYET NHUNG chuyen tien den NGUYEN THI KIEU OANH - 0378137873</t>
  </si>
  <si>
    <t>FT23094996601483</t>
  </si>
  <si>
    <t>FT23094603087559\BDG</t>
  </si>
  <si>
    <t>Chantelle TT luong T3.2023</t>
  </si>
  <si>
    <t>VPB202304040000031580</t>
  </si>
  <si>
    <t>FT23094150404255</t>
  </si>
  <si>
    <t>FT23094996715225</t>
  </si>
  <si>
    <t>FT23094819542000</t>
  </si>
  <si>
    <t>FT23094002602868</t>
  </si>
  <si>
    <t>FT23094357183044</t>
  </si>
  <si>
    <t>DAO THI HANG chuyen tien</t>
  </si>
  <si>
    <t>8993017/DAO THI HANG</t>
  </si>
  <si>
    <t>VPB2304040475814051</t>
  </si>
  <si>
    <t>FT23094483467088\BDG</t>
  </si>
  <si>
    <t>DOAN THI NI chuyen tien</t>
  </si>
  <si>
    <t>4124683/DOAN THI NI DOAN THI NI</t>
  </si>
  <si>
    <t>VPB2304040475873741</t>
  </si>
  <si>
    <t>FT23095275914040\BDG</t>
  </si>
  <si>
    <t>NGUYEN THI DINH chuyen tien</t>
  </si>
  <si>
    <t>4597038/NGUYEN THI DINH NGUYEN THI DINH</t>
  </si>
  <si>
    <t>VPB2304050476162772</t>
  </si>
  <si>
    <t>FT23095238332616\BDG</t>
  </si>
  <si>
    <t>PHAN THI HUONG chuyen tien</t>
  </si>
  <si>
    <t>4446517/PHAN THI HUONG PHAN THI HUONG</t>
  </si>
  <si>
    <t>VPB2304050476163942</t>
  </si>
  <si>
    <t>FT23095392188590</t>
  </si>
  <si>
    <t>NGUYEN THI DUNG chuyen tien</t>
  </si>
  <si>
    <t>8291425/NGUYEN THI DUNG</t>
  </si>
  <si>
    <t>VPB2304050476192231</t>
  </si>
  <si>
    <t>FT23095070693673</t>
  </si>
  <si>
    <t>FT23095608866845</t>
  </si>
  <si>
    <t>FT23095641690006</t>
  </si>
  <si>
    <t>FT23100905065122</t>
  </si>
  <si>
    <t>NHAN TU 5590206024789 TRACE 286300 ND VPB 0378137873 TRAN THANH THIEN chuyen khoan</t>
  </si>
  <si>
    <t>FT23103194545477</t>
  </si>
  <si>
    <t>VPB2304130483809715</t>
  </si>
  <si>
    <t>FT23107568406924</t>
  </si>
  <si>
    <t>FT23116490162004</t>
  </si>
  <si>
    <t>FT23116410930422</t>
  </si>
  <si>
    <t>FT23117027612564\I2B</t>
  </si>
  <si>
    <t>Nap tien dich vu 0378137873 100000 .0</t>
  </si>
  <si>
    <t>TOP2304270495917844</t>
  </si>
  <si>
    <t>FT23117901680594\I2B</t>
  </si>
  <si>
    <t>Nap tien dich vu 0378137873 10000. 0</t>
  </si>
  <si>
    <t>TOP2304270495919241</t>
  </si>
  <si>
    <t>FT23117806428505\I2B</t>
  </si>
  <si>
    <t>TOP2304270495920309</t>
  </si>
  <si>
    <t>FT23117506407026\BNK</t>
  </si>
  <si>
    <t>TOP2304270495921194 Nap tien dich vu:-0378137873-20000.0</t>
  </si>
  <si>
    <t>TOP2304270495921194</t>
  </si>
  <si>
    <t>FT23117140501825\I2B</t>
  </si>
  <si>
    <t>TOP2304270495922058</t>
  </si>
  <si>
    <t>FT23117720341391\I2B</t>
  </si>
  <si>
    <t>TOP2304270495923405</t>
  </si>
  <si>
    <t>FT23117027641157\I2B</t>
  </si>
  <si>
    <t>Nap tien dich vu 0848224336 30000. 0</t>
  </si>
  <si>
    <t>TOP2304270495924421</t>
  </si>
  <si>
    <t>0378137873-20230430</t>
  </si>
  <si>
    <t>Hach toan lai-0378137873-20230430</t>
  </si>
  <si>
    <t>FT23124960467469</t>
  </si>
  <si>
    <t>FT23124931904855\BDG</t>
  </si>
  <si>
    <t>Chantelle thanh toan luong T4.2023</t>
  </si>
  <si>
    <t>VPB202305040000016202</t>
  </si>
  <si>
    <t>FT23124408273070</t>
  </si>
  <si>
    <t>FT23124077949747</t>
  </si>
  <si>
    <t>VPB2305040501046335</t>
  </si>
  <si>
    <t>FT23126964103267</t>
  </si>
  <si>
    <t>FT23126042063001</t>
  </si>
  <si>
    <t>FT23128615183896</t>
  </si>
  <si>
    <t>VPB2305070503290657</t>
  </si>
  <si>
    <t>FT23142446476099</t>
  </si>
  <si>
    <t>NHAN TU 9704034142056968 TRACE 067466 ND IBFT TRAN THI TUYET NHUNG chuyen tien</t>
  </si>
  <si>
    <t>FT23143699202684</t>
  </si>
  <si>
    <t>FT23151713316062</t>
  </si>
  <si>
    <t>0378137873-20230531</t>
  </si>
  <si>
    <t>Hach toan lai-0378137873-20230531</t>
  </si>
  <si>
    <t>FT23153149300582\BDG</t>
  </si>
  <si>
    <t>Chantelle TT luong T5.2023</t>
  </si>
  <si>
    <t>VPB202306020000009903</t>
  </si>
  <si>
    <t>FT23153861332569</t>
  </si>
  <si>
    <t>FT23153016778607</t>
  </si>
  <si>
    <t>FT23153461706148</t>
  </si>
  <si>
    <t>FT23177856601030\BNK</t>
  </si>
  <si>
    <t>TOP2306260548056192 Nap tien dich vu:-0378137873-20000.0</t>
  </si>
  <si>
    <t>TOP2306260548056192</t>
  </si>
  <si>
    <t>FT23177227940300\BNK</t>
  </si>
  <si>
    <t>TOP2306260548056243 Nap tien dich vu:-0848244336-100000.0</t>
  </si>
  <si>
    <t>TOP2306260548056243</t>
  </si>
  <si>
    <t>FT23177359783022\BNK</t>
  </si>
  <si>
    <t>TOP2306260548056268 Nap tien dich vu:-0848244336-30000.0</t>
  </si>
  <si>
    <t>TOP2306260548056268</t>
  </si>
  <si>
    <t>FT23177936400337\BNK</t>
  </si>
  <si>
    <t>TOP2306260548056392 Nap tien dich vu:-0378137873-20000.0</t>
  </si>
  <si>
    <t>TOP2306260548056392</t>
  </si>
  <si>
    <t>FT23181760605188</t>
  </si>
  <si>
    <t>NHAN TU 65110003086192 TRACE 663524 ND KIEU THI THANH THUY Chuyen tien</t>
  </si>
  <si>
    <t>0378137873-20230630</t>
  </si>
  <si>
    <t>Hach toan lai-0378137873-20230630</t>
  </si>
  <si>
    <t>FT23182202299479</t>
  </si>
  <si>
    <t>VPB2307010553476388</t>
  </si>
  <si>
    <t>FT23184961970233\BDG</t>
  </si>
  <si>
    <t>Chantelle TT luong T6.2023</t>
  </si>
  <si>
    <t>VPB202307030000025716</t>
  </si>
  <si>
    <t>FT23184574304350</t>
  </si>
  <si>
    <t>FT23184314903450</t>
  </si>
  <si>
    <t>FT23184644498788</t>
  </si>
  <si>
    <t>FT23184049391874</t>
  </si>
  <si>
    <t>FT23192000991934</t>
  </si>
  <si>
    <t>NHAN TU 5590206024789 TRACE 786591 ND VPB 0378137873 TRAN THANH THIEN chuyen khoan</t>
  </si>
  <si>
    <t>FT23192837059468</t>
  </si>
  <si>
    <t>VPB2307110563241200</t>
  </si>
  <si>
    <t>FT23193897879746</t>
  </si>
  <si>
    <t>FT23193065424497</t>
  </si>
  <si>
    <t>FT23193777254508</t>
  </si>
  <si>
    <t>FT23202825064128</t>
  </si>
  <si>
    <t>NHAN TU 105002980634 TRACE 008668 ND TRAN DINH THE chuyen tien</t>
  </si>
  <si>
    <t>FT23205663533884</t>
  </si>
  <si>
    <t>FT23205625068000</t>
  </si>
  <si>
    <t>0378137873-20230731</t>
  </si>
  <si>
    <t>Hach toan lai-0378137873-20230731</t>
  </si>
  <si>
    <t>FT23213110333491\BDG</t>
  </si>
  <si>
    <t>Chantelle TT luong T7.2023</t>
  </si>
  <si>
    <t>VPB202308010000027374</t>
  </si>
  <si>
    <t>FT23213299969042\BDG</t>
  </si>
  <si>
    <t>VPB2308010582822099</t>
  </si>
  <si>
    <t>FT23213079153260\BDG</t>
  </si>
  <si>
    <t>VPB2308010582837138</t>
  </si>
  <si>
    <t>FT23213034309005</t>
  </si>
  <si>
    <t>FT23213241246510</t>
  </si>
  <si>
    <t>FT23213459689014</t>
  </si>
  <si>
    <t>FT23213243080882</t>
  </si>
  <si>
    <t>FT23223012528524</t>
  </si>
  <si>
    <t>NHAN TU 5590206024789 TRACE 780552 ND VPB 0378137873 TRAN THANH THIEN chuyen khoan</t>
  </si>
  <si>
    <t>FT23224439504464</t>
  </si>
  <si>
    <t>VPB2308120593833820</t>
  </si>
  <si>
    <t>FT23224487109084</t>
  </si>
  <si>
    <t>FT23226340192174\BNK</t>
  </si>
  <si>
    <t>TOP2308140595328535 Nap tien dich vu:-0848244336-20000.0</t>
  </si>
  <si>
    <t>TOP2308140595328535</t>
  </si>
  <si>
    <t>FT23226513205001\BNK</t>
  </si>
  <si>
    <t>TOP2308140595330816 Nap tien dich vu:-0378137873-20000.0</t>
  </si>
  <si>
    <t>TOP2308140595330816</t>
  </si>
  <si>
    <t>FT23227650654501</t>
  </si>
  <si>
    <t>NHAN TU 5590206024789 TRACE 850652 ND VPB 0378137873 TRAN THANH THIEN chuyen khoan</t>
  </si>
  <si>
    <t>FT23228058535546</t>
  </si>
  <si>
    <t>VPB2308160597889801</t>
  </si>
  <si>
    <t>FT23236241208998</t>
  </si>
  <si>
    <t>NHAN TU 14001011970000 TRACE 180820 ND Nguyen Thi Lien chuyen tien</t>
  </si>
  <si>
    <t>0378137873-20230831</t>
  </si>
  <si>
    <t>Hach toan lai-0378137873-20230831</t>
  </si>
  <si>
    <t>FT23248815053707</t>
  </si>
  <si>
    <t>FT23248815057836</t>
  </si>
  <si>
    <t>FT23248993338534</t>
  </si>
  <si>
    <t>FT23248510310652</t>
  </si>
  <si>
    <t>FT23248637000063</t>
  </si>
  <si>
    <t>VPB2309050617436197</t>
  </si>
  <si>
    <t>FT23248601404628\BDG</t>
  </si>
  <si>
    <t>Chantelle TT luong 8.2023</t>
  </si>
  <si>
    <t>VPB202309050000041447</t>
  </si>
  <si>
    <t>FT23248280883684</t>
  </si>
  <si>
    <t>VPB2309050617838904</t>
  </si>
  <si>
    <t>FT23251295033415</t>
  </si>
  <si>
    <t>NHAN TU 902591356 TRACE 304866 ND TRAN THI TUYET NHUNG chuyen tien den NGUYEN THI KIEU OANH - 0378137873</t>
  </si>
  <si>
    <t>FT23251850004841</t>
  </si>
  <si>
    <t>NHAN TU 5590206024789 TRACE 237598 ND VPB 0378137873 TRAN THANH THIEN chuyen khoan</t>
  </si>
  <si>
    <t>FT23261560290595</t>
  </si>
  <si>
    <t>VPB2309180631015033</t>
  </si>
  <si>
    <t>FT23261416415119</t>
  </si>
  <si>
    <t>VPB2309180631015167</t>
  </si>
  <si>
    <t>FT23265579359631</t>
  </si>
  <si>
    <t>NHAN TU 902591356 TRACE 282487 ND TRAN THI TUYET NHUNG chuyen tien den NGUYEN THI KIEU OANH - 0378137873</t>
  </si>
  <si>
    <t>FT23268029440013</t>
  </si>
  <si>
    <t>VPB2309250638643484</t>
  </si>
  <si>
    <t>0378137873-20230930</t>
  </si>
  <si>
    <t>Hach toan lai-0378137873-20230930</t>
  </si>
  <si>
    <t>FT23277948706011</t>
  </si>
  <si>
    <t>NHAN TU 902591356 TRACE 882292 ND TRAN THI TUYET NHUNG chuyen tien den NGUYEN THI KIEU OANH - 0378137873</t>
  </si>
  <si>
    <t>FT23277013853161</t>
  </si>
  <si>
    <t>VPB2310040648685493</t>
  </si>
  <si>
    <t>FT23277104404905</t>
  </si>
  <si>
    <t>FT23277960052116</t>
  </si>
  <si>
    <t>NHAN TU 902591356 TRACE 018152 ND TRAN THI TUYET NHUNG chuyen tien den NGUYEN THI KIEU OANH - 0378137873</t>
  </si>
  <si>
    <t>FT23277009422771</t>
  </si>
  <si>
    <t>FT23277719718400</t>
  </si>
  <si>
    <t>FT23283802416068</t>
  </si>
  <si>
    <t>NHAN TU 5590206024789 TRACE 207026 ND VPB 0378137873 TRAN THANH THIEN chuyen khoan</t>
  </si>
  <si>
    <t>FT23287750115049</t>
  </si>
  <si>
    <t>FT23287750120061</t>
  </si>
  <si>
    <t>FT23287735778066</t>
  </si>
  <si>
    <t>FT23294119101417</t>
  </si>
  <si>
    <t>FT23294710758226</t>
  </si>
  <si>
    <t>FT23294022500457</t>
  </si>
  <si>
    <t>FT23294022502797</t>
  </si>
  <si>
    <t>FT23294905424258</t>
  </si>
  <si>
    <t>VPB2310210668385538</t>
  </si>
  <si>
    <t>FT23296042907179\SGN</t>
  </si>
  <si>
    <t>VN0010106</t>
  </si>
  <si>
    <t>VPB2310220669261284</t>
  </si>
  <si>
    <t>0378137873-20231031</t>
  </si>
  <si>
    <t>Hach toan lai-0378137873-20231031</t>
  </si>
  <si>
    <t>FT23305820028005\BDG</t>
  </si>
  <si>
    <t>Chantelle TT luong T10.2023</t>
  </si>
  <si>
    <t>VPB202311010000026982</t>
  </si>
  <si>
    <t>FT23306670523510</t>
  </si>
  <si>
    <t>FT23306670527246</t>
  </si>
  <si>
    <t>FT23306247496756</t>
  </si>
  <si>
    <t>FT23306670533483</t>
  </si>
  <si>
    <t>FT23310708804003</t>
  </si>
  <si>
    <t>VPB2311050684457907</t>
  </si>
  <si>
    <t>FT23310821710792</t>
  </si>
  <si>
    <t>VPB2311050684459723</t>
  </si>
  <si>
    <t>FT23313256119653</t>
  </si>
  <si>
    <t>NHAN TU 5590206024789 TRACE 753559 ND VPB 0378137873 TRAN THANH THIEN chuyen khoan</t>
  </si>
  <si>
    <t>FT23317415115980</t>
  </si>
  <si>
    <t>NHAN TU 902591356 TRACE 804305 ND TRAN THI TUYET NHUNG chuyen tien den NGUYEN THI KIEU OANH - 0378137873</t>
  </si>
  <si>
    <t>FT23326769442948</t>
  </si>
  <si>
    <t>FT23326171969901</t>
  </si>
  <si>
    <t>FT23326405580884</t>
  </si>
  <si>
    <t>FT23326803202036</t>
  </si>
  <si>
    <t>0378137873-20231130</t>
  </si>
  <si>
    <t>Hach toan lai-0378137873-20231130</t>
  </si>
  <si>
    <t>FT23338062090092</t>
  </si>
  <si>
    <t>VPB2312030716402938</t>
  </si>
  <si>
    <t>FT23338629040952</t>
  </si>
  <si>
    <t>VPB2312030716404742</t>
  </si>
  <si>
    <t>FT23338600409483</t>
  </si>
  <si>
    <t>FT23338987149059</t>
  </si>
  <si>
    <t>FT23338004039814</t>
  </si>
  <si>
    <t>FT23338021200020</t>
  </si>
  <si>
    <t>FT23338250942502\BDG</t>
  </si>
  <si>
    <t>Chantelle TT luong T11.2023</t>
  </si>
  <si>
    <t>VPB202312040000011159</t>
  </si>
  <si>
    <t>FT23342449603369</t>
  </si>
  <si>
    <t>NHAN TU 5590206024789 TRACE 878202 ND VPB 0378137873 TRAN THANH THIEN chuyen khoan</t>
  </si>
  <si>
    <t>FT23343944291121</t>
  </si>
  <si>
    <t>VPB2312090723882913</t>
  </si>
  <si>
    <t>FT23352630713210</t>
  </si>
  <si>
    <t>FT23352543899711</t>
  </si>
  <si>
    <t>FT23360970110194</t>
  </si>
  <si>
    <t>FT23360061070053</t>
  </si>
  <si>
    <t>FT23365041304805</t>
  </si>
  <si>
    <t>FT23365570144984</t>
  </si>
  <si>
    <t>0378137873-20231231</t>
  </si>
  <si>
    <t>Hach toan lai-0378137873-20231231</t>
  </si>
  <si>
    <t>FT24004753514547\BDG</t>
  </si>
  <si>
    <t>Chantelle TT luong T12.2023</t>
  </si>
  <si>
    <t>VPB202401040000009146</t>
  </si>
  <si>
    <t>FT24004768951816</t>
  </si>
  <si>
    <t>FT24004859340829</t>
  </si>
  <si>
    <t>FT24004093098932</t>
  </si>
  <si>
    <t>FT24004109894922</t>
  </si>
  <si>
    <t>FT24010955503216</t>
  </si>
  <si>
    <t>NHAN TU 5590206024789 TRACE 286132 ND VPB 0378137873 TRAN THANH THIEN chuyen khoan</t>
  </si>
  <si>
    <t>FT24012160090484</t>
  </si>
  <si>
    <t>FT24012963563249</t>
  </si>
  <si>
    <t>FT24012090717811</t>
  </si>
  <si>
    <t>FT24012090721519</t>
  </si>
  <si>
    <t>FT24019102426706</t>
  </si>
  <si>
    <t>FT24019407175509</t>
  </si>
  <si>
    <t>FT24019516070030</t>
  </si>
  <si>
    <t>FT24022012870036\BDG</t>
  </si>
  <si>
    <t>Chantelle TT thuong tet</t>
  </si>
  <si>
    <t>VPB202401220000008205</t>
  </si>
  <si>
    <t>FT24025454460113</t>
  </si>
  <si>
    <t>NHAN TU 5590206024789 TRACE 664122 ND VPB 0378137873 TRAN THANH THIEN chuyen khoan</t>
  </si>
  <si>
    <t>FT24026492013780</t>
  </si>
  <si>
    <t>FT24026270280638</t>
  </si>
  <si>
    <t>0378137873-20240131</t>
  </si>
  <si>
    <t>Hach toan lai-0378137873-20240131</t>
  </si>
  <si>
    <t>FT24032561086530\BDG</t>
  </si>
  <si>
    <t>Chantelle TT luong T1.2024</t>
  </si>
  <si>
    <t>VPB202402010000060032</t>
  </si>
  <si>
    <t>FT24033558054901</t>
  </si>
  <si>
    <t>VPB2402020791420662</t>
  </si>
  <si>
    <t>FT24033032341223</t>
  </si>
  <si>
    <t>VPB2402020792055321</t>
  </si>
  <si>
    <t>FT24033974706609</t>
  </si>
  <si>
    <t>FT24033646643807</t>
  </si>
  <si>
    <t>FT24033330044312</t>
  </si>
  <si>
    <t>FT24033402260006</t>
  </si>
  <si>
    <t>FT24033051790520</t>
  </si>
  <si>
    <t>VPB2402020792619804</t>
  </si>
  <si>
    <t>FT24033380319903</t>
  </si>
  <si>
    <t>VPB2402020792641000</t>
  </si>
  <si>
    <t>FT24036120431001</t>
  </si>
  <si>
    <t>Tran Nguyen Tuyet Nhu lop 4a ma so 4592</t>
  </si>
  <si>
    <t>VPB2402040794478009</t>
  </si>
  <si>
    <t>FT24037303608630</t>
  </si>
  <si>
    <t>NHAN TU 5590206024789 TRACE 550254 ND VPB 0378137873 TRAN THANH THIEN chuyen khoan</t>
  </si>
  <si>
    <t>FT24045108908116</t>
  </si>
  <si>
    <t>VPB2402090802754368</t>
  </si>
  <si>
    <t>FT24045010548496\BNK</t>
  </si>
  <si>
    <t>TOP2402130804742259 Nap tien dich vu:-0848244336-100000.0</t>
  </si>
  <si>
    <t>TOP2402130804742259</t>
  </si>
  <si>
    <t>FT24045008591011\BNK</t>
  </si>
  <si>
    <t>TOP2402130804743115 Nap tien dich vu:-0848244336-50000.0</t>
  </si>
  <si>
    <t>TOP2402130804743115</t>
  </si>
  <si>
    <t>FT24047401619939</t>
  </si>
  <si>
    <t>VPB2402160807030914</t>
  </si>
  <si>
    <t>FT24047306894324</t>
  </si>
  <si>
    <t>NHAN TU 0411001095079 TRACE 095995 ND MBVCB.5319807766.095995.NGUYEN DIEM HUONG chuyen tien.CT tu 0411001095079 NGUYEN DIEM HUONG toi 0378137873 NGUYEN THI KIEU OANH tai VPBANK</t>
  </si>
  <si>
    <t>FT24048405169643</t>
  </si>
  <si>
    <t>NHAN TU 1023528669 TRACE 062935 ND MBVCB.5322517116.062935.CHAU HUU COchuyen tien.CT tu 1023528669 CHAU HUU CO toi 0378137873 NGUYEN THI KIEU OANH tai VPBANK</t>
  </si>
  <si>
    <t>FT24050898001067</t>
  </si>
  <si>
    <t>NHAN TU 902591356 TRACE 861401 ND TRAN THI TUYET NHUNG chuyen tien den NGUYEN THI KIEU OANH - 0378137873</t>
  </si>
  <si>
    <t>FT24051CM0000175\HCM</t>
  </si>
  <si>
    <t>TGIAN MODULE DD-DU CO SAL2024050S0 41004948003 BHXH THUAN AN CHUYEN TI EN TRO CAP ODTS QUA TK ATM CUA NLD DOT 5 NGAY 7 15 16.02.24</t>
  </si>
  <si>
    <t>FT24052052440000</t>
  </si>
  <si>
    <t>FT24052236280001</t>
  </si>
  <si>
    <t>FT24052367780620</t>
  </si>
  <si>
    <t>0378137873-20240229</t>
  </si>
  <si>
    <t>Hach toan lai-0378137873-20240229</t>
  </si>
  <si>
    <t>FT24064632800802\BDG</t>
  </si>
  <si>
    <t>Chantelle TT luong T02.2024</t>
  </si>
  <si>
    <t>VPB202403040000030854</t>
  </si>
  <si>
    <t>FT24065048406807</t>
  </si>
  <si>
    <t>VPB2403050826484357</t>
  </si>
  <si>
    <t>FT24066002095040</t>
  </si>
  <si>
    <t>FT24066030051200</t>
  </si>
  <si>
    <t>FT24066526846009</t>
  </si>
  <si>
    <t>FT24068706010368</t>
  </si>
  <si>
    <t>NHAN TU 5590206024789 TRACE 275390 ND VPB 0378137873 TRAN THANH THIEN chuyen khoan</t>
  </si>
  <si>
    <t>FT24071675079225</t>
  </si>
  <si>
    <t>Tran Nguyen Tuyet Nhu lop 4a 4592</t>
  </si>
  <si>
    <t>VPB2403100832182208</t>
  </si>
  <si>
    <t>FT24071763006297\BNK</t>
  </si>
  <si>
    <t>TOP2403110833055863 Nap tien dich vu:-0848244336-100000.0</t>
  </si>
  <si>
    <t>TOP2403110833055863</t>
  </si>
  <si>
    <t>FT24071058429426\BNK</t>
  </si>
  <si>
    <t>TOP2403110833056608 Nap tien dich vu:-0848244336-10000.0</t>
  </si>
  <si>
    <t>TOP2403110833056608</t>
  </si>
  <si>
    <t>FT24085001217905</t>
  </si>
  <si>
    <t>0378137873-20240331</t>
  </si>
  <si>
    <t>Hach toan lai-0378137873-20240331</t>
  </si>
  <si>
    <t>FT24093801160072\BDG</t>
  </si>
  <si>
    <t>Chantelle TT luong T3.2024</t>
  </si>
  <si>
    <t>VPB202404020000024776</t>
  </si>
  <si>
    <t>FT24093033885924</t>
  </si>
  <si>
    <t>FT24093725807764</t>
  </si>
  <si>
    <t>FT24100306960217\I2B</t>
  </si>
  <si>
    <t>Nap tien dich vu 0848244336 100000.0</t>
  </si>
  <si>
    <t>TOP2404090869149110</t>
  </si>
  <si>
    <t>FT24100740909856\I2B</t>
  </si>
  <si>
    <t>Nap tien dich vu 0848244336 30000.0</t>
  </si>
  <si>
    <t>TOP2404090869149923</t>
  </si>
  <si>
    <t>FT24100036666862</t>
  </si>
  <si>
    <t>VPB2404090869485104</t>
  </si>
  <si>
    <t>FT24101988894014</t>
  </si>
  <si>
    <t>NHAN TU 5590206024789 TRACE 695747 ND VPB 0378137873 TRAN THANH THIEN chuyen khoan</t>
  </si>
  <si>
    <t>FT24101998099027</t>
  </si>
  <si>
    <t>VPB2404100871420626</t>
  </si>
  <si>
    <t>FT24103279919658</t>
  </si>
  <si>
    <t>FT24103535043962</t>
  </si>
  <si>
    <t>FT24110580204275</t>
  </si>
  <si>
    <t>VPB2404190882125993</t>
  </si>
  <si>
    <t>FT24113896586203</t>
  </si>
  <si>
    <t>VPB2404220886457233</t>
  </si>
  <si>
    <t>FT24117694092567</t>
  </si>
  <si>
    <t>FT24121505405284</t>
  </si>
  <si>
    <t>VPB2404280894390157</t>
  </si>
  <si>
    <t>0378137873-20240430</t>
  </si>
  <si>
    <t>Hach toan lai-0378137873-20240430</t>
  </si>
  <si>
    <t>FT24122074191192</t>
  </si>
  <si>
    <t>VPB2405010896997084</t>
  </si>
  <si>
    <t>FT24124439780657\BDG</t>
  </si>
  <si>
    <t>Chantelle TT luong T04.2024</t>
  </si>
  <si>
    <t>VPB202405030000023851</t>
  </si>
  <si>
    <t>FT24131070403601</t>
  </si>
  <si>
    <t>NHAN TU 5590206024789 TRACE 135166 ND VPB 0378137873 TRAN THANH THIEN chuyen khoan</t>
  </si>
  <si>
    <t>FT24135326040500</t>
  </si>
  <si>
    <t>Tran Nguyen tuyet nhu lop 4a 4592</t>
  </si>
  <si>
    <t>VPB2405140913960811</t>
  </si>
  <si>
    <t>FT24135157377406</t>
  </si>
  <si>
    <t>NHAN TU 5590206024789 TRACE 945826 ND VPB 0378137873 TRAN THANH THIEN chuyen khoan</t>
  </si>
  <si>
    <t>FT24137990087028\TRC</t>
  </si>
  <si>
    <t>VN0010373</t>
  </si>
  <si>
    <t>FT24137289700008\TRC</t>
  </si>
  <si>
    <t>FT24141488003354</t>
  </si>
  <si>
    <t>NHAN TU 100881679401 TRACE 559425 ND NGUYEN THI KIEU OANH Chuyen tien</t>
  </si>
  <si>
    <t>FT24141212474171</t>
  </si>
  <si>
    <t>FT24145898406925</t>
  </si>
  <si>
    <t>NHAN TU 171527797979 TRACE 375104 ND Thank you for your order 18faa1c36d7RK FT24145008407728</t>
  </si>
  <si>
    <t>FT24145350007984</t>
  </si>
  <si>
    <t>VPB2405240927763456</t>
  </si>
  <si>
    <t>FT24148748806074</t>
  </si>
  <si>
    <t>NHAN TU 0411001095079 TRACE 354352 ND MBVCB.6104291177.354352.NGUYEN DIEM HUONG chuyen tien.CT tu 0411001095079 NGUYEN DIEM HUONG toi 0378137873 NGUYEN THI KIEU OANH tai VPBANK</t>
  </si>
  <si>
    <t>FT24149727191753</t>
  </si>
  <si>
    <t>VPB2405280932581772</t>
  </si>
  <si>
    <t>FT24149009270171</t>
  </si>
  <si>
    <t>NHAN TU 139000000411 TRACE 024807 ND RTGS Transfer</t>
  </si>
  <si>
    <t>FT24149268707113</t>
  </si>
  <si>
    <t>VPB2405280932672972</t>
  </si>
  <si>
    <t>0378137873-20240531</t>
  </si>
  <si>
    <t>Hach toan lai-0378137873-20240531</t>
  </si>
  <si>
    <t>FT24162047798302</t>
  </si>
  <si>
    <t>NHAN TU 5590206024789 TRACE 596377 ND VPB 0378137873 TRAN THANH THIEN chuyen khoan</t>
  </si>
  <si>
    <t>FT24164CM0000222\HCM</t>
  </si>
  <si>
    <t>CHO TT CHUYEN TIEN DI TRNC SAL2024 163S051001253007 SOUNC.135+NGAYUNC. 11.06.24+STT.1639+SOSO.7416127269 B HXH HCM TCTN DOT 4 T6.24</t>
  </si>
  <si>
    <t>FT24167061080304</t>
  </si>
  <si>
    <t>NHAN TU 0411001095079 TRACE 750025 ND MBVCB.6262731335.750025.NGUYEN DIEM HUONG chuyen tien.CT tu 0411001095079 NGUYEN DIEM HUONG toi 0378137873 NGUYEN THI KIEU OANH tai VPBANK</t>
  </si>
  <si>
    <t>FT24167245012167</t>
  </si>
  <si>
    <t>VPB2406150957404239</t>
  </si>
  <si>
    <t>FT24167067662374</t>
  </si>
  <si>
    <t>VPB2406150957407205</t>
  </si>
  <si>
    <t>FT24169031027010</t>
  </si>
  <si>
    <t>VPB2406170960011477</t>
  </si>
  <si>
    <t>FT24169709887384</t>
  </si>
  <si>
    <t>NHAN TU 100881679401 TRACE 167950 ND NGUYEN THI KIEU OANH Chuyen tien</t>
  </si>
  <si>
    <t>Bal Enq ATM So du Inquiry ATM</t>
  </si>
  <si>
    <t>FT24169870120370\BNK</t>
  </si>
  <si>
    <t>PHI TRUY VAN SDU</t>
  </si>
  <si>
    <t>FT24170742932282\BNK</t>
  </si>
  <si>
    <t>TOP2406180961484239 Nap tien dich vu:-0378137873-100000.0</t>
  </si>
  <si>
    <t>TOP2406180961484239</t>
  </si>
  <si>
    <t>FT24171009108917</t>
  </si>
  <si>
    <t>NHAN TU 100881679401 TRACE 453519 ND NGUYEN THI KIEU OANH Chuyen tien</t>
  </si>
  <si>
    <t>FT24172066121971</t>
  </si>
  <si>
    <t>VPB2406200962996435</t>
  </si>
  <si>
    <t>FT24172995232089</t>
  </si>
  <si>
    <t>VPB2406200963423221</t>
  </si>
  <si>
    <t>FT24172974155290</t>
  </si>
  <si>
    <t>VPB2406200963635210</t>
  </si>
  <si>
    <t>FT24172952973839</t>
  </si>
  <si>
    <t>VPB2406200963777580</t>
  </si>
  <si>
    <t>FT24176335163085</t>
  </si>
  <si>
    <t>VPB2406240968275382</t>
  </si>
  <si>
    <t>FT24177354005643</t>
  </si>
  <si>
    <t>VPB2406250969991035</t>
  </si>
  <si>
    <t>FT24177043874728</t>
  </si>
  <si>
    <t>VPB2406250970335492</t>
  </si>
  <si>
    <t>FT24180309500685</t>
  </si>
  <si>
    <t>NHAN TU 100881679401 TRACE 959143 ND NGUYEN THI KIEU OANH Chuyen tien</t>
  </si>
  <si>
    <t>FT24180719031140</t>
  </si>
  <si>
    <t>VPB2406280974764116</t>
  </si>
  <si>
    <t>FT24181383083406</t>
  </si>
  <si>
    <t>Thanh toan lai thau chi</t>
  </si>
  <si>
    <t>FT24182406046682</t>
  </si>
  <si>
    <t>NHAN TU 0411001095079 TRACE 376635 ND MBVCB.6386612519.376635.NGUYEN DIEM HUONG chuyen tien.CT tu 0411001095079 NGUYEN DIEM HUONG toi 0378137873 NGUYEN THI KIEU OANH tai VPBANK</t>
  </si>
  <si>
    <t>FT24184380415678\BNK</t>
  </si>
  <si>
    <t>TOP2407020979781950 Nap tien dich vu:-0378137873-100000.0</t>
  </si>
  <si>
    <t>TOP2407020979781950</t>
  </si>
  <si>
    <t>FT24194172301411</t>
  </si>
  <si>
    <t>VPB2407120992508041</t>
  </si>
  <si>
    <t>FT24201CM0000116\HCM</t>
  </si>
  <si>
    <t>CHO TT CHUYEN TIEN DI TRNC SAL2024 200S051001253007 SOUNC.210+NGAYUNC. 18.07.24+STT.10908+SOSO.7416127269 BHXH TCTN DOT 13 T7.24</t>
  </si>
  <si>
    <t>FT24201056193702</t>
  </si>
  <si>
    <t>VPB2407191001570763</t>
  </si>
  <si>
    <t>FT24201512006837</t>
  </si>
  <si>
    <t>VPB2407191001573209</t>
  </si>
  <si>
    <t>FT24206195187520</t>
  </si>
  <si>
    <t>NHAN TU 0697044105922 TRACE 977022 ND P07231815751269083127808-0922447982 103035</t>
  </si>
  <si>
    <t>FT24206463140221</t>
  </si>
  <si>
    <t>VPB2407231007442884</t>
  </si>
  <si>
    <t>FT24229CM0000327\HCM</t>
  </si>
  <si>
    <t>CHO TT CHUYEN TIEN DI TRNC SAL2024 228S051001253007 SOUNC.235+NGAYUNC. 15.08.24+STT.8594+SOSO.7416127269 B HXH HCM TCTN DOT 9 T8.24</t>
  </si>
  <si>
    <t>FT24229279730699</t>
  </si>
  <si>
    <t>VPB2408161038854144</t>
  </si>
  <si>
    <t>Thanh toan lai</t>
  </si>
  <si>
    <t>PDPD2421990350;4</t>
  </si>
  <si>
    <t>Thanh toan lai-PDPD2421990350;4-</t>
  </si>
  <si>
    <t>Thanh toan lai qua han</t>
  </si>
  <si>
    <t>Thanh toan lai qua han-PDPD2421990350;4-</t>
  </si>
  <si>
    <t>FT24232060331266</t>
  </si>
  <si>
    <t>NHAN TU 100881679401 TRACE 821693 ND NGUYEN THI KIEU OANH Chuyen tien</t>
  </si>
  <si>
    <t>PDPD2421990350;6</t>
  </si>
  <si>
    <t>Thanh toan lai-PDPD2421990350;6-</t>
  </si>
  <si>
    <t>Thanh toan lai qua han-PDPD2421990350;6-</t>
  </si>
  <si>
    <t>FT24235970783203</t>
  </si>
  <si>
    <t>NHAN TU 100881679401 TRACE 331472 ND NGUYEN THI KIEU OANH Chuyen tien</t>
  </si>
  <si>
    <t>PDPD2421990350;8</t>
  </si>
  <si>
    <t>Thanh toan lai-PDPD2421990350;8-</t>
  </si>
  <si>
    <t>Thanh toan lai qua han-PDPD2421990350;8-</t>
  </si>
  <si>
    <t>FT24256CM0000419\HCM</t>
  </si>
  <si>
    <t>BAO HIEM XA HOI TPHCM SAL2024255S0 51001253006 SOUNC.258+NGAYUNC.11.09 .24+STT.9720+SOSO.7416127269 BHXH H CM TCTN DOT 6 T9.24</t>
  </si>
  <si>
    <t>FT24256027488184</t>
  </si>
  <si>
    <t>VPB2409121075484218</t>
  </si>
  <si>
    <t>FT24256887346108</t>
  </si>
  <si>
    <t>VPB2409121075493433</t>
  </si>
  <si>
    <t>PDPD2421990350;11</t>
  </si>
  <si>
    <t>Thanh toan lai-PDPD2421990350;11-</t>
  </si>
  <si>
    <t>Take Over Entry - Credit</t>
  </si>
  <si>
    <t>PDCA2428101611</t>
  </si>
  <si>
    <t>Take Over Entry - Credit-PDCA2428101611-</t>
  </si>
  <si>
    <t>FT24288115162762</t>
  </si>
  <si>
    <t>NHAN TU 100881679401 TRACE 019942 ND NGUYEN THI KIEU OANH Chuyen tien</t>
  </si>
  <si>
    <t>Thanh toan goc qua han</t>
  </si>
  <si>
    <t>PDPD2428122006;6</t>
  </si>
  <si>
    <t>Thanh toan goc qua han-PDPD2428122006;6-</t>
  </si>
  <si>
    <t>FT24291270905048\HCM</t>
  </si>
  <si>
    <t>BAO HIEM XA HOI TPHCM SAL2024290S0 51001253009 SOUNC.299+NGAYUNC.16.10 .24+STT.9281+SOSO.7416127269 BHXH H CM TCTN DOT 9 T10.24</t>
  </si>
  <si>
    <t>20241017-00000588-102-10001626</t>
  </si>
  <si>
    <t>FT24291228723338</t>
  </si>
  <si>
    <t>VPB2410171123956972</t>
  </si>
  <si>
    <t>PDPD2428122006;8</t>
  </si>
  <si>
    <t>Thanh toan goc qua han-PDPD2428122006;8-</t>
  </si>
  <si>
    <t>TOTAL MOVEMENT:</t>
  </si>
  <si>
    <t>BALANCE AT PERIOD END</t>
  </si>
  <si>
    <t>Ngày mở thấu chi</t>
  </si>
  <si>
    <t>Ngày</t>
  </si>
  <si>
    <t>Sum I</t>
  </si>
  <si>
    <t>Sum J</t>
  </si>
  <si>
    <t>Luy k?</t>
  </si>
  <si>
    <t>Laitra</t>
  </si>
  <si>
    <t>1733906</t>
  </si>
  <si>
    <t>378137873</t>
  </si>
  <si>
    <t>Hạn mức TC</t>
  </si>
  <si>
    <t>Ngày mở TC</t>
  </si>
  <si>
    <t>Lãi suát</t>
  </si>
  <si>
    <t>Số tài khoản 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</si>
</sst>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\ _₫_-;\-* #,##0\ _₫_-;_-* &quot;-&quot;??\ _₫_-;_-@_-"/>
    <numFmt numFmtId="166" formatCode="B1dd\-mmm\-yy"/>
    <numFmt numFmtId="167" formatCode="dd/mm/yyyy"/>
  </numFmts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Protection="1"/>
    <xf numFmtId="0" fontId="0" fillId="3" borderId="0" xfId="0" applyNumberFormat="1" applyFont="1" applyFill="1" applyBorder="1" applyProtection="1"/>
    <xf numFmtId="0" fontId="0" fillId="0" borderId="4" xfId="0" applyBorder="1"/>
    <xf numFmtId="0" fontId="4" fillId="0" borderId="4" xfId="0" applyNumberFormat="1" applyFont="1" applyFill="1" applyBorder="1" applyProtection="1"/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0" fontId="8" fillId="0" borderId="4" xfId="0" quotePrefix="1" applyFont="1" applyBorder="1"/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right"/>
    </xf>
    <xf numFmtId="0" fontId="11" fillId="0" borderId="0" xfId="0" applyFont="1"/>
    <xf numFmtId="0" fontId="4" fillId="0" borderId="4" xfId="0" quotePrefix="1" applyFont="1" applyBorder="1"/>
    <xf numFmtId="0" fontId="12" fillId="0" borderId="0" xfId="0" applyFont="1"/>
    <xf numFmtId="0" fontId="12" fillId="0" borderId="0" xfId="0" quotePrefix="1" applyFont="1"/>
    <xf numFmtId="22" fontId="0" fillId="0" borderId="0" xfId="0" applyNumberFormat="1"/>
    <xf numFmtId="3" fontId="4" fillId="0" borderId="4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14" fontId="11" fillId="0" borderId="0" xfId="0" applyNumberFormat="1" applyFont="1"/>
    <xf numFmtId="164" fontId="3" fillId="0" borderId="4" xfId="0" applyNumberFormat="1" applyFont="1" applyFill="1" applyBorder="1" applyAlignment="1">
      <alignment horizontal="center" vertical="center"/>
    </xf>
    <xf numFmtId="3" fontId="0" fillId="0" borderId="0" xfId="0" applyNumberFormat="1"/>
    <xf numFmtId="165" fontId="0" fillId="0" borderId="0" xfId="0" applyNumberFormat="1" applyAlignment="1">
      <alignment horizontal="right"/>
    </xf>
    <xf numFmtId="3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  <xf numFmtId="166" fontId="0" fillId="0" borderId="0" xfId="0" applyNumberFormat="1"/>
    <xf numFmtId="0" fontId="0" fillId="0" borderId="4" xfId="0" applyNumberFormat="1" applyFont="1" applyFill="1" applyBorder="1" applyProtection="1"/>
    <xf numFmtId="0" fontId="0" fillId="0" borderId="4" xfId="0" applyNumberFormat="1" applyFont="1" applyFill="1" applyBorder="1" applyAlignment="1" applyProtection="1">
      <alignment horizontal="center"/>
    </xf>
    <xf numFmtId="14" fontId="0" fillId="0" borderId="0" xfId="0" applyNumberFormat="1"/>
    <xf numFmtId="14" fontId="3" fillId="0" borderId="4" xfId="0" applyNumberFormat="1" applyFont="1" applyFill="1" applyBorder="1" applyAlignment="1">
      <alignment horizontal="center" vertic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41" fontId="0" fillId="0" borderId="4" xfId="3" applyFont="1" applyBorder="1"/>
    <xf numFmtId="0" fontId="6" fillId="4" borderId="4" xfId="0" applyFont="1" applyFill="1" applyBorder="1" applyAlignment="1">
      <alignment horizontal="center" vertical="center"/>
    </xf>
    <xf numFmtId="0" fontId="6" fillId="0" borderId="4" xfId="0" applyNumberFormat="1" applyFont="1" applyFill="1" applyBorder="1" applyProtection="1"/>
    <xf numFmtId="167" fontId="0" fillId="0" borderId="0" xfId="0" applyNumberFormat="1"/>
    <xf numFmtId="167" fontId="3" fillId="0" borderId="4" xfId="0" applyNumberFormat="1" applyFont="1" applyFill="1" applyBorder="1" applyAlignment="1">
      <alignment horizontal="center" vertical="center"/>
    </xf>
    <xf numFmtId="3" fontId="0" fillId="0" borderId="4" xfId="0" applyNumberFormat="1" applyFont="1" applyFill="1" applyBorder="1" applyAlignment="1" applyProtection="1">
      <alignment horizontal="center"/>
    </xf>
    <xf numFmtId="0" fontId="4" fillId="0" borderId="6" xfId="0" applyNumberFormat="1" applyFont="1" applyFill="1" applyBorder="1" applyProtection="1"/>
    <xf numFmtId="164" fontId="3" fillId="0" borderId="4" xfId="0" applyNumberFormat="1" applyFont="1" applyFill="1" applyBorder="1" applyAlignment="1">
      <alignment horizontal="left" vertical="top"/>
    </xf>
    <xf numFmtId="0" fontId="4" fillId="0" borderId="0" xfId="0" applyNumberFormat="1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</xf>
    <xf numFmtId="10" fontId="6" fillId="0" borderId="4" xfId="0" applyNumberFormat="1" applyFont="1" applyBorder="1" applyAlignment="1">
      <alignment horizontal="center"/>
    </xf>
    <xf numFmtId="14" fontId="6" fillId="0" borderId="4" xfId="0" applyNumberFormat="1" applyFont="1" applyFill="1" applyBorder="1" applyAlignment="1" applyProtection="1">
      <alignment horizontal="center"/>
    </xf>
    <xf numFmtId="10" fontId="0" fillId="0" borderId="0" xfId="0" applyNumberFormat="1" applyFont="1" applyFill="1" applyBorder="1" applyProtection="1"/>
    <xf numFmtId="10" fontId="0" fillId="0" borderId="0" xfId="0" applyNumberFormat="1"/>
    <xf numFmtId="10" fontId="0" fillId="0" borderId="0" xfId="0" applyNumberFormat="1" applyAlignment="1">
      <alignment horizontal="right"/>
    </xf>
    <xf numFmtId="10" fontId="9" fillId="2" borderId="4" xfId="0" applyNumberFormat="1" applyFont="1" applyFill="1" applyBorder="1" applyAlignment="1">
      <alignment horizontal="center" vertical="center" wrapText="1"/>
    </xf>
    <xf numFmtId="10" fontId="4" fillId="0" borderId="4" xfId="0" applyNumberFormat="1" applyFont="1" applyBorder="1" applyAlignment="1">
      <alignment horizontal="center" vertical="center"/>
    </xf>
    <xf numFmtId="10" fontId="0" fillId="0" borderId="0" xfId="0" applyNumberFormat="1" applyFont="1" applyFill="1" applyBorder="1" applyAlignment="1" applyProtection="1">
      <alignment vertic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913504</xdr:colOff>
      <xdr:row>8</xdr:row>
      <xdr:rowOff>132230</xdr:rowOff>
    </xdr:from>
    <xdr:to>
      <xdr:col>1</xdr:col>
      <xdr:colOff>1129617</xdr:colOff>
      <xdr:row>15</xdr:row>
      <xdr:rowOff>155090</xdr:rowOff>
    </xdr:to>
    <xdr:pic macro="[0]!Run_Module11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504" y="1566583"/>
          <a:ext cx="1327737" cy="12779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83"/>
  <sheetViews>
    <sheetView showGridLines="0" zoomScale="85" zoomScaleNormal="85" workbookViewId="0">
      <selection activeCell="H19" sqref="H19"/>
    </sheetView>
  </sheetViews>
  <sheetFormatPr defaultRowHeight="14.4" x14ac:dyDescent="0.3"/>
  <cols>
    <col min="1" max="1" width="16.21875" customWidth="1"/>
    <col min="2" max="2" width="16.77734375" customWidth="1"/>
    <col min="3" max="3" width="13.6640625" customWidth="1"/>
    <col min="4" max="5" width="15" customWidth="1"/>
    <col min="6" max="6" width="16.88671875" customWidth="1"/>
    <col min="9" max="9" width="8.44140625" customWidth="1"/>
    <col min="10" max="10" width="14.33203125" customWidth="1"/>
    <col min="11" max="11" width="13.6640625" customWidth="1"/>
    <col min="12" max="12" width="13.33203125" customWidth="1"/>
    <col min="13" max="13" width="13" customWidth="1"/>
    <col min="14" max="14" width="13.5546875" customWidth="1"/>
    <col min="15" max="15" width="12.6640625" customWidth="1"/>
    <col min="16" max="16" width="5.5546875" customWidth="1"/>
    <col min="17" max="17" width="14.44140625" customWidth="1"/>
    <col min="18" max="18" width="13.109375" customWidth="1"/>
    <col min="19" max="19" width="13.6640625" customWidth="1"/>
    <col min="20" max="20" width="13.109375" customWidth="1"/>
    <col min="22" max="22" width="16.44140625" customWidth="1"/>
    <col min="23" max="23" width="11.6640625" customWidth="1"/>
    <col min="24" max="24" width="13.109375" customWidth="1"/>
    <col min="26" max="26" width="15.5546875" customWidth="1"/>
    <col min="27" max="27" width="11.6640625" customWidth="1"/>
    <col min="28" max="28" width="13.109375" customWidth="1"/>
    <col min="30" max="30" width="11.33203125" customWidth="1"/>
    <col min="31" max="31" width="11.6640625" customWidth="1"/>
    <col min="32" max="32" width="13.109375" customWidth="1"/>
    <col min="34" max="34" width="11.33203125" customWidth="1"/>
    <col min="35" max="35" width="11.6640625" customWidth="1"/>
    <col min="36" max="36" width="13.109375" customWidth="1"/>
    <col min="38" max="38" width="11.33203125" customWidth="1"/>
    <col min="39" max="39" width="11.6640625" customWidth="1"/>
    <col min="40" max="40" width="13.109375" customWidth="1"/>
    <col min="42" max="42" width="11.33203125" customWidth="1"/>
    <col min="43" max="43" width="11.6640625" customWidth="1"/>
    <col min="44" max="44" width="13.109375" customWidth="1"/>
    <col min="46" max="46" width="11.33203125" customWidth="1"/>
    <col min="47" max="47" width="11.6640625" customWidth="1"/>
    <col min="48" max="48" width="13.109375" customWidth="1"/>
  </cols>
  <sheetData>
    <row r="1" spans="1:36" ht="24" customHeight="1" x14ac:dyDescent="0.3">
      <c r="A1" s="52" t="s">
        <v>801</v>
      </c>
      <c r="B1" s="52" t="s">
        <v>802</v>
      </c>
      <c r="C1" s="52" t="s">
        <v>3</v>
      </c>
      <c r="D1" s="52" t="s">
        <v>12</v>
      </c>
      <c r="E1" s="52" t="s">
        <v>803</v>
      </c>
      <c r="F1" s="52" t="s">
        <v>45</v>
      </c>
      <c r="I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</row>
    <row r="2" spans="1:36" x14ac:dyDescent="0.3">
      <c r="A2" s="51">
        <v>40000000</v>
      </c>
      <c r="B2" s="7">
        <v>45440</v>
      </c>
      <c r="C2" s="7">
        <v>45477</v>
      </c>
      <c r="D2" s="7">
        <v>45721</v>
      </c>
      <c r="E2" s="61">
        <v>0.28000000000000003</v>
      </c>
      <c r="F2" s="5"/>
      <c r="I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F3" s="26"/>
      <c r="G3" s="26"/>
      <c r="H3" s="26"/>
      <c r="I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C4" s="32"/>
      <c r="D4" s="25"/>
      <c r="E4" s="25"/>
      <c r="F4" s="26"/>
      <c r="G4" s="26"/>
      <c r="H4" s="26"/>
      <c r="I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C5" s="32"/>
      <c r="D5" s="25"/>
      <c r="E5" s="25"/>
      <c r="F5" s="26"/>
      <c r="G5" s="26"/>
      <c r="H5" s="26"/>
      <c r="I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C6" s="32"/>
      <c r="F6" s="26"/>
      <c r="G6" s="26"/>
      <c r="H6" s="26"/>
      <c r="I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F7" s="26"/>
      <c r="G7" s="26"/>
      <c r="H7" s="26"/>
      <c r="I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F8" s="26"/>
      <c r="G8" s="26"/>
      <c r="H8" s="26"/>
      <c r="I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C9" s="24"/>
      <c r="F9" s="26"/>
      <c r="G9" s="26"/>
      <c r="H9" s="26"/>
      <c r="I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F10" s="26"/>
      <c r="G10" s="26"/>
      <c r="H10" s="26"/>
      <c r="I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F11" s="26"/>
      <c r="G11" s="26"/>
      <c r="H11" s="26"/>
      <c r="I11" s="33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F12" s="26"/>
      <c r="G12" s="26"/>
      <c r="H12" s="26"/>
      <c r="I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F13" s="26"/>
      <c r="G13" s="26"/>
      <c r="H13" s="26"/>
      <c r="I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F14" s="26"/>
      <c r="G14" s="26"/>
      <c r="H14" s="26"/>
      <c r="I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</row>
    <row r="15" spans="1:36" x14ac:dyDescent="0.3">
      <c r="C15" s="28"/>
      <c r="F15" s="26"/>
      <c r="G15" s="26"/>
      <c r="H15" s="26"/>
      <c r="I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</row>
    <row r="16" spans="1:36" x14ac:dyDescent="0.3">
      <c r="F16" s="26"/>
      <c r="G16" s="26"/>
      <c r="H16" s="26"/>
      <c r="I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</row>
    <row r="17" spans="3:36" x14ac:dyDescent="0.3">
      <c r="F17" s="26"/>
      <c r="G17" s="26"/>
      <c r="H17" s="26"/>
      <c r="I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</row>
    <row r="18" spans="3:36" x14ac:dyDescent="0.3"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</row>
    <row r="19" spans="3:36" x14ac:dyDescent="0.3"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</row>
    <row r="20" spans="3:36" x14ac:dyDescent="0.3"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</row>
    <row r="21" spans="3:36" x14ac:dyDescent="0.3"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</row>
    <row r="22" spans="3:36" x14ac:dyDescent="0.3">
      <c r="C22" s="29"/>
      <c r="F22" s="26"/>
      <c r="G22" s="26"/>
      <c r="H22" s="26"/>
      <c r="I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3:36" x14ac:dyDescent="0.3">
      <c r="C23" s="29"/>
      <c r="F23" s="26"/>
      <c r="G23" s="26"/>
      <c r="H23" s="26"/>
      <c r="I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3:36" x14ac:dyDescent="0.3">
      <c r="C24" s="29"/>
      <c r="F24" s="26"/>
      <c r="G24" s="26"/>
      <c r="I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</row>
    <row r="25" spans="3:36" x14ac:dyDescent="0.3">
      <c r="I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</row>
    <row r="26" spans="3:36" x14ac:dyDescent="0.3">
      <c r="I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</row>
    <row r="27" spans="3:36" x14ac:dyDescent="0.3">
      <c r="I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</row>
    <row r="28" spans="3:36" x14ac:dyDescent="0.3">
      <c r="I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</row>
    <row r="29" spans="3:36" x14ac:dyDescent="0.3">
      <c r="I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3:36" x14ac:dyDescent="0.3">
      <c r="I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</row>
    <row r="31" spans="3:36" x14ac:dyDescent="0.3">
      <c r="I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</row>
    <row r="32" spans="3:36" x14ac:dyDescent="0.3">
      <c r="I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</row>
    <row r="33" spans="9:36" x14ac:dyDescent="0.3">
      <c r="I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</row>
    <row r="34" spans="9:36" x14ac:dyDescent="0.3">
      <c r="I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</row>
    <row r="35" spans="9:36" x14ac:dyDescent="0.3">
      <c r="I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</row>
    <row r="36" spans="9:36" x14ac:dyDescent="0.3">
      <c r="I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</row>
    <row r="37" spans="9:36" x14ac:dyDescent="0.3">
      <c r="I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</row>
    <row r="38" spans="9:36" x14ac:dyDescent="0.3">
      <c r="I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</row>
    <row r="39" spans="9:36" x14ac:dyDescent="0.3">
      <c r="I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</row>
    <row r="40" spans="9:36" x14ac:dyDescent="0.3">
      <c r="I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</row>
    <row r="41" spans="9:36" x14ac:dyDescent="0.3">
      <c r="I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</row>
    <row r="131" spans="3:3" x14ac:dyDescent="0.3">
      <c r="C131" t="s">
        <v>18</v>
      </c>
    </row>
    <row r="282" spans="3:3" x14ac:dyDescent="0.3">
      <c r="C282" t="s">
        <v>19</v>
      </c>
    </row>
    <row r="283" spans="3:3" x14ac:dyDescent="0.3">
      <c r="C283" t="s">
        <v>20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28"/>
  <sheetViews>
    <sheetView workbookViewId="0">
      <selection activeCell="I9" sqref="I9"/>
    </sheetView>
  </sheetViews>
  <sheetFormatPr defaultRowHeight="14.4" x14ac:dyDescent="0.3"/>
  <cols>
    <col min="1" max="1" width="10.5546875" style="54" bestFit="1" customWidth="1"/>
    <col min="2" max="2" width="9.88671875" style="35" bestFit="1" customWidth="1"/>
    <col min="3" max="3" width="21.5546875" style="35" bestFit="1" customWidth="1"/>
    <col min="4" max="4" width="10" style="35" bestFit="1" customWidth="1"/>
    <col min="8" max="8" width="9.88671875" style="35" bestFit="1" customWidth="1"/>
    <col min="9" max="9" width="10.6640625" bestFit="1" customWidth="1"/>
    <col min="10" max="10" width="20.21875" customWidth="1"/>
  </cols>
  <sheetData>
    <row r="2" spans="1:8" x14ac:dyDescent="0.3">
      <c r="B2" s="35" t="s">
        <v>799</v>
      </c>
      <c r="C2" s="35" t="s">
        <v>54</v>
      </c>
      <c r="D2" s="35" t="s">
        <v>800</v>
      </c>
    </row>
    <row r="3" spans="1:8" x14ac:dyDescent="0.3">
      <c r="A3" s="54" t="s">
        <v>794</v>
      </c>
      <c r="B3" s="35" t="s">
        <v>795</v>
      </c>
      <c r="C3" s="35" t="s">
        <v>796</v>
      </c>
      <c r="D3" s="35" t="s">
        <v>798</v>
      </c>
      <c r="H3" s="35" t="s">
        <v>797</v>
      </c>
    </row>
    <row r="4" spans="1:8" x14ac:dyDescent="0.3">
      <c r="A4" s="54">
        <v>45440</v>
      </c>
      <c r="B4" s="35">
        <v>59000000</v>
      </c>
      <c r="C4" s="35">
        <v>19000000</v>
      </c>
      <c r="H4" s="35">
        <v>39877693</v>
      </c>
    </row>
    <row r="5" spans="1:8" x14ac:dyDescent="0.3">
      <c r="A5" s="54">
        <v>45443</v>
      </c>
      <c r="C5" s="35">
        <v>105</v>
      </c>
      <c r="H5" s="35">
        <v>39877588</v>
      </c>
    </row>
    <row r="6" spans="1:8" x14ac:dyDescent="0.3">
      <c r="A6" s="54">
        <v>45453</v>
      </c>
      <c r="C6" s="35">
        <v>4200000</v>
      </c>
      <c r="H6" s="35">
        <v>35677588</v>
      </c>
    </row>
    <row r="7" spans="1:8" x14ac:dyDescent="0.3">
      <c r="A7" s="54">
        <v>45455</v>
      </c>
      <c r="C7" s="35">
        <v>4032350</v>
      </c>
      <c r="H7" s="35">
        <v>31645238</v>
      </c>
    </row>
    <row r="8" spans="1:8" x14ac:dyDescent="0.3">
      <c r="A8" s="54">
        <v>45458</v>
      </c>
      <c r="B8" s="35">
        <v>4402000</v>
      </c>
      <c r="C8" s="35">
        <v>130000</v>
      </c>
      <c r="H8" s="35">
        <v>35917238</v>
      </c>
    </row>
    <row r="9" spans="1:8" x14ac:dyDescent="0.3">
      <c r="A9" s="54">
        <v>45460</v>
      </c>
      <c r="B9" s="35">
        <v>3842200</v>
      </c>
      <c r="C9" s="35">
        <v>1000000</v>
      </c>
      <c r="H9" s="35">
        <v>38759438</v>
      </c>
    </row>
    <row r="10" spans="1:8" x14ac:dyDescent="0.3">
      <c r="A10" s="54">
        <v>45461</v>
      </c>
      <c r="B10" s="35">
        <v>100000</v>
      </c>
      <c r="H10" s="35">
        <v>38859438</v>
      </c>
    </row>
    <row r="11" spans="1:8" x14ac:dyDescent="0.3">
      <c r="A11" s="54">
        <v>45462</v>
      </c>
      <c r="C11" s="35">
        <v>500000</v>
      </c>
      <c r="H11" s="35">
        <v>38359438</v>
      </c>
    </row>
    <row r="12" spans="1:8" x14ac:dyDescent="0.3">
      <c r="A12" s="54">
        <v>45463</v>
      </c>
      <c r="B12" s="35">
        <v>1140000</v>
      </c>
      <c r="H12" s="35">
        <v>39499438</v>
      </c>
    </row>
    <row r="13" spans="1:8" x14ac:dyDescent="0.3">
      <c r="A13" s="54">
        <v>45467</v>
      </c>
      <c r="B13" s="35">
        <v>50000</v>
      </c>
      <c r="H13" s="35">
        <v>39549438</v>
      </c>
    </row>
    <row r="14" spans="1:8" x14ac:dyDescent="0.3">
      <c r="A14" s="54">
        <v>45468</v>
      </c>
      <c r="B14" s="35">
        <v>235000</v>
      </c>
      <c r="H14" s="35">
        <v>39784438</v>
      </c>
    </row>
    <row r="15" spans="1:8" x14ac:dyDescent="0.3">
      <c r="A15" s="54">
        <v>45471</v>
      </c>
      <c r="B15" s="35">
        <v>100000</v>
      </c>
      <c r="C15" s="35">
        <v>1000000</v>
      </c>
      <c r="H15" s="35">
        <v>38884438</v>
      </c>
    </row>
    <row r="16" spans="1:8" x14ac:dyDescent="0.3">
      <c r="A16" s="54">
        <v>45472</v>
      </c>
      <c r="B16" s="35">
        <v>790574</v>
      </c>
      <c r="D16" s="35">
        <v>790574</v>
      </c>
      <c r="H16" s="35">
        <v>39675012</v>
      </c>
    </row>
    <row r="17" spans="1:8" x14ac:dyDescent="0.3">
      <c r="A17" s="54">
        <v>45473</v>
      </c>
      <c r="C17" s="35">
        <v>70000</v>
      </c>
      <c r="H17" s="35">
        <v>39605012</v>
      </c>
    </row>
    <row r="18" spans="1:8" x14ac:dyDescent="0.3">
      <c r="A18" s="54">
        <v>45475</v>
      </c>
      <c r="B18" s="35">
        <v>100000</v>
      </c>
      <c r="H18" s="35">
        <v>39705012</v>
      </c>
    </row>
    <row r="19" spans="1:8" x14ac:dyDescent="0.3">
      <c r="A19" s="54">
        <v>45485</v>
      </c>
      <c r="B19" s="35">
        <v>240000</v>
      </c>
      <c r="H19" s="35">
        <v>39945012</v>
      </c>
    </row>
    <row r="20" spans="1:8" x14ac:dyDescent="0.3">
      <c r="A20" s="54">
        <v>45492</v>
      </c>
      <c r="B20" s="35">
        <v>4035000</v>
      </c>
      <c r="C20" s="35">
        <v>4032350</v>
      </c>
      <c r="H20" s="35">
        <v>39947662</v>
      </c>
    </row>
    <row r="21" spans="1:8" x14ac:dyDescent="0.3">
      <c r="A21" s="54">
        <v>45497</v>
      </c>
      <c r="B21" s="35">
        <v>500000</v>
      </c>
      <c r="C21" s="35">
        <v>500000</v>
      </c>
      <c r="H21" s="35">
        <v>39947662</v>
      </c>
    </row>
    <row r="22" spans="1:8" x14ac:dyDescent="0.3">
      <c r="A22" s="54">
        <v>45520</v>
      </c>
      <c r="B22" s="35">
        <v>4084688</v>
      </c>
      <c r="C22" s="35">
        <v>4032350</v>
      </c>
      <c r="D22" s="35">
        <v>54688</v>
      </c>
      <c r="H22" s="35">
        <v>40000000</v>
      </c>
    </row>
    <row r="23" spans="1:8" x14ac:dyDescent="0.3">
      <c r="A23" s="54">
        <v>45523</v>
      </c>
      <c r="B23" s="35">
        <v>30000</v>
      </c>
      <c r="C23" s="35">
        <v>30000</v>
      </c>
      <c r="D23" s="35">
        <v>30000</v>
      </c>
      <c r="H23" s="35">
        <v>40000000</v>
      </c>
    </row>
    <row r="24" spans="1:8" x14ac:dyDescent="0.3">
      <c r="A24" s="54">
        <v>45526</v>
      </c>
      <c r="B24" s="35">
        <v>10000</v>
      </c>
      <c r="C24" s="35">
        <v>10000</v>
      </c>
      <c r="D24" s="35">
        <v>10000</v>
      </c>
      <c r="H24" s="35">
        <v>40000000</v>
      </c>
    </row>
    <row r="25" spans="1:8" x14ac:dyDescent="0.3">
      <c r="A25" s="54">
        <v>45547</v>
      </c>
      <c r="B25" s="35">
        <v>4032350</v>
      </c>
      <c r="C25" s="35">
        <v>4032350</v>
      </c>
      <c r="D25" s="35">
        <v>2350</v>
      </c>
      <c r="H25" s="35">
        <v>40000000</v>
      </c>
    </row>
    <row r="26" spans="1:8" x14ac:dyDescent="0.3">
      <c r="A26" s="54">
        <v>45572</v>
      </c>
      <c r="H26" s="35">
        <v>40000000</v>
      </c>
    </row>
    <row r="27" spans="1:8" x14ac:dyDescent="0.3">
      <c r="A27" s="54">
        <v>45579</v>
      </c>
      <c r="C27" s="35">
        <v>2000</v>
      </c>
      <c r="H27" s="35">
        <v>39998000</v>
      </c>
    </row>
    <row r="28" spans="1:8" x14ac:dyDescent="0.3">
      <c r="A28" s="54">
        <v>45582</v>
      </c>
      <c r="B28" s="35">
        <v>4000000</v>
      </c>
      <c r="C28" s="35">
        <v>4032350</v>
      </c>
      <c r="H28" s="35">
        <v>39965650</v>
      </c>
    </row>
  </sheetData>
  <sortState ref="A4:D28">
    <sortCondition ref="A4:A2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89"/>
  <sheetViews>
    <sheetView workbookViewId="0">
      <selection activeCell="J351" sqref="J351"/>
    </sheetView>
  </sheetViews>
  <sheetFormatPr defaultRowHeight="14.4" x14ac:dyDescent="0.3"/>
  <cols>
    <col min="1" max="1" width="15.21875" customWidth="1"/>
    <col min="2" max="2" width="12.5546875" customWidth="1"/>
    <col min="3" max="3" width="22" customWidth="1"/>
    <col min="7" max="7" width="16" customWidth="1"/>
    <col min="9" max="9" width="12.109375" customWidth="1"/>
    <col min="10" max="10" width="16.21875" customWidth="1"/>
    <col min="11" max="11" width="35.77734375" customWidth="1"/>
    <col min="12" max="12" width="12.33203125" customWidth="1"/>
    <col min="18" max="18" width="16.33203125" customWidth="1"/>
    <col min="20" max="20" width="13.21875" customWidth="1"/>
  </cols>
  <sheetData>
    <row r="1" spans="1:24" x14ac:dyDescent="0.3">
      <c r="A1" t="s">
        <v>55</v>
      </c>
      <c r="B1" t="s">
        <v>56</v>
      </c>
      <c r="C1">
        <v>378137873</v>
      </c>
      <c r="G1" s="42"/>
    </row>
    <row r="2" spans="1:24" x14ac:dyDescent="0.3">
      <c r="A2" t="s">
        <v>57</v>
      </c>
      <c r="B2">
        <v>1733906</v>
      </c>
      <c r="C2" t="s">
        <v>54</v>
      </c>
      <c r="D2" t="s">
        <v>58</v>
      </c>
      <c r="E2" t="s">
        <v>59</v>
      </c>
      <c r="F2" t="s">
        <v>60</v>
      </c>
      <c r="G2" s="42" t="s">
        <v>61</v>
      </c>
    </row>
    <row r="3" spans="1:24" x14ac:dyDescent="0.3">
      <c r="A3" t="s">
        <v>62</v>
      </c>
      <c r="G3" s="42"/>
    </row>
    <row r="4" spans="1:24" x14ac:dyDescent="0.3">
      <c r="A4" t="s">
        <v>63</v>
      </c>
      <c r="B4" t="s">
        <v>64</v>
      </c>
      <c r="C4" t="s">
        <v>65</v>
      </c>
      <c r="D4" t="s">
        <v>66</v>
      </c>
      <c r="E4" t="s">
        <v>67</v>
      </c>
      <c r="F4" t="s">
        <v>68</v>
      </c>
      <c r="G4" s="42" t="s">
        <v>69</v>
      </c>
      <c r="H4" t="s">
        <v>70</v>
      </c>
      <c r="I4" t="s">
        <v>71</v>
      </c>
      <c r="J4" t="s">
        <v>72</v>
      </c>
      <c r="K4" t="s">
        <v>73</v>
      </c>
      <c r="L4" t="s">
        <v>74</v>
      </c>
      <c r="M4" t="s">
        <v>75</v>
      </c>
      <c r="N4" t="s">
        <v>76</v>
      </c>
      <c r="O4" t="s">
        <v>77</v>
      </c>
    </row>
    <row r="5" spans="1:24" x14ac:dyDescent="0.3">
      <c r="A5" t="s">
        <v>78</v>
      </c>
      <c r="B5">
        <v>0</v>
      </c>
      <c r="G5" s="42"/>
    </row>
    <row r="6" spans="1:24" x14ac:dyDescent="0.3">
      <c r="A6" t="s">
        <v>79</v>
      </c>
      <c r="B6" t="s">
        <v>80</v>
      </c>
      <c r="C6" t="s">
        <v>81</v>
      </c>
      <c r="G6" s="42" t="s">
        <v>82</v>
      </c>
      <c r="I6" t="s">
        <v>83</v>
      </c>
      <c r="J6" t="s">
        <v>84</v>
      </c>
      <c r="K6" t="s">
        <v>85</v>
      </c>
      <c r="L6" t="s">
        <v>70</v>
      </c>
      <c r="M6" t="s">
        <v>86</v>
      </c>
      <c r="N6" t="s">
        <v>87</v>
      </c>
      <c r="O6" t="s">
        <v>88</v>
      </c>
      <c r="P6" t="s">
        <v>74</v>
      </c>
      <c r="Q6" t="s">
        <v>75</v>
      </c>
      <c r="R6" t="s">
        <v>89</v>
      </c>
      <c r="S6" t="s">
        <v>77</v>
      </c>
      <c r="T6" t="s">
        <v>90</v>
      </c>
      <c r="U6" t="s">
        <v>91</v>
      </c>
      <c r="V6" t="s">
        <v>92</v>
      </c>
      <c r="W6" t="s">
        <v>93</v>
      </c>
      <c r="X6" t="s">
        <v>94</v>
      </c>
    </row>
    <row r="7" spans="1:24" x14ac:dyDescent="0.3">
      <c r="A7" s="39">
        <v>44769</v>
      </c>
      <c r="B7" t="s">
        <v>95</v>
      </c>
      <c r="C7" t="s">
        <v>96</v>
      </c>
      <c r="G7" s="42">
        <v>44769</v>
      </c>
      <c r="J7" s="35">
        <v>100000</v>
      </c>
      <c r="K7" t="s">
        <v>97</v>
      </c>
      <c r="L7">
        <v>2207270822</v>
      </c>
      <c r="M7" t="s">
        <v>98</v>
      </c>
      <c r="N7" t="s">
        <v>99</v>
      </c>
      <c r="P7" t="s">
        <v>100</v>
      </c>
      <c r="Q7" t="s">
        <v>101</v>
      </c>
      <c r="R7">
        <v>220801465557</v>
      </c>
      <c r="T7" s="35">
        <v>100000</v>
      </c>
      <c r="X7" t="s">
        <v>102</v>
      </c>
    </row>
    <row r="8" spans="1:24" x14ac:dyDescent="0.3">
      <c r="A8" s="39">
        <v>44769</v>
      </c>
      <c r="B8" t="s">
        <v>103</v>
      </c>
      <c r="C8" t="s">
        <v>104</v>
      </c>
      <c r="G8" s="42">
        <v>44769</v>
      </c>
      <c r="I8" s="35">
        <v>-100000</v>
      </c>
      <c r="K8" t="s">
        <v>105</v>
      </c>
      <c r="L8">
        <v>2207270829</v>
      </c>
      <c r="M8" t="s">
        <v>106</v>
      </c>
      <c r="N8" t="s">
        <v>106</v>
      </c>
      <c r="P8" t="s">
        <v>100</v>
      </c>
      <c r="T8">
        <v>0</v>
      </c>
    </row>
    <row r="9" spans="1:24" x14ac:dyDescent="0.3">
      <c r="A9" s="39">
        <v>44778</v>
      </c>
      <c r="B9" t="s">
        <v>95</v>
      </c>
      <c r="C9" t="s">
        <v>107</v>
      </c>
      <c r="G9" s="42">
        <v>44778</v>
      </c>
      <c r="J9" s="35">
        <v>50000</v>
      </c>
      <c r="K9" t="s">
        <v>108</v>
      </c>
      <c r="L9">
        <v>2208051516</v>
      </c>
      <c r="M9" t="s">
        <v>98</v>
      </c>
      <c r="N9" t="s">
        <v>99</v>
      </c>
      <c r="P9" t="s">
        <v>100</v>
      </c>
      <c r="Q9" t="s">
        <v>109</v>
      </c>
      <c r="R9">
        <v>221701673438</v>
      </c>
      <c r="T9" s="35">
        <v>50000</v>
      </c>
      <c r="X9" t="s">
        <v>102</v>
      </c>
    </row>
    <row r="10" spans="1:24" x14ac:dyDescent="0.3">
      <c r="A10" s="39">
        <v>44778</v>
      </c>
      <c r="B10" t="s">
        <v>110</v>
      </c>
      <c r="C10" t="s">
        <v>111</v>
      </c>
      <c r="G10" s="42">
        <v>44778</v>
      </c>
      <c r="I10" s="35">
        <v>-50000</v>
      </c>
      <c r="K10" t="s">
        <v>112</v>
      </c>
      <c r="L10">
        <v>2208051516</v>
      </c>
      <c r="M10" t="s">
        <v>98</v>
      </c>
      <c r="N10" t="s">
        <v>98</v>
      </c>
      <c r="O10" t="s">
        <v>113</v>
      </c>
      <c r="P10" t="s">
        <v>100</v>
      </c>
      <c r="Q10" t="s">
        <v>109</v>
      </c>
      <c r="R10">
        <v>221701673563</v>
      </c>
      <c r="T10">
        <v>0</v>
      </c>
      <c r="X10" t="s">
        <v>102</v>
      </c>
    </row>
    <row r="11" spans="1:24" x14ac:dyDescent="0.3">
      <c r="A11" s="39">
        <v>44810</v>
      </c>
      <c r="B11" t="s">
        <v>114</v>
      </c>
      <c r="C11" t="s">
        <v>115</v>
      </c>
      <c r="G11" s="42">
        <v>44810</v>
      </c>
      <c r="J11" s="35">
        <v>8555800</v>
      </c>
      <c r="K11" t="s">
        <v>116</v>
      </c>
      <c r="L11">
        <v>2209060913</v>
      </c>
      <c r="M11" t="s">
        <v>71</v>
      </c>
      <c r="N11" t="s">
        <v>71</v>
      </c>
      <c r="P11" t="s">
        <v>117</v>
      </c>
      <c r="R11" t="s">
        <v>118</v>
      </c>
      <c r="T11" s="35">
        <v>8555800</v>
      </c>
    </row>
    <row r="12" spans="1:24" x14ac:dyDescent="0.3">
      <c r="A12" s="39">
        <v>44810</v>
      </c>
      <c r="B12" t="s">
        <v>114</v>
      </c>
      <c r="C12" t="s">
        <v>119</v>
      </c>
      <c r="G12" s="42">
        <v>44810</v>
      </c>
      <c r="I12" s="35">
        <v>-8500000</v>
      </c>
      <c r="K12" t="s">
        <v>120</v>
      </c>
      <c r="L12">
        <v>2209061701</v>
      </c>
      <c r="M12" t="s">
        <v>106</v>
      </c>
      <c r="N12" t="s">
        <v>106</v>
      </c>
      <c r="O12" t="s">
        <v>113</v>
      </c>
      <c r="P12" t="s">
        <v>121</v>
      </c>
      <c r="R12" t="s">
        <v>122</v>
      </c>
      <c r="T12" s="35">
        <v>55800</v>
      </c>
      <c r="X12" t="s">
        <v>123</v>
      </c>
    </row>
    <row r="13" spans="1:24" x14ac:dyDescent="0.3">
      <c r="A13" s="39">
        <v>44833</v>
      </c>
      <c r="B13" t="s">
        <v>124</v>
      </c>
      <c r="C13" t="s">
        <v>125</v>
      </c>
      <c r="G13" s="42">
        <v>44833</v>
      </c>
      <c r="J13" s="35">
        <v>372500</v>
      </c>
      <c r="K13" t="s">
        <v>126</v>
      </c>
      <c r="L13">
        <v>2209290815</v>
      </c>
      <c r="M13" t="s">
        <v>71</v>
      </c>
      <c r="N13" t="s">
        <v>71</v>
      </c>
      <c r="O13" t="s">
        <v>113</v>
      </c>
      <c r="P13" t="s">
        <v>127</v>
      </c>
      <c r="T13" s="35">
        <v>428300</v>
      </c>
      <c r="X13" t="s">
        <v>128</v>
      </c>
    </row>
    <row r="14" spans="1:24" x14ac:dyDescent="0.3">
      <c r="A14" s="39">
        <v>44835</v>
      </c>
      <c r="B14" t="s">
        <v>129</v>
      </c>
      <c r="C14" t="s">
        <v>130</v>
      </c>
      <c r="G14" s="42">
        <v>44834</v>
      </c>
      <c r="J14">
        <v>10</v>
      </c>
      <c r="K14" t="s">
        <v>131</v>
      </c>
      <c r="L14">
        <v>2210010159</v>
      </c>
      <c r="M14" t="s">
        <v>132</v>
      </c>
      <c r="N14" t="s">
        <v>132</v>
      </c>
      <c r="T14" s="35">
        <v>428310</v>
      </c>
    </row>
    <row r="15" spans="1:24" x14ac:dyDescent="0.3">
      <c r="A15" s="39">
        <v>44838</v>
      </c>
      <c r="B15" t="s">
        <v>114</v>
      </c>
      <c r="C15" t="s">
        <v>133</v>
      </c>
      <c r="G15" s="42">
        <v>44838</v>
      </c>
      <c r="J15" s="35">
        <v>8233746</v>
      </c>
      <c r="K15" t="s">
        <v>134</v>
      </c>
      <c r="L15">
        <v>2210041410</v>
      </c>
      <c r="M15" t="s">
        <v>71</v>
      </c>
      <c r="N15" t="s">
        <v>71</v>
      </c>
      <c r="P15" t="s">
        <v>117</v>
      </c>
      <c r="R15" t="s">
        <v>135</v>
      </c>
      <c r="T15" s="35">
        <v>8662056</v>
      </c>
    </row>
    <row r="16" spans="1:24" x14ac:dyDescent="0.3">
      <c r="A16" s="39">
        <v>44839</v>
      </c>
      <c r="B16" t="s">
        <v>110</v>
      </c>
      <c r="C16" t="s">
        <v>136</v>
      </c>
      <c r="G16" s="42">
        <v>44839</v>
      </c>
      <c r="I16" s="35">
        <v>-3000000</v>
      </c>
      <c r="K16" t="s">
        <v>112</v>
      </c>
      <c r="L16">
        <v>2210051638</v>
      </c>
      <c r="M16" t="s">
        <v>98</v>
      </c>
      <c r="N16" t="s">
        <v>98</v>
      </c>
      <c r="O16" t="s">
        <v>113</v>
      </c>
      <c r="P16" t="s">
        <v>100</v>
      </c>
      <c r="Q16" t="s">
        <v>109</v>
      </c>
      <c r="R16">
        <v>227800576903</v>
      </c>
      <c r="T16" s="35">
        <v>5662056</v>
      </c>
      <c r="X16" t="s">
        <v>102</v>
      </c>
    </row>
    <row r="17" spans="1:24" x14ac:dyDescent="0.3">
      <c r="A17" s="39">
        <v>44839</v>
      </c>
      <c r="B17" t="s">
        <v>110</v>
      </c>
      <c r="C17" t="s">
        <v>137</v>
      </c>
      <c r="G17" s="42">
        <v>44839</v>
      </c>
      <c r="I17" s="35">
        <v>-3000000</v>
      </c>
      <c r="K17" t="s">
        <v>112</v>
      </c>
      <c r="L17">
        <v>2210051639</v>
      </c>
      <c r="M17" t="s">
        <v>98</v>
      </c>
      <c r="N17" t="s">
        <v>98</v>
      </c>
      <c r="O17" t="s">
        <v>113</v>
      </c>
      <c r="P17" t="s">
        <v>100</v>
      </c>
      <c r="Q17" t="s">
        <v>109</v>
      </c>
      <c r="R17">
        <v>227800576905</v>
      </c>
      <c r="T17" s="35">
        <v>2662056</v>
      </c>
      <c r="X17" t="s">
        <v>102</v>
      </c>
    </row>
    <row r="18" spans="1:24" x14ac:dyDescent="0.3">
      <c r="A18" s="39">
        <v>44839</v>
      </c>
      <c r="B18" t="s">
        <v>110</v>
      </c>
      <c r="C18" t="s">
        <v>138</v>
      </c>
      <c r="G18" s="42">
        <v>44839</v>
      </c>
      <c r="I18" s="35">
        <v>-2500000</v>
      </c>
      <c r="K18" t="s">
        <v>112</v>
      </c>
      <c r="L18">
        <v>2210051640</v>
      </c>
      <c r="M18" t="s">
        <v>98</v>
      </c>
      <c r="N18" t="s">
        <v>98</v>
      </c>
      <c r="O18" t="s">
        <v>113</v>
      </c>
      <c r="P18" t="s">
        <v>100</v>
      </c>
      <c r="Q18" t="s">
        <v>109</v>
      </c>
      <c r="R18">
        <v>227800576907</v>
      </c>
      <c r="T18" s="35">
        <v>162056</v>
      </c>
      <c r="X18" t="s">
        <v>102</v>
      </c>
    </row>
    <row r="19" spans="1:24" x14ac:dyDescent="0.3">
      <c r="A19" s="39">
        <v>44866</v>
      </c>
      <c r="B19" t="s">
        <v>129</v>
      </c>
      <c r="C19" t="s">
        <v>139</v>
      </c>
      <c r="G19" s="42">
        <v>44865</v>
      </c>
      <c r="J19">
        <v>78</v>
      </c>
      <c r="K19" t="s">
        <v>140</v>
      </c>
      <c r="L19">
        <v>2211010057</v>
      </c>
      <c r="M19" t="s">
        <v>132</v>
      </c>
      <c r="N19" t="s">
        <v>132</v>
      </c>
      <c r="T19" s="35">
        <v>162134</v>
      </c>
    </row>
    <row r="20" spans="1:24" x14ac:dyDescent="0.3">
      <c r="A20" s="39">
        <v>44867</v>
      </c>
      <c r="B20" t="s">
        <v>114</v>
      </c>
      <c r="C20" t="s">
        <v>141</v>
      </c>
      <c r="G20" s="42">
        <v>44867</v>
      </c>
      <c r="J20" s="35">
        <v>7575515</v>
      </c>
      <c r="K20" t="s">
        <v>142</v>
      </c>
      <c r="L20">
        <v>2211021312</v>
      </c>
      <c r="M20" t="s">
        <v>71</v>
      </c>
      <c r="N20" t="s">
        <v>71</v>
      </c>
      <c r="P20" t="s">
        <v>117</v>
      </c>
      <c r="R20" t="s">
        <v>143</v>
      </c>
      <c r="T20" s="35">
        <v>7737649</v>
      </c>
    </row>
    <row r="21" spans="1:24" x14ac:dyDescent="0.3">
      <c r="A21" s="39">
        <v>44867</v>
      </c>
      <c r="B21" t="s">
        <v>110</v>
      </c>
      <c r="C21" t="s">
        <v>144</v>
      </c>
      <c r="G21" s="42">
        <v>44867</v>
      </c>
      <c r="I21" s="35">
        <v>-3000000</v>
      </c>
      <c r="K21" t="s">
        <v>112</v>
      </c>
      <c r="L21">
        <v>2211021937</v>
      </c>
      <c r="M21" t="s">
        <v>98</v>
      </c>
      <c r="N21" t="s">
        <v>98</v>
      </c>
      <c r="O21" t="s">
        <v>113</v>
      </c>
      <c r="P21" t="s">
        <v>100</v>
      </c>
      <c r="Q21" t="s">
        <v>109</v>
      </c>
      <c r="R21">
        <v>230600587401</v>
      </c>
      <c r="T21" s="35">
        <v>4737649</v>
      </c>
      <c r="X21" t="s">
        <v>102</v>
      </c>
    </row>
    <row r="22" spans="1:24" x14ac:dyDescent="0.3">
      <c r="A22" s="39">
        <v>44867</v>
      </c>
      <c r="B22" t="s">
        <v>110</v>
      </c>
      <c r="C22" t="s">
        <v>145</v>
      </c>
      <c r="G22" s="42">
        <v>44867</v>
      </c>
      <c r="I22" s="35">
        <v>-3000000</v>
      </c>
      <c r="K22" t="s">
        <v>112</v>
      </c>
      <c r="L22">
        <v>2211021938</v>
      </c>
      <c r="M22" t="s">
        <v>98</v>
      </c>
      <c r="N22" t="s">
        <v>98</v>
      </c>
      <c r="O22" t="s">
        <v>113</v>
      </c>
      <c r="P22" t="s">
        <v>100</v>
      </c>
      <c r="Q22" t="s">
        <v>109</v>
      </c>
      <c r="R22">
        <v>230600587403</v>
      </c>
      <c r="T22" s="35">
        <v>1737649</v>
      </c>
      <c r="X22" t="s">
        <v>102</v>
      </c>
    </row>
    <row r="23" spans="1:24" x14ac:dyDescent="0.3">
      <c r="A23" s="39">
        <v>44867</v>
      </c>
      <c r="B23" t="s">
        <v>110</v>
      </c>
      <c r="C23" t="s">
        <v>146</v>
      </c>
      <c r="G23" s="42">
        <v>44867</v>
      </c>
      <c r="I23" s="35">
        <v>-1500000</v>
      </c>
      <c r="K23" t="s">
        <v>112</v>
      </c>
      <c r="L23">
        <v>2211021940</v>
      </c>
      <c r="M23" t="s">
        <v>98</v>
      </c>
      <c r="N23" t="s">
        <v>98</v>
      </c>
      <c r="O23" t="s">
        <v>113</v>
      </c>
      <c r="P23" t="s">
        <v>100</v>
      </c>
      <c r="Q23" t="s">
        <v>109</v>
      </c>
      <c r="R23">
        <v>230600587406</v>
      </c>
      <c r="T23" s="35">
        <v>237649</v>
      </c>
      <c r="X23" t="s">
        <v>102</v>
      </c>
    </row>
    <row r="24" spans="1:24" x14ac:dyDescent="0.3">
      <c r="A24" s="39">
        <v>44876</v>
      </c>
      <c r="B24" t="s">
        <v>114</v>
      </c>
      <c r="C24" t="s">
        <v>147</v>
      </c>
      <c r="G24" s="42">
        <v>44876</v>
      </c>
      <c r="J24" s="35">
        <v>400000</v>
      </c>
      <c r="K24" t="s">
        <v>148</v>
      </c>
      <c r="L24">
        <v>2211110547</v>
      </c>
      <c r="M24" t="s">
        <v>106</v>
      </c>
      <c r="N24" t="s">
        <v>106</v>
      </c>
      <c r="P24" t="s">
        <v>100</v>
      </c>
      <c r="R24">
        <v>970415600273</v>
      </c>
      <c r="T24" s="35">
        <v>637649</v>
      </c>
      <c r="X24" t="s">
        <v>123</v>
      </c>
    </row>
    <row r="25" spans="1:24" x14ac:dyDescent="0.3">
      <c r="A25" s="39">
        <v>44876</v>
      </c>
      <c r="B25" t="s">
        <v>114</v>
      </c>
      <c r="C25" t="s">
        <v>149</v>
      </c>
      <c r="G25" s="42">
        <v>44876</v>
      </c>
      <c r="I25" s="35">
        <v>-100000</v>
      </c>
      <c r="K25" t="s">
        <v>150</v>
      </c>
      <c r="L25">
        <v>2211110553</v>
      </c>
      <c r="M25" t="s">
        <v>106</v>
      </c>
      <c r="N25" t="s">
        <v>106</v>
      </c>
      <c r="O25" t="s">
        <v>113</v>
      </c>
      <c r="P25" t="s">
        <v>121</v>
      </c>
      <c r="R25" t="s">
        <v>151</v>
      </c>
      <c r="T25" s="35">
        <v>537649</v>
      </c>
    </row>
    <row r="26" spans="1:24" x14ac:dyDescent="0.3">
      <c r="A26" s="39">
        <v>44886</v>
      </c>
      <c r="B26" t="s">
        <v>114</v>
      </c>
      <c r="C26" t="s">
        <v>152</v>
      </c>
      <c r="G26" s="42">
        <v>44886</v>
      </c>
      <c r="J26" s="35">
        <v>700000</v>
      </c>
      <c r="K26" t="s">
        <v>153</v>
      </c>
      <c r="L26">
        <v>2211201533</v>
      </c>
      <c r="M26" t="s">
        <v>106</v>
      </c>
      <c r="N26" t="s">
        <v>106</v>
      </c>
      <c r="P26" t="s">
        <v>100</v>
      </c>
      <c r="R26">
        <v>970499225891</v>
      </c>
      <c r="T26" s="35">
        <v>1237649</v>
      </c>
      <c r="X26" t="s">
        <v>123</v>
      </c>
    </row>
    <row r="27" spans="1:24" x14ac:dyDescent="0.3">
      <c r="A27" s="39">
        <v>44896</v>
      </c>
      <c r="B27" t="s">
        <v>129</v>
      </c>
      <c r="C27" t="s">
        <v>154</v>
      </c>
      <c r="G27" s="42">
        <v>44895</v>
      </c>
      <c r="J27">
        <v>121</v>
      </c>
      <c r="K27" t="s">
        <v>155</v>
      </c>
      <c r="L27">
        <v>2212010148</v>
      </c>
      <c r="M27" t="s">
        <v>132</v>
      </c>
      <c r="N27" t="s">
        <v>132</v>
      </c>
      <c r="T27" s="35">
        <v>1237770</v>
      </c>
    </row>
    <row r="28" spans="1:24" x14ac:dyDescent="0.3">
      <c r="A28" s="39">
        <v>44897</v>
      </c>
      <c r="B28" t="s">
        <v>114</v>
      </c>
      <c r="C28" t="s">
        <v>156</v>
      </c>
      <c r="G28" s="42">
        <v>44897</v>
      </c>
      <c r="J28" s="35">
        <v>11077524</v>
      </c>
      <c r="K28" t="s">
        <v>157</v>
      </c>
      <c r="L28">
        <v>2212021310</v>
      </c>
      <c r="M28" t="s">
        <v>71</v>
      </c>
      <c r="N28" t="s">
        <v>71</v>
      </c>
      <c r="P28" t="s">
        <v>117</v>
      </c>
      <c r="R28" t="s">
        <v>158</v>
      </c>
      <c r="T28" s="35">
        <v>12315294</v>
      </c>
    </row>
    <row r="29" spans="1:24" x14ac:dyDescent="0.3">
      <c r="A29" s="39">
        <v>44898</v>
      </c>
      <c r="B29" t="s">
        <v>110</v>
      </c>
      <c r="C29" t="s">
        <v>159</v>
      </c>
      <c r="G29" s="42">
        <v>44898</v>
      </c>
      <c r="I29" s="35">
        <v>-3000000</v>
      </c>
      <c r="K29" t="s">
        <v>112</v>
      </c>
      <c r="L29">
        <v>2212030716</v>
      </c>
      <c r="M29" t="s">
        <v>98</v>
      </c>
      <c r="N29" t="s">
        <v>98</v>
      </c>
      <c r="O29" t="s">
        <v>113</v>
      </c>
      <c r="P29" t="s">
        <v>100</v>
      </c>
      <c r="Q29" t="s">
        <v>109</v>
      </c>
      <c r="R29">
        <v>233700296027</v>
      </c>
      <c r="T29" s="35">
        <v>9315294</v>
      </c>
      <c r="X29" t="s">
        <v>102</v>
      </c>
    </row>
    <row r="30" spans="1:24" x14ac:dyDescent="0.3">
      <c r="A30" s="39">
        <v>44898</v>
      </c>
      <c r="B30" t="s">
        <v>110</v>
      </c>
      <c r="C30" t="s">
        <v>160</v>
      </c>
      <c r="G30" s="42">
        <v>44898</v>
      </c>
      <c r="I30" s="35">
        <v>-3000000</v>
      </c>
      <c r="K30" t="s">
        <v>112</v>
      </c>
      <c r="L30">
        <v>2212030717</v>
      </c>
      <c r="M30" t="s">
        <v>98</v>
      </c>
      <c r="N30" t="s">
        <v>98</v>
      </c>
      <c r="O30" t="s">
        <v>113</v>
      </c>
      <c r="P30" t="s">
        <v>100</v>
      </c>
      <c r="Q30" t="s">
        <v>109</v>
      </c>
      <c r="R30">
        <v>233700296029</v>
      </c>
      <c r="T30" s="35">
        <v>6315294</v>
      </c>
      <c r="X30" t="s">
        <v>102</v>
      </c>
    </row>
    <row r="31" spans="1:24" x14ac:dyDescent="0.3">
      <c r="A31" s="39">
        <v>44898</v>
      </c>
      <c r="B31" t="s">
        <v>110</v>
      </c>
      <c r="C31" t="s">
        <v>161</v>
      </c>
      <c r="G31" s="42">
        <v>44898</v>
      </c>
      <c r="I31" s="35">
        <v>-3000000</v>
      </c>
      <c r="K31" t="s">
        <v>112</v>
      </c>
      <c r="L31">
        <v>2212030717</v>
      </c>
      <c r="M31" t="s">
        <v>98</v>
      </c>
      <c r="N31" t="s">
        <v>98</v>
      </c>
      <c r="O31" t="s">
        <v>113</v>
      </c>
      <c r="P31" t="s">
        <v>100</v>
      </c>
      <c r="Q31" t="s">
        <v>109</v>
      </c>
      <c r="R31">
        <v>233700296031</v>
      </c>
      <c r="T31" s="35">
        <v>3315294</v>
      </c>
      <c r="X31" t="s">
        <v>102</v>
      </c>
    </row>
    <row r="32" spans="1:24" x14ac:dyDescent="0.3">
      <c r="A32" s="39">
        <v>44898</v>
      </c>
      <c r="B32" t="s">
        <v>110</v>
      </c>
      <c r="C32" t="s">
        <v>162</v>
      </c>
      <c r="G32" s="42">
        <v>44898</v>
      </c>
      <c r="I32" s="35">
        <v>-3000000</v>
      </c>
      <c r="K32" t="s">
        <v>112</v>
      </c>
      <c r="L32">
        <v>2212030718</v>
      </c>
      <c r="M32" t="s">
        <v>98</v>
      </c>
      <c r="N32" t="s">
        <v>98</v>
      </c>
      <c r="O32" t="s">
        <v>113</v>
      </c>
      <c r="P32" t="s">
        <v>100</v>
      </c>
      <c r="Q32" t="s">
        <v>109</v>
      </c>
      <c r="R32">
        <v>233700296033</v>
      </c>
      <c r="T32" s="35">
        <v>315294</v>
      </c>
      <c r="X32" t="s">
        <v>102</v>
      </c>
    </row>
    <row r="33" spans="1:24" x14ac:dyDescent="0.3">
      <c r="A33" s="39">
        <v>44900</v>
      </c>
      <c r="B33" t="s">
        <v>114</v>
      </c>
      <c r="C33" t="s">
        <v>163</v>
      </c>
      <c r="G33" s="42">
        <v>44900</v>
      </c>
      <c r="I33" s="35">
        <v>-100000</v>
      </c>
      <c r="K33" t="s">
        <v>120</v>
      </c>
      <c r="L33">
        <v>2212032231</v>
      </c>
      <c r="M33" t="s">
        <v>106</v>
      </c>
      <c r="N33" t="s">
        <v>106</v>
      </c>
      <c r="O33" t="s">
        <v>113</v>
      </c>
      <c r="P33" t="s">
        <v>121</v>
      </c>
      <c r="R33" t="s">
        <v>164</v>
      </c>
      <c r="T33" s="35">
        <v>215294</v>
      </c>
      <c r="X33" t="s">
        <v>123</v>
      </c>
    </row>
    <row r="34" spans="1:24" x14ac:dyDescent="0.3">
      <c r="A34" s="39">
        <v>44900</v>
      </c>
      <c r="B34" t="s">
        <v>114</v>
      </c>
      <c r="C34" t="s">
        <v>165</v>
      </c>
      <c r="G34" s="42">
        <v>44900</v>
      </c>
      <c r="J34" s="35">
        <v>50000</v>
      </c>
      <c r="K34" t="s">
        <v>166</v>
      </c>
      <c r="L34">
        <v>2212032234</v>
      </c>
      <c r="M34" t="s">
        <v>106</v>
      </c>
      <c r="N34" t="s">
        <v>106</v>
      </c>
      <c r="P34" t="s">
        <v>100</v>
      </c>
      <c r="R34">
        <v>970415312976</v>
      </c>
      <c r="T34" s="35">
        <v>265294</v>
      </c>
      <c r="X34" t="s">
        <v>123</v>
      </c>
    </row>
    <row r="35" spans="1:24" x14ac:dyDescent="0.3">
      <c r="A35" s="39">
        <v>44904</v>
      </c>
      <c r="B35" t="s">
        <v>114</v>
      </c>
      <c r="C35" t="s">
        <v>167</v>
      </c>
      <c r="G35" s="42">
        <v>44904</v>
      </c>
      <c r="I35" s="35">
        <v>-200000</v>
      </c>
      <c r="K35" t="s">
        <v>120</v>
      </c>
      <c r="L35">
        <v>2212090640</v>
      </c>
      <c r="M35" t="s">
        <v>106</v>
      </c>
      <c r="N35" t="s">
        <v>106</v>
      </c>
      <c r="O35" t="s">
        <v>113</v>
      </c>
      <c r="P35" t="s">
        <v>121</v>
      </c>
      <c r="R35" t="s">
        <v>168</v>
      </c>
      <c r="T35" s="35">
        <v>65294</v>
      </c>
      <c r="X35" t="s">
        <v>123</v>
      </c>
    </row>
    <row r="36" spans="1:24" x14ac:dyDescent="0.3">
      <c r="A36" s="39">
        <v>44904</v>
      </c>
      <c r="B36" t="s">
        <v>114</v>
      </c>
      <c r="C36" t="s">
        <v>169</v>
      </c>
      <c r="G36" s="42">
        <v>44904</v>
      </c>
      <c r="J36" s="35">
        <v>1000</v>
      </c>
      <c r="K36" t="s">
        <v>170</v>
      </c>
      <c r="L36">
        <v>2212092024</v>
      </c>
      <c r="M36" t="s">
        <v>106</v>
      </c>
      <c r="N36" t="s">
        <v>106</v>
      </c>
      <c r="P36" t="s">
        <v>100</v>
      </c>
      <c r="R36">
        <v>970415113190</v>
      </c>
      <c r="T36" s="35">
        <v>66294</v>
      </c>
      <c r="X36" t="s">
        <v>123</v>
      </c>
    </row>
    <row r="37" spans="1:24" x14ac:dyDescent="0.3">
      <c r="A37" s="39">
        <v>44905</v>
      </c>
      <c r="B37" t="s">
        <v>114</v>
      </c>
      <c r="C37" t="s">
        <v>171</v>
      </c>
      <c r="G37" s="42">
        <v>44905</v>
      </c>
      <c r="J37" s="35">
        <v>12000000</v>
      </c>
      <c r="K37" t="s">
        <v>172</v>
      </c>
      <c r="L37">
        <v>2212101735</v>
      </c>
      <c r="M37" t="s">
        <v>106</v>
      </c>
      <c r="N37" t="s">
        <v>106</v>
      </c>
      <c r="P37" t="s">
        <v>100</v>
      </c>
      <c r="R37">
        <v>970499512228</v>
      </c>
      <c r="T37" s="35">
        <v>12066294</v>
      </c>
      <c r="X37" t="s">
        <v>123</v>
      </c>
    </row>
    <row r="38" spans="1:24" x14ac:dyDescent="0.3">
      <c r="A38" s="39">
        <v>44905</v>
      </c>
      <c r="B38" t="s">
        <v>114</v>
      </c>
      <c r="C38" t="s">
        <v>173</v>
      </c>
      <c r="G38" s="42">
        <v>44905</v>
      </c>
      <c r="I38" s="35">
        <v>-700000</v>
      </c>
      <c r="K38" t="s">
        <v>120</v>
      </c>
      <c r="L38">
        <v>2212101741</v>
      </c>
      <c r="M38" t="s">
        <v>106</v>
      </c>
      <c r="N38" t="s">
        <v>106</v>
      </c>
      <c r="O38" t="s">
        <v>113</v>
      </c>
      <c r="P38" t="s">
        <v>121</v>
      </c>
      <c r="R38" t="s">
        <v>174</v>
      </c>
      <c r="T38" s="35">
        <v>11366294</v>
      </c>
      <c r="X38" t="s">
        <v>123</v>
      </c>
    </row>
    <row r="39" spans="1:24" x14ac:dyDescent="0.3">
      <c r="A39" s="39">
        <v>44905</v>
      </c>
      <c r="B39" t="s">
        <v>114</v>
      </c>
      <c r="C39" t="s">
        <v>175</v>
      </c>
      <c r="G39" s="42">
        <v>44905</v>
      </c>
      <c r="J39" s="35">
        <v>200000</v>
      </c>
      <c r="K39" t="s">
        <v>176</v>
      </c>
      <c r="L39">
        <v>2212101743</v>
      </c>
      <c r="M39" t="s">
        <v>106</v>
      </c>
      <c r="N39" t="s">
        <v>106</v>
      </c>
      <c r="P39" t="s">
        <v>100</v>
      </c>
      <c r="R39">
        <v>970499016806</v>
      </c>
      <c r="T39" s="35">
        <v>11566294</v>
      </c>
      <c r="X39" t="s">
        <v>123</v>
      </c>
    </row>
    <row r="40" spans="1:24" x14ac:dyDescent="0.3">
      <c r="A40" s="39">
        <v>44905</v>
      </c>
      <c r="B40" t="s">
        <v>114</v>
      </c>
      <c r="C40" t="s">
        <v>177</v>
      </c>
      <c r="G40" s="42">
        <v>44905</v>
      </c>
      <c r="I40" s="35">
        <v>-3000000</v>
      </c>
      <c r="K40" t="s">
        <v>120</v>
      </c>
      <c r="L40">
        <v>2212101746</v>
      </c>
      <c r="M40" t="s">
        <v>106</v>
      </c>
      <c r="N40" t="s">
        <v>106</v>
      </c>
      <c r="O40" t="s">
        <v>113</v>
      </c>
      <c r="P40" t="s">
        <v>121</v>
      </c>
      <c r="R40" t="s">
        <v>178</v>
      </c>
      <c r="T40" s="35">
        <v>8566294</v>
      </c>
      <c r="X40" t="s">
        <v>123</v>
      </c>
    </row>
    <row r="41" spans="1:24" x14ac:dyDescent="0.3">
      <c r="A41" s="39">
        <v>44917</v>
      </c>
      <c r="B41" t="s">
        <v>114</v>
      </c>
      <c r="C41" t="s">
        <v>179</v>
      </c>
      <c r="G41" s="42">
        <v>44917</v>
      </c>
      <c r="I41" s="35">
        <v>-200000</v>
      </c>
      <c r="K41" t="s">
        <v>180</v>
      </c>
      <c r="L41">
        <v>2212220606</v>
      </c>
      <c r="M41" t="s">
        <v>106</v>
      </c>
      <c r="N41" t="s">
        <v>106</v>
      </c>
      <c r="O41" t="s">
        <v>113</v>
      </c>
      <c r="P41" t="s">
        <v>121</v>
      </c>
      <c r="R41" t="s">
        <v>181</v>
      </c>
      <c r="T41" s="35">
        <v>8366294</v>
      </c>
    </row>
    <row r="42" spans="1:24" x14ac:dyDescent="0.3">
      <c r="A42" s="39">
        <v>44917</v>
      </c>
      <c r="B42" t="s">
        <v>114</v>
      </c>
      <c r="C42" t="s">
        <v>179</v>
      </c>
      <c r="G42" s="42">
        <v>44917</v>
      </c>
      <c r="J42" s="35">
        <v>200000</v>
      </c>
      <c r="K42" t="s">
        <v>180</v>
      </c>
      <c r="L42">
        <v>2212220606</v>
      </c>
      <c r="M42" t="s">
        <v>106</v>
      </c>
      <c r="N42" t="s">
        <v>106</v>
      </c>
      <c r="O42" t="s">
        <v>113</v>
      </c>
      <c r="P42" t="s">
        <v>121</v>
      </c>
      <c r="R42" t="s">
        <v>181</v>
      </c>
      <c r="T42" s="35">
        <v>8566294</v>
      </c>
    </row>
    <row r="43" spans="1:24" x14ac:dyDescent="0.3">
      <c r="A43" s="39">
        <v>44917</v>
      </c>
      <c r="B43" t="s">
        <v>114</v>
      </c>
      <c r="C43" t="s">
        <v>182</v>
      </c>
      <c r="G43" s="42">
        <v>44917</v>
      </c>
      <c r="I43" s="35">
        <v>-200000</v>
      </c>
      <c r="K43" t="s">
        <v>180</v>
      </c>
      <c r="L43">
        <v>2212220607</v>
      </c>
      <c r="M43" t="s">
        <v>106</v>
      </c>
      <c r="N43" t="s">
        <v>106</v>
      </c>
      <c r="O43" t="s">
        <v>113</v>
      </c>
      <c r="P43" t="s">
        <v>121</v>
      </c>
      <c r="R43" t="s">
        <v>183</v>
      </c>
      <c r="T43" s="35">
        <v>8366294</v>
      </c>
    </row>
    <row r="44" spans="1:24" x14ac:dyDescent="0.3">
      <c r="A44" s="39">
        <v>44917</v>
      </c>
      <c r="B44" t="s">
        <v>114</v>
      </c>
      <c r="C44" t="s">
        <v>182</v>
      </c>
      <c r="G44" s="42">
        <v>44917</v>
      </c>
      <c r="J44" s="35">
        <v>200000</v>
      </c>
      <c r="K44" t="s">
        <v>180</v>
      </c>
      <c r="L44">
        <v>2212220607</v>
      </c>
      <c r="M44" t="s">
        <v>106</v>
      </c>
      <c r="N44" t="s">
        <v>106</v>
      </c>
      <c r="O44" t="s">
        <v>113</v>
      </c>
      <c r="P44" t="s">
        <v>121</v>
      </c>
      <c r="R44" t="s">
        <v>183</v>
      </c>
      <c r="T44" s="35">
        <v>8566294</v>
      </c>
    </row>
    <row r="45" spans="1:24" x14ac:dyDescent="0.3">
      <c r="A45" s="39">
        <v>44917</v>
      </c>
      <c r="B45" t="s">
        <v>114</v>
      </c>
      <c r="C45" t="s">
        <v>184</v>
      </c>
      <c r="G45" s="42">
        <v>44917</v>
      </c>
      <c r="I45" s="35">
        <v>-200000</v>
      </c>
      <c r="K45" t="s">
        <v>185</v>
      </c>
      <c r="L45">
        <v>2212220609</v>
      </c>
      <c r="M45" t="s">
        <v>106</v>
      </c>
      <c r="N45" t="s">
        <v>106</v>
      </c>
      <c r="O45" t="s">
        <v>113</v>
      </c>
      <c r="P45" t="s">
        <v>121</v>
      </c>
      <c r="R45" t="s">
        <v>186</v>
      </c>
      <c r="T45" s="35">
        <v>8366294</v>
      </c>
    </row>
    <row r="46" spans="1:24" x14ac:dyDescent="0.3">
      <c r="A46" s="39">
        <v>44917</v>
      </c>
      <c r="B46" t="s">
        <v>110</v>
      </c>
      <c r="C46" t="s">
        <v>187</v>
      </c>
      <c r="G46" s="42">
        <v>44917</v>
      </c>
      <c r="I46" s="35">
        <v>-3000000</v>
      </c>
      <c r="K46" t="s">
        <v>112</v>
      </c>
      <c r="L46">
        <v>2212221728</v>
      </c>
      <c r="M46" t="s">
        <v>98</v>
      </c>
      <c r="N46" t="s">
        <v>98</v>
      </c>
      <c r="O46" t="s">
        <v>113</v>
      </c>
      <c r="P46" t="s">
        <v>100</v>
      </c>
      <c r="Q46" t="s">
        <v>109</v>
      </c>
      <c r="R46">
        <v>235610358698</v>
      </c>
      <c r="T46" s="35">
        <v>5366294</v>
      </c>
      <c r="X46" t="s">
        <v>102</v>
      </c>
    </row>
    <row r="47" spans="1:24" x14ac:dyDescent="0.3">
      <c r="A47" s="39">
        <v>44917</v>
      </c>
      <c r="B47" t="s">
        <v>110</v>
      </c>
      <c r="C47" t="s">
        <v>188</v>
      </c>
      <c r="G47" s="42">
        <v>44917</v>
      </c>
      <c r="I47" s="35">
        <v>-2000000</v>
      </c>
      <c r="K47" t="s">
        <v>112</v>
      </c>
      <c r="L47">
        <v>2212221729</v>
      </c>
      <c r="M47" t="s">
        <v>98</v>
      </c>
      <c r="N47" t="s">
        <v>98</v>
      </c>
      <c r="O47" t="s">
        <v>113</v>
      </c>
      <c r="P47" t="s">
        <v>100</v>
      </c>
      <c r="Q47" t="s">
        <v>109</v>
      </c>
      <c r="R47">
        <v>235610364366</v>
      </c>
      <c r="T47" s="35">
        <v>3366294</v>
      </c>
      <c r="X47" t="s">
        <v>102</v>
      </c>
    </row>
    <row r="48" spans="1:24" x14ac:dyDescent="0.3">
      <c r="A48" s="39">
        <v>44925</v>
      </c>
      <c r="B48" t="s">
        <v>110</v>
      </c>
      <c r="C48" t="s">
        <v>189</v>
      </c>
      <c r="G48" s="42">
        <v>44925</v>
      </c>
      <c r="I48" s="35">
        <v>-3000000</v>
      </c>
      <c r="K48" t="s">
        <v>112</v>
      </c>
      <c r="L48">
        <v>2212301655</v>
      </c>
      <c r="M48" t="s">
        <v>98</v>
      </c>
      <c r="N48" t="s">
        <v>98</v>
      </c>
      <c r="O48" t="s">
        <v>113</v>
      </c>
      <c r="P48" t="s">
        <v>100</v>
      </c>
      <c r="Q48" t="s">
        <v>109</v>
      </c>
      <c r="R48">
        <v>236409593927</v>
      </c>
      <c r="T48" s="35">
        <v>366294</v>
      </c>
      <c r="X48" t="s">
        <v>102</v>
      </c>
    </row>
    <row r="49" spans="1:24" x14ac:dyDescent="0.3">
      <c r="A49" s="39">
        <v>44925</v>
      </c>
      <c r="B49" t="s">
        <v>110</v>
      </c>
      <c r="C49" t="s">
        <v>190</v>
      </c>
      <c r="G49" s="42">
        <v>44925</v>
      </c>
      <c r="I49" s="35">
        <v>-300000</v>
      </c>
      <c r="K49" t="s">
        <v>112</v>
      </c>
      <c r="L49">
        <v>2212301657</v>
      </c>
      <c r="M49" t="s">
        <v>98</v>
      </c>
      <c r="N49" t="s">
        <v>98</v>
      </c>
      <c r="O49" t="s">
        <v>113</v>
      </c>
      <c r="P49" t="s">
        <v>100</v>
      </c>
      <c r="Q49" t="s">
        <v>109</v>
      </c>
      <c r="R49">
        <v>236409598111</v>
      </c>
      <c r="T49" s="35">
        <v>66294</v>
      </c>
      <c r="X49" t="s">
        <v>102</v>
      </c>
    </row>
    <row r="50" spans="1:24" x14ac:dyDescent="0.3">
      <c r="A50" s="39">
        <v>44927</v>
      </c>
      <c r="B50" t="s">
        <v>129</v>
      </c>
      <c r="C50" t="s">
        <v>191</v>
      </c>
      <c r="G50" s="42">
        <v>44926</v>
      </c>
      <c r="J50">
        <v>795</v>
      </c>
      <c r="K50" t="s">
        <v>192</v>
      </c>
      <c r="L50">
        <v>2301010213</v>
      </c>
      <c r="M50" t="s">
        <v>132</v>
      </c>
      <c r="N50" t="s">
        <v>132</v>
      </c>
      <c r="T50" s="35">
        <v>67089</v>
      </c>
    </row>
    <row r="51" spans="1:24" x14ac:dyDescent="0.3">
      <c r="A51" s="39">
        <v>44930</v>
      </c>
      <c r="B51" t="s">
        <v>114</v>
      </c>
      <c r="C51" t="s">
        <v>193</v>
      </c>
      <c r="G51" s="42">
        <v>44930</v>
      </c>
      <c r="J51" s="35">
        <v>300000</v>
      </c>
      <c r="K51" t="s">
        <v>194</v>
      </c>
      <c r="L51">
        <v>2301040957</v>
      </c>
      <c r="M51" t="s">
        <v>106</v>
      </c>
      <c r="N51" t="s">
        <v>106</v>
      </c>
      <c r="O51" t="s">
        <v>195</v>
      </c>
      <c r="P51" t="s">
        <v>121</v>
      </c>
      <c r="R51" t="s">
        <v>196</v>
      </c>
      <c r="T51" s="35">
        <v>367089</v>
      </c>
    </row>
    <row r="52" spans="1:24" x14ac:dyDescent="0.3">
      <c r="A52" s="39">
        <v>44930</v>
      </c>
      <c r="B52" t="s">
        <v>114</v>
      </c>
      <c r="C52" t="s">
        <v>197</v>
      </c>
      <c r="G52" s="42">
        <v>44930</v>
      </c>
      <c r="J52" s="35">
        <v>11461649</v>
      </c>
      <c r="K52" t="s">
        <v>198</v>
      </c>
      <c r="L52">
        <v>2301041540</v>
      </c>
      <c r="M52" t="s">
        <v>71</v>
      </c>
      <c r="N52" t="s">
        <v>71</v>
      </c>
      <c r="P52" t="s">
        <v>117</v>
      </c>
      <c r="R52" t="s">
        <v>199</v>
      </c>
      <c r="T52" s="35">
        <v>11828738</v>
      </c>
    </row>
    <row r="53" spans="1:24" x14ac:dyDescent="0.3">
      <c r="A53" s="39">
        <v>44930</v>
      </c>
      <c r="B53" t="s">
        <v>114</v>
      </c>
      <c r="C53" t="s">
        <v>200</v>
      </c>
      <c r="G53" s="42">
        <v>44930</v>
      </c>
      <c r="I53" s="35">
        <v>-2000000</v>
      </c>
      <c r="K53" t="s">
        <v>120</v>
      </c>
      <c r="L53">
        <v>2301042012</v>
      </c>
      <c r="M53" t="s">
        <v>106</v>
      </c>
      <c r="N53" t="s">
        <v>106</v>
      </c>
      <c r="O53" t="s">
        <v>113</v>
      </c>
      <c r="P53" t="s">
        <v>201</v>
      </c>
      <c r="R53" t="s">
        <v>202</v>
      </c>
      <c r="T53" s="35">
        <v>9828738</v>
      </c>
      <c r="X53" t="s">
        <v>123</v>
      </c>
    </row>
    <row r="54" spans="1:24" x14ac:dyDescent="0.3">
      <c r="A54" s="39">
        <v>44931</v>
      </c>
      <c r="B54" t="s">
        <v>110</v>
      </c>
      <c r="C54" t="s">
        <v>203</v>
      </c>
      <c r="G54" s="42">
        <v>44931</v>
      </c>
      <c r="I54" s="35">
        <v>-3000000</v>
      </c>
      <c r="K54" t="s">
        <v>112</v>
      </c>
      <c r="L54">
        <v>2301050724</v>
      </c>
      <c r="M54" t="s">
        <v>98</v>
      </c>
      <c r="N54" t="s">
        <v>98</v>
      </c>
      <c r="O54" t="s">
        <v>113</v>
      </c>
      <c r="P54" t="s">
        <v>100</v>
      </c>
      <c r="Q54" t="s">
        <v>109</v>
      </c>
      <c r="R54">
        <v>300500307951</v>
      </c>
      <c r="T54" s="35">
        <v>6828738</v>
      </c>
      <c r="X54" t="s">
        <v>102</v>
      </c>
    </row>
    <row r="55" spans="1:24" x14ac:dyDescent="0.3">
      <c r="A55" s="39">
        <v>44931</v>
      </c>
      <c r="B55" t="s">
        <v>110</v>
      </c>
      <c r="C55" t="s">
        <v>204</v>
      </c>
      <c r="G55" s="42">
        <v>44931</v>
      </c>
      <c r="I55" s="35">
        <v>-3000000</v>
      </c>
      <c r="K55" t="s">
        <v>112</v>
      </c>
      <c r="L55">
        <v>2301050725</v>
      </c>
      <c r="M55" t="s">
        <v>98</v>
      </c>
      <c r="N55" t="s">
        <v>98</v>
      </c>
      <c r="O55" t="s">
        <v>113</v>
      </c>
      <c r="P55" t="s">
        <v>100</v>
      </c>
      <c r="Q55" t="s">
        <v>109</v>
      </c>
      <c r="R55">
        <v>300500307953</v>
      </c>
      <c r="T55" s="35">
        <v>3828738</v>
      </c>
      <c r="X55" t="s">
        <v>102</v>
      </c>
    </row>
    <row r="56" spans="1:24" x14ac:dyDescent="0.3">
      <c r="A56" s="39">
        <v>44931</v>
      </c>
      <c r="B56" t="s">
        <v>110</v>
      </c>
      <c r="C56" t="s">
        <v>205</v>
      </c>
      <c r="G56" s="42">
        <v>44931</v>
      </c>
      <c r="I56" s="35">
        <v>-3000000</v>
      </c>
      <c r="K56" t="s">
        <v>112</v>
      </c>
      <c r="L56">
        <v>2301050725</v>
      </c>
      <c r="M56" t="s">
        <v>98</v>
      </c>
      <c r="N56" t="s">
        <v>98</v>
      </c>
      <c r="O56" t="s">
        <v>113</v>
      </c>
      <c r="P56" t="s">
        <v>100</v>
      </c>
      <c r="Q56" t="s">
        <v>109</v>
      </c>
      <c r="R56">
        <v>300500307955</v>
      </c>
      <c r="T56" s="35">
        <v>828738</v>
      </c>
      <c r="X56" t="s">
        <v>102</v>
      </c>
    </row>
    <row r="57" spans="1:24" x14ac:dyDescent="0.3">
      <c r="A57" s="39">
        <v>44932</v>
      </c>
      <c r="B57" t="s">
        <v>114</v>
      </c>
      <c r="C57" t="s">
        <v>206</v>
      </c>
      <c r="G57" s="42">
        <v>44932</v>
      </c>
      <c r="J57" s="35">
        <v>250000</v>
      </c>
      <c r="K57" t="s">
        <v>207</v>
      </c>
      <c r="L57">
        <v>2301061649</v>
      </c>
      <c r="M57" t="s">
        <v>106</v>
      </c>
      <c r="N57" t="s">
        <v>106</v>
      </c>
      <c r="O57" t="s">
        <v>208</v>
      </c>
      <c r="P57" t="s">
        <v>121</v>
      </c>
      <c r="R57" t="s">
        <v>209</v>
      </c>
      <c r="T57" s="35">
        <v>1078738</v>
      </c>
    </row>
    <row r="58" spans="1:24" x14ac:dyDescent="0.3">
      <c r="A58" s="39">
        <v>44932</v>
      </c>
      <c r="B58" t="s">
        <v>114</v>
      </c>
      <c r="C58" t="s">
        <v>210</v>
      </c>
      <c r="G58" s="42">
        <v>44932</v>
      </c>
      <c r="J58" s="35">
        <v>2000000</v>
      </c>
      <c r="K58" t="s">
        <v>207</v>
      </c>
      <c r="L58">
        <v>2301062050</v>
      </c>
      <c r="M58" t="s">
        <v>106</v>
      </c>
      <c r="N58" t="s">
        <v>106</v>
      </c>
      <c r="O58" t="s">
        <v>208</v>
      </c>
      <c r="P58" t="s">
        <v>121</v>
      </c>
      <c r="R58" t="s">
        <v>211</v>
      </c>
      <c r="T58" s="35">
        <v>3078738</v>
      </c>
    </row>
    <row r="59" spans="1:24" x14ac:dyDescent="0.3">
      <c r="A59" s="39">
        <v>44933</v>
      </c>
      <c r="B59" t="s">
        <v>110</v>
      </c>
      <c r="C59" t="s">
        <v>212</v>
      </c>
      <c r="G59" s="42">
        <v>44933</v>
      </c>
      <c r="I59" s="35">
        <v>-3000000</v>
      </c>
      <c r="K59" t="s">
        <v>112</v>
      </c>
      <c r="L59">
        <v>2301070728</v>
      </c>
      <c r="M59" t="s">
        <v>98</v>
      </c>
      <c r="N59" t="s">
        <v>98</v>
      </c>
      <c r="O59" t="s">
        <v>113</v>
      </c>
      <c r="P59" t="s">
        <v>100</v>
      </c>
      <c r="Q59" t="s">
        <v>109</v>
      </c>
      <c r="R59">
        <v>300700610291</v>
      </c>
      <c r="T59" s="35">
        <v>78738</v>
      </c>
      <c r="X59" t="s">
        <v>102</v>
      </c>
    </row>
    <row r="60" spans="1:24" x14ac:dyDescent="0.3">
      <c r="A60" s="39">
        <v>44937</v>
      </c>
      <c r="B60" t="s">
        <v>114</v>
      </c>
      <c r="C60" t="s">
        <v>213</v>
      </c>
      <c r="G60" s="42">
        <v>44937</v>
      </c>
      <c r="J60" s="35">
        <v>3718850</v>
      </c>
      <c r="K60" t="s">
        <v>214</v>
      </c>
      <c r="L60">
        <v>2301111543</v>
      </c>
      <c r="M60" t="s">
        <v>71</v>
      </c>
      <c r="N60" t="s">
        <v>71</v>
      </c>
      <c r="P60" t="s">
        <v>117</v>
      </c>
      <c r="R60" t="s">
        <v>215</v>
      </c>
      <c r="T60" s="35">
        <v>3797588</v>
      </c>
    </row>
    <row r="61" spans="1:24" x14ac:dyDescent="0.3">
      <c r="A61" s="39">
        <v>44937</v>
      </c>
      <c r="B61" t="s">
        <v>114</v>
      </c>
      <c r="C61" t="s">
        <v>216</v>
      </c>
      <c r="G61" s="42">
        <v>44937</v>
      </c>
      <c r="I61" s="35">
        <v>-200000</v>
      </c>
      <c r="K61" t="s">
        <v>120</v>
      </c>
      <c r="L61">
        <v>2301111649</v>
      </c>
      <c r="M61" t="s">
        <v>106</v>
      </c>
      <c r="N61" t="s">
        <v>106</v>
      </c>
      <c r="O61" t="s">
        <v>113</v>
      </c>
      <c r="P61" t="s">
        <v>100</v>
      </c>
      <c r="R61" t="s">
        <v>217</v>
      </c>
      <c r="T61" s="35">
        <v>3597588</v>
      </c>
    </row>
    <row r="62" spans="1:24" x14ac:dyDescent="0.3">
      <c r="A62" s="39">
        <v>44942</v>
      </c>
      <c r="B62" t="s">
        <v>114</v>
      </c>
      <c r="C62" t="s">
        <v>218</v>
      </c>
      <c r="G62" s="42">
        <v>44942</v>
      </c>
      <c r="J62" s="35">
        <v>3200000</v>
      </c>
      <c r="K62" t="s">
        <v>219</v>
      </c>
      <c r="L62">
        <v>2301151524</v>
      </c>
      <c r="M62" t="s">
        <v>106</v>
      </c>
      <c r="N62" t="s">
        <v>106</v>
      </c>
      <c r="P62" t="s">
        <v>100</v>
      </c>
      <c r="R62">
        <v>970415448189</v>
      </c>
      <c r="T62" s="35">
        <v>6797588</v>
      </c>
      <c r="X62" t="s">
        <v>123</v>
      </c>
    </row>
    <row r="63" spans="1:24" x14ac:dyDescent="0.3">
      <c r="A63" s="39">
        <v>44942</v>
      </c>
      <c r="B63" t="s">
        <v>110</v>
      </c>
      <c r="C63" t="s">
        <v>220</v>
      </c>
      <c r="G63" s="42">
        <v>44942</v>
      </c>
      <c r="I63" s="35">
        <v>-3000000</v>
      </c>
      <c r="K63" t="s">
        <v>112</v>
      </c>
      <c r="L63">
        <v>2301151604</v>
      </c>
      <c r="M63" t="s">
        <v>98</v>
      </c>
      <c r="N63" t="s">
        <v>98</v>
      </c>
      <c r="O63" t="s">
        <v>113</v>
      </c>
      <c r="P63" t="s">
        <v>100</v>
      </c>
      <c r="Q63" t="s">
        <v>109</v>
      </c>
      <c r="R63">
        <v>301500616063</v>
      </c>
      <c r="T63" s="35">
        <v>3797588</v>
      </c>
      <c r="X63" t="s">
        <v>102</v>
      </c>
    </row>
    <row r="64" spans="1:24" x14ac:dyDescent="0.3">
      <c r="A64" s="39">
        <v>44942</v>
      </c>
      <c r="B64" t="s">
        <v>110</v>
      </c>
      <c r="C64" t="s">
        <v>221</v>
      </c>
      <c r="G64" s="42">
        <v>44942</v>
      </c>
      <c r="I64" s="35">
        <v>-3000000</v>
      </c>
      <c r="K64" t="s">
        <v>112</v>
      </c>
      <c r="L64">
        <v>2301151605</v>
      </c>
      <c r="M64" t="s">
        <v>98</v>
      </c>
      <c r="N64" t="s">
        <v>98</v>
      </c>
      <c r="O64" t="s">
        <v>113</v>
      </c>
      <c r="P64" t="s">
        <v>100</v>
      </c>
      <c r="Q64" t="s">
        <v>109</v>
      </c>
      <c r="R64">
        <v>301500616065</v>
      </c>
      <c r="T64" s="35">
        <v>797588</v>
      </c>
      <c r="X64" t="s">
        <v>102</v>
      </c>
    </row>
    <row r="65" spans="1:24" x14ac:dyDescent="0.3">
      <c r="A65" s="39">
        <v>44942</v>
      </c>
      <c r="B65" t="s">
        <v>110</v>
      </c>
      <c r="C65" t="s">
        <v>222</v>
      </c>
      <c r="G65" s="42">
        <v>44942</v>
      </c>
      <c r="I65" s="35">
        <v>-700000</v>
      </c>
      <c r="K65" t="s">
        <v>112</v>
      </c>
      <c r="L65">
        <v>2301151606</v>
      </c>
      <c r="M65" t="s">
        <v>98</v>
      </c>
      <c r="N65" t="s">
        <v>98</v>
      </c>
      <c r="O65" t="s">
        <v>113</v>
      </c>
      <c r="P65" t="s">
        <v>100</v>
      </c>
      <c r="Q65" t="s">
        <v>109</v>
      </c>
      <c r="R65">
        <v>301500616067</v>
      </c>
      <c r="T65" s="35">
        <v>97588</v>
      </c>
      <c r="X65" t="s">
        <v>102</v>
      </c>
    </row>
    <row r="66" spans="1:24" x14ac:dyDescent="0.3">
      <c r="A66" s="39">
        <v>44943</v>
      </c>
      <c r="B66" t="s">
        <v>114</v>
      </c>
      <c r="C66" t="s">
        <v>223</v>
      </c>
      <c r="G66" s="42">
        <v>44943</v>
      </c>
      <c r="J66" s="35">
        <v>7000000</v>
      </c>
      <c r="K66" t="s">
        <v>224</v>
      </c>
      <c r="L66">
        <v>2301171855</v>
      </c>
      <c r="M66" t="s">
        <v>106</v>
      </c>
      <c r="N66" t="s">
        <v>106</v>
      </c>
      <c r="P66" t="s">
        <v>100</v>
      </c>
      <c r="R66">
        <v>970499321458</v>
      </c>
      <c r="T66" s="35">
        <v>7097588</v>
      </c>
      <c r="X66" t="s">
        <v>123</v>
      </c>
    </row>
    <row r="67" spans="1:24" x14ac:dyDescent="0.3">
      <c r="A67" s="39">
        <v>44944</v>
      </c>
      <c r="B67" t="s">
        <v>110</v>
      </c>
      <c r="C67" t="s">
        <v>225</v>
      </c>
      <c r="G67" s="42">
        <v>44944</v>
      </c>
      <c r="I67" s="35">
        <v>-3000000</v>
      </c>
      <c r="K67" t="s">
        <v>112</v>
      </c>
      <c r="L67">
        <v>2301181643</v>
      </c>
      <c r="M67" t="s">
        <v>98</v>
      </c>
      <c r="N67" t="s">
        <v>98</v>
      </c>
      <c r="O67" t="s">
        <v>113</v>
      </c>
      <c r="P67" t="s">
        <v>100</v>
      </c>
      <c r="Q67" t="s">
        <v>109</v>
      </c>
      <c r="R67">
        <v>301800617762</v>
      </c>
      <c r="T67" s="35">
        <v>4097588</v>
      </c>
      <c r="X67" t="s">
        <v>102</v>
      </c>
    </row>
    <row r="68" spans="1:24" x14ac:dyDescent="0.3">
      <c r="A68" s="39">
        <v>44952</v>
      </c>
      <c r="B68" t="s">
        <v>110</v>
      </c>
      <c r="C68" t="s">
        <v>226</v>
      </c>
      <c r="G68" s="42">
        <v>44952</v>
      </c>
      <c r="I68" s="35">
        <v>-2000000</v>
      </c>
      <c r="K68" t="s">
        <v>112</v>
      </c>
      <c r="L68">
        <v>2301201226</v>
      </c>
      <c r="M68" t="s">
        <v>98</v>
      </c>
      <c r="N68" t="s">
        <v>98</v>
      </c>
      <c r="O68" t="s">
        <v>113</v>
      </c>
      <c r="P68" t="s">
        <v>227</v>
      </c>
      <c r="Q68" t="s">
        <v>109</v>
      </c>
      <c r="R68">
        <v>302005121459</v>
      </c>
      <c r="T68" s="35">
        <v>2097588</v>
      </c>
      <c r="X68" t="s">
        <v>102</v>
      </c>
    </row>
    <row r="69" spans="1:24" x14ac:dyDescent="0.3">
      <c r="A69" s="39">
        <v>44952</v>
      </c>
      <c r="B69" t="s">
        <v>110</v>
      </c>
      <c r="C69" t="s">
        <v>228</v>
      </c>
      <c r="G69" s="42">
        <v>44952</v>
      </c>
      <c r="I69" s="35">
        <v>-2000000</v>
      </c>
      <c r="K69" t="s">
        <v>112</v>
      </c>
      <c r="L69">
        <v>2301201227</v>
      </c>
      <c r="M69" t="s">
        <v>98</v>
      </c>
      <c r="N69" t="s">
        <v>98</v>
      </c>
      <c r="O69" t="s">
        <v>113</v>
      </c>
      <c r="P69" t="s">
        <v>227</v>
      </c>
      <c r="Q69" t="s">
        <v>109</v>
      </c>
      <c r="R69">
        <v>302005121461</v>
      </c>
      <c r="T69" s="35">
        <v>97588</v>
      </c>
      <c r="X69" t="s">
        <v>102</v>
      </c>
    </row>
    <row r="70" spans="1:24" x14ac:dyDescent="0.3">
      <c r="A70" s="39">
        <v>44953</v>
      </c>
      <c r="B70" t="s">
        <v>114</v>
      </c>
      <c r="C70" t="s">
        <v>229</v>
      </c>
      <c r="G70" s="42">
        <v>44953</v>
      </c>
      <c r="J70" s="35">
        <v>103327</v>
      </c>
      <c r="K70" t="s">
        <v>230</v>
      </c>
      <c r="L70">
        <v>2301270156</v>
      </c>
      <c r="M70" t="s">
        <v>72</v>
      </c>
      <c r="N70" t="s">
        <v>72</v>
      </c>
      <c r="O70" t="s">
        <v>113</v>
      </c>
      <c r="P70" t="s">
        <v>100</v>
      </c>
      <c r="T70" s="35">
        <v>200915</v>
      </c>
    </row>
    <row r="71" spans="1:24" x14ac:dyDescent="0.3">
      <c r="A71" s="39">
        <v>44954</v>
      </c>
      <c r="B71" t="s">
        <v>114</v>
      </c>
      <c r="C71" t="s">
        <v>231</v>
      </c>
      <c r="G71" s="42">
        <v>44954</v>
      </c>
      <c r="J71" s="35">
        <v>1000000</v>
      </c>
      <c r="K71" t="s">
        <v>207</v>
      </c>
      <c r="L71">
        <v>2301281652</v>
      </c>
      <c r="M71" t="s">
        <v>106</v>
      </c>
      <c r="N71" t="s">
        <v>106</v>
      </c>
      <c r="O71" t="s">
        <v>208</v>
      </c>
      <c r="P71" t="s">
        <v>117</v>
      </c>
      <c r="R71" t="s">
        <v>232</v>
      </c>
      <c r="T71" s="35">
        <v>1200915</v>
      </c>
    </row>
    <row r="72" spans="1:24" x14ac:dyDescent="0.3">
      <c r="A72" s="39">
        <v>44954</v>
      </c>
      <c r="B72" t="s">
        <v>114</v>
      </c>
      <c r="C72" t="s">
        <v>233</v>
      </c>
      <c r="G72" s="42">
        <v>44954</v>
      </c>
      <c r="I72" s="35">
        <v>-1200000</v>
      </c>
      <c r="K72" t="s">
        <v>120</v>
      </c>
      <c r="L72">
        <v>2301281836</v>
      </c>
      <c r="M72" t="s">
        <v>106</v>
      </c>
      <c r="N72" t="s">
        <v>106</v>
      </c>
      <c r="O72" t="s">
        <v>113</v>
      </c>
      <c r="P72" t="s">
        <v>100</v>
      </c>
      <c r="R72" t="s">
        <v>234</v>
      </c>
      <c r="T72">
        <v>915</v>
      </c>
      <c r="X72" t="s">
        <v>123</v>
      </c>
    </row>
    <row r="73" spans="1:24" x14ac:dyDescent="0.3">
      <c r="A73" s="39">
        <v>44958</v>
      </c>
      <c r="B73" t="s">
        <v>129</v>
      </c>
      <c r="C73" t="s">
        <v>235</v>
      </c>
      <c r="G73" s="42">
        <v>44957</v>
      </c>
      <c r="J73">
        <v>400</v>
      </c>
      <c r="K73" t="s">
        <v>236</v>
      </c>
      <c r="L73">
        <v>2302010144</v>
      </c>
      <c r="M73" t="s">
        <v>132</v>
      </c>
      <c r="N73" t="s">
        <v>132</v>
      </c>
      <c r="T73" s="35">
        <v>1315</v>
      </c>
    </row>
    <row r="74" spans="1:24" x14ac:dyDescent="0.3">
      <c r="A74" s="39">
        <v>44959</v>
      </c>
      <c r="B74" t="s">
        <v>114</v>
      </c>
      <c r="C74" t="s">
        <v>237</v>
      </c>
      <c r="G74" s="42">
        <v>44959</v>
      </c>
      <c r="J74" s="35">
        <v>8880347</v>
      </c>
      <c r="K74" t="s">
        <v>238</v>
      </c>
      <c r="L74">
        <v>2302021622</v>
      </c>
      <c r="M74" t="s">
        <v>71</v>
      </c>
      <c r="N74" t="s">
        <v>71</v>
      </c>
      <c r="P74" t="s">
        <v>117</v>
      </c>
      <c r="R74" t="s">
        <v>239</v>
      </c>
      <c r="T74" s="35">
        <v>8881662</v>
      </c>
    </row>
    <row r="75" spans="1:24" x14ac:dyDescent="0.3">
      <c r="A75" s="39">
        <v>44959</v>
      </c>
      <c r="B75" t="s">
        <v>110</v>
      </c>
      <c r="C75" t="s">
        <v>240</v>
      </c>
      <c r="G75" s="42">
        <v>44959</v>
      </c>
      <c r="I75" s="35">
        <v>-3000000</v>
      </c>
      <c r="K75" t="s">
        <v>112</v>
      </c>
      <c r="L75">
        <v>2302021654</v>
      </c>
      <c r="M75" t="s">
        <v>98</v>
      </c>
      <c r="N75" t="s">
        <v>98</v>
      </c>
      <c r="O75" t="s">
        <v>113</v>
      </c>
      <c r="P75" t="s">
        <v>100</v>
      </c>
      <c r="Q75" t="s">
        <v>109</v>
      </c>
      <c r="R75">
        <v>303300075511</v>
      </c>
      <c r="T75" s="35">
        <v>5881662</v>
      </c>
      <c r="X75" t="s">
        <v>102</v>
      </c>
    </row>
    <row r="76" spans="1:24" x14ac:dyDescent="0.3">
      <c r="A76" s="39">
        <v>44959</v>
      </c>
      <c r="B76" t="s">
        <v>110</v>
      </c>
      <c r="C76" t="s">
        <v>241</v>
      </c>
      <c r="G76" s="42">
        <v>44959</v>
      </c>
      <c r="I76" s="35">
        <v>-3000000</v>
      </c>
      <c r="K76" t="s">
        <v>112</v>
      </c>
      <c r="L76">
        <v>2302021655</v>
      </c>
      <c r="M76" t="s">
        <v>98</v>
      </c>
      <c r="N76" t="s">
        <v>98</v>
      </c>
      <c r="O76" t="s">
        <v>113</v>
      </c>
      <c r="P76" t="s">
        <v>100</v>
      </c>
      <c r="Q76" t="s">
        <v>109</v>
      </c>
      <c r="R76">
        <v>303300075513</v>
      </c>
      <c r="T76" s="35">
        <v>2881662</v>
      </c>
      <c r="X76" t="s">
        <v>102</v>
      </c>
    </row>
    <row r="77" spans="1:24" x14ac:dyDescent="0.3">
      <c r="A77" s="39">
        <v>44959</v>
      </c>
      <c r="B77" t="s">
        <v>110</v>
      </c>
      <c r="C77" t="s">
        <v>242</v>
      </c>
      <c r="G77" s="42">
        <v>44959</v>
      </c>
      <c r="I77" s="35">
        <v>-2500000</v>
      </c>
      <c r="K77" t="s">
        <v>112</v>
      </c>
      <c r="L77">
        <v>2302021656</v>
      </c>
      <c r="M77" t="s">
        <v>98</v>
      </c>
      <c r="N77" t="s">
        <v>98</v>
      </c>
      <c r="O77" t="s">
        <v>113</v>
      </c>
      <c r="P77" t="s">
        <v>100</v>
      </c>
      <c r="Q77" t="s">
        <v>109</v>
      </c>
      <c r="R77">
        <v>303300075515</v>
      </c>
      <c r="T77" s="35">
        <v>381662</v>
      </c>
      <c r="X77" t="s">
        <v>102</v>
      </c>
    </row>
    <row r="78" spans="1:24" x14ac:dyDescent="0.3">
      <c r="A78" s="39">
        <v>44960</v>
      </c>
      <c r="B78" t="s">
        <v>114</v>
      </c>
      <c r="C78" t="s">
        <v>243</v>
      </c>
      <c r="G78" s="42">
        <v>44960</v>
      </c>
      <c r="I78" s="35">
        <v>-300000</v>
      </c>
      <c r="K78" t="s">
        <v>120</v>
      </c>
      <c r="L78">
        <v>2302030638</v>
      </c>
      <c r="M78" t="s">
        <v>106</v>
      </c>
      <c r="N78" t="s">
        <v>106</v>
      </c>
      <c r="O78" t="s">
        <v>113</v>
      </c>
      <c r="P78" t="s">
        <v>100</v>
      </c>
      <c r="R78" t="s">
        <v>244</v>
      </c>
      <c r="T78" s="35">
        <v>81662</v>
      </c>
      <c r="X78" t="s">
        <v>123</v>
      </c>
    </row>
    <row r="79" spans="1:24" x14ac:dyDescent="0.3">
      <c r="A79" s="39">
        <v>44966</v>
      </c>
      <c r="B79" t="s">
        <v>245</v>
      </c>
      <c r="C79" t="s">
        <v>246</v>
      </c>
      <c r="G79" s="42">
        <v>44966</v>
      </c>
      <c r="I79" s="35">
        <v>-30000</v>
      </c>
      <c r="K79" t="s">
        <v>120</v>
      </c>
      <c r="L79">
        <v>2302090526</v>
      </c>
      <c r="M79" t="s">
        <v>106</v>
      </c>
      <c r="N79" t="s">
        <v>106</v>
      </c>
      <c r="O79" t="s">
        <v>113</v>
      </c>
      <c r="P79" t="s">
        <v>100</v>
      </c>
      <c r="R79" t="s">
        <v>247</v>
      </c>
      <c r="T79" s="35">
        <v>51662</v>
      </c>
      <c r="X79" t="s">
        <v>128</v>
      </c>
    </row>
    <row r="80" spans="1:24" x14ac:dyDescent="0.3">
      <c r="A80" s="39">
        <v>44966</v>
      </c>
      <c r="B80" t="s">
        <v>114</v>
      </c>
      <c r="C80" t="s">
        <v>248</v>
      </c>
      <c r="G80" s="42">
        <v>44966</v>
      </c>
      <c r="I80" s="35">
        <v>-30000</v>
      </c>
      <c r="K80" t="s">
        <v>120</v>
      </c>
      <c r="L80">
        <v>2302090601</v>
      </c>
      <c r="M80" t="s">
        <v>106</v>
      </c>
      <c r="N80" t="s">
        <v>106</v>
      </c>
      <c r="O80" t="s">
        <v>113</v>
      </c>
      <c r="P80" t="s">
        <v>100</v>
      </c>
      <c r="R80" t="s">
        <v>249</v>
      </c>
      <c r="T80" s="35">
        <v>21662</v>
      </c>
      <c r="X80" t="s">
        <v>123</v>
      </c>
    </row>
    <row r="81" spans="1:24" x14ac:dyDescent="0.3">
      <c r="A81" s="39">
        <v>44966</v>
      </c>
      <c r="B81" t="s">
        <v>114</v>
      </c>
      <c r="C81" t="s">
        <v>250</v>
      </c>
      <c r="G81" s="42">
        <v>44966</v>
      </c>
      <c r="J81" s="35">
        <v>120000</v>
      </c>
      <c r="K81" t="s">
        <v>251</v>
      </c>
      <c r="L81">
        <v>2302090605</v>
      </c>
      <c r="M81" t="s">
        <v>106</v>
      </c>
      <c r="N81" t="s">
        <v>106</v>
      </c>
      <c r="P81" t="s">
        <v>100</v>
      </c>
      <c r="R81">
        <v>970415519798</v>
      </c>
      <c r="T81" s="35">
        <v>141662</v>
      </c>
      <c r="X81" t="s">
        <v>123</v>
      </c>
    </row>
    <row r="82" spans="1:24" x14ac:dyDescent="0.3">
      <c r="A82" s="39">
        <v>44966</v>
      </c>
      <c r="B82" t="s">
        <v>114</v>
      </c>
      <c r="C82" t="s">
        <v>252</v>
      </c>
      <c r="G82" s="42">
        <v>44966</v>
      </c>
      <c r="I82" s="35">
        <v>-120000</v>
      </c>
      <c r="K82" t="s">
        <v>120</v>
      </c>
      <c r="L82">
        <v>2302090608</v>
      </c>
      <c r="M82" t="s">
        <v>106</v>
      </c>
      <c r="N82" t="s">
        <v>106</v>
      </c>
      <c r="O82" t="s">
        <v>113</v>
      </c>
      <c r="P82" t="s">
        <v>100</v>
      </c>
      <c r="R82" t="s">
        <v>253</v>
      </c>
      <c r="T82" s="35">
        <v>21662</v>
      </c>
      <c r="X82" t="s">
        <v>123</v>
      </c>
    </row>
    <row r="83" spans="1:24" x14ac:dyDescent="0.3">
      <c r="A83" s="39">
        <v>44977</v>
      </c>
      <c r="B83" t="s">
        <v>114</v>
      </c>
      <c r="C83" t="s">
        <v>254</v>
      </c>
      <c r="G83" s="42">
        <v>44977</v>
      </c>
      <c r="J83" s="35">
        <v>1000000</v>
      </c>
      <c r="K83" t="s">
        <v>207</v>
      </c>
      <c r="L83">
        <v>2302201701</v>
      </c>
      <c r="M83" t="s">
        <v>106</v>
      </c>
      <c r="N83" t="s">
        <v>106</v>
      </c>
      <c r="O83" t="s">
        <v>208</v>
      </c>
      <c r="P83" t="s">
        <v>117</v>
      </c>
      <c r="R83" t="s">
        <v>255</v>
      </c>
      <c r="T83" s="35">
        <v>1021662</v>
      </c>
    </row>
    <row r="84" spans="1:24" x14ac:dyDescent="0.3">
      <c r="A84" s="39">
        <v>44978</v>
      </c>
      <c r="B84" t="s">
        <v>114</v>
      </c>
      <c r="C84" t="s">
        <v>256</v>
      </c>
      <c r="G84" s="42">
        <v>44978</v>
      </c>
      <c r="I84" s="35">
        <v>-1000000</v>
      </c>
      <c r="K84" t="s">
        <v>120</v>
      </c>
      <c r="L84">
        <v>2302202213</v>
      </c>
      <c r="M84" t="s">
        <v>106</v>
      </c>
      <c r="N84" t="s">
        <v>106</v>
      </c>
      <c r="O84" t="s">
        <v>113</v>
      </c>
      <c r="P84" t="s">
        <v>100</v>
      </c>
      <c r="R84" t="s">
        <v>257</v>
      </c>
      <c r="T84" s="35">
        <v>21662</v>
      </c>
      <c r="X84" t="s">
        <v>123</v>
      </c>
    </row>
    <row r="85" spans="1:24" x14ac:dyDescent="0.3">
      <c r="A85" s="39">
        <v>44979</v>
      </c>
      <c r="B85" t="s">
        <v>114</v>
      </c>
      <c r="C85" t="s">
        <v>258</v>
      </c>
      <c r="G85" s="42">
        <v>44979</v>
      </c>
      <c r="J85" s="35">
        <v>16700000</v>
      </c>
      <c r="K85" t="s">
        <v>259</v>
      </c>
      <c r="L85">
        <v>2302221315</v>
      </c>
      <c r="M85" t="s">
        <v>106</v>
      </c>
      <c r="N85" t="s">
        <v>106</v>
      </c>
      <c r="P85" t="s">
        <v>100</v>
      </c>
      <c r="R85">
        <v>180906742411</v>
      </c>
      <c r="T85" s="35">
        <v>16721662</v>
      </c>
      <c r="X85" t="s">
        <v>123</v>
      </c>
    </row>
    <row r="86" spans="1:24" x14ac:dyDescent="0.3">
      <c r="A86" s="39">
        <v>44981</v>
      </c>
      <c r="B86" t="s">
        <v>114</v>
      </c>
      <c r="C86" t="s">
        <v>260</v>
      </c>
      <c r="G86" s="42">
        <v>44981</v>
      </c>
      <c r="I86" s="35">
        <v>-1000000</v>
      </c>
      <c r="K86" t="s">
        <v>120</v>
      </c>
      <c r="L86">
        <v>2302241804</v>
      </c>
      <c r="M86" t="s">
        <v>106</v>
      </c>
      <c r="N86" t="s">
        <v>106</v>
      </c>
      <c r="O86" t="s">
        <v>113</v>
      </c>
      <c r="P86" t="s">
        <v>100</v>
      </c>
      <c r="R86" t="s">
        <v>261</v>
      </c>
      <c r="T86" s="35">
        <v>15721662</v>
      </c>
      <c r="X86" t="s">
        <v>123</v>
      </c>
    </row>
    <row r="87" spans="1:24" x14ac:dyDescent="0.3">
      <c r="A87" s="39">
        <v>44984</v>
      </c>
      <c r="B87" t="s">
        <v>114</v>
      </c>
      <c r="C87" t="s">
        <v>262</v>
      </c>
      <c r="G87" s="42">
        <v>44984</v>
      </c>
      <c r="I87" s="35">
        <v>-100000</v>
      </c>
      <c r="K87" t="s">
        <v>263</v>
      </c>
      <c r="L87">
        <v>2302262134</v>
      </c>
      <c r="M87" t="s">
        <v>106</v>
      </c>
      <c r="N87" t="s">
        <v>106</v>
      </c>
      <c r="O87" t="s">
        <v>113</v>
      </c>
      <c r="P87" t="s">
        <v>227</v>
      </c>
      <c r="R87" t="s">
        <v>264</v>
      </c>
      <c r="T87" s="35">
        <v>15621662</v>
      </c>
    </row>
    <row r="88" spans="1:24" x14ac:dyDescent="0.3">
      <c r="A88" s="39">
        <v>44984</v>
      </c>
      <c r="B88" t="s">
        <v>114</v>
      </c>
      <c r="C88" t="s">
        <v>262</v>
      </c>
      <c r="G88" s="42">
        <v>44984</v>
      </c>
      <c r="J88" s="35">
        <v>100000</v>
      </c>
      <c r="K88" t="s">
        <v>263</v>
      </c>
      <c r="L88">
        <v>2302262134</v>
      </c>
      <c r="M88" t="s">
        <v>106</v>
      </c>
      <c r="N88" t="s">
        <v>106</v>
      </c>
      <c r="O88" t="s">
        <v>113</v>
      </c>
      <c r="P88" t="s">
        <v>227</v>
      </c>
      <c r="R88" t="s">
        <v>264</v>
      </c>
      <c r="T88" s="35">
        <v>15721662</v>
      </c>
    </row>
    <row r="89" spans="1:24" x14ac:dyDescent="0.3">
      <c r="A89" s="39">
        <v>44984</v>
      </c>
      <c r="B89" t="s">
        <v>114</v>
      </c>
      <c r="C89" t="s">
        <v>265</v>
      </c>
      <c r="G89" s="42">
        <v>44984</v>
      </c>
      <c r="I89" s="35">
        <v>-100000</v>
      </c>
      <c r="K89" t="s">
        <v>266</v>
      </c>
      <c r="L89">
        <v>2302262137</v>
      </c>
      <c r="M89" t="s">
        <v>106</v>
      </c>
      <c r="N89" t="s">
        <v>106</v>
      </c>
      <c r="O89" t="s">
        <v>113</v>
      </c>
      <c r="P89" t="s">
        <v>227</v>
      </c>
      <c r="R89" t="s">
        <v>267</v>
      </c>
      <c r="T89" s="35">
        <v>15621662</v>
      </c>
    </row>
    <row r="90" spans="1:24" x14ac:dyDescent="0.3">
      <c r="A90" s="39">
        <v>44984</v>
      </c>
      <c r="B90" t="s">
        <v>114</v>
      </c>
      <c r="C90" t="s">
        <v>268</v>
      </c>
      <c r="G90" s="42">
        <v>44984</v>
      </c>
      <c r="I90" s="35">
        <v>-50000</v>
      </c>
      <c r="K90" t="s">
        <v>269</v>
      </c>
      <c r="L90">
        <v>2302262138</v>
      </c>
      <c r="M90" t="s">
        <v>106</v>
      </c>
      <c r="N90" t="s">
        <v>106</v>
      </c>
      <c r="O90" t="s">
        <v>113</v>
      </c>
      <c r="P90" t="s">
        <v>227</v>
      </c>
      <c r="R90" t="s">
        <v>270</v>
      </c>
      <c r="T90" s="35">
        <v>15571662</v>
      </c>
    </row>
    <row r="91" spans="1:24" x14ac:dyDescent="0.3">
      <c r="A91" s="39">
        <v>44986</v>
      </c>
      <c r="B91" t="s">
        <v>129</v>
      </c>
      <c r="C91" t="s">
        <v>271</v>
      </c>
      <c r="G91" s="42">
        <v>44985</v>
      </c>
      <c r="J91">
        <v>624</v>
      </c>
      <c r="K91" t="s">
        <v>272</v>
      </c>
      <c r="L91">
        <v>2303010041</v>
      </c>
      <c r="M91" t="s">
        <v>132</v>
      </c>
      <c r="N91" t="s">
        <v>132</v>
      </c>
      <c r="T91" s="35">
        <v>15572286</v>
      </c>
    </row>
    <row r="92" spans="1:24" x14ac:dyDescent="0.3">
      <c r="A92" s="39">
        <v>44987</v>
      </c>
      <c r="B92" t="s">
        <v>114</v>
      </c>
      <c r="C92" t="s">
        <v>273</v>
      </c>
      <c r="G92" s="42">
        <v>44987</v>
      </c>
      <c r="J92" s="35">
        <v>10250425</v>
      </c>
      <c r="K92" t="s">
        <v>274</v>
      </c>
      <c r="L92">
        <v>2303021252</v>
      </c>
      <c r="M92" t="s">
        <v>71</v>
      </c>
      <c r="N92" t="s">
        <v>71</v>
      </c>
      <c r="P92" t="s">
        <v>117</v>
      </c>
      <c r="R92" t="s">
        <v>275</v>
      </c>
      <c r="T92" s="35">
        <v>25822711</v>
      </c>
    </row>
    <row r="93" spans="1:24" x14ac:dyDescent="0.3">
      <c r="A93" s="39">
        <v>44987</v>
      </c>
      <c r="B93" t="s">
        <v>110</v>
      </c>
      <c r="C93" t="s">
        <v>276</v>
      </c>
      <c r="G93" s="42">
        <v>44987</v>
      </c>
      <c r="I93" s="35">
        <v>-3000000</v>
      </c>
      <c r="K93" t="s">
        <v>112</v>
      </c>
      <c r="L93">
        <v>2303021711</v>
      </c>
      <c r="M93" t="s">
        <v>98</v>
      </c>
      <c r="N93" t="s">
        <v>98</v>
      </c>
      <c r="O93" t="s">
        <v>113</v>
      </c>
      <c r="P93" t="s">
        <v>100</v>
      </c>
      <c r="Q93" t="s">
        <v>277</v>
      </c>
      <c r="R93">
        <v>306110787274</v>
      </c>
      <c r="T93" s="35">
        <v>22822711</v>
      </c>
      <c r="X93" t="s">
        <v>102</v>
      </c>
    </row>
    <row r="94" spans="1:24" x14ac:dyDescent="0.3">
      <c r="A94" s="39">
        <v>44987</v>
      </c>
      <c r="B94" t="s">
        <v>110</v>
      </c>
      <c r="C94" t="s">
        <v>278</v>
      </c>
      <c r="G94" s="42">
        <v>44987</v>
      </c>
      <c r="I94" s="35">
        <v>-3000000</v>
      </c>
      <c r="K94" t="s">
        <v>112</v>
      </c>
      <c r="L94">
        <v>2303021712</v>
      </c>
      <c r="M94" t="s">
        <v>98</v>
      </c>
      <c r="N94" t="s">
        <v>98</v>
      </c>
      <c r="O94" t="s">
        <v>113</v>
      </c>
      <c r="P94" t="s">
        <v>100</v>
      </c>
      <c r="Q94" t="s">
        <v>277</v>
      </c>
      <c r="R94">
        <v>306110793182</v>
      </c>
      <c r="T94" s="35">
        <v>19822711</v>
      </c>
      <c r="X94" t="s">
        <v>102</v>
      </c>
    </row>
    <row r="95" spans="1:24" x14ac:dyDescent="0.3">
      <c r="A95" s="39">
        <v>44987</v>
      </c>
      <c r="B95" t="s">
        <v>110</v>
      </c>
      <c r="C95" t="s">
        <v>279</v>
      </c>
      <c r="G95" s="42">
        <v>44987</v>
      </c>
      <c r="I95" s="35">
        <v>-3000000</v>
      </c>
      <c r="K95" t="s">
        <v>112</v>
      </c>
      <c r="L95">
        <v>2303021714</v>
      </c>
      <c r="M95" t="s">
        <v>98</v>
      </c>
      <c r="N95" t="s">
        <v>98</v>
      </c>
      <c r="O95" t="s">
        <v>113</v>
      </c>
      <c r="P95" t="s">
        <v>100</v>
      </c>
      <c r="Q95" t="s">
        <v>277</v>
      </c>
      <c r="R95">
        <v>306110799914</v>
      </c>
      <c r="T95" s="35">
        <v>16822711</v>
      </c>
      <c r="X95" t="s">
        <v>102</v>
      </c>
    </row>
    <row r="96" spans="1:24" x14ac:dyDescent="0.3">
      <c r="A96" s="39">
        <v>44988</v>
      </c>
      <c r="B96" t="s">
        <v>110</v>
      </c>
      <c r="C96" t="s">
        <v>280</v>
      </c>
      <c r="G96" s="42">
        <v>44988</v>
      </c>
      <c r="I96" s="35">
        <v>-3000000</v>
      </c>
      <c r="K96" t="s">
        <v>112</v>
      </c>
      <c r="L96">
        <v>2303030723</v>
      </c>
      <c r="M96" t="s">
        <v>98</v>
      </c>
      <c r="N96" t="s">
        <v>98</v>
      </c>
      <c r="O96" t="s">
        <v>113</v>
      </c>
      <c r="P96" t="s">
        <v>100</v>
      </c>
      <c r="Q96" t="s">
        <v>277</v>
      </c>
      <c r="R96">
        <v>306200627799</v>
      </c>
      <c r="T96" s="35">
        <v>13822711</v>
      </c>
      <c r="X96" t="s">
        <v>102</v>
      </c>
    </row>
    <row r="97" spans="1:24" x14ac:dyDescent="0.3">
      <c r="A97" s="39">
        <v>44988</v>
      </c>
      <c r="B97" t="s">
        <v>110</v>
      </c>
      <c r="C97" t="s">
        <v>281</v>
      </c>
      <c r="G97" s="42">
        <v>44988</v>
      </c>
      <c r="I97" s="35">
        <v>-3000000</v>
      </c>
      <c r="K97" t="s">
        <v>112</v>
      </c>
      <c r="L97">
        <v>2303030724</v>
      </c>
      <c r="M97" t="s">
        <v>98</v>
      </c>
      <c r="N97" t="s">
        <v>98</v>
      </c>
      <c r="O97" t="s">
        <v>113</v>
      </c>
      <c r="P97" t="s">
        <v>100</v>
      </c>
      <c r="Q97" t="s">
        <v>277</v>
      </c>
      <c r="R97">
        <v>306200627801</v>
      </c>
      <c r="T97" s="35">
        <v>10822711</v>
      </c>
      <c r="X97" t="s">
        <v>102</v>
      </c>
    </row>
    <row r="98" spans="1:24" x14ac:dyDescent="0.3">
      <c r="A98" s="39">
        <v>44988</v>
      </c>
      <c r="B98" t="s">
        <v>110</v>
      </c>
      <c r="C98" t="s">
        <v>282</v>
      </c>
      <c r="G98" s="42">
        <v>44988</v>
      </c>
      <c r="I98" s="35">
        <v>-3000000</v>
      </c>
      <c r="K98" t="s">
        <v>112</v>
      </c>
      <c r="L98">
        <v>2303030725</v>
      </c>
      <c r="M98" t="s">
        <v>98</v>
      </c>
      <c r="N98" t="s">
        <v>98</v>
      </c>
      <c r="O98" t="s">
        <v>113</v>
      </c>
      <c r="P98" t="s">
        <v>100</v>
      </c>
      <c r="Q98" t="s">
        <v>277</v>
      </c>
      <c r="R98">
        <v>306200627803</v>
      </c>
      <c r="T98" s="35">
        <v>7822711</v>
      </c>
      <c r="X98" t="s">
        <v>102</v>
      </c>
    </row>
    <row r="99" spans="1:24" x14ac:dyDescent="0.3">
      <c r="A99" s="39">
        <v>44988</v>
      </c>
      <c r="B99" t="s">
        <v>110</v>
      </c>
      <c r="C99" t="s">
        <v>283</v>
      </c>
      <c r="G99" s="42">
        <v>44988</v>
      </c>
      <c r="I99" s="35">
        <v>-3000000</v>
      </c>
      <c r="K99" t="s">
        <v>112</v>
      </c>
      <c r="L99">
        <v>2303030726</v>
      </c>
      <c r="M99" t="s">
        <v>98</v>
      </c>
      <c r="N99" t="s">
        <v>98</v>
      </c>
      <c r="O99" t="s">
        <v>113</v>
      </c>
      <c r="P99" t="s">
        <v>100</v>
      </c>
      <c r="Q99" t="s">
        <v>277</v>
      </c>
      <c r="R99">
        <v>306200627805</v>
      </c>
      <c r="T99" s="35">
        <v>4822711</v>
      </c>
      <c r="X99" t="s">
        <v>102</v>
      </c>
    </row>
    <row r="100" spans="1:24" x14ac:dyDescent="0.3">
      <c r="A100" s="39">
        <v>45007</v>
      </c>
      <c r="B100" t="s">
        <v>110</v>
      </c>
      <c r="C100" t="s">
        <v>284</v>
      </c>
      <c r="G100" s="42">
        <v>45007</v>
      </c>
      <c r="I100" s="35">
        <v>-3000000</v>
      </c>
      <c r="K100" t="s">
        <v>112</v>
      </c>
      <c r="L100">
        <v>2303221746</v>
      </c>
      <c r="M100" t="s">
        <v>98</v>
      </c>
      <c r="N100" t="s">
        <v>98</v>
      </c>
      <c r="O100" t="s">
        <v>113</v>
      </c>
      <c r="P100" t="s">
        <v>100</v>
      </c>
      <c r="Q100" t="s">
        <v>277</v>
      </c>
      <c r="R100">
        <v>308110424890</v>
      </c>
      <c r="T100" s="35">
        <v>1822711</v>
      </c>
      <c r="X100" t="s">
        <v>102</v>
      </c>
    </row>
    <row r="101" spans="1:24" x14ac:dyDescent="0.3">
      <c r="A101" s="39">
        <v>45016</v>
      </c>
      <c r="B101" t="s">
        <v>114</v>
      </c>
      <c r="C101" t="s">
        <v>285</v>
      </c>
      <c r="G101" s="42">
        <v>45016</v>
      </c>
      <c r="I101" s="35">
        <v>-200000</v>
      </c>
      <c r="K101" t="s">
        <v>180</v>
      </c>
      <c r="L101">
        <v>2303310625</v>
      </c>
      <c r="M101" t="s">
        <v>106</v>
      </c>
      <c r="N101" t="s">
        <v>106</v>
      </c>
      <c r="O101" t="s">
        <v>113</v>
      </c>
      <c r="P101" t="s">
        <v>121</v>
      </c>
      <c r="R101" t="s">
        <v>286</v>
      </c>
      <c r="T101" s="35">
        <v>1622711</v>
      </c>
    </row>
    <row r="102" spans="1:24" x14ac:dyDescent="0.3">
      <c r="A102" s="39">
        <v>45016</v>
      </c>
      <c r="B102" t="s">
        <v>114</v>
      </c>
      <c r="C102" t="s">
        <v>285</v>
      </c>
      <c r="G102" s="42">
        <v>45016</v>
      </c>
      <c r="J102" s="35">
        <v>200000</v>
      </c>
      <c r="K102" t="s">
        <v>180</v>
      </c>
      <c r="L102">
        <v>2303310625</v>
      </c>
      <c r="M102" t="s">
        <v>106</v>
      </c>
      <c r="N102" t="s">
        <v>106</v>
      </c>
      <c r="O102" t="s">
        <v>113</v>
      </c>
      <c r="P102" t="s">
        <v>121</v>
      </c>
      <c r="R102" t="s">
        <v>286</v>
      </c>
      <c r="T102" s="35">
        <v>1822711</v>
      </c>
    </row>
    <row r="103" spans="1:24" x14ac:dyDescent="0.3">
      <c r="A103" s="39">
        <v>45016</v>
      </c>
      <c r="B103" t="s">
        <v>114</v>
      </c>
      <c r="C103" t="s">
        <v>287</v>
      </c>
      <c r="G103" s="42">
        <v>45016</v>
      </c>
      <c r="I103" s="35">
        <v>-200000</v>
      </c>
      <c r="K103" t="s">
        <v>180</v>
      </c>
      <c r="L103">
        <v>2303310626</v>
      </c>
      <c r="M103" t="s">
        <v>106</v>
      </c>
      <c r="N103" t="s">
        <v>106</v>
      </c>
      <c r="O103" t="s">
        <v>113</v>
      </c>
      <c r="P103" t="s">
        <v>121</v>
      </c>
      <c r="R103" t="s">
        <v>288</v>
      </c>
      <c r="T103" s="35">
        <v>1622711</v>
      </c>
    </row>
    <row r="104" spans="1:24" x14ac:dyDescent="0.3">
      <c r="A104" s="39">
        <v>45016</v>
      </c>
      <c r="B104" t="s">
        <v>114</v>
      </c>
      <c r="C104" t="s">
        <v>287</v>
      </c>
      <c r="G104" s="42">
        <v>45016</v>
      </c>
      <c r="J104" s="35">
        <v>200000</v>
      </c>
      <c r="K104" t="s">
        <v>180</v>
      </c>
      <c r="L104">
        <v>2303310626</v>
      </c>
      <c r="M104" t="s">
        <v>106</v>
      </c>
      <c r="N104" t="s">
        <v>106</v>
      </c>
      <c r="O104" t="s">
        <v>113</v>
      </c>
      <c r="P104" t="s">
        <v>121</v>
      </c>
      <c r="R104" t="s">
        <v>288</v>
      </c>
      <c r="T104" s="35">
        <v>1822711</v>
      </c>
    </row>
    <row r="105" spans="1:24" x14ac:dyDescent="0.3">
      <c r="A105" s="39">
        <v>45016</v>
      </c>
      <c r="B105" t="s">
        <v>114</v>
      </c>
      <c r="C105" t="s">
        <v>289</v>
      </c>
      <c r="G105" s="42">
        <v>45016</v>
      </c>
      <c r="I105" s="35">
        <v>-200000</v>
      </c>
      <c r="K105" t="s">
        <v>180</v>
      </c>
      <c r="L105">
        <v>2303310627</v>
      </c>
      <c r="M105" t="s">
        <v>106</v>
      </c>
      <c r="N105" t="s">
        <v>106</v>
      </c>
      <c r="O105" t="s">
        <v>113</v>
      </c>
      <c r="P105" t="s">
        <v>121</v>
      </c>
      <c r="R105" t="s">
        <v>290</v>
      </c>
      <c r="T105" s="35">
        <v>1622711</v>
      </c>
    </row>
    <row r="106" spans="1:24" x14ac:dyDescent="0.3">
      <c r="A106" s="39">
        <v>45016</v>
      </c>
      <c r="B106" t="s">
        <v>114</v>
      </c>
      <c r="C106" t="s">
        <v>289</v>
      </c>
      <c r="G106" s="42">
        <v>45016</v>
      </c>
      <c r="J106" s="35">
        <v>200000</v>
      </c>
      <c r="K106" t="s">
        <v>180</v>
      </c>
      <c r="L106">
        <v>2303310627</v>
      </c>
      <c r="M106" t="s">
        <v>106</v>
      </c>
      <c r="N106" t="s">
        <v>106</v>
      </c>
      <c r="O106" t="s">
        <v>113</v>
      </c>
      <c r="P106" t="s">
        <v>121</v>
      </c>
      <c r="R106" t="s">
        <v>290</v>
      </c>
      <c r="T106" s="35">
        <v>1822711</v>
      </c>
    </row>
    <row r="107" spans="1:24" x14ac:dyDescent="0.3">
      <c r="A107" s="39">
        <v>45016</v>
      </c>
      <c r="B107" t="s">
        <v>114</v>
      </c>
      <c r="C107" t="s">
        <v>291</v>
      </c>
      <c r="G107" s="42">
        <v>45016</v>
      </c>
      <c r="I107" s="35">
        <v>-200000</v>
      </c>
      <c r="K107" t="s">
        <v>180</v>
      </c>
      <c r="L107">
        <v>2303310628</v>
      </c>
      <c r="M107" t="s">
        <v>106</v>
      </c>
      <c r="N107" t="s">
        <v>106</v>
      </c>
      <c r="O107" t="s">
        <v>113</v>
      </c>
      <c r="P107" t="s">
        <v>121</v>
      </c>
      <c r="R107" t="s">
        <v>292</v>
      </c>
      <c r="T107" s="35">
        <v>1622711</v>
      </c>
    </row>
    <row r="108" spans="1:24" x14ac:dyDescent="0.3">
      <c r="A108" s="39">
        <v>45016</v>
      </c>
      <c r="B108" t="s">
        <v>114</v>
      </c>
      <c r="C108" t="s">
        <v>291</v>
      </c>
      <c r="G108" s="42">
        <v>45016</v>
      </c>
      <c r="J108" s="35">
        <v>200000</v>
      </c>
      <c r="K108" t="s">
        <v>180</v>
      </c>
      <c r="L108">
        <v>2303310628</v>
      </c>
      <c r="M108" t="s">
        <v>106</v>
      </c>
      <c r="N108" t="s">
        <v>106</v>
      </c>
      <c r="O108" t="s">
        <v>113</v>
      </c>
      <c r="P108" t="s">
        <v>121</v>
      </c>
      <c r="R108" t="s">
        <v>292</v>
      </c>
      <c r="T108" s="35">
        <v>1822711</v>
      </c>
    </row>
    <row r="109" spans="1:24" x14ac:dyDescent="0.3">
      <c r="A109" s="39">
        <v>45017</v>
      </c>
      <c r="B109" t="s">
        <v>129</v>
      </c>
      <c r="C109" t="s">
        <v>293</v>
      </c>
      <c r="G109" s="42">
        <v>45016</v>
      </c>
      <c r="J109">
        <v>779</v>
      </c>
      <c r="K109" t="s">
        <v>294</v>
      </c>
      <c r="L109">
        <v>2304010332</v>
      </c>
      <c r="M109" t="s">
        <v>132</v>
      </c>
      <c r="N109" t="s">
        <v>132</v>
      </c>
      <c r="T109" s="35">
        <v>1823490</v>
      </c>
    </row>
    <row r="110" spans="1:24" x14ac:dyDescent="0.3">
      <c r="A110" s="39">
        <v>45019</v>
      </c>
      <c r="B110" t="s">
        <v>114</v>
      </c>
      <c r="C110" t="s">
        <v>295</v>
      </c>
      <c r="G110" s="42">
        <v>45019</v>
      </c>
      <c r="J110" s="35">
        <v>90000</v>
      </c>
      <c r="K110" t="s">
        <v>296</v>
      </c>
      <c r="L110">
        <v>2304021657</v>
      </c>
      <c r="M110" t="s">
        <v>106</v>
      </c>
      <c r="N110" t="s">
        <v>106</v>
      </c>
      <c r="P110" t="s">
        <v>100</v>
      </c>
      <c r="R110">
        <v>180906738829</v>
      </c>
      <c r="T110" s="35">
        <v>1913490</v>
      </c>
      <c r="X110" t="s">
        <v>123</v>
      </c>
    </row>
    <row r="111" spans="1:24" x14ac:dyDescent="0.3">
      <c r="A111" s="39">
        <v>45020</v>
      </c>
      <c r="B111" t="s">
        <v>110</v>
      </c>
      <c r="C111" t="s">
        <v>297</v>
      </c>
      <c r="G111" s="42">
        <v>45020</v>
      </c>
      <c r="I111" s="35">
        <v>-1500000</v>
      </c>
      <c r="K111" t="s">
        <v>112</v>
      </c>
      <c r="L111">
        <v>2304041655</v>
      </c>
      <c r="M111" t="s">
        <v>98</v>
      </c>
      <c r="N111" t="s">
        <v>98</v>
      </c>
      <c r="O111" t="s">
        <v>113</v>
      </c>
      <c r="P111" t="s">
        <v>100</v>
      </c>
      <c r="Q111" t="s">
        <v>277</v>
      </c>
      <c r="R111">
        <v>309409364805</v>
      </c>
      <c r="T111" s="35">
        <v>413490</v>
      </c>
      <c r="X111" t="s">
        <v>102</v>
      </c>
    </row>
    <row r="112" spans="1:24" x14ac:dyDescent="0.3">
      <c r="A112" s="39">
        <v>45020</v>
      </c>
      <c r="B112" t="s">
        <v>114</v>
      </c>
      <c r="C112" t="s">
        <v>298</v>
      </c>
      <c r="G112" s="42">
        <v>45020</v>
      </c>
      <c r="J112" s="35">
        <v>11447054</v>
      </c>
      <c r="K112" t="s">
        <v>299</v>
      </c>
      <c r="L112">
        <v>2304041655</v>
      </c>
      <c r="M112" t="s">
        <v>71</v>
      </c>
      <c r="N112" t="s">
        <v>71</v>
      </c>
      <c r="P112" t="s">
        <v>117</v>
      </c>
      <c r="R112" t="s">
        <v>300</v>
      </c>
      <c r="T112" s="35">
        <v>11860544</v>
      </c>
    </row>
    <row r="113" spans="1:24" x14ac:dyDescent="0.3">
      <c r="A113" s="39">
        <v>45020</v>
      </c>
      <c r="B113" t="s">
        <v>110</v>
      </c>
      <c r="C113" t="s">
        <v>301</v>
      </c>
      <c r="G113" s="42">
        <v>45020</v>
      </c>
      <c r="I113" s="35">
        <v>-3000000</v>
      </c>
      <c r="K113" t="s">
        <v>112</v>
      </c>
      <c r="L113">
        <v>2304041724</v>
      </c>
      <c r="M113" t="s">
        <v>98</v>
      </c>
      <c r="N113" t="s">
        <v>98</v>
      </c>
      <c r="O113" t="s">
        <v>113</v>
      </c>
      <c r="P113" t="s">
        <v>100</v>
      </c>
      <c r="Q113" t="s">
        <v>277</v>
      </c>
      <c r="R113">
        <v>309410516332</v>
      </c>
      <c r="T113" s="35">
        <v>8860544</v>
      </c>
      <c r="X113" t="s">
        <v>102</v>
      </c>
    </row>
    <row r="114" spans="1:24" x14ac:dyDescent="0.3">
      <c r="A114" s="39">
        <v>45020</v>
      </c>
      <c r="B114" t="s">
        <v>110</v>
      </c>
      <c r="C114" t="s">
        <v>302</v>
      </c>
      <c r="G114" s="42">
        <v>45020</v>
      </c>
      <c r="I114" s="35">
        <v>-3000000</v>
      </c>
      <c r="K114" t="s">
        <v>112</v>
      </c>
      <c r="L114">
        <v>2304041725</v>
      </c>
      <c r="M114" t="s">
        <v>98</v>
      </c>
      <c r="N114" t="s">
        <v>98</v>
      </c>
      <c r="O114" t="s">
        <v>113</v>
      </c>
      <c r="P114" t="s">
        <v>100</v>
      </c>
      <c r="Q114" t="s">
        <v>277</v>
      </c>
      <c r="R114">
        <v>309410521230</v>
      </c>
      <c r="T114" s="35">
        <v>5860544</v>
      </c>
      <c r="X114" t="s">
        <v>102</v>
      </c>
    </row>
    <row r="115" spans="1:24" x14ac:dyDescent="0.3">
      <c r="A115" s="39">
        <v>45020</v>
      </c>
      <c r="B115" t="s">
        <v>110</v>
      </c>
      <c r="C115" t="s">
        <v>303</v>
      </c>
      <c r="G115" s="42">
        <v>45020</v>
      </c>
      <c r="I115" s="35">
        <v>-3000000</v>
      </c>
      <c r="K115" t="s">
        <v>112</v>
      </c>
      <c r="L115">
        <v>2304041726</v>
      </c>
      <c r="M115" t="s">
        <v>98</v>
      </c>
      <c r="N115" t="s">
        <v>98</v>
      </c>
      <c r="O115" t="s">
        <v>113</v>
      </c>
      <c r="P115" t="s">
        <v>100</v>
      </c>
      <c r="Q115" t="s">
        <v>277</v>
      </c>
      <c r="R115">
        <v>309410527277</v>
      </c>
      <c r="T115" s="35">
        <v>2860544</v>
      </c>
      <c r="X115" t="s">
        <v>102</v>
      </c>
    </row>
    <row r="116" spans="1:24" x14ac:dyDescent="0.3">
      <c r="A116" s="39">
        <v>45020</v>
      </c>
      <c r="B116" t="s">
        <v>110</v>
      </c>
      <c r="C116" t="s">
        <v>304</v>
      </c>
      <c r="G116" s="42">
        <v>45020</v>
      </c>
      <c r="I116" s="35">
        <v>-2800000</v>
      </c>
      <c r="K116" t="s">
        <v>112</v>
      </c>
      <c r="L116">
        <v>2304041727</v>
      </c>
      <c r="M116" t="s">
        <v>98</v>
      </c>
      <c r="N116" t="s">
        <v>98</v>
      </c>
      <c r="O116" t="s">
        <v>113</v>
      </c>
      <c r="P116" t="s">
        <v>100</v>
      </c>
      <c r="Q116" t="s">
        <v>277</v>
      </c>
      <c r="R116">
        <v>309410531957</v>
      </c>
      <c r="T116" s="35">
        <v>60544</v>
      </c>
      <c r="X116" t="s">
        <v>102</v>
      </c>
    </row>
    <row r="117" spans="1:24" x14ac:dyDescent="0.3">
      <c r="A117" s="39">
        <v>45020</v>
      </c>
      <c r="B117" t="s">
        <v>114</v>
      </c>
      <c r="C117" t="s">
        <v>305</v>
      </c>
      <c r="G117" s="42">
        <v>45020</v>
      </c>
      <c r="J117" s="35">
        <v>1000000</v>
      </c>
      <c r="K117" t="s">
        <v>306</v>
      </c>
      <c r="L117">
        <v>2304041732</v>
      </c>
      <c r="M117" t="s">
        <v>106</v>
      </c>
      <c r="N117" t="s">
        <v>106</v>
      </c>
      <c r="O117" t="s">
        <v>307</v>
      </c>
      <c r="P117" t="s">
        <v>100</v>
      </c>
      <c r="R117" t="s">
        <v>308</v>
      </c>
      <c r="T117" s="35">
        <v>1060544</v>
      </c>
    </row>
    <row r="118" spans="1:24" x14ac:dyDescent="0.3">
      <c r="A118" s="39">
        <v>45020</v>
      </c>
      <c r="B118" t="s">
        <v>114</v>
      </c>
      <c r="C118" t="s">
        <v>309</v>
      </c>
      <c r="G118" s="42">
        <v>45020</v>
      </c>
      <c r="J118" s="35">
        <v>1000000</v>
      </c>
      <c r="K118" t="s">
        <v>310</v>
      </c>
      <c r="L118">
        <v>2304041825</v>
      </c>
      <c r="M118" t="s">
        <v>106</v>
      </c>
      <c r="N118" t="s">
        <v>106</v>
      </c>
      <c r="O118" t="s">
        <v>311</v>
      </c>
      <c r="P118" t="s">
        <v>117</v>
      </c>
      <c r="R118" t="s">
        <v>312</v>
      </c>
      <c r="T118" s="35">
        <v>2060544</v>
      </c>
    </row>
    <row r="119" spans="1:24" x14ac:dyDescent="0.3">
      <c r="A119" s="39">
        <v>45021</v>
      </c>
      <c r="B119" t="s">
        <v>114</v>
      </c>
      <c r="C119" t="s">
        <v>313</v>
      </c>
      <c r="G119" s="42">
        <v>45021</v>
      </c>
      <c r="J119" s="35">
        <v>1000000</v>
      </c>
      <c r="K119" t="s">
        <v>314</v>
      </c>
      <c r="L119">
        <v>2304050639</v>
      </c>
      <c r="M119" t="s">
        <v>106</v>
      </c>
      <c r="N119" t="s">
        <v>106</v>
      </c>
      <c r="O119" t="s">
        <v>315</v>
      </c>
      <c r="P119" t="s">
        <v>117</v>
      </c>
      <c r="R119" t="s">
        <v>316</v>
      </c>
      <c r="T119" s="35">
        <v>3060544</v>
      </c>
    </row>
    <row r="120" spans="1:24" x14ac:dyDescent="0.3">
      <c r="A120" s="39">
        <v>45021</v>
      </c>
      <c r="B120" t="s">
        <v>114</v>
      </c>
      <c r="C120" t="s">
        <v>317</v>
      </c>
      <c r="G120" s="42">
        <v>45021</v>
      </c>
      <c r="J120" s="35">
        <v>2000000</v>
      </c>
      <c r="K120" t="s">
        <v>318</v>
      </c>
      <c r="L120">
        <v>2304050644</v>
      </c>
      <c r="M120" t="s">
        <v>106</v>
      </c>
      <c r="N120" t="s">
        <v>106</v>
      </c>
      <c r="O120" t="s">
        <v>319</v>
      </c>
      <c r="P120" t="s">
        <v>117</v>
      </c>
      <c r="R120" t="s">
        <v>320</v>
      </c>
      <c r="T120" s="35">
        <v>5060544</v>
      </c>
    </row>
    <row r="121" spans="1:24" x14ac:dyDescent="0.3">
      <c r="A121" s="39">
        <v>45021</v>
      </c>
      <c r="B121" t="s">
        <v>114</v>
      </c>
      <c r="C121" t="s">
        <v>321</v>
      </c>
      <c r="G121" s="42">
        <v>45021</v>
      </c>
      <c r="J121" s="35">
        <v>1700000</v>
      </c>
      <c r="K121" t="s">
        <v>322</v>
      </c>
      <c r="L121">
        <v>2304050756</v>
      </c>
      <c r="M121" t="s">
        <v>106</v>
      </c>
      <c r="N121" t="s">
        <v>106</v>
      </c>
      <c r="O121" t="s">
        <v>323</v>
      </c>
      <c r="P121" t="s">
        <v>100</v>
      </c>
      <c r="R121" t="s">
        <v>324</v>
      </c>
      <c r="T121" s="35">
        <v>6760544</v>
      </c>
    </row>
    <row r="122" spans="1:24" x14ac:dyDescent="0.3">
      <c r="A122" s="39">
        <v>45021</v>
      </c>
      <c r="B122" t="s">
        <v>110</v>
      </c>
      <c r="C122" t="s">
        <v>325</v>
      </c>
      <c r="G122" s="42">
        <v>45021</v>
      </c>
      <c r="I122" s="35">
        <v>-3000000</v>
      </c>
      <c r="K122" t="s">
        <v>112</v>
      </c>
      <c r="L122">
        <v>2304051701</v>
      </c>
      <c r="M122" t="s">
        <v>98</v>
      </c>
      <c r="N122" t="s">
        <v>98</v>
      </c>
      <c r="O122" t="s">
        <v>113</v>
      </c>
      <c r="P122" t="s">
        <v>100</v>
      </c>
      <c r="Q122" t="s">
        <v>277</v>
      </c>
      <c r="R122">
        <v>309510475906</v>
      </c>
      <c r="T122" s="35">
        <v>3760544</v>
      </c>
      <c r="X122" t="s">
        <v>102</v>
      </c>
    </row>
    <row r="123" spans="1:24" x14ac:dyDescent="0.3">
      <c r="A123" s="39">
        <v>45021</v>
      </c>
      <c r="B123" t="s">
        <v>110</v>
      </c>
      <c r="C123" t="s">
        <v>326</v>
      </c>
      <c r="G123" s="42">
        <v>45021</v>
      </c>
      <c r="I123" s="35">
        <v>-3000000</v>
      </c>
      <c r="K123" t="s">
        <v>112</v>
      </c>
      <c r="L123">
        <v>2304051703</v>
      </c>
      <c r="M123" t="s">
        <v>98</v>
      </c>
      <c r="N123" t="s">
        <v>98</v>
      </c>
      <c r="O123" t="s">
        <v>113</v>
      </c>
      <c r="P123" t="s">
        <v>100</v>
      </c>
      <c r="Q123" t="s">
        <v>277</v>
      </c>
      <c r="R123">
        <v>309510479226</v>
      </c>
      <c r="T123" s="35">
        <v>760544</v>
      </c>
      <c r="X123" t="s">
        <v>102</v>
      </c>
    </row>
    <row r="124" spans="1:24" x14ac:dyDescent="0.3">
      <c r="A124" s="39">
        <v>45021</v>
      </c>
      <c r="B124" t="s">
        <v>110</v>
      </c>
      <c r="C124" t="s">
        <v>327</v>
      </c>
      <c r="G124" s="42">
        <v>45021</v>
      </c>
      <c r="I124" s="35">
        <v>-600000</v>
      </c>
      <c r="K124" t="s">
        <v>112</v>
      </c>
      <c r="L124">
        <v>2304051704</v>
      </c>
      <c r="M124" t="s">
        <v>98</v>
      </c>
      <c r="N124" t="s">
        <v>98</v>
      </c>
      <c r="O124" t="s">
        <v>113</v>
      </c>
      <c r="P124" t="s">
        <v>100</v>
      </c>
      <c r="Q124" t="s">
        <v>277</v>
      </c>
      <c r="R124">
        <v>309510481510</v>
      </c>
      <c r="T124" s="35">
        <v>160544</v>
      </c>
      <c r="X124" t="s">
        <v>102</v>
      </c>
    </row>
    <row r="125" spans="1:24" x14ac:dyDescent="0.3">
      <c r="A125" s="39">
        <v>45026</v>
      </c>
      <c r="B125" t="s">
        <v>114</v>
      </c>
      <c r="C125" t="s">
        <v>328</v>
      </c>
      <c r="G125" s="42">
        <v>45026</v>
      </c>
      <c r="J125" s="35">
        <v>10500000</v>
      </c>
      <c r="K125" t="s">
        <v>329</v>
      </c>
      <c r="L125">
        <v>2304101435</v>
      </c>
      <c r="M125" t="s">
        <v>106</v>
      </c>
      <c r="N125" t="s">
        <v>106</v>
      </c>
      <c r="P125" t="s">
        <v>100</v>
      </c>
      <c r="R125">
        <v>970499286300</v>
      </c>
      <c r="T125" s="35">
        <v>10660544</v>
      </c>
      <c r="X125" t="s">
        <v>123</v>
      </c>
    </row>
    <row r="126" spans="1:24" x14ac:dyDescent="0.3">
      <c r="A126" s="39">
        <v>45029</v>
      </c>
      <c r="B126" t="s">
        <v>114</v>
      </c>
      <c r="C126" t="s">
        <v>330</v>
      </c>
      <c r="G126" s="42">
        <v>45029</v>
      </c>
      <c r="I126" s="35">
        <v>-500000</v>
      </c>
      <c r="K126" t="s">
        <v>120</v>
      </c>
      <c r="L126">
        <v>2304131809</v>
      </c>
      <c r="M126" t="s">
        <v>106</v>
      </c>
      <c r="N126" t="s">
        <v>106</v>
      </c>
      <c r="O126" t="s">
        <v>113</v>
      </c>
      <c r="P126" t="s">
        <v>100</v>
      </c>
      <c r="R126" t="s">
        <v>331</v>
      </c>
      <c r="T126" s="35">
        <v>10160544</v>
      </c>
      <c r="X126" t="s">
        <v>123</v>
      </c>
    </row>
    <row r="127" spans="1:24" x14ac:dyDescent="0.3">
      <c r="A127" s="39">
        <v>45033</v>
      </c>
      <c r="B127" t="s">
        <v>110</v>
      </c>
      <c r="C127" t="s">
        <v>332</v>
      </c>
      <c r="G127" s="42">
        <v>45033</v>
      </c>
      <c r="I127" s="35">
        <v>-3000000</v>
      </c>
      <c r="K127" t="s">
        <v>112</v>
      </c>
      <c r="L127">
        <v>2304161553</v>
      </c>
      <c r="M127" t="s">
        <v>98</v>
      </c>
      <c r="N127" t="s">
        <v>98</v>
      </c>
      <c r="O127" t="s">
        <v>113</v>
      </c>
      <c r="P127" t="s">
        <v>100</v>
      </c>
      <c r="Q127" t="s">
        <v>277</v>
      </c>
      <c r="R127">
        <v>310600417033</v>
      </c>
      <c r="T127" s="35">
        <v>7160544</v>
      </c>
      <c r="X127" t="s">
        <v>102</v>
      </c>
    </row>
    <row r="128" spans="1:24" x14ac:dyDescent="0.3">
      <c r="A128" s="39">
        <v>45042</v>
      </c>
      <c r="B128" t="s">
        <v>110</v>
      </c>
      <c r="C128" t="s">
        <v>333</v>
      </c>
      <c r="G128" s="42">
        <v>45042</v>
      </c>
      <c r="I128" s="35">
        <v>-3000000</v>
      </c>
      <c r="K128" t="s">
        <v>112</v>
      </c>
      <c r="L128">
        <v>2304261658</v>
      </c>
      <c r="M128" t="s">
        <v>98</v>
      </c>
      <c r="N128" t="s">
        <v>98</v>
      </c>
      <c r="O128" t="s">
        <v>113</v>
      </c>
      <c r="P128" t="s">
        <v>100</v>
      </c>
      <c r="Q128" t="s">
        <v>277</v>
      </c>
      <c r="R128">
        <v>311609654211</v>
      </c>
      <c r="T128" s="35">
        <v>4160544</v>
      </c>
      <c r="X128" t="s">
        <v>102</v>
      </c>
    </row>
    <row r="129" spans="1:24" x14ac:dyDescent="0.3">
      <c r="A129" s="39">
        <v>45042</v>
      </c>
      <c r="B129" t="s">
        <v>110</v>
      </c>
      <c r="C129" t="s">
        <v>334</v>
      </c>
      <c r="G129" s="42">
        <v>45042</v>
      </c>
      <c r="I129" s="35">
        <v>-3000000</v>
      </c>
      <c r="K129" t="s">
        <v>112</v>
      </c>
      <c r="L129">
        <v>2304261700</v>
      </c>
      <c r="M129" t="s">
        <v>98</v>
      </c>
      <c r="N129" t="s">
        <v>98</v>
      </c>
      <c r="O129" t="s">
        <v>113</v>
      </c>
      <c r="P129" t="s">
        <v>100</v>
      </c>
      <c r="Q129" t="s">
        <v>277</v>
      </c>
      <c r="R129">
        <v>311609659696</v>
      </c>
      <c r="T129" s="35">
        <v>1160544</v>
      </c>
      <c r="X129" t="s">
        <v>102</v>
      </c>
    </row>
    <row r="130" spans="1:24" x14ac:dyDescent="0.3">
      <c r="A130" s="39">
        <v>45043</v>
      </c>
      <c r="B130" t="s">
        <v>114</v>
      </c>
      <c r="C130" t="s">
        <v>335</v>
      </c>
      <c r="G130" s="42">
        <v>45043</v>
      </c>
      <c r="I130" s="35">
        <v>-100000</v>
      </c>
      <c r="K130" t="s">
        <v>336</v>
      </c>
      <c r="L130">
        <v>2304272056</v>
      </c>
      <c r="M130" t="s">
        <v>106</v>
      </c>
      <c r="N130" t="s">
        <v>106</v>
      </c>
      <c r="O130" t="s">
        <v>113</v>
      </c>
      <c r="P130" t="s">
        <v>121</v>
      </c>
      <c r="R130" t="s">
        <v>337</v>
      </c>
      <c r="T130" s="35">
        <v>1060544</v>
      </c>
    </row>
    <row r="131" spans="1:24" x14ac:dyDescent="0.3">
      <c r="A131" s="39">
        <v>45043</v>
      </c>
      <c r="B131" t="s">
        <v>114</v>
      </c>
      <c r="C131" t="s">
        <v>335</v>
      </c>
      <c r="G131" s="42">
        <v>45043</v>
      </c>
      <c r="J131" s="35">
        <v>100000</v>
      </c>
      <c r="K131" t="s">
        <v>336</v>
      </c>
      <c r="L131">
        <v>2304272056</v>
      </c>
      <c r="M131" t="s">
        <v>106</v>
      </c>
      <c r="N131" t="s">
        <v>106</v>
      </c>
      <c r="O131" t="s">
        <v>113</v>
      </c>
      <c r="P131" t="s">
        <v>121</v>
      </c>
      <c r="R131" t="s">
        <v>337</v>
      </c>
      <c r="T131" s="35">
        <v>1160544</v>
      </c>
    </row>
    <row r="132" spans="1:24" x14ac:dyDescent="0.3">
      <c r="A132" s="39">
        <v>45043</v>
      </c>
      <c r="B132" t="s">
        <v>114</v>
      </c>
      <c r="C132" t="s">
        <v>338</v>
      </c>
      <c r="G132" s="42">
        <v>45043</v>
      </c>
      <c r="I132" s="35">
        <v>-10000</v>
      </c>
      <c r="K132" t="s">
        <v>339</v>
      </c>
      <c r="L132">
        <v>2304272058</v>
      </c>
      <c r="M132" t="s">
        <v>106</v>
      </c>
      <c r="N132" t="s">
        <v>106</v>
      </c>
      <c r="O132" t="s">
        <v>113</v>
      </c>
      <c r="P132" t="s">
        <v>121</v>
      </c>
      <c r="R132" t="s">
        <v>340</v>
      </c>
      <c r="T132" s="35">
        <v>1150544</v>
      </c>
    </row>
    <row r="133" spans="1:24" x14ac:dyDescent="0.3">
      <c r="A133" s="39">
        <v>45043</v>
      </c>
      <c r="B133" t="s">
        <v>114</v>
      </c>
      <c r="C133" t="s">
        <v>338</v>
      </c>
      <c r="G133" s="42">
        <v>45043</v>
      </c>
      <c r="J133" s="35">
        <v>10000</v>
      </c>
      <c r="K133" t="s">
        <v>339</v>
      </c>
      <c r="L133">
        <v>2304272058</v>
      </c>
      <c r="M133" t="s">
        <v>106</v>
      </c>
      <c r="N133" t="s">
        <v>106</v>
      </c>
      <c r="O133" t="s">
        <v>113</v>
      </c>
      <c r="P133" t="s">
        <v>121</v>
      </c>
      <c r="R133" t="s">
        <v>340</v>
      </c>
      <c r="T133" s="35">
        <v>1160544</v>
      </c>
    </row>
    <row r="134" spans="1:24" x14ac:dyDescent="0.3">
      <c r="A134" s="39">
        <v>45043</v>
      </c>
      <c r="B134" t="s">
        <v>114</v>
      </c>
      <c r="C134" t="s">
        <v>341</v>
      </c>
      <c r="G134" s="42">
        <v>45043</v>
      </c>
      <c r="I134" s="35">
        <v>-100000</v>
      </c>
      <c r="K134" t="s">
        <v>336</v>
      </c>
      <c r="L134">
        <v>2304272059</v>
      </c>
      <c r="M134" t="s">
        <v>106</v>
      </c>
      <c r="N134" t="s">
        <v>106</v>
      </c>
      <c r="O134" t="s">
        <v>113</v>
      </c>
      <c r="P134" t="s">
        <v>121</v>
      </c>
      <c r="R134" t="s">
        <v>342</v>
      </c>
      <c r="T134" s="35">
        <v>1060544</v>
      </c>
    </row>
    <row r="135" spans="1:24" x14ac:dyDescent="0.3">
      <c r="A135" s="39">
        <v>45043</v>
      </c>
      <c r="B135" t="s">
        <v>114</v>
      </c>
      <c r="C135" t="s">
        <v>341</v>
      </c>
      <c r="G135" s="42">
        <v>45043</v>
      </c>
      <c r="J135" s="35">
        <v>100000</v>
      </c>
      <c r="K135" t="s">
        <v>336</v>
      </c>
      <c r="L135">
        <v>2304272059</v>
      </c>
      <c r="M135" t="s">
        <v>106</v>
      </c>
      <c r="N135" t="s">
        <v>106</v>
      </c>
      <c r="O135" t="s">
        <v>113</v>
      </c>
      <c r="P135" t="s">
        <v>121</v>
      </c>
      <c r="R135" t="s">
        <v>342</v>
      </c>
      <c r="T135" s="35">
        <v>1160544</v>
      </c>
    </row>
    <row r="136" spans="1:24" x14ac:dyDescent="0.3">
      <c r="A136" s="39">
        <v>45043</v>
      </c>
      <c r="B136" t="s">
        <v>114</v>
      </c>
      <c r="C136" t="s">
        <v>343</v>
      </c>
      <c r="G136" s="42">
        <v>45043</v>
      </c>
      <c r="I136" s="35">
        <v>-20000</v>
      </c>
      <c r="K136" t="s">
        <v>344</v>
      </c>
      <c r="L136">
        <v>2304272100</v>
      </c>
      <c r="M136" t="s">
        <v>106</v>
      </c>
      <c r="N136" t="s">
        <v>106</v>
      </c>
      <c r="O136" t="s">
        <v>113</v>
      </c>
      <c r="P136" t="s">
        <v>227</v>
      </c>
      <c r="R136" t="s">
        <v>345</v>
      </c>
      <c r="T136" s="35">
        <v>1140544</v>
      </c>
    </row>
    <row r="137" spans="1:24" x14ac:dyDescent="0.3">
      <c r="A137" s="39">
        <v>45043</v>
      </c>
      <c r="B137" t="s">
        <v>114</v>
      </c>
      <c r="C137" t="s">
        <v>346</v>
      </c>
      <c r="G137" s="42">
        <v>45043</v>
      </c>
      <c r="I137" s="35">
        <v>-100000</v>
      </c>
      <c r="K137" t="s">
        <v>336</v>
      </c>
      <c r="L137">
        <v>2304272101</v>
      </c>
      <c r="M137" t="s">
        <v>106</v>
      </c>
      <c r="N137" t="s">
        <v>106</v>
      </c>
      <c r="O137" t="s">
        <v>113</v>
      </c>
      <c r="P137" t="s">
        <v>121</v>
      </c>
      <c r="R137" t="s">
        <v>347</v>
      </c>
      <c r="T137" s="35">
        <v>1040544</v>
      </c>
    </row>
    <row r="138" spans="1:24" x14ac:dyDescent="0.3">
      <c r="A138" s="39">
        <v>45043</v>
      </c>
      <c r="B138" t="s">
        <v>114</v>
      </c>
      <c r="C138" t="s">
        <v>346</v>
      </c>
      <c r="G138" s="42">
        <v>45043</v>
      </c>
      <c r="J138" s="35">
        <v>100000</v>
      </c>
      <c r="K138" t="s">
        <v>336</v>
      </c>
      <c r="L138">
        <v>2304272101</v>
      </c>
      <c r="M138" t="s">
        <v>106</v>
      </c>
      <c r="N138" t="s">
        <v>106</v>
      </c>
      <c r="O138" t="s">
        <v>113</v>
      </c>
      <c r="P138" t="s">
        <v>121</v>
      </c>
      <c r="R138" t="s">
        <v>347</v>
      </c>
      <c r="T138" s="35">
        <v>1140544</v>
      </c>
    </row>
    <row r="139" spans="1:24" x14ac:dyDescent="0.3">
      <c r="A139" s="39">
        <v>45043</v>
      </c>
      <c r="B139" t="s">
        <v>114</v>
      </c>
      <c r="C139" t="s">
        <v>348</v>
      </c>
      <c r="G139" s="42">
        <v>45043</v>
      </c>
      <c r="I139" s="35">
        <v>-100000</v>
      </c>
      <c r="K139" t="s">
        <v>150</v>
      </c>
      <c r="L139">
        <v>2304272102</v>
      </c>
      <c r="M139" t="s">
        <v>106</v>
      </c>
      <c r="N139" t="s">
        <v>106</v>
      </c>
      <c r="O139" t="s">
        <v>113</v>
      </c>
      <c r="P139" t="s">
        <v>121</v>
      </c>
      <c r="R139" t="s">
        <v>349</v>
      </c>
      <c r="T139" s="35">
        <v>1040544</v>
      </c>
    </row>
    <row r="140" spans="1:24" x14ac:dyDescent="0.3">
      <c r="A140" s="39">
        <v>45043</v>
      </c>
      <c r="B140" t="s">
        <v>114</v>
      </c>
      <c r="C140" t="s">
        <v>350</v>
      </c>
      <c r="G140" s="42">
        <v>45043</v>
      </c>
      <c r="I140" s="35">
        <v>-30000</v>
      </c>
      <c r="K140" t="s">
        <v>351</v>
      </c>
      <c r="L140">
        <v>2304272103</v>
      </c>
      <c r="M140" t="s">
        <v>106</v>
      </c>
      <c r="N140" t="s">
        <v>106</v>
      </c>
      <c r="O140" t="s">
        <v>113</v>
      </c>
      <c r="P140" t="s">
        <v>121</v>
      </c>
      <c r="R140" t="s">
        <v>352</v>
      </c>
      <c r="T140" s="35">
        <v>1010544</v>
      </c>
    </row>
    <row r="141" spans="1:24" x14ac:dyDescent="0.3">
      <c r="A141" s="39">
        <v>45047</v>
      </c>
      <c r="B141" t="s">
        <v>129</v>
      </c>
      <c r="C141" t="s">
        <v>353</v>
      </c>
      <c r="G141" s="42">
        <v>45046</v>
      </c>
      <c r="J141" s="35">
        <v>2034</v>
      </c>
      <c r="K141" t="s">
        <v>354</v>
      </c>
      <c r="L141">
        <v>2305010043</v>
      </c>
      <c r="M141" t="s">
        <v>132</v>
      </c>
      <c r="N141" t="s">
        <v>132</v>
      </c>
      <c r="T141" s="35">
        <v>1012578</v>
      </c>
    </row>
    <row r="142" spans="1:24" x14ac:dyDescent="0.3">
      <c r="A142" s="39">
        <v>45050</v>
      </c>
      <c r="B142" t="s">
        <v>110</v>
      </c>
      <c r="C142" t="s">
        <v>355</v>
      </c>
      <c r="G142" s="42">
        <v>45050</v>
      </c>
      <c r="I142" s="35">
        <v>-1000000</v>
      </c>
      <c r="K142" t="s">
        <v>112</v>
      </c>
      <c r="L142">
        <v>2305021745</v>
      </c>
      <c r="M142" t="s">
        <v>98</v>
      </c>
      <c r="N142" t="s">
        <v>98</v>
      </c>
      <c r="O142" t="s">
        <v>113</v>
      </c>
      <c r="P142" t="s">
        <v>100</v>
      </c>
      <c r="Q142" t="s">
        <v>277</v>
      </c>
      <c r="R142">
        <v>312210896794</v>
      </c>
      <c r="T142" s="35">
        <v>12578</v>
      </c>
      <c r="X142" t="s">
        <v>102</v>
      </c>
    </row>
    <row r="143" spans="1:24" x14ac:dyDescent="0.3">
      <c r="A143" s="39">
        <v>45050</v>
      </c>
      <c r="B143" t="s">
        <v>114</v>
      </c>
      <c r="C143" t="s">
        <v>356</v>
      </c>
      <c r="G143" s="42">
        <v>45050</v>
      </c>
      <c r="J143" s="35">
        <v>7937663</v>
      </c>
      <c r="K143" t="s">
        <v>357</v>
      </c>
      <c r="L143">
        <v>2305041414</v>
      </c>
      <c r="M143" t="s">
        <v>71</v>
      </c>
      <c r="N143" t="s">
        <v>71</v>
      </c>
      <c r="P143" t="s">
        <v>117</v>
      </c>
      <c r="R143" t="s">
        <v>358</v>
      </c>
      <c r="T143" s="35">
        <v>7950241</v>
      </c>
    </row>
    <row r="144" spans="1:24" x14ac:dyDescent="0.3">
      <c r="A144" s="39">
        <v>45050</v>
      </c>
      <c r="B144" t="s">
        <v>110</v>
      </c>
      <c r="C144" t="s">
        <v>359</v>
      </c>
      <c r="G144" s="42">
        <v>45050</v>
      </c>
      <c r="I144" s="35">
        <v>-3000000</v>
      </c>
      <c r="K144" t="s">
        <v>112</v>
      </c>
      <c r="L144">
        <v>2305041700</v>
      </c>
      <c r="M144" t="s">
        <v>98</v>
      </c>
      <c r="N144" t="s">
        <v>98</v>
      </c>
      <c r="O144" t="s">
        <v>113</v>
      </c>
      <c r="P144" t="s">
        <v>100</v>
      </c>
      <c r="Q144" t="s">
        <v>277</v>
      </c>
      <c r="R144">
        <v>312409909819</v>
      </c>
      <c r="T144" s="35">
        <v>4950241</v>
      </c>
      <c r="X144" t="s">
        <v>102</v>
      </c>
    </row>
    <row r="145" spans="1:24" x14ac:dyDescent="0.3">
      <c r="A145" s="39">
        <v>45050</v>
      </c>
      <c r="B145" t="s">
        <v>110</v>
      </c>
      <c r="C145" t="s">
        <v>359</v>
      </c>
      <c r="G145" s="42">
        <v>45050</v>
      </c>
      <c r="J145" s="35">
        <v>3000000</v>
      </c>
      <c r="K145" t="s">
        <v>112</v>
      </c>
      <c r="L145">
        <v>2305041701</v>
      </c>
      <c r="M145" t="s">
        <v>98</v>
      </c>
      <c r="N145" t="s">
        <v>98</v>
      </c>
      <c r="O145" t="s">
        <v>113</v>
      </c>
      <c r="P145" t="s">
        <v>100</v>
      </c>
      <c r="Q145" t="s">
        <v>277</v>
      </c>
      <c r="R145">
        <v>312409909819</v>
      </c>
      <c r="T145" s="35">
        <v>7950241</v>
      </c>
      <c r="X145" t="s">
        <v>102</v>
      </c>
    </row>
    <row r="146" spans="1:24" x14ac:dyDescent="0.3">
      <c r="A146" s="39">
        <v>45050</v>
      </c>
      <c r="B146" t="s">
        <v>114</v>
      </c>
      <c r="C146" t="s">
        <v>360</v>
      </c>
      <c r="G146" s="42">
        <v>45050</v>
      </c>
      <c r="I146" s="35">
        <v>-1000000</v>
      </c>
      <c r="K146" t="s">
        <v>120</v>
      </c>
      <c r="L146">
        <v>2305041806</v>
      </c>
      <c r="M146" t="s">
        <v>106</v>
      </c>
      <c r="N146" t="s">
        <v>106</v>
      </c>
      <c r="O146" t="s">
        <v>113</v>
      </c>
      <c r="P146" t="s">
        <v>100</v>
      </c>
      <c r="R146" t="s">
        <v>361</v>
      </c>
      <c r="T146" s="35">
        <v>6950241</v>
      </c>
    </row>
    <row r="147" spans="1:24" x14ac:dyDescent="0.3">
      <c r="A147" s="39">
        <v>45052</v>
      </c>
      <c r="B147" t="s">
        <v>110</v>
      </c>
      <c r="C147" t="s">
        <v>362</v>
      </c>
      <c r="G147" s="42">
        <v>45052</v>
      </c>
      <c r="I147" s="35">
        <v>-3000000</v>
      </c>
      <c r="K147" t="s">
        <v>112</v>
      </c>
      <c r="L147">
        <v>2305060727</v>
      </c>
      <c r="M147" t="s">
        <v>98</v>
      </c>
      <c r="N147" t="s">
        <v>98</v>
      </c>
      <c r="O147" t="s">
        <v>113</v>
      </c>
      <c r="P147" t="s">
        <v>100</v>
      </c>
      <c r="Q147" t="s">
        <v>277</v>
      </c>
      <c r="R147">
        <v>312600649006</v>
      </c>
      <c r="T147" s="35">
        <v>3950241</v>
      </c>
      <c r="X147" t="s">
        <v>102</v>
      </c>
    </row>
    <row r="148" spans="1:24" x14ac:dyDescent="0.3">
      <c r="A148" s="39">
        <v>45052</v>
      </c>
      <c r="B148" t="s">
        <v>110</v>
      </c>
      <c r="C148" t="s">
        <v>363</v>
      </c>
      <c r="G148" s="42">
        <v>45052</v>
      </c>
      <c r="I148" s="35">
        <v>-3000000</v>
      </c>
      <c r="K148" t="s">
        <v>112</v>
      </c>
      <c r="L148">
        <v>2305060728</v>
      </c>
      <c r="M148" t="s">
        <v>98</v>
      </c>
      <c r="N148" t="s">
        <v>98</v>
      </c>
      <c r="O148" t="s">
        <v>113</v>
      </c>
      <c r="P148" t="s">
        <v>100</v>
      </c>
      <c r="Q148" t="s">
        <v>277</v>
      </c>
      <c r="R148">
        <v>312600649008</v>
      </c>
      <c r="T148" s="35">
        <v>950241</v>
      </c>
      <c r="X148" t="s">
        <v>102</v>
      </c>
    </row>
    <row r="149" spans="1:24" x14ac:dyDescent="0.3">
      <c r="A149" s="39">
        <v>45054</v>
      </c>
      <c r="B149" t="s">
        <v>114</v>
      </c>
      <c r="C149" t="s">
        <v>364</v>
      </c>
      <c r="G149" s="42">
        <v>45054</v>
      </c>
      <c r="I149" s="35">
        <v>-450000</v>
      </c>
      <c r="K149" t="s">
        <v>120</v>
      </c>
      <c r="L149">
        <v>2305071016</v>
      </c>
      <c r="M149" t="s">
        <v>106</v>
      </c>
      <c r="N149" t="s">
        <v>106</v>
      </c>
      <c r="O149" t="s">
        <v>113</v>
      </c>
      <c r="P149" t="s">
        <v>100</v>
      </c>
      <c r="R149" t="s">
        <v>365</v>
      </c>
      <c r="T149" s="35">
        <v>500241</v>
      </c>
      <c r="X149" t="s">
        <v>123</v>
      </c>
    </row>
    <row r="150" spans="1:24" x14ac:dyDescent="0.3">
      <c r="A150" s="39">
        <v>45068</v>
      </c>
      <c r="B150" t="s">
        <v>114</v>
      </c>
      <c r="C150" t="s">
        <v>366</v>
      </c>
      <c r="G150" s="42">
        <v>45068</v>
      </c>
      <c r="J150" s="35">
        <v>1700000</v>
      </c>
      <c r="K150" t="s">
        <v>367</v>
      </c>
      <c r="L150">
        <v>2305211747</v>
      </c>
      <c r="M150" t="s">
        <v>106</v>
      </c>
      <c r="N150" t="s">
        <v>106</v>
      </c>
      <c r="P150" t="s">
        <v>100</v>
      </c>
      <c r="R150">
        <v>970403067466</v>
      </c>
      <c r="T150" s="35">
        <v>2200241</v>
      </c>
      <c r="X150" t="s">
        <v>123</v>
      </c>
    </row>
    <row r="151" spans="1:24" x14ac:dyDescent="0.3">
      <c r="A151" s="39">
        <v>45069</v>
      </c>
      <c r="B151" t="s">
        <v>110</v>
      </c>
      <c r="C151" t="s">
        <v>368</v>
      </c>
      <c r="G151" s="42">
        <v>45069</v>
      </c>
      <c r="I151" s="35">
        <v>-2000000</v>
      </c>
      <c r="K151" t="s">
        <v>112</v>
      </c>
      <c r="L151">
        <v>2305231657</v>
      </c>
      <c r="M151" t="s">
        <v>98</v>
      </c>
      <c r="N151" t="s">
        <v>98</v>
      </c>
      <c r="O151" t="s">
        <v>113</v>
      </c>
      <c r="P151" t="s">
        <v>100</v>
      </c>
      <c r="Q151" t="s">
        <v>277</v>
      </c>
      <c r="R151">
        <v>314309236789</v>
      </c>
      <c r="T151" s="35">
        <v>200241</v>
      </c>
      <c r="X151" t="s">
        <v>102</v>
      </c>
    </row>
    <row r="152" spans="1:24" x14ac:dyDescent="0.3">
      <c r="A152" s="39">
        <v>45077</v>
      </c>
      <c r="B152" t="s">
        <v>110</v>
      </c>
      <c r="C152" t="s">
        <v>369</v>
      </c>
      <c r="G152" s="42">
        <v>45077</v>
      </c>
      <c r="I152" s="35">
        <v>-100000</v>
      </c>
      <c r="K152" t="s">
        <v>112</v>
      </c>
      <c r="L152">
        <v>2305311958</v>
      </c>
      <c r="M152" t="s">
        <v>98</v>
      </c>
      <c r="N152" t="s">
        <v>98</v>
      </c>
      <c r="O152" t="s">
        <v>113</v>
      </c>
      <c r="P152" t="s">
        <v>100</v>
      </c>
      <c r="Q152" t="s">
        <v>277</v>
      </c>
      <c r="R152">
        <v>315112637669</v>
      </c>
      <c r="T152" s="35">
        <v>100241</v>
      </c>
      <c r="X152" t="s">
        <v>102</v>
      </c>
    </row>
    <row r="153" spans="1:24" x14ac:dyDescent="0.3">
      <c r="A153" s="39">
        <v>45078</v>
      </c>
      <c r="B153" t="s">
        <v>129</v>
      </c>
      <c r="C153" t="s">
        <v>370</v>
      </c>
      <c r="G153" s="42">
        <v>45077</v>
      </c>
      <c r="J153">
        <v>407</v>
      </c>
      <c r="K153" t="s">
        <v>371</v>
      </c>
      <c r="L153">
        <v>2306010253</v>
      </c>
      <c r="M153" t="s">
        <v>132</v>
      </c>
      <c r="N153" t="s">
        <v>132</v>
      </c>
      <c r="T153" s="35">
        <v>100648</v>
      </c>
    </row>
    <row r="154" spans="1:24" x14ac:dyDescent="0.3">
      <c r="A154" s="39">
        <v>45079</v>
      </c>
      <c r="B154" t="s">
        <v>114</v>
      </c>
      <c r="C154" t="s">
        <v>372</v>
      </c>
      <c r="G154" s="42">
        <v>45079</v>
      </c>
      <c r="J154" s="35">
        <v>8308717</v>
      </c>
      <c r="K154" t="s">
        <v>373</v>
      </c>
      <c r="L154">
        <v>2306021144</v>
      </c>
      <c r="M154" t="s">
        <v>71</v>
      </c>
      <c r="N154" t="s">
        <v>71</v>
      </c>
      <c r="P154" t="s">
        <v>117</v>
      </c>
      <c r="R154" t="s">
        <v>374</v>
      </c>
      <c r="T154" s="35">
        <v>8409365</v>
      </c>
    </row>
    <row r="155" spans="1:24" x14ac:dyDescent="0.3">
      <c r="A155" s="39">
        <v>45079</v>
      </c>
      <c r="B155" t="s">
        <v>110</v>
      </c>
      <c r="C155" t="s">
        <v>375</v>
      </c>
      <c r="G155" s="42">
        <v>45079</v>
      </c>
      <c r="I155" s="35">
        <v>-3000000</v>
      </c>
      <c r="K155" t="s">
        <v>112</v>
      </c>
      <c r="L155">
        <v>2306021939</v>
      </c>
      <c r="M155" t="s">
        <v>98</v>
      </c>
      <c r="N155" t="s">
        <v>98</v>
      </c>
      <c r="O155" t="s">
        <v>113</v>
      </c>
      <c r="P155" t="s">
        <v>100</v>
      </c>
      <c r="Q155" t="s">
        <v>277</v>
      </c>
      <c r="R155">
        <v>315300656988</v>
      </c>
      <c r="T155" s="35">
        <v>5409365</v>
      </c>
      <c r="X155" t="s">
        <v>102</v>
      </c>
    </row>
    <row r="156" spans="1:24" x14ac:dyDescent="0.3">
      <c r="A156" s="39">
        <v>45079</v>
      </c>
      <c r="B156" t="s">
        <v>110</v>
      </c>
      <c r="C156" t="s">
        <v>376</v>
      </c>
      <c r="G156" s="42">
        <v>45079</v>
      </c>
      <c r="I156" s="35">
        <v>-3000000</v>
      </c>
      <c r="K156" t="s">
        <v>112</v>
      </c>
      <c r="L156">
        <v>2306021939</v>
      </c>
      <c r="M156" t="s">
        <v>98</v>
      </c>
      <c r="N156" t="s">
        <v>98</v>
      </c>
      <c r="O156" t="s">
        <v>113</v>
      </c>
      <c r="P156" t="s">
        <v>100</v>
      </c>
      <c r="Q156" t="s">
        <v>277</v>
      </c>
      <c r="R156">
        <v>315300656990</v>
      </c>
      <c r="T156" s="35">
        <v>2409365</v>
      </c>
      <c r="X156" t="s">
        <v>102</v>
      </c>
    </row>
    <row r="157" spans="1:24" x14ac:dyDescent="0.3">
      <c r="A157" s="39">
        <v>45079</v>
      </c>
      <c r="B157" t="s">
        <v>110</v>
      </c>
      <c r="C157" t="s">
        <v>377</v>
      </c>
      <c r="G157" s="42">
        <v>45079</v>
      </c>
      <c r="I157" s="35">
        <v>-2000000</v>
      </c>
      <c r="K157" t="s">
        <v>112</v>
      </c>
      <c r="L157">
        <v>2306021940</v>
      </c>
      <c r="M157" t="s">
        <v>98</v>
      </c>
      <c r="N157" t="s">
        <v>98</v>
      </c>
      <c r="O157" t="s">
        <v>113</v>
      </c>
      <c r="P157" t="s">
        <v>100</v>
      </c>
      <c r="Q157" t="s">
        <v>277</v>
      </c>
      <c r="R157">
        <v>315300656992</v>
      </c>
      <c r="T157" s="35">
        <v>409365</v>
      </c>
      <c r="X157" t="s">
        <v>102</v>
      </c>
    </row>
    <row r="158" spans="1:24" x14ac:dyDescent="0.3">
      <c r="A158" s="39">
        <v>45103</v>
      </c>
      <c r="B158" t="s">
        <v>114</v>
      </c>
      <c r="C158" t="s">
        <v>378</v>
      </c>
      <c r="G158" s="42">
        <v>45103</v>
      </c>
      <c r="I158" s="35">
        <v>-20000</v>
      </c>
      <c r="K158" t="s">
        <v>379</v>
      </c>
      <c r="L158">
        <v>2306260422</v>
      </c>
      <c r="M158" t="s">
        <v>106</v>
      </c>
      <c r="N158" t="s">
        <v>106</v>
      </c>
      <c r="O158" t="s">
        <v>113</v>
      </c>
      <c r="P158" t="s">
        <v>227</v>
      </c>
      <c r="R158" t="s">
        <v>380</v>
      </c>
      <c r="T158" s="35">
        <v>389365</v>
      </c>
    </row>
    <row r="159" spans="1:24" x14ac:dyDescent="0.3">
      <c r="A159" s="39">
        <v>45103</v>
      </c>
      <c r="B159" t="s">
        <v>114</v>
      </c>
      <c r="C159" t="s">
        <v>381</v>
      </c>
      <c r="G159" s="42">
        <v>45103</v>
      </c>
      <c r="I159" s="35">
        <v>-100000</v>
      </c>
      <c r="K159" t="s">
        <v>382</v>
      </c>
      <c r="L159">
        <v>2306260423</v>
      </c>
      <c r="M159" t="s">
        <v>106</v>
      </c>
      <c r="N159" t="s">
        <v>106</v>
      </c>
      <c r="O159" t="s">
        <v>113</v>
      </c>
      <c r="P159" t="s">
        <v>227</v>
      </c>
      <c r="R159" t="s">
        <v>383</v>
      </c>
      <c r="T159" s="35">
        <v>289365</v>
      </c>
    </row>
    <row r="160" spans="1:24" x14ac:dyDescent="0.3">
      <c r="A160" s="39">
        <v>45103</v>
      </c>
      <c r="B160" t="s">
        <v>114</v>
      </c>
      <c r="C160" t="s">
        <v>384</v>
      </c>
      <c r="G160" s="42">
        <v>45103</v>
      </c>
      <c r="I160" s="35">
        <v>-30000</v>
      </c>
      <c r="K160" t="s">
        <v>385</v>
      </c>
      <c r="L160">
        <v>2306260424</v>
      </c>
      <c r="M160" t="s">
        <v>106</v>
      </c>
      <c r="N160" t="s">
        <v>106</v>
      </c>
      <c r="O160" t="s">
        <v>113</v>
      </c>
      <c r="P160" t="s">
        <v>227</v>
      </c>
      <c r="R160" t="s">
        <v>386</v>
      </c>
      <c r="T160" s="35">
        <v>259365</v>
      </c>
    </row>
    <row r="161" spans="1:24" x14ac:dyDescent="0.3">
      <c r="A161" s="39">
        <v>45103</v>
      </c>
      <c r="B161" t="s">
        <v>114</v>
      </c>
      <c r="C161" t="s">
        <v>387</v>
      </c>
      <c r="G161" s="42">
        <v>45103</v>
      </c>
      <c r="I161" s="35">
        <v>-20000</v>
      </c>
      <c r="K161" t="s">
        <v>388</v>
      </c>
      <c r="L161">
        <v>2306260426</v>
      </c>
      <c r="M161" t="s">
        <v>106</v>
      </c>
      <c r="N161" t="s">
        <v>106</v>
      </c>
      <c r="O161" t="s">
        <v>113</v>
      </c>
      <c r="P161" t="s">
        <v>227</v>
      </c>
      <c r="R161" t="s">
        <v>389</v>
      </c>
      <c r="T161" s="35">
        <v>239365</v>
      </c>
    </row>
    <row r="162" spans="1:24" x14ac:dyDescent="0.3">
      <c r="A162" s="39">
        <v>45107</v>
      </c>
      <c r="B162" t="s">
        <v>114</v>
      </c>
      <c r="C162" t="s">
        <v>390</v>
      </c>
      <c r="G162" s="42">
        <v>45107</v>
      </c>
      <c r="J162" s="35">
        <v>1000000</v>
      </c>
      <c r="K162" t="s">
        <v>391</v>
      </c>
      <c r="L162">
        <v>2306300746</v>
      </c>
      <c r="M162" t="s">
        <v>106</v>
      </c>
      <c r="N162" t="s">
        <v>106</v>
      </c>
      <c r="P162" t="s">
        <v>100</v>
      </c>
      <c r="R162">
        <v>970488663524</v>
      </c>
      <c r="T162" s="35">
        <v>1239365</v>
      </c>
      <c r="X162" t="s">
        <v>123</v>
      </c>
    </row>
    <row r="163" spans="1:24" x14ac:dyDescent="0.3">
      <c r="A163" s="39">
        <v>45108</v>
      </c>
      <c r="B163" t="s">
        <v>129</v>
      </c>
      <c r="C163" t="s">
        <v>392</v>
      </c>
      <c r="G163" s="42">
        <v>45107</v>
      </c>
      <c r="J163">
        <v>145</v>
      </c>
      <c r="K163" t="s">
        <v>393</v>
      </c>
      <c r="L163">
        <v>2307010359</v>
      </c>
      <c r="M163" t="s">
        <v>132</v>
      </c>
      <c r="N163" t="s">
        <v>132</v>
      </c>
      <c r="T163" s="35">
        <v>1239510</v>
      </c>
    </row>
    <row r="164" spans="1:24" x14ac:dyDescent="0.3">
      <c r="A164" s="39">
        <v>45108</v>
      </c>
      <c r="B164" t="s">
        <v>114</v>
      </c>
      <c r="C164" t="s">
        <v>394</v>
      </c>
      <c r="G164" s="42">
        <v>45108</v>
      </c>
      <c r="I164" s="35">
        <v>-1050000</v>
      </c>
      <c r="K164" t="s">
        <v>120</v>
      </c>
      <c r="L164">
        <v>2307011756</v>
      </c>
      <c r="M164" t="s">
        <v>106</v>
      </c>
      <c r="N164" t="s">
        <v>106</v>
      </c>
      <c r="O164" t="s">
        <v>113</v>
      </c>
      <c r="P164" t="s">
        <v>100</v>
      </c>
      <c r="R164" t="s">
        <v>395</v>
      </c>
      <c r="T164" s="35">
        <v>189510</v>
      </c>
      <c r="X164" t="s">
        <v>123</v>
      </c>
    </row>
    <row r="165" spans="1:24" x14ac:dyDescent="0.3">
      <c r="A165" s="39">
        <v>45110</v>
      </c>
      <c r="B165" t="s">
        <v>114</v>
      </c>
      <c r="C165" t="s">
        <v>396</v>
      </c>
      <c r="G165" s="42">
        <v>45110</v>
      </c>
      <c r="J165" s="35">
        <v>11886406</v>
      </c>
      <c r="K165" t="s">
        <v>397</v>
      </c>
      <c r="L165">
        <v>2307031542</v>
      </c>
      <c r="M165" t="s">
        <v>71</v>
      </c>
      <c r="N165" t="s">
        <v>71</v>
      </c>
      <c r="P165" t="s">
        <v>117</v>
      </c>
      <c r="R165" t="s">
        <v>398</v>
      </c>
      <c r="T165" s="35">
        <v>12075916</v>
      </c>
    </row>
    <row r="166" spans="1:24" x14ac:dyDescent="0.3">
      <c r="A166" s="39">
        <v>45110</v>
      </c>
      <c r="B166" t="s">
        <v>110</v>
      </c>
      <c r="C166" t="s">
        <v>399</v>
      </c>
      <c r="G166" s="42">
        <v>45110</v>
      </c>
      <c r="I166" s="35">
        <v>-3000000</v>
      </c>
      <c r="K166" t="s">
        <v>112</v>
      </c>
      <c r="L166">
        <v>2307031648</v>
      </c>
      <c r="M166" t="s">
        <v>98</v>
      </c>
      <c r="N166" t="s">
        <v>98</v>
      </c>
      <c r="O166" t="s">
        <v>113</v>
      </c>
      <c r="P166" t="s">
        <v>100</v>
      </c>
      <c r="Q166" t="s">
        <v>277</v>
      </c>
      <c r="R166">
        <v>318409761381</v>
      </c>
      <c r="T166" s="35">
        <v>9075916</v>
      </c>
      <c r="X166" t="s">
        <v>102</v>
      </c>
    </row>
    <row r="167" spans="1:24" x14ac:dyDescent="0.3">
      <c r="A167" s="39">
        <v>45110</v>
      </c>
      <c r="B167" t="s">
        <v>110</v>
      </c>
      <c r="C167" t="s">
        <v>400</v>
      </c>
      <c r="G167" s="42">
        <v>45110</v>
      </c>
      <c r="I167" s="35">
        <v>-3000000</v>
      </c>
      <c r="K167" t="s">
        <v>112</v>
      </c>
      <c r="L167">
        <v>2307031649</v>
      </c>
      <c r="M167" t="s">
        <v>98</v>
      </c>
      <c r="N167" t="s">
        <v>98</v>
      </c>
      <c r="O167" t="s">
        <v>113</v>
      </c>
      <c r="P167" t="s">
        <v>100</v>
      </c>
      <c r="Q167" t="s">
        <v>277</v>
      </c>
      <c r="R167">
        <v>318409766507</v>
      </c>
      <c r="T167" s="35">
        <v>6075916</v>
      </c>
      <c r="X167" t="s">
        <v>102</v>
      </c>
    </row>
    <row r="168" spans="1:24" x14ac:dyDescent="0.3">
      <c r="A168" s="39">
        <v>45110</v>
      </c>
      <c r="B168" t="s">
        <v>110</v>
      </c>
      <c r="C168" t="s">
        <v>401</v>
      </c>
      <c r="G168" s="42">
        <v>45110</v>
      </c>
      <c r="I168" s="35">
        <v>-3000000</v>
      </c>
      <c r="K168" t="s">
        <v>112</v>
      </c>
      <c r="L168">
        <v>2307031650</v>
      </c>
      <c r="M168" t="s">
        <v>98</v>
      </c>
      <c r="N168" t="s">
        <v>98</v>
      </c>
      <c r="O168" t="s">
        <v>113</v>
      </c>
      <c r="P168" t="s">
        <v>100</v>
      </c>
      <c r="Q168" t="s">
        <v>277</v>
      </c>
      <c r="R168">
        <v>318409771728</v>
      </c>
      <c r="T168" s="35">
        <v>3075916</v>
      </c>
      <c r="X168" t="s">
        <v>102</v>
      </c>
    </row>
    <row r="169" spans="1:24" x14ac:dyDescent="0.3">
      <c r="A169" s="39">
        <v>45110</v>
      </c>
      <c r="B169" t="s">
        <v>110</v>
      </c>
      <c r="C169" t="s">
        <v>402</v>
      </c>
      <c r="G169" s="42">
        <v>45110</v>
      </c>
      <c r="I169" s="35">
        <v>-3000000</v>
      </c>
      <c r="K169" t="s">
        <v>112</v>
      </c>
      <c r="L169">
        <v>2307031651</v>
      </c>
      <c r="M169" t="s">
        <v>98</v>
      </c>
      <c r="N169" t="s">
        <v>98</v>
      </c>
      <c r="O169" t="s">
        <v>113</v>
      </c>
      <c r="P169" t="s">
        <v>100</v>
      </c>
      <c r="Q169" t="s">
        <v>277</v>
      </c>
      <c r="R169">
        <v>318409776251</v>
      </c>
      <c r="T169" s="35">
        <v>75916</v>
      </c>
      <c r="X169" t="s">
        <v>102</v>
      </c>
    </row>
    <row r="170" spans="1:24" x14ac:dyDescent="0.3">
      <c r="A170" s="39">
        <v>45118</v>
      </c>
      <c r="B170" t="s">
        <v>114</v>
      </c>
      <c r="C170" t="s">
        <v>403</v>
      </c>
      <c r="G170" s="42">
        <v>45118</v>
      </c>
      <c r="J170" s="35">
        <v>10000000</v>
      </c>
      <c r="K170" t="s">
        <v>404</v>
      </c>
      <c r="L170">
        <v>2307111730</v>
      </c>
      <c r="M170" t="s">
        <v>106</v>
      </c>
      <c r="N170" t="s">
        <v>106</v>
      </c>
      <c r="P170" t="s">
        <v>100</v>
      </c>
      <c r="R170">
        <v>970499786591</v>
      </c>
      <c r="T170" s="35">
        <v>10075916</v>
      </c>
      <c r="X170" t="s">
        <v>123</v>
      </c>
    </row>
    <row r="171" spans="1:24" x14ac:dyDescent="0.3">
      <c r="A171" s="39">
        <v>45118</v>
      </c>
      <c r="B171" t="s">
        <v>114</v>
      </c>
      <c r="C171" t="s">
        <v>405</v>
      </c>
      <c r="G171" s="42">
        <v>45118</v>
      </c>
      <c r="I171" s="35">
        <v>-1000000</v>
      </c>
      <c r="K171" t="s">
        <v>120</v>
      </c>
      <c r="L171">
        <v>2307111757</v>
      </c>
      <c r="M171" t="s">
        <v>106</v>
      </c>
      <c r="N171" t="s">
        <v>106</v>
      </c>
      <c r="O171" t="s">
        <v>113</v>
      </c>
      <c r="P171" t="s">
        <v>100</v>
      </c>
      <c r="R171" t="s">
        <v>406</v>
      </c>
      <c r="T171" s="35">
        <v>9075916</v>
      </c>
      <c r="X171" t="s">
        <v>123</v>
      </c>
    </row>
    <row r="172" spans="1:24" x14ac:dyDescent="0.3">
      <c r="A172" s="39">
        <v>45119</v>
      </c>
      <c r="B172" t="s">
        <v>110</v>
      </c>
      <c r="C172" t="s">
        <v>407</v>
      </c>
      <c r="G172" s="42">
        <v>45119</v>
      </c>
      <c r="I172" s="35">
        <v>-3000000</v>
      </c>
      <c r="K172" t="s">
        <v>112</v>
      </c>
      <c r="L172">
        <v>2307121658</v>
      </c>
      <c r="M172" t="s">
        <v>98</v>
      </c>
      <c r="N172" t="s">
        <v>98</v>
      </c>
      <c r="O172" t="s">
        <v>113</v>
      </c>
      <c r="P172" t="s">
        <v>100</v>
      </c>
      <c r="Q172" t="s">
        <v>277</v>
      </c>
      <c r="R172">
        <v>319309962583</v>
      </c>
      <c r="T172" s="35">
        <v>6075916</v>
      </c>
      <c r="X172" t="s">
        <v>102</v>
      </c>
    </row>
    <row r="173" spans="1:24" x14ac:dyDescent="0.3">
      <c r="A173" s="39">
        <v>45119</v>
      </c>
      <c r="B173" t="s">
        <v>110</v>
      </c>
      <c r="C173" t="s">
        <v>408</v>
      </c>
      <c r="G173" s="42">
        <v>45119</v>
      </c>
      <c r="I173" s="35">
        <v>-3000000</v>
      </c>
      <c r="K173" t="s">
        <v>112</v>
      </c>
      <c r="L173">
        <v>2307121659</v>
      </c>
      <c r="M173" t="s">
        <v>98</v>
      </c>
      <c r="N173" t="s">
        <v>98</v>
      </c>
      <c r="O173" t="s">
        <v>113</v>
      </c>
      <c r="P173" t="s">
        <v>100</v>
      </c>
      <c r="Q173" t="s">
        <v>277</v>
      </c>
      <c r="R173">
        <v>319309967285</v>
      </c>
      <c r="T173" s="35">
        <v>3075916</v>
      </c>
      <c r="X173" t="s">
        <v>102</v>
      </c>
    </row>
    <row r="174" spans="1:24" x14ac:dyDescent="0.3">
      <c r="A174" s="39">
        <v>45119</v>
      </c>
      <c r="B174" t="s">
        <v>110</v>
      </c>
      <c r="C174" t="s">
        <v>409</v>
      </c>
      <c r="G174" s="42">
        <v>45119</v>
      </c>
      <c r="I174" s="35">
        <v>-3000000</v>
      </c>
      <c r="K174" t="s">
        <v>112</v>
      </c>
      <c r="L174">
        <v>2307121700</v>
      </c>
      <c r="M174" t="s">
        <v>98</v>
      </c>
      <c r="N174" t="s">
        <v>98</v>
      </c>
      <c r="O174" t="s">
        <v>113</v>
      </c>
      <c r="P174" t="s">
        <v>100</v>
      </c>
      <c r="Q174" t="s">
        <v>277</v>
      </c>
      <c r="R174">
        <v>319309971931</v>
      </c>
      <c r="T174" s="35">
        <v>75916</v>
      </c>
      <c r="X174" t="s">
        <v>102</v>
      </c>
    </row>
    <row r="175" spans="1:24" x14ac:dyDescent="0.3">
      <c r="A175" s="39">
        <v>45128</v>
      </c>
      <c r="B175" t="s">
        <v>114</v>
      </c>
      <c r="C175" t="s">
        <v>410</v>
      </c>
      <c r="G175" s="42">
        <v>45128</v>
      </c>
      <c r="J175" s="35">
        <v>3200000</v>
      </c>
      <c r="K175" t="s">
        <v>411</v>
      </c>
      <c r="L175">
        <v>2307211907</v>
      </c>
      <c r="M175" t="s">
        <v>106</v>
      </c>
      <c r="N175" t="s">
        <v>106</v>
      </c>
      <c r="P175" t="s">
        <v>100</v>
      </c>
      <c r="R175">
        <v>970415008668</v>
      </c>
      <c r="T175" s="35">
        <v>3275916</v>
      </c>
      <c r="X175" t="s">
        <v>123</v>
      </c>
    </row>
    <row r="176" spans="1:24" x14ac:dyDescent="0.3">
      <c r="A176" s="39">
        <v>45131</v>
      </c>
      <c r="B176" t="s">
        <v>110</v>
      </c>
      <c r="C176" t="s">
        <v>412</v>
      </c>
      <c r="G176" s="42">
        <v>45131</v>
      </c>
      <c r="I176" s="35">
        <v>-3000000</v>
      </c>
      <c r="K176" t="s">
        <v>112</v>
      </c>
      <c r="L176">
        <v>2307231631</v>
      </c>
      <c r="M176" t="s">
        <v>98</v>
      </c>
      <c r="N176" t="s">
        <v>98</v>
      </c>
      <c r="O176" t="s">
        <v>113</v>
      </c>
      <c r="P176" t="s">
        <v>100</v>
      </c>
      <c r="Q176" t="s">
        <v>277</v>
      </c>
      <c r="R176">
        <v>320409116577</v>
      </c>
      <c r="T176" s="35">
        <v>275916</v>
      </c>
      <c r="X176" t="s">
        <v>102</v>
      </c>
    </row>
    <row r="177" spans="1:24" x14ac:dyDescent="0.3">
      <c r="A177" s="39">
        <v>45131</v>
      </c>
      <c r="B177" t="s">
        <v>110</v>
      </c>
      <c r="C177" t="s">
        <v>413</v>
      </c>
      <c r="G177" s="42">
        <v>45131</v>
      </c>
      <c r="I177" s="35">
        <v>-200000</v>
      </c>
      <c r="K177" t="s">
        <v>112</v>
      </c>
      <c r="L177">
        <v>2307231632</v>
      </c>
      <c r="M177" t="s">
        <v>98</v>
      </c>
      <c r="N177" t="s">
        <v>98</v>
      </c>
      <c r="O177" t="s">
        <v>113</v>
      </c>
      <c r="P177" t="s">
        <v>100</v>
      </c>
      <c r="Q177" t="s">
        <v>277</v>
      </c>
      <c r="R177">
        <v>320409116578</v>
      </c>
      <c r="T177" s="35">
        <v>75916</v>
      </c>
      <c r="X177" t="s">
        <v>102</v>
      </c>
    </row>
    <row r="178" spans="1:24" x14ac:dyDescent="0.3">
      <c r="A178" s="39">
        <v>45139</v>
      </c>
      <c r="B178" t="s">
        <v>129</v>
      </c>
      <c r="C178" t="s">
        <v>414</v>
      </c>
      <c r="G178" s="42">
        <v>45138</v>
      </c>
      <c r="J178">
        <v>57</v>
      </c>
      <c r="K178" t="s">
        <v>415</v>
      </c>
      <c r="L178">
        <v>2308010044</v>
      </c>
      <c r="M178" t="s">
        <v>132</v>
      </c>
      <c r="N178" t="s">
        <v>132</v>
      </c>
      <c r="T178" s="35">
        <v>75973</v>
      </c>
    </row>
    <row r="179" spans="1:24" x14ac:dyDescent="0.3">
      <c r="A179" s="39">
        <v>45139</v>
      </c>
      <c r="B179" t="s">
        <v>114</v>
      </c>
      <c r="C179" t="s">
        <v>416</v>
      </c>
      <c r="G179" s="42">
        <v>45139</v>
      </c>
      <c r="J179" s="35">
        <v>9020170</v>
      </c>
      <c r="K179" t="s">
        <v>417</v>
      </c>
      <c r="L179">
        <v>2308011514</v>
      </c>
      <c r="M179" t="s">
        <v>71</v>
      </c>
      <c r="N179" t="s">
        <v>71</v>
      </c>
      <c r="P179" t="s">
        <v>117</v>
      </c>
      <c r="R179" t="s">
        <v>418</v>
      </c>
      <c r="T179" s="35">
        <v>9096143</v>
      </c>
    </row>
    <row r="180" spans="1:24" x14ac:dyDescent="0.3">
      <c r="A180" s="39">
        <v>45139</v>
      </c>
      <c r="B180" t="s">
        <v>114</v>
      </c>
      <c r="C180" t="s">
        <v>419</v>
      </c>
      <c r="G180" s="42">
        <v>45139</v>
      </c>
      <c r="J180" s="35">
        <v>1600000</v>
      </c>
      <c r="K180" t="s">
        <v>310</v>
      </c>
      <c r="L180">
        <v>2308011523</v>
      </c>
      <c r="M180" t="s">
        <v>106</v>
      </c>
      <c r="N180" t="s">
        <v>106</v>
      </c>
      <c r="O180" t="s">
        <v>311</v>
      </c>
      <c r="P180" t="s">
        <v>117</v>
      </c>
      <c r="R180" t="s">
        <v>420</v>
      </c>
      <c r="T180" s="35">
        <v>10696143</v>
      </c>
    </row>
    <row r="181" spans="1:24" x14ac:dyDescent="0.3">
      <c r="A181" s="39">
        <v>45139</v>
      </c>
      <c r="B181" t="s">
        <v>114</v>
      </c>
      <c r="C181" t="s">
        <v>421</v>
      </c>
      <c r="G181" s="42">
        <v>45139</v>
      </c>
      <c r="J181" s="35">
        <v>200000</v>
      </c>
      <c r="K181" t="s">
        <v>207</v>
      </c>
      <c r="L181">
        <v>2308011536</v>
      </c>
      <c r="M181" t="s">
        <v>106</v>
      </c>
      <c r="N181" t="s">
        <v>106</v>
      </c>
      <c r="O181" t="s">
        <v>208</v>
      </c>
      <c r="P181" t="s">
        <v>117</v>
      </c>
      <c r="R181" t="s">
        <v>422</v>
      </c>
      <c r="T181" s="35">
        <v>10896143</v>
      </c>
    </row>
    <row r="182" spans="1:24" x14ac:dyDescent="0.3">
      <c r="A182" s="39">
        <v>45139</v>
      </c>
      <c r="B182" t="s">
        <v>110</v>
      </c>
      <c r="C182" t="s">
        <v>423</v>
      </c>
      <c r="G182" s="42">
        <v>45139</v>
      </c>
      <c r="I182" s="35">
        <v>-3000000</v>
      </c>
      <c r="K182" t="s">
        <v>112</v>
      </c>
      <c r="L182">
        <v>2308011657</v>
      </c>
      <c r="M182" t="s">
        <v>98</v>
      </c>
      <c r="N182" t="s">
        <v>98</v>
      </c>
      <c r="O182" t="s">
        <v>113</v>
      </c>
      <c r="P182" t="s">
        <v>100</v>
      </c>
      <c r="Q182" t="s">
        <v>277</v>
      </c>
      <c r="R182">
        <v>321309532752</v>
      </c>
      <c r="T182" s="35">
        <v>7896143</v>
      </c>
      <c r="X182" t="s">
        <v>102</v>
      </c>
    </row>
    <row r="183" spans="1:24" x14ac:dyDescent="0.3">
      <c r="A183" s="39">
        <v>45139</v>
      </c>
      <c r="B183" t="s">
        <v>110</v>
      </c>
      <c r="C183" t="s">
        <v>424</v>
      </c>
      <c r="G183" s="42">
        <v>45139</v>
      </c>
      <c r="I183" s="35">
        <v>-3000000</v>
      </c>
      <c r="K183" t="s">
        <v>112</v>
      </c>
      <c r="L183">
        <v>2308011658</v>
      </c>
      <c r="M183" t="s">
        <v>98</v>
      </c>
      <c r="N183" t="s">
        <v>98</v>
      </c>
      <c r="O183" t="s">
        <v>113</v>
      </c>
      <c r="P183" t="s">
        <v>100</v>
      </c>
      <c r="Q183" t="s">
        <v>277</v>
      </c>
      <c r="R183">
        <v>321309537715</v>
      </c>
      <c r="T183" s="35">
        <v>4896143</v>
      </c>
      <c r="X183" t="s">
        <v>102</v>
      </c>
    </row>
    <row r="184" spans="1:24" x14ac:dyDescent="0.3">
      <c r="A184" s="39">
        <v>45139</v>
      </c>
      <c r="B184" t="s">
        <v>110</v>
      </c>
      <c r="C184" t="s">
        <v>425</v>
      </c>
      <c r="G184" s="42">
        <v>45139</v>
      </c>
      <c r="I184" s="35">
        <v>-3000000</v>
      </c>
      <c r="K184" t="s">
        <v>112</v>
      </c>
      <c r="L184">
        <v>2308011659</v>
      </c>
      <c r="M184" t="s">
        <v>98</v>
      </c>
      <c r="N184" t="s">
        <v>98</v>
      </c>
      <c r="O184" t="s">
        <v>113</v>
      </c>
      <c r="P184" t="s">
        <v>100</v>
      </c>
      <c r="Q184" t="s">
        <v>277</v>
      </c>
      <c r="R184">
        <v>321309542572</v>
      </c>
      <c r="T184" s="35">
        <v>1896143</v>
      </c>
      <c r="X184" t="s">
        <v>102</v>
      </c>
    </row>
    <row r="185" spans="1:24" x14ac:dyDescent="0.3">
      <c r="A185" s="39">
        <v>45139</v>
      </c>
      <c r="B185" t="s">
        <v>110</v>
      </c>
      <c r="C185" t="s">
        <v>426</v>
      </c>
      <c r="G185" s="42">
        <v>45139</v>
      </c>
      <c r="I185" s="35">
        <v>-1800000</v>
      </c>
      <c r="K185" t="s">
        <v>112</v>
      </c>
      <c r="L185">
        <v>2308011700</v>
      </c>
      <c r="M185" t="s">
        <v>98</v>
      </c>
      <c r="N185" t="s">
        <v>98</v>
      </c>
      <c r="O185" t="s">
        <v>113</v>
      </c>
      <c r="P185" t="s">
        <v>100</v>
      </c>
      <c r="Q185" t="s">
        <v>277</v>
      </c>
      <c r="R185">
        <v>321309547408</v>
      </c>
      <c r="T185" s="35">
        <v>96143</v>
      </c>
      <c r="X185" t="s">
        <v>102</v>
      </c>
    </row>
    <row r="186" spans="1:24" x14ac:dyDescent="0.3">
      <c r="A186" s="39">
        <v>45149</v>
      </c>
      <c r="B186" t="s">
        <v>114</v>
      </c>
      <c r="C186" t="s">
        <v>427</v>
      </c>
      <c r="G186" s="42">
        <v>45149</v>
      </c>
      <c r="J186" s="35">
        <v>6000000</v>
      </c>
      <c r="K186" t="s">
        <v>428</v>
      </c>
      <c r="L186">
        <v>2308112104</v>
      </c>
      <c r="M186" t="s">
        <v>106</v>
      </c>
      <c r="N186" t="s">
        <v>106</v>
      </c>
      <c r="P186" t="s">
        <v>100</v>
      </c>
      <c r="R186">
        <v>970499780552</v>
      </c>
      <c r="T186" s="35">
        <v>6096143</v>
      </c>
      <c r="X186" t="s">
        <v>123</v>
      </c>
    </row>
    <row r="187" spans="1:24" x14ac:dyDescent="0.3">
      <c r="A187" s="39">
        <v>45150</v>
      </c>
      <c r="B187" t="s">
        <v>114</v>
      </c>
      <c r="C187" t="s">
        <v>429</v>
      </c>
      <c r="G187" s="42">
        <v>45150</v>
      </c>
      <c r="I187" s="35">
        <v>-3500000</v>
      </c>
      <c r="K187" t="s">
        <v>120</v>
      </c>
      <c r="L187">
        <v>2308121230</v>
      </c>
      <c r="M187" t="s">
        <v>106</v>
      </c>
      <c r="N187" t="s">
        <v>106</v>
      </c>
      <c r="O187" t="s">
        <v>113</v>
      </c>
      <c r="P187" t="s">
        <v>100</v>
      </c>
      <c r="R187" t="s">
        <v>430</v>
      </c>
      <c r="T187" s="35">
        <v>2596143</v>
      </c>
    </row>
    <row r="188" spans="1:24" x14ac:dyDescent="0.3">
      <c r="A188" s="39">
        <v>45150</v>
      </c>
      <c r="B188" t="s">
        <v>110</v>
      </c>
      <c r="C188" t="s">
        <v>431</v>
      </c>
      <c r="G188" s="42">
        <v>45150</v>
      </c>
      <c r="I188" s="35">
        <v>-2500000</v>
      </c>
      <c r="K188" t="s">
        <v>112</v>
      </c>
      <c r="L188">
        <v>2308121654</v>
      </c>
      <c r="M188" t="s">
        <v>98</v>
      </c>
      <c r="N188" t="s">
        <v>98</v>
      </c>
      <c r="O188" t="s">
        <v>113</v>
      </c>
      <c r="P188" t="s">
        <v>100</v>
      </c>
      <c r="Q188" t="s">
        <v>277</v>
      </c>
      <c r="R188">
        <v>322409496998</v>
      </c>
      <c r="T188" s="35">
        <v>96143</v>
      </c>
      <c r="X188" t="s">
        <v>102</v>
      </c>
    </row>
    <row r="189" spans="1:24" x14ac:dyDescent="0.3">
      <c r="A189" s="39">
        <v>45152</v>
      </c>
      <c r="B189" t="s">
        <v>114</v>
      </c>
      <c r="C189" t="s">
        <v>432</v>
      </c>
      <c r="G189" s="42">
        <v>45152</v>
      </c>
      <c r="I189" s="35">
        <v>-20000</v>
      </c>
      <c r="K189" t="s">
        <v>433</v>
      </c>
      <c r="L189">
        <v>2308140721</v>
      </c>
      <c r="M189" t="s">
        <v>106</v>
      </c>
      <c r="N189" t="s">
        <v>106</v>
      </c>
      <c r="O189" t="s">
        <v>113</v>
      </c>
      <c r="P189" t="s">
        <v>227</v>
      </c>
      <c r="R189" t="s">
        <v>434</v>
      </c>
      <c r="T189" s="35">
        <v>76143</v>
      </c>
    </row>
    <row r="190" spans="1:24" x14ac:dyDescent="0.3">
      <c r="A190" s="39">
        <v>45152</v>
      </c>
      <c r="B190" t="s">
        <v>114</v>
      </c>
      <c r="C190" t="s">
        <v>435</v>
      </c>
      <c r="G190" s="42">
        <v>45152</v>
      </c>
      <c r="I190" s="35">
        <v>-20000</v>
      </c>
      <c r="K190" t="s">
        <v>436</v>
      </c>
      <c r="L190">
        <v>2308140726</v>
      </c>
      <c r="M190" t="s">
        <v>106</v>
      </c>
      <c r="N190" t="s">
        <v>106</v>
      </c>
      <c r="O190" t="s">
        <v>113</v>
      </c>
      <c r="P190" t="s">
        <v>227</v>
      </c>
      <c r="R190" t="s">
        <v>437</v>
      </c>
      <c r="T190" s="35">
        <v>56143</v>
      </c>
    </row>
    <row r="191" spans="1:24" x14ac:dyDescent="0.3">
      <c r="A191" s="39">
        <v>45153</v>
      </c>
      <c r="B191" t="s">
        <v>114</v>
      </c>
      <c r="C191" t="s">
        <v>438</v>
      </c>
      <c r="G191" s="42">
        <v>45153</v>
      </c>
      <c r="J191" s="35">
        <v>77000000</v>
      </c>
      <c r="K191" t="s">
        <v>439</v>
      </c>
      <c r="L191">
        <v>2308151848</v>
      </c>
      <c r="M191" t="s">
        <v>106</v>
      </c>
      <c r="N191" t="s">
        <v>106</v>
      </c>
      <c r="P191" t="s">
        <v>100</v>
      </c>
      <c r="R191">
        <v>970499850652</v>
      </c>
      <c r="T191" s="35">
        <v>77056143</v>
      </c>
      <c r="X191" t="s">
        <v>123</v>
      </c>
    </row>
    <row r="192" spans="1:24" x14ac:dyDescent="0.3">
      <c r="A192" s="39">
        <v>45154</v>
      </c>
      <c r="B192" t="s">
        <v>114</v>
      </c>
      <c r="C192" t="s">
        <v>440</v>
      </c>
      <c r="G192" s="42">
        <v>45154</v>
      </c>
      <c r="I192" s="35">
        <v>-20000000</v>
      </c>
      <c r="K192" t="s">
        <v>120</v>
      </c>
      <c r="L192">
        <v>2308161254</v>
      </c>
      <c r="M192" t="s">
        <v>106</v>
      </c>
      <c r="N192" t="s">
        <v>106</v>
      </c>
      <c r="O192" t="s">
        <v>113</v>
      </c>
      <c r="P192" t="s">
        <v>100</v>
      </c>
      <c r="R192" t="s">
        <v>441</v>
      </c>
      <c r="T192" s="35">
        <v>57056143</v>
      </c>
      <c r="X192" t="s">
        <v>123</v>
      </c>
    </row>
    <row r="193" spans="1:24" x14ac:dyDescent="0.3">
      <c r="A193" s="39">
        <v>45162</v>
      </c>
      <c r="B193" t="s">
        <v>114</v>
      </c>
      <c r="C193" t="s">
        <v>442</v>
      </c>
      <c r="G193" s="42">
        <v>45162</v>
      </c>
      <c r="J193" s="35">
        <v>3200000</v>
      </c>
      <c r="K193" t="s">
        <v>443</v>
      </c>
      <c r="L193">
        <v>2308232127</v>
      </c>
      <c r="M193" t="s">
        <v>106</v>
      </c>
      <c r="N193" t="s">
        <v>106</v>
      </c>
      <c r="P193" t="s">
        <v>100</v>
      </c>
      <c r="R193">
        <v>970426180820</v>
      </c>
      <c r="T193" s="35">
        <v>60256143</v>
      </c>
      <c r="X193" t="s">
        <v>123</v>
      </c>
    </row>
    <row r="194" spans="1:24" x14ac:dyDescent="0.3">
      <c r="A194" s="39">
        <v>45170</v>
      </c>
      <c r="B194" t="s">
        <v>129</v>
      </c>
      <c r="C194" t="s">
        <v>444</v>
      </c>
      <c r="G194" s="42">
        <v>45169</v>
      </c>
      <c r="J194" s="35">
        <v>2802</v>
      </c>
      <c r="K194" t="s">
        <v>445</v>
      </c>
      <c r="L194">
        <v>2309010226</v>
      </c>
      <c r="M194" t="s">
        <v>132</v>
      </c>
      <c r="N194" t="s">
        <v>132</v>
      </c>
      <c r="T194" s="35">
        <v>60258945</v>
      </c>
    </row>
    <row r="195" spans="1:24" x14ac:dyDescent="0.3">
      <c r="A195" s="39">
        <v>45174</v>
      </c>
      <c r="B195" t="s">
        <v>110</v>
      </c>
      <c r="C195" t="s">
        <v>446</v>
      </c>
      <c r="G195" s="42">
        <v>45174</v>
      </c>
      <c r="I195" s="35">
        <v>-3000000</v>
      </c>
      <c r="K195" t="s">
        <v>112</v>
      </c>
      <c r="L195">
        <v>2309051210</v>
      </c>
      <c r="M195" t="s">
        <v>98</v>
      </c>
      <c r="N195" t="s">
        <v>98</v>
      </c>
      <c r="O195" t="s">
        <v>113</v>
      </c>
      <c r="P195" t="s">
        <v>100</v>
      </c>
      <c r="Q195" t="s">
        <v>277</v>
      </c>
      <c r="R195">
        <v>324800391676</v>
      </c>
      <c r="T195" s="35">
        <v>57258945</v>
      </c>
      <c r="X195" t="s">
        <v>102</v>
      </c>
    </row>
    <row r="196" spans="1:24" x14ac:dyDescent="0.3">
      <c r="A196" s="39">
        <v>45174</v>
      </c>
      <c r="B196" t="s">
        <v>110</v>
      </c>
      <c r="C196" t="s">
        <v>447</v>
      </c>
      <c r="G196" s="42">
        <v>45174</v>
      </c>
      <c r="I196" s="35">
        <v>-3000000</v>
      </c>
      <c r="K196" t="s">
        <v>112</v>
      </c>
      <c r="L196">
        <v>2309051211</v>
      </c>
      <c r="M196" t="s">
        <v>98</v>
      </c>
      <c r="N196" t="s">
        <v>98</v>
      </c>
      <c r="O196" t="s">
        <v>113</v>
      </c>
      <c r="P196" t="s">
        <v>100</v>
      </c>
      <c r="Q196" t="s">
        <v>277</v>
      </c>
      <c r="R196">
        <v>324800391678</v>
      </c>
      <c r="T196" s="35">
        <v>54258945</v>
      </c>
      <c r="X196" t="s">
        <v>102</v>
      </c>
    </row>
    <row r="197" spans="1:24" x14ac:dyDescent="0.3">
      <c r="A197" s="39">
        <v>45174</v>
      </c>
      <c r="B197" t="s">
        <v>110</v>
      </c>
      <c r="C197" t="s">
        <v>448</v>
      </c>
      <c r="G197" s="42">
        <v>45174</v>
      </c>
      <c r="I197" s="35">
        <v>-3000000</v>
      </c>
      <c r="K197" t="s">
        <v>112</v>
      </c>
      <c r="L197">
        <v>2309051211</v>
      </c>
      <c r="M197" t="s">
        <v>98</v>
      </c>
      <c r="N197" t="s">
        <v>98</v>
      </c>
      <c r="O197" t="s">
        <v>113</v>
      </c>
      <c r="P197" t="s">
        <v>100</v>
      </c>
      <c r="Q197" t="s">
        <v>277</v>
      </c>
      <c r="R197">
        <v>324800391680</v>
      </c>
      <c r="T197" s="35">
        <v>51258945</v>
      </c>
      <c r="X197" t="s">
        <v>102</v>
      </c>
    </row>
    <row r="198" spans="1:24" x14ac:dyDescent="0.3">
      <c r="A198" s="39">
        <v>45174</v>
      </c>
      <c r="B198" t="s">
        <v>110</v>
      </c>
      <c r="C198" t="s">
        <v>449</v>
      </c>
      <c r="G198" s="42">
        <v>45174</v>
      </c>
      <c r="I198" s="35">
        <v>-3000000</v>
      </c>
      <c r="K198" t="s">
        <v>112</v>
      </c>
      <c r="L198">
        <v>2309051212</v>
      </c>
      <c r="M198" t="s">
        <v>98</v>
      </c>
      <c r="N198" t="s">
        <v>98</v>
      </c>
      <c r="O198" t="s">
        <v>113</v>
      </c>
      <c r="P198" t="s">
        <v>100</v>
      </c>
      <c r="Q198" t="s">
        <v>277</v>
      </c>
      <c r="R198">
        <v>324800391682</v>
      </c>
      <c r="T198" s="35">
        <v>48258945</v>
      </c>
      <c r="X198" t="s">
        <v>102</v>
      </c>
    </row>
    <row r="199" spans="1:24" x14ac:dyDescent="0.3">
      <c r="A199" s="39">
        <v>45174</v>
      </c>
      <c r="B199" t="s">
        <v>114</v>
      </c>
      <c r="C199" t="s">
        <v>450</v>
      </c>
      <c r="G199" s="42">
        <v>45174</v>
      </c>
      <c r="I199" s="35">
        <v>-10000000</v>
      </c>
      <c r="K199" t="s">
        <v>120</v>
      </c>
      <c r="L199">
        <v>2309051220</v>
      </c>
      <c r="M199" t="s">
        <v>106</v>
      </c>
      <c r="N199" t="s">
        <v>106</v>
      </c>
      <c r="O199" t="s">
        <v>113</v>
      </c>
      <c r="P199" t="s">
        <v>100</v>
      </c>
      <c r="R199" t="s">
        <v>451</v>
      </c>
      <c r="T199" s="35">
        <v>38258945</v>
      </c>
      <c r="X199" t="s">
        <v>123</v>
      </c>
    </row>
    <row r="200" spans="1:24" x14ac:dyDescent="0.3">
      <c r="A200" s="39">
        <v>45174</v>
      </c>
      <c r="B200" t="s">
        <v>114</v>
      </c>
      <c r="C200" t="s">
        <v>452</v>
      </c>
      <c r="G200" s="42">
        <v>45174</v>
      </c>
      <c r="J200" s="35">
        <v>6719673</v>
      </c>
      <c r="K200" t="s">
        <v>453</v>
      </c>
      <c r="L200">
        <v>2309051724</v>
      </c>
      <c r="M200" t="s">
        <v>71</v>
      </c>
      <c r="N200" t="s">
        <v>71</v>
      </c>
      <c r="P200" t="s">
        <v>117</v>
      </c>
      <c r="R200" t="s">
        <v>454</v>
      </c>
      <c r="T200" s="35">
        <v>44978618</v>
      </c>
    </row>
    <row r="201" spans="1:24" x14ac:dyDescent="0.3">
      <c r="A201" s="39">
        <v>45174</v>
      </c>
      <c r="B201" t="s">
        <v>114</v>
      </c>
      <c r="C201" t="s">
        <v>455</v>
      </c>
      <c r="G201" s="42">
        <v>45174</v>
      </c>
      <c r="I201" s="35">
        <v>-1000000</v>
      </c>
      <c r="K201" t="s">
        <v>120</v>
      </c>
      <c r="L201">
        <v>2309051734</v>
      </c>
      <c r="M201" t="s">
        <v>106</v>
      </c>
      <c r="N201" t="s">
        <v>106</v>
      </c>
      <c r="O201" t="s">
        <v>113</v>
      </c>
      <c r="P201" t="s">
        <v>100</v>
      </c>
      <c r="R201" t="s">
        <v>456</v>
      </c>
      <c r="T201" s="35">
        <v>43978618</v>
      </c>
    </row>
    <row r="202" spans="1:24" x14ac:dyDescent="0.3">
      <c r="A202" s="39">
        <v>45177</v>
      </c>
      <c r="B202" t="s">
        <v>114</v>
      </c>
      <c r="C202" t="s">
        <v>457</v>
      </c>
      <c r="G202" s="42">
        <v>45177</v>
      </c>
      <c r="J202" s="35">
        <v>2000000</v>
      </c>
      <c r="K202" t="s">
        <v>458</v>
      </c>
      <c r="L202">
        <v>2309082026</v>
      </c>
      <c r="M202" t="s">
        <v>106</v>
      </c>
      <c r="N202" t="s">
        <v>106</v>
      </c>
      <c r="P202" t="s">
        <v>100</v>
      </c>
      <c r="R202">
        <v>180906304866</v>
      </c>
      <c r="T202" s="35">
        <v>45978618</v>
      </c>
      <c r="X202" t="s">
        <v>123</v>
      </c>
    </row>
    <row r="203" spans="1:24" x14ac:dyDescent="0.3">
      <c r="A203" s="39">
        <v>45177</v>
      </c>
      <c r="B203" t="s">
        <v>114</v>
      </c>
      <c r="C203" t="s">
        <v>459</v>
      </c>
      <c r="G203" s="42">
        <v>45177</v>
      </c>
      <c r="J203" s="35">
        <v>6900000</v>
      </c>
      <c r="K203" t="s">
        <v>460</v>
      </c>
      <c r="L203">
        <v>2309082117</v>
      </c>
      <c r="M203" t="s">
        <v>106</v>
      </c>
      <c r="N203" t="s">
        <v>106</v>
      </c>
      <c r="P203" t="s">
        <v>100</v>
      </c>
      <c r="R203">
        <v>970499237598</v>
      </c>
      <c r="T203" s="35">
        <v>52878618</v>
      </c>
      <c r="X203" t="s">
        <v>123</v>
      </c>
    </row>
    <row r="204" spans="1:24" x14ac:dyDescent="0.3">
      <c r="A204" s="39">
        <v>45187</v>
      </c>
      <c r="B204" t="s">
        <v>114</v>
      </c>
      <c r="C204" t="s">
        <v>461</v>
      </c>
      <c r="G204" s="42">
        <v>45187</v>
      </c>
      <c r="I204" s="35">
        <v>-12000000</v>
      </c>
      <c r="K204" t="s">
        <v>120</v>
      </c>
      <c r="L204">
        <v>2309180528</v>
      </c>
      <c r="M204" t="s">
        <v>106</v>
      </c>
      <c r="N204" t="s">
        <v>106</v>
      </c>
      <c r="O204" t="s">
        <v>113</v>
      </c>
      <c r="P204" t="s">
        <v>100</v>
      </c>
      <c r="R204" t="s">
        <v>462</v>
      </c>
      <c r="T204" s="35">
        <v>40878618</v>
      </c>
      <c r="X204" t="s">
        <v>123</v>
      </c>
    </row>
    <row r="205" spans="1:24" x14ac:dyDescent="0.3">
      <c r="A205" s="39">
        <v>45187</v>
      </c>
      <c r="B205" t="s">
        <v>114</v>
      </c>
      <c r="C205" t="s">
        <v>463</v>
      </c>
      <c r="G205" s="42">
        <v>45187</v>
      </c>
      <c r="I205" s="35">
        <v>-50000</v>
      </c>
      <c r="K205" t="s">
        <v>120</v>
      </c>
      <c r="L205">
        <v>2309180530</v>
      </c>
      <c r="M205" t="s">
        <v>106</v>
      </c>
      <c r="N205" t="s">
        <v>106</v>
      </c>
      <c r="O205" t="s">
        <v>113</v>
      </c>
      <c r="P205" t="s">
        <v>100</v>
      </c>
      <c r="R205" t="s">
        <v>464</v>
      </c>
      <c r="T205" s="35">
        <v>40828618</v>
      </c>
      <c r="X205" t="s">
        <v>123</v>
      </c>
    </row>
    <row r="206" spans="1:24" x14ac:dyDescent="0.3">
      <c r="A206" s="39">
        <v>45191</v>
      </c>
      <c r="B206" t="s">
        <v>114</v>
      </c>
      <c r="C206" t="s">
        <v>465</v>
      </c>
      <c r="G206" s="42">
        <v>45191</v>
      </c>
      <c r="J206" s="35">
        <v>3200000</v>
      </c>
      <c r="K206" t="s">
        <v>466</v>
      </c>
      <c r="L206">
        <v>2309221527</v>
      </c>
      <c r="M206" t="s">
        <v>106</v>
      </c>
      <c r="N206" t="s">
        <v>106</v>
      </c>
      <c r="P206" t="s">
        <v>100</v>
      </c>
      <c r="R206">
        <v>180906282487</v>
      </c>
      <c r="T206" s="35">
        <v>44028618</v>
      </c>
      <c r="X206" t="s">
        <v>123</v>
      </c>
    </row>
    <row r="207" spans="1:24" x14ac:dyDescent="0.3">
      <c r="A207" s="39">
        <v>45194</v>
      </c>
      <c r="B207" t="s">
        <v>114</v>
      </c>
      <c r="C207" t="s">
        <v>467</v>
      </c>
      <c r="G207" s="42">
        <v>45194</v>
      </c>
      <c r="I207" s="35">
        <v>-9000000</v>
      </c>
      <c r="K207" t="s">
        <v>120</v>
      </c>
      <c r="L207">
        <v>2309251133</v>
      </c>
      <c r="M207" t="s">
        <v>106</v>
      </c>
      <c r="N207" t="s">
        <v>106</v>
      </c>
      <c r="O207" t="s">
        <v>113</v>
      </c>
      <c r="P207" t="s">
        <v>100</v>
      </c>
      <c r="R207" t="s">
        <v>468</v>
      </c>
      <c r="T207" s="35">
        <v>35028618</v>
      </c>
      <c r="X207" t="s">
        <v>123</v>
      </c>
    </row>
    <row r="208" spans="1:24" x14ac:dyDescent="0.3">
      <c r="A208" s="39">
        <v>45200</v>
      </c>
      <c r="B208" t="s">
        <v>129</v>
      </c>
      <c r="C208" t="s">
        <v>469</v>
      </c>
      <c r="G208" s="42">
        <v>45199</v>
      </c>
      <c r="J208" s="35">
        <v>3857</v>
      </c>
      <c r="K208" t="s">
        <v>470</v>
      </c>
      <c r="L208">
        <v>2310010128</v>
      </c>
      <c r="M208" t="s">
        <v>132</v>
      </c>
      <c r="N208" t="s">
        <v>132</v>
      </c>
      <c r="T208" s="35">
        <v>35032475</v>
      </c>
    </row>
    <row r="209" spans="1:24" x14ac:dyDescent="0.3">
      <c r="A209" s="39">
        <v>45203</v>
      </c>
      <c r="B209" t="s">
        <v>114</v>
      </c>
      <c r="C209" t="s">
        <v>471</v>
      </c>
      <c r="G209" s="42">
        <v>45203</v>
      </c>
      <c r="J209" s="35">
        <v>60000000</v>
      </c>
      <c r="K209" t="s">
        <v>472</v>
      </c>
      <c r="L209">
        <v>2310041213</v>
      </c>
      <c r="M209" t="s">
        <v>106</v>
      </c>
      <c r="N209" t="s">
        <v>106</v>
      </c>
      <c r="P209" t="s">
        <v>100</v>
      </c>
      <c r="R209">
        <v>180906882292</v>
      </c>
      <c r="T209" s="35">
        <v>95032475</v>
      </c>
      <c r="X209" t="s">
        <v>123</v>
      </c>
    </row>
    <row r="210" spans="1:24" x14ac:dyDescent="0.3">
      <c r="A210" s="39">
        <v>45203</v>
      </c>
      <c r="B210" t="s">
        <v>114</v>
      </c>
      <c r="C210" t="s">
        <v>473</v>
      </c>
      <c r="G210" s="42">
        <v>45203</v>
      </c>
      <c r="I210" s="35">
        <v>-20000000</v>
      </c>
      <c r="K210" t="s">
        <v>120</v>
      </c>
      <c r="L210">
        <v>2310041350</v>
      </c>
      <c r="M210" t="s">
        <v>106</v>
      </c>
      <c r="N210" t="s">
        <v>106</v>
      </c>
      <c r="O210" t="s">
        <v>113</v>
      </c>
      <c r="P210" t="s">
        <v>100</v>
      </c>
      <c r="R210" t="s">
        <v>474</v>
      </c>
      <c r="T210" s="35">
        <v>75032475</v>
      </c>
      <c r="X210" t="s">
        <v>123</v>
      </c>
    </row>
    <row r="211" spans="1:24" x14ac:dyDescent="0.3">
      <c r="A211" s="39">
        <v>45203</v>
      </c>
      <c r="B211" t="s">
        <v>110</v>
      </c>
      <c r="C211" t="s">
        <v>475</v>
      </c>
      <c r="G211" s="42">
        <v>45203</v>
      </c>
      <c r="I211" s="35">
        <v>-3000000</v>
      </c>
      <c r="K211" t="s">
        <v>112</v>
      </c>
      <c r="L211">
        <v>2310041359</v>
      </c>
      <c r="M211" t="s">
        <v>98</v>
      </c>
      <c r="N211" t="s">
        <v>98</v>
      </c>
      <c r="O211" t="s">
        <v>113</v>
      </c>
      <c r="P211" t="s">
        <v>100</v>
      </c>
      <c r="Q211" t="s">
        <v>277</v>
      </c>
      <c r="R211">
        <v>327706673085</v>
      </c>
      <c r="T211" s="35">
        <v>72032475</v>
      </c>
      <c r="X211" t="s">
        <v>102</v>
      </c>
    </row>
    <row r="212" spans="1:24" x14ac:dyDescent="0.3">
      <c r="A212" s="39">
        <v>45203</v>
      </c>
      <c r="B212" t="s">
        <v>114</v>
      </c>
      <c r="C212" t="s">
        <v>476</v>
      </c>
      <c r="G212" s="42">
        <v>45203</v>
      </c>
      <c r="J212" s="35">
        <v>4400000</v>
      </c>
      <c r="K212" t="s">
        <v>477</v>
      </c>
      <c r="L212">
        <v>2310041437</v>
      </c>
      <c r="M212" t="s">
        <v>106</v>
      </c>
      <c r="N212" t="s">
        <v>106</v>
      </c>
      <c r="P212" t="s">
        <v>100</v>
      </c>
      <c r="R212">
        <v>180906018152</v>
      </c>
      <c r="T212" s="35">
        <v>76432475</v>
      </c>
      <c r="X212" t="s">
        <v>123</v>
      </c>
    </row>
    <row r="213" spans="1:24" x14ac:dyDescent="0.3">
      <c r="A213" s="39">
        <v>45203</v>
      </c>
      <c r="B213" t="s">
        <v>110</v>
      </c>
      <c r="C213" t="s">
        <v>478</v>
      </c>
      <c r="G213" s="42">
        <v>45203</v>
      </c>
      <c r="I213" s="35">
        <v>-3000000</v>
      </c>
      <c r="K213" t="s">
        <v>112</v>
      </c>
      <c r="L213">
        <v>2310041513</v>
      </c>
      <c r="M213" t="s">
        <v>98</v>
      </c>
      <c r="N213" t="s">
        <v>98</v>
      </c>
      <c r="O213" t="s">
        <v>113</v>
      </c>
      <c r="P213" t="s">
        <v>100</v>
      </c>
      <c r="Q213" t="s">
        <v>277</v>
      </c>
      <c r="R213">
        <v>327708945316</v>
      </c>
      <c r="T213" s="35">
        <v>73432475</v>
      </c>
      <c r="X213" t="s">
        <v>102</v>
      </c>
    </row>
    <row r="214" spans="1:24" x14ac:dyDescent="0.3">
      <c r="A214" s="39">
        <v>45203</v>
      </c>
      <c r="B214" t="s">
        <v>110</v>
      </c>
      <c r="C214" t="s">
        <v>479</v>
      </c>
      <c r="G214" s="42">
        <v>45203</v>
      </c>
      <c r="I214" s="35">
        <v>-3000000</v>
      </c>
      <c r="K214" t="s">
        <v>112</v>
      </c>
      <c r="L214">
        <v>2310041514</v>
      </c>
      <c r="M214" t="s">
        <v>98</v>
      </c>
      <c r="N214" t="s">
        <v>98</v>
      </c>
      <c r="O214" t="s">
        <v>113</v>
      </c>
      <c r="P214" t="s">
        <v>100</v>
      </c>
      <c r="Q214" t="s">
        <v>277</v>
      </c>
      <c r="R214">
        <v>327708949643</v>
      </c>
      <c r="T214" s="35">
        <v>70432475</v>
      </c>
      <c r="X214" t="s">
        <v>102</v>
      </c>
    </row>
    <row r="215" spans="1:24" x14ac:dyDescent="0.3">
      <c r="A215" s="39">
        <v>45209</v>
      </c>
      <c r="B215" t="s">
        <v>114</v>
      </c>
      <c r="C215" t="s">
        <v>480</v>
      </c>
      <c r="G215" s="42">
        <v>45209</v>
      </c>
      <c r="J215" s="35">
        <v>9700000</v>
      </c>
      <c r="K215" t="s">
        <v>481</v>
      </c>
      <c r="L215">
        <v>2310101230</v>
      </c>
      <c r="M215" t="s">
        <v>106</v>
      </c>
      <c r="N215" t="s">
        <v>106</v>
      </c>
      <c r="P215" t="s">
        <v>100</v>
      </c>
      <c r="R215">
        <v>970499207026</v>
      </c>
      <c r="T215" s="35">
        <v>80132475</v>
      </c>
      <c r="X215" t="s">
        <v>123</v>
      </c>
    </row>
    <row r="216" spans="1:24" x14ac:dyDescent="0.3">
      <c r="A216" s="39">
        <v>45213</v>
      </c>
      <c r="B216" t="s">
        <v>110</v>
      </c>
      <c r="C216" t="s">
        <v>482</v>
      </c>
      <c r="G216" s="42">
        <v>45213</v>
      </c>
      <c r="I216" s="35">
        <v>-3000000</v>
      </c>
      <c r="K216" t="s">
        <v>112</v>
      </c>
      <c r="L216">
        <v>2310141248</v>
      </c>
      <c r="M216" t="s">
        <v>98</v>
      </c>
      <c r="N216" t="s">
        <v>98</v>
      </c>
      <c r="O216" t="s">
        <v>113</v>
      </c>
      <c r="P216" t="s">
        <v>100</v>
      </c>
      <c r="Q216" t="s">
        <v>277</v>
      </c>
      <c r="R216">
        <v>328705751667</v>
      </c>
      <c r="T216" s="35">
        <v>77132475</v>
      </c>
      <c r="X216" t="s">
        <v>102</v>
      </c>
    </row>
    <row r="217" spans="1:24" x14ac:dyDescent="0.3">
      <c r="A217" s="39">
        <v>45213</v>
      </c>
      <c r="B217" t="s">
        <v>110</v>
      </c>
      <c r="C217" t="s">
        <v>483</v>
      </c>
      <c r="G217" s="42">
        <v>45213</v>
      </c>
      <c r="I217" s="35">
        <v>-3000000</v>
      </c>
      <c r="K217" t="s">
        <v>112</v>
      </c>
      <c r="L217">
        <v>2310141249</v>
      </c>
      <c r="M217" t="s">
        <v>98</v>
      </c>
      <c r="N217" t="s">
        <v>98</v>
      </c>
      <c r="O217" t="s">
        <v>113</v>
      </c>
      <c r="P217" t="s">
        <v>100</v>
      </c>
      <c r="Q217" t="s">
        <v>277</v>
      </c>
      <c r="R217">
        <v>328705755588</v>
      </c>
      <c r="T217" s="35">
        <v>74132475</v>
      </c>
      <c r="X217" t="s">
        <v>102</v>
      </c>
    </row>
    <row r="218" spans="1:24" x14ac:dyDescent="0.3">
      <c r="A218" s="39">
        <v>45213</v>
      </c>
      <c r="B218" t="s">
        <v>110</v>
      </c>
      <c r="C218" t="s">
        <v>484</v>
      </c>
      <c r="G218" s="42">
        <v>45213</v>
      </c>
      <c r="I218" s="35">
        <v>-3000000</v>
      </c>
      <c r="K218" t="s">
        <v>112</v>
      </c>
      <c r="L218">
        <v>2310141251</v>
      </c>
      <c r="M218" t="s">
        <v>98</v>
      </c>
      <c r="N218" t="s">
        <v>98</v>
      </c>
      <c r="O218" t="s">
        <v>113</v>
      </c>
      <c r="P218" t="s">
        <v>100</v>
      </c>
      <c r="Q218" t="s">
        <v>277</v>
      </c>
      <c r="R218">
        <v>328705759401</v>
      </c>
      <c r="T218" s="35">
        <v>71132475</v>
      </c>
      <c r="X218" t="s">
        <v>102</v>
      </c>
    </row>
    <row r="219" spans="1:24" x14ac:dyDescent="0.3">
      <c r="A219" s="39">
        <v>45220</v>
      </c>
      <c r="B219" t="s">
        <v>110</v>
      </c>
      <c r="C219" t="s">
        <v>485</v>
      </c>
      <c r="G219" s="42">
        <v>45220</v>
      </c>
      <c r="I219" s="35">
        <v>-3000000</v>
      </c>
      <c r="K219" t="s">
        <v>112</v>
      </c>
      <c r="L219">
        <v>2310210715</v>
      </c>
      <c r="M219" t="s">
        <v>98</v>
      </c>
      <c r="N219" t="s">
        <v>98</v>
      </c>
      <c r="O219" t="s">
        <v>113</v>
      </c>
      <c r="P219" t="s">
        <v>100</v>
      </c>
      <c r="Q219" t="s">
        <v>277</v>
      </c>
      <c r="R219">
        <v>329400699802</v>
      </c>
      <c r="T219" s="35">
        <v>68132475</v>
      </c>
      <c r="X219" t="s">
        <v>102</v>
      </c>
    </row>
    <row r="220" spans="1:24" x14ac:dyDescent="0.3">
      <c r="A220" s="39">
        <v>45220</v>
      </c>
      <c r="B220" t="s">
        <v>110</v>
      </c>
      <c r="C220" t="s">
        <v>486</v>
      </c>
      <c r="G220" s="42">
        <v>45220</v>
      </c>
      <c r="I220" s="35">
        <v>-3000000</v>
      </c>
      <c r="K220" t="s">
        <v>112</v>
      </c>
      <c r="L220">
        <v>2310210716</v>
      </c>
      <c r="M220" t="s">
        <v>98</v>
      </c>
      <c r="N220" t="s">
        <v>98</v>
      </c>
      <c r="O220" t="s">
        <v>113</v>
      </c>
      <c r="P220" t="s">
        <v>100</v>
      </c>
      <c r="Q220" t="s">
        <v>277</v>
      </c>
      <c r="R220">
        <v>329400699804</v>
      </c>
      <c r="T220" s="35">
        <v>65132475</v>
      </c>
      <c r="X220" t="s">
        <v>102</v>
      </c>
    </row>
    <row r="221" spans="1:24" x14ac:dyDescent="0.3">
      <c r="A221" s="39">
        <v>45220</v>
      </c>
      <c r="B221" t="s">
        <v>110</v>
      </c>
      <c r="C221" t="s">
        <v>487</v>
      </c>
      <c r="G221" s="42">
        <v>45220</v>
      </c>
      <c r="I221" s="35">
        <v>-3000000</v>
      </c>
      <c r="K221" t="s">
        <v>112</v>
      </c>
      <c r="L221">
        <v>2310210717</v>
      </c>
      <c r="M221" t="s">
        <v>98</v>
      </c>
      <c r="N221" t="s">
        <v>98</v>
      </c>
      <c r="O221" t="s">
        <v>113</v>
      </c>
      <c r="P221" t="s">
        <v>100</v>
      </c>
      <c r="Q221" t="s">
        <v>277</v>
      </c>
      <c r="R221">
        <v>329400699806</v>
      </c>
      <c r="T221" s="35">
        <v>62132475</v>
      </c>
      <c r="X221" t="s">
        <v>102</v>
      </c>
    </row>
    <row r="222" spans="1:24" x14ac:dyDescent="0.3">
      <c r="A222" s="39">
        <v>45220</v>
      </c>
      <c r="B222" t="s">
        <v>110</v>
      </c>
      <c r="C222" t="s">
        <v>488</v>
      </c>
      <c r="G222" s="42">
        <v>45220</v>
      </c>
      <c r="I222" s="35">
        <v>-3000000</v>
      </c>
      <c r="K222" t="s">
        <v>112</v>
      </c>
      <c r="L222">
        <v>2310210718</v>
      </c>
      <c r="M222" t="s">
        <v>98</v>
      </c>
      <c r="N222" t="s">
        <v>98</v>
      </c>
      <c r="O222" t="s">
        <v>113</v>
      </c>
      <c r="P222" t="s">
        <v>100</v>
      </c>
      <c r="Q222" t="s">
        <v>277</v>
      </c>
      <c r="R222">
        <v>329400699808</v>
      </c>
      <c r="T222" s="35">
        <v>59132475</v>
      </c>
      <c r="X222" t="s">
        <v>102</v>
      </c>
    </row>
    <row r="223" spans="1:24" x14ac:dyDescent="0.3">
      <c r="A223" s="39">
        <v>45220</v>
      </c>
      <c r="B223" t="s">
        <v>114</v>
      </c>
      <c r="C223" t="s">
        <v>489</v>
      </c>
      <c r="G223" s="42">
        <v>45220</v>
      </c>
      <c r="J223" s="35">
        <v>500000</v>
      </c>
      <c r="K223" t="s">
        <v>207</v>
      </c>
      <c r="L223">
        <v>2310211757</v>
      </c>
      <c r="M223" t="s">
        <v>106</v>
      </c>
      <c r="N223" t="s">
        <v>106</v>
      </c>
      <c r="O223" t="s">
        <v>208</v>
      </c>
      <c r="P223" t="s">
        <v>100</v>
      </c>
      <c r="R223" t="s">
        <v>490</v>
      </c>
      <c r="T223" s="35">
        <v>59632475</v>
      </c>
    </row>
    <row r="224" spans="1:24" x14ac:dyDescent="0.3">
      <c r="A224" s="39">
        <v>45222</v>
      </c>
      <c r="B224" t="s">
        <v>114</v>
      </c>
      <c r="C224" t="s">
        <v>491</v>
      </c>
      <c r="G224" s="42">
        <v>45222</v>
      </c>
      <c r="J224" s="35">
        <v>200000</v>
      </c>
      <c r="K224" t="s">
        <v>194</v>
      </c>
      <c r="L224">
        <v>2310221707</v>
      </c>
      <c r="M224" t="s">
        <v>106</v>
      </c>
      <c r="N224" t="s">
        <v>106</v>
      </c>
      <c r="O224" t="s">
        <v>195</v>
      </c>
      <c r="P224" t="s">
        <v>492</v>
      </c>
      <c r="R224" t="s">
        <v>493</v>
      </c>
      <c r="T224" s="35">
        <v>59832475</v>
      </c>
    </row>
    <row r="225" spans="1:24" x14ac:dyDescent="0.3">
      <c r="A225" s="39">
        <v>45231</v>
      </c>
      <c r="B225" t="s">
        <v>129</v>
      </c>
      <c r="C225" t="s">
        <v>494</v>
      </c>
      <c r="G225" s="42">
        <v>45230</v>
      </c>
      <c r="J225" s="35">
        <v>5490</v>
      </c>
      <c r="K225" t="s">
        <v>495</v>
      </c>
      <c r="L225">
        <v>2311010040</v>
      </c>
      <c r="M225" t="s">
        <v>132</v>
      </c>
      <c r="N225" t="s">
        <v>132</v>
      </c>
      <c r="T225" s="35">
        <v>59837965</v>
      </c>
    </row>
    <row r="226" spans="1:24" x14ac:dyDescent="0.3">
      <c r="A226" s="39">
        <v>45231</v>
      </c>
      <c r="B226" t="s">
        <v>114</v>
      </c>
      <c r="C226" t="s">
        <v>496</v>
      </c>
      <c r="G226" s="42">
        <v>45231</v>
      </c>
      <c r="J226" s="35">
        <v>8452257</v>
      </c>
      <c r="K226" t="s">
        <v>497</v>
      </c>
      <c r="L226">
        <v>2311011542</v>
      </c>
      <c r="M226" t="s">
        <v>71</v>
      </c>
      <c r="N226" t="s">
        <v>71</v>
      </c>
      <c r="P226" t="s">
        <v>117</v>
      </c>
      <c r="R226" t="s">
        <v>498</v>
      </c>
      <c r="T226" s="35">
        <v>68290222</v>
      </c>
    </row>
    <row r="227" spans="1:24" x14ac:dyDescent="0.3">
      <c r="A227" s="39">
        <v>45232</v>
      </c>
      <c r="B227" t="s">
        <v>110</v>
      </c>
      <c r="C227" t="s">
        <v>499</v>
      </c>
      <c r="G227" s="42">
        <v>45232</v>
      </c>
      <c r="I227" s="35">
        <v>-3000000</v>
      </c>
      <c r="K227" t="s">
        <v>112</v>
      </c>
      <c r="L227">
        <v>2311020726</v>
      </c>
      <c r="M227" t="s">
        <v>98</v>
      </c>
      <c r="N227" t="s">
        <v>98</v>
      </c>
      <c r="O227" t="s">
        <v>113</v>
      </c>
      <c r="P227" t="s">
        <v>100</v>
      </c>
      <c r="Q227" t="s">
        <v>277</v>
      </c>
      <c r="R227">
        <v>330600705625</v>
      </c>
      <c r="T227" s="35">
        <v>65290222</v>
      </c>
      <c r="X227" t="s">
        <v>102</v>
      </c>
    </row>
    <row r="228" spans="1:24" x14ac:dyDescent="0.3">
      <c r="A228" s="39">
        <v>45232</v>
      </c>
      <c r="B228" t="s">
        <v>110</v>
      </c>
      <c r="C228" t="s">
        <v>500</v>
      </c>
      <c r="G228" s="42">
        <v>45232</v>
      </c>
      <c r="I228" s="35">
        <v>-3000000</v>
      </c>
      <c r="K228" t="s">
        <v>112</v>
      </c>
      <c r="L228">
        <v>2311020727</v>
      </c>
      <c r="M228" t="s">
        <v>98</v>
      </c>
      <c r="N228" t="s">
        <v>98</v>
      </c>
      <c r="O228" t="s">
        <v>113</v>
      </c>
      <c r="P228" t="s">
        <v>100</v>
      </c>
      <c r="Q228" t="s">
        <v>277</v>
      </c>
      <c r="R228">
        <v>330600705627</v>
      </c>
      <c r="T228" s="35">
        <v>62290222</v>
      </c>
      <c r="X228" t="s">
        <v>102</v>
      </c>
    </row>
    <row r="229" spans="1:24" x14ac:dyDescent="0.3">
      <c r="A229" s="39">
        <v>45232</v>
      </c>
      <c r="B229" t="s">
        <v>110</v>
      </c>
      <c r="C229" t="s">
        <v>501</v>
      </c>
      <c r="G229" s="42">
        <v>45232</v>
      </c>
      <c r="I229" s="35">
        <v>-3000000</v>
      </c>
      <c r="K229" t="s">
        <v>112</v>
      </c>
      <c r="L229">
        <v>2311020728</v>
      </c>
      <c r="M229" t="s">
        <v>98</v>
      </c>
      <c r="N229" t="s">
        <v>98</v>
      </c>
      <c r="O229" t="s">
        <v>113</v>
      </c>
      <c r="P229" t="s">
        <v>100</v>
      </c>
      <c r="Q229" t="s">
        <v>277</v>
      </c>
      <c r="R229">
        <v>330600705629</v>
      </c>
      <c r="T229" s="35">
        <v>59290222</v>
      </c>
      <c r="X229" t="s">
        <v>102</v>
      </c>
    </row>
    <row r="230" spans="1:24" x14ac:dyDescent="0.3">
      <c r="A230" s="39">
        <v>45232</v>
      </c>
      <c r="B230" t="s">
        <v>110</v>
      </c>
      <c r="C230" t="s">
        <v>502</v>
      </c>
      <c r="G230" s="42">
        <v>45232</v>
      </c>
      <c r="I230" s="35">
        <v>-3000000</v>
      </c>
      <c r="K230" t="s">
        <v>112</v>
      </c>
      <c r="L230">
        <v>2311020729</v>
      </c>
      <c r="M230" t="s">
        <v>98</v>
      </c>
      <c r="N230" t="s">
        <v>98</v>
      </c>
      <c r="O230" t="s">
        <v>113</v>
      </c>
      <c r="P230" t="s">
        <v>100</v>
      </c>
      <c r="Q230" t="s">
        <v>277</v>
      </c>
      <c r="R230">
        <v>330600705631</v>
      </c>
      <c r="T230" s="35">
        <v>56290222</v>
      </c>
      <c r="X230" t="s">
        <v>102</v>
      </c>
    </row>
    <row r="231" spans="1:24" x14ac:dyDescent="0.3">
      <c r="A231" s="39">
        <v>45236</v>
      </c>
      <c r="B231" t="s">
        <v>114</v>
      </c>
      <c r="C231" t="s">
        <v>503</v>
      </c>
      <c r="G231" s="42">
        <v>45236</v>
      </c>
      <c r="I231" s="35">
        <v>-15000000</v>
      </c>
      <c r="K231" t="s">
        <v>120</v>
      </c>
      <c r="L231">
        <v>2311051600</v>
      </c>
      <c r="M231" t="s">
        <v>106</v>
      </c>
      <c r="N231" t="s">
        <v>106</v>
      </c>
      <c r="O231" t="s">
        <v>113</v>
      </c>
      <c r="P231" t="s">
        <v>100</v>
      </c>
      <c r="R231" t="s">
        <v>504</v>
      </c>
      <c r="T231" s="35">
        <v>41290222</v>
      </c>
      <c r="X231" t="s">
        <v>123</v>
      </c>
    </row>
    <row r="232" spans="1:24" x14ac:dyDescent="0.3">
      <c r="A232" s="39">
        <v>45236</v>
      </c>
      <c r="B232" t="s">
        <v>114</v>
      </c>
      <c r="C232" t="s">
        <v>505</v>
      </c>
      <c r="G232" s="42">
        <v>45236</v>
      </c>
      <c r="I232" s="35">
        <v>-50000</v>
      </c>
      <c r="K232" t="s">
        <v>120</v>
      </c>
      <c r="L232">
        <v>2311051602</v>
      </c>
      <c r="M232" t="s">
        <v>106</v>
      </c>
      <c r="N232" t="s">
        <v>106</v>
      </c>
      <c r="O232" t="s">
        <v>113</v>
      </c>
      <c r="P232" t="s">
        <v>100</v>
      </c>
      <c r="R232" t="s">
        <v>506</v>
      </c>
      <c r="T232" s="35">
        <v>41240222</v>
      </c>
      <c r="X232" t="s">
        <v>123</v>
      </c>
    </row>
    <row r="233" spans="1:24" x14ac:dyDescent="0.3">
      <c r="A233" s="39">
        <v>45239</v>
      </c>
      <c r="B233" t="s">
        <v>114</v>
      </c>
      <c r="C233" t="s">
        <v>507</v>
      </c>
      <c r="G233" s="42">
        <v>45239</v>
      </c>
      <c r="J233" s="35">
        <v>6400000</v>
      </c>
      <c r="K233" t="s">
        <v>508</v>
      </c>
      <c r="L233">
        <v>2311092015</v>
      </c>
      <c r="M233" t="s">
        <v>106</v>
      </c>
      <c r="N233" t="s">
        <v>106</v>
      </c>
      <c r="P233" t="s">
        <v>100</v>
      </c>
      <c r="R233">
        <v>970499753559</v>
      </c>
      <c r="T233" s="35">
        <v>47640222</v>
      </c>
      <c r="X233" t="s">
        <v>123</v>
      </c>
    </row>
    <row r="234" spans="1:24" x14ac:dyDescent="0.3">
      <c r="A234" s="39">
        <v>45243</v>
      </c>
      <c r="B234" t="s">
        <v>114</v>
      </c>
      <c r="C234" t="s">
        <v>509</v>
      </c>
      <c r="G234" s="42">
        <v>45243</v>
      </c>
      <c r="J234" s="35">
        <v>20000000</v>
      </c>
      <c r="K234" t="s">
        <v>510</v>
      </c>
      <c r="L234">
        <v>2311121627</v>
      </c>
      <c r="M234" t="s">
        <v>106</v>
      </c>
      <c r="N234" t="s">
        <v>106</v>
      </c>
      <c r="P234" t="s">
        <v>100</v>
      </c>
      <c r="R234">
        <v>180906804305</v>
      </c>
      <c r="T234" s="35">
        <v>67640222</v>
      </c>
      <c r="X234" t="s">
        <v>123</v>
      </c>
    </row>
    <row r="235" spans="1:24" x14ac:dyDescent="0.3">
      <c r="A235" s="39">
        <v>45252</v>
      </c>
      <c r="B235" t="s">
        <v>110</v>
      </c>
      <c r="C235" t="s">
        <v>511</v>
      </c>
      <c r="G235" s="42">
        <v>45252</v>
      </c>
      <c r="I235" s="35">
        <v>-3000000</v>
      </c>
      <c r="K235" t="s">
        <v>112</v>
      </c>
      <c r="L235">
        <v>2311220716</v>
      </c>
      <c r="M235" t="s">
        <v>98</v>
      </c>
      <c r="N235" t="s">
        <v>98</v>
      </c>
      <c r="O235" t="s">
        <v>113</v>
      </c>
      <c r="P235" t="s">
        <v>100</v>
      </c>
      <c r="Q235" t="s">
        <v>277</v>
      </c>
      <c r="R235">
        <v>332600714491</v>
      </c>
      <c r="T235" s="35">
        <v>64640222</v>
      </c>
      <c r="X235" t="s">
        <v>102</v>
      </c>
    </row>
    <row r="236" spans="1:24" x14ac:dyDescent="0.3">
      <c r="A236" s="39">
        <v>45252</v>
      </c>
      <c r="B236" t="s">
        <v>110</v>
      </c>
      <c r="C236" t="s">
        <v>512</v>
      </c>
      <c r="G236" s="42">
        <v>45252</v>
      </c>
      <c r="I236" s="35">
        <v>-3000000</v>
      </c>
      <c r="K236" t="s">
        <v>112</v>
      </c>
      <c r="L236">
        <v>2311220717</v>
      </c>
      <c r="M236" t="s">
        <v>98</v>
      </c>
      <c r="N236" t="s">
        <v>98</v>
      </c>
      <c r="O236" t="s">
        <v>113</v>
      </c>
      <c r="P236" t="s">
        <v>100</v>
      </c>
      <c r="Q236" t="s">
        <v>277</v>
      </c>
      <c r="R236">
        <v>332600714493</v>
      </c>
      <c r="T236" s="35">
        <v>61640222</v>
      </c>
      <c r="X236" t="s">
        <v>102</v>
      </c>
    </row>
    <row r="237" spans="1:24" x14ac:dyDescent="0.3">
      <c r="A237" s="39">
        <v>45252</v>
      </c>
      <c r="B237" t="s">
        <v>110</v>
      </c>
      <c r="C237" t="s">
        <v>513</v>
      </c>
      <c r="G237" s="42">
        <v>45252</v>
      </c>
      <c r="I237" s="35">
        <v>-3000000</v>
      </c>
      <c r="K237" t="s">
        <v>112</v>
      </c>
      <c r="L237">
        <v>2311220718</v>
      </c>
      <c r="M237" t="s">
        <v>98</v>
      </c>
      <c r="N237" t="s">
        <v>98</v>
      </c>
      <c r="O237" t="s">
        <v>113</v>
      </c>
      <c r="P237" t="s">
        <v>100</v>
      </c>
      <c r="Q237" t="s">
        <v>277</v>
      </c>
      <c r="R237">
        <v>332600714495</v>
      </c>
      <c r="T237" s="35">
        <v>58640222</v>
      </c>
      <c r="X237" t="s">
        <v>102</v>
      </c>
    </row>
    <row r="238" spans="1:24" x14ac:dyDescent="0.3">
      <c r="A238" s="39">
        <v>45252</v>
      </c>
      <c r="B238" t="s">
        <v>110</v>
      </c>
      <c r="C238" t="s">
        <v>514</v>
      </c>
      <c r="G238" s="42">
        <v>45252</v>
      </c>
      <c r="I238" s="35">
        <v>-3000000</v>
      </c>
      <c r="K238" t="s">
        <v>112</v>
      </c>
      <c r="L238">
        <v>2311220718</v>
      </c>
      <c r="M238" t="s">
        <v>98</v>
      </c>
      <c r="N238" t="s">
        <v>98</v>
      </c>
      <c r="O238" t="s">
        <v>113</v>
      </c>
      <c r="P238" t="s">
        <v>100</v>
      </c>
      <c r="Q238" t="s">
        <v>277</v>
      </c>
      <c r="R238">
        <v>332600714497</v>
      </c>
      <c r="T238" s="35">
        <v>55640222</v>
      </c>
      <c r="X238" t="s">
        <v>102</v>
      </c>
    </row>
    <row r="239" spans="1:24" x14ac:dyDescent="0.3">
      <c r="A239" s="39">
        <v>45261</v>
      </c>
      <c r="B239" t="s">
        <v>129</v>
      </c>
      <c r="C239" t="s">
        <v>515</v>
      </c>
      <c r="G239" s="42">
        <v>45260</v>
      </c>
      <c r="J239" s="35">
        <v>4704</v>
      </c>
      <c r="K239" t="s">
        <v>516</v>
      </c>
      <c r="L239">
        <v>2312010116</v>
      </c>
      <c r="M239" t="s">
        <v>132</v>
      </c>
      <c r="N239" t="s">
        <v>132</v>
      </c>
      <c r="T239" s="35">
        <v>55644926</v>
      </c>
    </row>
    <row r="240" spans="1:24" x14ac:dyDescent="0.3">
      <c r="A240" s="39">
        <v>45264</v>
      </c>
      <c r="B240" t="s">
        <v>114</v>
      </c>
      <c r="C240" t="s">
        <v>517</v>
      </c>
      <c r="G240" s="42">
        <v>45264</v>
      </c>
      <c r="I240" s="35">
        <v>-15000000</v>
      </c>
      <c r="K240" t="s">
        <v>120</v>
      </c>
      <c r="L240">
        <v>2312031819</v>
      </c>
      <c r="M240" t="s">
        <v>106</v>
      </c>
      <c r="N240" t="s">
        <v>106</v>
      </c>
      <c r="O240" t="s">
        <v>113</v>
      </c>
      <c r="P240" t="s">
        <v>100</v>
      </c>
      <c r="R240" t="s">
        <v>518</v>
      </c>
      <c r="T240" s="35">
        <v>40644926</v>
      </c>
      <c r="X240" t="s">
        <v>123</v>
      </c>
    </row>
    <row r="241" spans="1:24" x14ac:dyDescent="0.3">
      <c r="A241" s="39">
        <v>45264</v>
      </c>
      <c r="B241" t="s">
        <v>114</v>
      </c>
      <c r="C241" t="s">
        <v>519</v>
      </c>
      <c r="G241" s="42">
        <v>45264</v>
      </c>
      <c r="I241" s="35">
        <v>-50000</v>
      </c>
      <c r="K241" t="s">
        <v>120</v>
      </c>
      <c r="L241">
        <v>2312031820</v>
      </c>
      <c r="M241" t="s">
        <v>106</v>
      </c>
      <c r="N241" t="s">
        <v>106</v>
      </c>
      <c r="O241" t="s">
        <v>113</v>
      </c>
      <c r="P241" t="s">
        <v>100</v>
      </c>
      <c r="R241" t="s">
        <v>520</v>
      </c>
      <c r="T241" s="35">
        <v>40594926</v>
      </c>
      <c r="X241" t="s">
        <v>123</v>
      </c>
    </row>
    <row r="242" spans="1:24" x14ac:dyDescent="0.3">
      <c r="A242" s="39">
        <v>45264</v>
      </c>
      <c r="B242" t="s">
        <v>110</v>
      </c>
      <c r="C242" t="s">
        <v>521</v>
      </c>
      <c r="G242" s="42">
        <v>45264</v>
      </c>
      <c r="I242" s="35">
        <v>-3000000</v>
      </c>
      <c r="K242" t="s">
        <v>112</v>
      </c>
      <c r="L242">
        <v>2312040714</v>
      </c>
      <c r="M242" t="s">
        <v>98</v>
      </c>
      <c r="N242" t="s">
        <v>98</v>
      </c>
      <c r="O242" t="s">
        <v>113</v>
      </c>
      <c r="P242" t="s">
        <v>100</v>
      </c>
      <c r="Q242" t="s">
        <v>277</v>
      </c>
      <c r="R242">
        <v>333800718029</v>
      </c>
      <c r="T242" s="35">
        <v>37594926</v>
      </c>
      <c r="X242" t="s">
        <v>102</v>
      </c>
    </row>
    <row r="243" spans="1:24" x14ac:dyDescent="0.3">
      <c r="A243" s="39">
        <v>45264</v>
      </c>
      <c r="B243" t="s">
        <v>110</v>
      </c>
      <c r="C243" t="s">
        <v>522</v>
      </c>
      <c r="G243" s="42">
        <v>45264</v>
      </c>
      <c r="I243" s="35">
        <v>-3000000</v>
      </c>
      <c r="K243" t="s">
        <v>112</v>
      </c>
      <c r="L243">
        <v>2312040714</v>
      </c>
      <c r="M243" t="s">
        <v>98</v>
      </c>
      <c r="N243" t="s">
        <v>98</v>
      </c>
      <c r="O243" t="s">
        <v>113</v>
      </c>
      <c r="P243" t="s">
        <v>100</v>
      </c>
      <c r="Q243" t="s">
        <v>277</v>
      </c>
      <c r="R243">
        <v>333800718031</v>
      </c>
      <c r="T243" s="35">
        <v>34594926</v>
      </c>
      <c r="X243" t="s">
        <v>102</v>
      </c>
    </row>
    <row r="244" spans="1:24" x14ac:dyDescent="0.3">
      <c r="A244" s="39">
        <v>45264</v>
      </c>
      <c r="B244" t="s">
        <v>110</v>
      </c>
      <c r="C244" t="s">
        <v>523</v>
      </c>
      <c r="G244" s="42">
        <v>45264</v>
      </c>
      <c r="I244" s="35">
        <v>-3000000</v>
      </c>
      <c r="K244" t="s">
        <v>112</v>
      </c>
      <c r="L244">
        <v>2312040715</v>
      </c>
      <c r="M244" t="s">
        <v>98</v>
      </c>
      <c r="N244" t="s">
        <v>98</v>
      </c>
      <c r="O244" t="s">
        <v>113</v>
      </c>
      <c r="P244" t="s">
        <v>100</v>
      </c>
      <c r="Q244" t="s">
        <v>277</v>
      </c>
      <c r="R244">
        <v>333800718033</v>
      </c>
      <c r="T244" s="35">
        <v>31594926</v>
      </c>
      <c r="X244" t="s">
        <v>102</v>
      </c>
    </row>
    <row r="245" spans="1:24" x14ac:dyDescent="0.3">
      <c r="A245" s="39">
        <v>45264</v>
      </c>
      <c r="B245" t="s">
        <v>110</v>
      </c>
      <c r="C245" t="s">
        <v>524</v>
      </c>
      <c r="G245" s="42">
        <v>45264</v>
      </c>
      <c r="I245" s="35">
        <v>-3000000</v>
      </c>
      <c r="K245" t="s">
        <v>112</v>
      </c>
      <c r="L245">
        <v>2312040716</v>
      </c>
      <c r="M245" t="s">
        <v>98</v>
      </c>
      <c r="N245" t="s">
        <v>98</v>
      </c>
      <c r="O245" t="s">
        <v>113</v>
      </c>
      <c r="P245" t="s">
        <v>100</v>
      </c>
      <c r="Q245" t="s">
        <v>277</v>
      </c>
      <c r="R245">
        <v>333800718035</v>
      </c>
      <c r="T245" s="35">
        <v>28594926</v>
      </c>
      <c r="X245" t="s">
        <v>102</v>
      </c>
    </row>
    <row r="246" spans="1:24" x14ac:dyDescent="0.3">
      <c r="A246" s="39">
        <v>45264</v>
      </c>
      <c r="B246" t="s">
        <v>114</v>
      </c>
      <c r="C246" t="s">
        <v>525</v>
      </c>
      <c r="G246" s="42">
        <v>45264</v>
      </c>
      <c r="J246" s="35">
        <v>8071510</v>
      </c>
      <c r="K246" t="s">
        <v>526</v>
      </c>
      <c r="L246">
        <v>2312041123</v>
      </c>
      <c r="M246" t="s">
        <v>71</v>
      </c>
      <c r="N246" t="s">
        <v>71</v>
      </c>
      <c r="P246" t="s">
        <v>117</v>
      </c>
      <c r="R246" t="s">
        <v>527</v>
      </c>
      <c r="T246" s="35">
        <v>36666436</v>
      </c>
    </row>
    <row r="247" spans="1:24" x14ac:dyDescent="0.3">
      <c r="A247" s="39">
        <v>45268</v>
      </c>
      <c r="B247" t="s">
        <v>114</v>
      </c>
      <c r="C247" t="s">
        <v>528</v>
      </c>
      <c r="G247" s="42">
        <v>45268</v>
      </c>
      <c r="J247" s="35">
        <v>7300000</v>
      </c>
      <c r="K247" t="s">
        <v>529</v>
      </c>
      <c r="L247">
        <v>2312081641</v>
      </c>
      <c r="M247" t="s">
        <v>106</v>
      </c>
      <c r="N247" t="s">
        <v>106</v>
      </c>
      <c r="P247" t="s">
        <v>100</v>
      </c>
      <c r="R247">
        <v>970499878202</v>
      </c>
      <c r="T247" s="35">
        <v>43966436</v>
      </c>
      <c r="X247" t="s">
        <v>123</v>
      </c>
    </row>
    <row r="248" spans="1:24" x14ac:dyDescent="0.3">
      <c r="A248" s="39">
        <v>45269</v>
      </c>
      <c r="B248" t="s">
        <v>114</v>
      </c>
      <c r="C248" t="s">
        <v>530</v>
      </c>
      <c r="G248" s="42">
        <v>45269</v>
      </c>
      <c r="I248" s="35">
        <v>-100000</v>
      </c>
      <c r="K248" t="s">
        <v>120</v>
      </c>
      <c r="L248">
        <v>2312091741</v>
      </c>
      <c r="M248" t="s">
        <v>106</v>
      </c>
      <c r="N248" t="s">
        <v>106</v>
      </c>
      <c r="O248" t="s">
        <v>113</v>
      </c>
      <c r="P248" t="s">
        <v>100</v>
      </c>
      <c r="R248" t="s">
        <v>531</v>
      </c>
      <c r="T248" s="35">
        <v>43866436</v>
      </c>
      <c r="X248" t="s">
        <v>123</v>
      </c>
    </row>
    <row r="249" spans="1:24" x14ac:dyDescent="0.3">
      <c r="A249" s="39">
        <v>45278</v>
      </c>
      <c r="B249" t="s">
        <v>110</v>
      </c>
      <c r="C249" t="s">
        <v>532</v>
      </c>
      <c r="G249" s="42">
        <v>45278</v>
      </c>
      <c r="I249" s="35">
        <v>-3000000</v>
      </c>
      <c r="K249" t="s">
        <v>112</v>
      </c>
      <c r="L249">
        <v>2312171118</v>
      </c>
      <c r="M249" t="s">
        <v>98</v>
      </c>
      <c r="N249" t="s">
        <v>98</v>
      </c>
      <c r="O249" t="s">
        <v>113</v>
      </c>
      <c r="P249" t="s">
        <v>100</v>
      </c>
      <c r="Q249" t="s">
        <v>277</v>
      </c>
      <c r="R249">
        <v>335104427401</v>
      </c>
      <c r="T249" s="35">
        <v>40866436</v>
      </c>
      <c r="X249" t="s">
        <v>102</v>
      </c>
    </row>
    <row r="250" spans="1:24" x14ac:dyDescent="0.3">
      <c r="A250" s="39">
        <v>45278</v>
      </c>
      <c r="B250" t="s">
        <v>110</v>
      </c>
      <c r="C250" t="s">
        <v>533</v>
      </c>
      <c r="G250" s="42">
        <v>45278</v>
      </c>
      <c r="I250" s="35">
        <v>-3000000</v>
      </c>
      <c r="K250" t="s">
        <v>112</v>
      </c>
      <c r="L250">
        <v>2312171119</v>
      </c>
      <c r="M250" t="s">
        <v>98</v>
      </c>
      <c r="N250" t="s">
        <v>98</v>
      </c>
      <c r="O250" t="s">
        <v>113</v>
      </c>
      <c r="P250" t="s">
        <v>100</v>
      </c>
      <c r="Q250" t="s">
        <v>277</v>
      </c>
      <c r="R250">
        <v>335104428509</v>
      </c>
      <c r="T250" s="35">
        <v>37866436</v>
      </c>
      <c r="X250" t="s">
        <v>102</v>
      </c>
    </row>
    <row r="251" spans="1:24" x14ac:dyDescent="0.3">
      <c r="A251" s="39">
        <v>45286</v>
      </c>
      <c r="B251" t="s">
        <v>110</v>
      </c>
      <c r="C251" t="s">
        <v>534</v>
      </c>
      <c r="G251" s="42">
        <v>45286</v>
      </c>
      <c r="I251" s="35">
        <v>-3000000</v>
      </c>
      <c r="K251" t="s">
        <v>112</v>
      </c>
      <c r="L251">
        <v>2312260719</v>
      </c>
      <c r="M251" t="s">
        <v>98</v>
      </c>
      <c r="N251" t="s">
        <v>98</v>
      </c>
      <c r="O251" t="s">
        <v>113</v>
      </c>
      <c r="P251" t="s">
        <v>100</v>
      </c>
      <c r="Q251" t="s">
        <v>277</v>
      </c>
      <c r="R251">
        <v>336000723753</v>
      </c>
      <c r="T251" s="35">
        <v>34866436</v>
      </c>
      <c r="X251" t="s">
        <v>102</v>
      </c>
    </row>
    <row r="252" spans="1:24" x14ac:dyDescent="0.3">
      <c r="A252" s="39">
        <v>45286</v>
      </c>
      <c r="B252" t="s">
        <v>110</v>
      </c>
      <c r="C252" t="s">
        <v>535</v>
      </c>
      <c r="G252" s="42">
        <v>45286</v>
      </c>
      <c r="I252" s="35">
        <v>-3000000</v>
      </c>
      <c r="K252" t="s">
        <v>112</v>
      </c>
      <c r="L252">
        <v>2312260720</v>
      </c>
      <c r="M252" t="s">
        <v>98</v>
      </c>
      <c r="N252" t="s">
        <v>98</v>
      </c>
      <c r="O252" t="s">
        <v>113</v>
      </c>
      <c r="P252" t="s">
        <v>100</v>
      </c>
      <c r="Q252" t="s">
        <v>277</v>
      </c>
      <c r="R252">
        <v>336000426338</v>
      </c>
      <c r="T252" s="35">
        <v>31866436</v>
      </c>
      <c r="X252" t="s">
        <v>102</v>
      </c>
    </row>
    <row r="253" spans="1:24" x14ac:dyDescent="0.3">
      <c r="A253" s="39">
        <v>45291</v>
      </c>
      <c r="B253" t="s">
        <v>110</v>
      </c>
      <c r="C253" t="s">
        <v>536</v>
      </c>
      <c r="G253" s="42">
        <v>45291</v>
      </c>
      <c r="I253" s="35">
        <v>-3000000</v>
      </c>
      <c r="K253" t="s">
        <v>112</v>
      </c>
      <c r="L253">
        <v>2312311924</v>
      </c>
      <c r="M253" t="s">
        <v>98</v>
      </c>
      <c r="N253" t="s">
        <v>98</v>
      </c>
      <c r="O253" t="s">
        <v>113</v>
      </c>
      <c r="P253" t="s">
        <v>100</v>
      </c>
      <c r="Q253" t="s">
        <v>277</v>
      </c>
      <c r="R253">
        <v>336512022736</v>
      </c>
      <c r="T253" s="35">
        <v>28866436</v>
      </c>
      <c r="X253" t="s">
        <v>102</v>
      </c>
    </row>
    <row r="254" spans="1:24" x14ac:dyDescent="0.3">
      <c r="A254" s="39">
        <v>45291</v>
      </c>
      <c r="B254" t="s">
        <v>110</v>
      </c>
      <c r="C254" t="s">
        <v>537</v>
      </c>
      <c r="G254" s="42">
        <v>45291</v>
      </c>
      <c r="I254" s="35">
        <v>-3000000</v>
      </c>
      <c r="K254" t="s">
        <v>112</v>
      </c>
      <c r="L254">
        <v>2312311926</v>
      </c>
      <c r="M254" t="s">
        <v>98</v>
      </c>
      <c r="N254" t="s">
        <v>98</v>
      </c>
      <c r="O254" t="s">
        <v>113</v>
      </c>
      <c r="P254" t="s">
        <v>100</v>
      </c>
      <c r="Q254" t="s">
        <v>277</v>
      </c>
      <c r="R254">
        <v>336512025897</v>
      </c>
      <c r="T254" s="35">
        <v>25866436</v>
      </c>
      <c r="X254" t="s">
        <v>102</v>
      </c>
    </row>
    <row r="255" spans="1:24" x14ac:dyDescent="0.3">
      <c r="A255" s="39">
        <v>45292</v>
      </c>
      <c r="B255" t="s">
        <v>129</v>
      </c>
      <c r="C255" t="s">
        <v>538</v>
      </c>
      <c r="G255" s="42">
        <v>45291</v>
      </c>
      <c r="J255" s="35">
        <v>3398</v>
      </c>
      <c r="K255" t="s">
        <v>539</v>
      </c>
      <c r="L255">
        <v>2401010355</v>
      </c>
      <c r="M255" t="s">
        <v>132</v>
      </c>
      <c r="N255" t="s">
        <v>132</v>
      </c>
      <c r="T255" s="35">
        <v>25869834</v>
      </c>
    </row>
    <row r="256" spans="1:24" x14ac:dyDescent="0.3">
      <c r="A256" s="39">
        <v>45295</v>
      </c>
      <c r="B256" t="s">
        <v>114</v>
      </c>
      <c r="C256" t="s">
        <v>540</v>
      </c>
      <c r="G256" s="42">
        <v>45295</v>
      </c>
      <c r="J256" s="35">
        <v>7959607</v>
      </c>
      <c r="K256" t="s">
        <v>541</v>
      </c>
      <c r="L256">
        <v>2401041041</v>
      </c>
      <c r="M256" t="s">
        <v>71</v>
      </c>
      <c r="N256" t="s">
        <v>71</v>
      </c>
      <c r="P256" t="s">
        <v>117</v>
      </c>
      <c r="R256" t="s">
        <v>542</v>
      </c>
      <c r="T256" s="35">
        <v>33829441</v>
      </c>
    </row>
    <row r="257" spans="1:24" x14ac:dyDescent="0.3">
      <c r="A257" s="39">
        <v>45295</v>
      </c>
      <c r="B257" t="s">
        <v>110</v>
      </c>
      <c r="C257" t="s">
        <v>543</v>
      </c>
      <c r="G257" s="42">
        <v>45295</v>
      </c>
      <c r="I257" s="35">
        <v>-3000000</v>
      </c>
      <c r="K257" t="s">
        <v>112</v>
      </c>
      <c r="L257">
        <v>2401041049</v>
      </c>
      <c r="M257" t="s">
        <v>98</v>
      </c>
      <c r="N257" t="s">
        <v>98</v>
      </c>
      <c r="O257" t="s">
        <v>113</v>
      </c>
      <c r="P257" t="s">
        <v>100</v>
      </c>
      <c r="Q257" t="s">
        <v>277</v>
      </c>
      <c r="R257">
        <v>400400726297</v>
      </c>
      <c r="T257" s="35">
        <v>30829441</v>
      </c>
      <c r="X257" t="s">
        <v>102</v>
      </c>
    </row>
    <row r="258" spans="1:24" x14ac:dyDescent="0.3">
      <c r="A258" s="39">
        <v>45295</v>
      </c>
      <c r="B258" t="s">
        <v>110</v>
      </c>
      <c r="C258" t="s">
        <v>544</v>
      </c>
      <c r="G258" s="42">
        <v>45295</v>
      </c>
      <c r="I258" s="35">
        <v>-3000000</v>
      </c>
      <c r="K258" t="s">
        <v>112</v>
      </c>
      <c r="L258">
        <v>2401041050</v>
      </c>
      <c r="M258" t="s">
        <v>98</v>
      </c>
      <c r="N258" t="s">
        <v>98</v>
      </c>
      <c r="O258" t="s">
        <v>113</v>
      </c>
      <c r="P258" t="s">
        <v>100</v>
      </c>
      <c r="Q258" t="s">
        <v>277</v>
      </c>
      <c r="R258">
        <v>400400726299</v>
      </c>
      <c r="T258" s="35">
        <v>27829441</v>
      </c>
      <c r="X258" t="s">
        <v>102</v>
      </c>
    </row>
    <row r="259" spans="1:24" x14ac:dyDescent="0.3">
      <c r="A259" s="39">
        <v>45295</v>
      </c>
      <c r="B259" t="s">
        <v>110</v>
      </c>
      <c r="C259" t="s">
        <v>545</v>
      </c>
      <c r="G259" s="42">
        <v>45295</v>
      </c>
      <c r="I259" s="35">
        <v>-3000000</v>
      </c>
      <c r="K259" t="s">
        <v>112</v>
      </c>
      <c r="L259">
        <v>2401041051</v>
      </c>
      <c r="M259" t="s">
        <v>98</v>
      </c>
      <c r="N259" t="s">
        <v>98</v>
      </c>
      <c r="O259" t="s">
        <v>113</v>
      </c>
      <c r="P259" t="s">
        <v>100</v>
      </c>
      <c r="Q259" t="s">
        <v>277</v>
      </c>
      <c r="R259">
        <v>400400726301</v>
      </c>
      <c r="T259" s="35">
        <v>24829441</v>
      </c>
      <c r="X259" t="s">
        <v>102</v>
      </c>
    </row>
    <row r="260" spans="1:24" x14ac:dyDescent="0.3">
      <c r="A260" s="39">
        <v>45295</v>
      </c>
      <c r="B260" t="s">
        <v>110</v>
      </c>
      <c r="C260" t="s">
        <v>546</v>
      </c>
      <c r="G260" s="42">
        <v>45295</v>
      </c>
      <c r="I260" s="35">
        <v>-3000000</v>
      </c>
      <c r="K260" t="s">
        <v>112</v>
      </c>
      <c r="L260">
        <v>2401041052</v>
      </c>
      <c r="M260" t="s">
        <v>98</v>
      </c>
      <c r="N260" t="s">
        <v>98</v>
      </c>
      <c r="O260" t="s">
        <v>113</v>
      </c>
      <c r="P260" t="s">
        <v>100</v>
      </c>
      <c r="Q260" t="s">
        <v>277</v>
      </c>
      <c r="R260">
        <v>400400726303</v>
      </c>
      <c r="T260" s="35">
        <v>21829441</v>
      </c>
      <c r="X260" t="s">
        <v>102</v>
      </c>
    </row>
    <row r="261" spans="1:24" x14ac:dyDescent="0.3">
      <c r="A261" s="39">
        <v>45301</v>
      </c>
      <c r="B261" t="s">
        <v>114</v>
      </c>
      <c r="C261" t="s">
        <v>547</v>
      </c>
      <c r="G261" s="42">
        <v>45301</v>
      </c>
      <c r="J261" s="35">
        <v>10500000</v>
      </c>
      <c r="K261" t="s">
        <v>548</v>
      </c>
      <c r="L261">
        <v>2401101150</v>
      </c>
      <c r="M261" t="s">
        <v>106</v>
      </c>
      <c r="N261" t="s">
        <v>106</v>
      </c>
      <c r="P261" t="s">
        <v>100</v>
      </c>
      <c r="R261">
        <v>970499286132</v>
      </c>
      <c r="T261" s="35">
        <v>32329441</v>
      </c>
      <c r="X261" t="s">
        <v>123</v>
      </c>
    </row>
    <row r="262" spans="1:24" x14ac:dyDescent="0.3">
      <c r="A262" s="39">
        <v>45303</v>
      </c>
      <c r="B262" t="s">
        <v>110</v>
      </c>
      <c r="C262" t="s">
        <v>549</v>
      </c>
      <c r="G262" s="42">
        <v>45303</v>
      </c>
      <c r="I262" s="35">
        <v>-3000000</v>
      </c>
      <c r="K262" t="s">
        <v>112</v>
      </c>
      <c r="L262">
        <v>2401121750</v>
      </c>
      <c r="M262" t="s">
        <v>98</v>
      </c>
      <c r="N262" t="s">
        <v>98</v>
      </c>
      <c r="O262" t="s">
        <v>113</v>
      </c>
      <c r="P262" t="s">
        <v>100</v>
      </c>
      <c r="Q262" t="s">
        <v>277</v>
      </c>
      <c r="R262">
        <v>401210738277</v>
      </c>
      <c r="T262" s="35">
        <v>29329441</v>
      </c>
      <c r="X262" t="s">
        <v>102</v>
      </c>
    </row>
    <row r="263" spans="1:24" x14ac:dyDescent="0.3">
      <c r="A263" s="39">
        <v>45303</v>
      </c>
      <c r="B263" t="s">
        <v>110</v>
      </c>
      <c r="C263" t="s">
        <v>550</v>
      </c>
      <c r="G263" s="42">
        <v>45303</v>
      </c>
      <c r="I263" s="35">
        <v>-3000000</v>
      </c>
      <c r="K263" t="s">
        <v>112</v>
      </c>
      <c r="L263">
        <v>2401121751</v>
      </c>
      <c r="M263" t="s">
        <v>98</v>
      </c>
      <c r="N263" t="s">
        <v>98</v>
      </c>
      <c r="O263" t="s">
        <v>113</v>
      </c>
      <c r="P263" t="s">
        <v>100</v>
      </c>
      <c r="Q263" t="s">
        <v>277</v>
      </c>
      <c r="R263">
        <v>401210739856</v>
      </c>
      <c r="T263" s="35">
        <v>26329441</v>
      </c>
      <c r="X263" t="s">
        <v>102</v>
      </c>
    </row>
    <row r="264" spans="1:24" x14ac:dyDescent="0.3">
      <c r="A264" s="39">
        <v>45303</v>
      </c>
      <c r="B264" t="s">
        <v>110</v>
      </c>
      <c r="C264" t="s">
        <v>551</v>
      </c>
      <c r="G264" s="42">
        <v>45303</v>
      </c>
      <c r="I264" s="35">
        <v>-3000000</v>
      </c>
      <c r="K264" t="s">
        <v>112</v>
      </c>
      <c r="L264">
        <v>2401121752</v>
      </c>
      <c r="M264" t="s">
        <v>98</v>
      </c>
      <c r="N264" t="s">
        <v>98</v>
      </c>
      <c r="O264" t="s">
        <v>113</v>
      </c>
      <c r="P264" t="s">
        <v>100</v>
      </c>
      <c r="Q264" t="s">
        <v>277</v>
      </c>
      <c r="R264">
        <v>401210741274</v>
      </c>
      <c r="T264" s="35">
        <v>23329441</v>
      </c>
      <c r="X264" t="s">
        <v>102</v>
      </c>
    </row>
    <row r="265" spans="1:24" x14ac:dyDescent="0.3">
      <c r="A265" s="39">
        <v>45303</v>
      </c>
      <c r="B265" t="s">
        <v>110</v>
      </c>
      <c r="C265" t="s">
        <v>552</v>
      </c>
      <c r="G265" s="42">
        <v>45303</v>
      </c>
      <c r="I265" s="35">
        <v>-3000000</v>
      </c>
      <c r="K265" t="s">
        <v>112</v>
      </c>
      <c r="L265">
        <v>2401121753</v>
      </c>
      <c r="M265" t="s">
        <v>98</v>
      </c>
      <c r="N265" t="s">
        <v>98</v>
      </c>
      <c r="O265" t="s">
        <v>113</v>
      </c>
      <c r="P265" t="s">
        <v>100</v>
      </c>
      <c r="Q265" t="s">
        <v>277</v>
      </c>
      <c r="R265">
        <v>401210742815</v>
      </c>
      <c r="T265" s="35">
        <v>20329441</v>
      </c>
      <c r="X265" t="s">
        <v>102</v>
      </c>
    </row>
    <row r="266" spans="1:24" x14ac:dyDescent="0.3">
      <c r="A266" s="39">
        <v>45310</v>
      </c>
      <c r="B266" t="s">
        <v>110</v>
      </c>
      <c r="C266" t="s">
        <v>553</v>
      </c>
      <c r="G266" s="42">
        <v>45310</v>
      </c>
      <c r="I266" s="35">
        <v>-3000000</v>
      </c>
      <c r="K266" t="s">
        <v>112</v>
      </c>
      <c r="L266">
        <v>2401190721</v>
      </c>
      <c r="M266" t="s">
        <v>98</v>
      </c>
      <c r="N266" t="s">
        <v>98</v>
      </c>
      <c r="O266" t="s">
        <v>113</v>
      </c>
      <c r="P266" t="s">
        <v>100</v>
      </c>
      <c r="Q266" t="s">
        <v>277</v>
      </c>
      <c r="R266">
        <v>401900436370</v>
      </c>
      <c r="T266" s="35">
        <v>17329441</v>
      </c>
      <c r="X266" t="s">
        <v>102</v>
      </c>
    </row>
    <row r="267" spans="1:24" x14ac:dyDescent="0.3">
      <c r="A267" s="39">
        <v>45310</v>
      </c>
      <c r="B267" t="s">
        <v>110</v>
      </c>
      <c r="C267" t="s">
        <v>554</v>
      </c>
      <c r="G267" s="42">
        <v>45310</v>
      </c>
      <c r="I267" s="35">
        <v>-3000000</v>
      </c>
      <c r="K267" t="s">
        <v>112</v>
      </c>
      <c r="L267">
        <v>2401190722</v>
      </c>
      <c r="M267" t="s">
        <v>98</v>
      </c>
      <c r="N267" t="s">
        <v>98</v>
      </c>
      <c r="O267" t="s">
        <v>113</v>
      </c>
      <c r="P267" t="s">
        <v>100</v>
      </c>
      <c r="Q267" t="s">
        <v>277</v>
      </c>
      <c r="R267">
        <v>401900436372</v>
      </c>
      <c r="T267" s="35">
        <v>14329441</v>
      </c>
      <c r="X267" t="s">
        <v>102</v>
      </c>
    </row>
    <row r="268" spans="1:24" x14ac:dyDescent="0.3">
      <c r="A268" s="39">
        <v>45310</v>
      </c>
      <c r="B268" t="s">
        <v>110</v>
      </c>
      <c r="C268" t="s">
        <v>555</v>
      </c>
      <c r="G268" s="42">
        <v>45310</v>
      </c>
      <c r="I268" s="35">
        <v>-3000000</v>
      </c>
      <c r="K268" t="s">
        <v>112</v>
      </c>
      <c r="L268">
        <v>2401190723</v>
      </c>
      <c r="M268" t="s">
        <v>98</v>
      </c>
      <c r="N268" t="s">
        <v>98</v>
      </c>
      <c r="O268" t="s">
        <v>113</v>
      </c>
      <c r="P268" t="s">
        <v>100</v>
      </c>
      <c r="Q268" t="s">
        <v>277</v>
      </c>
      <c r="R268">
        <v>401900436374</v>
      </c>
      <c r="T268" s="35">
        <v>11329441</v>
      </c>
      <c r="X268" t="s">
        <v>102</v>
      </c>
    </row>
    <row r="269" spans="1:24" x14ac:dyDescent="0.3">
      <c r="A269" s="39">
        <v>45313</v>
      </c>
      <c r="B269" t="s">
        <v>114</v>
      </c>
      <c r="C269" t="s">
        <v>556</v>
      </c>
      <c r="G269" s="42">
        <v>45313</v>
      </c>
      <c r="J269" s="35">
        <v>6310000</v>
      </c>
      <c r="K269" t="s">
        <v>557</v>
      </c>
      <c r="L269">
        <v>2401221032</v>
      </c>
      <c r="M269" t="s">
        <v>71</v>
      </c>
      <c r="N269" t="s">
        <v>71</v>
      </c>
      <c r="P269" t="s">
        <v>117</v>
      </c>
      <c r="R269" t="s">
        <v>558</v>
      </c>
      <c r="T269" s="35">
        <v>17639441</v>
      </c>
    </row>
    <row r="270" spans="1:24" x14ac:dyDescent="0.3">
      <c r="A270" s="39">
        <v>45316</v>
      </c>
      <c r="B270" t="s">
        <v>114</v>
      </c>
      <c r="C270" t="s">
        <v>559</v>
      </c>
      <c r="G270" s="42">
        <v>45316</v>
      </c>
      <c r="J270" s="35">
        <v>6000000</v>
      </c>
      <c r="K270" t="s">
        <v>560</v>
      </c>
      <c r="L270">
        <v>2401251949</v>
      </c>
      <c r="M270" t="s">
        <v>106</v>
      </c>
      <c r="N270" t="s">
        <v>106</v>
      </c>
      <c r="P270" t="s">
        <v>100</v>
      </c>
      <c r="R270">
        <v>970499664122</v>
      </c>
      <c r="T270" s="35">
        <v>23639441</v>
      </c>
      <c r="X270" t="s">
        <v>123</v>
      </c>
    </row>
    <row r="271" spans="1:24" x14ac:dyDescent="0.3">
      <c r="A271" s="39">
        <v>45317</v>
      </c>
      <c r="B271" t="s">
        <v>110</v>
      </c>
      <c r="C271" t="s">
        <v>561</v>
      </c>
      <c r="G271" s="42">
        <v>45317</v>
      </c>
      <c r="I271" s="35">
        <v>-3000000</v>
      </c>
      <c r="K271" t="s">
        <v>112</v>
      </c>
      <c r="L271">
        <v>2401261907</v>
      </c>
      <c r="M271" t="s">
        <v>98</v>
      </c>
      <c r="N271" t="s">
        <v>98</v>
      </c>
      <c r="O271" t="s">
        <v>113</v>
      </c>
      <c r="P271" t="s">
        <v>100</v>
      </c>
      <c r="Q271" t="s">
        <v>277</v>
      </c>
      <c r="R271">
        <v>402612455110</v>
      </c>
      <c r="T271" s="35">
        <v>20639441</v>
      </c>
      <c r="X271" t="s">
        <v>102</v>
      </c>
    </row>
    <row r="272" spans="1:24" x14ac:dyDescent="0.3">
      <c r="A272" s="39">
        <v>45317</v>
      </c>
      <c r="B272" t="s">
        <v>110</v>
      </c>
      <c r="C272" t="s">
        <v>562</v>
      </c>
      <c r="G272" s="42">
        <v>45317</v>
      </c>
      <c r="I272" s="35">
        <v>-3000000</v>
      </c>
      <c r="K272" t="s">
        <v>112</v>
      </c>
      <c r="L272">
        <v>2401261909</v>
      </c>
      <c r="M272" t="s">
        <v>98</v>
      </c>
      <c r="N272" t="s">
        <v>98</v>
      </c>
      <c r="O272" t="s">
        <v>113</v>
      </c>
      <c r="P272" t="s">
        <v>100</v>
      </c>
      <c r="Q272" t="s">
        <v>277</v>
      </c>
      <c r="R272">
        <v>402612456880</v>
      </c>
      <c r="T272" s="35">
        <v>17639441</v>
      </c>
      <c r="X272" t="s">
        <v>102</v>
      </c>
    </row>
    <row r="273" spans="1:24" x14ac:dyDescent="0.3">
      <c r="A273" s="39">
        <v>45323</v>
      </c>
      <c r="B273" t="s">
        <v>129</v>
      </c>
      <c r="C273" t="s">
        <v>563</v>
      </c>
      <c r="G273" s="42">
        <v>45322</v>
      </c>
      <c r="J273" s="35">
        <v>1732</v>
      </c>
      <c r="K273" t="s">
        <v>564</v>
      </c>
      <c r="L273">
        <v>2402010111</v>
      </c>
      <c r="M273" t="s">
        <v>132</v>
      </c>
      <c r="N273" t="s">
        <v>132</v>
      </c>
      <c r="T273" s="35">
        <v>17641173</v>
      </c>
    </row>
    <row r="274" spans="1:24" x14ac:dyDescent="0.3">
      <c r="A274" s="39">
        <v>45323</v>
      </c>
      <c r="B274" t="s">
        <v>114</v>
      </c>
      <c r="C274" t="s">
        <v>565</v>
      </c>
      <c r="G274" s="42">
        <v>45323</v>
      </c>
      <c r="J274" s="35">
        <v>8139691</v>
      </c>
      <c r="K274" t="s">
        <v>566</v>
      </c>
      <c r="L274">
        <v>2402011654</v>
      </c>
      <c r="M274" t="s">
        <v>71</v>
      </c>
      <c r="N274" t="s">
        <v>71</v>
      </c>
      <c r="P274" t="s">
        <v>117</v>
      </c>
      <c r="R274" t="s">
        <v>567</v>
      </c>
      <c r="T274" s="35">
        <v>25780864</v>
      </c>
    </row>
    <row r="275" spans="1:24" x14ac:dyDescent="0.3">
      <c r="A275" s="39">
        <v>45324</v>
      </c>
      <c r="B275" t="s">
        <v>114</v>
      </c>
      <c r="C275" t="s">
        <v>568</v>
      </c>
      <c r="G275" s="42">
        <v>45324</v>
      </c>
      <c r="I275" s="35">
        <v>-235000</v>
      </c>
      <c r="K275" t="s">
        <v>120</v>
      </c>
      <c r="L275">
        <v>2402020739</v>
      </c>
      <c r="M275" t="s">
        <v>106</v>
      </c>
      <c r="N275" t="s">
        <v>106</v>
      </c>
      <c r="O275" t="s">
        <v>113</v>
      </c>
      <c r="P275" t="s">
        <v>100</v>
      </c>
      <c r="R275" t="s">
        <v>569</v>
      </c>
      <c r="T275" s="35">
        <v>25545864</v>
      </c>
    </row>
    <row r="276" spans="1:24" x14ac:dyDescent="0.3">
      <c r="A276" s="39">
        <v>45324</v>
      </c>
      <c r="B276" t="s">
        <v>114</v>
      </c>
      <c r="C276" t="s">
        <v>570</v>
      </c>
      <c r="G276" s="42">
        <v>45324</v>
      </c>
      <c r="I276" s="35">
        <v>-1500000</v>
      </c>
      <c r="K276" t="s">
        <v>120</v>
      </c>
      <c r="L276">
        <v>2402021432</v>
      </c>
      <c r="M276" t="s">
        <v>106</v>
      </c>
      <c r="N276" t="s">
        <v>106</v>
      </c>
      <c r="O276" t="s">
        <v>113</v>
      </c>
      <c r="P276" t="s">
        <v>100</v>
      </c>
      <c r="R276" t="s">
        <v>571</v>
      </c>
      <c r="T276" s="35">
        <v>24045864</v>
      </c>
      <c r="X276" t="s">
        <v>123</v>
      </c>
    </row>
    <row r="277" spans="1:24" x14ac:dyDescent="0.3">
      <c r="A277" s="39">
        <v>45324</v>
      </c>
      <c r="B277" t="s">
        <v>110</v>
      </c>
      <c r="C277" t="s">
        <v>572</v>
      </c>
      <c r="G277" s="42">
        <v>45324</v>
      </c>
      <c r="I277" s="35">
        <v>-3000000</v>
      </c>
      <c r="K277" t="s">
        <v>112</v>
      </c>
      <c r="L277">
        <v>2402021900</v>
      </c>
      <c r="M277" t="s">
        <v>98</v>
      </c>
      <c r="N277" t="s">
        <v>98</v>
      </c>
      <c r="O277" t="s">
        <v>113</v>
      </c>
      <c r="P277" t="s">
        <v>100</v>
      </c>
      <c r="Q277" t="s">
        <v>277</v>
      </c>
      <c r="R277">
        <v>403311333732</v>
      </c>
      <c r="T277" s="35">
        <v>21045864</v>
      </c>
      <c r="X277" t="s">
        <v>102</v>
      </c>
    </row>
    <row r="278" spans="1:24" x14ac:dyDescent="0.3">
      <c r="A278" s="39">
        <v>45324</v>
      </c>
      <c r="B278" t="s">
        <v>110</v>
      </c>
      <c r="C278" t="s">
        <v>573</v>
      </c>
      <c r="G278" s="42">
        <v>45324</v>
      </c>
      <c r="I278" s="35">
        <v>-3000000</v>
      </c>
      <c r="K278" t="s">
        <v>112</v>
      </c>
      <c r="L278">
        <v>2402021901</v>
      </c>
      <c r="M278" t="s">
        <v>98</v>
      </c>
      <c r="N278" t="s">
        <v>98</v>
      </c>
      <c r="O278" t="s">
        <v>113</v>
      </c>
      <c r="P278" t="s">
        <v>100</v>
      </c>
      <c r="Q278" t="s">
        <v>277</v>
      </c>
      <c r="R278">
        <v>403312335258</v>
      </c>
      <c r="T278" s="35">
        <v>18045864</v>
      </c>
      <c r="X278" t="s">
        <v>102</v>
      </c>
    </row>
    <row r="279" spans="1:24" x14ac:dyDescent="0.3">
      <c r="A279" s="39">
        <v>45324</v>
      </c>
      <c r="B279" t="s">
        <v>110</v>
      </c>
      <c r="C279" t="s">
        <v>574</v>
      </c>
      <c r="G279" s="42">
        <v>45324</v>
      </c>
      <c r="I279" s="35">
        <v>-3000000</v>
      </c>
      <c r="K279" t="s">
        <v>112</v>
      </c>
      <c r="L279">
        <v>2402021902</v>
      </c>
      <c r="M279" t="s">
        <v>98</v>
      </c>
      <c r="N279" t="s">
        <v>98</v>
      </c>
      <c r="O279" t="s">
        <v>113</v>
      </c>
      <c r="P279" t="s">
        <v>100</v>
      </c>
      <c r="Q279" t="s">
        <v>277</v>
      </c>
      <c r="R279">
        <v>403312336765</v>
      </c>
      <c r="T279" s="35">
        <v>15045864</v>
      </c>
      <c r="X279" t="s">
        <v>102</v>
      </c>
    </row>
    <row r="280" spans="1:24" x14ac:dyDescent="0.3">
      <c r="A280" s="39">
        <v>45324</v>
      </c>
      <c r="B280" t="s">
        <v>110</v>
      </c>
      <c r="C280" t="s">
        <v>575</v>
      </c>
      <c r="G280" s="42">
        <v>45324</v>
      </c>
      <c r="I280" s="35">
        <v>-3000000</v>
      </c>
      <c r="K280" t="s">
        <v>112</v>
      </c>
      <c r="L280">
        <v>2402021903</v>
      </c>
      <c r="M280" t="s">
        <v>98</v>
      </c>
      <c r="N280" t="s">
        <v>98</v>
      </c>
      <c r="O280" t="s">
        <v>113</v>
      </c>
      <c r="P280" t="s">
        <v>100</v>
      </c>
      <c r="Q280" t="s">
        <v>277</v>
      </c>
      <c r="R280">
        <v>403312338266</v>
      </c>
      <c r="T280" s="35">
        <v>12045864</v>
      </c>
      <c r="X280" t="s">
        <v>102</v>
      </c>
    </row>
    <row r="281" spans="1:24" x14ac:dyDescent="0.3">
      <c r="A281" s="39">
        <v>45324</v>
      </c>
      <c r="B281" t="s">
        <v>114</v>
      </c>
      <c r="C281" t="s">
        <v>576</v>
      </c>
      <c r="G281" s="42">
        <v>45324</v>
      </c>
      <c r="I281" s="35">
        <v>-10000000</v>
      </c>
      <c r="K281" t="s">
        <v>120</v>
      </c>
      <c r="L281">
        <v>2402021948</v>
      </c>
      <c r="M281" t="s">
        <v>106</v>
      </c>
      <c r="N281" t="s">
        <v>106</v>
      </c>
      <c r="O281" t="s">
        <v>113</v>
      </c>
      <c r="P281" t="s">
        <v>100</v>
      </c>
      <c r="R281" t="s">
        <v>577</v>
      </c>
      <c r="T281" s="35">
        <v>2045864</v>
      </c>
    </row>
    <row r="282" spans="1:24" x14ac:dyDescent="0.3">
      <c r="A282" s="39">
        <v>45324</v>
      </c>
      <c r="B282" t="s">
        <v>114</v>
      </c>
      <c r="C282" t="s">
        <v>578</v>
      </c>
      <c r="G282" s="42">
        <v>45324</v>
      </c>
      <c r="I282" s="35">
        <v>-1030000</v>
      </c>
      <c r="K282" t="s">
        <v>120</v>
      </c>
      <c r="L282">
        <v>2402022001</v>
      </c>
      <c r="M282" t="s">
        <v>106</v>
      </c>
      <c r="N282" t="s">
        <v>106</v>
      </c>
      <c r="O282" t="s">
        <v>113</v>
      </c>
      <c r="P282" t="s">
        <v>100</v>
      </c>
      <c r="R282" t="s">
        <v>579</v>
      </c>
      <c r="T282" s="35">
        <v>1015864</v>
      </c>
      <c r="X282" t="s">
        <v>123</v>
      </c>
    </row>
    <row r="283" spans="1:24" x14ac:dyDescent="0.3">
      <c r="A283" s="39">
        <v>45327</v>
      </c>
      <c r="B283" t="s">
        <v>114</v>
      </c>
      <c r="C283" t="s">
        <v>580</v>
      </c>
      <c r="G283" s="42">
        <v>45327</v>
      </c>
      <c r="I283" s="35">
        <v>-576500</v>
      </c>
      <c r="K283" t="s">
        <v>581</v>
      </c>
      <c r="L283">
        <v>2402040832</v>
      </c>
      <c r="M283" t="s">
        <v>106</v>
      </c>
      <c r="N283" t="s">
        <v>106</v>
      </c>
      <c r="O283" t="s">
        <v>113</v>
      </c>
      <c r="P283" t="s">
        <v>100</v>
      </c>
      <c r="R283" t="s">
        <v>582</v>
      </c>
      <c r="T283" s="35">
        <v>439364</v>
      </c>
    </row>
    <row r="284" spans="1:24" x14ac:dyDescent="0.3">
      <c r="A284" s="39">
        <v>45328</v>
      </c>
      <c r="B284" t="s">
        <v>114</v>
      </c>
      <c r="C284" t="s">
        <v>583</v>
      </c>
      <c r="G284" s="42">
        <v>45328</v>
      </c>
      <c r="J284" s="35">
        <v>7500000</v>
      </c>
      <c r="K284" t="s">
        <v>584</v>
      </c>
      <c r="L284">
        <v>2402061236</v>
      </c>
      <c r="M284" t="s">
        <v>106</v>
      </c>
      <c r="N284" t="s">
        <v>106</v>
      </c>
      <c r="P284" t="s">
        <v>100</v>
      </c>
      <c r="R284">
        <v>970499550254</v>
      </c>
      <c r="T284" s="35">
        <v>7939364</v>
      </c>
      <c r="X284" t="s">
        <v>123</v>
      </c>
    </row>
    <row r="285" spans="1:24" x14ac:dyDescent="0.3">
      <c r="A285" s="39">
        <v>45336</v>
      </c>
      <c r="B285" t="s">
        <v>114</v>
      </c>
      <c r="C285" t="s">
        <v>585</v>
      </c>
      <c r="G285" s="42">
        <v>45336</v>
      </c>
      <c r="I285" s="35">
        <v>-3000000</v>
      </c>
      <c r="K285" t="s">
        <v>120</v>
      </c>
      <c r="L285">
        <v>2402092019</v>
      </c>
      <c r="M285" t="s">
        <v>106</v>
      </c>
      <c r="N285" t="s">
        <v>106</v>
      </c>
      <c r="O285" t="s">
        <v>113</v>
      </c>
      <c r="P285" t="s">
        <v>100</v>
      </c>
      <c r="R285" t="s">
        <v>586</v>
      </c>
      <c r="T285" s="35">
        <v>4939364</v>
      </c>
    </row>
    <row r="286" spans="1:24" x14ac:dyDescent="0.3">
      <c r="A286" s="39">
        <v>45336</v>
      </c>
      <c r="B286" t="s">
        <v>114</v>
      </c>
      <c r="C286" t="s">
        <v>587</v>
      </c>
      <c r="G286" s="42">
        <v>45336</v>
      </c>
      <c r="I286" s="35">
        <v>-100000</v>
      </c>
      <c r="K286" t="s">
        <v>588</v>
      </c>
      <c r="L286">
        <v>2402131928</v>
      </c>
      <c r="M286" t="s">
        <v>106</v>
      </c>
      <c r="N286" t="s">
        <v>106</v>
      </c>
      <c r="O286" t="s">
        <v>113</v>
      </c>
      <c r="P286" t="s">
        <v>227</v>
      </c>
      <c r="R286" t="s">
        <v>589</v>
      </c>
      <c r="T286" s="35">
        <v>4839364</v>
      </c>
    </row>
    <row r="287" spans="1:24" x14ac:dyDescent="0.3">
      <c r="A287" s="39">
        <v>45336</v>
      </c>
      <c r="B287" t="s">
        <v>114</v>
      </c>
      <c r="C287" t="s">
        <v>590</v>
      </c>
      <c r="G287" s="42">
        <v>45336</v>
      </c>
      <c r="I287" s="35">
        <v>-50000</v>
      </c>
      <c r="K287" t="s">
        <v>591</v>
      </c>
      <c r="L287">
        <v>2402131929</v>
      </c>
      <c r="M287" t="s">
        <v>106</v>
      </c>
      <c r="N287" t="s">
        <v>106</v>
      </c>
      <c r="O287" t="s">
        <v>113</v>
      </c>
      <c r="P287" t="s">
        <v>227</v>
      </c>
      <c r="R287" t="s">
        <v>592</v>
      </c>
      <c r="T287" s="35">
        <v>4789364</v>
      </c>
    </row>
    <row r="288" spans="1:24" x14ac:dyDescent="0.3">
      <c r="A288" s="39">
        <v>45338</v>
      </c>
      <c r="B288" t="s">
        <v>114</v>
      </c>
      <c r="C288" t="s">
        <v>593</v>
      </c>
      <c r="G288" s="42">
        <v>45338</v>
      </c>
      <c r="I288" s="35">
        <v>-1593000</v>
      </c>
      <c r="K288" t="s">
        <v>120</v>
      </c>
      <c r="L288">
        <v>2402161649</v>
      </c>
      <c r="M288" t="s">
        <v>106</v>
      </c>
      <c r="N288" t="s">
        <v>106</v>
      </c>
      <c r="O288" t="s">
        <v>113</v>
      </c>
      <c r="P288" t="s">
        <v>100</v>
      </c>
      <c r="R288" t="s">
        <v>594</v>
      </c>
      <c r="T288" s="35">
        <v>3196364</v>
      </c>
    </row>
    <row r="289" spans="1:24" x14ac:dyDescent="0.3">
      <c r="A289" s="39">
        <v>45338</v>
      </c>
      <c r="B289" t="s">
        <v>114</v>
      </c>
      <c r="C289" t="s">
        <v>595</v>
      </c>
      <c r="G289" s="42">
        <v>45338</v>
      </c>
      <c r="J289" s="35">
        <v>2000000</v>
      </c>
      <c r="K289" t="s">
        <v>596</v>
      </c>
      <c r="L289">
        <v>2402161800</v>
      </c>
      <c r="M289" t="s">
        <v>106</v>
      </c>
      <c r="N289" t="s">
        <v>106</v>
      </c>
      <c r="P289" t="s">
        <v>100</v>
      </c>
      <c r="R289">
        <v>686868095995</v>
      </c>
      <c r="T289" s="35">
        <v>5196364</v>
      </c>
      <c r="X289" t="s">
        <v>123</v>
      </c>
    </row>
    <row r="290" spans="1:24" x14ac:dyDescent="0.3">
      <c r="A290" s="39">
        <v>45339</v>
      </c>
      <c r="B290" t="s">
        <v>114</v>
      </c>
      <c r="C290" t="s">
        <v>597</v>
      </c>
      <c r="G290" s="42">
        <v>45339</v>
      </c>
      <c r="J290" s="35">
        <v>4000000</v>
      </c>
      <c r="K290" t="s">
        <v>598</v>
      </c>
      <c r="L290">
        <v>2402171018</v>
      </c>
      <c r="M290" t="s">
        <v>106</v>
      </c>
      <c r="N290" t="s">
        <v>106</v>
      </c>
      <c r="P290" t="s">
        <v>100</v>
      </c>
      <c r="R290">
        <v>686868062935</v>
      </c>
      <c r="T290" s="35">
        <v>9196364</v>
      </c>
      <c r="X290" t="s">
        <v>123</v>
      </c>
    </row>
    <row r="291" spans="1:24" x14ac:dyDescent="0.3">
      <c r="A291" s="39">
        <v>45341</v>
      </c>
      <c r="B291" t="s">
        <v>114</v>
      </c>
      <c r="C291" t="s">
        <v>599</v>
      </c>
      <c r="G291" s="42">
        <v>45341</v>
      </c>
      <c r="J291" s="35">
        <v>140000</v>
      </c>
      <c r="K291" t="s">
        <v>600</v>
      </c>
      <c r="L291">
        <v>2402181606</v>
      </c>
      <c r="M291" t="s">
        <v>106</v>
      </c>
      <c r="N291" t="s">
        <v>106</v>
      </c>
      <c r="P291" t="s">
        <v>100</v>
      </c>
      <c r="R291">
        <v>180906861401</v>
      </c>
      <c r="T291" s="35">
        <v>9336364</v>
      </c>
      <c r="X291" t="s">
        <v>123</v>
      </c>
    </row>
    <row r="292" spans="1:24" x14ac:dyDescent="0.3">
      <c r="A292" s="39">
        <v>45342</v>
      </c>
      <c r="B292" t="s">
        <v>124</v>
      </c>
      <c r="C292" t="s">
        <v>601</v>
      </c>
      <c r="G292" s="42">
        <v>45342</v>
      </c>
      <c r="J292" s="35">
        <v>203438</v>
      </c>
      <c r="K292" t="s">
        <v>602</v>
      </c>
      <c r="L292">
        <v>2402200827</v>
      </c>
      <c r="M292" t="s">
        <v>71</v>
      </c>
      <c r="N292" t="s">
        <v>71</v>
      </c>
      <c r="O292" t="s">
        <v>113</v>
      </c>
      <c r="P292" t="s">
        <v>127</v>
      </c>
      <c r="T292" s="35">
        <v>9539802</v>
      </c>
      <c r="X292" t="s">
        <v>128</v>
      </c>
    </row>
    <row r="293" spans="1:24" x14ac:dyDescent="0.3">
      <c r="A293" s="39">
        <v>45343</v>
      </c>
      <c r="B293" t="s">
        <v>110</v>
      </c>
      <c r="C293" t="s">
        <v>603</v>
      </c>
      <c r="G293" s="42">
        <v>45343</v>
      </c>
      <c r="I293" s="35">
        <v>-3000000</v>
      </c>
      <c r="K293" t="s">
        <v>112</v>
      </c>
      <c r="L293">
        <v>2402211644</v>
      </c>
      <c r="M293" t="s">
        <v>98</v>
      </c>
      <c r="N293" t="s">
        <v>98</v>
      </c>
      <c r="O293" t="s">
        <v>113</v>
      </c>
      <c r="P293" t="s">
        <v>100</v>
      </c>
      <c r="Q293" t="s">
        <v>277</v>
      </c>
      <c r="R293">
        <v>405200741810</v>
      </c>
      <c r="T293" s="35">
        <v>6539802</v>
      </c>
      <c r="X293" t="s">
        <v>102</v>
      </c>
    </row>
    <row r="294" spans="1:24" x14ac:dyDescent="0.3">
      <c r="A294" s="39">
        <v>45343</v>
      </c>
      <c r="B294" t="s">
        <v>110</v>
      </c>
      <c r="C294" t="s">
        <v>604</v>
      </c>
      <c r="G294" s="42">
        <v>45343</v>
      </c>
      <c r="I294" s="35">
        <v>-3000000</v>
      </c>
      <c r="K294" t="s">
        <v>112</v>
      </c>
      <c r="L294">
        <v>2402211645</v>
      </c>
      <c r="M294" t="s">
        <v>98</v>
      </c>
      <c r="N294" t="s">
        <v>98</v>
      </c>
      <c r="O294" t="s">
        <v>113</v>
      </c>
      <c r="P294" t="s">
        <v>100</v>
      </c>
      <c r="Q294" t="s">
        <v>277</v>
      </c>
      <c r="R294">
        <v>405200741812</v>
      </c>
      <c r="T294" s="35">
        <v>3539802</v>
      </c>
      <c r="X294" t="s">
        <v>102</v>
      </c>
    </row>
    <row r="295" spans="1:24" x14ac:dyDescent="0.3">
      <c r="A295" s="39">
        <v>45343</v>
      </c>
      <c r="B295" t="s">
        <v>110</v>
      </c>
      <c r="C295" t="s">
        <v>605</v>
      </c>
      <c r="G295" s="42">
        <v>45343</v>
      </c>
      <c r="I295" s="35">
        <v>-3000000</v>
      </c>
      <c r="K295" t="s">
        <v>112</v>
      </c>
      <c r="L295">
        <v>2402211646</v>
      </c>
      <c r="M295" t="s">
        <v>98</v>
      </c>
      <c r="N295" t="s">
        <v>98</v>
      </c>
      <c r="O295" t="s">
        <v>113</v>
      </c>
      <c r="P295" t="s">
        <v>100</v>
      </c>
      <c r="Q295" t="s">
        <v>277</v>
      </c>
      <c r="R295">
        <v>405200741814</v>
      </c>
      <c r="T295" s="35">
        <v>539802</v>
      </c>
      <c r="X295" t="s">
        <v>102</v>
      </c>
    </row>
    <row r="296" spans="1:24" x14ac:dyDescent="0.3">
      <c r="A296" s="39">
        <v>45352</v>
      </c>
      <c r="B296" t="s">
        <v>129</v>
      </c>
      <c r="C296" t="s">
        <v>606</v>
      </c>
      <c r="G296" s="42">
        <v>45351</v>
      </c>
      <c r="J296">
        <v>411</v>
      </c>
      <c r="K296" t="s">
        <v>607</v>
      </c>
      <c r="L296">
        <v>2403010102</v>
      </c>
      <c r="M296" t="s">
        <v>132</v>
      </c>
      <c r="N296" t="s">
        <v>132</v>
      </c>
      <c r="T296" s="35">
        <v>540213</v>
      </c>
    </row>
    <row r="297" spans="1:24" x14ac:dyDescent="0.3">
      <c r="A297" s="39">
        <v>45355</v>
      </c>
      <c r="B297" t="s">
        <v>114</v>
      </c>
      <c r="C297" t="s">
        <v>608</v>
      </c>
      <c r="G297" s="42">
        <v>45355</v>
      </c>
      <c r="J297" s="35">
        <v>8107470</v>
      </c>
      <c r="K297" t="s">
        <v>609</v>
      </c>
      <c r="L297">
        <v>2403041514</v>
      </c>
      <c r="M297" t="s">
        <v>71</v>
      </c>
      <c r="N297" t="s">
        <v>71</v>
      </c>
      <c r="P297" t="s">
        <v>117</v>
      </c>
      <c r="R297" t="s">
        <v>610</v>
      </c>
      <c r="T297" s="35">
        <v>8647683</v>
      </c>
    </row>
    <row r="298" spans="1:24" x14ac:dyDescent="0.3">
      <c r="A298" s="39">
        <v>45356</v>
      </c>
      <c r="B298" t="s">
        <v>114</v>
      </c>
      <c r="C298" t="s">
        <v>611</v>
      </c>
      <c r="G298" s="42">
        <v>45356</v>
      </c>
      <c r="I298" s="35">
        <v>-1000000</v>
      </c>
      <c r="K298" t="s">
        <v>120</v>
      </c>
      <c r="L298">
        <v>2403052001</v>
      </c>
      <c r="M298" t="s">
        <v>106</v>
      </c>
      <c r="N298" t="s">
        <v>106</v>
      </c>
      <c r="O298" t="s">
        <v>113</v>
      </c>
      <c r="P298" t="s">
        <v>100</v>
      </c>
      <c r="R298" t="s">
        <v>612</v>
      </c>
      <c r="T298" s="35">
        <v>7647683</v>
      </c>
    </row>
    <row r="299" spans="1:24" x14ac:dyDescent="0.3">
      <c r="A299" s="39">
        <v>45357</v>
      </c>
      <c r="B299" t="s">
        <v>110</v>
      </c>
      <c r="C299" t="s">
        <v>613</v>
      </c>
      <c r="G299" s="42">
        <v>45357</v>
      </c>
      <c r="I299" s="35">
        <v>-3000000</v>
      </c>
      <c r="K299" t="s">
        <v>112</v>
      </c>
      <c r="L299">
        <v>2403060723</v>
      </c>
      <c r="M299" t="s">
        <v>98</v>
      </c>
      <c r="N299" t="s">
        <v>98</v>
      </c>
      <c r="O299" t="s">
        <v>113</v>
      </c>
      <c r="P299" t="s">
        <v>100</v>
      </c>
      <c r="Q299" t="s">
        <v>277</v>
      </c>
      <c r="R299">
        <v>406600744997</v>
      </c>
      <c r="T299" s="35">
        <v>4647683</v>
      </c>
      <c r="X299" t="s">
        <v>102</v>
      </c>
    </row>
    <row r="300" spans="1:24" x14ac:dyDescent="0.3">
      <c r="A300" s="39">
        <v>45357</v>
      </c>
      <c r="B300" t="s">
        <v>110</v>
      </c>
      <c r="C300" t="s">
        <v>614</v>
      </c>
      <c r="G300" s="42">
        <v>45357</v>
      </c>
      <c r="I300" s="35">
        <v>-3000000</v>
      </c>
      <c r="K300" t="s">
        <v>112</v>
      </c>
      <c r="L300">
        <v>2403060724</v>
      </c>
      <c r="M300" t="s">
        <v>98</v>
      </c>
      <c r="N300" t="s">
        <v>98</v>
      </c>
      <c r="O300" t="s">
        <v>113</v>
      </c>
      <c r="P300" t="s">
        <v>100</v>
      </c>
      <c r="Q300" t="s">
        <v>277</v>
      </c>
      <c r="R300">
        <v>406600744999</v>
      </c>
      <c r="T300" s="35">
        <v>1647683</v>
      </c>
      <c r="X300" t="s">
        <v>102</v>
      </c>
    </row>
    <row r="301" spans="1:24" x14ac:dyDescent="0.3">
      <c r="A301" s="39">
        <v>45357</v>
      </c>
      <c r="B301" t="s">
        <v>110</v>
      </c>
      <c r="C301" t="s">
        <v>615</v>
      </c>
      <c r="G301" s="42">
        <v>45357</v>
      </c>
      <c r="I301" s="35">
        <v>-1500000</v>
      </c>
      <c r="K301" t="s">
        <v>112</v>
      </c>
      <c r="L301">
        <v>2403060725</v>
      </c>
      <c r="M301" t="s">
        <v>98</v>
      </c>
      <c r="N301" t="s">
        <v>98</v>
      </c>
      <c r="O301" t="s">
        <v>113</v>
      </c>
      <c r="P301" t="s">
        <v>100</v>
      </c>
      <c r="Q301" t="s">
        <v>277</v>
      </c>
      <c r="R301">
        <v>406600745001</v>
      </c>
      <c r="T301" s="35">
        <v>147683</v>
      </c>
      <c r="X301" t="s">
        <v>102</v>
      </c>
    </row>
    <row r="302" spans="1:24" x14ac:dyDescent="0.3">
      <c r="A302" s="39">
        <v>45359</v>
      </c>
      <c r="B302" t="s">
        <v>114</v>
      </c>
      <c r="C302" t="s">
        <v>616</v>
      </c>
      <c r="G302" s="42">
        <v>45359</v>
      </c>
      <c r="J302" s="35">
        <v>5500000</v>
      </c>
      <c r="K302" t="s">
        <v>617</v>
      </c>
      <c r="L302">
        <v>2403081038</v>
      </c>
      <c r="M302" t="s">
        <v>106</v>
      </c>
      <c r="N302" t="s">
        <v>106</v>
      </c>
      <c r="P302" t="s">
        <v>100</v>
      </c>
      <c r="R302">
        <v>970499275390</v>
      </c>
      <c r="T302" s="35">
        <v>5647683</v>
      </c>
      <c r="X302" t="s">
        <v>123</v>
      </c>
    </row>
    <row r="303" spans="1:24" x14ac:dyDescent="0.3">
      <c r="A303" s="39">
        <v>45362</v>
      </c>
      <c r="B303" t="s">
        <v>114</v>
      </c>
      <c r="C303" t="s">
        <v>618</v>
      </c>
      <c r="G303" s="42">
        <v>45362</v>
      </c>
      <c r="I303" s="35">
        <v>-1121000</v>
      </c>
      <c r="K303" t="s">
        <v>619</v>
      </c>
      <c r="L303">
        <v>2403101008</v>
      </c>
      <c r="M303" t="s">
        <v>106</v>
      </c>
      <c r="N303" t="s">
        <v>106</v>
      </c>
      <c r="O303" t="s">
        <v>113</v>
      </c>
      <c r="P303" t="s">
        <v>100</v>
      </c>
      <c r="R303" t="s">
        <v>620</v>
      </c>
      <c r="T303" s="35">
        <v>4526683</v>
      </c>
      <c r="X303" t="s">
        <v>123</v>
      </c>
    </row>
    <row r="304" spans="1:24" x14ac:dyDescent="0.3">
      <c r="A304" s="39">
        <v>45362</v>
      </c>
      <c r="B304" t="s">
        <v>114</v>
      </c>
      <c r="C304" t="s">
        <v>621</v>
      </c>
      <c r="G304" s="42">
        <v>45362</v>
      </c>
      <c r="I304" s="35">
        <v>-100000</v>
      </c>
      <c r="K304" t="s">
        <v>622</v>
      </c>
      <c r="L304">
        <v>2403110640</v>
      </c>
      <c r="M304" t="s">
        <v>106</v>
      </c>
      <c r="N304" t="s">
        <v>106</v>
      </c>
      <c r="O304" t="s">
        <v>113</v>
      </c>
      <c r="P304" t="s">
        <v>227</v>
      </c>
      <c r="R304" t="s">
        <v>623</v>
      </c>
      <c r="T304" s="35">
        <v>4426683</v>
      </c>
    </row>
    <row r="305" spans="1:24" x14ac:dyDescent="0.3">
      <c r="A305" s="39">
        <v>45362</v>
      </c>
      <c r="B305" t="s">
        <v>114</v>
      </c>
      <c r="C305" t="s">
        <v>624</v>
      </c>
      <c r="G305" s="42">
        <v>45362</v>
      </c>
      <c r="I305" s="35">
        <v>-10000</v>
      </c>
      <c r="K305" t="s">
        <v>625</v>
      </c>
      <c r="L305">
        <v>2403110642</v>
      </c>
      <c r="M305" t="s">
        <v>106</v>
      </c>
      <c r="N305" t="s">
        <v>106</v>
      </c>
      <c r="O305" t="s">
        <v>113</v>
      </c>
      <c r="P305" t="s">
        <v>227</v>
      </c>
      <c r="R305" t="s">
        <v>626</v>
      </c>
      <c r="T305" s="35">
        <v>4416683</v>
      </c>
    </row>
    <row r="306" spans="1:24" x14ac:dyDescent="0.3">
      <c r="A306" s="39">
        <v>45376</v>
      </c>
      <c r="B306" t="s">
        <v>110</v>
      </c>
      <c r="C306" t="s">
        <v>627</v>
      </c>
      <c r="G306" s="42">
        <v>45376</v>
      </c>
      <c r="I306" s="35">
        <v>-3000000</v>
      </c>
      <c r="K306" t="s">
        <v>112</v>
      </c>
      <c r="L306">
        <v>2403250725</v>
      </c>
      <c r="M306" t="s">
        <v>98</v>
      </c>
      <c r="N306" t="s">
        <v>98</v>
      </c>
      <c r="O306" t="s">
        <v>113</v>
      </c>
      <c r="P306" t="s">
        <v>100</v>
      </c>
      <c r="Q306" t="s">
        <v>277</v>
      </c>
      <c r="R306">
        <v>408500456674</v>
      </c>
      <c r="T306" s="35">
        <v>1416683</v>
      </c>
      <c r="X306" t="s">
        <v>102</v>
      </c>
    </row>
    <row r="307" spans="1:24" x14ac:dyDescent="0.3">
      <c r="A307" s="39">
        <v>45383</v>
      </c>
      <c r="B307" t="s">
        <v>129</v>
      </c>
      <c r="C307" t="s">
        <v>628</v>
      </c>
      <c r="G307" s="42">
        <v>45382</v>
      </c>
      <c r="J307">
        <v>293</v>
      </c>
      <c r="K307" t="s">
        <v>629</v>
      </c>
      <c r="L307">
        <v>2404010046</v>
      </c>
      <c r="M307" t="s">
        <v>132</v>
      </c>
      <c r="N307" t="s">
        <v>132</v>
      </c>
      <c r="T307" s="35">
        <v>1416976</v>
      </c>
    </row>
    <row r="308" spans="1:24" x14ac:dyDescent="0.3">
      <c r="A308" s="39">
        <v>45384</v>
      </c>
      <c r="B308" t="s">
        <v>114</v>
      </c>
      <c r="C308" t="s">
        <v>630</v>
      </c>
      <c r="G308" s="42">
        <v>45384</v>
      </c>
      <c r="J308" s="35">
        <v>6990731</v>
      </c>
      <c r="K308" t="s">
        <v>631</v>
      </c>
      <c r="L308">
        <v>2404021510</v>
      </c>
      <c r="M308" t="s">
        <v>71</v>
      </c>
      <c r="N308" t="s">
        <v>71</v>
      </c>
      <c r="P308" t="s">
        <v>117</v>
      </c>
      <c r="R308" t="s">
        <v>632</v>
      </c>
      <c r="T308" s="35">
        <v>8407707</v>
      </c>
    </row>
    <row r="309" spans="1:24" x14ac:dyDescent="0.3">
      <c r="A309" s="39">
        <v>45384</v>
      </c>
      <c r="B309" t="s">
        <v>110</v>
      </c>
      <c r="C309" t="s">
        <v>633</v>
      </c>
      <c r="G309" s="42">
        <v>45384</v>
      </c>
      <c r="I309" s="35">
        <v>-3000000</v>
      </c>
      <c r="K309" t="s">
        <v>112</v>
      </c>
      <c r="L309">
        <v>2404021732</v>
      </c>
      <c r="M309" t="s">
        <v>98</v>
      </c>
      <c r="N309" t="s">
        <v>98</v>
      </c>
      <c r="O309" t="s">
        <v>113</v>
      </c>
      <c r="P309" t="s">
        <v>100</v>
      </c>
      <c r="Q309" t="s">
        <v>277</v>
      </c>
      <c r="R309">
        <v>409310288336</v>
      </c>
      <c r="T309" s="35">
        <v>5407707</v>
      </c>
      <c r="X309" t="s">
        <v>102</v>
      </c>
    </row>
    <row r="310" spans="1:24" x14ac:dyDescent="0.3">
      <c r="A310" s="39">
        <v>45384</v>
      </c>
      <c r="B310" t="s">
        <v>110</v>
      </c>
      <c r="C310" t="s">
        <v>634</v>
      </c>
      <c r="G310" s="42">
        <v>45384</v>
      </c>
      <c r="I310" s="35">
        <v>-2500000</v>
      </c>
      <c r="K310" t="s">
        <v>112</v>
      </c>
      <c r="L310">
        <v>2404021733</v>
      </c>
      <c r="M310" t="s">
        <v>98</v>
      </c>
      <c r="N310" t="s">
        <v>98</v>
      </c>
      <c r="O310" t="s">
        <v>113</v>
      </c>
      <c r="P310" t="s">
        <v>100</v>
      </c>
      <c r="Q310" t="s">
        <v>277</v>
      </c>
      <c r="R310">
        <v>409310290042</v>
      </c>
      <c r="T310" s="35">
        <v>2907707</v>
      </c>
      <c r="X310" t="s">
        <v>102</v>
      </c>
    </row>
    <row r="311" spans="1:24" x14ac:dyDescent="0.3">
      <c r="A311" s="39">
        <v>45391</v>
      </c>
      <c r="B311" t="s">
        <v>114</v>
      </c>
      <c r="C311" t="s">
        <v>635</v>
      </c>
      <c r="G311" s="42">
        <v>45391</v>
      </c>
      <c r="I311" s="35">
        <v>-100000</v>
      </c>
      <c r="K311" t="s">
        <v>636</v>
      </c>
      <c r="L311">
        <v>2404090733</v>
      </c>
      <c r="M311" t="s">
        <v>106</v>
      </c>
      <c r="N311" t="s">
        <v>106</v>
      </c>
      <c r="O311" t="s">
        <v>113</v>
      </c>
      <c r="P311" t="s">
        <v>121</v>
      </c>
      <c r="R311" t="s">
        <v>637</v>
      </c>
      <c r="T311" s="35">
        <v>2807707</v>
      </c>
    </row>
    <row r="312" spans="1:24" x14ac:dyDescent="0.3">
      <c r="A312" s="39">
        <v>45391</v>
      </c>
      <c r="B312" t="s">
        <v>114</v>
      </c>
      <c r="C312" t="s">
        <v>638</v>
      </c>
      <c r="G312" s="42">
        <v>45391</v>
      </c>
      <c r="I312" s="35">
        <v>-30000</v>
      </c>
      <c r="K312" t="s">
        <v>639</v>
      </c>
      <c r="L312">
        <v>2404090734</v>
      </c>
      <c r="M312" t="s">
        <v>106</v>
      </c>
      <c r="N312" t="s">
        <v>106</v>
      </c>
      <c r="O312" t="s">
        <v>113</v>
      </c>
      <c r="P312" t="s">
        <v>121</v>
      </c>
      <c r="R312" t="s">
        <v>640</v>
      </c>
      <c r="T312" s="35">
        <v>2777707</v>
      </c>
    </row>
    <row r="313" spans="1:24" x14ac:dyDescent="0.3">
      <c r="A313" s="39">
        <v>45391</v>
      </c>
      <c r="B313" t="s">
        <v>114</v>
      </c>
      <c r="C313" t="s">
        <v>641</v>
      </c>
      <c r="G313" s="42">
        <v>45391</v>
      </c>
      <c r="I313" s="35">
        <v>-2500000</v>
      </c>
      <c r="K313" t="s">
        <v>120</v>
      </c>
      <c r="L313">
        <v>2404091203</v>
      </c>
      <c r="M313" t="s">
        <v>106</v>
      </c>
      <c r="N313" t="s">
        <v>106</v>
      </c>
      <c r="O313" t="s">
        <v>113</v>
      </c>
      <c r="P313" t="s">
        <v>100</v>
      </c>
      <c r="R313" t="s">
        <v>642</v>
      </c>
      <c r="T313" s="35">
        <v>277707</v>
      </c>
    </row>
    <row r="314" spans="1:24" x14ac:dyDescent="0.3">
      <c r="A314" s="39">
        <v>45392</v>
      </c>
      <c r="B314" t="s">
        <v>114</v>
      </c>
      <c r="C314" t="s">
        <v>643</v>
      </c>
      <c r="G314" s="42">
        <v>45392</v>
      </c>
      <c r="J314" s="35">
        <v>8000000</v>
      </c>
      <c r="K314" t="s">
        <v>644</v>
      </c>
      <c r="L314">
        <v>2404101833</v>
      </c>
      <c r="M314" t="s">
        <v>106</v>
      </c>
      <c r="N314" t="s">
        <v>106</v>
      </c>
      <c r="P314" t="s">
        <v>100</v>
      </c>
      <c r="R314">
        <v>970499695747</v>
      </c>
      <c r="T314" s="35">
        <v>8277707</v>
      </c>
      <c r="X314" t="s">
        <v>123</v>
      </c>
    </row>
    <row r="315" spans="1:24" x14ac:dyDescent="0.3">
      <c r="A315" s="39">
        <v>45392</v>
      </c>
      <c r="B315" t="s">
        <v>114</v>
      </c>
      <c r="C315" t="s">
        <v>645</v>
      </c>
      <c r="G315" s="42">
        <v>45392</v>
      </c>
      <c r="I315" s="35">
        <v>-1089000</v>
      </c>
      <c r="K315" t="s">
        <v>619</v>
      </c>
      <c r="L315">
        <v>2404101839</v>
      </c>
      <c r="M315" t="s">
        <v>106</v>
      </c>
      <c r="N315" t="s">
        <v>106</v>
      </c>
      <c r="O315" t="s">
        <v>113</v>
      </c>
      <c r="P315" t="s">
        <v>100</v>
      </c>
      <c r="R315" t="s">
        <v>646</v>
      </c>
      <c r="T315" s="35">
        <v>7188707</v>
      </c>
      <c r="X315" t="s">
        <v>123</v>
      </c>
    </row>
    <row r="316" spans="1:24" x14ac:dyDescent="0.3">
      <c r="A316" s="39">
        <v>45394</v>
      </c>
      <c r="B316" t="s">
        <v>110</v>
      </c>
      <c r="C316" t="s">
        <v>647</v>
      </c>
      <c r="G316" s="42">
        <v>45394</v>
      </c>
      <c r="I316" s="35">
        <v>-3000000</v>
      </c>
      <c r="K316" t="s">
        <v>112</v>
      </c>
      <c r="L316">
        <v>2404121223</v>
      </c>
      <c r="M316" t="s">
        <v>98</v>
      </c>
      <c r="N316" t="s">
        <v>98</v>
      </c>
      <c r="O316" t="s">
        <v>113</v>
      </c>
      <c r="P316" t="s">
        <v>100</v>
      </c>
      <c r="Q316" t="s">
        <v>277</v>
      </c>
      <c r="R316">
        <v>410305647695</v>
      </c>
      <c r="T316" s="35">
        <v>4188707</v>
      </c>
      <c r="X316" t="s">
        <v>102</v>
      </c>
    </row>
    <row r="317" spans="1:24" x14ac:dyDescent="0.3">
      <c r="A317" s="39">
        <v>45394</v>
      </c>
      <c r="B317" t="s">
        <v>110</v>
      </c>
      <c r="C317" t="s">
        <v>648</v>
      </c>
      <c r="G317" s="42">
        <v>45394</v>
      </c>
      <c r="I317" s="35">
        <v>-2000000</v>
      </c>
      <c r="K317" t="s">
        <v>112</v>
      </c>
      <c r="L317">
        <v>2404121224</v>
      </c>
      <c r="M317" t="s">
        <v>98</v>
      </c>
      <c r="N317" t="s">
        <v>98</v>
      </c>
      <c r="O317" t="s">
        <v>113</v>
      </c>
      <c r="P317" t="s">
        <v>100</v>
      </c>
      <c r="Q317" t="s">
        <v>277</v>
      </c>
      <c r="R317">
        <v>410305648988</v>
      </c>
      <c r="T317" s="35">
        <v>2188707</v>
      </c>
      <c r="X317" t="s">
        <v>102</v>
      </c>
    </row>
    <row r="318" spans="1:24" x14ac:dyDescent="0.3">
      <c r="A318" s="39">
        <v>45401</v>
      </c>
      <c r="B318" t="s">
        <v>114</v>
      </c>
      <c r="C318" t="s">
        <v>649</v>
      </c>
      <c r="G318" s="42">
        <v>45401</v>
      </c>
      <c r="I318" s="35">
        <v>-400000</v>
      </c>
      <c r="K318" t="s">
        <v>120</v>
      </c>
      <c r="L318">
        <v>2404191016</v>
      </c>
      <c r="M318" t="s">
        <v>106</v>
      </c>
      <c r="N318" t="s">
        <v>106</v>
      </c>
      <c r="O318" t="s">
        <v>113</v>
      </c>
      <c r="P318" t="s">
        <v>100</v>
      </c>
      <c r="R318" t="s">
        <v>650</v>
      </c>
      <c r="T318" s="35">
        <v>1788707</v>
      </c>
      <c r="X318" t="s">
        <v>123</v>
      </c>
    </row>
    <row r="319" spans="1:24" x14ac:dyDescent="0.3">
      <c r="A319" s="39">
        <v>45404</v>
      </c>
      <c r="B319" t="s">
        <v>114</v>
      </c>
      <c r="C319" t="s">
        <v>651</v>
      </c>
      <c r="G319" s="42">
        <v>45404</v>
      </c>
      <c r="J319" s="35">
        <v>2000000</v>
      </c>
      <c r="K319" t="s">
        <v>306</v>
      </c>
      <c r="L319">
        <v>2404221857</v>
      </c>
      <c r="M319" t="s">
        <v>106</v>
      </c>
      <c r="N319" t="s">
        <v>106</v>
      </c>
      <c r="O319" t="s">
        <v>307</v>
      </c>
      <c r="P319" t="s">
        <v>100</v>
      </c>
      <c r="R319" t="s">
        <v>652</v>
      </c>
      <c r="T319" s="35">
        <v>3788707</v>
      </c>
    </row>
    <row r="320" spans="1:24" x14ac:dyDescent="0.3">
      <c r="A320" s="39">
        <v>45408</v>
      </c>
      <c r="B320" t="s">
        <v>110</v>
      </c>
      <c r="C320" t="s">
        <v>653</v>
      </c>
      <c r="G320" s="42">
        <v>45408</v>
      </c>
      <c r="I320" s="35">
        <v>-2000000</v>
      </c>
      <c r="K320" t="s">
        <v>112</v>
      </c>
      <c r="L320">
        <v>2404260941</v>
      </c>
      <c r="M320" t="s">
        <v>98</v>
      </c>
      <c r="N320" t="s">
        <v>98</v>
      </c>
      <c r="O320" t="s">
        <v>113</v>
      </c>
      <c r="P320" t="s">
        <v>100</v>
      </c>
      <c r="Q320" t="s">
        <v>277</v>
      </c>
      <c r="R320">
        <v>411700466890</v>
      </c>
      <c r="T320" s="35">
        <v>1788707</v>
      </c>
      <c r="X320" t="s">
        <v>102</v>
      </c>
    </row>
    <row r="321" spans="1:24" x14ac:dyDescent="0.3">
      <c r="A321" s="39">
        <v>45412</v>
      </c>
      <c r="B321" t="s">
        <v>114</v>
      </c>
      <c r="C321" t="s">
        <v>654</v>
      </c>
      <c r="G321" s="42">
        <v>45412</v>
      </c>
      <c r="I321" s="35">
        <v>-100000</v>
      </c>
      <c r="K321" t="s">
        <v>120</v>
      </c>
      <c r="L321">
        <v>2404282128</v>
      </c>
      <c r="M321" t="s">
        <v>106</v>
      </c>
      <c r="N321" t="s">
        <v>106</v>
      </c>
      <c r="O321" t="s">
        <v>113</v>
      </c>
      <c r="P321" t="s">
        <v>100</v>
      </c>
      <c r="R321" t="s">
        <v>655</v>
      </c>
      <c r="T321" s="35">
        <v>1688707</v>
      </c>
    </row>
    <row r="322" spans="1:24" x14ac:dyDescent="0.3">
      <c r="A322" s="39">
        <v>45413</v>
      </c>
      <c r="B322" t="s">
        <v>129</v>
      </c>
      <c r="C322" t="s">
        <v>656</v>
      </c>
      <c r="G322" s="42">
        <v>45412</v>
      </c>
      <c r="J322">
        <v>223</v>
      </c>
      <c r="K322" t="s">
        <v>657</v>
      </c>
      <c r="L322">
        <v>2404302320</v>
      </c>
      <c r="M322" t="s">
        <v>132</v>
      </c>
      <c r="N322" t="s">
        <v>132</v>
      </c>
      <c r="T322" s="35">
        <v>1688930</v>
      </c>
    </row>
    <row r="323" spans="1:24" x14ac:dyDescent="0.3">
      <c r="A323" s="39">
        <v>45413</v>
      </c>
      <c r="B323" t="s">
        <v>114</v>
      </c>
      <c r="C323" t="s">
        <v>658</v>
      </c>
      <c r="G323" s="42">
        <v>45413</v>
      </c>
      <c r="I323" s="35">
        <v>-1630000</v>
      </c>
      <c r="K323" t="s">
        <v>120</v>
      </c>
      <c r="L323">
        <v>2405011417</v>
      </c>
      <c r="M323" t="s">
        <v>106</v>
      </c>
      <c r="N323" t="s">
        <v>106</v>
      </c>
      <c r="O323" t="s">
        <v>113</v>
      </c>
      <c r="P323" t="s">
        <v>100</v>
      </c>
      <c r="R323" t="s">
        <v>659</v>
      </c>
      <c r="T323" s="35">
        <v>58930</v>
      </c>
      <c r="X323" t="s">
        <v>123</v>
      </c>
    </row>
    <row r="324" spans="1:24" x14ac:dyDescent="0.3">
      <c r="A324" s="39">
        <v>45415</v>
      </c>
      <c r="B324" t="s">
        <v>114</v>
      </c>
      <c r="C324" t="s">
        <v>660</v>
      </c>
      <c r="G324" s="42">
        <v>45415</v>
      </c>
      <c r="J324" s="35">
        <v>2334377</v>
      </c>
      <c r="K324" t="s">
        <v>661</v>
      </c>
      <c r="L324">
        <v>2405031353</v>
      </c>
      <c r="M324" t="s">
        <v>71</v>
      </c>
      <c r="N324" t="s">
        <v>71</v>
      </c>
      <c r="P324" t="s">
        <v>117</v>
      </c>
      <c r="R324" t="s">
        <v>662</v>
      </c>
      <c r="T324" s="35">
        <v>2393307</v>
      </c>
    </row>
    <row r="325" spans="1:24" x14ac:dyDescent="0.3">
      <c r="A325" s="39">
        <v>45422</v>
      </c>
      <c r="B325" t="s">
        <v>114</v>
      </c>
      <c r="C325" t="s">
        <v>663</v>
      </c>
      <c r="G325" s="42">
        <v>45422</v>
      </c>
      <c r="J325" s="35">
        <v>4000000</v>
      </c>
      <c r="K325" t="s">
        <v>664</v>
      </c>
      <c r="L325">
        <v>2405101247</v>
      </c>
      <c r="M325" t="s">
        <v>106</v>
      </c>
      <c r="N325" t="s">
        <v>106</v>
      </c>
      <c r="P325" t="s">
        <v>100</v>
      </c>
      <c r="R325">
        <v>970499135166</v>
      </c>
      <c r="T325" s="35">
        <v>6393307</v>
      </c>
      <c r="X325" t="s">
        <v>123</v>
      </c>
    </row>
    <row r="326" spans="1:24" x14ac:dyDescent="0.3">
      <c r="A326" s="39">
        <v>45426</v>
      </c>
      <c r="B326" t="s">
        <v>114</v>
      </c>
      <c r="C326" t="s">
        <v>665</v>
      </c>
      <c r="G326" s="42">
        <v>45426</v>
      </c>
      <c r="I326" s="35">
        <v>-1121000</v>
      </c>
      <c r="K326" t="s">
        <v>666</v>
      </c>
      <c r="L326">
        <v>2405140709</v>
      </c>
      <c r="M326" t="s">
        <v>106</v>
      </c>
      <c r="N326" t="s">
        <v>106</v>
      </c>
      <c r="O326" t="s">
        <v>113</v>
      </c>
      <c r="P326" t="s">
        <v>100</v>
      </c>
      <c r="R326" t="s">
        <v>667</v>
      </c>
      <c r="T326" s="35">
        <v>5272307</v>
      </c>
      <c r="X326" t="s">
        <v>123</v>
      </c>
    </row>
    <row r="327" spans="1:24" x14ac:dyDescent="0.3">
      <c r="A327" s="39">
        <v>45426</v>
      </c>
      <c r="B327" t="s">
        <v>114</v>
      </c>
      <c r="C327" t="s">
        <v>668</v>
      </c>
      <c r="G327" s="42">
        <v>45426</v>
      </c>
      <c r="J327" s="35">
        <v>1650000</v>
      </c>
      <c r="K327" t="s">
        <v>669</v>
      </c>
      <c r="L327">
        <v>2405141211</v>
      </c>
      <c r="M327" t="s">
        <v>106</v>
      </c>
      <c r="N327" t="s">
        <v>106</v>
      </c>
      <c r="P327" t="s">
        <v>100</v>
      </c>
      <c r="R327">
        <v>970499945826</v>
      </c>
      <c r="T327" s="35">
        <v>6922307</v>
      </c>
      <c r="X327" t="s">
        <v>123</v>
      </c>
    </row>
    <row r="328" spans="1:24" x14ac:dyDescent="0.3">
      <c r="A328" s="39">
        <v>45428</v>
      </c>
      <c r="B328" t="s">
        <v>110</v>
      </c>
      <c r="C328" t="s">
        <v>670</v>
      </c>
      <c r="G328" s="42">
        <v>45428</v>
      </c>
      <c r="I328" s="35">
        <v>-5000000</v>
      </c>
      <c r="K328" t="s">
        <v>112</v>
      </c>
      <c r="L328">
        <v>2405161444</v>
      </c>
      <c r="M328" t="s">
        <v>98</v>
      </c>
      <c r="N328" t="s">
        <v>98</v>
      </c>
      <c r="O328" t="s">
        <v>113</v>
      </c>
      <c r="P328" t="s">
        <v>671</v>
      </c>
      <c r="Q328" t="s">
        <v>277</v>
      </c>
      <c r="R328">
        <v>413701727072</v>
      </c>
      <c r="T328" s="35">
        <v>1922307</v>
      </c>
      <c r="X328" t="s">
        <v>102</v>
      </c>
    </row>
    <row r="329" spans="1:24" x14ac:dyDescent="0.3">
      <c r="A329" s="39">
        <v>45428</v>
      </c>
      <c r="B329" t="s">
        <v>110</v>
      </c>
      <c r="C329" t="s">
        <v>672</v>
      </c>
      <c r="G329" s="42">
        <v>45428</v>
      </c>
      <c r="I329" s="35">
        <v>-1500000</v>
      </c>
      <c r="K329" t="s">
        <v>112</v>
      </c>
      <c r="L329">
        <v>2405161445</v>
      </c>
      <c r="M329" t="s">
        <v>98</v>
      </c>
      <c r="N329" t="s">
        <v>98</v>
      </c>
      <c r="O329" t="s">
        <v>113</v>
      </c>
      <c r="P329" t="s">
        <v>671</v>
      </c>
      <c r="Q329" t="s">
        <v>277</v>
      </c>
      <c r="R329">
        <v>413701727233</v>
      </c>
      <c r="T329" s="35">
        <v>422307</v>
      </c>
      <c r="X329" t="s">
        <v>102</v>
      </c>
    </row>
    <row r="330" spans="1:24" x14ac:dyDescent="0.3">
      <c r="A330" s="39">
        <v>45432</v>
      </c>
      <c r="B330" t="s">
        <v>114</v>
      </c>
      <c r="C330" t="s">
        <v>673</v>
      </c>
      <c r="G330" s="42">
        <v>45432</v>
      </c>
      <c r="J330" s="35">
        <v>630000</v>
      </c>
      <c r="K330" t="s">
        <v>674</v>
      </c>
      <c r="L330">
        <v>2405191012</v>
      </c>
      <c r="M330" t="s">
        <v>106</v>
      </c>
      <c r="N330" t="s">
        <v>106</v>
      </c>
      <c r="P330" t="s">
        <v>100</v>
      </c>
      <c r="R330">
        <v>970415559425</v>
      </c>
      <c r="T330" s="35">
        <v>1052307</v>
      </c>
      <c r="X330" t="s">
        <v>123</v>
      </c>
    </row>
    <row r="331" spans="1:24" x14ac:dyDescent="0.3">
      <c r="A331" s="39">
        <v>45432</v>
      </c>
      <c r="B331" t="s">
        <v>110</v>
      </c>
      <c r="C331" t="s">
        <v>675</v>
      </c>
      <c r="G331" s="42">
        <v>45432</v>
      </c>
      <c r="I331" s="35">
        <v>-1000000</v>
      </c>
      <c r="K331" t="s">
        <v>112</v>
      </c>
      <c r="L331">
        <v>2405191045</v>
      </c>
      <c r="M331" t="s">
        <v>98</v>
      </c>
      <c r="N331" t="s">
        <v>98</v>
      </c>
      <c r="O331" t="s">
        <v>113</v>
      </c>
      <c r="P331" t="s">
        <v>100</v>
      </c>
      <c r="Q331" t="s">
        <v>277</v>
      </c>
      <c r="R331">
        <v>414003938745</v>
      </c>
      <c r="T331" s="35">
        <v>52307</v>
      </c>
      <c r="X331" t="s">
        <v>102</v>
      </c>
    </row>
    <row r="332" spans="1:24" x14ac:dyDescent="0.3">
      <c r="A332" s="39">
        <v>45436</v>
      </c>
      <c r="B332" t="s">
        <v>114</v>
      </c>
      <c r="C332" t="s">
        <v>676</v>
      </c>
      <c r="G332" s="42">
        <v>45436</v>
      </c>
      <c r="J332" s="35">
        <v>500000</v>
      </c>
      <c r="K332" t="s">
        <v>677</v>
      </c>
      <c r="L332">
        <v>2405241718</v>
      </c>
      <c r="M332" t="s">
        <v>106</v>
      </c>
      <c r="N332" t="s">
        <v>106</v>
      </c>
      <c r="P332" t="s">
        <v>100</v>
      </c>
      <c r="R332">
        <v>888899375104</v>
      </c>
      <c r="T332" s="35">
        <v>552307</v>
      </c>
      <c r="X332" t="s">
        <v>123</v>
      </c>
    </row>
    <row r="333" spans="1:24" x14ac:dyDescent="0.3">
      <c r="A333" s="39">
        <v>45436</v>
      </c>
      <c r="B333" t="s">
        <v>114</v>
      </c>
      <c r="C333" t="s">
        <v>678</v>
      </c>
      <c r="G333" s="42">
        <v>45436</v>
      </c>
      <c r="I333" s="35">
        <v>-500000</v>
      </c>
      <c r="K333" t="s">
        <v>120</v>
      </c>
      <c r="L333">
        <v>2405241824</v>
      </c>
      <c r="M333" t="s">
        <v>106</v>
      </c>
      <c r="N333" t="s">
        <v>106</v>
      </c>
      <c r="O333" t="s">
        <v>113</v>
      </c>
      <c r="P333" t="s">
        <v>100</v>
      </c>
      <c r="R333" t="s">
        <v>679</v>
      </c>
      <c r="T333" s="35">
        <v>52307</v>
      </c>
      <c r="X333" t="s">
        <v>123</v>
      </c>
    </row>
    <row r="334" spans="1:24" x14ac:dyDescent="0.3">
      <c r="A334" s="39">
        <v>45439</v>
      </c>
      <c r="B334" t="s">
        <v>114</v>
      </c>
      <c r="C334" t="s">
        <v>680</v>
      </c>
      <c r="G334" s="42">
        <v>45439</v>
      </c>
      <c r="J334" s="35">
        <v>70000</v>
      </c>
      <c r="K334" t="s">
        <v>681</v>
      </c>
      <c r="L334">
        <v>2405271403</v>
      </c>
      <c r="M334" t="s">
        <v>106</v>
      </c>
      <c r="N334" t="s">
        <v>106</v>
      </c>
      <c r="P334" t="s">
        <v>100</v>
      </c>
      <c r="R334">
        <v>686868354352</v>
      </c>
      <c r="T334" s="35">
        <v>122307</v>
      </c>
      <c r="X334" t="s">
        <v>123</v>
      </c>
    </row>
    <row r="335" spans="1:24" x14ac:dyDescent="0.3">
      <c r="A335" s="39">
        <v>45440</v>
      </c>
      <c r="B335" t="s">
        <v>114</v>
      </c>
      <c r="C335" t="s">
        <v>682</v>
      </c>
      <c r="G335" s="42">
        <v>45440</v>
      </c>
      <c r="I335" s="35">
        <v>-40000000</v>
      </c>
      <c r="K335" t="s">
        <v>120</v>
      </c>
      <c r="L335">
        <v>2405281620</v>
      </c>
      <c r="M335" t="s">
        <v>106</v>
      </c>
      <c r="N335" t="s">
        <v>106</v>
      </c>
      <c r="O335" t="s">
        <v>113</v>
      </c>
      <c r="P335" t="s">
        <v>100</v>
      </c>
      <c r="R335" t="s">
        <v>683</v>
      </c>
      <c r="T335" s="35">
        <v>-39877693</v>
      </c>
      <c r="X335" t="s">
        <v>123</v>
      </c>
    </row>
    <row r="336" spans="1:24" x14ac:dyDescent="0.3">
      <c r="A336" s="39">
        <v>45440</v>
      </c>
      <c r="B336" t="s">
        <v>114</v>
      </c>
      <c r="C336" t="s">
        <v>684</v>
      </c>
      <c r="G336" s="42">
        <v>45440</v>
      </c>
      <c r="J336" s="35">
        <v>19000000</v>
      </c>
      <c r="K336" t="s">
        <v>685</v>
      </c>
      <c r="L336">
        <v>2405281707</v>
      </c>
      <c r="M336" t="s">
        <v>106</v>
      </c>
      <c r="N336" t="s">
        <v>106</v>
      </c>
      <c r="P336" t="s">
        <v>100</v>
      </c>
      <c r="R336">
        <v>970415024807</v>
      </c>
      <c r="T336" s="35">
        <v>-20877693</v>
      </c>
      <c r="X336" t="s">
        <v>123</v>
      </c>
    </row>
    <row r="337" spans="1:24" x14ac:dyDescent="0.3">
      <c r="A337" s="39">
        <v>45440</v>
      </c>
      <c r="B337" t="s">
        <v>114</v>
      </c>
      <c r="C337" t="s">
        <v>686</v>
      </c>
      <c r="G337" s="42">
        <v>45440</v>
      </c>
      <c r="I337" s="35">
        <v>-19000000</v>
      </c>
      <c r="K337" t="s">
        <v>120</v>
      </c>
      <c r="L337">
        <v>2405281720</v>
      </c>
      <c r="M337" t="s">
        <v>106</v>
      </c>
      <c r="N337" t="s">
        <v>106</v>
      </c>
      <c r="O337" t="s">
        <v>113</v>
      </c>
      <c r="P337" t="s">
        <v>100</v>
      </c>
      <c r="R337" t="s">
        <v>687</v>
      </c>
      <c r="T337" s="35">
        <v>-39877693</v>
      </c>
      <c r="X337" t="s">
        <v>123</v>
      </c>
    </row>
    <row r="338" spans="1:24" x14ac:dyDescent="0.3">
      <c r="A338" s="39">
        <v>45444</v>
      </c>
      <c r="B338" t="s">
        <v>129</v>
      </c>
      <c r="C338" t="s">
        <v>688</v>
      </c>
      <c r="G338" s="42">
        <v>45443</v>
      </c>
      <c r="J338">
        <v>105</v>
      </c>
      <c r="K338" t="s">
        <v>689</v>
      </c>
      <c r="L338">
        <v>2406010223</v>
      </c>
      <c r="M338" t="s">
        <v>132</v>
      </c>
      <c r="N338" t="s">
        <v>132</v>
      </c>
      <c r="T338" s="35">
        <v>-39877588</v>
      </c>
    </row>
    <row r="339" spans="1:24" x14ac:dyDescent="0.3">
      <c r="A339" s="39">
        <v>45453</v>
      </c>
      <c r="B339" t="s">
        <v>114</v>
      </c>
      <c r="C339" t="s">
        <v>690</v>
      </c>
      <c r="G339" s="42">
        <v>45453</v>
      </c>
      <c r="J339" s="35">
        <v>4200000</v>
      </c>
      <c r="K339" t="s">
        <v>691</v>
      </c>
      <c r="L339">
        <v>2406101157</v>
      </c>
      <c r="M339" t="s">
        <v>106</v>
      </c>
      <c r="N339" t="s">
        <v>106</v>
      </c>
      <c r="P339" t="s">
        <v>100</v>
      </c>
      <c r="R339">
        <v>970499596377</v>
      </c>
      <c r="T339" s="35">
        <v>-35677588</v>
      </c>
      <c r="X339" t="s">
        <v>123</v>
      </c>
    </row>
    <row r="340" spans="1:24" x14ac:dyDescent="0.3">
      <c r="A340" s="39">
        <v>45455</v>
      </c>
      <c r="B340" t="s">
        <v>124</v>
      </c>
      <c r="C340" t="s">
        <v>692</v>
      </c>
      <c r="G340" s="42">
        <v>45455</v>
      </c>
      <c r="J340" s="35">
        <v>4032350</v>
      </c>
      <c r="K340" t="s">
        <v>693</v>
      </c>
      <c r="L340">
        <v>2406120903</v>
      </c>
      <c r="M340" t="s">
        <v>71</v>
      </c>
      <c r="N340" t="s">
        <v>71</v>
      </c>
      <c r="O340" t="s">
        <v>113</v>
      </c>
      <c r="P340" t="s">
        <v>127</v>
      </c>
      <c r="T340" s="35">
        <v>-31645238</v>
      </c>
      <c r="X340" t="s">
        <v>128</v>
      </c>
    </row>
    <row r="341" spans="1:24" x14ac:dyDescent="0.3">
      <c r="A341" s="39">
        <v>45458</v>
      </c>
      <c r="B341" t="s">
        <v>114</v>
      </c>
      <c r="C341" t="s">
        <v>694</v>
      </c>
      <c r="G341" s="42">
        <v>45458</v>
      </c>
      <c r="J341" s="35">
        <v>130000</v>
      </c>
      <c r="K341" t="s">
        <v>695</v>
      </c>
      <c r="L341">
        <v>2406151709</v>
      </c>
      <c r="M341" t="s">
        <v>106</v>
      </c>
      <c r="N341" t="s">
        <v>106</v>
      </c>
      <c r="P341" t="s">
        <v>100</v>
      </c>
      <c r="R341">
        <v>686868750025</v>
      </c>
      <c r="T341" s="35">
        <v>-31515238</v>
      </c>
      <c r="X341" t="s">
        <v>123</v>
      </c>
    </row>
    <row r="342" spans="1:24" x14ac:dyDescent="0.3">
      <c r="A342" s="39">
        <v>45458</v>
      </c>
      <c r="B342" t="s">
        <v>114</v>
      </c>
      <c r="C342" t="s">
        <v>696</v>
      </c>
      <c r="G342" s="42">
        <v>45458</v>
      </c>
      <c r="I342" s="35">
        <v>-4400000</v>
      </c>
      <c r="K342" t="s">
        <v>120</v>
      </c>
      <c r="L342">
        <v>2406151915</v>
      </c>
      <c r="M342" t="s">
        <v>106</v>
      </c>
      <c r="N342" t="s">
        <v>106</v>
      </c>
      <c r="O342" t="s">
        <v>113</v>
      </c>
      <c r="P342" t="s">
        <v>100</v>
      </c>
      <c r="R342" t="s">
        <v>697</v>
      </c>
      <c r="T342" s="35">
        <v>-35915238</v>
      </c>
      <c r="X342" t="s">
        <v>123</v>
      </c>
    </row>
    <row r="343" spans="1:24" x14ac:dyDescent="0.3">
      <c r="A343" s="39">
        <v>45458</v>
      </c>
      <c r="B343" t="s">
        <v>114</v>
      </c>
      <c r="C343" t="s">
        <v>698</v>
      </c>
      <c r="G343" s="42">
        <v>45458</v>
      </c>
      <c r="I343" s="35">
        <v>-2000</v>
      </c>
      <c r="K343" t="s">
        <v>120</v>
      </c>
      <c r="L343">
        <v>2406151916</v>
      </c>
      <c r="M343" t="s">
        <v>106</v>
      </c>
      <c r="N343" t="s">
        <v>106</v>
      </c>
      <c r="O343" t="s">
        <v>113</v>
      </c>
      <c r="P343" t="s">
        <v>100</v>
      </c>
      <c r="R343" t="s">
        <v>699</v>
      </c>
      <c r="T343" s="35">
        <v>-35917238</v>
      </c>
    </row>
    <row r="344" spans="1:24" x14ac:dyDescent="0.3">
      <c r="A344" s="39">
        <v>45460</v>
      </c>
      <c r="B344" t="s">
        <v>114</v>
      </c>
      <c r="C344" t="s">
        <v>700</v>
      </c>
      <c r="G344" s="42">
        <v>45460</v>
      </c>
      <c r="I344" s="35">
        <v>-3834500</v>
      </c>
      <c r="K344" t="s">
        <v>120</v>
      </c>
      <c r="L344">
        <v>2406171910</v>
      </c>
      <c r="M344" t="s">
        <v>106</v>
      </c>
      <c r="N344" t="s">
        <v>106</v>
      </c>
      <c r="O344" t="s">
        <v>113</v>
      </c>
      <c r="P344" t="s">
        <v>100</v>
      </c>
      <c r="R344" t="s">
        <v>701</v>
      </c>
      <c r="T344" s="35">
        <v>-39751738</v>
      </c>
    </row>
    <row r="345" spans="1:24" x14ac:dyDescent="0.3">
      <c r="A345" s="39">
        <v>45460</v>
      </c>
      <c r="B345" t="s">
        <v>114</v>
      </c>
      <c r="C345" t="s">
        <v>702</v>
      </c>
      <c r="G345" s="42">
        <v>45460</v>
      </c>
      <c r="J345" s="35">
        <v>1000000</v>
      </c>
      <c r="K345" t="s">
        <v>703</v>
      </c>
      <c r="L345">
        <v>2406171919</v>
      </c>
      <c r="M345" t="s">
        <v>106</v>
      </c>
      <c r="N345" t="s">
        <v>106</v>
      </c>
      <c r="P345" t="s">
        <v>100</v>
      </c>
      <c r="R345">
        <v>970415167950</v>
      </c>
      <c r="T345" s="35">
        <v>-38751738</v>
      </c>
      <c r="X345" t="s">
        <v>123</v>
      </c>
    </row>
    <row r="346" spans="1:24" x14ac:dyDescent="0.3">
      <c r="A346" s="39">
        <v>45460</v>
      </c>
      <c r="B346" t="s">
        <v>704</v>
      </c>
      <c r="C346" t="s">
        <v>705</v>
      </c>
      <c r="G346" s="42">
        <v>45460</v>
      </c>
      <c r="I346" s="35">
        <v>-7700</v>
      </c>
      <c r="K346" t="s">
        <v>706</v>
      </c>
      <c r="L346">
        <v>2406172007</v>
      </c>
      <c r="M346" t="s">
        <v>98</v>
      </c>
      <c r="N346" t="s">
        <v>98</v>
      </c>
      <c r="O346" t="s">
        <v>113</v>
      </c>
      <c r="P346" t="s">
        <v>227</v>
      </c>
      <c r="Q346" t="s">
        <v>277</v>
      </c>
      <c r="R346">
        <v>416913050348</v>
      </c>
      <c r="T346" s="35">
        <v>-38759438</v>
      </c>
    </row>
    <row r="347" spans="1:24" x14ac:dyDescent="0.3">
      <c r="A347" s="39">
        <v>45461</v>
      </c>
      <c r="B347" t="s">
        <v>114</v>
      </c>
      <c r="C347" t="s">
        <v>707</v>
      </c>
      <c r="G347" s="42">
        <v>45461</v>
      </c>
      <c r="I347" s="35">
        <v>-100000</v>
      </c>
      <c r="K347" t="s">
        <v>708</v>
      </c>
      <c r="L347">
        <v>2406182030</v>
      </c>
      <c r="M347" t="s">
        <v>106</v>
      </c>
      <c r="N347" t="s">
        <v>106</v>
      </c>
      <c r="O347" t="s">
        <v>113</v>
      </c>
      <c r="P347" t="s">
        <v>227</v>
      </c>
      <c r="R347" t="s">
        <v>709</v>
      </c>
      <c r="T347" s="35">
        <v>-38859438</v>
      </c>
    </row>
    <row r="348" spans="1:24" x14ac:dyDescent="0.3">
      <c r="A348" s="39">
        <v>45462</v>
      </c>
      <c r="B348" t="s">
        <v>114</v>
      </c>
      <c r="C348" t="s">
        <v>710</v>
      </c>
      <c r="G348" s="42">
        <v>45462</v>
      </c>
      <c r="J348" s="35">
        <v>500000</v>
      </c>
      <c r="K348" t="s">
        <v>711</v>
      </c>
      <c r="L348">
        <v>2406191645</v>
      </c>
      <c r="M348" t="s">
        <v>106</v>
      </c>
      <c r="N348" t="s">
        <v>106</v>
      </c>
      <c r="P348" t="s">
        <v>100</v>
      </c>
      <c r="R348">
        <v>970415453519</v>
      </c>
      <c r="T348" s="35">
        <v>-38359438</v>
      </c>
      <c r="X348" t="s">
        <v>123</v>
      </c>
    </row>
    <row r="349" spans="1:24" x14ac:dyDescent="0.3">
      <c r="A349" s="39">
        <v>45463</v>
      </c>
      <c r="B349" t="s">
        <v>114</v>
      </c>
      <c r="C349" t="s">
        <v>712</v>
      </c>
      <c r="G349" s="42">
        <v>45463</v>
      </c>
      <c r="I349" s="35">
        <v>-50000</v>
      </c>
      <c r="K349" t="s">
        <v>120</v>
      </c>
      <c r="L349">
        <v>2406200100</v>
      </c>
      <c r="M349" t="s">
        <v>106</v>
      </c>
      <c r="N349" t="s">
        <v>106</v>
      </c>
      <c r="O349" t="s">
        <v>113</v>
      </c>
      <c r="P349" t="s">
        <v>100</v>
      </c>
      <c r="R349" t="s">
        <v>713</v>
      </c>
      <c r="T349" s="35">
        <v>-38409438</v>
      </c>
    </row>
    <row r="350" spans="1:24" x14ac:dyDescent="0.3">
      <c r="A350" s="39">
        <v>45463</v>
      </c>
      <c r="B350" t="s">
        <v>114</v>
      </c>
      <c r="C350" t="s">
        <v>714</v>
      </c>
      <c r="G350" s="42">
        <v>45463</v>
      </c>
      <c r="I350" s="35">
        <v>-20000</v>
      </c>
      <c r="K350" t="s">
        <v>120</v>
      </c>
      <c r="L350">
        <v>2406201147</v>
      </c>
      <c r="M350" t="s">
        <v>106</v>
      </c>
      <c r="N350" t="s">
        <v>106</v>
      </c>
      <c r="O350" t="s">
        <v>113</v>
      </c>
      <c r="P350" t="s">
        <v>100</v>
      </c>
      <c r="R350" t="s">
        <v>715</v>
      </c>
      <c r="T350" s="35">
        <v>-38429438</v>
      </c>
    </row>
    <row r="351" spans="1:24" x14ac:dyDescent="0.3">
      <c r="A351" s="39">
        <v>45463</v>
      </c>
      <c r="B351" t="s">
        <v>114</v>
      </c>
      <c r="C351" t="s">
        <v>716</v>
      </c>
      <c r="G351" s="42">
        <v>45463</v>
      </c>
      <c r="I351" s="35">
        <v>-70000</v>
      </c>
      <c r="K351" t="s">
        <v>120</v>
      </c>
      <c r="L351">
        <v>2406201440</v>
      </c>
      <c r="M351" t="s">
        <v>106</v>
      </c>
      <c r="N351" t="s">
        <v>106</v>
      </c>
      <c r="O351" t="s">
        <v>113</v>
      </c>
      <c r="P351" t="s">
        <v>100</v>
      </c>
      <c r="R351" t="s">
        <v>717</v>
      </c>
      <c r="T351" s="35">
        <v>-38499438</v>
      </c>
    </row>
    <row r="352" spans="1:24" x14ac:dyDescent="0.3">
      <c r="A352" s="39">
        <v>45463</v>
      </c>
      <c r="B352" t="s">
        <v>114</v>
      </c>
      <c r="C352" t="s">
        <v>718</v>
      </c>
      <c r="G352" s="42">
        <v>45463</v>
      </c>
      <c r="I352" s="35">
        <v>-1000000</v>
      </c>
      <c r="K352" t="s">
        <v>120</v>
      </c>
      <c r="L352">
        <v>2406201618</v>
      </c>
      <c r="M352" t="s">
        <v>106</v>
      </c>
      <c r="N352" t="s">
        <v>106</v>
      </c>
      <c r="O352" t="s">
        <v>113</v>
      </c>
      <c r="P352" t="s">
        <v>100</v>
      </c>
      <c r="R352" t="s">
        <v>719</v>
      </c>
      <c r="T352" s="35">
        <v>-39499438</v>
      </c>
    </row>
    <row r="353" spans="1:24" x14ac:dyDescent="0.3">
      <c r="A353" s="39">
        <v>45467</v>
      </c>
      <c r="B353" t="s">
        <v>114</v>
      </c>
      <c r="C353" t="s">
        <v>720</v>
      </c>
      <c r="G353" s="42">
        <v>45467</v>
      </c>
      <c r="I353" s="35">
        <v>-50000</v>
      </c>
      <c r="K353" t="s">
        <v>120</v>
      </c>
      <c r="L353">
        <v>2406240800</v>
      </c>
      <c r="M353" t="s">
        <v>106</v>
      </c>
      <c r="N353" t="s">
        <v>106</v>
      </c>
      <c r="O353" t="s">
        <v>113</v>
      </c>
      <c r="P353" t="s">
        <v>100</v>
      </c>
      <c r="R353" t="s">
        <v>721</v>
      </c>
      <c r="T353" s="35">
        <v>-39549438</v>
      </c>
      <c r="X353" t="s">
        <v>123</v>
      </c>
    </row>
    <row r="354" spans="1:24" x14ac:dyDescent="0.3">
      <c r="A354" s="39">
        <v>45468</v>
      </c>
      <c r="B354" t="s">
        <v>114</v>
      </c>
      <c r="C354" t="s">
        <v>722</v>
      </c>
      <c r="G354" s="42">
        <v>45468</v>
      </c>
      <c r="I354" s="35">
        <v>-135000</v>
      </c>
      <c r="K354" t="s">
        <v>120</v>
      </c>
      <c r="L354">
        <v>2406251234</v>
      </c>
      <c r="M354" t="s">
        <v>106</v>
      </c>
      <c r="N354" t="s">
        <v>106</v>
      </c>
      <c r="O354" t="s">
        <v>113</v>
      </c>
      <c r="P354" t="s">
        <v>100</v>
      </c>
      <c r="R354" t="s">
        <v>723</v>
      </c>
      <c r="T354" s="35">
        <v>-39684438</v>
      </c>
      <c r="X354" t="s">
        <v>123</v>
      </c>
    </row>
    <row r="355" spans="1:24" x14ac:dyDescent="0.3">
      <c r="A355" s="39">
        <v>45468</v>
      </c>
      <c r="B355" t="s">
        <v>114</v>
      </c>
      <c r="C355" t="s">
        <v>724</v>
      </c>
      <c r="G355" s="42">
        <v>45468</v>
      </c>
      <c r="I355" s="35">
        <v>-100000</v>
      </c>
      <c r="K355" t="s">
        <v>120</v>
      </c>
      <c r="L355">
        <v>2406251649</v>
      </c>
      <c r="M355" t="s">
        <v>106</v>
      </c>
      <c r="N355" t="s">
        <v>106</v>
      </c>
      <c r="O355" t="s">
        <v>113</v>
      </c>
      <c r="P355" t="s">
        <v>100</v>
      </c>
      <c r="R355" t="s">
        <v>725</v>
      </c>
      <c r="T355" s="35">
        <v>-39784438</v>
      </c>
      <c r="X355" t="s">
        <v>123</v>
      </c>
    </row>
    <row r="356" spans="1:24" x14ac:dyDescent="0.3">
      <c r="A356" s="39">
        <v>45471</v>
      </c>
      <c r="B356" t="s">
        <v>114</v>
      </c>
      <c r="C356" t="s">
        <v>726</v>
      </c>
      <c r="G356" s="42">
        <v>45471</v>
      </c>
      <c r="J356" s="35">
        <v>1000000</v>
      </c>
      <c r="K356" t="s">
        <v>727</v>
      </c>
      <c r="L356">
        <v>2406281953</v>
      </c>
      <c r="M356" t="s">
        <v>106</v>
      </c>
      <c r="N356" t="s">
        <v>106</v>
      </c>
      <c r="P356" t="s">
        <v>100</v>
      </c>
      <c r="R356">
        <v>970415959143</v>
      </c>
      <c r="T356" s="35">
        <v>-38784438</v>
      </c>
      <c r="X356" t="s">
        <v>123</v>
      </c>
    </row>
    <row r="357" spans="1:24" x14ac:dyDescent="0.3">
      <c r="A357" s="39">
        <v>45471</v>
      </c>
      <c r="B357" t="s">
        <v>114</v>
      </c>
      <c r="C357" t="s">
        <v>728</v>
      </c>
      <c r="G357" s="42">
        <v>45471</v>
      </c>
      <c r="I357" s="35">
        <v>-100000</v>
      </c>
      <c r="K357" t="s">
        <v>120</v>
      </c>
      <c r="L357">
        <v>2406282059</v>
      </c>
      <c r="M357" t="s">
        <v>106</v>
      </c>
      <c r="N357" t="s">
        <v>106</v>
      </c>
      <c r="O357" t="s">
        <v>113</v>
      </c>
      <c r="P357" t="s">
        <v>100</v>
      </c>
      <c r="R357" t="s">
        <v>729</v>
      </c>
      <c r="T357" s="35">
        <v>-38884438</v>
      </c>
      <c r="X357" t="s">
        <v>123</v>
      </c>
    </row>
    <row r="358" spans="1:24" x14ac:dyDescent="0.3">
      <c r="A358" s="39">
        <v>45472</v>
      </c>
      <c r="B358" t="s">
        <v>114</v>
      </c>
      <c r="C358" t="s">
        <v>730</v>
      </c>
      <c r="G358" s="42">
        <v>45472</v>
      </c>
      <c r="I358" s="35">
        <v>-790574</v>
      </c>
      <c r="K358" t="s">
        <v>731</v>
      </c>
      <c r="L358">
        <v>2406292041</v>
      </c>
      <c r="M358" t="s">
        <v>71</v>
      </c>
      <c r="N358" t="s">
        <v>71</v>
      </c>
      <c r="O358" t="s">
        <v>113</v>
      </c>
      <c r="P358" t="s">
        <v>100</v>
      </c>
      <c r="T358" s="35">
        <v>-39675012</v>
      </c>
    </row>
    <row r="359" spans="1:24" x14ac:dyDescent="0.3">
      <c r="A359" s="39">
        <v>45473</v>
      </c>
      <c r="B359" t="s">
        <v>114</v>
      </c>
      <c r="C359" t="s">
        <v>732</v>
      </c>
      <c r="G359" s="42">
        <v>45473</v>
      </c>
      <c r="J359" s="35">
        <v>70000</v>
      </c>
      <c r="K359" t="s">
        <v>733</v>
      </c>
      <c r="L359">
        <v>2406301139</v>
      </c>
      <c r="M359" t="s">
        <v>106</v>
      </c>
      <c r="N359" t="s">
        <v>106</v>
      </c>
      <c r="P359" t="s">
        <v>100</v>
      </c>
      <c r="R359">
        <v>686868376635</v>
      </c>
      <c r="T359" s="35">
        <v>-39605012</v>
      </c>
      <c r="X359" t="s">
        <v>123</v>
      </c>
    </row>
    <row r="360" spans="1:24" x14ac:dyDescent="0.3">
      <c r="A360" s="39">
        <v>45475</v>
      </c>
      <c r="B360" t="s">
        <v>114</v>
      </c>
      <c r="C360" t="s">
        <v>734</v>
      </c>
      <c r="G360" s="42">
        <v>45475</v>
      </c>
      <c r="I360" s="35">
        <v>-100000</v>
      </c>
      <c r="K360" t="s">
        <v>735</v>
      </c>
      <c r="L360">
        <v>2407021920</v>
      </c>
      <c r="M360" t="s">
        <v>106</v>
      </c>
      <c r="N360" t="s">
        <v>106</v>
      </c>
      <c r="O360" t="s">
        <v>113</v>
      </c>
      <c r="P360" t="s">
        <v>227</v>
      </c>
      <c r="R360" t="s">
        <v>736</v>
      </c>
      <c r="T360" s="35">
        <v>-39705012</v>
      </c>
    </row>
    <row r="361" spans="1:24" x14ac:dyDescent="0.3">
      <c r="A361" s="39">
        <v>45485</v>
      </c>
      <c r="B361" t="s">
        <v>114</v>
      </c>
      <c r="C361" t="s">
        <v>737</v>
      </c>
      <c r="G361" s="42">
        <v>45485</v>
      </c>
      <c r="I361" s="35">
        <v>-240000</v>
      </c>
      <c r="K361" t="s">
        <v>120</v>
      </c>
      <c r="L361">
        <v>2407120805</v>
      </c>
      <c r="M361" t="s">
        <v>106</v>
      </c>
      <c r="N361" t="s">
        <v>106</v>
      </c>
      <c r="O361" t="s">
        <v>113</v>
      </c>
      <c r="P361" t="s">
        <v>100</v>
      </c>
      <c r="R361" t="s">
        <v>738</v>
      </c>
      <c r="T361" s="35">
        <v>-39945012</v>
      </c>
      <c r="X361" t="s">
        <v>123</v>
      </c>
    </row>
    <row r="362" spans="1:24" x14ac:dyDescent="0.3">
      <c r="A362" s="39">
        <v>45492</v>
      </c>
      <c r="B362" t="s">
        <v>124</v>
      </c>
      <c r="C362" t="s">
        <v>739</v>
      </c>
      <c r="G362" s="42">
        <v>45492</v>
      </c>
      <c r="J362" s="35">
        <v>4032350</v>
      </c>
      <c r="K362" t="s">
        <v>740</v>
      </c>
      <c r="L362">
        <v>2407190822</v>
      </c>
      <c r="M362" t="s">
        <v>71</v>
      </c>
      <c r="N362" t="s">
        <v>71</v>
      </c>
      <c r="O362" t="s">
        <v>113</v>
      </c>
      <c r="P362" t="s">
        <v>127</v>
      </c>
      <c r="T362" s="35">
        <v>-35912662</v>
      </c>
      <c r="X362" t="s">
        <v>128</v>
      </c>
    </row>
    <row r="363" spans="1:24" x14ac:dyDescent="0.3">
      <c r="A363" s="39">
        <v>45492</v>
      </c>
      <c r="B363" t="s">
        <v>114</v>
      </c>
      <c r="C363" t="s">
        <v>741</v>
      </c>
      <c r="G363" s="42">
        <v>45492</v>
      </c>
      <c r="I363" s="35">
        <v>-4000000</v>
      </c>
      <c r="K363" t="s">
        <v>120</v>
      </c>
      <c r="L363">
        <v>2407190908</v>
      </c>
      <c r="M363" t="s">
        <v>106</v>
      </c>
      <c r="N363" t="s">
        <v>106</v>
      </c>
      <c r="O363" t="s">
        <v>113</v>
      </c>
      <c r="P363" t="s">
        <v>100</v>
      </c>
      <c r="R363" t="s">
        <v>742</v>
      </c>
      <c r="T363" s="35">
        <v>-39912662</v>
      </c>
      <c r="X363" t="s">
        <v>123</v>
      </c>
    </row>
    <row r="364" spans="1:24" x14ac:dyDescent="0.3">
      <c r="A364" s="39">
        <v>45492</v>
      </c>
      <c r="B364" t="s">
        <v>114</v>
      </c>
      <c r="C364" t="s">
        <v>743</v>
      </c>
      <c r="G364" s="42">
        <v>45492</v>
      </c>
      <c r="I364" s="35">
        <v>-35000</v>
      </c>
      <c r="K364" t="s">
        <v>120</v>
      </c>
      <c r="L364">
        <v>2407190910</v>
      </c>
      <c r="M364" t="s">
        <v>106</v>
      </c>
      <c r="N364" t="s">
        <v>106</v>
      </c>
      <c r="O364" t="s">
        <v>113</v>
      </c>
      <c r="P364" t="s">
        <v>100</v>
      </c>
      <c r="R364" t="s">
        <v>744</v>
      </c>
      <c r="T364" s="35">
        <v>-39947662</v>
      </c>
    </row>
    <row r="365" spans="1:24" x14ac:dyDescent="0.3">
      <c r="A365" s="39">
        <v>45497</v>
      </c>
      <c r="B365" t="s">
        <v>114</v>
      </c>
      <c r="C365" t="s">
        <v>745</v>
      </c>
      <c r="G365" s="42">
        <v>45497</v>
      </c>
      <c r="J365" s="35">
        <v>500000</v>
      </c>
      <c r="K365" t="s">
        <v>746</v>
      </c>
      <c r="L365">
        <v>2407232110</v>
      </c>
      <c r="M365" t="s">
        <v>106</v>
      </c>
      <c r="N365" t="s">
        <v>106</v>
      </c>
      <c r="P365" t="s">
        <v>100</v>
      </c>
      <c r="R365">
        <v>970454977022</v>
      </c>
      <c r="T365" s="35">
        <v>-39447662</v>
      </c>
      <c r="X365" t="s">
        <v>123</v>
      </c>
    </row>
    <row r="366" spans="1:24" x14ac:dyDescent="0.3">
      <c r="A366" s="39">
        <v>45497</v>
      </c>
      <c r="B366" t="s">
        <v>114</v>
      </c>
      <c r="C366" t="s">
        <v>747</v>
      </c>
      <c r="G366" s="42">
        <v>45497</v>
      </c>
      <c r="I366" s="35">
        <v>-500000</v>
      </c>
      <c r="K366" t="s">
        <v>120</v>
      </c>
      <c r="L366">
        <v>2407232146</v>
      </c>
      <c r="M366" t="s">
        <v>106</v>
      </c>
      <c r="N366" t="s">
        <v>106</v>
      </c>
      <c r="O366" t="s">
        <v>113</v>
      </c>
      <c r="P366" t="s">
        <v>100</v>
      </c>
      <c r="R366" t="s">
        <v>748</v>
      </c>
      <c r="T366" s="35">
        <v>-39947662</v>
      </c>
    </row>
    <row r="367" spans="1:24" x14ac:dyDescent="0.3">
      <c r="A367" s="39">
        <v>45520</v>
      </c>
      <c r="B367" t="s">
        <v>124</v>
      </c>
      <c r="C367" t="s">
        <v>749</v>
      </c>
      <c r="G367" s="42">
        <v>45520</v>
      </c>
      <c r="J367" s="35">
        <v>4032350</v>
      </c>
      <c r="K367" t="s">
        <v>750</v>
      </c>
      <c r="L367">
        <v>2408160915</v>
      </c>
      <c r="M367" t="s">
        <v>71</v>
      </c>
      <c r="N367" t="s">
        <v>71</v>
      </c>
      <c r="O367" t="s">
        <v>113</v>
      </c>
      <c r="P367" t="s">
        <v>127</v>
      </c>
      <c r="T367" s="35">
        <v>-35915312</v>
      </c>
      <c r="X367" t="s">
        <v>128</v>
      </c>
    </row>
    <row r="368" spans="1:24" x14ac:dyDescent="0.3">
      <c r="A368" s="39">
        <v>45520</v>
      </c>
      <c r="B368" t="s">
        <v>114</v>
      </c>
      <c r="C368" t="s">
        <v>751</v>
      </c>
      <c r="G368" s="42">
        <v>45520</v>
      </c>
      <c r="I368" s="35">
        <v>-4030000</v>
      </c>
      <c r="K368" t="s">
        <v>120</v>
      </c>
      <c r="L368">
        <v>2408160921</v>
      </c>
      <c r="M368" t="s">
        <v>106</v>
      </c>
      <c r="N368" t="s">
        <v>106</v>
      </c>
      <c r="O368" t="s">
        <v>113</v>
      </c>
      <c r="P368" t="s">
        <v>100</v>
      </c>
      <c r="R368" t="s">
        <v>752</v>
      </c>
      <c r="T368" s="35">
        <v>-39945312</v>
      </c>
      <c r="X368" t="s">
        <v>123</v>
      </c>
    </row>
    <row r="369" spans="1:24" x14ac:dyDescent="0.3">
      <c r="A369" s="39">
        <v>45520</v>
      </c>
      <c r="B369" t="s">
        <v>753</v>
      </c>
      <c r="C369" t="s">
        <v>754</v>
      </c>
      <c r="G369" s="42">
        <v>45520</v>
      </c>
      <c r="I369" s="35">
        <v>-2329</v>
      </c>
      <c r="K369" t="s">
        <v>755</v>
      </c>
      <c r="L369">
        <v>2408161952</v>
      </c>
      <c r="M369" t="s">
        <v>71</v>
      </c>
      <c r="N369" t="s">
        <v>71</v>
      </c>
      <c r="T369" s="35">
        <v>-39947641</v>
      </c>
    </row>
    <row r="370" spans="1:24" x14ac:dyDescent="0.3">
      <c r="A370" s="39">
        <v>45520</v>
      </c>
      <c r="B370" t="s">
        <v>756</v>
      </c>
      <c r="C370" t="s">
        <v>754</v>
      </c>
      <c r="G370" s="42">
        <v>45520</v>
      </c>
      <c r="I370" s="35">
        <v>-52359</v>
      </c>
      <c r="K370" t="s">
        <v>757</v>
      </c>
      <c r="L370">
        <v>2408161952</v>
      </c>
      <c r="M370" t="s">
        <v>71</v>
      </c>
      <c r="N370" t="s">
        <v>71</v>
      </c>
      <c r="T370" s="35">
        <v>-40000000</v>
      </c>
    </row>
    <row r="371" spans="1:24" x14ac:dyDescent="0.3">
      <c r="A371" s="39">
        <v>45523</v>
      </c>
      <c r="B371" t="s">
        <v>114</v>
      </c>
      <c r="C371" t="s">
        <v>758</v>
      </c>
      <c r="G371" s="42">
        <v>45523</v>
      </c>
      <c r="J371" s="35">
        <v>30000</v>
      </c>
      <c r="K371" t="s">
        <v>759</v>
      </c>
      <c r="L371">
        <v>2408180242</v>
      </c>
      <c r="M371" t="s">
        <v>106</v>
      </c>
      <c r="N371" t="s">
        <v>106</v>
      </c>
      <c r="P371" t="s">
        <v>100</v>
      </c>
      <c r="R371">
        <v>970415821693</v>
      </c>
      <c r="T371" s="35">
        <v>-39970000</v>
      </c>
      <c r="X371" t="s">
        <v>123</v>
      </c>
    </row>
    <row r="372" spans="1:24" x14ac:dyDescent="0.3">
      <c r="A372" s="39">
        <v>45523</v>
      </c>
      <c r="B372" t="s">
        <v>753</v>
      </c>
      <c r="C372" t="s">
        <v>760</v>
      </c>
      <c r="G372" s="42">
        <v>45523</v>
      </c>
      <c r="I372">
        <v>-656</v>
      </c>
      <c r="K372" t="s">
        <v>761</v>
      </c>
      <c r="L372">
        <v>2408191950</v>
      </c>
      <c r="M372" t="s">
        <v>71</v>
      </c>
      <c r="N372" t="s">
        <v>71</v>
      </c>
      <c r="T372" s="35">
        <v>-39970656</v>
      </c>
    </row>
    <row r="373" spans="1:24" x14ac:dyDescent="0.3">
      <c r="A373" s="39">
        <v>45523</v>
      </c>
      <c r="B373" t="s">
        <v>756</v>
      </c>
      <c r="C373" t="s">
        <v>760</v>
      </c>
      <c r="G373" s="42">
        <v>45523</v>
      </c>
      <c r="I373" s="35">
        <v>-29344</v>
      </c>
      <c r="K373" t="s">
        <v>762</v>
      </c>
      <c r="L373">
        <v>2408191950</v>
      </c>
      <c r="M373" t="s">
        <v>71</v>
      </c>
      <c r="N373" t="s">
        <v>71</v>
      </c>
      <c r="T373" s="35">
        <v>-40000000</v>
      </c>
    </row>
    <row r="374" spans="1:24" x14ac:dyDescent="0.3">
      <c r="A374" s="39">
        <v>45526</v>
      </c>
      <c r="B374" t="s">
        <v>114</v>
      </c>
      <c r="C374" t="s">
        <v>763</v>
      </c>
      <c r="G374" s="42">
        <v>45526</v>
      </c>
      <c r="J374" s="35">
        <v>10000</v>
      </c>
      <c r="K374" t="s">
        <v>764</v>
      </c>
      <c r="L374">
        <v>2408220907</v>
      </c>
      <c r="M374" t="s">
        <v>106</v>
      </c>
      <c r="N374" t="s">
        <v>106</v>
      </c>
      <c r="P374" t="s">
        <v>100</v>
      </c>
      <c r="R374">
        <v>970415331472</v>
      </c>
      <c r="T374" s="35">
        <v>-39990000</v>
      </c>
      <c r="X374" t="s">
        <v>123</v>
      </c>
    </row>
    <row r="375" spans="1:24" x14ac:dyDescent="0.3">
      <c r="A375" s="39">
        <v>45526</v>
      </c>
      <c r="B375" t="s">
        <v>753</v>
      </c>
      <c r="C375" t="s">
        <v>765</v>
      </c>
      <c r="G375" s="42">
        <v>45526</v>
      </c>
      <c r="I375">
        <v>-632</v>
      </c>
      <c r="K375" t="s">
        <v>766</v>
      </c>
      <c r="L375">
        <v>2408221951</v>
      </c>
      <c r="M375" t="s">
        <v>71</v>
      </c>
      <c r="N375" t="s">
        <v>71</v>
      </c>
      <c r="T375" s="35">
        <v>-39990632</v>
      </c>
    </row>
    <row r="376" spans="1:24" x14ac:dyDescent="0.3">
      <c r="A376" s="39">
        <v>45526</v>
      </c>
      <c r="B376" t="s">
        <v>756</v>
      </c>
      <c r="C376" t="s">
        <v>765</v>
      </c>
      <c r="G376" s="42">
        <v>45526</v>
      </c>
      <c r="I376" s="35">
        <v>-9368</v>
      </c>
      <c r="K376" t="s">
        <v>767</v>
      </c>
      <c r="L376">
        <v>2408221951</v>
      </c>
      <c r="M376" t="s">
        <v>71</v>
      </c>
      <c r="N376" t="s">
        <v>71</v>
      </c>
      <c r="T376" s="35">
        <v>-40000000</v>
      </c>
    </row>
    <row r="377" spans="1:24" x14ac:dyDescent="0.3">
      <c r="A377" s="39">
        <v>45547</v>
      </c>
      <c r="B377" t="s">
        <v>124</v>
      </c>
      <c r="C377" t="s">
        <v>768</v>
      </c>
      <c r="G377" s="42">
        <v>45547</v>
      </c>
      <c r="J377" s="35">
        <v>4032350</v>
      </c>
      <c r="K377" t="s">
        <v>769</v>
      </c>
      <c r="L377">
        <v>2409120830</v>
      </c>
      <c r="M377" t="s">
        <v>71</v>
      </c>
      <c r="N377" t="s">
        <v>71</v>
      </c>
      <c r="O377" t="s">
        <v>113</v>
      </c>
      <c r="P377" t="s">
        <v>127</v>
      </c>
      <c r="T377" s="35">
        <v>-35967650</v>
      </c>
      <c r="X377" t="s">
        <v>128</v>
      </c>
    </row>
    <row r="378" spans="1:24" x14ac:dyDescent="0.3">
      <c r="A378" s="39">
        <v>45547</v>
      </c>
      <c r="B378" t="s">
        <v>114</v>
      </c>
      <c r="C378" t="s">
        <v>770</v>
      </c>
      <c r="G378" s="42">
        <v>45547</v>
      </c>
      <c r="I378" s="35">
        <v>-4000000</v>
      </c>
      <c r="K378" t="s">
        <v>120</v>
      </c>
      <c r="L378">
        <v>2409121556</v>
      </c>
      <c r="M378" t="s">
        <v>106</v>
      </c>
      <c r="N378" t="s">
        <v>106</v>
      </c>
      <c r="O378" t="s">
        <v>113</v>
      </c>
      <c r="P378" t="s">
        <v>100</v>
      </c>
      <c r="R378" t="s">
        <v>771</v>
      </c>
      <c r="T378" s="35">
        <v>-39967650</v>
      </c>
      <c r="X378" t="s">
        <v>123</v>
      </c>
    </row>
    <row r="379" spans="1:24" x14ac:dyDescent="0.3">
      <c r="A379" s="39">
        <v>45547</v>
      </c>
      <c r="B379" t="s">
        <v>114</v>
      </c>
      <c r="C379" t="s">
        <v>772</v>
      </c>
      <c r="G379" s="42">
        <v>45547</v>
      </c>
      <c r="I379" s="35">
        <v>-30000</v>
      </c>
      <c r="K379" t="s">
        <v>120</v>
      </c>
      <c r="L379">
        <v>2409121602</v>
      </c>
      <c r="M379" t="s">
        <v>106</v>
      </c>
      <c r="N379" t="s">
        <v>106</v>
      </c>
      <c r="O379" t="s">
        <v>113</v>
      </c>
      <c r="P379" t="s">
        <v>100</v>
      </c>
      <c r="R379" t="s">
        <v>773</v>
      </c>
      <c r="T379" s="35">
        <v>-39997650</v>
      </c>
      <c r="X379" t="s">
        <v>123</v>
      </c>
    </row>
    <row r="380" spans="1:24" x14ac:dyDescent="0.3">
      <c r="A380" s="39">
        <v>45547</v>
      </c>
      <c r="B380" t="s">
        <v>753</v>
      </c>
      <c r="C380" t="s">
        <v>774</v>
      </c>
      <c r="G380" s="42">
        <v>45547</v>
      </c>
      <c r="I380" s="35">
        <v>-2350</v>
      </c>
      <c r="K380" t="s">
        <v>775</v>
      </c>
      <c r="L380">
        <v>2409122003</v>
      </c>
      <c r="M380" t="s">
        <v>71</v>
      </c>
      <c r="N380" t="s">
        <v>71</v>
      </c>
      <c r="T380" s="35">
        <v>-40000000</v>
      </c>
    </row>
    <row r="381" spans="1:24" x14ac:dyDescent="0.3">
      <c r="A381" s="39">
        <v>45572</v>
      </c>
      <c r="B381" t="s">
        <v>776</v>
      </c>
      <c r="C381" t="s">
        <v>777</v>
      </c>
      <c r="G381" s="42">
        <v>45572</v>
      </c>
      <c r="J381" s="35">
        <v>40000000</v>
      </c>
      <c r="K381" t="s">
        <v>778</v>
      </c>
      <c r="L381">
        <v>2410060625</v>
      </c>
      <c r="M381" t="s">
        <v>72</v>
      </c>
      <c r="N381" t="s">
        <v>72</v>
      </c>
      <c r="T381">
        <v>0</v>
      </c>
    </row>
    <row r="382" spans="1:24" x14ac:dyDescent="0.3">
      <c r="A382" s="39">
        <v>45579</v>
      </c>
      <c r="B382" t="s">
        <v>114</v>
      </c>
      <c r="C382" t="s">
        <v>779</v>
      </c>
      <c r="G382" s="42">
        <v>45579</v>
      </c>
      <c r="J382" s="35">
        <v>2000</v>
      </c>
      <c r="K382" t="s">
        <v>780</v>
      </c>
      <c r="L382">
        <v>2410131605</v>
      </c>
      <c r="M382" t="s">
        <v>106</v>
      </c>
      <c r="N382" t="s">
        <v>106</v>
      </c>
      <c r="P382" t="s">
        <v>100</v>
      </c>
      <c r="R382">
        <v>970415019942</v>
      </c>
      <c r="T382" s="35">
        <v>2000</v>
      </c>
      <c r="X382" t="s">
        <v>123</v>
      </c>
    </row>
    <row r="383" spans="1:24" x14ac:dyDescent="0.3">
      <c r="A383" s="39">
        <v>45579</v>
      </c>
      <c r="B383" t="s">
        <v>781</v>
      </c>
      <c r="C383" t="s">
        <v>782</v>
      </c>
      <c r="G383" s="42">
        <v>45579</v>
      </c>
      <c r="I383" s="35">
        <v>-2000</v>
      </c>
      <c r="K383" t="s">
        <v>783</v>
      </c>
      <c r="L383">
        <v>2410142039</v>
      </c>
      <c r="M383" t="s">
        <v>71</v>
      </c>
      <c r="N383" t="s">
        <v>71</v>
      </c>
      <c r="T383">
        <v>0</v>
      </c>
    </row>
    <row r="384" spans="1:24" x14ac:dyDescent="0.3">
      <c r="A384" s="39">
        <v>45582</v>
      </c>
      <c r="B384" t="s">
        <v>124</v>
      </c>
      <c r="C384" t="s">
        <v>784</v>
      </c>
      <c r="G384" s="42">
        <v>45582</v>
      </c>
      <c r="J384" s="35">
        <v>4032350</v>
      </c>
      <c r="K384" t="s">
        <v>785</v>
      </c>
      <c r="L384">
        <v>2410170820</v>
      </c>
      <c r="M384" t="s">
        <v>71</v>
      </c>
      <c r="N384" t="s">
        <v>71</v>
      </c>
      <c r="O384" t="s">
        <v>113</v>
      </c>
      <c r="P384" t="s">
        <v>127</v>
      </c>
      <c r="R384" t="s">
        <v>786</v>
      </c>
      <c r="T384" s="35">
        <v>4032350</v>
      </c>
      <c r="X384" t="s">
        <v>128</v>
      </c>
    </row>
    <row r="385" spans="1:20" x14ac:dyDescent="0.3">
      <c r="A385" s="39">
        <v>45582</v>
      </c>
      <c r="B385" t="s">
        <v>114</v>
      </c>
      <c r="C385" t="s">
        <v>787</v>
      </c>
      <c r="G385" s="42">
        <v>45582</v>
      </c>
      <c r="I385" s="35">
        <v>-4000000</v>
      </c>
      <c r="K385" t="s">
        <v>120</v>
      </c>
      <c r="L385">
        <v>2410170907</v>
      </c>
      <c r="M385" t="s">
        <v>106</v>
      </c>
      <c r="N385" t="s">
        <v>106</v>
      </c>
      <c r="O385" t="s">
        <v>113</v>
      </c>
      <c r="P385" t="s">
        <v>100</v>
      </c>
      <c r="R385" t="s">
        <v>788</v>
      </c>
      <c r="T385" s="35">
        <v>32350</v>
      </c>
    </row>
    <row r="386" spans="1:20" x14ac:dyDescent="0.3">
      <c r="A386" s="39">
        <v>45582</v>
      </c>
      <c r="B386" t="s">
        <v>781</v>
      </c>
      <c r="C386" t="s">
        <v>789</v>
      </c>
      <c r="G386" s="42">
        <v>45582</v>
      </c>
      <c r="I386" s="35">
        <v>-32350</v>
      </c>
      <c r="K386" t="s">
        <v>790</v>
      </c>
      <c r="L386">
        <v>2410171941</v>
      </c>
      <c r="M386" t="s">
        <v>71</v>
      </c>
      <c r="N386" t="s">
        <v>71</v>
      </c>
      <c r="T386">
        <v>0</v>
      </c>
    </row>
    <row r="388" spans="1:20" x14ac:dyDescent="0.3">
      <c r="B388" t="s">
        <v>791</v>
      </c>
      <c r="I388" s="35">
        <v>-612711662</v>
      </c>
      <c r="J388" s="35">
        <v>612711662</v>
      </c>
    </row>
    <row r="389" spans="1:20" x14ac:dyDescent="0.3">
      <c r="B389" t="s">
        <v>792</v>
      </c>
      <c r="J389">
        <v>0</v>
      </c>
    </row>
  </sheetData>
  <autoFilter ref="I6:X38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K257"/>
  <sheetViews>
    <sheetView showGridLines="0" zoomScaleNormal="100" workbookViewId="0">
      <selection activeCell="E251" sqref="E251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63" customWidth="1"/>
    <col min="11" max="11" width="17.109375" style="1" customWidth="1"/>
    <col min="12" max="12" width="19.332031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44" t="s">
        <v>15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</row>
    <row r="3" spans="1:63" x14ac:dyDescent="0.3">
      <c r="A3" s="45" t="s">
        <v>0</v>
      </c>
      <c r="B3" s="46"/>
      <c r="C3" s="3"/>
      <c r="D3" s="3"/>
      <c r="E3"/>
      <c r="F3"/>
      <c r="K3"/>
      <c r="L3"/>
    </row>
    <row r="4" spans="1:63" x14ac:dyDescent="0.3">
      <c r="A4" s="6" t="s">
        <v>1</v>
      </c>
      <c r="B4" s="31" t="str">
        <f>PVSKTC!C2</f>
        <v>NGUYEN THI KIEU OANH</v>
      </c>
      <c r="C4" s="3"/>
      <c r="D4" s="3"/>
      <c r="E4"/>
      <c r="F4"/>
      <c r="G4" s="47" t="s">
        <v>16</v>
      </c>
      <c r="H4" s="48"/>
      <c r="J4" s="64"/>
      <c r="K4"/>
      <c r="L4"/>
    </row>
    <row r="5" spans="1:63" x14ac:dyDescent="0.3">
      <c r="A5" s="6" t="s">
        <v>2</v>
      </c>
      <c r="B5" s="31" t="str">
        <f>PVSKTC!B2</f>
        <v>1733906</v>
      </c>
      <c r="C5" s="3"/>
      <c r="D5" s="3"/>
      <c r="E5"/>
      <c r="F5"/>
      <c r="G5" s="20" t="s">
        <v>50</v>
      </c>
      <c r="H5" s="19">
        <f>E251</f>
        <v>0</v>
      </c>
      <c r="J5" s="64"/>
      <c r="K5"/>
      <c r="L5"/>
    </row>
    <row r="6" spans="1:63" x14ac:dyDescent="0.3">
      <c r="A6" s="53" t="s">
        <v>804</v>
      </c>
      <c r="B6" s="56" t="str">
        <f>PVSKTC!D2</f>
        <v>378137873</v>
      </c>
      <c r="C6"/>
      <c r="D6" s="3"/>
      <c r="E6"/>
      <c r="F6"/>
      <c r="G6" s="20" t="s">
        <v>13</v>
      </c>
      <c r="H6" s="19">
        <f>L251+K251-H251</f>
        <v>0</v>
      </c>
      <c r="J6" s="65"/>
      <c r="K6"/>
      <c r="L6"/>
    </row>
    <row r="7" spans="1:63" x14ac:dyDescent="0.3">
      <c r="A7" s="6" t="s">
        <v>46</v>
      </c>
      <c r="B7" s="31">
        <f>THTT!A2</f>
        <v>40000000</v>
      </c>
      <c r="C7" s="3"/>
      <c r="D7" s="3"/>
      <c r="E7"/>
      <c r="F7"/>
      <c r="G7" s="27" t="s">
        <v>21</v>
      </c>
      <c r="H7" s="19">
        <f>H5+H6</f>
        <v>0</v>
      </c>
      <c r="J7" s="64"/>
      <c r="K7"/>
      <c r="L7"/>
    </row>
    <row r="8" spans="1:63" x14ac:dyDescent="0.3">
      <c r="A8" s="57" t="s">
        <v>793</v>
      </c>
      <c r="B8" s="12">
        <f>THTT!B2</f>
        <v>45440</v>
      </c>
      <c r="C8" s="3"/>
      <c r="D8" s="3"/>
      <c r="E8"/>
      <c r="F8"/>
      <c r="G8"/>
      <c r="H8"/>
      <c r="I8"/>
      <c r="J8" s="64"/>
      <c r="K8"/>
      <c r="L8"/>
    </row>
    <row r="9" spans="1:63" x14ac:dyDescent="0.3">
      <c r="A9" s="6" t="s">
        <v>3</v>
      </c>
      <c r="B9" s="12">
        <f>THTT!C2</f>
        <v>45477</v>
      </c>
      <c r="C9" s="3"/>
      <c r="D9" s="3"/>
      <c r="E9"/>
      <c r="F9"/>
      <c r="G9"/>
      <c r="H9"/>
      <c r="J9" s="64"/>
      <c r="K9"/>
      <c r="L9"/>
    </row>
    <row r="10" spans="1:63" x14ac:dyDescent="0.3">
      <c r="A10" s="6" t="s">
        <v>12</v>
      </c>
      <c r="B10" s="62">
        <f>THTT!D2</f>
        <v>45721</v>
      </c>
      <c r="C10" s="3"/>
      <c r="D10" s="3"/>
      <c r="E10"/>
      <c r="F10"/>
      <c r="G10"/>
      <c r="H10"/>
      <c r="J10" s="64"/>
      <c r="K10"/>
      <c r="L10"/>
    </row>
    <row r="11" spans="1:63" x14ac:dyDescent="0.3">
      <c r="A11" s="59"/>
      <c r="B11" s="60"/>
      <c r="C11" s="3"/>
      <c r="D11" s="3"/>
      <c r="E11"/>
      <c r="F11"/>
      <c r="G11"/>
      <c r="H11"/>
      <c r="J11" s="64"/>
      <c r="K11"/>
      <c r="L11"/>
    </row>
    <row r="12" spans="1:63" ht="39" customHeight="1" x14ac:dyDescent="0.3">
      <c r="A12" s="23" t="s">
        <v>4</v>
      </c>
      <c r="B12" s="23" t="s">
        <v>14</v>
      </c>
      <c r="C12" s="23" t="s">
        <v>5</v>
      </c>
      <c r="D12" s="23" t="s">
        <v>6</v>
      </c>
      <c r="E12" s="23" t="s">
        <v>47</v>
      </c>
      <c r="F12" s="23" t="s">
        <v>49</v>
      </c>
      <c r="G12" s="23" t="s">
        <v>48</v>
      </c>
      <c r="H12" s="23" t="s">
        <v>10</v>
      </c>
      <c r="I12" s="23" t="s">
        <v>7</v>
      </c>
      <c r="J12" s="66" t="s">
        <v>17</v>
      </c>
      <c r="K12" s="23" t="s">
        <v>8</v>
      </c>
      <c r="L12" s="23" t="s">
        <v>9</v>
      </c>
    </row>
    <row r="13" spans="1:63" s="4" customFormat="1" x14ac:dyDescent="0.3">
      <c r="A13" s="21" t="str">
        <f>IF(E13&lt;=0,"",IF(B13&gt;=$B$9,"QUÁ HẠN","TRONG HẠN"))</f>
        <v/>
      </c>
      <c r="B13" s="22"/>
      <c r="C13" s="43">
        <f>IFERROR(IF(B14="", $B$10, B14-1), $B$10)</f>
        <v>45721</v>
      </c>
      <c r="D13" s="21">
        <f>C13-B13+1</f>
        <v>45722</v>
      </c>
      <c r="E13" s="58">
        <f>F13-G13</f>
        <v>0</v>
      </c>
      <c r="F13" s="10"/>
      <c r="G13" s="10"/>
      <c r="H13" s="10">
        <f>IFERROR(VLOOKUP(B13,PVSKTC!$A$4:$D$1048576,4,0),0)</f>
        <v>0</v>
      </c>
      <c r="I13" s="17" t="str">
        <f>IFERROR(IF(E13&gt;0,THTT!E$2,""),0)</f>
        <v/>
      </c>
      <c r="J13" s="18" t="str">
        <f>IF(A13="QUÁ HẠN",I13*150%,"")</f>
        <v/>
      </c>
      <c r="K13" s="10" t="str">
        <f>IF(E13&gt;0,E13*I13*D13/365,"")</f>
        <v/>
      </c>
      <c r="L13" s="10" t="str">
        <f>IF(A13="QUÁ HẠN",E13*I13*D13/365,"")</f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21" t="str">
        <f t="shared" ref="A14:A77" si="0">IF(E14&lt;=0,"",IF(B14&gt;=$B$9,"QUÁ HẠN","TRONG HẠN"))</f>
        <v/>
      </c>
      <c r="B14" s="22"/>
      <c r="C14" s="43">
        <f t="shared" ref="C14:C77" si="1">IFERROR(IF(B15="", $B$10, B15-1), $B$10)</f>
        <v>45721</v>
      </c>
      <c r="D14" s="21">
        <f t="shared" ref="D14:D77" si="2">C14-B14+1</f>
        <v>45722</v>
      </c>
      <c r="E14" s="58">
        <f>E13+F14-G14</f>
        <v>0</v>
      </c>
      <c r="F14" s="10">
        <f>IFERROR(VLOOKUP(B14,PVSKTC!$A$4:$D$1048576,2,0),0)</f>
        <v>0</v>
      </c>
      <c r="G14" s="10">
        <f>IFERROR(VLOOKUP(B14,PVSKTC!$A$4:$D$1048576,3,0),0)</f>
        <v>0</v>
      </c>
      <c r="H14" s="10">
        <f>IFERROR(VLOOKUP(B14,PVSKTC!$A$4:$D$1048576,4,0),0)</f>
        <v>0</v>
      </c>
      <c r="I14" s="17" t="str">
        <f>IFERROR(IF(E14&gt;0,THTT!E$2,""),"")</f>
        <v/>
      </c>
      <c r="J14" s="18" t="str">
        <f t="shared" ref="J14:J77" si="3">IF(A14="QUÁ HẠN",I14*150%,"")</f>
        <v/>
      </c>
      <c r="K14" s="10" t="str">
        <f t="shared" ref="K14:K77" si="4">IF(E14&gt;0,E14*I14*D14/365,"")</f>
        <v/>
      </c>
      <c r="L14" s="10" t="str">
        <f t="shared" ref="L14:L77" si="5">IF(A14="QUÁ HẠN",E14*I14*D14/365,"")</f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21" t="str">
        <f t="shared" si="0"/>
        <v/>
      </c>
      <c r="B15" s="22"/>
      <c r="C15" s="43">
        <f t="shared" si="1"/>
        <v>45721</v>
      </c>
      <c r="D15" s="21">
        <f t="shared" si="2"/>
        <v>45722</v>
      </c>
      <c r="E15" s="58">
        <f t="shared" ref="E15:E78" si="6">E14+F15-G15</f>
        <v>0</v>
      </c>
      <c r="F15" s="10">
        <f>IFERROR(VLOOKUP(B15,PVSKTC!$A$4:$D$1048576,2,0),0)</f>
        <v>0</v>
      </c>
      <c r="G15" s="10">
        <f>IFERROR(VLOOKUP(B15,PVSKTC!$A$4:$D$1048576,3,0),0)</f>
        <v>0</v>
      </c>
      <c r="H15" s="10">
        <f>IFERROR(VLOOKUP(B15,PVSKTC!$A$4:$D$1048576,4,0),0)</f>
        <v>0</v>
      </c>
      <c r="I15" s="17" t="str">
        <f>IFERROR(IF(E15&gt;0,THTT!E$2,""),"")</f>
        <v/>
      </c>
      <c r="J15" s="18" t="str">
        <f t="shared" si="3"/>
        <v/>
      </c>
      <c r="K15" s="10" t="str">
        <f t="shared" si="4"/>
        <v/>
      </c>
      <c r="L15" s="10" t="str">
        <f t="shared" si="5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21" t="str">
        <f t="shared" si="0"/>
        <v/>
      </c>
      <c r="B16" s="22"/>
      <c r="C16" s="43">
        <f t="shared" si="1"/>
        <v>45721</v>
      </c>
      <c r="D16" s="21">
        <f t="shared" si="2"/>
        <v>45722</v>
      </c>
      <c r="E16" s="58">
        <f t="shared" si="6"/>
        <v>0</v>
      </c>
      <c r="F16" s="10">
        <f>IFERROR(VLOOKUP(B16,PVSKTC!$A$4:$D$1048576,2,0),0)</f>
        <v>0</v>
      </c>
      <c r="G16" s="10">
        <f>IFERROR(VLOOKUP(B16,PVSKTC!$A$4:$D$1048576,3,0),0)</f>
        <v>0</v>
      </c>
      <c r="H16" s="10">
        <f>IFERROR(VLOOKUP(B16,PVSKTC!$A$4:$D$1048576,4,0),0)</f>
        <v>0</v>
      </c>
      <c r="I16" s="17" t="str">
        <f>IFERROR(IF(E16&gt;0,THTT!E$2,""),"")</f>
        <v/>
      </c>
      <c r="J16" s="18" t="str">
        <f t="shared" si="3"/>
        <v/>
      </c>
      <c r="K16" s="10" t="str">
        <f t="shared" si="4"/>
        <v/>
      </c>
      <c r="L16" s="10" t="str">
        <f t="shared" si="5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21" t="str">
        <f t="shared" si="0"/>
        <v/>
      </c>
      <c r="B17" s="22"/>
      <c r="C17" s="43">
        <f t="shared" si="1"/>
        <v>45721</v>
      </c>
      <c r="D17" s="21">
        <f t="shared" si="2"/>
        <v>45722</v>
      </c>
      <c r="E17" s="58">
        <f t="shared" si="6"/>
        <v>0</v>
      </c>
      <c r="F17" s="10">
        <f>IFERROR(VLOOKUP(B17,PVSKTC!$A$4:$D$1048576,2,0),0)</f>
        <v>0</v>
      </c>
      <c r="G17" s="10">
        <f>IFERROR(VLOOKUP(B17,PVSKTC!$A$4:$D$1048576,3,0),0)</f>
        <v>0</v>
      </c>
      <c r="H17" s="10">
        <f>IFERROR(VLOOKUP(B17,PVSKTC!$A$4:$D$1048576,4,0),0)</f>
        <v>0</v>
      </c>
      <c r="I17" s="17" t="str">
        <f>IFERROR(IF(E17&gt;0,THTT!E$2,""),"")</f>
        <v/>
      </c>
      <c r="J17" s="18" t="str">
        <f t="shared" si="3"/>
        <v/>
      </c>
      <c r="K17" s="10" t="str">
        <f t="shared" si="4"/>
        <v/>
      </c>
      <c r="L17" s="10" t="str">
        <f t="shared" si="5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21" t="str">
        <f t="shared" si="0"/>
        <v/>
      </c>
      <c r="B18" s="22"/>
      <c r="C18" s="43">
        <f t="shared" si="1"/>
        <v>45721</v>
      </c>
      <c r="D18" s="21">
        <f t="shared" si="2"/>
        <v>45722</v>
      </c>
      <c r="E18" s="58">
        <f t="shared" si="6"/>
        <v>0</v>
      </c>
      <c r="F18" s="10">
        <f>IFERROR(VLOOKUP(B18,PVSKTC!$A$4:$D$1048576,2,0),0)</f>
        <v>0</v>
      </c>
      <c r="G18" s="10">
        <f>IFERROR(VLOOKUP(B18,PVSKTC!$A$4:$D$1048576,3,0),0)</f>
        <v>0</v>
      </c>
      <c r="H18" s="10">
        <f>IFERROR(VLOOKUP(B18,PVSKTC!$A$4:$D$1048576,4,0),0)</f>
        <v>0</v>
      </c>
      <c r="I18" s="17" t="str">
        <f>IFERROR(IF(E18&gt;0,THTT!E$2,""),"")</f>
        <v/>
      </c>
      <c r="J18" s="18" t="str">
        <f t="shared" si="3"/>
        <v/>
      </c>
      <c r="K18" s="10" t="str">
        <f t="shared" si="4"/>
        <v/>
      </c>
      <c r="L18" s="10" t="str">
        <f t="shared" si="5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21" t="str">
        <f t="shared" si="0"/>
        <v/>
      </c>
      <c r="B19" s="22"/>
      <c r="C19" s="43">
        <f t="shared" si="1"/>
        <v>45721</v>
      </c>
      <c r="D19" s="21">
        <f t="shared" si="2"/>
        <v>45722</v>
      </c>
      <c r="E19" s="58">
        <f t="shared" si="6"/>
        <v>0</v>
      </c>
      <c r="F19" s="10">
        <f>IFERROR(VLOOKUP(B19,PVSKTC!$A$4:$D$1048576,2,0),0)</f>
        <v>0</v>
      </c>
      <c r="G19" s="10">
        <f>IFERROR(VLOOKUP(B19,PVSKTC!$A$4:$D$1048576,3,0),0)</f>
        <v>0</v>
      </c>
      <c r="H19" s="10">
        <f>IFERROR(VLOOKUP(B19,PVSKTC!$A$4:$D$1048576,4,0),0)</f>
        <v>0</v>
      </c>
      <c r="I19" s="17" t="str">
        <f>IFERROR(IF(E19&gt;0,THTT!E$2,""),"")</f>
        <v/>
      </c>
      <c r="J19" s="18" t="str">
        <f t="shared" si="3"/>
        <v/>
      </c>
      <c r="K19" s="10" t="str">
        <f t="shared" si="4"/>
        <v/>
      </c>
      <c r="L19" s="10" t="str">
        <f t="shared" si="5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21" t="str">
        <f t="shared" si="0"/>
        <v/>
      </c>
      <c r="B20" s="22"/>
      <c r="C20" s="43">
        <f t="shared" si="1"/>
        <v>45721</v>
      </c>
      <c r="D20" s="21">
        <f t="shared" si="2"/>
        <v>45722</v>
      </c>
      <c r="E20" s="58">
        <f t="shared" si="6"/>
        <v>0</v>
      </c>
      <c r="F20" s="10">
        <f>IFERROR(VLOOKUP(B20,PVSKTC!$A$4:$D$1048576,2,0),0)</f>
        <v>0</v>
      </c>
      <c r="G20" s="10">
        <f>IFERROR(VLOOKUP(B20,PVSKTC!$A$4:$D$1048576,3,0),0)</f>
        <v>0</v>
      </c>
      <c r="H20" s="10">
        <f>IFERROR(VLOOKUP(B20,PVSKTC!$A$4:$D$1048576,4,0),0)</f>
        <v>0</v>
      </c>
      <c r="I20" s="17" t="str">
        <f>IFERROR(IF(E20&gt;0,THTT!E$2,""),"")</f>
        <v/>
      </c>
      <c r="J20" s="18" t="str">
        <f t="shared" si="3"/>
        <v/>
      </c>
      <c r="K20" s="10" t="str">
        <f t="shared" si="4"/>
        <v/>
      </c>
      <c r="L20" s="10" t="str">
        <f t="shared" si="5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21" t="str">
        <f t="shared" si="0"/>
        <v/>
      </c>
      <c r="B21" s="22"/>
      <c r="C21" s="43">
        <f t="shared" si="1"/>
        <v>45721</v>
      </c>
      <c r="D21" s="21">
        <f t="shared" si="2"/>
        <v>45722</v>
      </c>
      <c r="E21" s="58">
        <f t="shared" si="6"/>
        <v>0</v>
      </c>
      <c r="F21" s="10">
        <f>IFERROR(VLOOKUP(B21,PVSKTC!$A$4:$D$1048576,2,0),0)</f>
        <v>0</v>
      </c>
      <c r="G21" s="10">
        <f>IFERROR(VLOOKUP(B21,PVSKTC!$A$4:$D$1048576,3,0),0)</f>
        <v>0</v>
      </c>
      <c r="H21" s="10">
        <f>IFERROR(VLOOKUP(B21,PVSKTC!$A$4:$D$1048576,4,0),0)</f>
        <v>0</v>
      </c>
      <c r="I21" s="17" t="str">
        <f>IFERROR(IF(E21&gt;0,THTT!E$2,""),"")</f>
        <v/>
      </c>
      <c r="J21" s="18" t="str">
        <f t="shared" si="3"/>
        <v/>
      </c>
      <c r="K21" s="10" t="str">
        <f t="shared" si="4"/>
        <v/>
      </c>
      <c r="L21" s="10" t="str">
        <f t="shared" si="5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21" t="str">
        <f t="shared" si="0"/>
        <v/>
      </c>
      <c r="B22" s="22"/>
      <c r="C22" s="43">
        <f t="shared" si="1"/>
        <v>45721</v>
      </c>
      <c r="D22" s="21">
        <f t="shared" si="2"/>
        <v>45722</v>
      </c>
      <c r="E22" s="58">
        <f t="shared" si="6"/>
        <v>0</v>
      </c>
      <c r="F22" s="10">
        <f>IFERROR(VLOOKUP(B22,PVSKTC!$A$4:$D$1048576,2,0),0)</f>
        <v>0</v>
      </c>
      <c r="G22" s="10">
        <f>IFERROR(VLOOKUP(B22,PVSKTC!$A$4:$D$1048576,3,0),0)</f>
        <v>0</v>
      </c>
      <c r="H22" s="10">
        <f>IFERROR(VLOOKUP(B22,PVSKTC!$A$4:$D$1048576,4,0),0)</f>
        <v>0</v>
      </c>
      <c r="I22" s="17" t="str">
        <f>IFERROR(IF(E22&gt;0,THTT!E$2,""),"")</f>
        <v/>
      </c>
      <c r="J22" s="18" t="str">
        <f t="shared" si="3"/>
        <v/>
      </c>
      <c r="K22" s="10" t="str">
        <f t="shared" si="4"/>
        <v/>
      </c>
      <c r="L22" s="10" t="str">
        <f t="shared" si="5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21" t="str">
        <f t="shared" si="0"/>
        <v/>
      </c>
      <c r="B23" s="22"/>
      <c r="C23" s="43">
        <f t="shared" si="1"/>
        <v>45721</v>
      </c>
      <c r="D23" s="21">
        <f t="shared" si="2"/>
        <v>45722</v>
      </c>
      <c r="E23" s="58">
        <f t="shared" si="6"/>
        <v>0</v>
      </c>
      <c r="F23" s="10">
        <f>IFERROR(VLOOKUP(B23,PVSKTC!$A$4:$D$1048576,2,0),0)</f>
        <v>0</v>
      </c>
      <c r="G23" s="10">
        <f>IFERROR(VLOOKUP(B23,PVSKTC!$A$4:$D$1048576,3,0),0)</f>
        <v>0</v>
      </c>
      <c r="H23" s="10">
        <f>IFERROR(VLOOKUP(B23,PVSKTC!$A$4:$D$1048576,4,0),0)</f>
        <v>0</v>
      </c>
      <c r="I23" s="17" t="str">
        <f>IFERROR(IF(E23&gt;0,THTT!E$2,""),"")</f>
        <v/>
      </c>
      <c r="J23" s="18" t="str">
        <f t="shared" si="3"/>
        <v/>
      </c>
      <c r="K23" s="10" t="str">
        <f t="shared" si="4"/>
        <v/>
      </c>
      <c r="L23" s="10" t="str">
        <f t="shared" si="5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21" t="str">
        <f t="shared" si="0"/>
        <v/>
      </c>
      <c r="B24" s="22"/>
      <c r="C24" s="43">
        <f t="shared" si="1"/>
        <v>45721</v>
      </c>
      <c r="D24" s="21">
        <f t="shared" si="2"/>
        <v>45722</v>
      </c>
      <c r="E24" s="58">
        <f t="shared" si="6"/>
        <v>0</v>
      </c>
      <c r="F24" s="10">
        <f>IFERROR(VLOOKUP(B24,PVSKTC!$A$4:$D$1048576,2,0),0)</f>
        <v>0</v>
      </c>
      <c r="G24" s="10">
        <f>IFERROR(VLOOKUP(B24,PVSKTC!$A$4:$D$1048576,3,0),0)</f>
        <v>0</v>
      </c>
      <c r="H24" s="10">
        <f>IFERROR(VLOOKUP(B24,PVSKTC!$A$4:$D$1048576,4,0),0)</f>
        <v>0</v>
      </c>
      <c r="I24" s="17" t="str">
        <f>IFERROR(IF(E24&gt;0,THTT!E$2,""),"")</f>
        <v/>
      </c>
      <c r="J24" s="18" t="str">
        <f t="shared" si="3"/>
        <v/>
      </c>
      <c r="K24" s="10" t="str">
        <f t="shared" si="4"/>
        <v/>
      </c>
      <c r="L24" s="10" t="str">
        <f t="shared" si="5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21" t="str">
        <f t="shared" si="0"/>
        <v/>
      </c>
      <c r="B25" s="22"/>
      <c r="C25" s="43">
        <f t="shared" si="1"/>
        <v>45721</v>
      </c>
      <c r="D25" s="21">
        <f t="shared" si="2"/>
        <v>45722</v>
      </c>
      <c r="E25" s="58">
        <f t="shared" si="6"/>
        <v>0</v>
      </c>
      <c r="F25" s="10">
        <f>IFERROR(VLOOKUP(B25,PVSKTC!$A$4:$D$1048576,2,0),0)</f>
        <v>0</v>
      </c>
      <c r="G25" s="10">
        <f>IFERROR(VLOOKUP(B25,PVSKTC!$A$4:$D$1048576,3,0),0)</f>
        <v>0</v>
      </c>
      <c r="H25" s="10">
        <f>IFERROR(VLOOKUP(B25,PVSKTC!$A$4:$D$1048576,4,0),0)</f>
        <v>0</v>
      </c>
      <c r="I25" s="17" t="str">
        <f>IFERROR(IF(E25&gt;0,THTT!E$2,""),"")</f>
        <v/>
      </c>
      <c r="J25" s="18" t="str">
        <f t="shared" si="3"/>
        <v/>
      </c>
      <c r="K25" s="10" t="str">
        <f t="shared" si="4"/>
        <v/>
      </c>
      <c r="L25" s="10" t="str">
        <f t="shared" si="5"/>
        <v/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21" t="str">
        <f t="shared" si="0"/>
        <v/>
      </c>
      <c r="B26" s="22"/>
      <c r="C26" s="43">
        <f t="shared" si="1"/>
        <v>45721</v>
      </c>
      <c r="D26" s="21">
        <f t="shared" si="2"/>
        <v>45722</v>
      </c>
      <c r="E26" s="58">
        <f t="shared" si="6"/>
        <v>0</v>
      </c>
      <c r="F26" s="10">
        <f>IFERROR(VLOOKUP(B26,PVSKTC!$A$4:$D$1048576,2,0),0)</f>
        <v>0</v>
      </c>
      <c r="G26" s="10">
        <f>IFERROR(VLOOKUP(B26,PVSKTC!$A$4:$D$1048576,3,0),0)</f>
        <v>0</v>
      </c>
      <c r="H26" s="10">
        <f>IFERROR(VLOOKUP(B26,PVSKTC!$A$4:$D$1048576,4,0),0)</f>
        <v>0</v>
      </c>
      <c r="I26" s="17" t="str">
        <f>IFERROR(IF(E26&gt;0,THTT!E$2,""),"")</f>
        <v/>
      </c>
      <c r="J26" s="18" t="str">
        <f t="shared" si="3"/>
        <v/>
      </c>
      <c r="K26" s="10" t="str">
        <f t="shared" si="4"/>
        <v/>
      </c>
      <c r="L26" s="10" t="str">
        <f t="shared" si="5"/>
        <v/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21" t="str">
        <f t="shared" si="0"/>
        <v/>
      </c>
      <c r="B27" s="22"/>
      <c r="C27" s="43">
        <f t="shared" si="1"/>
        <v>45721</v>
      </c>
      <c r="D27" s="21">
        <f t="shared" si="2"/>
        <v>45722</v>
      </c>
      <c r="E27" s="58">
        <f t="shared" si="6"/>
        <v>0</v>
      </c>
      <c r="F27" s="10">
        <f>IFERROR(VLOOKUP(B27,PVSKTC!$A$4:$D$1048576,2,0),0)</f>
        <v>0</v>
      </c>
      <c r="G27" s="10">
        <f>IFERROR(VLOOKUP(B27,PVSKTC!$A$4:$D$1048576,3,0),0)</f>
        <v>0</v>
      </c>
      <c r="H27" s="10">
        <f>IFERROR(VLOOKUP(B27,PVSKTC!$A$4:$D$1048576,4,0),0)</f>
        <v>0</v>
      </c>
      <c r="I27" s="17" t="str">
        <f>IFERROR(IF(E27&gt;0,THTT!E$2,""),"")</f>
        <v/>
      </c>
      <c r="J27" s="18" t="str">
        <f t="shared" si="3"/>
        <v/>
      </c>
      <c r="K27" s="10" t="str">
        <f t="shared" si="4"/>
        <v/>
      </c>
      <c r="L27" s="10" t="str">
        <f t="shared" si="5"/>
        <v/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21" t="str">
        <f t="shared" si="0"/>
        <v/>
      </c>
      <c r="B28" s="22"/>
      <c r="C28" s="43">
        <f t="shared" si="1"/>
        <v>45721</v>
      </c>
      <c r="D28" s="21">
        <f t="shared" si="2"/>
        <v>45722</v>
      </c>
      <c r="E28" s="58">
        <f t="shared" si="6"/>
        <v>0</v>
      </c>
      <c r="F28" s="10">
        <f>IFERROR(VLOOKUP(B28,PVSKTC!$A$4:$D$1048576,2,0),0)</f>
        <v>0</v>
      </c>
      <c r="G28" s="10">
        <f>IFERROR(VLOOKUP(B28,PVSKTC!$A$4:$D$1048576,3,0),0)</f>
        <v>0</v>
      </c>
      <c r="H28" s="10">
        <f>IFERROR(VLOOKUP(B28,PVSKTC!$A$4:$D$1048576,4,0),0)</f>
        <v>0</v>
      </c>
      <c r="I28" s="17" t="str">
        <f>IFERROR(IF(E28&gt;0,THTT!E$2,""),"")</f>
        <v/>
      </c>
      <c r="J28" s="18" t="str">
        <f t="shared" si="3"/>
        <v/>
      </c>
      <c r="K28" s="10" t="str">
        <f t="shared" si="4"/>
        <v/>
      </c>
      <c r="L28" s="10" t="str">
        <f t="shared" si="5"/>
        <v/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21" t="str">
        <f t="shared" si="0"/>
        <v/>
      </c>
      <c r="B29" s="22"/>
      <c r="C29" s="43">
        <f t="shared" si="1"/>
        <v>45721</v>
      </c>
      <c r="D29" s="21">
        <f t="shared" si="2"/>
        <v>45722</v>
      </c>
      <c r="E29" s="58">
        <f t="shared" si="6"/>
        <v>0</v>
      </c>
      <c r="F29" s="10">
        <f>IFERROR(VLOOKUP(B29,PVSKTC!$A$4:$D$1048576,2,0),0)</f>
        <v>0</v>
      </c>
      <c r="G29" s="10">
        <f>IFERROR(VLOOKUP(B29,PVSKTC!$A$4:$D$1048576,3,0),0)</f>
        <v>0</v>
      </c>
      <c r="H29" s="10">
        <f>IFERROR(VLOOKUP(B29,PVSKTC!$A$4:$D$1048576,4,0),0)</f>
        <v>0</v>
      </c>
      <c r="I29" s="17" t="str">
        <f>IFERROR(IF(E29&gt;0,THTT!E$2,""),"")</f>
        <v/>
      </c>
      <c r="J29" s="18" t="str">
        <f t="shared" si="3"/>
        <v/>
      </c>
      <c r="K29" s="10" t="str">
        <f t="shared" si="4"/>
        <v/>
      </c>
      <c r="L29" s="10" t="str">
        <f t="shared" si="5"/>
        <v/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21" t="str">
        <f t="shared" si="0"/>
        <v/>
      </c>
      <c r="B30" s="22"/>
      <c r="C30" s="43">
        <f t="shared" si="1"/>
        <v>45721</v>
      </c>
      <c r="D30" s="21">
        <f t="shared" si="2"/>
        <v>45722</v>
      </c>
      <c r="E30" s="58">
        <f t="shared" si="6"/>
        <v>0</v>
      </c>
      <c r="F30" s="10">
        <f>IFERROR(VLOOKUP(B30,PVSKTC!$A$4:$D$1048576,2,0),0)</f>
        <v>0</v>
      </c>
      <c r="G30" s="10">
        <f>IFERROR(VLOOKUP(B30,PVSKTC!$A$4:$D$1048576,3,0),0)</f>
        <v>0</v>
      </c>
      <c r="H30" s="10">
        <f>IFERROR(VLOOKUP(B30,PVSKTC!$A$4:$D$1048576,4,0),0)</f>
        <v>0</v>
      </c>
      <c r="I30" s="17" t="str">
        <f>IFERROR(IF(E30&gt;0,THTT!E$2,""),"")</f>
        <v/>
      </c>
      <c r="J30" s="18" t="str">
        <f t="shared" si="3"/>
        <v/>
      </c>
      <c r="K30" s="10" t="str">
        <f t="shared" si="4"/>
        <v/>
      </c>
      <c r="L30" s="10" t="str">
        <f t="shared" si="5"/>
        <v/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21" t="str">
        <f t="shared" si="0"/>
        <v/>
      </c>
      <c r="B31" s="22"/>
      <c r="C31" s="43">
        <f t="shared" si="1"/>
        <v>45721</v>
      </c>
      <c r="D31" s="21">
        <f t="shared" si="2"/>
        <v>45722</v>
      </c>
      <c r="E31" s="58">
        <f t="shared" si="6"/>
        <v>0</v>
      </c>
      <c r="F31" s="10">
        <f>IFERROR(VLOOKUP(B31,PVSKTC!$A$4:$D$1048576,2,0),0)</f>
        <v>0</v>
      </c>
      <c r="G31" s="10">
        <f>IFERROR(VLOOKUP(B31,PVSKTC!$A$4:$D$1048576,3,0),0)</f>
        <v>0</v>
      </c>
      <c r="H31" s="10">
        <f>IFERROR(VLOOKUP(B31,PVSKTC!$A$4:$D$1048576,4,0),0)</f>
        <v>0</v>
      </c>
      <c r="I31" s="17" t="str">
        <f>IFERROR(IF(E31&gt;0,THTT!E$2,""),"")</f>
        <v/>
      </c>
      <c r="J31" s="18" t="str">
        <f t="shared" si="3"/>
        <v/>
      </c>
      <c r="K31" s="10" t="str">
        <f t="shared" si="4"/>
        <v/>
      </c>
      <c r="L31" s="10" t="str">
        <f t="shared" si="5"/>
        <v/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21" t="str">
        <f t="shared" si="0"/>
        <v/>
      </c>
      <c r="B32" s="22"/>
      <c r="C32" s="43">
        <f t="shared" si="1"/>
        <v>45721</v>
      </c>
      <c r="D32" s="21">
        <f t="shared" si="2"/>
        <v>45722</v>
      </c>
      <c r="E32" s="58">
        <f t="shared" si="6"/>
        <v>0</v>
      </c>
      <c r="F32" s="10">
        <f>IFERROR(VLOOKUP(B32,PVSKTC!$A$4:$D$1048576,2,0),0)</f>
        <v>0</v>
      </c>
      <c r="G32" s="10">
        <f>IFERROR(VLOOKUP(B32,PVSKTC!$A$4:$D$1048576,3,0),0)</f>
        <v>0</v>
      </c>
      <c r="H32" s="10">
        <f>IFERROR(VLOOKUP(B32,PVSKTC!$A$4:$D$1048576,4,0),0)</f>
        <v>0</v>
      </c>
      <c r="I32" s="17" t="str">
        <f>IFERROR(IF(E32&gt;0,THTT!E$2,""),"")</f>
        <v/>
      </c>
      <c r="J32" s="18" t="str">
        <f t="shared" si="3"/>
        <v/>
      </c>
      <c r="K32" s="10" t="str">
        <f t="shared" si="4"/>
        <v/>
      </c>
      <c r="L32" s="10" t="str">
        <f t="shared" si="5"/>
        <v/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21" t="str">
        <f t="shared" si="0"/>
        <v/>
      </c>
      <c r="B33" s="22"/>
      <c r="C33" s="43">
        <f t="shared" si="1"/>
        <v>45721</v>
      </c>
      <c r="D33" s="21">
        <f t="shared" si="2"/>
        <v>45722</v>
      </c>
      <c r="E33" s="58">
        <f t="shared" si="6"/>
        <v>0</v>
      </c>
      <c r="F33" s="10">
        <f>IFERROR(VLOOKUP(B33,PVSKTC!$A$4:$D$1048576,2,0),0)</f>
        <v>0</v>
      </c>
      <c r="G33" s="10">
        <f>IFERROR(VLOOKUP(B33,PVSKTC!$A$4:$D$1048576,3,0),0)</f>
        <v>0</v>
      </c>
      <c r="H33" s="10">
        <f>IFERROR(VLOOKUP(B33,PVSKTC!$A$4:$D$1048576,4,0),0)</f>
        <v>0</v>
      </c>
      <c r="I33" s="17" t="str">
        <f>IFERROR(IF(E33&gt;0,THTT!E$2,""),"")</f>
        <v/>
      </c>
      <c r="J33" s="18" t="str">
        <f t="shared" si="3"/>
        <v/>
      </c>
      <c r="K33" s="10" t="str">
        <f t="shared" si="4"/>
        <v/>
      </c>
      <c r="L33" s="10" t="str">
        <f t="shared" si="5"/>
        <v/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21" t="str">
        <f t="shared" si="0"/>
        <v/>
      </c>
      <c r="B34" s="22"/>
      <c r="C34" s="43">
        <f t="shared" si="1"/>
        <v>45721</v>
      </c>
      <c r="D34" s="21">
        <f t="shared" si="2"/>
        <v>45722</v>
      </c>
      <c r="E34" s="58">
        <f t="shared" si="6"/>
        <v>0</v>
      </c>
      <c r="F34" s="10">
        <f>IFERROR(VLOOKUP(B34,PVSKTC!$A$4:$D$1048576,2,0),0)</f>
        <v>0</v>
      </c>
      <c r="G34" s="10">
        <f>IFERROR(VLOOKUP(B34,PVSKTC!$A$4:$D$1048576,3,0),0)</f>
        <v>0</v>
      </c>
      <c r="H34" s="10">
        <f>IFERROR(VLOOKUP(B34,PVSKTC!$A$4:$D$1048576,4,0),0)</f>
        <v>0</v>
      </c>
      <c r="I34" s="17" t="str">
        <f>IFERROR(IF(E34&gt;0,THTT!E$2,""),"")</f>
        <v/>
      </c>
      <c r="J34" s="18" t="str">
        <f t="shared" si="3"/>
        <v/>
      </c>
      <c r="K34" s="10" t="str">
        <f t="shared" si="4"/>
        <v/>
      </c>
      <c r="L34" s="10" t="str">
        <f t="shared" si="5"/>
        <v/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21" t="str">
        <f t="shared" si="0"/>
        <v/>
      </c>
      <c r="B35" s="22"/>
      <c r="C35" s="43">
        <f t="shared" si="1"/>
        <v>45721</v>
      </c>
      <c r="D35" s="21">
        <f t="shared" si="2"/>
        <v>45722</v>
      </c>
      <c r="E35" s="58">
        <f t="shared" si="6"/>
        <v>0</v>
      </c>
      <c r="F35" s="10">
        <f>IFERROR(VLOOKUP(B35,PVSKTC!$A$4:$D$1048576,2,0),0)</f>
        <v>0</v>
      </c>
      <c r="G35" s="10">
        <f>IFERROR(VLOOKUP(B35,PVSKTC!$A$4:$D$1048576,3,0),0)</f>
        <v>0</v>
      </c>
      <c r="H35" s="10">
        <f>IFERROR(VLOOKUP(B35,PVSKTC!$A$4:$D$1048576,4,0),0)</f>
        <v>0</v>
      </c>
      <c r="I35" s="17" t="str">
        <f>IFERROR(IF(E35&gt;0,THTT!E$2,""),"")</f>
        <v/>
      </c>
      <c r="J35" s="18" t="str">
        <f t="shared" si="3"/>
        <v/>
      </c>
      <c r="K35" s="10" t="str">
        <f t="shared" si="4"/>
        <v/>
      </c>
      <c r="L35" s="10" t="str">
        <f t="shared" si="5"/>
        <v/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21" t="str">
        <f t="shared" si="0"/>
        <v/>
      </c>
      <c r="B36" s="22"/>
      <c r="C36" s="43">
        <f t="shared" si="1"/>
        <v>45721</v>
      </c>
      <c r="D36" s="21">
        <f t="shared" si="2"/>
        <v>45722</v>
      </c>
      <c r="E36" s="58">
        <f t="shared" si="6"/>
        <v>0</v>
      </c>
      <c r="F36" s="10">
        <f>IFERROR(VLOOKUP(B36,PVSKTC!$A$4:$D$1048576,2,0),0)</f>
        <v>0</v>
      </c>
      <c r="G36" s="10">
        <f>IFERROR(VLOOKUP(B36,PVSKTC!$A$4:$D$1048576,3,0),0)</f>
        <v>0</v>
      </c>
      <c r="H36" s="10">
        <f>IFERROR(VLOOKUP(B36,PVSKTC!$A$4:$D$1048576,4,0),0)</f>
        <v>0</v>
      </c>
      <c r="I36" s="17" t="str">
        <f>IFERROR(IF(E36&gt;0,THTT!E$2,""),"")</f>
        <v/>
      </c>
      <c r="J36" s="18" t="str">
        <f t="shared" si="3"/>
        <v/>
      </c>
      <c r="K36" s="10" t="str">
        <f t="shared" si="4"/>
        <v/>
      </c>
      <c r="L36" s="10" t="str">
        <f t="shared" si="5"/>
        <v/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21" t="str">
        <f t="shared" si="0"/>
        <v/>
      </c>
      <c r="B37" s="22"/>
      <c r="C37" s="43">
        <f t="shared" si="1"/>
        <v>45721</v>
      </c>
      <c r="D37" s="21">
        <f t="shared" si="2"/>
        <v>45722</v>
      </c>
      <c r="E37" s="58">
        <f t="shared" si="6"/>
        <v>0</v>
      </c>
      <c r="F37" s="10">
        <f>IFERROR(VLOOKUP(B37,PVSKTC!$A$4:$D$1048576,2,0),0)</f>
        <v>0</v>
      </c>
      <c r="G37" s="10">
        <f>IFERROR(VLOOKUP(B37,PVSKTC!$A$4:$D$1048576,3,0),0)</f>
        <v>0</v>
      </c>
      <c r="H37" s="10">
        <f>IFERROR(VLOOKUP(B37,PVSKTC!$A$4:$D$1048576,4,0),0)</f>
        <v>0</v>
      </c>
      <c r="I37" s="17" t="str">
        <f>IFERROR(IF(E37&gt;0,THTT!E$2,""),"")</f>
        <v/>
      </c>
      <c r="J37" s="18" t="str">
        <f t="shared" si="3"/>
        <v/>
      </c>
      <c r="K37" s="10" t="str">
        <f t="shared" si="4"/>
        <v/>
      </c>
      <c r="L37" s="10" t="str">
        <f t="shared" si="5"/>
        <v/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21" t="str">
        <f t="shared" si="0"/>
        <v/>
      </c>
      <c r="B38" s="22"/>
      <c r="C38" s="43">
        <f t="shared" si="1"/>
        <v>45721</v>
      </c>
      <c r="D38" s="21">
        <f t="shared" si="2"/>
        <v>45722</v>
      </c>
      <c r="E38" s="58">
        <f t="shared" si="6"/>
        <v>0</v>
      </c>
      <c r="F38" s="10">
        <f>IFERROR(VLOOKUP(B38,PVSKTC!$A$4:$D$1048576,2,0),0)</f>
        <v>0</v>
      </c>
      <c r="G38" s="10">
        <f>IFERROR(VLOOKUP(B38,PVSKTC!$A$4:$D$1048576,3,0),0)</f>
        <v>0</v>
      </c>
      <c r="H38" s="10">
        <f>IFERROR(VLOOKUP(B38,PVSKTC!$A$4:$D$1048576,4,0),0)</f>
        <v>0</v>
      </c>
      <c r="I38" s="17" t="str">
        <f>IFERROR(IF(E38&gt;0,THTT!E$2,""),"")</f>
        <v/>
      </c>
      <c r="J38" s="18" t="str">
        <f t="shared" si="3"/>
        <v/>
      </c>
      <c r="K38" s="10" t="str">
        <f t="shared" si="4"/>
        <v/>
      </c>
      <c r="L38" s="10" t="str">
        <f t="shared" si="5"/>
        <v/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21" t="str">
        <f t="shared" si="0"/>
        <v/>
      </c>
      <c r="B39" s="22"/>
      <c r="C39" s="43">
        <f t="shared" si="1"/>
        <v>45721</v>
      </c>
      <c r="D39" s="21">
        <f t="shared" si="2"/>
        <v>45722</v>
      </c>
      <c r="E39" s="58">
        <f t="shared" si="6"/>
        <v>0</v>
      </c>
      <c r="F39" s="10">
        <f>IFERROR(VLOOKUP(B39,PVSKTC!$A$4:$D$1048576,2,0),0)</f>
        <v>0</v>
      </c>
      <c r="G39" s="10">
        <f>IFERROR(VLOOKUP(B39,PVSKTC!$A$4:$D$1048576,3,0),0)</f>
        <v>0</v>
      </c>
      <c r="H39" s="10">
        <f>IFERROR(VLOOKUP(B39,PVSKTC!$A$4:$D$1048576,4,0),0)</f>
        <v>0</v>
      </c>
      <c r="I39" s="17" t="str">
        <f>IFERROR(IF(E39&gt;0,THTT!E$2,""),"")</f>
        <v/>
      </c>
      <c r="J39" s="18" t="str">
        <f t="shared" si="3"/>
        <v/>
      </c>
      <c r="K39" s="10" t="str">
        <f t="shared" si="4"/>
        <v/>
      </c>
      <c r="L39" s="10" t="str">
        <f t="shared" si="5"/>
        <v/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21" t="str">
        <f t="shared" si="0"/>
        <v/>
      </c>
      <c r="B40" s="22"/>
      <c r="C40" s="43">
        <f t="shared" si="1"/>
        <v>45721</v>
      </c>
      <c r="D40" s="21">
        <f t="shared" si="2"/>
        <v>45722</v>
      </c>
      <c r="E40" s="58">
        <f t="shared" si="6"/>
        <v>0</v>
      </c>
      <c r="F40" s="10">
        <f>IFERROR(VLOOKUP(B40,PVSKTC!$A$4:$D$1048576,2,0),0)</f>
        <v>0</v>
      </c>
      <c r="G40" s="10">
        <f>IFERROR(VLOOKUP(B40,PVSKTC!$A$4:$D$1048576,3,0),0)</f>
        <v>0</v>
      </c>
      <c r="H40" s="10">
        <f>IFERROR(VLOOKUP(B40,PVSKTC!$A$4:$D$1048576,4,0),0)</f>
        <v>0</v>
      </c>
      <c r="I40" s="17" t="str">
        <f>IFERROR(IF(E40&gt;0,THTT!E$2,""),"")</f>
        <v/>
      </c>
      <c r="J40" s="18" t="str">
        <f t="shared" si="3"/>
        <v/>
      </c>
      <c r="K40" s="10" t="str">
        <f t="shared" si="4"/>
        <v/>
      </c>
      <c r="L40" s="10" t="str">
        <f t="shared" si="5"/>
        <v/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21" t="str">
        <f t="shared" si="0"/>
        <v/>
      </c>
      <c r="B41" s="22"/>
      <c r="C41" s="43">
        <f t="shared" si="1"/>
        <v>45721</v>
      </c>
      <c r="D41" s="21">
        <f t="shared" si="2"/>
        <v>45722</v>
      </c>
      <c r="E41" s="58">
        <f t="shared" si="6"/>
        <v>0</v>
      </c>
      <c r="F41" s="10">
        <f>IFERROR(VLOOKUP(B41,PVSKTC!$A$4:$D$1048576,2,0),0)</f>
        <v>0</v>
      </c>
      <c r="G41" s="10">
        <f>IFERROR(VLOOKUP(B41,PVSKTC!$A$4:$D$1048576,3,0),0)</f>
        <v>0</v>
      </c>
      <c r="H41" s="10">
        <f>IFERROR(VLOOKUP(B41,PVSKTC!$A$4:$D$1048576,4,0),0)</f>
        <v>0</v>
      </c>
      <c r="I41" s="17" t="str">
        <f>IFERROR(IF(E41&gt;0,THTT!E$2,""),"")</f>
        <v/>
      </c>
      <c r="J41" s="18" t="str">
        <f t="shared" si="3"/>
        <v/>
      </c>
      <c r="K41" s="10" t="str">
        <f t="shared" si="4"/>
        <v/>
      </c>
      <c r="L41" s="10" t="str">
        <f t="shared" si="5"/>
        <v/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21" t="str">
        <f t="shared" si="0"/>
        <v/>
      </c>
      <c r="B42" s="22"/>
      <c r="C42" s="43">
        <f t="shared" si="1"/>
        <v>45721</v>
      </c>
      <c r="D42" s="21">
        <f t="shared" si="2"/>
        <v>45722</v>
      </c>
      <c r="E42" s="58">
        <f t="shared" si="6"/>
        <v>0</v>
      </c>
      <c r="F42" s="10">
        <f>IFERROR(VLOOKUP(B42,PVSKTC!$A$4:$D$1048576,2,0),0)</f>
        <v>0</v>
      </c>
      <c r="G42" s="10">
        <f>IFERROR(VLOOKUP(B42,PVSKTC!$A$4:$D$1048576,3,0),0)</f>
        <v>0</v>
      </c>
      <c r="H42" s="10">
        <f>IFERROR(VLOOKUP(B42,PVSKTC!$A$4:$D$1048576,4,0),0)</f>
        <v>0</v>
      </c>
      <c r="I42" s="17" t="str">
        <f>IFERROR(IF(E42&gt;0,THTT!E$2,""),"")</f>
        <v/>
      </c>
      <c r="J42" s="18" t="str">
        <f t="shared" si="3"/>
        <v/>
      </c>
      <c r="K42" s="10" t="str">
        <f t="shared" si="4"/>
        <v/>
      </c>
      <c r="L42" s="10" t="str">
        <f t="shared" si="5"/>
        <v/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21" t="str">
        <f t="shared" si="0"/>
        <v/>
      </c>
      <c r="B43" s="22"/>
      <c r="C43" s="43">
        <f t="shared" si="1"/>
        <v>45721</v>
      </c>
      <c r="D43" s="21">
        <f t="shared" si="2"/>
        <v>45722</v>
      </c>
      <c r="E43" s="58">
        <f t="shared" si="6"/>
        <v>0</v>
      </c>
      <c r="F43" s="10">
        <f>IFERROR(VLOOKUP(B43,PVSKTC!$A$4:$D$1048576,2,0),0)</f>
        <v>0</v>
      </c>
      <c r="G43" s="10">
        <f>IFERROR(VLOOKUP(B43,PVSKTC!$A$4:$D$1048576,3,0),0)</f>
        <v>0</v>
      </c>
      <c r="H43" s="10">
        <f>IFERROR(VLOOKUP(B43,PVSKTC!$A$4:$D$1048576,4,0),0)</f>
        <v>0</v>
      </c>
      <c r="I43" s="17" t="str">
        <f>IFERROR(IF(E43&gt;0,THTT!E$2,""),"")</f>
        <v/>
      </c>
      <c r="J43" s="18" t="str">
        <f t="shared" si="3"/>
        <v/>
      </c>
      <c r="K43" s="10" t="str">
        <f t="shared" si="4"/>
        <v/>
      </c>
      <c r="L43" s="10" t="str">
        <f t="shared" si="5"/>
        <v/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21" t="str">
        <f t="shared" si="0"/>
        <v/>
      </c>
      <c r="B44" s="22"/>
      <c r="C44" s="43">
        <f t="shared" si="1"/>
        <v>45721</v>
      </c>
      <c r="D44" s="21">
        <f t="shared" si="2"/>
        <v>45722</v>
      </c>
      <c r="E44" s="58">
        <f t="shared" si="6"/>
        <v>0</v>
      </c>
      <c r="F44" s="10">
        <f>IFERROR(VLOOKUP(B44,PVSKTC!$A$4:$D$1048576,2,0),0)</f>
        <v>0</v>
      </c>
      <c r="G44" s="10">
        <f>IFERROR(VLOOKUP(B44,PVSKTC!$A$4:$D$1048576,3,0),0)</f>
        <v>0</v>
      </c>
      <c r="H44" s="10">
        <f>IFERROR(VLOOKUP(B44,PVSKTC!$A$4:$D$1048576,4,0),0)</f>
        <v>0</v>
      </c>
      <c r="I44" s="17" t="str">
        <f>IFERROR(IF(E44&gt;0,THTT!E$2,""),"")</f>
        <v/>
      </c>
      <c r="J44" s="18" t="str">
        <f t="shared" si="3"/>
        <v/>
      </c>
      <c r="K44" s="10" t="str">
        <f t="shared" si="4"/>
        <v/>
      </c>
      <c r="L44" s="10" t="str">
        <f t="shared" si="5"/>
        <v/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21" t="str">
        <f t="shared" si="0"/>
        <v/>
      </c>
      <c r="B45" s="22"/>
      <c r="C45" s="43">
        <f t="shared" si="1"/>
        <v>45721</v>
      </c>
      <c r="D45" s="21">
        <f t="shared" si="2"/>
        <v>45722</v>
      </c>
      <c r="E45" s="58">
        <f t="shared" si="6"/>
        <v>0</v>
      </c>
      <c r="F45" s="10">
        <f>IFERROR(VLOOKUP(B45,PVSKTC!$A$4:$D$1048576,2,0),0)</f>
        <v>0</v>
      </c>
      <c r="G45" s="10">
        <f>IFERROR(VLOOKUP(B45,PVSKTC!$A$4:$D$1048576,3,0),0)</f>
        <v>0</v>
      </c>
      <c r="H45" s="10">
        <f>IFERROR(VLOOKUP(B45,PVSKTC!$A$4:$D$1048576,4,0),0)</f>
        <v>0</v>
      </c>
      <c r="I45" s="17" t="str">
        <f>IFERROR(IF(E45&gt;0,THTT!E$2,""),"")</f>
        <v/>
      </c>
      <c r="J45" s="18" t="str">
        <f t="shared" si="3"/>
        <v/>
      </c>
      <c r="K45" s="10" t="str">
        <f t="shared" si="4"/>
        <v/>
      </c>
      <c r="L45" s="10" t="str">
        <f t="shared" si="5"/>
        <v/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21" t="str">
        <f t="shared" si="0"/>
        <v/>
      </c>
      <c r="B46" s="22"/>
      <c r="C46" s="43">
        <f t="shared" si="1"/>
        <v>45721</v>
      </c>
      <c r="D46" s="21">
        <f t="shared" si="2"/>
        <v>45722</v>
      </c>
      <c r="E46" s="58">
        <f t="shared" si="6"/>
        <v>0</v>
      </c>
      <c r="F46" s="10">
        <f>IFERROR(VLOOKUP(B46,PVSKTC!$A$4:$D$1048576,2,0),0)</f>
        <v>0</v>
      </c>
      <c r="G46" s="10">
        <f>IFERROR(VLOOKUP(B46,PVSKTC!$A$4:$D$1048576,3,0),0)</f>
        <v>0</v>
      </c>
      <c r="H46" s="10">
        <f>IFERROR(VLOOKUP(B46,PVSKTC!$A$4:$D$1048576,4,0),0)</f>
        <v>0</v>
      </c>
      <c r="I46" s="17" t="str">
        <f>IFERROR(IF(E46&gt;0,THTT!E$2,""),"")</f>
        <v/>
      </c>
      <c r="J46" s="18" t="str">
        <f t="shared" si="3"/>
        <v/>
      </c>
      <c r="K46" s="10" t="str">
        <f t="shared" si="4"/>
        <v/>
      </c>
      <c r="L46" s="10" t="str">
        <f t="shared" si="5"/>
        <v/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21" t="str">
        <f t="shared" si="0"/>
        <v/>
      </c>
      <c r="B47" s="22"/>
      <c r="C47" s="43">
        <f t="shared" si="1"/>
        <v>45721</v>
      </c>
      <c r="D47" s="21">
        <f t="shared" si="2"/>
        <v>45722</v>
      </c>
      <c r="E47" s="58">
        <f t="shared" si="6"/>
        <v>0</v>
      </c>
      <c r="F47" s="10">
        <f>IFERROR(VLOOKUP(B47,PVSKTC!$A$4:$D$1048576,2,0),0)</f>
        <v>0</v>
      </c>
      <c r="G47" s="10">
        <f>IFERROR(VLOOKUP(B47,PVSKTC!$A$4:$D$1048576,3,0),0)</f>
        <v>0</v>
      </c>
      <c r="H47" s="10">
        <f>IFERROR(VLOOKUP(B47,PVSKTC!$A$4:$D$1048576,4,0),0)</f>
        <v>0</v>
      </c>
      <c r="I47" s="17" t="str">
        <f>IFERROR(IF(E47&gt;0,THTT!E$2,""),"")</f>
        <v/>
      </c>
      <c r="J47" s="18" t="str">
        <f t="shared" si="3"/>
        <v/>
      </c>
      <c r="K47" s="10" t="str">
        <f t="shared" si="4"/>
        <v/>
      </c>
      <c r="L47" s="10" t="str">
        <f t="shared" si="5"/>
        <v/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21" t="str">
        <f t="shared" si="0"/>
        <v/>
      </c>
      <c r="B48" s="22"/>
      <c r="C48" s="43">
        <f t="shared" si="1"/>
        <v>45721</v>
      </c>
      <c r="D48" s="21">
        <f t="shared" si="2"/>
        <v>45722</v>
      </c>
      <c r="E48" s="58">
        <f t="shared" si="6"/>
        <v>0</v>
      </c>
      <c r="F48" s="10">
        <f>IFERROR(VLOOKUP(B48,PVSKTC!$A$4:$D$1048576,2,0),0)</f>
        <v>0</v>
      </c>
      <c r="G48" s="10">
        <f>IFERROR(VLOOKUP(B48,PVSKTC!$A$4:$D$1048576,3,0),0)</f>
        <v>0</v>
      </c>
      <c r="H48" s="10">
        <f>IFERROR(VLOOKUP(B48,PVSKTC!$A$4:$D$1048576,4,0),0)</f>
        <v>0</v>
      </c>
      <c r="I48" s="17" t="str">
        <f>IFERROR(IF(E48&gt;0,THTT!E$2,""),"")</f>
        <v/>
      </c>
      <c r="J48" s="18" t="str">
        <f t="shared" si="3"/>
        <v/>
      </c>
      <c r="K48" s="10" t="str">
        <f t="shared" si="4"/>
        <v/>
      </c>
      <c r="L48" s="10" t="str">
        <f t="shared" si="5"/>
        <v/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21" t="str">
        <f t="shared" si="0"/>
        <v/>
      </c>
      <c r="B49" s="22"/>
      <c r="C49" s="43">
        <f t="shared" si="1"/>
        <v>45721</v>
      </c>
      <c r="D49" s="21">
        <f t="shared" si="2"/>
        <v>45722</v>
      </c>
      <c r="E49" s="58">
        <f t="shared" si="6"/>
        <v>0</v>
      </c>
      <c r="F49" s="10">
        <f>IFERROR(VLOOKUP(B49,PVSKTC!$A$4:$D$1048576,2,0),0)</f>
        <v>0</v>
      </c>
      <c r="G49" s="10">
        <f>IFERROR(VLOOKUP(B49,PVSKTC!$A$4:$D$1048576,3,0),0)</f>
        <v>0</v>
      </c>
      <c r="H49" s="10">
        <f>IFERROR(VLOOKUP(B49,PVSKTC!$A$4:$D$1048576,4,0),0)</f>
        <v>0</v>
      </c>
      <c r="I49" s="17" t="str">
        <f>IFERROR(IF(E49&gt;0,THTT!E$2,""),"")</f>
        <v/>
      </c>
      <c r="J49" s="18" t="str">
        <f t="shared" si="3"/>
        <v/>
      </c>
      <c r="K49" s="10" t="str">
        <f t="shared" si="4"/>
        <v/>
      </c>
      <c r="L49" s="10" t="str">
        <f t="shared" si="5"/>
        <v/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21" t="str">
        <f t="shared" si="0"/>
        <v/>
      </c>
      <c r="B50" s="22"/>
      <c r="C50" s="43">
        <f t="shared" si="1"/>
        <v>45721</v>
      </c>
      <c r="D50" s="21">
        <f t="shared" si="2"/>
        <v>45722</v>
      </c>
      <c r="E50" s="58">
        <f t="shared" si="6"/>
        <v>0</v>
      </c>
      <c r="F50" s="10">
        <f>IFERROR(VLOOKUP(B50,PVSKTC!$A$4:$D$1048576,2,0),0)</f>
        <v>0</v>
      </c>
      <c r="G50" s="10">
        <f>IFERROR(VLOOKUP(B50,PVSKTC!$A$4:$D$1048576,3,0),0)</f>
        <v>0</v>
      </c>
      <c r="H50" s="10">
        <f>IFERROR(VLOOKUP(B50,PVSKTC!$A$4:$D$1048576,4,0),0)</f>
        <v>0</v>
      </c>
      <c r="I50" s="17" t="str">
        <f>IFERROR(IF(E50&gt;0,THTT!E$2,""),"")</f>
        <v/>
      </c>
      <c r="J50" s="18" t="str">
        <f t="shared" si="3"/>
        <v/>
      </c>
      <c r="K50" s="10" t="str">
        <f t="shared" si="4"/>
        <v/>
      </c>
      <c r="L50" s="10" t="str">
        <f t="shared" si="5"/>
        <v/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21" t="str">
        <f t="shared" si="0"/>
        <v/>
      </c>
      <c r="B51" s="22"/>
      <c r="C51" s="43">
        <f t="shared" si="1"/>
        <v>45721</v>
      </c>
      <c r="D51" s="21">
        <f t="shared" si="2"/>
        <v>45722</v>
      </c>
      <c r="E51" s="58">
        <f t="shared" si="6"/>
        <v>0</v>
      </c>
      <c r="F51" s="10">
        <f>IFERROR(VLOOKUP(B51,PVSKTC!$A$4:$D$1048576,2,0),0)</f>
        <v>0</v>
      </c>
      <c r="G51" s="10">
        <f>IFERROR(VLOOKUP(B51,PVSKTC!$A$4:$D$1048576,3,0),0)</f>
        <v>0</v>
      </c>
      <c r="H51" s="10">
        <f>IFERROR(VLOOKUP(B51,PVSKTC!$A$4:$D$1048576,4,0),0)</f>
        <v>0</v>
      </c>
      <c r="I51" s="17" t="str">
        <f>IFERROR(IF(E51&gt;0,THTT!E$2,""),"")</f>
        <v/>
      </c>
      <c r="J51" s="18" t="str">
        <f t="shared" si="3"/>
        <v/>
      </c>
      <c r="K51" s="10" t="str">
        <f t="shared" si="4"/>
        <v/>
      </c>
      <c r="L51" s="10" t="str">
        <f t="shared" si="5"/>
        <v/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21" t="str">
        <f t="shared" si="0"/>
        <v/>
      </c>
      <c r="B52" s="22"/>
      <c r="C52" s="43">
        <f t="shared" si="1"/>
        <v>45721</v>
      </c>
      <c r="D52" s="21">
        <f t="shared" si="2"/>
        <v>45722</v>
      </c>
      <c r="E52" s="58">
        <f t="shared" si="6"/>
        <v>0</v>
      </c>
      <c r="F52" s="10">
        <f>IFERROR(VLOOKUP(B52,PVSKTC!$A$4:$D$1048576,2,0),0)</f>
        <v>0</v>
      </c>
      <c r="G52" s="10">
        <f>IFERROR(VLOOKUP(B52,PVSKTC!$A$4:$D$1048576,3,0),0)</f>
        <v>0</v>
      </c>
      <c r="H52" s="10">
        <f>IFERROR(VLOOKUP(B52,PVSKTC!$A$4:$D$1048576,4,0),0)</f>
        <v>0</v>
      </c>
      <c r="I52" s="17" t="str">
        <f>IFERROR(IF(E52&gt;0,THTT!E$2,""),"")</f>
        <v/>
      </c>
      <c r="J52" s="18" t="str">
        <f t="shared" si="3"/>
        <v/>
      </c>
      <c r="K52" s="10" t="str">
        <f t="shared" si="4"/>
        <v/>
      </c>
      <c r="L52" s="10" t="str">
        <f t="shared" si="5"/>
        <v/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21" t="str">
        <f t="shared" si="0"/>
        <v/>
      </c>
      <c r="B53" s="22"/>
      <c r="C53" s="43">
        <f t="shared" si="1"/>
        <v>45721</v>
      </c>
      <c r="D53" s="21">
        <f t="shared" si="2"/>
        <v>45722</v>
      </c>
      <c r="E53" s="58">
        <f t="shared" si="6"/>
        <v>0</v>
      </c>
      <c r="F53" s="10">
        <f>IFERROR(VLOOKUP(B53,PVSKTC!$A$4:$D$1048576,2,0),0)</f>
        <v>0</v>
      </c>
      <c r="G53" s="10">
        <f>IFERROR(VLOOKUP(B53,PVSKTC!$A$4:$D$1048576,3,0),0)</f>
        <v>0</v>
      </c>
      <c r="H53" s="10">
        <f>IFERROR(VLOOKUP(B53,PVSKTC!$A$4:$D$1048576,4,0),0)</f>
        <v>0</v>
      </c>
      <c r="I53" s="17" t="str">
        <f>IFERROR(IF(E53&gt;0,THTT!E$2,""),"")</f>
        <v/>
      </c>
      <c r="J53" s="18" t="str">
        <f t="shared" si="3"/>
        <v/>
      </c>
      <c r="K53" s="10" t="str">
        <f t="shared" si="4"/>
        <v/>
      </c>
      <c r="L53" s="10" t="str">
        <f t="shared" si="5"/>
        <v/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21" t="str">
        <f t="shared" si="0"/>
        <v/>
      </c>
      <c r="B54" s="22"/>
      <c r="C54" s="43">
        <f t="shared" si="1"/>
        <v>45721</v>
      </c>
      <c r="D54" s="21">
        <f t="shared" si="2"/>
        <v>45722</v>
      </c>
      <c r="E54" s="58">
        <f t="shared" si="6"/>
        <v>0</v>
      </c>
      <c r="F54" s="10">
        <f>IFERROR(VLOOKUP(B54,PVSKTC!$A$4:$D$1048576,2,0),0)</f>
        <v>0</v>
      </c>
      <c r="G54" s="10">
        <f>IFERROR(VLOOKUP(B54,PVSKTC!$A$4:$D$1048576,3,0),0)</f>
        <v>0</v>
      </c>
      <c r="H54" s="10">
        <f>IFERROR(VLOOKUP(B54,PVSKTC!$A$4:$D$1048576,4,0),0)</f>
        <v>0</v>
      </c>
      <c r="I54" s="17" t="str">
        <f>IFERROR(IF(E54&gt;0,THTT!E$2,""),"")</f>
        <v/>
      </c>
      <c r="J54" s="18" t="str">
        <f t="shared" si="3"/>
        <v/>
      </c>
      <c r="K54" s="10" t="str">
        <f t="shared" si="4"/>
        <v/>
      </c>
      <c r="L54" s="10" t="str">
        <f t="shared" si="5"/>
        <v/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21" t="str">
        <f t="shared" si="0"/>
        <v/>
      </c>
      <c r="B55" s="22"/>
      <c r="C55" s="43">
        <f t="shared" si="1"/>
        <v>45721</v>
      </c>
      <c r="D55" s="21">
        <f t="shared" si="2"/>
        <v>45722</v>
      </c>
      <c r="E55" s="58">
        <f t="shared" si="6"/>
        <v>0</v>
      </c>
      <c r="F55" s="10">
        <f>IFERROR(VLOOKUP(B55,PVSKTC!$A$4:$D$1048576,2,0),0)</f>
        <v>0</v>
      </c>
      <c r="G55" s="10">
        <f>IFERROR(VLOOKUP(B55,PVSKTC!$A$4:$D$1048576,3,0),0)</f>
        <v>0</v>
      </c>
      <c r="H55" s="10">
        <f>IFERROR(VLOOKUP(B55,PVSKTC!$A$4:$D$1048576,4,0),0)</f>
        <v>0</v>
      </c>
      <c r="I55" s="17" t="str">
        <f>IFERROR(IF(E55&gt;0,THTT!E$2,""),"")</f>
        <v/>
      </c>
      <c r="J55" s="18" t="str">
        <f t="shared" si="3"/>
        <v/>
      </c>
      <c r="K55" s="10" t="str">
        <f t="shared" si="4"/>
        <v/>
      </c>
      <c r="L55" s="10" t="str">
        <f t="shared" si="5"/>
        <v/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21" t="str">
        <f t="shared" si="0"/>
        <v/>
      </c>
      <c r="B56" s="22"/>
      <c r="C56" s="43">
        <f t="shared" si="1"/>
        <v>45721</v>
      </c>
      <c r="D56" s="21">
        <f t="shared" si="2"/>
        <v>45722</v>
      </c>
      <c r="E56" s="58">
        <f t="shared" si="6"/>
        <v>0</v>
      </c>
      <c r="F56" s="10">
        <f>IFERROR(VLOOKUP(B56,PVSKTC!$A$4:$D$1048576,2,0),0)</f>
        <v>0</v>
      </c>
      <c r="G56" s="10">
        <f>IFERROR(VLOOKUP(B56,PVSKTC!$A$4:$D$1048576,3,0),0)</f>
        <v>0</v>
      </c>
      <c r="H56" s="10">
        <f>IFERROR(VLOOKUP(B56,PVSKTC!$A$4:$D$1048576,4,0),0)</f>
        <v>0</v>
      </c>
      <c r="I56" s="17" t="str">
        <f>IFERROR(IF(E56&gt;0,THTT!E$2,""),"")</f>
        <v/>
      </c>
      <c r="J56" s="18" t="str">
        <f t="shared" si="3"/>
        <v/>
      </c>
      <c r="K56" s="10" t="str">
        <f t="shared" si="4"/>
        <v/>
      </c>
      <c r="L56" s="10" t="str">
        <f t="shared" si="5"/>
        <v/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21" t="str">
        <f t="shared" si="0"/>
        <v/>
      </c>
      <c r="B57" s="22"/>
      <c r="C57" s="43">
        <f t="shared" si="1"/>
        <v>45721</v>
      </c>
      <c r="D57" s="21">
        <f t="shared" si="2"/>
        <v>45722</v>
      </c>
      <c r="E57" s="58">
        <f t="shared" si="6"/>
        <v>0</v>
      </c>
      <c r="F57" s="10">
        <f>IFERROR(VLOOKUP(B57,PVSKTC!$A$4:$D$1048576,2,0),0)</f>
        <v>0</v>
      </c>
      <c r="G57" s="10">
        <f>IFERROR(VLOOKUP(B57,PVSKTC!$A$4:$D$1048576,3,0),0)</f>
        <v>0</v>
      </c>
      <c r="H57" s="10">
        <f>IFERROR(VLOOKUP(B57,PVSKTC!$A$4:$D$1048576,4,0),0)</f>
        <v>0</v>
      </c>
      <c r="I57" s="17" t="str">
        <f>IFERROR(IF(E57&gt;0,THTT!E$2,""),"")</f>
        <v/>
      </c>
      <c r="J57" s="18" t="str">
        <f t="shared" si="3"/>
        <v/>
      </c>
      <c r="K57" s="10" t="str">
        <f t="shared" si="4"/>
        <v/>
      </c>
      <c r="L57" s="10" t="str">
        <f t="shared" si="5"/>
        <v/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21" t="str">
        <f t="shared" si="0"/>
        <v/>
      </c>
      <c r="B58" s="22"/>
      <c r="C58" s="43">
        <f t="shared" si="1"/>
        <v>45721</v>
      </c>
      <c r="D58" s="21">
        <f t="shared" si="2"/>
        <v>45722</v>
      </c>
      <c r="E58" s="58">
        <f t="shared" si="6"/>
        <v>0</v>
      </c>
      <c r="F58" s="10">
        <f>IFERROR(VLOOKUP(B58,PVSKTC!$A$4:$D$1048576,2,0),0)</f>
        <v>0</v>
      </c>
      <c r="G58" s="10">
        <f>IFERROR(VLOOKUP(B58,PVSKTC!$A$4:$D$1048576,3,0),0)</f>
        <v>0</v>
      </c>
      <c r="H58" s="10">
        <f>IFERROR(VLOOKUP(B58,PVSKTC!$A$4:$D$1048576,4,0),0)</f>
        <v>0</v>
      </c>
      <c r="I58" s="17" t="str">
        <f>IFERROR(IF(E58&gt;0,THTT!E$2,""),"")</f>
        <v/>
      </c>
      <c r="J58" s="18" t="str">
        <f t="shared" si="3"/>
        <v/>
      </c>
      <c r="K58" s="10" t="str">
        <f t="shared" si="4"/>
        <v/>
      </c>
      <c r="L58" s="10" t="str">
        <f t="shared" si="5"/>
        <v/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21" t="str">
        <f t="shared" si="0"/>
        <v/>
      </c>
      <c r="B59" s="22"/>
      <c r="C59" s="43">
        <f t="shared" si="1"/>
        <v>45721</v>
      </c>
      <c r="D59" s="21">
        <f t="shared" si="2"/>
        <v>45722</v>
      </c>
      <c r="E59" s="58">
        <f t="shared" si="6"/>
        <v>0</v>
      </c>
      <c r="F59" s="10">
        <f>IFERROR(VLOOKUP(B59,PVSKTC!$A$4:$D$1048576,2,0),0)</f>
        <v>0</v>
      </c>
      <c r="G59" s="10">
        <f>IFERROR(VLOOKUP(B59,PVSKTC!$A$4:$D$1048576,3,0),0)</f>
        <v>0</v>
      </c>
      <c r="H59" s="10">
        <f>IFERROR(VLOOKUP(B59,PVSKTC!$A$4:$D$1048576,4,0),0)</f>
        <v>0</v>
      </c>
      <c r="I59" s="17" t="str">
        <f>IFERROR(IF(E59&gt;0,THTT!E$2,""),"")</f>
        <v/>
      </c>
      <c r="J59" s="18" t="str">
        <f t="shared" si="3"/>
        <v/>
      </c>
      <c r="K59" s="10" t="str">
        <f t="shared" si="4"/>
        <v/>
      </c>
      <c r="L59" s="10" t="str">
        <f t="shared" si="5"/>
        <v/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21" t="str">
        <f t="shared" si="0"/>
        <v/>
      </c>
      <c r="B60" s="22"/>
      <c r="C60" s="43">
        <f t="shared" si="1"/>
        <v>45721</v>
      </c>
      <c r="D60" s="21">
        <f t="shared" si="2"/>
        <v>45722</v>
      </c>
      <c r="E60" s="58">
        <f t="shared" si="6"/>
        <v>0</v>
      </c>
      <c r="F60" s="10">
        <f>IFERROR(VLOOKUP(B60,PVSKTC!$A$4:$D$1048576,2,0),0)</f>
        <v>0</v>
      </c>
      <c r="G60" s="10">
        <f>IFERROR(VLOOKUP(B60,PVSKTC!$A$4:$D$1048576,3,0),0)</f>
        <v>0</v>
      </c>
      <c r="H60" s="10">
        <f>IFERROR(VLOOKUP(B60,PVSKTC!$A$4:$D$1048576,4,0),0)</f>
        <v>0</v>
      </c>
      <c r="I60" s="17" t="str">
        <f>IFERROR(IF(E60&gt;0,THTT!E$2,""),"")</f>
        <v/>
      </c>
      <c r="J60" s="18" t="str">
        <f t="shared" si="3"/>
        <v/>
      </c>
      <c r="K60" s="10" t="str">
        <f t="shared" si="4"/>
        <v/>
      </c>
      <c r="L60" s="10" t="str">
        <f t="shared" si="5"/>
        <v/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21" t="str">
        <f t="shared" si="0"/>
        <v/>
      </c>
      <c r="B61" s="22"/>
      <c r="C61" s="43">
        <f t="shared" si="1"/>
        <v>45721</v>
      </c>
      <c r="D61" s="21">
        <f t="shared" si="2"/>
        <v>45722</v>
      </c>
      <c r="E61" s="58">
        <f t="shared" si="6"/>
        <v>0</v>
      </c>
      <c r="F61" s="10">
        <f>IFERROR(VLOOKUP(B61,PVSKTC!$A$4:$D$1048576,2,0),0)</f>
        <v>0</v>
      </c>
      <c r="G61" s="10">
        <f>IFERROR(VLOOKUP(B61,PVSKTC!$A$4:$D$1048576,3,0),0)</f>
        <v>0</v>
      </c>
      <c r="H61" s="10">
        <f>IFERROR(VLOOKUP(B61,PVSKTC!$A$4:$D$1048576,4,0),0)</f>
        <v>0</v>
      </c>
      <c r="I61" s="17" t="str">
        <f>IFERROR(IF(E61&gt;0,THTT!E$2,""),"")</f>
        <v/>
      </c>
      <c r="J61" s="18" t="str">
        <f t="shared" si="3"/>
        <v/>
      </c>
      <c r="K61" s="10" t="str">
        <f t="shared" si="4"/>
        <v/>
      </c>
      <c r="L61" s="10" t="str">
        <f t="shared" si="5"/>
        <v/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21" t="str">
        <f t="shared" si="0"/>
        <v/>
      </c>
      <c r="B62" s="22"/>
      <c r="C62" s="43">
        <f t="shared" si="1"/>
        <v>45721</v>
      </c>
      <c r="D62" s="21">
        <f t="shared" si="2"/>
        <v>45722</v>
      </c>
      <c r="E62" s="58">
        <f t="shared" si="6"/>
        <v>0</v>
      </c>
      <c r="F62" s="10">
        <f>IFERROR(VLOOKUP(B62,PVSKTC!$A$4:$D$1048576,2,0),0)</f>
        <v>0</v>
      </c>
      <c r="G62" s="10">
        <f>IFERROR(VLOOKUP(B62,PVSKTC!$A$4:$D$1048576,3,0),0)</f>
        <v>0</v>
      </c>
      <c r="H62" s="10">
        <f>IFERROR(VLOOKUP(B62,PVSKTC!$A$4:$D$1048576,4,0),0)</f>
        <v>0</v>
      </c>
      <c r="I62" s="17" t="str">
        <f>IFERROR(IF(E62&gt;0,THTT!E$2,""),"")</f>
        <v/>
      </c>
      <c r="J62" s="18" t="str">
        <f t="shared" si="3"/>
        <v/>
      </c>
      <c r="K62" s="10" t="str">
        <f t="shared" si="4"/>
        <v/>
      </c>
      <c r="L62" s="10" t="str">
        <f t="shared" si="5"/>
        <v/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21" t="str">
        <f t="shared" si="0"/>
        <v/>
      </c>
      <c r="B63" s="22"/>
      <c r="C63" s="43">
        <f t="shared" si="1"/>
        <v>45721</v>
      </c>
      <c r="D63" s="21">
        <f t="shared" si="2"/>
        <v>45722</v>
      </c>
      <c r="E63" s="58">
        <f t="shared" si="6"/>
        <v>0</v>
      </c>
      <c r="F63" s="10">
        <f>IFERROR(VLOOKUP(B63,PVSKTC!$A$4:$D$1048576,2,0),0)</f>
        <v>0</v>
      </c>
      <c r="G63" s="10">
        <f>IFERROR(VLOOKUP(B63,PVSKTC!$A$4:$D$1048576,3,0),0)</f>
        <v>0</v>
      </c>
      <c r="H63" s="10">
        <f>IFERROR(VLOOKUP(B63,PVSKTC!$A$4:$D$1048576,4,0),0)</f>
        <v>0</v>
      </c>
      <c r="I63" s="17" t="str">
        <f>IFERROR(IF(E63&gt;0,THTT!E$2,""),"")</f>
        <v/>
      </c>
      <c r="J63" s="18" t="str">
        <f t="shared" si="3"/>
        <v/>
      </c>
      <c r="K63" s="10" t="str">
        <f t="shared" si="4"/>
        <v/>
      </c>
      <c r="L63" s="10" t="str">
        <f t="shared" si="5"/>
        <v/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21" t="str">
        <f t="shared" si="0"/>
        <v/>
      </c>
      <c r="B64" s="22"/>
      <c r="C64" s="43">
        <f t="shared" si="1"/>
        <v>45721</v>
      </c>
      <c r="D64" s="21">
        <f t="shared" si="2"/>
        <v>45722</v>
      </c>
      <c r="E64" s="58">
        <f t="shared" si="6"/>
        <v>0</v>
      </c>
      <c r="F64" s="10">
        <f>IFERROR(VLOOKUP(B64,PVSKTC!$A$4:$D$1048576,2,0),0)</f>
        <v>0</v>
      </c>
      <c r="G64" s="10">
        <f>IFERROR(VLOOKUP(B64,PVSKTC!$A$4:$D$1048576,3,0),0)</f>
        <v>0</v>
      </c>
      <c r="H64" s="10">
        <f>IFERROR(VLOOKUP(B64,PVSKTC!$A$4:$D$1048576,4,0),0)</f>
        <v>0</v>
      </c>
      <c r="I64" s="17" t="str">
        <f>IFERROR(IF(E64&gt;0,THTT!E$2,""),"")</f>
        <v/>
      </c>
      <c r="J64" s="18" t="str">
        <f t="shared" si="3"/>
        <v/>
      </c>
      <c r="K64" s="10" t="str">
        <f t="shared" si="4"/>
        <v/>
      </c>
      <c r="L64" s="10" t="str">
        <f t="shared" si="5"/>
        <v/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21" t="str">
        <f t="shared" si="0"/>
        <v/>
      </c>
      <c r="B65" s="22"/>
      <c r="C65" s="43">
        <f t="shared" si="1"/>
        <v>45721</v>
      </c>
      <c r="D65" s="21">
        <f t="shared" si="2"/>
        <v>45722</v>
      </c>
      <c r="E65" s="58">
        <f t="shared" si="6"/>
        <v>0</v>
      </c>
      <c r="F65" s="10">
        <f>IFERROR(VLOOKUP(B65,PVSKTC!$A$4:$D$1048576,2,0),0)</f>
        <v>0</v>
      </c>
      <c r="G65" s="10">
        <f>IFERROR(VLOOKUP(B65,PVSKTC!$A$4:$D$1048576,3,0),0)</f>
        <v>0</v>
      </c>
      <c r="H65" s="10">
        <f>IFERROR(VLOOKUP(B65,PVSKTC!$A$4:$D$1048576,4,0),0)</f>
        <v>0</v>
      </c>
      <c r="I65" s="17" t="str">
        <f>IFERROR(IF(E65&gt;0,THTT!E$2,""),"")</f>
        <v/>
      </c>
      <c r="J65" s="18" t="str">
        <f t="shared" si="3"/>
        <v/>
      </c>
      <c r="K65" s="10" t="str">
        <f t="shared" si="4"/>
        <v/>
      </c>
      <c r="L65" s="10" t="str">
        <f t="shared" si="5"/>
        <v/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21" t="str">
        <f t="shared" si="0"/>
        <v/>
      </c>
      <c r="B66" s="22"/>
      <c r="C66" s="43">
        <f t="shared" si="1"/>
        <v>45721</v>
      </c>
      <c r="D66" s="21">
        <f t="shared" si="2"/>
        <v>45722</v>
      </c>
      <c r="E66" s="58">
        <f t="shared" si="6"/>
        <v>0</v>
      </c>
      <c r="F66" s="10">
        <f>IFERROR(VLOOKUP(B66,PVSKTC!$A$4:$D$1048576,2,0),0)</f>
        <v>0</v>
      </c>
      <c r="G66" s="10">
        <f>IFERROR(VLOOKUP(B66,PVSKTC!$A$4:$D$1048576,3,0),0)</f>
        <v>0</v>
      </c>
      <c r="H66" s="10">
        <f>IFERROR(VLOOKUP(B66,PVSKTC!$A$4:$D$1048576,4,0),0)</f>
        <v>0</v>
      </c>
      <c r="I66" s="17" t="str">
        <f>IFERROR(IF(E66&gt;0,THTT!E$2,""),"")</f>
        <v/>
      </c>
      <c r="J66" s="18" t="str">
        <f t="shared" si="3"/>
        <v/>
      </c>
      <c r="K66" s="10" t="str">
        <f t="shared" si="4"/>
        <v/>
      </c>
      <c r="L66" s="10" t="str">
        <f t="shared" si="5"/>
        <v/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21" t="str">
        <f t="shared" si="0"/>
        <v/>
      </c>
      <c r="B67" s="22"/>
      <c r="C67" s="43">
        <f t="shared" si="1"/>
        <v>45721</v>
      </c>
      <c r="D67" s="21">
        <f t="shared" si="2"/>
        <v>45722</v>
      </c>
      <c r="E67" s="58">
        <f t="shared" si="6"/>
        <v>0</v>
      </c>
      <c r="F67" s="10">
        <f>IFERROR(VLOOKUP(B67,PVSKTC!$A$4:$D$1048576,2,0),0)</f>
        <v>0</v>
      </c>
      <c r="G67" s="10">
        <f>IFERROR(VLOOKUP(B67,PVSKTC!$A$4:$D$1048576,3,0),0)</f>
        <v>0</v>
      </c>
      <c r="H67" s="10">
        <f>IFERROR(VLOOKUP(B67,PVSKTC!$A$4:$D$1048576,4,0),0)</f>
        <v>0</v>
      </c>
      <c r="I67" s="17" t="str">
        <f>IFERROR(IF(E67&gt;0,THTT!E$2,""),"")</f>
        <v/>
      </c>
      <c r="J67" s="18" t="str">
        <f t="shared" si="3"/>
        <v/>
      </c>
      <c r="K67" s="10" t="str">
        <f t="shared" si="4"/>
        <v/>
      </c>
      <c r="L67" s="10" t="str">
        <f t="shared" si="5"/>
        <v/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21" t="str">
        <f t="shared" si="0"/>
        <v/>
      </c>
      <c r="B68" s="22"/>
      <c r="C68" s="43">
        <f t="shared" si="1"/>
        <v>45721</v>
      </c>
      <c r="D68" s="21">
        <f t="shared" si="2"/>
        <v>45722</v>
      </c>
      <c r="E68" s="58">
        <f t="shared" si="6"/>
        <v>0</v>
      </c>
      <c r="F68" s="10">
        <f>IFERROR(VLOOKUP(B68,PVSKTC!$A$4:$D$1048576,2,0),0)</f>
        <v>0</v>
      </c>
      <c r="G68" s="10">
        <f>IFERROR(VLOOKUP(B68,PVSKTC!$A$4:$D$1048576,3,0),0)</f>
        <v>0</v>
      </c>
      <c r="H68" s="10">
        <f>IFERROR(VLOOKUP(B68,PVSKTC!$A$4:$D$1048576,4,0),0)</f>
        <v>0</v>
      </c>
      <c r="I68" s="17" t="str">
        <f>IFERROR(IF(E68&gt;0,THTT!E$2,""),"")</f>
        <v/>
      </c>
      <c r="J68" s="18" t="str">
        <f t="shared" si="3"/>
        <v/>
      </c>
      <c r="K68" s="10" t="str">
        <f t="shared" si="4"/>
        <v/>
      </c>
      <c r="L68" s="10" t="str">
        <f t="shared" si="5"/>
        <v/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21" t="str">
        <f t="shared" si="0"/>
        <v/>
      </c>
      <c r="B69" s="22"/>
      <c r="C69" s="43">
        <f t="shared" si="1"/>
        <v>45721</v>
      </c>
      <c r="D69" s="21">
        <f t="shared" si="2"/>
        <v>45722</v>
      </c>
      <c r="E69" s="58">
        <f t="shared" si="6"/>
        <v>0</v>
      </c>
      <c r="F69" s="10">
        <f>IFERROR(VLOOKUP(B69,PVSKTC!$A$4:$D$1048576,2,0),0)</f>
        <v>0</v>
      </c>
      <c r="G69" s="10">
        <f>IFERROR(VLOOKUP(B69,PVSKTC!$A$4:$D$1048576,3,0),0)</f>
        <v>0</v>
      </c>
      <c r="H69" s="10">
        <f>IFERROR(VLOOKUP(B69,PVSKTC!$A$4:$D$1048576,4,0),0)</f>
        <v>0</v>
      </c>
      <c r="I69" s="17" t="str">
        <f>IFERROR(IF(E69&gt;0,THTT!E$2,""),"")</f>
        <v/>
      </c>
      <c r="J69" s="18" t="str">
        <f t="shared" si="3"/>
        <v/>
      </c>
      <c r="K69" s="10" t="str">
        <f t="shared" si="4"/>
        <v/>
      </c>
      <c r="L69" s="10" t="str">
        <f t="shared" si="5"/>
        <v/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21" t="str">
        <f t="shared" si="0"/>
        <v/>
      </c>
      <c r="B70" s="22"/>
      <c r="C70" s="43">
        <f t="shared" si="1"/>
        <v>45721</v>
      </c>
      <c r="D70" s="21">
        <f t="shared" si="2"/>
        <v>45722</v>
      </c>
      <c r="E70" s="58">
        <f t="shared" si="6"/>
        <v>0</v>
      </c>
      <c r="F70" s="10">
        <f>IFERROR(VLOOKUP(B70,PVSKTC!$A$4:$D$1048576,2,0),0)</f>
        <v>0</v>
      </c>
      <c r="G70" s="10">
        <f>IFERROR(VLOOKUP(B70,PVSKTC!$A$4:$D$1048576,3,0),0)</f>
        <v>0</v>
      </c>
      <c r="H70" s="10">
        <f>IFERROR(VLOOKUP(B70,PVSKTC!$A$4:$D$1048576,4,0),0)</f>
        <v>0</v>
      </c>
      <c r="I70" s="17" t="str">
        <f>IFERROR(IF(E70&gt;0,THTT!E$2,""),"")</f>
        <v/>
      </c>
      <c r="J70" s="18" t="str">
        <f t="shared" si="3"/>
        <v/>
      </c>
      <c r="K70" s="10" t="str">
        <f t="shared" si="4"/>
        <v/>
      </c>
      <c r="L70" s="10" t="str">
        <f t="shared" si="5"/>
        <v/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21" t="str">
        <f t="shared" si="0"/>
        <v/>
      </c>
      <c r="B71" s="22"/>
      <c r="C71" s="43">
        <f t="shared" si="1"/>
        <v>45721</v>
      </c>
      <c r="D71" s="21">
        <f t="shared" si="2"/>
        <v>45722</v>
      </c>
      <c r="E71" s="58">
        <f t="shared" si="6"/>
        <v>0</v>
      </c>
      <c r="F71" s="10">
        <f>IFERROR(VLOOKUP(B71,PVSKTC!$A$4:$D$1048576,2,0),0)</f>
        <v>0</v>
      </c>
      <c r="G71" s="10">
        <f>IFERROR(VLOOKUP(B71,PVSKTC!$A$4:$D$1048576,3,0),0)</f>
        <v>0</v>
      </c>
      <c r="H71" s="10">
        <f>IFERROR(VLOOKUP(B71,PVSKTC!$A$4:$D$1048576,4,0),0)</f>
        <v>0</v>
      </c>
      <c r="I71" s="17" t="str">
        <f>IFERROR(IF(E71&gt;0,THTT!E$2,""),"")</f>
        <v/>
      </c>
      <c r="J71" s="18" t="str">
        <f t="shared" si="3"/>
        <v/>
      </c>
      <c r="K71" s="10" t="str">
        <f t="shared" si="4"/>
        <v/>
      </c>
      <c r="L71" s="10" t="str">
        <f t="shared" si="5"/>
        <v/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21" t="str">
        <f t="shared" si="0"/>
        <v/>
      </c>
      <c r="B72" s="22"/>
      <c r="C72" s="43">
        <f t="shared" si="1"/>
        <v>45721</v>
      </c>
      <c r="D72" s="21">
        <f t="shared" si="2"/>
        <v>45722</v>
      </c>
      <c r="E72" s="58">
        <f t="shared" si="6"/>
        <v>0</v>
      </c>
      <c r="F72" s="10">
        <f>IFERROR(VLOOKUP(B72,PVSKTC!$A$4:$D$1048576,2,0),0)</f>
        <v>0</v>
      </c>
      <c r="G72" s="10">
        <f>IFERROR(VLOOKUP(B72,PVSKTC!$A$4:$D$1048576,3,0),0)</f>
        <v>0</v>
      </c>
      <c r="H72" s="10">
        <f>IFERROR(VLOOKUP(B72,PVSKTC!$A$4:$D$1048576,4,0),0)</f>
        <v>0</v>
      </c>
      <c r="I72" s="17" t="str">
        <f>IFERROR(IF(E72&gt;0,THTT!E$2,""),"")</f>
        <v/>
      </c>
      <c r="J72" s="18" t="str">
        <f t="shared" si="3"/>
        <v/>
      </c>
      <c r="K72" s="10" t="str">
        <f t="shared" si="4"/>
        <v/>
      </c>
      <c r="L72" s="10" t="str">
        <f t="shared" si="5"/>
        <v/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21" t="str">
        <f t="shared" si="0"/>
        <v/>
      </c>
      <c r="B73" s="22"/>
      <c r="C73" s="43">
        <f t="shared" si="1"/>
        <v>45721</v>
      </c>
      <c r="D73" s="21">
        <f t="shared" si="2"/>
        <v>45722</v>
      </c>
      <c r="E73" s="58">
        <f t="shared" si="6"/>
        <v>0</v>
      </c>
      <c r="F73" s="10">
        <f>IFERROR(VLOOKUP(B73,PVSKTC!$A$4:$D$1048576,2,0),0)</f>
        <v>0</v>
      </c>
      <c r="G73" s="10">
        <f>IFERROR(VLOOKUP(B73,PVSKTC!$A$4:$D$1048576,3,0),0)</f>
        <v>0</v>
      </c>
      <c r="H73" s="10">
        <f>IFERROR(VLOOKUP(B73,PVSKTC!$A$4:$D$1048576,4,0),0)</f>
        <v>0</v>
      </c>
      <c r="I73" s="17" t="str">
        <f>IFERROR(IF(E73&gt;0,THTT!E$2,""),"")</f>
        <v/>
      </c>
      <c r="J73" s="18" t="str">
        <f t="shared" si="3"/>
        <v/>
      </c>
      <c r="K73" s="10" t="str">
        <f t="shared" si="4"/>
        <v/>
      </c>
      <c r="L73" s="10" t="str">
        <f t="shared" si="5"/>
        <v/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21" t="str">
        <f t="shared" si="0"/>
        <v/>
      </c>
      <c r="B74" s="22"/>
      <c r="C74" s="43">
        <f t="shared" si="1"/>
        <v>45721</v>
      </c>
      <c r="D74" s="21">
        <f t="shared" si="2"/>
        <v>45722</v>
      </c>
      <c r="E74" s="58">
        <f t="shared" si="6"/>
        <v>0</v>
      </c>
      <c r="F74" s="10">
        <f>IFERROR(VLOOKUP(B74,PVSKTC!$A$4:$D$1048576,2,0),0)</f>
        <v>0</v>
      </c>
      <c r="G74" s="10">
        <f>IFERROR(VLOOKUP(B74,PVSKTC!$A$4:$D$1048576,3,0),0)</f>
        <v>0</v>
      </c>
      <c r="H74" s="10">
        <f>IFERROR(VLOOKUP(B74,PVSKTC!$A$4:$D$1048576,4,0),0)</f>
        <v>0</v>
      </c>
      <c r="I74" s="17" t="str">
        <f>IFERROR(IF(E74&gt;0,THTT!E$2,""),"")</f>
        <v/>
      </c>
      <c r="J74" s="18" t="str">
        <f t="shared" si="3"/>
        <v/>
      </c>
      <c r="K74" s="10" t="str">
        <f t="shared" si="4"/>
        <v/>
      </c>
      <c r="L74" s="10" t="str">
        <f t="shared" si="5"/>
        <v/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21" t="str">
        <f t="shared" si="0"/>
        <v/>
      </c>
      <c r="B75" s="22"/>
      <c r="C75" s="43">
        <f t="shared" si="1"/>
        <v>45721</v>
      </c>
      <c r="D75" s="21">
        <f t="shared" si="2"/>
        <v>45722</v>
      </c>
      <c r="E75" s="58">
        <f t="shared" si="6"/>
        <v>0</v>
      </c>
      <c r="F75" s="10">
        <f>IFERROR(VLOOKUP(B75,PVSKTC!$A$4:$D$1048576,2,0),0)</f>
        <v>0</v>
      </c>
      <c r="G75" s="10">
        <f>IFERROR(VLOOKUP(B75,PVSKTC!$A$4:$D$1048576,3,0),0)</f>
        <v>0</v>
      </c>
      <c r="H75" s="10">
        <f>IFERROR(VLOOKUP(B75,PVSKTC!$A$4:$D$1048576,4,0),0)</f>
        <v>0</v>
      </c>
      <c r="I75" s="17" t="str">
        <f>IFERROR(IF(E75&gt;0,THTT!E$2,""),"")</f>
        <v/>
      </c>
      <c r="J75" s="18" t="str">
        <f t="shared" si="3"/>
        <v/>
      </c>
      <c r="K75" s="10" t="str">
        <f t="shared" si="4"/>
        <v/>
      </c>
      <c r="L75" s="10" t="str">
        <f t="shared" si="5"/>
        <v/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21" t="str">
        <f t="shared" si="0"/>
        <v/>
      </c>
      <c r="B76" s="22"/>
      <c r="C76" s="43">
        <f t="shared" si="1"/>
        <v>45721</v>
      </c>
      <c r="D76" s="21">
        <f t="shared" si="2"/>
        <v>45722</v>
      </c>
      <c r="E76" s="58">
        <f t="shared" si="6"/>
        <v>0</v>
      </c>
      <c r="F76" s="10">
        <f>IFERROR(VLOOKUP(B76,PVSKTC!$A$4:$D$1048576,2,0),0)</f>
        <v>0</v>
      </c>
      <c r="G76" s="10">
        <f>IFERROR(VLOOKUP(B76,PVSKTC!$A$4:$D$1048576,3,0),0)</f>
        <v>0</v>
      </c>
      <c r="H76" s="10">
        <f>IFERROR(VLOOKUP(B76,PVSKTC!$A$4:$D$1048576,4,0),0)</f>
        <v>0</v>
      </c>
      <c r="I76" s="17" t="str">
        <f>IFERROR(IF(E76&gt;0,THTT!E$2,""),"")</f>
        <v/>
      </c>
      <c r="J76" s="18" t="str">
        <f t="shared" si="3"/>
        <v/>
      </c>
      <c r="K76" s="10" t="str">
        <f t="shared" si="4"/>
        <v/>
      </c>
      <c r="L76" s="10" t="str">
        <f t="shared" si="5"/>
        <v/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21" t="str">
        <f t="shared" si="0"/>
        <v/>
      </c>
      <c r="B77" s="22"/>
      <c r="C77" s="43">
        <f t="shared" si="1"/>
        <v>45721</v>
      </c>
      <c r="D77" s="21">
        <f t="shared" si="2"/>
        <v>45722</v>
      </c>
      <c r="E77" s="58">
        <f t="shared" si="6"/>
        <v>0</v>
      </c>
      <c r="F77" s="10">
        <f>IFERROR(VLOOKUP(B77,PVSKTC!$A$4:$D$1048576,2,0),0)</f>
        <v>0</v>
      </c>
      <c r="G77" s="10">
        <f>IFERROR(VLOOKUP(B77,PVSKTC!$A$4:$D$1048576,3,0),0)</f>
        <v>0</v>
      </c>
      <c r="H77" s="10">
        <f>IFERROR(VLOOKUP(B77,PVSKTC!$A$4:$D$1048576,4,0),0)</f>
        <v>0</v>
      </c>
      <c r="I77" s="17" t="str">
        <f>IFERROR(IF(E77&gt;0,THTT!E$2,""),"")</f>
        <v/>
      </c>
      <c r="J77" s="18" t="str">
        <f t="shared" si="3"/>
        <v/>
      </c>
      <c r="K77" s="10" t="str">
        <f t="shared" si="4"/>
        <v/>
      </c>
      <c r="L77" s="10" t="str">
        <f t="shared" si="5"/>
        <v/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21" t="str">
        <f t="shared" ref="A78:A141" si="7">IF(E78&lt;=0,"",IF(B78&gt;=$B$9,"QUÁ HẠN","TRONG HẠN"))</f>
        <v/>
      </c>
      <c r="B78" s="22"/>
      <c r="C78" s="43">
        <f t="shared" ref="C78:C141" si="8">IFERROR(IF(B79="", $B$10, B79-1), $B$10)</f>
        <v>45721</v>
      </c>
      <c r="D78" s="21">
        <f t="shared" ref="D78:D141" si="9">C78-B78+1</f>
        <v>45722</v>
      </c>
      <c r="E78" s="58">
        <f t="shared" si="6"/>
        <v>0</v>
      </c>
      <c r="F78" s="10">
        <f>IFERROR(VLOOKUP(B78,PVSKTC!$A$4:$D$1048576,2,0),0)</f>
        <v>0</v>
      </c>
      <c r="G78" s="10">
        <f>IFERROR(VLOOKUP(B78,PVSKTC!$A$4:$D$1048576,3,0),0)</f>
        <v>0</v>
      </c>
      <c r="H78" s="10">
        <f>IFERROR(VLOOKUP(B78,PVSKTC!$A$4:$D$1048576,4,0),0)</f>
        <v>0</v>
      </c>
      <c r="I78" s="17" t="str">
        <f>IFERROR(IF(E78&gt;0,THTT!E$2,""),"")</f>
        <v/>
      </c>
      <c r="J78" s="18" t="str">
        <f t="shared" ref="J78:J141" si="10">IF(A78="QUÁ HẠN",I78*150%,"")</f>
        <v/>
      </c>
      <c r="K78" s="10" t="str">
        <f t="shared" ref="K78:K141" si="11">IF(E78&gt;0,E78*I78*D78/365,"")</f>
        <v/>
      </c>
      <c r="L78" s="10" t="str">
        <f t="shared" ref="L78:L141" si="12">IF(A78="QUÁ HẠN",E78*I78*D78/365,"")</f>
        <v/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21" t="str">
        <f t="shared" si="7"/>
        <v/>
      </c>
      <c r="B79" s="22"/>
      <c r="C79" s="43">
        <f t="shared" si="8"/>
        <v>45721</v>
      </c>
      <c r="D79" s="21">
        <f t="shared" si="9"/>
        <v>45722</v>
      </c>
      <c r="E79" s="58">
        <f t="shared" ref="E79:E142" si="13">E78+F79-G79</f>
        <v>0</v>
      </c>
      <c r="F79" s="10">
        <f>IFERROR(VLOOKUP(B79,PVSKTC!$A$4:$D$1048576,2,0),0)</f>
        <v>0</v>
      </c>
      <c r="G79" s="10">
        <f>IFERROR(VLOOKUP(B79,PVSKTC!$A$4:$D$1048576,3,0),0)</f>
        <v>0</v>
      </c>
      <c r="H79" s="10">
        <f>IFERROR(VLOOKUP(B79,PVSKTC!$A$4:$D$1048576,4,0),0)</f>
        <v>0</v>
      </c>
      <c r="I79" s="17" t="str">
        <f>IFERROR(IF(E79&gt;0,THTT!E$2,""),"")</f>
        <v/>
      </c>
      <c r="J79" s="18" t="str">
        <f t="shared" si="10"/>
        <v/>
      </c>
      <c r="K79" s="10" t="str">
        <f t="shared" si="11"/>
        <v/>
      </c>
      <c r="L79" s="10" t="str">
        <f t="shared" si="12"/>
        <v/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21" t="str">
        <f t="shared" si="7"/>
        <v/>
      </c>
      <c r="B80" s="22"/>
      <c r="C80" s="43">
        <f t="shared" si="8"/>
        <v>45721</v>
      </c>
      <c r="D80" s="21">
        <f t="shared" si="9"/>
        <v>45722</v>
      </c>
      <c r="E80" s="58">
        <f t="shared" si="13"/>
        <v>0</v>
      </c>
      <c r="F80" s="10">
        <f>IFERROR(VLOOKUP(B80,PVSKTC!$A$4:$D$1048576,2,0),0)</f>
        <v>0</v>
      </c>
      <c r="G80" s="10">
        <f>IFERROR(VLOOKUP(B80,PVSKTC!$A$4:$D$1048576,3,0),0)</f>
        <v>0</v>
      </c>
      <c r="H80" s="10">
        <f>IFERROR(VLOOKUP(B80,PVSKTC!$A$4:$D$1048576,4,0),0)</f>
        <v>0</v>
      </c>
      <c r="I80" s="17" t="str">
        <f>IFERROR(IF(E80&gt;0,THTT!E$2,""),"")</f>
        <v/>
      </c>
      <c r="J80" s="18" t="str">
        <f t="shared" si="10"/>
        <v/>
      </c>
      <c r="K80" s="10" t="str">
        <f t="shared" si="11"/>
        <v/>
      </c>
      <c r="L80" s="10" t="str">
        <f t="shared" si="12"/>
        <v/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21" t="str">
        <f t="shared" si="7"/>
        <v/>
      </c>
      <c r="B81" s="22"/>
      <c r="C81" s="43">
        <f t="shared" si="8"/>
        <v>45721</v>
      </c>
      <c r="D81" s="21">
        <f t="shared" si="9"/>
        <v>45722</v>
      </c>
      <c r="E81" s="58">
        <f t="shared" si="13"/>
        <v>0</v>
      </c>
      <c r="F81" s="10">
        <f>IFERROR(VLOOKUP(B81,PVSKTC!$A$4:$D$1048576,2,0),0)</f>
        <v>0</v>
      </c>
      <c r="G81" s="10">
        <f>IFERROR(VLOOKUP(B81,PVSKTC!$A$4:$D$1048576,3,0),0)</f>
        <v>0</v>
      </c>
      <c r="H81" s="10">
        <f>IFERROR(VLOOKUP(B81,PVSKTC!$A$4:$D$1048576,4,0),0)</f>
        <v>0</v>
      </c>
      <c r="I81" s="17" t="str">
        <f>IFERROR(IF(E81&gt;0,THTT!E$2,""),"")</f>
        <v/>
      </c>
      <c r="J81" s="18" t="str">
        <f t="shared" si="10"/>
        <v/>
      </c>
      <c r="K81" s="10" t="str">
        <f t="shared" si="11"/>
        <v/>
      </c>
      <c r="L81" s="10" t="str">
        <f t="shared" si="12"/>
        <v/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21" t="str">
        <f t="shared" si="7"/>
        <v/>
      </c>
      <c r="B82" s="22"/>
      <c r="C82" s="43">
        <f t="shared" si="8"/>
        <v>45721</v>
      </c>
      <c r="D82" s="21">
        <f t="shared" si="9"/>
        <v>45722</v>
      </c>
      <c r="E82" s="58">
        <f t="shared" si="13"/>
        <v>0</v>
      </c>
      <c r="F82" s="10">
        <f>IFERROR(VLOOKUP(B82,PVSKTC!$A$4:$D$1048576,2,0),0)</f>
        <v>0</v>
      </c>
      <c r="G82" s="10">
        <f>IFERROR(VLOOKUP(B82,PVSKTC!$A$4:$D$1048576,3,0),0)</f>
        <v>0</v>
      </c>
      <c r="H82" s="10">
        <f>IFERROR(VLOOKUP(B82,PVSKTC!$A$4:$D$1048576,4,0),0)</f>
        <v>0</v>
      </c>
      <c r="I82" s="17" t="str">
        <f>IFERROR(IF(E82&gt;0,THTT!E$2,""),"")</f>
        <v/>
      </c>
      <c r="J82" s="18" t="str">
        <f t="shared" si="10"/>
        <v/>
      </c>
      <c r="K82" s="10" t="str">
        <f t="shared" si="11"/>
        <v/>
      </c>
      <c r="L82" s="10" t="str">
        <f t="shared" si="12"/>
        <v/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21" t="str">
        <f t="shared" si="7"/>
        <v/>
      </c>
      <c r="B83" s="22"/>
      <c r="C83" s="43">
        <f t="shared" si="8"/>
        <v>45721</v>
      </c>
      <c r="D83" s="21">
        <f t="shared" si="9"/>
        <v>45722</v>
      </c>
      <c r="E83" s="58">
        <f t="shared" si="13"/>
        <v>0</v>
      </c>
      <c r="F83" s="10">
        <f>IFERROR(VLOOKUP(B83,PVSKTC!$A$4:$D$1048576,2,0),0)</f>
        <v>0</v>
      </c>
      <c r="G83" s="10">
        <f>IFERROR(VLOOKUP(B83,PVSKTC!$A$4:$D$1048576,3,0),0)</f>
        <v>0</v>
      </c>
      <c r="H83" s="10">
        <f>IFERROR(VLOOKUP(B83,PVSKTC!$A$4:$D$1048576,4,0),0)</f>
        <v>0</v>
      </c>
      <c r="I83" s="17" t="str">
        <f>IFERROR(IF(E83&gt;0,THTT!E$2,""),"")</f>
        <v/>
      </c>
      <c r="J83" s="18" t="str">
        <f t="shared" si="10"/>
        <v/>
      </c>
      <c r="K83" s="10" t="str">
        <f t="shared" si="11"/>
        <v/>
      </c>
      <c r="L83" s="10" t="str">
        <f t="shared" si="12"/>
        <v/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21" t="str">
        <f t="shared" si="7"/>
        <v/>
      </c>
      <c r="B84" s="22"/>
      <c r="C84" s="43">
        <f t="shared" si="8"/>
        <v>45721</v>
      </c>
      <c r="D84" s="21">
        <f t="shared" si="9"/>
        <v>45722</v>
      </c>
      <c r="E84" s="58">
        <f t="shared" si="13"/>
        <v>0</v>
      </c>
      <c r="F84" s="10">
        <f>IFERROR(VLOOKUP(B84,PVSKTC!$A$4:$D$1048576,2,0),0)</f>
        <v>0</v>
      </c>
      <c r="G84" s="10">
        <f>IFERROR(VLOOKUP(B84,PVSKTC!$A$4:$D$1048576,3,0),0)</f>
        <v>0</v>
      </c>
      <c r="H84" s="10">
        <f>IFERROR(VLOOKUP(B84,PVSKTC!$A$4:$D$1048576,4,0),0)</f>
        <v>0</v>
      </c>
      <c r="I84" s="17" t="str">
        <f>IFERROR(IF(E84&gt;0,THTT!E$2,""),"")</f>
        <v/>
      </c>
      <c r="J84" s="18" t="str">
        <f t="shared" si="10"/>
        <v/>
      </c>
      <c r="K84" s="10" t="str">
        <f t="shared" si="11"/>
        <v/>
      </c>
      <c r="L84" s="10" t="str">
        <f t="shared" si="12"/>
        <v/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21" t="str">
        <f t="shared" si="7"/>
        <v/>
      </c>
      <c r="B85" s="22"/>
      <c r="C85" s="43">
        <f t="shared" si="8"/>
        <v>45721</v>
      </c>
      <c r="D85" s="21">
        <f t="shared" si="9"/>
        <v>45722</v>
      </c>
      <c r="E85" s="58">
        <f t="shared" si="13"/>
        <v>0</v>
      </c>
      <c r="F85" s="10">
        <f>IFERROR(VLOOKUP(B85,PVSKTC!$A$4:$D$1048576,2,0),0)</f>
        <v>0</v>
      </c>
      <c r="G85" s="10">
        <f>IFERROR(VLOOKUP(B85,PVSKTC!$A$4:$D$1048576,3,0),0)</f>
        <v>0</v>
      </c>
      <c r="H85" s="10">
        <f>IFERROR(VLOOKUP(B85,PVSKTC!$A$4:$D$1048576,4,0),0)</f>
        <v>0</v>
      </c>
      <c r="I85" s="17" t="str">
        <f>IFERROR(IF(E85&gt;0,THTT!E$2,""),"")</f>
        <v/>
      </c>
      <c r="J85" s="18" t="str">
        <f t="shared" si="10"/>
        <v/>
      </c>
      <c r="K85" s="10" t="str">
        <f t="shared" si="11"/>
        <v/>
      </c>
      <c r="L85" s="10" t="str">
        <f t="shared" si="12"/>
        <v/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21" t="str">
        <f t="shared" si="7"/>
        <v/>
      </c>
      <c r="B86" s="22"/>
      <c r="C86" s="43">
        <f t="shared" si="8"/>
        <v>45721</v>
      </c>
      <c r="D86" s="21">
        <f t="shared" si="9"/>
        <v>45722</v>
      </c>
      <c r="E86" s="58">
        <f t="shared" si="13"/>
        <v>0</v>
      </c>
      <c r="F86" s="10">
        <f>IFERROR(VLOOKUP(B86,PVSKTC!$A$4:$D$1048576,2,0),0)</f>
        <v>0</v>
      </c>
      <c r="G86" s="10">
        <f>IFERROR(VLOOKUP(B86,PVSKTC!$A$4:$D$1048576,3,0),0)</f>
        <v>0</v>
      </c>
      <c r="H86" s="10">
        <f>IFERROR(VLOOKUP(B86,PVSKTC!$A$4:$D$1048576,4,0),0)</f>
        <v>0</v>
      </c>
      <c r="I86" s="17" t="str">
        <f>IFERROR(IF(E86&gt;0,THTT!E$2,""),"")</f>
        <v/>
      </c>
      <c r="J86" s="18" t="str">
        <f t="shared" si="10"/>
        <v/>
      </c>
      <c r="K86" s="10" t="str">
        <f t="shared" si="11"/>
        <v/>
      </c>
      <c r="L86" s="10" t="str">
        <f t="shared" si="12"/>
        <v/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21" t="str">
        <f t="shared" si="7"/>
        <v/>
      </c>
      <c r="B87" s="22"/>
      <c r="C87" s="43">
        <f t="shared" si="8"/>
        <v>45721</v>
      </c>
      <c r="D87" s="21">
        <f t="shared" si="9"/>
        <v>45722</v>
      </c>
      <c r="E87" s="58">
        <f t="shared" si="13"/>
        <v>0</v>
      </c>
      <c r="F87" s="10">
        <f>IFERROR(VLOOKUP(B87,PVSKTC!$A$4:$D$1048576,2,0),0)</f>
        <v>0</v>
      </c>
      <c r="G87" s="10">
        <f>IFERROR(VLOOKUP(B87,PVSKTC!$A$4:$D$1048576,3,0),0)</f>
        <v>0</v>
      </c>
      <c r="H87" s="10">
        <f>IFERROR(VLOOKUP(B87,PVSKTC!$A$4:$D$1048576,4,0),0)</f>
        <v>0</v>
      </c>
      <c r="I87" s="17" t="str">
        <f>IFERROR(IF(E87&gt;0,THTT!E$2,""),"")</f>
        <v/>
      </c>
      <c r="J87" s="18" t="str">
        <f t="shared" si="10"/>
        <v/>
      </c>
      <c r="K87" s="10" t="str">
        <f t="shared" si="11"/>
        <v/>
      </c>
      <c r="L87" s="10" t="str">
        <f t="shared" si="12"/>
        <v/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21" t="str">
        <f t="shared" si="7"/>
        <v/>
      </c>
      <c r="B88" s="22"/>
      <c r="C88" s="43">
        <f t="shared" si="8"/>
        <v>45721</v>
      </c>
      <c r="D88" s="21">
        <f t="shared" si="9"/>
        <v>45722</v>
      </c>
      <c r="E88" s="58">
        <f t="shared" si="13"/>
        <v>0</v>
      </c>
      <c r="F88" s="10">
        <f>IFERROR(VLOOKUP(B88,PVSKTC!$A$4:$D$1048576,2,0),0)</f>
        <v>0</v>
      </c>
      <c r="G88" s="10">
        <f>IFERROR(VLOOKUP(B88,PVSKTC!$A$4:$D$1048576,3,0),0)</f>
        <v>0</v>
      </c>
      <c r="H88" s="10">
        <f>IFERROR(VLOOKUP(B88,PVSKTC!$A$4:$D$1048576,4,0),0)</f>
        <v>0</v>
      </c>
      <c r="I88" s="17" t="str">
        <f>IFERROR(IF(E88&gt;0,THTT!E$2,""),"")</f>
        <v/>
      </c>
      <c r="J88" s="18" t="str">
        <f t="shared" si="10"/>
        <v/>
      </c>
      <c r="K88" s="10" t="str">
        <f t="shared" si="11"/>
        <v/>
      </c>
      <c r="L88" s="10" t="str">
        <f t="shared" si="12"/>
        <v/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21" t="str">
        <f t="shared" si="7"/>
        <v/>
      </c>
      <c r="B89" s="22"/>
      <c r="C89" s="43">
        <f t="shared" si="8"/>
        <v>45721</v>
      </c>
      <c r="D89" s="21">
        <f t="shared" si="9"/>
        <v>45722</v>
      </c>
      <c r="E89" s="58">
        <f t="shared" si="13"/>
        <v>0</v>
      </c>
      <c r="F89" s="10">
        <f>IFERROR(VLOOKUP(B89,PVSKTC!$A$4:$D$1048576,2,0),0)</f>
        <v>0</v>
      </c>
      <c r="G89" s="10">
        <f>IFERROR(VLOOKUP(B89,PVSKTC!$A$4:$D$1048576,3,0),0)</f>
        <v>0</v>
      </c>
      <c r="H89" s="10">
        <f>IFERROR(VLOOKUP(B89,PVSKTC!$A$4:$D$1048576,4,0),0)</f>
        <v>0</v>
      </c>
      <c r="I89" s="17" t="str">
        <f>IFERROR(IF(E89&gt;0,THTT!E$2,""),"")</f>
        <v/>
      </c>
      <c r="J89" s="18" t="str">
        <f t="shared" si="10"/>
        <v/>
      </c>
      <c r="K89" s="10" t="str">
        <f t="shared" si="11"/>
        <v/>
      </c>
      <c r="L89" s="10" t="str">
        <f t="shared" si="12"/>
        <v/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21" t="str">
        <f t="shared" si="7"/>
        <v/>
      </c>
      <c r="B90" s="22"/>
      <c r="C90" s="43">
        <f t="shared" si="8"/>
        <v>45721</v>
      </c>
      <c r="D90" s="21">
        <f t="shared" si="9"/>
        <v>45722</v>
      </c>
      <c r="E90" s="58">
        <f t="shared" si="13"/>
        <v>0</v>
      </c>
      <c r="F90" s="10">
        <f>IFERROR(VLOOKUP(B90,PVSKTC!$A$4:$D$1048576,2,0),0)</f>
        <v>0</v>
      </c>
      <c r="G90" s="10">
        <f>IFERROR(VLOOKUP(B90,PVSKTC!$A$4:$D$1048576,3,0),0)</f>
        <v>0</v>
      </c>
      <c r="H90" s="10">
        <f>IFERROR(VLOOKUP(B90,PVSKTC!$A$4:$D$1048576,4,0),0)</f>
        <v>0</v>
      </c>
      <c r="I90" s="17" t="str">
        <f>IFERROR(IF(E90&gt;0,THTT!E$2,""),"")</f>
        <v/>
      </c>
      <c r="J90" s="18" t="str">
        <f t="shared" si="10"/>
        <v/>
      </c>
      <c r="K90" s="10" t="str">
        <f t="shared" si="11"/>
        <v/>
      </c>
      <c r="L90" s="10" t="str">
        <f t="shared" si="12"/>
        <v/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21" t="str">
        <f t="shared" si="7"/>
        <v/>
      </c>
      <c r="B91" s="22"/>
      <c r="C91" s="43">
        <f t="shared" si="8"/>
        <v>45721</v>
      </c>
      <c r="D91" s="21">
        <f t="shared" si="9"/>
        <v>45722</v>
      </c>
      <c r="E91" s="58">
        <f t="shared" si="13"/>
        <v>0</v>
      </c>
      <c r="F91" s="10">
        <f>IFERROR(VLOOKUP(B91,PVSKTC!$A$4:$D$1048576,2,0),0)</f>
        <v>0</v>
      </c>
      <c r="G91" s="10">
        <f>IFERROR(VLOOKUP(B91,PVSKTC!$A$4:$D$1048576,3,0),0)</f>
        <v>0</v>
      </c>
      <c r="H91" s="10">
        <f>IFERROR(VLOOKUP(B91,PVSKTC!$A$4:$D$1048576,4,0),0)</f>
        <v>0</v>
      </c>
      <c r="I91" s="17" t="str">
        <f>IFERROR(IF(E91&gt;0,THTT!E$2,""),"")</f>
        <v/>
      </c>
      <c r="J91" s="18" t="str">
        <f t="shared" si="10"/>
        <v/>
      </c>
      <c r="K91" s="10" t="str">
        <f t="shared" si="11"/>
        <v/>
      </c>
      <c r="L91" s="10" t="str">
        <f t="shared" si="12"/>
        <v/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21" t="str">
        <f t="shared" si="7"/>
        <v/>
      </c>
      <c r="B92" s="22"/>
      <c r="C92" s="43">
        <f t="shared" si="8"/>
        <v>45721</v>
      </c>
      <c r="D92" s="21">
        <f t="shared" si="9"/>
        <v>45722</v>
      </c>
      <c r="E92" s="58">
        <f t="shared" si="13"/>
        <v>0</v>
      </c>
      <c r="F92" s="10">
        <f>IFERROR(VLOOKUP(B92,PVSKTC!$A$4:$D$1048576,2,0),0)</f>
        <v>0</v>
      </c>
      <c r="G92" s="10">
        <f>IFERROR(VLOOKUP(B92,PVSKTC!$A$4:$D$1048576,3,0),0)</f>
        <v>0</v>
      </c>
      <c r="H92" s="10">
        <f>IFERROR(VLOOKUP(B92,PVSKTC!$A$4:$D$1048576,4,0),0)</f>
        <v>0</v>
      </c>
      <c r="I92" s="17" t="str">
        <f>IFERROR(IF(E92&gt;0,THTT!E$2,""),"")</f>
        <v/>
      </c>
      <c r="J92" s="18" t="str">
        <f t="shared" si="10"/>
        <v/>
      </c>
      <c r="K92" s="10" t="str">
        <f t="shared" si="11"/>
        <v/>
      </c>
      <c r="L92" s="10" t="str">
        <f t="shared" si="12"/>
        <v/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21" t="str">
        <f t="shared" si="7"/>
        <v/>
      </c>
      <c r="B93" s="22"/>
      <c r="C93" s="43">
        <f t="shared" si="8"/>
        <v>45721</v>
      </c>
      <c r="D93" s="21">
        <f t="shared" si="9"/>
        <v>45722</v>
      </c>
      <c r="E93" s="58">
        <f t="shared" si="13"/>
        <v>0</v>
      </c>
      <c r="F93" s="10">
        <f>IFERROR(VLOOKUP(B93,PVSKTC!$A$4:$D$1048576,2,0),0)</f>
        <v>0</v>
      </c>
      <c r="G93" s="10">
        <f>IFERROR(VLOOKUP(B93,PVSKTC!$A$4:$D$1048576,3,0),0)</f>
        <v>0</v>
      </c>
      <c r="H93" s="10">
        <f>IFERROR(VLOOKUP(B93,PVSKTC!$A$4:$D$1048576,4,0),0)</f>
        <v>0</v>
      </c>
      <c r="I93" s="17" t="str">
        <f>IFERROR(IF(E93&gt;0,THTT!E$2,""),"")</f>
        <v/>
      </c>
      <c r="J93" s="18" t="str">
        <f t="shared" si="10"/>
        <v/>
      </c>
      <c r="K93" s="10" t="str">
        <f t="shared" si="11"/>
        <v/>
      </c>
      <c r="L93" s="10" t="str">
        <f t="shared" si="12"/>
        <v/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21" t="str">
        <f t="shared" si="7"/>
        <v/>
      </c>
      <c r="B94" s="22"/>
      <c r="C94" s="43">
        <f t="shared" si="8"/>
        <v>45721</v>
      </c>
      <c r="D94" s="21">
        <f t="shared" si="9"/>
        <v>45722</v>
      </c>
      <c r="E94" s="58">
        <f t="shared" si="13"/>
        <v>0</v>
      </c>
      <c r="F94" s="10">
        <f>IFERROR(VLOOKUP(B94,PVSKTC!$A$4:$D$1048576,2,0),0)</f>
        <v>0</v>
      </c>
      <c r="G94" s="10">
        <f>IFERROR(VLOOKUP(B94,PVSKTC!$A$4:$D$1048576,3,0),0)</f>
        <v>0</v>
      </c>
      <c r="H94" s="10">
        <f>IFERROR(VLOOKUP(B94,PVSKTC!$A$4:$D$1048576,4,0),0)</f>
        <v>0</v>
      </c>
      <c r="I94" s="17" t="str">
        <f>IFERROR(IF(E94&gt;0,THTT!E$2,""),"")</f>
        <v/>
      </c>
      <c r="J94" s="18" t="str">
        <f t="shared" si="10"/>
        <v/>
      </c>
      <c r="K94" s="10" t="str">
        <f t="shared" si="11"/>
        <v/>
      </c>
      <c r="L94" s="10" t="str">
        <f t="shared" si="12"/>
        <v/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21" t="str">
        <f t="shared" si="7"/>
        <v/>
      </c>
      <c r="B95" s="22"/>
      <c r="C95" s="43">
        <f t="shared" si="8"/>
        <v>45721</v>
      </c>
      <c r="D95" s="21">
        <f t="shared" si="9"/>
        <v>45722</v>
      </c>
      <c r="E95" s="58">
        <f t="shared" si="13"/>
        <v>0</v>
      </c>
      <c r="F95" s="10">
        <f>IFERROR(VLOOKUP(B95,PVSKTC!$A$4:$D$1048576,2,0),0)</f>
        <v>0</v>
      </c>
      <c r="G95" s="10">
        <f>IFERROR(VLOOKUP(B95,PVSKTC!$A$4:$D$1048576,3,0),0)</f>
        <v>0</v>
      </c>
      <c r="H95" s="10">
        <f>IFERROR(VLOOKUP(B95,PVSKTC!$A$4:$D$1048576,4,0),0)</f>
        <v>0</v>
      </c>
      <c r="I95" s="17" t="str">
        <f>IFERROR(IF(E95&gt;0,THTT!E$2,""),"")</f>
        <v/>
      </c>
      <c r="J95" s="18" t="str">
        <f t="shared" si="10"/>
        <v/>
      </c>
      <c r="K95" s="10" t="str">
        <f t="shared" si="11"/>
        <v/>
      </c>
      <c r="L95" s="10" t="str">
        <f t="shared" si="12"/>
        <v/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21" t="str">
        <f t="shared" si="7"/>
        <v/>
      </c>
      <c r="B96" s="22"/>
      <c r="C96" s="43">
        <f t="shared" si="8"/>
        <v>45721</v>
      </c>
      <c r="D96" s="21">
        <f t="shared" si="9"/>
        <v>45722</v>
      </c>
      <c r="E96" s="58">
        <f t="shared" si="13"/>
        <v>0</v>
      </c>
      <c r="F96" s="10">
        <f>IFERROR(VLOOKUP(B96,PVSKTC!$A$4:$D$1048576,2,0),0)</f>
        <v>0</v>
      </c>
      <c r="G96" s="10">
        <f>IFERROR(VLOOKUP(B96,PVSKTC!$A$4:$D$1048576,3,0),0)</f>
        <v>0</v>
      </c>
      <c r="H96" s="10">
        <f>IFERROR(VLOOKUP(B96,PVSKTC!$A$4:$D$1048576,4,0),0)</f>
        <v>0</v>
      </c>
      <c r="I96" s="17" t="str">
        <f>IFERROR(IF(E96&gt;0,THTT!E$2,""),"")</f>
        <v/>
      </c>
      <c r="J96" s="18" t="str">
        <f t="shared" si="10"/>
        <v/>
      </c>
      <c r="K96" s="10" t="str">
        <f t="shared" si="11"/>
        <v/>
      </c>
      <c r="L96" s="10" t="str">
        <f t="shared" si="12"/>
        <v/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21" t="str">
        <f t="shared" si="7"/>
        <v/>
      </c>
      <c r="B97" s="22"/>
      <c r="C97" s="43">
        <f t="shared" si="8"/>
        <v>45721</v>
      </c>
      <c r="D97" s="21">
        <f t="shared" si="9"/>
        <v>45722</v>
      </c>
      <c r="E97" s="58">
        <f t="shared" si="13"/>
        <v>0</v>
      </c>
      <c r="F97" s="10">
        <f>IFERROR(VLOOKUP(B97,PVSKTC!$A$4:$D$1048576,2,0),0)</f>
        <v>0</v>
      </c>
      <c r="G97" s="10">
        <f>IFERROR(VLOOKUP(B97,PVSKTC!$A$4:$D$1048576,3,0),0)</f>
        <v>0</v>
      </c>
      <c r="H97" s="10">
        <f>IFERROR(VLOOKUP(B97,PVSKTC!$A$4:$D$1048576,4,0),0)</f>
        <v>0</v>
      </c>
      <c r="I97" s="17" t="str">
        <f>IFERROR(IF(E97&gt;0,THTT!E$2,""),"")</f>
        <v/>
      </c>
      <c r="J97" s="18" t="str">
        <f t="shared" si="10"/>
        <v/>
      </c>
      <c r="K97" s="10" t="str">
        <f t="shared" si="11"/>
        <v/>
      </c>
      <c r="L97" s="10" t="str">
        <f t="shared" si="12"/>
        <v/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21" t="str">
        <f t="shared" si="7"/>
        <v/>
      </c>
      <c r="B98" s="22"/>
      <c r="C98" s="43">
        <f t="shared" si="8"/>
        <v>45721</v>
      </c>
      <c r="D98" s="21">
        <f t="shared" si="9"/>
        <v>45722</v>
      </c>
      <c r="E98" s="58">
        <f t="shared" si="13"/>
        <v>0</v>
      </c>
      <c r="F98" s="10">
        <f>IFERROR(VLOOKUP(B98,PVSKTC!$A$4:$D$1048576,2,0),0)</f>
        <v>0</v>
      </c>
      <c r="G98" s="10">
        <f>IFERROR(VLOOKUP(B98,PVSKTC!$A$4:$D$1048576,3,0),0)</f>
        <v>0</v>
      </c>
      <c r="H98" s="10">
        <f>IFERROR(VLOOKUP(B98,PVSKTC!$A$4:$D$1048576,4,0),0)</f>
        <v>0</v>
      </c>
      <c r="I98" s="17" t="str">
        <f>IFERROR(IF(E98&gt;0,THTT!E$2,""),"")</f>
        <v/>
      </c>
      <c r="J98" s="18" t="str">
        <f t="shared" si="10"/>
        <v/>
      </c>
      <c r="K98" s="10" t="str">
        <f t="shared" si="11"/>
        <v/>
      </c>
      <c r="L98" s="10" t="str">
        <f t="shared" si="12"/>
        <v/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21" t="str">
        <f t="shared" si="7"/>
        <v/>
      </c>
      <c r="B99" s="22"/>
      <c r="C99" s="43">
        <f t="shared" si="8"/>
        <v>45721</v>
      </c>
      <c r="D99" s="21">
        <f t="shared" si="9"/>
        <v>45722</v>
      </c>
      <c r="E99" s="58">
        <f t="shared" si="13"/>
        <v>0</v>
      </c>
      <c r="F99" s="10">
        <f>IFERROR(VLOOKUP(B99,PVSKTC!$A$4:$D$1048576,2,0),0)</f>
        <v>0</v>
      </c>
      <c r="G99" s="10">
        <f>IFERROR(VLOOKUP(B99,PVSKTC!$A$4:$D$1048576,3,0),0)</f>
        <v>0</v>
      </c>
      <c r="H99" s="10">
        <f>IFERROR(VLOOKUP(B99,PVSKTC!$A$4:$D$1048576,4,0),0)</f>
        <v>0</v>
      </c>
      <c r="I99" s="17" t="str">
        <f>IFERROR(IF(E99&gt;0,THTT!E$2,""),"")</f>
        <v/>
      </c>
      <c r="J99" s="18" t="str">
        <f t="shared" si="10"/>
        <v/>
      </c>
      <c r="K99" s="10" t="str">
        <f t="shared" si="11"/>
        <v/>
      </c>
      <c r="L99" s="10" t="str">
        <f t="shared" si="12"/>
        <v/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21" t="str">
        <f t="shared" si="7"/>
        <v/>
      </c>
      <c r="B100" s="22"/>
      <c r="C100" s="43">
        <f t="shared" si="8"/>
        <v>45721</v>
      </c>
      <c r="D100" s="21">
        <f t="shared" si="9"/>
        <v>45722</v>
      </c>
      <c r="E100" s="58">
        <f t="shared" si="13"/>
        <v>0</v>
      </c>
      <c r="F100" s="10">
        <f>IFERROR(VLOOKUP(B100,PVSKTC!$A$4:$D$1048576,2,0),0)</f>
        <v>0</v>
      </c>
      <c r="G100" s="10">
        <f>IFERROR(VLOOKUP(B100,PVSKTC!$A$4:$D$1048576,3,0),0)</f>
        <v>0</v>
      </c>
      <c r="H100" s="10">
        <f>IFERROR(VLOOKUP(B100,PVSKTC!$A$4:$D$1048576,4,0),0)</f>
        <v>0</v>
      </c>
      <c r="I100" s="17" t="str">
        <f>IFERROR(IF(E100&gt;0,THTT!E$2,""),"")</f>
        <v/>
      </c>
      <c r="J100" s="18" t="str">
        <f t="shared" si="10"/>
        <v/>
      </c>
      <c r="K100" s="10" t="str">
        <f t="shared" si="11"/>
        <v/>
      </c>
      <c r="L100" s="10" t="str">
        <f t="shared" si="12"/>
        <v/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21" t="str">
        <f t="shared" si="7"/>
        <v/>
      </c>
      <c r="B101" s="22"/>
      <c r="C101" s="43">
        <f t="shared" si="8"/>
        <v>45721</v>
      </c>
      <c r="D101" s="21">
        <f t="shared" si="9"/>
        <v>45722</v>
      </c>
      <c r="E101" s="58">
        <f t="shared" si="13"/>
        <v>0</v>
      </c>
      <c r="F101" s="10">
        <f>IFERROR(VLOOKUP(B101,PVSKTC!$A$4:$D$1048576,2,0),0)</f>
        <v>0</v>
      </c>
      <c r="G101" s="10">
        <f>IFERROR(VLOOKUP(B101,PVSKTC!$A$4:$D$1048576,3,0),0)</f>
        <v>0</v>
      </c>
      <c r="H101" s="10">
        <f>IFERROR(VLOOKUP(B101,PVSKTC!$A$4:$D$1048576,4,0),0)</f>
        <v>0</v>
      </c>
      <c r="I101" s="17" t="str">
        <f>IFERROR(IF(E101&gt;0,THTT!E$2,""),"")</f>
        <v/>
      </c>
      <c r="J101" s="18" t="str">
        <f t="shared" si="10"/>
        <v/>
      </c>
      <c r="K101" s="10" t="str">
        <f t="shared" si="11"/>
        <v/>
      </c>
      <c r="L101" s="10" t="str">
        <f t="shared" si="12"/>
        <v/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21" t="str">
        <f t="shared" si="7"/>
        <v/>
      </c>
      <c r="B102" s="22"/>
      <c r="C102" s="43">
        <f t="shared" si="8"/>
        <v>45721</v>
      </c>
      <c r="D102" s="21">
        <f t="shared" si="9"/>
        <v>45722</v>
      </c>
      <c r="E102" s="58">
        <f t="shared" si="13"/>
        <v>0</v>
      </c>
      <c r="F102" s="10">
        <f>IFERROR(VLOOKUP(B102,PVSKTC!$A$4:$D$1048576,2,0),0)</f>
        <v>0</v>
      </c>
      <c r="G102" s="10">
        <f>IFERROR(VLOOKUP(B102,PVSKTC!$A$4:$D$1048576,3,0),0)</f>
        <v>0</v>
      </c>
      <c r="H102" s="10">
        <f>IFERROR(VLOOKUP(B102,PVSKTC!$A$4:$D$1048576,4,0),0)</f>
        <v>0</v>
      </c>
      <c r="I102" s="17" t="str">
        <f>IFERROR(IF(E102&gt;0,THTT!E$2,""),"")</f>
        <v/>
      </c>
      <c r="J102" s="18" t="str">
        <f t="shared" si="10"/>
        <v/>
      </c>
      <c r="K102" s="10" t="str">
        <f t="shared" si="11"/>
        <v/>
      </c>
      <c r="L102" s="10" t="str">
        <f t="shared" si="12"/>
        <v/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21" t="str">
        <f t="shared" si="7"/>
        <v/>
      </c>
      <c r="B103" s="22"/>
      <c r="C103" s="43">
        <f t="shared" si="8"/>
        <v>45721</v>
      </c>
      <c r="D103" s="21">
        <f t="shared" si="9"/>
        <v>45722</v>
      </c>
      <c r="E103" s="58">
        <f t="shared" si="13"/>
        <v>0</v>
      </c>
      <c r="F103" s="10">
        <f>IFERROR(VLOOKUP(B103,PVSKTC!$A$4:$D$1048576,2,0),0)</f>
        <v>0</v>
      </c>
      <c r="G103" s="10">
        <f>IFERROR(VLOOKUP(B103,PVSKTC!$A$4:$D$1048576,3,0),0)</f>
        <v>0</v>
      </c>
      <c r="H103" s="10">
        <f>IFERROR(VLOOKUP(B103,PVSKTC!$A$4:$D$1048576,4,0),0)</f>
        <v>0</v>
      </c>
      <c r="I103" s="17" t="str">
        <f>IFERROR(IF(E103&gt;0,THTT!E$2,""),"")</f>
        <v/>
      </c>
      <c r="J103" s="18" t="str">
        <f t="shared" si="10"/>
        <v/>
      </c>
      <c r="K103" s="10" t="str">
        <f t="shared" si="11"/>
        <v/>
      </c>
      <c r="L103" s="10" t="str">
        <f t="shared" si="12"/>
        <v/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21" t="str">
        <f t="shared" si="7"/>
        <v/>
      </c>
      <c r="B104" s="22"/>
      <c r="C104" s="43">
        <f t="shared" si="8"/>
        <v>45721</v>
      </c>
      <c r="D104" s="21">
        <f t="shared" si="9"/>
        <v>45722</v>
      </c>
      <c r="E104" s="58">
        <f t="shared" si="13"/>
        <v>0</v>
      </c>
      <c r="F104" s="10">
        <f>IFERROR(VLOOKUP(B104,PVSKTC!$A$4:$D$1048576,2,0),0)</f>
        <v>0</v>
      </c>
      <c r="G104" s="10">
        <f>IFERROR(VLOOKUP(B104,PVSKTC!$A$4:$D$1048576,3,0),0)</f>
        <v>0</v>
      </c>
      <c r="H104" s="10">
        <f>IFERROR(VLOOKUP(B104,PVSKTC!$A$4:$D$1048576,4,0),0)</f>
        <v>0</v>
      </c>
      <c r="I104" s="17" t="str">
        <f>IFERROR(IF(E104&gt;0,THTT!E$2,""),"")</f>
        <v/>
      </c>
      <c r="J104" s="18" t="str">
        <f t="shared" si="10"/>
        <v/>
      </c>
      <c r="K104" s="10" t="str">
        <f t="shared" si="11"/>
        <v/>
      </c>
      <c r="L104" s="10" t="str">
        <f t="shared" si="12"/>
        <v/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21" t="str">
        <f t="shared" si="7"/>
        <v/>
      </c>
      <c r="B105" s="22"/>
      <c r="C105" s="43">
        <f t="shared" si="8"/>
        <v>45721</v>
      </c>
      <c r="D105" s="21">
        <f t="shared" si="9"/>
        <v>45722</v>
      </c>
      <c r="E105" s="58">
        <f t="shared" si="13"/>
        <v>0</v>
      </c>
      <c r="F105" s="10">
        <f>IFERROR(VLOOKUP(B105,PVSKTC!$A$4:$D$1048576,2,0),0)</f>
        <v>0</v>
      </c>
      <c r="G105" s="10">
        <f>IFERROR(VLOOKUP(B105,PVSKTC!$A$4:$D$1048576,3,0),0)</f>
        <v>0</v>
      </c>
      <c r="H105" s="10">
        <f>IFERROR(VLOOKUP(B105,PVSKTC!$A$4:$D$1048576,4,0),0)</f>
        <v>0</v>
      </c>
      <c r="I105" s="17" t="str">
        <f>IFERROR(IF(E105&gt;0,THTT!E$2,""),"")</f>
        <v/>
      </c>
      <c r="J105" s="18" t="str">
        <f t="shared" si="10"/>
        <v/>
      </c>
      <c r="K105" s="10" t="str">
        <f t="shared" si="11"/>
        <v/>
      </c>
      <c r="L105" s="10" t="str">
        <f t="shared" si="12"/>
        <v/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21" t="str">
        <f t="shared" si="7"/>
        <v/>
      </c>
      <c r="B106" s="22"/>
      <c r="C106" s="43">
        <f t="shared" si="8"/>
        <v>45721</v>
      </c>
      <c r="D106" s="21">
        <f t="shared" si="9"/>
        <v>45722</v>
      </c>
      <c r="E106" s="58">
        <f t="shared" si="13"/>
        <v>0</v>
      </c>
      <c r="F106" s="10">
        <f>IFERROR(VLOOKUP(B106,PVSKTC!$A$4:$D$1048576,2,0),0)</f>
        <v>0</v>
      </c>
      <c r="G106" s="10">
        <f>IFERROR(VLOOKUP(B106,PVSKTC!$A$4:$D$1048576,3,0),0)</f>
        <v>0</v>
      </c>
      <c r="H106" s="10">
        <f>IFERROR(VLOOKUP(B106,PVSKTC!$A$4:$D$1048576,4,0),0)</f>
        <v>0</v>
      </c>
      <c r="I106" s="17" t="str">
        <f>IFERROR(IF(E106&gt;0,THTT!E$2,""),"")</f>
        <v/>
      </c>
      <c r="J106" s="18" t="str">
        <f t="shared" si="10"/>
        <v/>
      </c>
      <c r="K106" s="10" t="str">
        <f t="shared" si="11"/>
        <v/>
      </c>
      <c r="L106" s="10" t="str">
        <f t="shared" si="12"/>
        <v/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21" t="str">
        <f t="shared" si="7"/>
        <v/>
      </c>
      <c r="B107" s="22"/>
      <c r="C107" s="43">
        <f t="shared" si="8"/>
        <v>45721</v>
      </c>
      <c r="D107" s="21">
        <f t="shared" si="9"/>
        <v>45722</v>
      </c>
      <c r="E107" s="58">
        <f t="shared" si="13"/>
        <v>0</v>
      </c>
      <c r="F107" s="10">
        <f>IFERROR(VLOOKUP(B107,PVSKTC!$A$4:$D$1048576,2,0),0)</f>
        <v>0</v>
      </c>
      <c r="G107" s="10">
        <f>IFERROR(VLOOKUP(B107,PVSKTC!$A$4:$D$1048576,3,0),0)</f>
        <v>0</v>
      </c>
      <c r="H107" s="10">
        <f>IFERROR(VLOOKUP(B107,PVSKTC!$A$4:$D$1048576,4,0),0)</f>
        <v>0</v>
      </c>
      <c r="I107" s="17" t="str">
        <f>IFERROR(IF(E107&gt;0,THTT!E$2,""),"")</f>
        <v/>
      </c>
      <c r="J107" s="18" t="str">
        <f t="shared" si="10"/>
        <v/>
      </c>
      <c r="K107" s="10" t="str">
        <f t="shared" si="11"/>
        <v/>
      </c>
      <c r="L107" s="10" t="str">
        <f t="shared" si="12"/>
        <v/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21" t="str">
        <f t="shared" si="7"/>
        <v/>
      </c>
      <c r="B108" s="22"/>
      <c r="C108" s="43">
        <f t="shared" si="8"/>
        <v>45721</v>
      </c>
      <c r="D108" s="21">
        <f t="shared" si="9"/>
        <v>45722</v>
      </c>
      <c r="E108" s="58">
        <f t="shared" si="13"/>
        <v>0</v>
      </c>
      <c r="F108" s="10">
        <f>IFERROR(VLOOKUP(B108,PVSKTC!$A$4:$D$1048576,2,0),0)</f>
        <v>0</v>
      </c>
      <c r="G108" s="10">
        <f>IFERROR(VLOOKUP(B108,PVSKTC!$A$4:$D$1048576,3,0),0)</f>
        <v>0</v>
      </c>
      <c r="H108" s="10">
        <f>IFERROR(VLOOKUP(B108,PVSKTC!$A$4:$D$1048576,4,0),0)</f>
        <v>0</v>
      </c>
      <c r="I108" s="17" t="str">
        <f>IFERROR(IF(E108&gt;0,THTT!E$2,""),"")</f>
        <v/>
      </c>
      <c r="J108" s="18" t="str">
        <f t="shared" si="10"/>
        <v/>
      </c>
      <c r="K108" s="10" t="str">
        <f t="shared" si="11"/>
        <v/>
      </c>
      <c r="L108" s="10" t="str">
        <f t="shared" si="12"/>
        <v/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21" t="str">
        <f t="shared" si="7"/>
        <v/>
      </c>
      <c r="B109" s="22"/>
      <c r="C109" s="43">
        <f t="shared" si="8"/>
        <v>45721</v>
      </c>
      <c r="D109" s="21">
        <f t="shared" si="9"/>
        <v>45722</v>
      </c>
      <c r="E109" s="58">
        <f t="shared" si="13"/>
        <v>0</v>
      </c>
      <c r="F109" s="10">
        <f>IFERROR(VLOOKUP(B109,PVSKTC!$A$4:$D$1048576,2,0),0)</f>
        <v>0</v>
      </c>
      <c r="G109" s="10">
        <f>IFERROR(VLOOKUP(B109,PVSKTC!$A$4:$D$1048576,3,0),0)</f>
        <v>0</v>
      </c>
      <c r="H109" s="10">
        <f>IFERROR(VLOOKUP(B109,PVSKTC!$A$4:$D$1048576,4,0),0)</f>
        <v>0</v>
      </c>
      <c r="I109" s="17" t="str">
        <f>IFERROR(IF(E109&gt;0,THTT!E$2,""),"")</f>
        <v/>
      </c>
      <c r="J109" s="18" t="str">
        <f t="shared" si="10"/>
        <v/>
      </c>
      <c r="K109" s="10" t="str">
        <f t="shared" si="11"/>
        <v/>
      </c>
      <c r="L109" s="10" t="str">
        <f t="shared" si="12"/>
        <v/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21" t="str">
        <f t="shared" si="7"/>
        <v/>
      </c>
      <c r="B110" s="22"/>
      <c r="C110" s="43">
        <f t="shared" si="8"/>
        <v>45721</v>
      </c>
      <c r="D110" s="21">
        <f t="shared" si="9"/>
        <v>45722</v>
      </c>
      <c r="E110" s="58">
        <f t="shared" si="13"/>
        <v>0</v>
      </c>
      <c r="F110" s="10">
        <f>IFERROR(VLOOKUP(B110,PVSKTC!$A$4:$D$1048576,2,0),0)</f>
        <v>0</v>
      </c>
      <c r="G110" s="10">
        <f>IFERROR(VLOOKUP(B110,PVSKTC!$A$4:$D$1048576,3,0),0)</f>
        <v>0</v>
      </c>
      <c r="H110" s="10">
        <f>IFERROR(VLOOKUP(B110,PVSKTC!$A$4:$D$1048576,4,0),0)</f>
        <v>0</v>
      </c>
      <c r="I110" s="17" t="str">
        <f>IFERROR(IF(E110&gt;0,THTT!E$2,""),"")</f>
        <v/>
      </c>
      <c r="J110" s="18" t="str">
        <f t="shared" si="10"/>
        <v/>
      </c>
      <c r="K110" s="10" t="str">
        <f t="shared" si="11"/>
        <v/>
      </c>
      <c r="L110" s="10" t="str">
        <f t="shared" si="12"/>
        <v/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21" t="str">
        <f t="shared" si="7"/>
        <v/>
      </c>
      <c r="B111" s="22"/>
      <c r="C111" s="43">
        <f t="shared" si="8"/>
        <v>45721</v>
      </c>
      <c r="D111" s="21">
        <f t="shared" si="9"/>
        <v>45722</v>
      </c>
      <c r="E111" s="58">
        <f t="shared" si="13"/>
        <v>0</v>
      </c>
      <c r="F111" s="10">
        <f>IFERROR(VLOOKUP(B111,PVSKTC!$A$4:$D$1048576,2,0),0)</f>
        <v>0</v>
      </c>
      <c r="G111" s="10">
        <f>IFERROR(VLOOKUP(B111,PVSKTC!$A$4:$D$1048576,3,0),0)</f>
        <v>0</v>
      </c>
      <c r="H111" s="10">
        <f>IFERROR(VLOOKUP(B111,PVSKTC!$A$4:$D$1048576,4,0),0)</f>
        <v>0</v>
      </c>
      <c r="I111" s="17" t="str">
        <f>IFERROR(IF(E111&gt;0,THTT!E$2,""),"")</f>
        <v/>
      </c>
      <c r="J111" s="18" t="str">
        <f t="shared" si="10"/>
        <v/>
      </c>
      <c r="K111" s="10" t="str">
        <f t="shared" si="11"/>
        <v/>
      </c>
      <c r="L111" s="10" t="str">
        <f t="shared" si="12"/>
        <v/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21" t="str">
        <f t="shared" si="7"/>
        <v/>
      </c>
      <c r="B112" s="22"/>
      <c r="C112" s="43">
        <f t="shared" si="8"/>
        <v>45721</v>
      </c>
      <c r="D112" s="21">
        <f t="shared" si="9"/>
        <v>45722</v>
      </c>
      <c r="E112" s="58">
        <f t="shared" si="13"/>
        <v>0</v>
      </c>
      <c r="F112" s="10">
        <f>IFERROR(VLOOKUP(B112,PVSKTC!$A$4:$D$1048576,2,0),0)</f>
        <v>0</v>
      </c>
      <c r="G112" s="10">
        <f>IFERROR(VLOOKUP(B112,PVSKTC!$A$4:$D$1048576,3,0),0)</f>
        <v>0</v>
      </c>
      <c r="H112" s="10">
        <f>IFERROR(VLOOKUP(B112,PVSKTC!$A$4:$D$1048576,4,0),0)</f>
        <v>0</v>
      </c>
      <c r="I112" s="17" t="str">
        <f>IFERROR(IF(E112&gt;0,THTT!E$2,""),"")</f>
        <v/>
      </c>
      <c r="J112" s="18" t="str">
        <f t="shared" si="10"/>
        <v/>
      </c>
      <c r="K112" s="10" t="str">
        <f t="shared" si="11"/>
        <v/>
      </c>
      <c r="L112" s="10" t="str">
        <f t="shared" si="12"/>
        <v/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21" t="str">
        <f t="shared" si="7"/>
        <v/>
      </c>
      <c r="B113" s="22"/>
      <c r="C113" s="43">
        <f t="shared" si="8"/>
        <v>45721</v>
      </c>
      <c r="D113" s="21">
        <f t="shared" si="9"/>
        <v>45722</v>
      </c>
      <c r="E113" s="58">
        <f t="shared" si="13"/>
        <v>0</v>
      </c>
      <c r="F113" s="10">
        <f>IFERROR(VLOOKUP(B113,PVSKTC!$A$4:$D$1048576,2,0),0)</f>
        <v>0</v>
      </c>
      <c r="G113" s="10">
        <f>IFERROR(VLOOKUP(B113,PVSKTC!$A$4:$D$1048576,3,0),0)</f>
        <v>0</v>
      </c>
      <c r="H113" s="10">
        <f>IFERROR(VLOOKUP(B113,PVSKTC!$A$4:$D$1048576,4,0),0)</f>
        <v>0</v>
      </c>
      <c r="I113" s="17" t="str">
        <f>IFERROR(IF(E113&gt;0,THTT!E$2,""),"")</f>
        <v/>
      </c>
      <c r="J113" s="18" t="str">
        <f t="shared" si="10"/>
        <v/>
      </c>
      <c r="K113" s="10" t="str">
        <f t="shared" si="11"/>
        <v/>
      </c>
      <c r="L113" s="10" t="str">
        <f t="shared" si="12"/>
        <v/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21" t="str">
        <f t="shared" si="7"/>
        <v/>
      </c>
      <c r="B114" s="22"/>
      <c r="C114" s="43">
        <f t="shared" si="8"/>
        <v>45721</v>
      </c>
      <c r="D114" s="21">
        <f t="shared" si="9"/>
        <v>45722</v>
      </c>
      <c r="E114" s="58">
        <f t="shared" si="13"/>
        <v>0</v>
      </c>
      <c r="F114" s="10">
        <f>IFERROR(VLOOKUP(B114,PVSKTC!$A$4:$D$1048576,2,0),0)</f>
        <v>0</v>
      </c>
      <c r="G114" s="10">
        <f>IFERROR(VLOOKUP(B114,PVSKTC!$A$4:$D$1048576,3,0),0)</f>
        <v>0</v>
      </c>
      <c r="H114" s="10">
        <f>IFERROR(VLOOKUP(B114,PVSKTC!$A$4:$D$1048576,4,0),0)</f>
        <v>0</v>
      </c>
      <c r="I114" s="17" t="str">
        <f>IFERROR(IF(E114&gt;0,THTT!E$2,""),"")</f>
        <v/>
      </c>
      <c r="J114" s="18" t="str">
        <f t="shared" si="10"/>
        <v/>
      </c>
      <c r="K114" s="10" t="str">
        <f t="shared" si="11"/>
        <v/>
      </c>
      <c r="L114" s="10" t="str">
        <f t="shared" si="12"/>
        <v/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21" t="str">
        <f t="shared" si="7"/>
        <v/>
      </c>
      <c r="B115" s="22"/>
      <c r="C115" s="43">
        <f t="shared" si="8"/>
        <v>45721</v>
      </c>
      <c r="D115" s="21">
        <f t="shared" si="9"/>
        <v>45722</v>
      </c>
      <c r="E115" s="58">
        <f t="shared" si="13"/>
        <v>0</v>
      </c>
      <c r="F115" s="10">
        <f>IFERROR(VLOOKUP(B115,PVSKTC!$A$4:$D$1048576,2,0),0)</f>
        <v>0</v>
      </c>
      <c r="G115" s="10">
        <f>IFERROR(VLOOKUP(B115,PVSKTC!$A$4:$D$1048576,3,0),0)</f>
        <v>0</v>
      </c>
      <c r="H115" s="10">
        <f>IFERROR(VLOOKUP(B115,PVSKTC!$A$4:$D$1048576,4,0),0)</f>
        <v>0</v>
      </c>
      <c r="I115" s="17" t="str">
        <f>IFERROR(IF(E115&gt;0,THTT!E$2,""),"")</f>
        <v/>
      </c>
      <c r="J115" s="18" t="str">
        <f t="shared" si="10"/>
        <v/>
      </c>
      <c r="K115" s="10" t="str">
        <f t="shared" si="11"/>
        <v/>
      </c>
      <c r="L115" s="10" t="str">
        <f t="shared" si="12"/>
        <v/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21" t="str">
        <f t="shared" si="7"/>
        <v/>
      </c>
      <c r="B116" s="22"/>
      <c r="C116" s="43">
        <f t="shared" si="8"/>
        <v>45721</v>
      </c>
      <c r="D116" s="21">
        <f t="shared" si="9"/>
        <v>45722</v>
      </c>
      <c r="E116" s="58">
        <f t="shared" si="13"/>
        <v>0</v>
      </c>
      <c r="F116" s="10">
        <f>IFERROR(VLOOKUP(B116,PVSKTC!$A$4:$D$1048576,2,0),0)</f>
        <v>0</v>
      </c>
      <c r="G116" s="10">
        <f>IFERROR(VLOOKUP(B116,PVSKTC!$A$4:$D$1048576,3,0),0)</f>
        <v>0</v>
      </c>
      <c r="H116" s="10">
        <f>IFERROR(VLOOKUP(B116,PVSKTC!$A$4:$D$1048576,4,0),0)</f>
        <v>0</v>
      </c>
      <c r="I116" s="17" t="str">
        <f>IFERROR(IF(E116&gt;0,THTT!E$2,""),"")</f>
        <v/>
      </c>
      <c r="J116" s="18" t="str">
        <f t="shared" si="10"/>
        <v/>
      </c>
      <c r="K116" s="10" t="str">
        <f t="shared" si="11"/>
        <v/>
      </c>
      <c r="L116" s="10" t="str">
        <f t="shared" si="12"/>
        <v/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21" t="str">
        <f t="shared" si="7"/>
        <v/>
      </c>
      <c r="B117" s="22"/>
      <c r="C117" s="43">
        <f t="shared" si="8"/>
        <v>45721</v>
      </c>
      <c r="D117" s="21">
        <f t="shared" si="9"/>
        <v>45722</v>
      </c>
      <c r="E117" s="58">
        <f t="shared" si="13"/>
        <v>0</v>
      </c>
      <c r="F117" s="10">
        <f>IFERROR(VLOOKUP(B117,PVSKTC!$A$4:$D$1048576,2,0),0)</f>
        <v>0</v>
      </c>
      <c r="G117" s="10">
        <f>IFERROR(VLOOKUP(B117,PVSKTC!$A$4:$D$1048576,3,0),0)</f>
        <v>0</v>
      </c>
      <c r="H117" s="10">
        <f>IFERROR(VLOOKUP(B117,PVSKTC!$A$4:$D$1048576,4,0),0)</f>
        <v>0</v>
      </c>
      <c r="I117" s="17" t="str">
        <f>IFERROR(IF(E117&gt;0,THTT!E$2,""),"")</f>
        <v/>
      </c>
      <c r="J117" s="18" t="str">
        <f t="shared" si="10"/>
        <v/>
      </c>
      <c r="K117" s="10" t="str">
        <f t="shared" si="11"/>
        <v/>
      </c>
      <c r="L117" s="10" t="str">
        <f t="shared" si="12"/>
        <v/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21" t="str">
        <f t="shared" si="7"/>
        <v/>
      </c>
      <c r="B118" s="22"/>
      <c r="C118" s="43">
        <f t="shared" si="8"/>
        <v>45721</v>
      </c>
      <c r="D118" s="21">
        <f t="shared" si="9"/>
        <v>45722</v>
      </c>
      <c r="E118" s="58">
        <f t="shared" si="13"/>
        <v>0</v>
      </c>
      <c r="F118" s="10">
        <f>IFERROR(VLOOKUP(B118,PVSKTC!$A$4:$D$1048576,2,0),0)</f>
        <v>0</v>
      </c>
      <c r="G118" s="10">
        <f>IFERROR(VLOOKUP(B118,PVSKTC!$A$4:$D$1048576,3,0),0)</f>
        <v>0</v>
      </c>
      <c r="H118" s="10">
        <f>IFERROR(VLOOKUP(B118,PVSKTC!$A$4:$D$1048576,4,0),0)</f>
        <v>0</v>
      </c>
      <c r="I118" s="17" t="str">
        <f>IFERROR(IF(E118&gt;0,THTT!E$2,""),"")</f>
        <v/>
      </c>
      <c r="J118" s="18" t="str">
        <f t="shared" si="10"/>
        <v/>
      </c>
      <c r="K118" s="10" t="str">
        <f t="shared" si="11"/>
        <v/>
      </c>
      <c r="L118" s="10" t="str">
        <f t="shared" si="12"/>
        <v/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21" t="str">
        <f t="shared" si="7"/>
        <v/>
      </c>
      <c r="B119" s="22"/>
      <c r="C119" s="43">
        <f t="shared" si="8"/>
        <v>45721</v>
      </c>
      <c r="D119" s="21">
        <f t="shared" si="9"/>
        <v>45722</v>
      </c>
      <c r="E119" s="58">
        <f t="shared" si="13"/>
        <v>0</v>
      </c>
      <c r="F119" s="10">
        <f>IFERROR(VLOOKUP(B119,PVSKTC!$A$4:$D$1048576,2,0),0)</f>
        <v>0</v>
      </c>
      <c r="G119" s="10">
        <f>IFERROR(VLOOKUP(B119,PVSKTC!$A$4:$D$1048576,3,0),0)</f>
        <v>0</v>
      </c>
      <c r="H119" s="10">
        <f>IFERROR(VLOOKUP(B119,PVSKTC!$A$4:$D$1048576,4,0),0)</f>
        <v>0</v>
      </c>
      <c r="I119" s="17" t="str">
        <f>IFERROR(IF(E119&gt;0,THTT!E$2,""),"")</f>
        <v/>
      </c>
      <c r="J119" s="18" t="str">
        <f t="shared" si="10"/>
        <v/>
      </c>
      <c r="K119" s="10" t="str">
        <f t="shared" si="11"/>
        <v/>
      </c>
      <c r="L119" s="10" t="str">
        <f t="shared" si="12"/>
        <v/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21" t="str">
        <f t="shared" si="7"/>
        <v/>
      </c>
      <c r="B120" s="22"/>
      <c r="C120" s="43">
        <f t="shared" si="8"/>
        <v>45721</v>
      </c>
      <c r="D120" s="21">
        <f t="shared" si="9"/>
        <v>45722</v>
      </c>
      <c r="E120" s="58">
        <f t="shared" si="13"/>
        <v>0</v>
      </c>
      <c r="F120" s="10">
        <f>IFERROR(VLOOKUP(B120,PVSKTC!$A$4:$D$1048576,2,0),0)</f>
        <v>0</v>
      </c>
      <c r="G120" s="10">
        <f>IFERROR(VLOOKUP(B120,PVSKTC!$A$4:$D$1048576,3,0),0)</f>
        <v>0</v>
      </c>
      <c r="H120" s="10">
        <f>IFERROR(VLOOKUP(B120,PVSKTC!$A$4:$D$1048576,4,0),0)</f>
        <v>0</v>
      </c>
      <c r="I120" s="17" t="str">
        <f>IFERROR(IF(E120&gt;0,THTT!E$2,""),"")</f>
        <v/>
      </c>
      <c r="J120" s="18" t="str">
        <f t="shared" si="10"/>
        <v/>
      </c>
      <c r="K120" s="10" t="str">
        <f t="shared" si="11"/>
        <v/>
      </c>
      <c r="L120" s="10" t="str">
        <f t="shared" si="12"/>
        <v/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21" t="str">
        <f t="shared" si="7"/>
        <v/>
      </c>
      <c r="B121" s="22"/>
      <c r="C121" s="43">
        <f t="shared" si="8"/>
        <v>45721</v>
      </c>
      <c r="D121" s="21">
        <f t="shared" si="9"/>
        <v>45722</v>
      </c>
      <c r="E121" s="58">
        <f t="shared" si="13"/>
        <v>0</v>
      </c>
      <c r="F121" s="10">
        <f>IFERROR(VLOOKUP(B121,PVSKTC!$A$4:$D$1048576,2,0),0)</f>
        <v>0</v>
      </c>
      <c r="G121" s="10">
        <f>IFERROR(VLOOKUP(B121,PVSKTC!$A$4:$D$1048576,3,0),0)</f>
        <v>0</v>
      </c>
      <c r="H121" s="10">
        <f>IFERROR(VLOOKUP(B121,PVSKTC!$A$4:$D$1048576,4,0),0)</f>
        <v>0</v>
      </c>
      <c r="I121" s="17" t="str">
        <f>IFERROR(IF(E121&gt;0,THTT!E$2,""),"")</f>
        <v/>
      </c>
      <c r="J121" s="18" t="str">
        <f t="shared" si="10"/>
        <v/>
      </c>
      <c r="K121" s="10" t="str">
        <f t="shared" si="11"/>
        <v/>
      </c>
      <c r="L121" s="10" t="str">
        <f t="shared" si="12"/>
        <v/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21" t="str">
        <f t="shared" si="7"/>
        <v/>
      </c>
      <c r="B122" s="22"/>
      <c r="C122" s="43">
        <f t="shared" si="8"/>
        <v>45721</v>
      </c>
      <c r="D122" s="21">
        <f t="shared" si="9"/>
        <v>45722</v>
      </c>
      <c r="E122" s="58">
        <f t="shared" si="13"/>
        <v>0</v>
      </c>
      <c r="F122" s="10">
        <f>IFERROR(VLOOKUP(B122,PVSKTC!$A$4:$D$1048576,2,0),0)</f>
        <v>0</v>
      </c>
      <c r="G122" s="10">
        <f>IFERROR(VLOOKUP(B122,PVSKTC!$A$4:$D$1048576,3,0),0)</f>
        <v>0</v>
      </c>
      <c r="H122" s="10">
        <f>IFERROR(VLOOKUP(B122,PVSKTC!$A$4:$D$1048576,4,0),0)</f>
        <v>0</v>
      </c>
      <c r="I122" s="17" t="str">
        <f>IFERROR(IF(E122&gt;0,THTT!E$2,""),"")</f>
        <v/>
      </c>
      <c r="J122" s="18" t="str">
        <f t="shared" si="10"/>
        <v/>
      </c>
      <c r="K122" s="10" t="str">
        <f t="shared" si="11"/>
        <v/>
      </c>
      <c r="L122" s="10" t="str">
        <f t="shared" si="12"/>
        <v/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21" t="str">
        <f t="shared" si="7"/>
        <v/>
      </c>
      <c r="B123" s="22"/>
      <c r="C123" s="43">
        <f t="shared" si="8"/>
        <v>45721</v>
      </c>
      <c r="D123" s="21">
        <f t="shared" si="9"/>
        <v>45722</v>
      </c>
      <c r="E123" s="58">
        <f t="shared" si="13"/>
        <v>0</v>
      </c>
      <c r="F123" s="10">
        <f>IFERROR(VLOOKUP(B123,PVSKTC!$A$4:$D$1048576,2,0),0)</f>
        <v>0</v>
      </c>
      <c r="G123" s="10">
        <f>IFERROR(VLOOKUP(B123,PVSKTC!$A$4:$D$1048576,3,0),0)</f>
        <v>0</v>
      </c>
      <c r="H123" s="10">
        <f>IFERROR(VLOOKUP(B123,PVSKTC!$A$4:$D$1048576,4,0),0)</f>
        <v>0</v>
      </c>
      <c r="I123" s="17" t="str">
        <f>IFERROR(IF(E123&gt;0,THTT!E$2,""),"")</f>
        <v/>
      </c>
      <c r="J123" s="18" t="str">
        <f t="shared" si="10"/>
        <v/>
      </c>
      <c r="K123" s="10" t="str">
        <f t="shared" si="11"/>
        <v/>
      </c>
      <c r="L123" s="10" t="str">
        <f t="shared" si="12"/>
        <v/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21" t="str">
        <f t="shared" si="7"/>
        <v/>
      </c>
      <c r="B124" s="22"/>
      <c r="C124" s="43">
        <f t="shared" si="8"/>
        <v>45721</v>
      </c>
      <c r="D124" s="21">
        <f t="shared" si="9"/>
        <v>45722</v>
      </c>
      <c r="E124" s="58">
        <f t="shared" si="13"/>
        <v>0</v>
      </c>
      <c r="F124" s="10">
        <f>IFERROR(VLOOKUP(B124,PVSKTC!$A$4:$D$1048576,2,0),0)</f>
        <v>0</v>
      </c>
      <c r="G124" s="10">
        <f>IFERROR(VLOOKUP(B124,PVSKTC!$A$4:$D$1048576,3,0),0)</f>
        <v>0</v>
      </c>
      <c r="H124" s="10">
        <f>IFERROR(VLOOKUP(B124,PVSKTC!$A$4:$D$1048576,4,0),0)</f>
        <v>0</v>
      </c>
      <c r="I124" s="17" t="str">
        <f>IFERROR(IF(E124&gt;0,THTT!E$2,""),"")</f>
        <v/>
      </c>
      <c r="J124" s="18" t="str">
        <f t="shared" si="10"/>
        <v/>
      </c>
      <c r="K124" s="10" t="str">
        <f t="shared" si="11"/>
        <v/>
      </c>
      <c r="L124" s="10" t="str">
        <f t="shared" si="12"/>
        <v/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21" t="str">
        <f t="shared" si="7"/>
        <v/>
      </c>
      <c r="B125" s="22"/>
      <c r="C125" s="43">
        <f t="shared" si="8"/>
        <v>45721</v>
      </c>
      <c r="D125" s="21">
        <f t="shared" si="9"/>
        <v>45722</v>
      </c>
      <c r="E125" s="58">
        <f t="shared" si="13"/>
        <v>0</v>
      </c>
      <c r="F125" s="10">
        <f>IFERROR(VLOOKUP(B125,PVSKTC!$A$4:$D$1048576,2,0),0)</f>
        <v>0</v>
      </c>
      <c r="G125" s="10">
        <f>IFERROR(VLOOKUP(B125,PVSKTC!$A$4:$D$1048576,3,0),0)</f>
        <v>0</v>
      </c>
      <c r="H125" s="10">
        <f>IFERROR(VLOOKUP(B125,PVSKTC!$A$4:$D$1048576,4,0),0)</f>
        <v>0</v>
      </c>
      <c r="I125" s="17" t="str">
        <f>IFERROR(IF(E125&gt;0,THTT!E$2,""),"")</f>
        <v/>
      </c>
      <c r="J125" s="18" t="str">
        <f t="shared" si="10"/>
        <v/>
      </c>
      <c r="K125" s="10" t="str">
        <f t="shared" si="11"/>
        <v/>
      </c>
      <c r="L125" s="10" t="str">
        <f t="shared" si="12"/>
        <v/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21" t="str">
        <f t="shared" si="7"/>
        <v/>
      </c>
      <c r="B126" s="22"/>
      <c r="C126" s="43">
        <f t="shared" si="8"/>
        <v>45721</v>
      </c>
      <c r="D126" s="21">
        <f t="shared" si="9"/>
        <v>45722</v>
      </c>
      <c r="E126" s="58">
        <f t="shared" si="13"/>
        <v>0</v>
      </c>
      <c r="F126" s="10">
        <f>IFERROR(VLOOKUP(B126,PVSKTC!$A$4:$D$1048576,2,0),0)</f>
        <v>0</v>
      </c>
      <c r="G126" s="10">
        <f>IFERROR(VLOOKUP(B126,PVSKTC!$A$4:$D$1048576,3,0),0)</f>
        <v>0</v>
      </c>
      <c r="H126" s="10">
        <f>IFERROR(VLOOKUP(B126,PVSKTC!$A$4:$D$1048576,4,0),0)</f>
        <v>0</v>
      </c>
      <c r="I126" s="17" t="str">
        <f>IFERROR(IF(E126&gt;0,THTT!E$2,""),"")</f>
        <v/>
      </c>
      <c r="J126" s="18" t="str">
        <f t="shared" si="10"/>
        <v/>
      </c>
      <c r="K126" s="10" t="str">
        <f t="shared" si="11"/>
        <v/>
      </c>
      <c r="L126" s="10" t="str">
        <f t="shared" si="12"/>
        <v/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21" t="str">
        <f t="shared" si="7"/>
        <v/>
      </c>
      <c r="B127" s="22"/>
      <c r="C127" s="43">
        <f t="shared" si="8"/>
        <v>45721</v>
      </c>
      <c r="D127" s="21">
        <f t="shared" si="9"/>
        <v>45722</v>
      </c>
      <c r="E127" s="58">
        <f t="shared" si="13"/>
        <v>0</v>
      </c>
      <c r="F127" s="10">
        <f>IFERROR(VLOOKUP(B127,PVSKTC!$A$4:$D$1048576,2,0),0)</f>
        <v>0</v>
      </c>
      <c r="G127" s="10">
        <f>IFERROR(VLOOKUP(B127,PVSKTC!$A$4:$D$1048576,3,0),0)</f>
        <v>0</v>
      </c>
      <c r="H127" s="10">
        <f>IFERROR(VLOOKUP(B127,PVSKTC!$A$4:$D$1048576,4,0),0)</f>
        <v>0</v>
      </c>
      <c r="I127" s="17" t="str">
        <f>IFERROR(IF(E127&gt;0,THTT!E$2,""),"")</f>
        <v/>
      </c>
      <c r="J127" s="18" t="str">
        <f t="shared" si="10"/>
        <v/>
      </c>
      <c r="K127" s="10" t="str">
        <f t="shared" si="11"/>
        <v/>
      </c>
      <c r="L127" s="10" t="str">
        <f t="shared" si="12"/>
        <v/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21" t="str">
        <f t="shared" si="7"/>
        <v/>
      </c>
      <c r="B128" s="22"/>
      <c r="C128" s="43">
        <f t="shared" si="8"/>
        <v>45721</v>
      </c>
      <c r="D128" s="21">
        <f t="shared" si="9"/>
        <v>45722</v>
      </c>
      <c r="E128" s="58">
        <f t="shared" si="13"/>
        <v>0</v>
      </c>
      <c r="F128" s="10">
        <f>IFERROR(VLOOKUP(B128,PVSKTC!$A$4:$D$1048576,2,0),0)</f>
        <v>0</v>
      </c>
      <c r="G128" s="10">
        <f>IFERROR(VLOOKUP(B128,PVSKTC!$A$4:$D$1048576,3,0),0)</f>
        <v>0</v>
      </c>
      <c r="H128" s="10">
        <f>IFERROR(VLOOKUP(B128,PVSKTC!$A$4:$D$1048576,4,0),0)</f>
        <v>0</v>
      </c>
      <c r="I128" s="17" t="str">
        <f>IFERROR(IF(E128&gt;0,THTT!E$2,""),"")</f>
        <v/>
      </c>
      <c r="J128" s="18" t="str">
        <f t="shared" si="10"/>
        <v/>
      </c>
      <c r="K128" s="10" t="str">
        <f t="shared" si="11"/>
        <v/>
      </c>
      <c r="L128" s="10" t="str">
        <f t="shared" si="12"/>
        <v/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21" t="str">
        <f t="shared" si="7"/>
        <v/>
      </c>
      <c r="B129" s="22"/>
      <c r="C129" s="43">
        <f t="shared" si="8"/>
        <v>45721</v>
      </c>
      <c r="D129" s="21">
        <f t="shared" si="9"/>
        <v>45722</v>
      </c>
      <c r="E129" s="58">
        <f t="shared" si="13"/>
        <v>0</v>
      </c>
      <c r="F129" s="10">
        <f>IFERROR(VLOOKUP(B129,PVSKTC!$A$4:$D$1048576,2,0),0)</f>
        <v>0</v>
      </c>
      <c r="G129" s="10">
        <f>IFERROR(VLOOKUP(B129,PVSKTC!$A$4:$D$1048576,3,0),0)</f>
        <v>0</v>
      </c>
      <c r="H129" s="10">
        <f>IFERROR(VLOOKUP(B129,PVSKTC!$A$4:$D$1048576,4,0),0)</f>
        <v>0</v>
      </c>
      <c r="I129" s="17" t="str">
        <f>IFERROR(IF(E129&gt;0,THTT!E$2,""),"")</f>
        <v/>
      </c>
      <c r="J129" s="18" t="str">
        <f t="shared" si="10"/>
        <v/>
      </c>
      <c r="K129" s="10" t="str">
        <f t="shared" si="11"/>
        <v/>
      </c>
      <c r="L129" s="10" t="str">
        <f t="shared" si="12"/>
        <v/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21" t="str">
        <f t="shared" si="7"/>
        <v/>
      </c>
      <c r="B130" s="22"/>
      <c r="C130" s="43">
        <f t="shared" si="8"/>
        <v>45721</v>
      </c>
      <c r="D130" s="21">
        <f t="shared" si="9"/>
        <v>45722</v>
      </c>
      <c r="E130" s="58">
        <f t="shared" si="13"/>
        <v>0</v>
      </c>
      <c r="F130" s="10">
        <f>IFERROR(VLOOKUP(B130,PVSKTC!$A$4:$D$1048576,2,0),0)</f>
        <v>0</v>
      </c>
      <c r="G130" s="10">
        <f>IFERROR(VLOOKUP(B130,PVSKTC!$A$4:$D$1048576,3,0),0)</f>
        <v>0</v>
      </c>
      <c r="H130" s="10">
        <f>IFERROR(VLOOKUP(B130,PVSKTC!$A$4:$D$1048576,4,0),0)</f>
        <v>0</v>
      </c>
      <c r="I130" s="17" t="str">
        <f>IFERROR(IF(E130&gt;0,THTT!E$2,""),"")</f>
        <v/>
      </c>
      <c r="J130" s="18" t="str">
        <f t="shared" si="10"/>
        <v/>
      </c>
      <c r="K130" s="10" t="str">
        <f t="shared" si="11"/>
        <v/>
      </c>
      <c r="L130" s="10" t="str">
        <f t="shared" si="12"/>
        <v/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21" t="str">
        <f t="shared" si="7"/>
        <v/>
      </c>
      <c r="B131" s="22"/>
      <c r="C131" s="43">
        <f t="shared" si="8"/>
        <v>45721</v>
      </c>
      <c r="D131" s="21">
        <f t="shared" si="9"/>
        <v>45722</v>
      </c>
      <c r="E131" s="58">
        <f t="shared" si="13"/>
        <v>0</v>
      </c>
      <c r="F131" s="10">
        <f>IFERROR(VLOOKUP(B131,PVSKTC!$A$4:$D$1048576,2,0),0)</f>
        <v>0</v>
      </c>
      <c r="G131" s="10">
        <f>IFERROR(VLOOKUP(B131,PVSKTC!$A$4:$D$1048576,3,0),0)</f>
        <v>0</v>
      </c>
      <c r="H131" s="10">
        <f>IFERROR(VLOOKUP(B131,PVSKTC!$A$4:$D$1048576,4,0),0)</f>
        <v>0</v>
      </c>
      <c r="I131" s="17" t="str">
        <f>IFERROR(IF(E131&gt;0,THTT!E$2,""),"")</f>
        <v/>
      </c>
      <c r="J131" s="18" t="str">
        <f t="shared" si="10"/>
        <v/>
      </c>
      <c r="K131" s="10" t="str">
        <f t="shared" si="11"/>
        <v/>
      </c>
      <c r="L131" s="10" t="str">
        <f t="shared" si="12"/>
        <v/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21" t="str">
        <f t="shared" si="7"/>
        <v/>
      </c>
      <c r="B132" s="22"/>
      <c r="C132" s="43">
        <f t="shared" si="8"/>
        <v>45721</v>
      </c>
      <c r="D132" s="21">
        <f t="shared" si="9"/>
        <v>45722</v>
      </c>
      <c r="E132" s="58">
        <f t="shared" si="13"/>
        <v>0</v>
      </c>
      <c r="F132" s="10">
        <f>IFERROR(VLOOKUP(B132,PVSKTC!$A$4:$D$1048576,2,0),0)</f>
        <v>0</v>
      </c>
      <c r="G132" s="10">
        <f>IFERROR(VLOOKUP(B132,PVSKTC!$A$4:$D$1048576,3,0),0)</f>
        <v>0</v>
      </c>
      <c r="H132" s="10">
        <f>IFERROR(VLOOKUP(B132,PVSKTC!$A$4:$D$1048576,4,0),0)</f>
        <v>0</v>
      </c>
      <c r="I132" s="17" t="str">
        <f>IFERROR(IF(E132&gt;0,THTT!E$2,""),"")</f>
        <v/>
      </c>
      <c r="J132" s="18" t="str">
        <f t="shared" si="10"/>
        <v/>
      </c>
      <c r="K132" s="10" t="str">
        <f t="shared" si="11"/>
        <v/>
      </c>
      <c r="L132" s="10" t="str">
        <f t="shared" si="12"/>
        <v/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21" t="str">
        <f t="shared" si="7"/>
        <v/>
      </c>
      <c r="B133" s="22"/>
      <c r="C133" s="43">
        <f t="shared" si="8"/>
        <v>45721</v>
      </c>
      <c r="D133" s="21">
        <f t="shared" si="9"/>
        <v>45722</v>
      </c>
      <c r="E133" s="58">
        <f t="shared" si="13"/>
        <v>0</v>
      </c>
      <c r="F133" s="10">
        <f>IFERROR(VLOOKUP(B133,PVSKTC!$A$4:$D$1048576,2,0),0)</f>
        <v>0</v>
      </c>
      <c r="G133" s="10">
        <f>IFERROR(VLOOKUP(B133,PVSKTC!$A$4:$D$1048576,3,0),0)</f>
        <v>0</v>
      </c>
      <c r="H133" s="10">
        <f>IFERROR(VLOOKUP(B133,PVSKTC!$A$4:$D$1048576,4,0),0)</f>
        <v>0</v>
      </c>
      <c r="I133" s="17" t="str">
        <f>IFERROR(IF(E133&gt;0,THTT!E$2,""),"")</f>
        <v/>
      </c>
      <c r="J133" s="18" t="str">
        <f t="shared" si="10"/>
        <v/>
      </c>
      <c r="K133" s="10" t="str">
        <f t="shared" si="11"/>
        <v/>
      </c>
      <c r="L133" s="10" t="str">
        <f t="shared" si="12"/>
        <v/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21" t="str">
        <f t="shared" si="7"/>
        <v/>
      </c>
      <c r="B134" s="22"/>
      <c r="C134" s="43">
        <f t="shared" si="8"/>
        <v>45721</v>
      </c>
      <c r="D134" s="21">
        <f t="shared" si="9"/>
        <v>45722</v>
      </c>
      <c r="E134" s="58">
        <f t="shared" si="13"/>
        <v>0</v>
      </c>
      <c r="F134" s="10">
        <f>IFERROR(VLOOKUP(B134,PVSKTC!$A$4:$D$1048576,2,0),0)</f>
        <v>0</v>
      </c>
      <c r="G134" s="10">
        <f>IFERROR(VLOOKUP(B134,PVSKTC!$A$4:$D$1048576,3,0),0)</f>
        <v>0</v>
      </c>
      <c r="H134" s="10">
        <f>IFERROR(VLOOKUP(B134,PVSKTC!$A$4:$D$1048576,4,0),0)</f>
        <v>0</v>
      </c>
      <c r="I134" s="17" t="str">
        <f>IFERROR(IF(E134&gt;0,THTT!E$2,""),"")</f>
        <v/>
      </c>
      <c r="J134" s="18" t="str">
        <f t="shared" si="10"/>
        <v/>
      </c>
      <c r="K134" s="10" t="str">
        <f t="shared" si="11"/>
        <v/>
      </c>
      <c r="L134" s="10" t="str">
        <f t="shared" si="12"/>
        <v/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21" t="str">
        <f t="shared" si="7"/>
        <v/>
      </c>
      <c r="B135" s="22"/>
      <c r="C135" s="43">
        <f t="shared" si="8"/>
        <v>45721</v>
      </c>
      <c r="D135" s="21">
        <f t="shared" si="9"/>
        <v>45722</v>
      </c>
      <c r="E135" s="58">
        <f t="shared" si="13"/>
        <v>0</v>
      </c>
      <c r="F135" s="10">
        <f>IFERROR(VLOOKUP(B135,PVSKTC!$A$4:$D$1048576,2,0),0)</f>
        <v>0</v>
      </c>
      <c r="G135" s="10">
        <f>IFERROR(VLOOKUP(B135,PVSKTC!$A$4:$D$1048576,3,0),0)</f>
        <v>0</v>
      </c>
      <c r="H135" s="10">
        <f>IFERROR(VLOOKUP(B135,PVSKTC!$A$4:$D$1048576,4,0),0)</f>
        <v>0</v>
      </c>
      <c r="I135" s="17" t="str">
        <f>IFERROR(IF(E135&gt;0,THTT!E$2,""),"")</f>
        <v/>
      </c>
      <c r="J135" s="18" t="str">
        <f t="shared" si="10"/>
        <v/>
      </c>
      <c r="K135" s="10" t="str">
        <f t="shared" si="11"/>
        <v/>
      </c>
      <c r="L135" s="10" t="str">
        <f t="shared" si="12"/>
        <v/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21" t="str">
        <f t="shared" si="7"/>
        <v/>
      </c>
      <c r="B136" s="22"/>
      <c r="C136" s="43">
        <f t="shared" si="8"/>
        <v>45721</v>
      </c>
      <c r="D136" s="21">
        <f t="shared" si="9"/>
        <v>45722</v>
      </c>
      <c r="E136" s="58">
        <f t="shared" si="13"/>
        <v>0</v>
      </c>
      <c r="F136" s="10">
        <f>IFERROR(VLOOKUP(B136,PVSKTC!$A$4:$D$1048576,2,0),0)</f>
        <v>0</v>
      </c>
      <c r="G136" s="10">
        <f>IFERROR(VLOOKUP(B136,PVSKTC!$A$4:$D$1048576,3,0),0)</f>
        <v>0</v>
      </c>
      <c r="H136" s="10">
        <f>IFERROR(VLOOKUP(B136,PVSKTC!$A$4:$D$1048576,4,0),0)</f>
        <v>0</v>
      </c>
      <c r="I136" s="17" t="str">
        <f>IFERROR(IF(E136&gt;0,THTT!E$2,""),"")</f>
        <v/>
      </c>
      <c r="J136" s="18" t="str">
        <f t="shared" si="10"/>
        <v/>
      </c>
      <c r="K136" s="10" t="str">
        <f t="shared" si="11"/>
        <v/>
      </c>
      <c r="L136" s="10" t="str">
        <f t="shared" si="12"/>
        <v/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21" t="str">
        <f t="shared" si="7"/>
        <v/>
      </c>
      <c r="B137" s="22"/>
      <c r="C137" s="43">
        <f t="shared" si="8"/>
        <v>45721</v>
      </c>
      <c r="D137" s="21">
        <f t="shared" si="9"/>
        <v>45722</v>
      </c>
      <c r="E137" s="58">
        <f t="shared" si="13"/>
        <v>0</v>
      </c>
      <c r="F137" s="10">
        <f>IFERROR(VLOOKUP(B137,PVSKTC!$A$4:$D$1048576,2,0),0)</f>
        <v>0</v>
      </c>
      <c r="G137" s="10">
        <f>IFERROR(VLOOKUP(B137,PVSKTC!$A$4:$D$1048576,3,0),0)</f>
        <v>0</v>
      </c>
      <c r="H137" s="10">
        <f>IFERROR(VLOOKUP(B137,PVSKTC!$A$4:$D$1048576,4,0),0)</f>
        <v>0</v>
      </c>
      <c r="I137" s="17" t="str">
        <f>IFERROR(IF(E137&gt;0,THTT!E$2,""),"")</f>
        <v/>
      </c>
      <c r="J137" s="18" t="str">
        <f t="shared" si="10"/>
        <v/>
      </c>
      <c r="K137" s="10" t="str">
        <f t="shared" si="11"/>
        <v/>
      </c>
      <c r="L137" s="10" t="str">
        <f t="shared" si="12"/>
        <v/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21" t="str">
        <f t="shared" si="7"/>
        <v/>
      </c>
      <c r="B138" s="22"/>
      <c r="C138" s="43">
        <f t="shared" si="8"/>
        <v>45721</v>
      </c>
      <c r="D138" s="21">
        <f t="shared" si="9"/>
        <v>45722</v>
      </c>
      <c r="E138" s="58">
        <f t="shared" si="13"/>
        <v>0</v>
      </c>
      <c r="F138" s="10">
        <f>IFERROR(VLOOKUP(B138,PVSKTC!$A$4:$D$1048576,2,0),0)</f>
        <v>0</v>
      </c>
      <c r="G138" s="10">
        <f>IFERROR(VLOOKUP(B138,PVSKTC!$A$4:$D$1048576,3,0),0)</f>
        <v>0</v>
      </c>
      <c r="H138" s="10">
        <f>IFERROR(VLOOKUP(B138,PVSKTC!$A$4:$D$1048576,4,0),0)</f>
        <v>0</v>
      </c>
      <c r="I138" s="17" t="str">
        <f>IFERROR(IF(E138&gt;0,THTT!E$2,""),"")</f>
        <v/>
      </c>
      <c r="J138" s="18" t="str">
        <f t="shared" si="10"/>
        <v/>
      </c>
      <c r="K138" s="10" t="str">
        <f t="shared" si="11"/>
        <v/>
      </c>
      <c r="L138" s="10" t="str">
        <f t="shared" si="12"/>
        <v/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21" t="str">
        <f t="shared" si="7"/>
        <v/>
      </c>
      <c r="B139" s="22"/>
      <c r="C139" s="43">
        <f t="shared" si="8"/>
        <v>45721</v>
      </c>
      <c r="D139" s="21">
        <f t="shared" si="9"/>
        <v>45722</v>
      </c>
      <c r="E139" s="58">
        <f t="shared" si="13"/>
        <v>0</v>
      </c>
      <c r="F139" s="10">
        <f>IFERROR(VLOOKUP(B139,PVSKTC!$A$4:$D$1048576,2,0),0)</f>
        <v>0</v>
      </c>
      <c r="G139" s="10">
        <f>IFERROR(VLOOKUP(B139,PVSKTC!$A$4:$D$1048576,3,0),0)</f>
        <v>0</v>
      </c>
      <c r="H139" s="10">
        <f>IFERROR(VLOOKUP(B139,PVSKTC!$A$4:$D$1048576,4,0),0)</f>
        <v>0</v>
      </c>
      <c r="I139" s="17" t="str">
        <f>IFERROR(IF(E139&gt;0,THTT!E$2,""),"")</f>
        <v/>
      </c>
      <c r="J139" s="18" t="str">
        <f t="shared" si="10"/>
        <v/>
      </c>
      <c r="K139" s="10" t="str">
        <f t="shared" si="11"/>
        <v/>
      </c>
      <c r="L139" s="10" t="str">
        <f t="shared" si="12"/>
        <v/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21" t="str">
        <f t="shared" si="7"/>
        <v/>
      </c>
      <c r="B140" s="22"/>
      <c r="C140" s="43">
        <f t="shared" si="8"/>
        <v>45721</v>
      </c>
      <c r="D140" s="21">
        <f t="shared" si="9"/>
        <v>45722</v>
      </c>
      <c r="E140" s="58">
        <f t="shared" si="13"/>
        <v>0</v>
      </c>
      <c r="F140" s="10">
        <f>IFERROR(VLOOKUP(B140,PVSKTC!$A$4:$D$1048576,2,0),0)</f>
        <v>0</v>
      </c>
      <c r="G140" s="10">
        <f>IFERROR(VLOOKUP(B140,PVSKTC!$A$4:$D$1048576,3,0),0)</f>
        <v>0</v>
      </c>
      <c r="H140" s="10">
        <f>IFERROR(VLOOKUP(B140,PVSKTC!$A$4:$D$1048576,4,0),0)</f>
        <v>0</v>
      </c>
      <c r="I140" s="17" t="str">
        <f>IFERROR(IF(E140&gt;0,THTT!E$2,""),"")</f>
        <v/>
      </c>
      <c r="J140" s="18" t="str">
        <f t="shared" si="10"/>
        <v/>
      </c>
      <c r="K140" s="10" t="str">
        <f t="shared" si="11"/>
        <v/>
      </c>
      <c r="L140" s="10" t="str">
        <f t="shared" si="12"/>
        <v/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21" t="str">
        <f t="shared" si="7"/>
        <v/>
      </c>
      <c r="B141" s="22"/>
      <c r="C141" s="43">
        <f t="shared" si="8"/>
        <v>45721</v>
      </c>
      <c r="D141" s="21">
        <f t="shared" si="9"/>
        <v>45722</v>
      </c>
      <c r="E141" s="58">
        <f t="shared" si="13"/>
        <v>0</v>
      </c>
      <c r="F141" s="10">
        <f>IFERROR(VLOOKUP(B141,PVSKTC!$A$4:$D$1048576,2,0),0)</f>
        <v>0</v>
      </c>
      <c r="G141" s="10">
        <f>IFERROR(VLOOKUP(B141,PVSKTC!$A$4:$D$1048576,3,0),0)</f>
        <v>0</v>
      </c>
      <c r="H141" s="10">
        <f>IFERROR(VLOOKUP(B141,PVSKTC!$A$4:$D$1048576,4,0),0)</f>
        <v>0</v>
      </c>
      <c r="I141" s="17" t="str">
        <f>IFERROR(IF(E141&gt;0,THTT!E$2,""),"")</f>
        <v/>
      </c>
      <c r="J141" s="18" t="str">
        <f t="shared" si="10"/>
        <v/>
      </c>
      <c r="K141" s="10" t="str">
        <f t="shared" si="11"/>
        <v/>
      </c>
      <c r="L141" s="10" t="str">
        <f t="shared" si="12"/>
        <v/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21" t="str">
        <f t="shared" ref="A142:A205" si="14">IF(E142&lt;=0,"",IF(B142&gt;=$B$9,"QUÁ HẠN","TRONG HẠN"))</f>
        <v/>
      </c>
      <c r="B142" s="22"/>
      <c r="C142" s="43">
        <f t="shared" ref="C142:C205" si="15">IFERROR(IF(B143="", $B$10, B143-1), $B$10)</f>
        <v>45721</v>
      </c>
      <c r="D142" s="21">
        <f t="shared" ref="D142:D205" si="16">C142-B142+1</f>
        <v>45722</v>
      </c>
      <c r="E142" s="58">
        <f t="shared" si="13"/>
        <v>0</v>
      </c>
      <c r="F142" s="10">
        <f>IFERROR(VLOOKUP(B142,PVSKTC!$A$4:$D$1048576,2,0),0)</f>
        <v>0</v>
      </c>
      <c r="G142" s="10">
        <f>IFERROR(VLOOKUP(B142,PVSKTC!$A$4:$D$1048576,3,0),0)</f>
        <v>0</v>
      </c>
      <c r="H142" s="10">
        <f>IFERROR(VLOOKUP(B142,PVSKTC!$A$4:$D$1048576,4,0),0)</f>
        <v>0</v>
      </c>
      <c r="I142" s="17" t="str">
        <f>IFERROR(IF(E142&gt;0,THTT!E$2,""),"")</f>
        <v/>
      </c>
      <c r="J142" s="18" t="str">
        <f t="shared" ref="J142:J205" si="17">IF(A142="QUÁ HẠN",I142*150%,"")</f>
        <v/>
      </c>
      <c r="K142" s="10" t="str">
        <f t="shared" ref="K142:K205" si="18">IF(E142&gt;0,E142*I142*D142/365,"")</f>
        <v/>
      </c>
      <c r="L142" s="10" t="str">
        <f t="shared" ref="L142:L205" si="19">IF(A142="QUÁ HẠN",E142*I142*D142/365,"")</f>
        <v/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21" t="str">
        <f t="shared" si="14"/>
        <v/>
      </c>
      <c r="B143" s="22"/>
      <c r="C143" s="43">
        <f t="shared" si="15"/>
        <v>45721</v>
      </c>
      <c r="D143" s="21">
        <f t="shared" si="16"/>
        <v>45722</v>
      </c>
      <c r="E143" s="58">
        <f t="shared" ref="E143:E206" si="20">E142+F143-G143</f>
        <v>0</v>
      </c>
      <c r="F143" s="10">
        <f>IFERROR(VLOOKUP(B143,PVSKTC!$A$4:$D$1048576,2,0),0)</f>
        <v>0</v>
      </c>
      <c r="G143" s="10">
        <f>IFERROR(VLOOKUP(B143,PVSKTC!$A$4:$D$1048576,3,0),0)</f>
        <v>0</v>
      </c>
      <c r="H143" s="10">
        <f>IFERROR(VLOOKUP(B143,PVSKTC!$A$4:$D$1048576,4,0),0)</f>
        <v>0</v>
      </c>
      <c r="I143" s="17" t="str">
        <f>IFERROR(IF(E143&gt;0,THTT!E$2,""),"")</f>
        <v/>
      </c>
      <c r="J143" s="18" t="str">
        <f t="shared" si="17"/>
        <v/>
      </c>
      <c r="K143" s="10" t="str">
        <f t="shared" si="18"/>
        <v/>
      </c>
      <c r="L143" s="10" t="str">
        <f t="shared" si="19"/>
        <v/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21" t="str">
        <f t="shared" si="14"/>
        <v/>
      </c>
      <c r="B144" s="22"/>
      <c r="C144" s="43">
        <f t="shared" si="15"/>
        <v>45721</v>
      </c>
      <c r="D144" s="21">
        <f t="shared" si="16"/>
        <v>45722</v>
      </c>
      <c r="E144" s="58">
        <f t="shared" si="20"/>
        <v>0</v>
      </c>
      <c r="F144" s="10">
        <f>IFERROR(VLOOKUP(B144,PVSKTC!$A$4:$D$1048576,2,0),0)</f>
        <v>0</v>
      </c>
      <c r="G144" s="10">
        <f>IFERROR(VLOOKUP(B144,PVSKTC!$A$4:$D$1048576,3,0),0)</f>
        <v>0</v>
      </c>
      <c r="H144" s="10">
        <f>IFERROR(VLOOKUP(B144,PVSKTC!$A$4:$D$1048576,4,0),0)</f>
        <v>0</v>
      </c>
      <c r="I144" s="17" t="str">
        <f>IFERROR(IF(E144&gt;0,THTT!E$2,""),"")</f>
        <v/>
      </c>
      <c r="J144" s="18" t="str">
        <f t="shared" si="17"/>
        <v/>
      </c>
      <c r="K144" s="10" t="str">
        <f t="shared" si="18"/>
        <v/>
      </c>
      <c r="L144" s="10" t="str">
        <f t="shared" si="19"/>
        <v/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21" t="str">
        <f t="shared" si="14"/>
        <v/>
      </c>
      <c r="B145" s="22"/>
      <c r="C145" s="43">
        <f t="shared" si="15"/>
        <v>45721</v>
      </c>
      <c r="D145" s="21">
        <f t="shared" si="16"/>
        <v>45722</v>
      </c>
      <c r="E145" s="58">
        <f t="shared" si="20"/>
        <v>0</v>
      </c>
      <c r="F145" s="10">
        <f>IFERROR(VLOOKUP(B145,PVSKTC!$A$4:$D$1048576,2,0),0)</f>
        <v>0</v>
      </c>
      <c r="G145" s="10">
        <f>IFERROR(VLOOKUP(B145,PVSKTC!$A$4:$D$1048576,3,0),0)</f>
        <v>0</v>
      </c>
      <c r="H145" s="10">
        <f>IFERROR(VLOOKUP(B145,PVSKTC!$A$4:$D$1048576,4,0),0)</f>
        <v>0</v>
      </c>
      <c r="I145" s="17" t="str">
        <f>IFERROR(IF(E145&gt;0,THTT!E$2,""),"")</f>
        <v/>
      </c>
      <c r="J145" s="18" t="str">
        <f t="shared" si="17"/>
        <v/>
      </c>
      <c r="K145" s="10" t="str">
        <f t="shared" si="18"/>
        <v/>
      </c>
      <c r="L145" s="10" t="str">
        <f t="shared" si="19"/>
        <v/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21" t="str">
        <f t="shared" si="14"/>
        <v/>
      </c>
      <c r="B146" s="22"/>
      <c r="C146" s="43">
        <f t="shared" si="15"/>
        <v>45721</v>
      </c>
      <c r="D146" s="21">
        <f t="shared" si="16"/>
        <v>45722</v>
      </c>
      <c r="E146" s="58">
        <f t="shared" si="20"/>
        <v>0</v>
      </c>
      <c r="F146" s="10">
        <f>IFERROR(VLOOKUP(B146,PVSKTC!$A$4:$D$1048576,2,0),0)</f>
        <v>0</v>
      </c>
      <c r="G146" s="10">
        <f>IFERROR(VLOOKUP(B146,PVSKTC!$A$4:$D$1048576,3,0),0)</f>
        <v>0</v>
      </c>
      <c r="H146" s="10">
        <f>IFERROR(VLOOKUP(B146,PVSKTC!$A$4:$D$1048576,4,0),0)</f>
        <v>0</v>
      </c>
      <c r="I146" s="17" t="str">
        <f>IFERROR(IF(E146&gt;0,THTT!E$2,""),"")</f>
        <v/>
      </c>
      <c r="J146" s="18" t="str">
        <f t="shared" si="17"/>
        <v/>
      </c>
      <c r="K146" s="10" t="str">
        <f t="shared" si="18"/>
        <v/>
      </c>
      <c r="L146" s="10" t="str">
        <f t="shared" si="19"/>
        <v/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21" t="str">
        <f t="shared" si="14"/>
        <v/>
      </c>
      <c r="B147" s="22"/>
      <c r="C147" s="43">
        <f t="shared" si="15"/>
        <v>45721</v>
      </c>
      <c r="D147" s="21">
        <f t="shared" si="16"/>
        <v>45722</v>
      </c>
      <c r="E147" s="58">
        <f t="shared" si="20"/>
        <v>0</v>
      </c>
      <c r="F147" s="10">
        <f>IFERROR(VLOOKUP(B147,PVSKTC!$A$4:$D$1048576,2,0),0)</f>
        <v>0</v>
      </c>
      <c r="G147" s="10">
        <f>IFERROR(VLOOKUP(B147,PVSKTC!$A$4:$D$1048576,3,0),0)</f>
        <v>0</v>
      </c>
      <c r="H147" s="10">
        <f>IFERROR(VLOOKUP(B147,PVSKTC!$A$4:$D$1048576,4,0),0)</f>
        <v>0</v>
      </c>
      <c r="I147" s="17" t="str">
        <f>IFERROR(IF(E147&gt;0,THTT!E$2,""),"")</f>
        <v/>
      </c>
      <c r="J147" s="18" t="str">
        <f t="shared" si="17"/>
        <v/>
      </c>
      <c r="K147" s="10" t="str">
        <f t="shared" si="18"/>
        <v/>
      </c>
      <c r="L147" s="10" t="str">
        <f t="shared" si="19"/>
        <v/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21" t="str">
        <f t="shared" si="14"/>
        <v/>
      </c>
      <c r="B148" s="22"/>
      <c r="C148" s="43">
        <f t="shared" si="15"/>
        <v>45721</v>
      </c>
      <c r="D148" s="21">
        <f t="shared" si="16"/>
        <v>45722</v>
      </c>
      <c r="E148" s="58">
        <f t="shared" si="20"/>
        <v>0</v>
      </c>
      <c r="F148" s="10">
        <f>IFERROR(VLOOKUP(B148,PVSKTC!$A$4:$D$1048576,2,0),0)</f>
        <v>0</v>
      </c>
      <c r="G148" s="10">
        <f>IFERROR(VLOOKUP(B148,PVSKTC!$A$4:$D$1048576,3,0),0)</f>
        <v>0</v>
      </c>
      <c r="H148" s="10">
        <f>IFERROR(VLOOKUP(B148,PVSKTC!$A$4:$D$1048576,4,0),0)</f>
        <v>0</v>
      </c>
      <c r="I148" s="17" t="str">
        <f>IFERROR(IF(E148&gt;0,THTT!E$2,""),"")</f>
        <v/>
      </c>
      <c r="J148" s="18" t="str">
        <f t="shared" si="17"/>
        <v/>
      </c>
      <c r="K148" s="10" t="str">
        <f t="shared" si="18"/>
        <v/>
      </c>
      <c r="L148" s="10" t="str">
        <f t="shared" si="19"/>
        <v/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21" t="str">
        <f t="shared" si="14"/>
        <v/>
      </c>
      <c r="B149" s="22"/>
      <c r="C149" s="43">
        <f t="shared" si="15"/>
        <v>45721</v>
      </c>
      <c r="D149" s="21">
        <f t="shared" si="16"/>
        <v>45722</v>
      </c>
      <c r="E149" s="58">
        <f t="shared" si="20"/>
        <v>0</v>
      </c>
      <c r="F149" s="10">
        <f>IFERROR(VLOOKUP(B149,PVSKTC!$A$4:$D$1048576,2,0),0)</f>
        <v>0</v>
      </c>
      <c r="G149" s="10">
        <f>IFERROR(VLOOKUP(B149,PVSKTC!$A$4:$D$1048576,3,0),0)</f>
        <v>0</v>
      </c>
      <c r="H149" s="10">
        <f>IFERROR(VLOOKUP(B149,PVSKTC!$A$4:$D$1048576,4,0),0)</f>
        <v>0</v>
      </c>
      <c r="I149" s="17" t="str">
        <f>IFERROR(IF(E149&gt;0,THTT!E$2,""),"")</f>
        <v/>
      </c>
      <c r="J149" s="18" t="str">
        <f t="shared" si="17"/>
        <v/>
      </c>
      <c r="K149" s="10" t="str">
        <f t="shared" si="18"/>
        <v/>
      </c>
      <c r="L149" s="10" t="str">
        <f t="shared" si="19"/>
        <v/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21" t="str">
        <f t="shared" si="14"/>
        <v/>
      </c>
      <c r="B150" s="22"/>
      <c r="C150" s="43">
        <f t="shared" si="15"/>
        <v>45721</v>
      </c>
      <c r="D150" s="21">
        <f t="shared" si="16"/>
        <v>45722</v>
      </c>
      <c r="E150" s="58">
        <f t="shared" si="20"/>
        <v>0</v>
      </c>
      <c r="F150" s="10">
        <f>IFERROR(VLOOKUP(B150,PVSKTC!$A$4:$D$1048576,2,0),0)</f>
        <v>0</v>
      </c>
      <c r="G150" s="10">
        <f>IFERROR(VLOOKUP(B150,PVSKTC!$A$4:$D$1048576,3,0),0)</f>
        <v>0</v>
      </c>
      <c r="H150" s="10">
        <f>IFERROR(VLOOKUP(B150,PVSKTC!$A$4:$D$1048576,4,0),0)</f>
        <v>0</v>
      </c>
      <c r="I150" s="17" t="str">
        <f>IFERROR(IF(E150&gt;0,THTT!E$2,""),"")</f>
        <v/>
      </c>
      <c r="J150" s="18" t="str">
        <f t="shared" si="17"/>
        <v/>
      </c>
      <c r="K150" s="10" t="str">
        <f t="shared" si="18"/>
        <v/>
      </c>
      <c r="L150" s="10" t="str">
        <f t="shared" si="19"/>
        <v/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21" t="str">
        <f t="shared" si="14"/>
        <v/>
      </c>
      <c r="B151" s="22"/>
      <c r="C151" s="43">
        <f t="shared" si="15"/>
        <v>45721</v>
      </c>
      <c r="D151" s="21">
        <f t="shared" si="16"/>
        <v>45722</v>
      </c>
      <c r="E151" s="58">
        <f t="shared" si="20"/>
        <v>0</v>
      </c>
      <c r="F151" s="10">
        <f>IFERROR(VLOOKUP(B151,PVSKTC!$A$4:$D$1048576,2,0),0)</f>
        <v>0</v>
      </c>
      <c r="G151" s="10">
        <f>IFERROR(VLOOKUP(B151,PVSKTC!$A$4:$D$1048576,3,0),0)</f>
        <v>0</v>
      </c>
      <c r="H151" s="10">
        <f>IFERROR(VLOOKUP(B151,PVSKTC!$A$4:$D$1048576,4,0),0)</f>
        <v>0</v>
      </c>
      <c r="I151" s="17" t="str">
        <f>IFERROR(IF(E151&gt;0,THTT!E$2,""),"")</f>
        <v/>
      </c>
      <c r="J151" s="18" t="str">
        <f t="shared" si="17"/>
        <v/>
      </c>
      <c r="K151" s="10" t="str">
        <f t="shared" si="18"/>
        <v/>
      </c>
      <c r="L151" s="10" t="str">
        <f t="shared" si="19"/>
        <v/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21" t="str">
        <f t="shared" si="14"/>
        <v/>
      </c>
      <c r="B152" s="22"/>
      <c r="C152" s="43">
        <f t="shared" si="15"/>
        <v>45721</v>
      </c>
      <c r="D152" s="21">
        <f t="shared" si="16"/>
        <v>45722</v>
      </c>
      <c r="E152" s="58">
        <f t="shared" si="20"/>
        <v>0</v>
      </c>
      <c r="F152" s="10">
        <f>IFERROR(VLOOKUP(B152,PVSKTC!$A$4:$D$1048576,2,0),0)</f>
        <v>0</v>
      </c>
      <c r="G152" s="10">
        <f>IFERROR(VLOOKUP(B152,PVSKTC!$A$4:$D$1048576,3,0),0)</f>
        <v>0</v>
      </c>
      <c r="H152" s="10">
        <f>IFERROR(VLOOKUP(B152,PVSKTC!$A$4:$D$1048576,4,0),0)</f>
        <v>0</v>
      </c>
      <c r="I152" s="17" t="str">
        <f>IFERROR(IF(E152&gt;0,THTT!E$2,""),"")</f>
        <v/>
      </c>
      <c r="J152" s="18" t="str">
        <f t="shared" si="17"/>
        <v/>
      </c>
      <c r="K152" s="10" t="str">
        <f t="shared" si="18"/>
        <v/>
      </c>
      <c r="L152" s="10" t="str">
        <f t="shared" si="19"/>
        <v/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21" t="str">
        <f t="shared" si="14"/>
        <v/>
      </c>
      <c r="B153" s="22"/>
      <c r="C153" s="43">
        <f t="shared" si="15"/>
        <v>45721</v>
      </c>
      <c r="D153" s="21">
        <f t="shared" si="16"/>
        <v>45722</v>
      </c>
      <c r="E153" s="58">
        <f t="shared" si="20"/>
        <v>0</v>
      </c>
      <c r="F153" s="10">
        <f>IFERROR(VLOOKUP(B153,PVSKTC!$A$4:$D$1048576,2,0),0)</f>
        <v>0</v>
      </c>
      <c r="G153" s="10">
        <f>IFERROR(VLOOKUP(B153,PVSKTC!$A$4:$D$1048576,3,0),0)</f>
        <v>0</v>
      </c>
      <c r="H153" s="10">
        <f>IFERROR(VLOOKUP(B153,PVSKTC!$A$4:$D$1048576,4,0),0)</f>
        <v>0</v>
      </c>
      <c r="I153" s="17" t="str">
        <f>IFERROR(IF(E153&gt;0,THTT!E$2,""),"")</f>
        <v/>
      </c>
      <c r="J153" s="18" t="str">
        <f t="shared" si="17"/>
        <v/>
      </c>
      <c r="K153" s="10" t="str">
        <f t="shared" si="18"/>
        <v/>
      </c>
      <c r="L153" s="10" t="str">
        <f t="shared" si="19"/>
        <v/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21" t="str">
        <f t="shared" si="14"/>
        <v/>
      </c>
      <c r="B154" s="22"/>
      <c r="C154" s="43">
        <f t="shared" si="15"/>
        <v>45721</v>
      </c>
      <c r="D154" s="21">
        <f t="shared" si="16"/>
        <v>45722</v>
      </c>
      <c r="E154" s="58">
        <f t="shared" si="20"/>
        <v>0</v>
      </c>
      <c r="F154" s="10">
        <f>IFERROR(VLOOKUP(B154,PVSKTC!$A$4:$D$1048576,2,0),0)</f>
        <v>0</v>
      </c>
      <c r="G154" s="10">
        <f>IFERROR(VLOOKUP(B154,PVSKTC!$A$4:$D$1048576,3,0),0)</f>
        <v>0</v>
      </c>
      <c r="H154" s="10">
        <f>IFERROR(VLOOKUP(B154,PVSKTC!$A$4:$D$1048576,4,0),0)</f>
        <v>0</v>
      </c>
      <c r="I154" s="17" t="str">
        <f>IFERROR(IF(E154&gt;0,THTT!E$2,""),"")</f>
        <v/>
      </c>
      <c r="J154" s="18" t="str">
        <f t="shared" si="17"/>
        <v/>
      </c>
      <c r="K154" s="10" t="str">
        <f t="shared" si="18"/>
        <v/>
      </c>
      <c r="L154" s="10" t="str">
        <f t="shared" si="19"/>
        <v/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21" t="str">
        <f t="shared" si="14"/>
        <v/>
      </c>
      <c r="B155" s="22"/>
      <c r="C155" s="43">
        <f t="shared" si="15"/>
        <v>45721</v>
      </c>
      <c r="D155" s="21">
        <f t="shared" si="16"/>
        <v>45722</v>
      </c>
      <c r="E155" s="58">
        <f t="shared" si="20"/>
        <v>0</v>
      </c>
      <c r="F155" s="10">
        <f>IFERROR(VLOOKUP(B155,PVSKTC!$A$4:$D$1048576,2,0),0)</f>
        <v>0</v>
      </c>
      <c r="G155" s="10">
        <f>IFERROR(VLOOKUP(B155,PVSKTC!$A$4:$D$1048576,3,0),0)</f>
        <v>0</v>
      </c>
      <c r="H155" s="10">
        <f>IFERROR(VLOOKUP(B155,PVSKTC!$A$4:$D$1048576,4,0),0)</f>
        <v>0</v>
      </c>
      <c r="I155" s="17" t="str">
        <f>IFERROR(IF(E155&gt;0,THTT!E$2,""),"")</f>
        <v/>
      </c>
      <c r="J155" s="18" t="str">
        <f t="shared" si="17"/>
        <v/>
      </c>
      <c r="K155" s="10" t="str">
        <f t="shared" si="18"/>
        <v/>
      </c>
      <c r="L155" s="10" t="str">
        <f t="shared" si="19"/>
        <v/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21" t="str">
        <f t="shared" si="14"/>
        <v/>
      </c>
      <c r="B156" s="22"/>
      <c r="C156" s="43">
        <f t="shared" si="15"/>
        <v>45721</v>
      </c>
      <c r="D156" s="21">
        <f t="shared" si="16"/>
        <v>45722</v>
      </c>
      <c r="E156" s="58">
        <f t="shared" si="20"/>
        <v>0</v>
      </c>
      <c r="F156" s="10">
        <f>IFERROR(VLOOKUP(B156,PVSKTC!$A$4:$D$1048576,2,0),0)</f>
        <v>0</v>
      </c>
      <c r="G156" s="10">
        <f>IFERROR(VLOOKUP(B156,PVSKTC!$A$4:$D$1048576,3,0),0)</f>
        <v>0</v>
      </c>
      <c r="H156" s="10">
        <f>IFERROR(VLOOKUP(B156,PVSKTC!$A$4:$D$1048576,4,0),0)</f>
        <v>0</v>
      </c>
      <c r="I156" s="17" t="str">
        <f>IFERROR(IF(E156&gt;0,THTT!E$2,""),"")</f>
        <v/>
      </c>
      <c r="J156" s="18" t="str">
        <f t="shared" si="17"/>
        <v/>
      </c>
      <c r="K156" s="10" t="str">
        <f t="shared" si="18"/>
        <v/>
      </c>
      <c r="L156" s="10" t="str">
        <f t="shared" si="19"/>
        <v/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21" t="str">
        <f t="shared" si="14"/>
        <v/>
      </c>
      <c r="B157" s="22"/>
      <c r="C157" s="43">
        <f t="shared" si="15"/>
        <v>45721</v>
      </c>
      <c r="D157" s="21">
        <f t="shared" si="16"/>
        <v>45722</v>
      </c>
      <c r="E157" s="58">
        <f t="shared" si="20"/>
        <v>0</v>
      </c>
      <c r="F157" s="10">
        <f>IFERROR(VLOOKUP(B157,PVSKTC!$A$4:$D$1048576,2,0),0)</f>
        <v>0</v>
      </c>
      <c r="G157" s="10">
        <f>IFERROR(VLOOKUP(B157,PVSKTC!$A$4:$D$1048576,3,0),0)</f>
        <v>0</v>
      </c>
      <c r="H157" s="10">
        <f>IFERROR(VLOOKUP(B157,PVSKTC!$A$4:$D$1048576,4,0),0)</f>
        <v>0</v>
      </c>
      <c r="I157" s="17" t="str">
        <f>IFERROR(IF(E157&gt;0,THTT!E$2,""),"")</f>
        <v/>
      </c>
      <c r="J157" s="18" t="str">
        <f t="shared" si="17"/>
        <v/>
      </c>
      <c r="K157" s="10" t="str">
        <f t="shared" si="18"/>
        <v/>
      </c>
      <c r="L157" s="10" t="str">
        <f t="shared" si="19"/>
        <v/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21" t="str">
        <f t="shared" si="14"/>
        <v/>
      </c>
      <c r="B158" s="22"/>
      <c r="C158" s="43">
        <f t="shared" si="15"/>
        <v>45721</v>
      </c>
      <c r="D158" s="21">
        <f t="shared" si="16"/>
        <v>45722</v>
      </c>
      <c r="E158" s="58">
        <f t="shared" si="20"/>
        <v>0</v>
      </c>
      <c r="F158" s="10">
        <f>IFERROR(VLOOKUP(B158,PVSKTC!$A$4:$D$1048576,2,0),0)</f>
        <v>0</v>
      </c>
      <c r="G158" s="10">
        <f>IFERROR(VLOOKUP(B158,PVSKTC!$A$4:$D$1048576,3,0),0)</f>
        <v>0</v>
      </c>
      <c r="H158" s="10">
        <f>IFERROR(VLOOKUP(B158,PVSKTC!$A$4:$D$1048576,4,0),0)</f>
        <v>0</v>
      </c>
      <c r="I158" s="17" t="str">
        <f>IFERROR(IF(E158&gt;0,THTT!E$2,""),"")</f>
        <v/>
      </c>
      <c r="J158" s="18" t="str">
        <f t="shared" si="17"/>
        <v/>
      </c>
      <c r="K158" s="10" t="str">
        <f t="shared" si="18"/>
        <v/>
      </c>
      <c r="L158" s="10" t="str">
        <f t="shared" si="19"/>
        <v/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21" t="str">
        <f t="shared" si="14"/>
        <v/>
      </c>
      <c r="B159" s="22"/>
      <c r="C159" s="43">
        <f t="shared" si="15"/>
        <v>45721</v>
      </c>
      <c r="D159" s="21">
        <f t="shared" si="16"/>
        <v>45722</v>
      </c>
      <c r="E159" s="58">
        <f t="shared" si="20"/>
        <v>0</v>
      </c>
      <c r="F159" s="10">
        <f>IFERROR(VLOOKUP(B159,PVSKTC!$A$4:$D$1048576,2,0),0)</f>
        <v>0</v>
      </c>
      <c r="G159" s="10">
        <f>IFERROR(VLOOKUP(B159,PVSKTC!$A$4:$D$1048576,3,0),0)</f>
        <v>0</v>
      </c>
      <c r="H159" s="10">
        <f>IFERROR(VLOOKUP(B159,PVSKTC!$A$4:$D$1048576,4,0),0)</f>
        <v>0</v>
      </c>
      <c r="I159" s="17" t="str">
        <f>IFERROR(IF(E159&gt;0,THTT!E$2,""),"")</f>
        <v/>
      </c>
      <c r="J159" s="18" t="str">
        <f t="shared" si="17"/>
        <v/>
      </c>
      <c r="K159" s="10" t="str">
        <f t="shared" si="18"/>
        <v/>
      </c>
      <c r="L159" s="10" t="str">
        <f t="shared" si="19"/>
        <v/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21" t="str">
        <f t="shared" si="14"/>
        <v/>
      </c>
      <c r="B160" s="22"/>
      <c r="C160" s="43">
        <f t="shared" si="15"/>
        <v>45721</v>
      </c>
      <c r="D160" s="21">
        <f t="shared" si="16"/>
        <v>45722</v>
      </c>
      <c r="E160" s="58">
        <f t="shared" si="20"/>
        <v>0</v>
      </c>
      <c r="F160" s="10">
        <f>IFERROR(VLOOKUP(B160,PVSKTC!$A$4:$D$1048576,2,0),0)</f>
        <v>0</v>
      </c>
      <c r="G160" s="10">
        <f>IFERROR(VLOOKUP(B160,PVSKTC!$A$4:$D$1048576,3,0),0)</f>
        <v>0</v>
      </c>
      <c r="H160" s="10">
        <f>IFERROR(VLOOKUP(B160,PVSKTC!$A$4:$D$1048576,4,0),0)</f>
        <v>0</v>
      </c>
      <c r="I160" s="17" t="str">
        <f>IFERROR(IF(E160&gt;0,THTT!E$2,""),"")</f>
        <v/>
      </c>
      <c r="J160" s="18" t="str">
        <f t="shared" si="17"/>
        <v/>
      </c>
      <c r="K160" s="10" t="str">
        <f t="shared" si="18"/>
        <v/>
      </c>
      <c r="L160" s="10" t="str">
        <f t="shared" si="19"/>
        <v/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21" t="str">
        <f t="shared" si="14"/>
        <v/>
      </c>
      <c r="B161" s="22"/>
      <c r="C161" s="43">
        <f t="shared" si="15"/>
        <v>45721</v>
      </c>
      <c r="D161" s="21">
        <f t="shared" si="16"/>
        <v>45722</v>
      </c>
      <c r="E161" s="58">
        <f t="shared" si="20"/>
        <v>0</v>
      </c>
      <c r="F161" s="10">
        <f>IFERROR(VLOOKUP(B161,PVSKTC!$A$4:$D$1048576,2,0),0)</f>
        <v>0</v>
      </c>
      <c r="G161" s="10">
        <f>IFERROR(VLOOKUP(B161,PVSKTC!$A$4:$D$1048576,3,0),0)</f>
        <v>0</v>
      </c>
      <c r="H161" s="10">
        <f>IFERROR(VLOOKUP(B161,PVSKTC!$A$4:$D$1048576,4,0),0)</f>
        <v>0</v>
      </c>
      <c r="I161" s="17" t="str">
        <f>IFERROR(IF(E161&gt;0,THTT!E$2,""),"")</f>
        <v/>
      </c>
      <c r="J161" s="18" t="str">
        <f t="shared" si="17"/>
        <v/>
      </c>
      <c r="K161" s="10" t="str">
        <f t="shared" si="18"/>
        <v/>
      </c>
      <c r="L161" s="10" t="str">
        <f t="shared" si="19"/>
        <v/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21" t="str">
        <f t="shared" si="14"/>
        <v/>
      </c>
      <c r="B162" s="22"/>
      <c r="C162" s="43">
        <f t="shared" si="15"/>
        <v>45721</v>
      </c>
      <c r="D162" s="21">
        <f t="shared" si="16"/>
        <v>45722</v>
      </c>
      <c r="E162" s="58">
        <f t="shared" si="20"/>
        <v>0</v>
      </c>
      <c r="F162" s="10">
        <f>IFERROR(VLOOKUP(B162,PVSKTC!$A$4:$D$1048576,2,0),0)</f>
        <v>0</v>
      </c>
      <c r="G162" s="10">
        <f>IFERROR(VLOOKUP(B162,PVSKTC!$A$4:$D$1048576,3,0),0)</f>
        <v>0</v>
      </c>
      <c r="H162" s="10">
        <f>IFERROR(VLOOKUP(B162,PVSKTC!$A$4:$D$1048576,4,0),0)</f>
        <v>0</v>
      </c>
      <c r="I162" s="17" t="str">
        <f>IFERROR(IF(E162&gt;0,THTT!E$2,""),"")</f>
        <v/>
      </c>
      <c r="J162" s="18" t="str">
        <f t="shared" si="17"/>
        <v/>
      </c>
      <c r="K162" s="10" t="str">
        <f t="shared" si="18"/>
        <v/>
      </c>
      <c r="L162" s="10" t="str">
        <f t="shared" si="19"/>
        <v/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21" t="str">
        <f t="shared" si="14"/>
        <v/>
      </c>
      <c r="B163" s="22"/>
      <c r="C163" s="43">
        <f t="shared" si="15"/>
        <v>45721</v>
      </c>
      <c r="D163" s="21">
        <f t="shared" si="16"/>
        <v>45722</v>
      </c>
      <c r="E163" s="58">
        <f t="shared" si="20"/>
        <v>0</v>
      </c>
      <c r="F163" s="10">
        <f>IFERROR(VLOOKUP(B163,PVSKTC!$A$4:$D$1048576,2,0),0)</f>
        <v>0</v>
      </c>
      <c r="G163" s="10">
        <f>IFERROR(VLOOKUP(B163,PVSKTC!$A$4:$D$1048576,3,0),0)</f>
        <v>0</v>
      </c>
      <c r="H163" s="10">
        <f>IFERROR(VLOOKUP(B163,PVSKTC!$A$4:$D$1048576,4,0),0)</f>
        <v>0</v>
      </c>
      <c r="I163" s="17" t="str">
        <f>IFERROR(IF(E163&gt;0,THTT!E$2,""),"")</f>
        <v/>
      </c>
      <c r="J163" s="18" t="str">
        <f t="shared" si="17"/>
        <v/>
      </c>
      <c r="K163" s="10" t="str">
        <f t="shared" si="18"/>
        <v/>
      </c>
      <c r="L163" s="10" t="str">
        <f t="shared" si="19"/>
        <v/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21" t="str">
        <f t="shared" si="14"/>
        <v/>
      </c>
      <c r="B164" s="22"/>
      <c r="C164" s="43">
        <f t="shared" si="15"/>
        <v>45721</v>
      </c>
      <c r="D164" s="21">
        <f t="shared" si="16"/>
        <v>45722</v>
      </c>
      <c r="E164" s="58">
        <f t="shared" si="20"/>
        <v>0</v>
      </c>
      <c r="F164" s="10">
        <f>IFERROR(VLOOKUP(B164,PVSKTC!$A$4:$D$1048576,2,0),0)</f>
        <v>0</v>
      </c>
      <c r="G164" s="10">
        <f>IFERROR(VLOOKUP(B164,PVSKTC!$A$4:$D$1048576,3,0),0)</f>
        <v>0</v>
      </c>
      <c r="H164" s="10">
        <f>IFERROR(VLOOKUP(B164,PVSKTC!$A$4:$D$1048576,4,0),0)</f>
        <v>0</v>
      </c>
      <c r="I164" s="17" t="str">
        <f>IFERROR(IF(E164&gt;0,THTT!E$2,""),"")</f>
        <v/>
      </c>
      <c r="J164" s="18" t="str">
        <f t="shared" si="17"/>
        <v/>
      </c>
      <c r="K164" s="10" t="str">
        <f t="shared" si="18"/>
        <v/>
      </c>
      <c r="L164" s="10" t="str">
        <f t="shared" si="19"/>
        <v/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21" t="str">
        <f t="shared" si="14"/>
        <v/>
      </c>
      <c r="B165" s="22"/>
      <c r="C165" s="43">
        <f t="shared" si="15"/>
        <v>45721</v>
      </c>
      <c r="D165" s="21">
        <f t="shared" si="16"/>
        <v>45722</v>
      </c>
      <c r="E165" s="58">
        <f t="shared" si="20"/>
        <v>0</v>
      </c>
      <c r="F165" s="10">
        <f>IFERROR(VLOOKUP(B165,PVSKTC!$A$4:$D$1048576,2,0),0)</f>
        <v>0</v>
      </c>
      <c r="G165" s="10">
        <f>IFERROR(VLOOKUP(B165,PVSKTC!$A$4:$D$1048576,3,0),0)</f>
        <v>0</v>
      </c>
      <c r="H165" s="10">
        <f>IFERROR(VLOOKUP(B165,PVSKTC!$A$4:$D$1048576,4,0),0)</f>
        <v>0</v>
      </c>
      <c r="I165" s="17" t="str">
        <f>IFERROR(IF(E165&gt;0,THTT!E$2,""),"")</f>
        <v/>
      </c>
      <c r="J165" s="18" t="str">
        <f t="shared" si="17"/>
        <v/>
      </c>
      <c r="K165" s="10" t="str">
        <f t="shared" si="18"/>
        <v/>
      </c>
      <c r="L165" s="10" t="str">
        <f t="shared" si="19"/>
        <v/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21" t="str">
        <f t="shared" si="14"/>
        <v/>
      </c>
      <c r="B166" s="22"/>
      <c r="C166" s="43">
        <f t="shared" si="15"/>
        <v>45721</v>
      </c>
      <c r="D166" s="21">
        <f t="shared" si="16"/>
        <v>45722</v>
      </c>
      <c r="E166" s="58">
        <f t="shared" si="20"/>
        <v>0</v>
      </c>
      <c r="F166" s="10">
        <f>IFERROR(VLOOKUP(B166,PVSKTC!$A$4:$D$1048576,2,0),0)</f>
        <v>0</v>
      </c>
      <c r="G166" s="10">
        <f>IFERROR(VLOOKUP(B166,PVSKTC!$A$4:$D$1048576,3,0),0)</f>
        <v>0</v>
      </c>
      <c r="H166" s="10">
        <f>IFERROR(VLOOKUP(B166,PVSKTC!$A$4:$D$1048576,4,0),0)</f>
        <v>0</v>
      </c>
      <c r="I166" s="17" t="str">
        <f>IFERROR(IF(E166&gt;0,THTT!E$2,""),"")</f>
        <v/>
      </c>
      <c r="J166" s="18" t="str">
        <f t="shared" si="17"/>
        <v/>
      </c>
      <c r="K166" s="10" t="str">
        <f t="shared" si="18"/>
        <v/>
      </c>
      <c r="L166" s="10" t="str">
        <f t="shared" si="19"/>
        <v/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21" t="str">
        <f t="shared" si="14"/>
        <v/>
      </c>
      <c r="B167" s="22"/>
      <c r="C167" s="43">
        <f t="shared" si="15"/>
        <v>45721</v>
      </c>
      <c r="D167" s="21">
        <f t="shared" si="16"/>
        <v>45722</v>
      </c>
      <c r="E167" s="58">
        <f t="shared" si="20"/>
        <v>0</v>
      </c>
      <c r="F167" s="10">
        <f>IFERROR(VLOOKUP(B167,PVSKTC!$A$4:$D$1048576,2,0),0)</f>
        <v>0</v>
      </c>
      <c r="G167" s="10">
        <f>IFERROR(VLOOKUP(B167,PVSKTC!$A$4:$D$1048576,3,0),0)</f>
        <v>0</v>
      </c>
      <c r="H167" s="10">
        <f>IFERROR(VLOOKUP(B167,PVSKTC!$A$4:$D$1048576,4,0),0)</f>
        <v>0</v>
      </c>
      <c r="I167" s="17" t="str">
        <f>IFERROR(IF(E167&gt;0,THTT!E$2,""),"")</f>
        <v/>
      </c>
      <c r="J167" s="18" t="str">
        <f t="shared" si="17"/>
        <v/>
      </c>
      <c r="K167" s="10" t="str">
        <f t="shared" si="18"/>
        <v/>
      </c>
      <c r="L167" s="10" t="str">
        <f t="shared" si="19"/>
        <v/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21" t="str">
        <f t="shared" si="14"/>
        <v/>
      </c>
      <c r="B168" s="22"/>
      <c r="C168" s="43">
        <f t="shared" si="15"/>
        <v>45721</v>
      </c>
      <c r="D168" s="21">
        <f t="shared" si="16"/>
        <v>45722</v>
      </c>
      <c r="E168" s="58">
        <f t="shared" si="20"/>
        <v>0</v>
      </c>
      <c r="F168" s="10">
        <f>IFERROR(VLOOKUP(B168,PVSKTC!$A$4:$D$1048576,2,0),0)</f>
        <v>0</v>
      </c>
      <c r="G168" s="10">
        <f>IFERROR(VLOOKUP(B168,PVSKTC!$A$4:$D$1048576,3,0),0)</f>
        <v>0</v>
      </c>
      <c r="H168" s="10">
        <f>IFERROR(VLOOKUP(B168,PVSKTC!$A$4:$D$1048576,4,0),0)</f>
        <v>0</v>
      </c>
      <c r="I168" s="17" t="str">
        <f>IFERROR(IF(E168&gt;0,THTT!E$2,""),"")</f>
        <v/>
      </c>
      <c r="J168" s="18" t="str">
        <f t="shared" si="17"/>
        <v/>
      </c>
      <c r="K168" s="10" t="str">
        <f t="shared" si="18"/>
        <v/>
      </c>
      <c r="L168" s="10" t="str">
        <f t="shared" si="19"/>
        <v/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21" t="str">
        <f t="shared" si="14"/>
        <v/>
      </c>
      <c r="B169" s="22"/>
      <c r="C169" s="43">
        <f t="shared" si="15"/>
        <v>45721</v>
      </c>
      <c r="D169" s="21">
        <f t="shared" si="16"/>
        <v>45722</v>
      </c>
      <c r="E169" s="58">
        <f t="shared" si="20"/>
        <v>0</v>
      </c>
      <c r="F169" s="10">
        <f>IFERROR(VLOOKUP(B169,PVSKTC!$A$4:$D$1048576,2,0),0)</f>
        <v>0</v>
      </c>
      <c r="G169" s="10">
        <f>IFERROR(VLOOKUP(B169,PVSKTC!$A$4:$D$1048576,3,0),0)</f>
        <v>0</v>
      </c>
      <c r="H169" s="10">
        <f>IFERROR(VLOOKUP(B169,PVSKTC!$A$4:$D$1048576,4,0),0)</f>
        <v>0</v>
      </c>
      <c r="I169" s="17" t="str">
        <f>IFERROR(IF(E169&gt;0,THTT!E$2,""),"")</f>
        <v/>
      </c>
      <c r="J169" s="18" t="str">
        <f t="shared" si="17"/>
        <v/>
      </c>
      <c r="K169" s="10" t="str">
        <f t="shared" si="18"/>
        <v/>
      </c>
      <c r="L169" s="10" t="str">
        <f t="shared" si="19"/>
        <v/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21" t="str">
        <f t="shared" si="14"/>
        <v/>
      </c>
      <c r="B170" s="22"/>
      <c r="C170" s="43">
        <f t="shared" si="15"/>
        <v>45721</v>
      </c>
      <c r="D170" s="21">
        <f t="shared" si="16"/>
        <v>45722</v>
      </c>
      <c r="E170" s="58">
        <f t="shared" si="20"/>
        <v>0</v>
      </c>
      <c r="F170" s="10">
        <f>IFERROR(VLOOKUP(B170,PVSKTC!$A$4:$D$1048576,2,0),0)</f>
        <v>0</v>
      </c>
      <c r="G170" s="10">
        <f>IFERROR(VLOOKUP(B170,PVSKTC!$A$4:$D$1048576,3,0),0)</f>
        <v>0</v>
      </c>
      <c r="H170" s="10">
        <f>IFERROR(VLOOKUP(B170,PVSKTC!$A$4:$D$1048576,4,0),0)</f>
        <v>0</v>
      </c>
      <c r="I170" s="17" t="str">
        <f>IFERROR(IF(E170&gt;0,THTT!E$2,""),"")</f>
        <v/>
      </c>
      <c r="J170" s="18" t="str">
        <f t="shared" si="17"/>
        <v/>
      </c>
      <c r="K170" s="10" t="str">
        <f t="shared" si="18"/>
        <v/>
      </c>
      <c r="L170" s="10" t="str">
        <f t="shared" si="19"/>
        <v/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21" t="str">
        <f t="shared" si="14"/>
        <v/>
      </c>
      <c r="B171" s="22"/>
      <c r="C171" s="43">
        <f t="shared" si="15"/>
        <v>45721</v>
      </c>
      <c r="D171" s="21">
        <f t="shared" si="16"/>
        <v>45722</v>
      </c>
      <c r="E171" s="58">
        <f t="shared" si="20"/>
        <v>0</v>
      </c>
      <c r="F171" s="10">
        <f>IFERROR(VLOOKUP(B171,PVSKTC!$A$4:$D$1048576,2,0),0)</f>
        <v>0</v>
      </c>
      <c r="G171" s="10">
        <f>IFERROR(VLOOKUP(B171,PVSKTC!$A$4:$D$1048576,3,0),0)</f>
        <v>0</v>
      </c>
      <c r="H171" s="10">
        <f>IFERROR(VLOOKUP(B171,PVSKTC!$A$4:$D$1048576,4,0),0)</f>
        <v>0</v>
      </c>
      <c r="I171" s="17" t="str">
        <f>IFERROR(IF(E171&gt;0,THTT!E$2,""),"")</f>
        <v/>
      </c>
      <c r="J171" s="18" t="str">
        <f t="shared" si="17"/>
        <v/>
      </c>
      <c r="K171" s="10" t="str">
        <f t="shared" si="18"/>
        <v/>
      </c>
      <c r="L171" s="10" t="str">
        <f t="shared" si="19"/>
        <v/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21" t="str">
        <f t="shared" si="14"/>
        <v/>
      </c>
      <c r="B172" s="22"/>
      <c r="C172" s="43">
        <f t="shared" si="15"/>
        <v>45721</v>
      </c>
      <c r="D172" s="21">
        <f t="shared" si="16"/>
        <v>45722</v>
      </c>
      <c r="E172" s="58">
        <f t="shared" si="20"/>
        <v>0</v>
      </c>
      <c r="F172" s="10">
        <f>IFERROR(VLOOKUP(B172,PVSKTC!$A$4:$D$1048576,2,0),0)</f>
        <v>0</v>
      </c>
      <c r="G172" s="10">
        <f>IFERROR(VLOOKUP(B172,PVSKTC!$A$4:$D$1048576,3,0),0)</f>
        <v>0</v>
      </c>
      <c r="H172" s="10">
        <f>IFERROR(VLOOKUP(B172,PVSKTC!$A$4:$D$1048576,4,0),0)</f>
        <v>0</v>
      </c>
      <c r="I172" s="17" t="str">
        <f>IFERROR(IF(E172&gt;0,THTT!E$2,""),"")</f>
        <v/>
      </c>
      <c r="J172" s="18" t="str">
        <f t="shared" si="17"/>
        <v/>
      </c>
      <c r="K172" s="10" t="str">
        <f t="shared" si="18"/>
        <v/>
      </c>
      <c r="L172" s="10" t="str">
        <f t="shared" si="19"/>
        <v/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21" t="str">
        <f t="shared" si="14"/>
        <v/>
      </c>
      <c r="B173" s="22"/>
      <c r="C173" s="43">
        <f t="shared" si="15"/>
        <v>45721</v>
      </c>
      <c r="D173" s="21">
        <f t="shared" si="16"/>
        <v>45722</v>
      </c>
      <c r="E173" s="58">
        <f t="shared" si="20"/>
        <v>0</v>
      </c>
      <c r="F173" s="10">
        <f>IFERROR(VLOOKUP(B173,PVSKTC!$A$4:$D$1048576,2,0),0)</f>
        <v>0</v>
      </c>
      <c r="G173" s="10">
        <f>IFERROR(VLOOKUP(B173,PVSKTC!$A$4:$D$1048576,3,0),0)</f>
        <v>0</v>
      </c>
      <c r="H173" s="10">
        <f>IFERROR(VLOOKUP(B173,PVSKTC!$A$4:$D$1048576,4,0),0)</f>
        <v>0</v>
      </c>
      <c r="I173" s="17" t="str">
        <f>IFERROR(IF(E173&gt;0,THTT!E$2,""),"")</f>
        <v/>
      </c>
      <c r="J173" s="18" t="str">
        <f t="shared" si="17"/>
        <v/>
      </c>
      <c r="K173" s="10" t="str">
        <f t="shared" si="18"/>
        <v/>
      </c>
      <c r="L173" s="10" t="str">
        <f t="shared" si="19"/>
        <v/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21" t="str">
        <f t="shared" si="14"/>
        <v/>
      </c>
      <c r="B174" s="22"/>
      <c r="C174" s="43">
        <f t="shared" si="15"/>
        <v>45721</v>
      </c>
      <c r="D174" s="21">
        <f t="shared" si="16"/>
        <v>45722</v>
      </c>
      <c r="E174" s="58">
        <f t="shared" si="20"/>
        <v>0</v>
      </c>
      <c r="F174" s="10">
        <f>IFERROR(VLOOKUP(B174,PVSKTC!$A$4:$D$1048576,2,0),0)</f>
        <v>0</v>
      </c>
      <c r="G174" s="10">
        <f>IFERROR(VLOOKUP(B174,PVSKTC!$A$4:$D$1048576,3,0),0)</f>
        <v>0</v>
      </c>
      <c r="H174" s="10">
        <f>IFERROR(VLOOKUP(B174,PVSKTC!$A$4:$D$1048576,4,0),0)</f>
        <v>0</v>
      </c>
      <c r="I174" s="17" t="str">
        <f>IFERROR(IF(E174&gt;0,THTT!E$2,""),"")</f>
        <v/>
      </c>
      <c r="J174" s="18" t="str">
        <f t="shared" si="17"/>
        <v/>
      </c>
      <c r="K174" s="10" t="str">
        <f t="shared" si="18"/>
        <v/>
      </c>
      <c r="L174" s="10" t="str">
        <f t="shared" si="19"/>
        <v/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21" t="str">
        <f t="shared" si="14"/>
        <v/>
      </c>
      <c r="B175" s="22"/>
      <c r="C175" s="43">
        <f t="shared" si="15"/>
        <v>45721</v>
      </c>
      <c r="D175" s="21">
        <f t="shared" si="16"/>
        <v>45722</v>
      </c>
      <c r="E175" s="58">
        <f t="shared" si="20"/>
        <v>0</v>
      </c>
      <c r="F175" s="10">
        <f>IFERROR(VLOOKUP(B175,PVSKTC!$A$4:$D$1048576,2,0),0)</f>
        <v>0</v>
      </c>
      <c r="G175" s="10">
        <f>IFERROR(VLOOKUP(B175,PVSKTC!$A$4:$D$1048576,3,0),0)</f>
        <v>0</v>
      </c>
      <c r="H175" s="10">
        <f>IFERROR(VLOOKUP(B175,PVSKTC!$A$4:$D$1048576,4,0),0)</f>
        <v>0</v>
      </c>
      <c r="I175" s="17" t="str">
        <f>IFERROR(IF(E175&gt;0,THTT!E$2,""),"")</f>
        <v/>
      </c>
      <c r="J175" s="18" t="str">
        <f t="shared" si="17"/>
        <v/>
      </c>
      <c r="K175" s="10" t="str">
        <f t="shared" si="18"/>
        <v/>
      </c>
      <c r="L175" s="10" t="str">
        <f t="shared" si="19"/>
        <v/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21" t="str">
        <f t="shared" si="14"/>
        <v/>
      </c>
      <c r="B176" s="22"/>
      <c r="C176" s="43">
        <f t="shared" si="15"/>
        <v>45721</v>
      </c>
      <c r="D176" s="21">
        <f t="shared" si="16"/>
        <v>45722</v>
      </c>
      <c r="E176" s="58">
        <f t="shared" si="20"/>
        <v>0</v>
      </c>
      <c r="F176" s="10">
        <f>IFERROR(VLOOKUP(B176,PVSKTC!$A$4:$D$1048576,2,0),0)</f>
        <v>0</v>
      </c>
      <c r="G176" s="10">
        <f>IFERROR(VLOOKUP(B176,PVSKTC!$A$4:$D$1048576,3,0),0)</f>
        <v>0</v>
      </c>
      <c r="H176" s="10">
        <f>IFERROR(VLOOKUP(B176,PVSKTC!$A$4:$D$1048576,4,0),0)</f>
        <v>0</v>
      </c>
      <c r="I176" s="17" t="str">
        <f>IFERROR(IF(E176&gt;0,THTT!E$2,""),"")</f>
        <v/>
      </c>
      <c r="J176" s="18" t="str">
        <f t="shared" si="17"/>
        <v/>
      </c>
      <c r="K176" s="10" t="str">
        <f t="shared" si="18"/>
        <v/>
      </c>
      <c r="L176" s="10" t="str">
        <f t="shared" si="19"/>
        <v/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21" t="str">
        <f t="shared" si="14"/>
        <v/>
      </c>
      <c r="B177" s="22"/>
      <c r="C177" s="43">
        <f t="shared" si="15"/>
        <v>45721</v>
      </c>
      <c r="D177" s="21">
        <f t="shared" si="16"/>
        <v>45722</v>
      </c>
      <c r="E177" s="58">
        <f t="shared" si="20"/>
        <v>0</v>
      </c>
      <c r="F177" s="10">
        <f>IFERROR(VLOOKUP(B177,PVSKTC!$A$4:$D$1048576,2,0),0)</f>
        <v>0</v>
      </c>
      <c r="G177" s="10">
        <f>IFERROR(VLOOKUP(B177,PVSKTC!$A$4:$D$1048576,3,0),0)</f>
        <v>0</v>
      </c>
      <c r="H177" s="10">
        <f>IFERROR(VLOOKUP(B177,PVSKTC!$A$4:$D$1048576,4,0),0)</f>
        <v>0</v>
      </c>
      <c r="I177" s="17" t="str">
        <f>IFERROR(IF(E177&gt;0,THTT!E$2,""),"")</f>
        <v/>
      </c>
      <c r="J177" s="18" t="str">
        <f t="shared" si="17"/>
        <v/>
      </c>
      <c r="K177" s="10" t="str">
        <f t="shared" si="18"/>
        <v/>
      </c>
      <c r="L177" s="10" t="str">
        <f t="shared" si="19"/>
        <v/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21" t="str">
        <f t="shared" si="14"/>
        <v/>
      </c>
      <c r="B178" s="22"/>
      <c r="C178" s="43">
        <f t="shared" si="15"/>
        <v>45721</v>
      </c>
      <c r="D178" s="21">
        <f t="shared" si="16"/>
        <v>45722</v>
      </c>
      <c r="E178" s="58">
        <f t="shared" si="20"/>
        <v>0</v>
      </c>
      <c r="F178" s="10">
        <f>IFERROR(VLOOKUP(B178,PVSKTC!$A$4:$D$1048576,2,0),0)</f>
        <v>0</v>
      </c>
      <c r="G178" s="10">
        <f>IFERROR(VLOOKUP(B178,PVSKTC!$A$4:$D$1048576,3,0),0)</f>
        <v>0</v>
      </c>
      <c r="H178" s="10">
        <f>IFERROR(VLOOKUP(B178,PVSKTC!$A$4:$D$1048576,4,0),0)</f>
        <v>0</v>
      </c>
      <c r="I178" s="17" t="str">
        <f>IFERROR(IF(E178&gt;0,THTT!E$2,""),"")</f>
        <v/>
      </c>
      <c r="J178" s="18" t="str">
        <f t="shared" si="17"/>
        <v/>
      </c>
      <c r="K178" s="10" t="str">
        <f t="shared" si="18"/>
        <v/>
      </c>
      <c r="L178" s="10" t="str">
        <f t="shared" si="19"/>
        <v/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21" t="str">
        <f t="shared" si="14"/>
        <v/>
      </c>
      <c r="B179" s="22"/>
      <c r="C179" s="43">
        <f t="shared" si="15"/>
        <v>45721</v>
      </c>
      <c r="D179" s="21">
        <f t="shared" si="16"/>
        <v>45722</v>
      </c>
      <c r="E179" s="58">
        <f t="shared" si="20"/>
        <v>0</v>
      </c>
      <c r="F179" s="10">
        <f>IFERROR(VLOOKUP(B179,PVSKTC!$A$4:$D$1048576,2,0),0)</f>
        <v>0</v>
      </c>
      <c r="G179" s="10">
        <f>IFERROR(VLOOKUP(B179,PVSKTC!$A$4:$D$1048576,3,0),0)</f>
        <v>0</v>
      </c>
      <c r="H179" s="10">
        <f>IFERROR(VLOOKUP(B179,PVSKTC!$A$4:$D$1048576,4,0),0)</f>
        <v>0</v>
      </c>
      <c r="I179" s="17" t="str">
        <f>IFERROR(IF(E179&gt;0,THTT!E$2,""),"")</f>
        <v/>
      </c>
      <c r="J179" s="18" t="str">
        <f t="shared" si="17"/>
        <v/>
      </c>
      <c r="K179" s="10" t="str">
        <f t="shared" si="18"/>
        <v/>
      </c>
      <c r="L179" s="10" t="str">
        <f t="shared" si="19"/>
        <v/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21" t="str">
        <f t="shared" si="14"/>
        <v/>
      </c>
      <c r="B180" s="22"/>
      <c r="C180" s="43">
        <f t="shared" si="15"/>
        <v>45721</v>
      </c>
      <c r="D180" s="21">
        <f t="shared" si="16"/>
        <v>45722</v>
      </c>
      <c r="E180" s="58">
        <f t="shared" si="20"/>
        <v>0</v>
      </c>
      <c r="F180" s="10">
        <f>IFERROR(VLOOKUP(B180,PVSKTC!$A$4:$D$1048576,2,0),0)</f>
        <v>0</v>
      </c>
      <c r="G180" s="10">
        <f>IFERROR(VLOOKUP(B180,PVSKTC!$A$4:$D$1048576,3,0),0)</f>
        <v>0</v>
      </c>
      <c r="H180" s="10">
        <f>IFERROR(VLOOKUP(B180,PVSKTC!$A$4:$D$1048576,4,0),0)</f>
        <v>0</v>
      </c>
      <c r="I180" s="17" t="str">
        <f>IFERROR(IF(E180&gt;0,THTT!E$2,""),"")</f>
        <v/>
      </c>
      <c r="J180" s="18" t="str">
        <f t="shared" si="17"/>
        <v/>
      </c>
      <c r="K180" s="10" t="str">
        <f t="shared" si="18"/>
        <v/>
      </c>
      <c r="L180" s="10" t="str">
        <f t="shared" si="19"/>
        <v/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21" t="str">
        <f t="shared" si="14"/>
        <v/>
      </c>
      <c r="B181" s="22"/>
      <c r="C181" s="43">
        <f t="shared" si="15"/>
        <v>45721</v>
      </c>
      <c r="D181" s="21">
        <f t="shared" si="16"/>
        <v>45722</v>
      </c>
      <c r="E181" s="58">
        <f t="shared" si="20"/>
        <v>0</v>
      </c>
      <c r="F181" s="10">
        <f>IFERROR(VLOOKUP(B181,PVSKTC!$A$4:$D$1048576,2,0),0)</f>
        <v>0</v>
      </c>
      <c r="G181" s="10">
        <f>IFERROR(VLOOKUP(B181,PVSKTC!$A$4:$D$1048576,3,0),0)</f>
        <v>0</v>
      </c>
      <c r="H181" s="10">
        <f>IFERROR(VLOOKUP(B181,PVSKTC!$A$4:$D$1048576,4,0),0)</f>
        <v>0</v>
      </c>
      <c r="I181" s="17" t="str">
        <f>IFERROR(IF(E181&gt;0,THTT!E$2,""),"")</f>
        <v/>
      </c>
      <c r="J181" s="18" t="str">
        <f t="shared" si="17"/>
        <v/>
      </c>
      <c r="K181" s="10" t="str">
        <f t="shared" si="18"/>
        <v/>
      </c>
      <c r="L181" s="10" t="str">
        <f t="shared" si="19"/>
        <v/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21" t="str">
        <f t="shared" si="14"/>
        <v/>
      </c>
      <c r="B182" s="22"/>
      <c r="C182" s="43">
        <f t="shared" si="15"/>
        <v>45721</v>
      </c>
      <c r="D182" s="21">
        <f t="shared" si="16"/>
        <v>45722</v>
      </c>
      <c r="E182" s="58">
        <f t="shared" si="20"/>
        <v>0</v>
      </c>
      <c r="F182" s="10">
        <f>IFERROR(VLOOKUP(B182,PVSKTC!$A$4:$D$1048576,2,0),0)</f>
        <v>0</v>
      </c>
      <c r="G182" s="10">
        <f>IFERROR(VLOOKUP(B182,PVSKTC!$A$4:$D$1048576,3,0),0)</f>
        <v>0</v>
      </c>
      <c r="H182" s="10">
        <f>IFERROR(VLOOKUP(B182,PVSKTC!$A$4:$D$1048576,4,0),0)</f>
        <v>0</v>
      </c>
      <c r="I182" s="17" t="str">
        <f>IFERROR(IF(E182&gt;0,THTT!E$2,""),"")</f>
        <v/>
      </c>
      <c r="J182" s="18" t="str">
        <f t="shared" si="17"/>
        <v/>
      </c>
      <c r="K182" s="10" t="str">
        <f t="shared" si="18"/>
        <v/>
      </c>
      <c r="L182" s="10" t="str">
        <f t="shared" si="19"/>
        <v/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21" t="str">
        <f t="shared" si="14"/>
        <v/>
      </c>
      <c r="B183" s="22"/>
      <c r="C183" s="43">
        <f t="shared" si="15"/>
        <v>45721</v>
      </c>
      <c r="D183" s="21">
        <f t="shared" si="16"/>
        <v>45722</v>
      </c>
      <c r="E183" s="58">
        <f t="shared" si="20"/>
        <v>0</v>
      </c>
      <c r="F183" s="10">
        <f>IFERROR(VLOOKUP(B183,PVSKTC!$A$4:$D$1048576,2,0),0)</f>
        <v>0</v>
      </c>
      <c r="G183" s="10">
        <f>IFERROR(VLOOKUP(B183,PVSKTC!$A$4:$D$1048576,3,0),0)</f>
        <v>0</v>
      </c>
      <c r="H183" s="10">
        <f>IFERROR(VLOOKUP(B183,PVSKTC!$A$4:$D$1048576,4,0),0)</f>
        <v>0</v>
      </c>
      <c r="I183" s="17" t="str">
        <f>IFERROR(IF(E183&gt;0,THTT!E$2,""),"")</f>
        <v/>
      </c>
      <c r="J183" s="18" t="str">
        <f t="shared" si="17"/>
        <v/>
      </c>
      <c r="K183" s="10" t="str">
        <f t="shared" si="18"/>
        <v/>
      </c>
      <c r="L183" s="10" t="str">
        <f t="shared" si="19"/>
        <v/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s="4" customFormat="1" x14ac:dyDescent="0.3">
      <c r="A184" s="21" t="str">
        <f t="shared" si="14"/>
        <v/>
      </c>
      <c r="B184" s="22"/>
      <c r="C184" s="43">
        <f t="shared" si="15"/>
        <v>45721</v>
      </c>
      <c r="D184" s="21">
        <f t="shared" si="16"/>
        <v>45722</v>
      </c>
      <c r="E184" s="58">
        <f t="shared" si="20"/>
        <v>0</v>
      </c>
      <c r="F184" s="10">
        <f>IFERROR(VLOOKUP(B184,PVSKTC!$A$4:$D$1048576,2,0),0)</f>
        <v>0</v>
      </c>
      <c r="G184" s="10">
        <f>IFERROR(VLOOKUP(B184,PVSKTC!$A$4:$D$1048576,3,0),0)</f>
        <v>0</v>
      </c>
      <c r="H184" s="10">
        <f>IFERROR(VLOOKUP(B184,PVSKTC!$A$4:$D$1048576,4,0),0)</f>
        <v>0</v>
      </c>
      <c r="I184" s="17" t="str">
        <f>IFERROR(IF(E184&gt;0,THTT!E$2,""),"")</f>
        <v/>
      </c>
      <c r="J184" s="18" t="str">
        <f t="shared" si="17"/>
        <v/>
      </c>
      <c r="K184" s="10" t="str">
        <f t="shared" si="18"/>
        <v/>
      </c>
      <c r="L184" s="10" t="str">
        <f t="shared" si="19"/>
        <v/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</row>
    <row r="185" spans="1:63" s="4" customFormat="1" x14ac:dyDescent="0.3">
      <c r="A185" s="21" t="str">
        <f t="shared" si="14"/>
        <v/>
      </c>
      <c r="B185" s="22"/>
      <c r="C185" s="43">
        <f t="shared" si="15"/>
        <v>45721</v>
      </c>
      <c r="D185" s="21">
        <f t="shared" si="16"/>
        <v>45722</v>
      </c>
      <c r="E185" s="58">
        <f t="shared" si="20"/>
        <v>0</v>
      </c>
      <c r="F185" s="10">
        <f>IFERROR(VLOOKUP(B185,PVSKTC!$A$4:$D$1048576,2,0),0)</f>
        <v>0</v>
      </c>
      <c r="G185" s="10">
        <f>IFERROR(VLOOKUP(B185,PVSKTC!$A$4:$D$1048576,3,0),0)</f>
        <v>0</v>
      </c>
      <c r="H185" s="10">
        <f>IFERROR(VLOOKUP(B185,PVSKTC!$A$4:$D$1048576,4,0),0)</f>
        <v>0</v>
      </c>
      <c r="I185" s="17" t="str">
        <f>IFERROR(IF(E185&gt;0,THTT!E$2,""),"")</f>
        <v/>
      </c>
      <c r="J185" s="18" t="str">
        <f t="shared" si="17"/>
        <v/>
      </c>
      <c r="K185" s="10" t="str">
        <f t="shared" si="18"/>
        <v/>
      </c>
      <c r="L185" s="10" t="str">
        <f t="shared" si="19"/>
        <v/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</row>
    <row r="186" spans="1:63" s="4" customFormat="1" x14ac:dyDescent="0.3">
      <c r="A186" s="21" t="str">
        <f t="shared" si="14"/>
        <v/>
      </c>
      <c r="B186" s="22"/>
      <c r="C186" s="43">
        <f t="shared" si="15"/>
        <v>45721</v>
      </c>
      <c r="D186" s="21">
        <f t="shared" si="16"/>
        <v>45722</v>
      </c>
      <c r="E186" s="58">
        <f t="shared" si="20"/>
        <v>0</v>
      </c>
      <c r="F186" s="10">
        <f>IFERROR(VLOOKUP(B186,PVSKTC!$A$4:$D$1048576,2,0),0)</f>
        <v>0</v>
      </c>
      <c r="G186" s="10">
        <f>IFERROR(VLOOKUP(B186,PVSKTC!$A$4:$D$1048576,3,0),0)</f>
        <v>0</v>
      </c>
      <c r="H186" s="10">
        <f>IFERROR(VLOOKUP(B186,PVSKTC!$A$4:$D$1048576,4,0),0)</f>
        <v>0</v>
      </c>
      <c r="I186" s="17" t="str">
        <f>IFERROR(IF(E186&gt;0,THTT!E$2,""),"")</f>
        <v/>
      </c>
      <c r="J186" s="18" t="str">
        <f t="shared" si="17"/>
        <v/>
      </c>
      <c r="K186" s="10" t="str">
        <f t="shared" si="18"/>
        <v/>
      </c>
      <c r="L186" s="10" t="str">
        <f t="shared" si="19"/>
        <v/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</row>
    <row r="187" spans="1:63" s="4" customFormat="1" x14ac:dyDescent="0.3">
      <c r="A187" s="21" t="str">
        <f t="shared" si="14"/>
        <v/>
      </c>
      <c r="B187" s="22"/>
      <c r="C187" s="43">
        <f t="shared" si="15"/>
        <v>45721</v>
      </c>
      <c r="D187" s="21">
        <f t="shared" si="16"/>
        <v>45722</v>
      </c>
      <c r="E187" s="58">
        <f t="shared" si="20"/>
        <v>0</v>
      </c>
      <c r="F187" s="10">
        <f>IFERROR(VLOOKUP(B187,PVSKTC!$A$4:$D$1048576,2,0),0)</f>
        <v>0</v>
      </c>
      <c r="G187" s="10">
        <f>IFERROR(VLOOKUP(B187,PVSKTC!$A$4:$D$1048576,3,0),0)</f>
        <v>0</v>
      </c>
      <c r="H187" s="10">
        <f>IFERROR(VLOOKUP(B187,PVSKTC!$A$4:$D$1048576,4,0),0)</f>
        <v>0</v>
      </c>
      <c r="I187" s="17" t="str">
        <f>IFERROR(IF(E187&gt;0,THTT!E$2,""),"")</f>
        <v/>
      </c>
      <c r="J187" s="18" t="str">
        <f t="shared" si="17"/>
        <v/>
      </c>
      <c r="K187" s="10" t="str">
        <f t="shared" si="18"/>
        <v/>
      </c>
      <c r="L187" s="10" t="str">
        <f t="shared" si="19"/>
        <v/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</row>
    <row r="188" spans="1:63" s="4" customFormat="1" x14ac:dyDescent="0.3">
      <c r="A188" s="21" t="str">
        <f t="shared" si="14"/>
        <v/>
      </c>
      <c r="B188" s="22"/>
      <c r="C188" s="43">
        <f t="shared" si="15"/>
        <v>45721</v>
      </c>
      <c r="D188" s="21">
        <f t="shared" si="16"/>
        <v>45722</v>
      </c>
      <c r="E188" s="58">
        <f t="shared" si="20"/>
        <v>0</v>
      </c>
      <c r="F188" s="10">
        <f>IFERROR(VLOOKUP(B188,PVSKTC!$A$4:$D$1048576,2,0),0)</f>
        <v>0</v>
      </c>
      <c r="G188" s="10">
        <f>IFERROR(VLOOKUP(B188,PVSKTC!$A$4:$D$1048576,3,0),0)</f>
        <v>0</v>
      </c>
      <c r="H188" s="10">
        <f>IFERROR(VLOOKUP(B188,PVSKTC!$A$4:$D$1048576,4,0),0)</f>
        <v>0</v>
      </c>
      <c r="I188" s="17" t="str">
        <f>IFERROR(IF(E188&gt;0,THTT!E$2,""),"")</f>
        <v/>
      </c>
      <c r="J188" s="18" t="str">
        <f t="shared" si="17"/>
        <v/>
      </c>
      <c r="K188" s="10" t="str">
        <f t="shared" si="18"/>
        <v/>
      </c>
      <c r="L188" s="10" t="str">
        <f t="shared" si="19"/>
        <v/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</row>
    <row r="189" spans="1:63" s="4" customFormat="1" x14ac:dyDescent="0.3">
      <c r="A189" s="21" t="str">
        <f t="shared" si="14"/>
        <v/>
      </c>
      <c r="B189" s="22"/>
      <c r="C189" s="43">
        <f t="shared" si="15"/>
        <v>45721</v>
      </c>
      <c r="D189" s="21">
        <f t="shared" si="16"/>
        <v>45722</v>
      </c>
      <c r="E189" s="58">
        <f t="shared" si="20"/>
        <v>0</v>
      </c>
      <c r="F189" s="10">
        <f>IFERROR(VLOOKUP(B189,PVSKTC!$A$4:$D$1048576,2,0),0)</f>
        <v>0</v>
      </c>
      <c r="G189" s="10">
        <f>IFERROR(VLOOKUP(B189,PVSKTC!$A$4:$D$1048576,3,0),0)</f>
        <v>0</v>
      </c>
      <c r="H189" s="10">
        <f>IFERROR(VLOOKUP(B189,PVSKTC!$A$4:$D$1048576,4,0),0)</f>
        <v>0</v>
      </c>
      <c r="I189" s="17" t="str">
        <f>IFERROR(IF(E189&gt;0,THTT!E$2,""),"")</f>
        <v/>
      </c>
      <c r="J189" s="18" t="str">
        <f t="shared" si="17"/>
        <v/>
      </c>
      <c r="K189" s="10" t="str">
        <f t="shared" si="18"/>
        <v/>
      </c>
      <c r="L189" s="10" t="str">
        <f t="shared" si="19"/>
        <v/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</row>
    <row r="190" spans="1:63" s="4" customFormat="1" x14ac:dyDescent="0.3">
      <c r="A190" s="21" t="str">
        <f t="shared" si="14"/>
        <v/>
      </c>
      <c r="B190" s="22"/>
      <c r="C190" s="43">
        <f t="shared" si="15"/>
        <v>45721</v>
      </c>
      <c r="D190" s="21">
        <f t="shared" si="16"/>
        <v>45722</v>
      </c>
      <c r="E190" s="58">
        <f t="shared" si="20"/>
        <v>0</v>
      </c>
      <c r="F190" s="10">
        <f>IFERROR(VLOOKUP(B190,PVSKTC!$A$4:$D$1048576,2,0),0)</f>
        <v>0</v>
      </c>
      <c r="G190" s="10">
        <f>IFERROR(VLOOKUP(B190,PVSKTC!$A$4:$D$1048576,3,0),0)</f>
        <v>0</v>
      </c>
      <c r="H190" s="10">
        <f>IFERROR(VLOOKUP(B190,PVSKTC!$A$4:$D$1048576,4,0),0)</f>
        <v>0</v>
      </c>
      <c r="I190" s="17" t="str">
        <f>IFERROR(IF(E190&gt;0,THTT!E$2,""),"")</f>
        <v/>
      </c>
      <c r="J190" s="18" t="str">
        <f t="shared" si="17"/>
        <v/>
      </c>
      <c r="K190" s="10" t="str">
        <f t="shared" si="18"/>
        <v/>
      </c>
      <c r="L190" s="10" t="str">
        <f t="shared" si="19"/>
        <v/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</row>
    <row r="191" spans="1:63" s="4" customFormat="1" x14ac:dyDescent="0.3">
      <c r="A191" s="21" t="str">
        <f t="shared" si="14"/>
        <v/>
      </c>
      <c r="B191" s="22"/>
      <c r="C191" s="43">
        <f t="shared" si="15"/>
        <v>45721</v>
      </c>
      <c r="D191" s="21">
        <f t="shared" si="16"/>
        <v>45722</v>
      </c>
      <c r="E191" s="58">
        <f t="shared" si="20"/>
        <v>0</v>
      </c>
      <c r="F191" s="10">
        <f>IFERROR(VLOOKUP(B191,PVSKTC!$A$4:$D$1048576,2,0),0)</f>
        <v>0</v>
      </c>
      <c r="G191" s="10">
        <f>IFERROR(VLOOKUP(B191,PVSKTC!$A$4:$D$1048576,3,0),0)</f>
        <v>0</v>
      </c>
      <c r="H191" s="10">
        <f>IFERROR(VLOOKUP(B191,PVSKTC!$A$4:$D$1048576,4,0),0)</f>
        <v>0</v>
      </c>
      <c r="I191" s="17" t="str">
        <f>IFERROR(IF(E191&gt;0,THTT!E$2,""),"")</f>
        <v/>
      </c>
      <c r="J191" s="18" t="str">
        <f t="shared" si="17"/>
        <v/>
      </c>
      <c r="K191" s="10" t="str">
        <f t="shared" si="18"/>
        <v/>
      </c>
      <c r="L191" s="10" t="str">
        <f t="shared" si="19"/>
        <v/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</row>
    <row r="192" spans="1:63" s="4" customFormat="1" x14ac:dyDescent="0.3">
      <c r="A192" s="21" t="str">
        <f t="shared" si="14"/>
        <v/>
      </c>
      <c r="B192" s="22"/>
      <c r="C192" s="43">
        <f t="shared" si="15"/>
        <v>45721</v>
      </c>
      <c r="D192" s="21">
        <f t="shared" si="16"/>
        <v>45722</v>
      </c>
      <c r="E192" s="58">
        <f t="shared" si="20"/>
        <v>0</v>
      </c>
      <c r="F192" s="10">
        <f>IFERROR(VLOOKUP(B192,PVSKTC!$A$4:$D$1048576,2,0),0)</f>
        <v>0</v>
      </c>
      <c r="G192" s="10">
        <f>IFERROR(VLOOKUP(B192,PVSKTC!$A$4:$D$1048576,3,0),0)</f>
        <v>0</v>
      </c>
      <c r="H192" s="10">
        <f>IFERROR(VLOOKUP(B192,PVSKTC!$A$4:$D$1048576,4,0),0)</f>
        <v>0</v>
      </c>
      <c r="I192" s="17" t="str">
        <f>IFERROR(IF(E192&gt;0,THTT!E$2,""),"")</f>
        <v/>
      </c>
      <c r="J192" s="18" t="str">
        <f t="shared" si="17"/>
        <v/>
      </c>
      <c r="K192" s="10" t="str">
        <f t="shared" si="18"/>
        <v/>
      </c>
      <c r="L192" s="10" t="str">
        <f t="shared" si="19"/>
        <v/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</row>
    <row r="193" spans="1:63" s="4" customFormat="1" x14ac:dyDescent="0.3">
      <c r="A193" s="21" t="str">
        <f t="shared" si="14"/>
        <v/>
      </c>
      <c r="B193" s="22"/>
      <c r="C193" s="43">
        <f t="shared" si="15"/>
        <v>45721</v>
      </c>
      <c r="D193" s="21">
        <f t="shared" si="16"/>
        <v>45722</v>
      </c>
      <c r="E193" s="58">
        <f t="shared" si="20"/>
        <v>0</v>
      </c>
      <c r="F193" s="10">
        <f>IFERROR(VLOOKUP(B193,PVSKTC!$A$4:$D$1048576,2,0),0)</f>
        <v>0</v>
      </c>
      <c r="G193" s="10">
        <f>IFERROR(VLOOKUP(B193,PVSKTC!$A$4:$D$1048576,3,0),0)</f>
        <v>0</v>
      </c>
      <c r="H193" s="10">
        <f>IFERROR(VLOOKUP(B193,PVSKTC!$A$4:$D$1048576,4,0),0)</f>
        <v>0</v>
      </c>
      <c r="I193" s="17" t="str">
        <f>IFERROR(IF(E193&gt;0,THTT!E$2,""),"")</f>
        <v/>
      </c>
      <c r="J193" s="18" t="str">
        <f t="shared" si="17"/>
        <v/>
      </c>
      <c r="K193" s="10" t="str">
        <f t="shared" si="18"/>
        <v/>
      </c>
      <c r="L193" s="10" t="str">
        <f t="shared" si="19"/>
        <v/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</row>
    <row r="194" spans="1:63" s="4" customFormat="1" x14ac:dyDescent="0.3">
      <c r="A194" s="21" t="str">
        <f t="shared" si="14"/>
        <v/>
      </c>
      <c r="B194" s="22"/>
      <c r="C194" s="43">
        <f t="shared" si="15"/>
        <v>45721</v>
      </c>
      <c r="D194" s="21">
        <f t="shared" si="16"/>
        <v>45722</v>
      </c>
      <c r="E194" s="58">
        <f t="shared" si="20"/>
        <v>0</v>
      </c>
      <c r="F194" s="10">
        <f>IFERROR(VLOOKUP(B194,PVSKTC!$A$4:$D$1048576,2,0),0)</f>
        <v>0</v>
      </c>
      <c r="G194" s="10">
        <f>IFERROR(VLOOKUP(B194,PVSKTC!$A$4:$D$1048576,3,0),0)</f>
        <v>0</v>
      </c>
      <c r="H194" s="10">
        <f>IFERROR(VLOOKUP(B194,PVSKTC!$A$4:$D$1048576,4,0),0)</f>
        <v>0</v>
      </c>
      <c r="I194" s="17" t="str">
        <f>IFERROR(IF(E194&gt;0,THTT!E$2,""),"")</f>
        <v/>
      </c>
      <c r="J194" s="18" t="str">
        <f t="shared" si="17"/>
        <v/>
      </c>
      <c r="K194" s="10" t="str">
        <f t="shared" si="18"/>
        <v/>
      </c>
      <c r="L194" s="10" t="str">
        <f t="shared" si="19"/>
        <v/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</row>
    <row r="195" spans="1:63" s="4" customFormat="1" x14ac:dyDescent="0.3">
      <c r="A195" s="21" t="str">
        <f t="shared" si="14"/>
        <v/>
      </c>
      <c r="B195" s="22"/>
      <c r="C195" s="43">
        <f t="shared" si="15"/>
        <v>45721</v>
      </c>
      <c r="D195" s="21">
        <f t="shared" si="16"/>
        <v>45722</v>
      </c>
      <c r="E195" s="58">
        <f t="shared" si="20"/>
        <v>0</v>
      </c>
      <c r="F195" s="10">
        <f>IFERROR(VLOOKUP(B195,PVSKTC!$A$4:$D$1048576,2,0),0)</f>
        <v>0</v>
      </c>
      <c r="G195" s="10">
        <f>IFERROR(VLOOKUP(B195,PVSKTC!$A$4:$D$1048576,3,0),0)</f>
        <v>0</v>
      </c>
      <c r="H195" s="10">
        <f>IFERROR(VLOOKUP(B195,PVSKTC!$A$4:$D$1048576,4,0),0)</f>
        <v>0</v>
      </c>
      <c r="I195" s="17" t="str">
        <f>IFERROR(IF(E195&gt;0,THTT!E$2,""),"")</f>
        <v/>
      </c>
      <c r="J195" s="18" t="str">
        <f t="shared" si="17"/>
        <v/>
      </c>
      <c r="K195" s="10" t="str">
        <f t="shared" si="18"/>
        <v/>
      </c>
      <c r="L195" s="10" t="str">
        <f t="shared" si="19"/>
        <v/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</row>
    <row r="196" spans="1:63" s="4" customFormat="1" x14ac:dyDescent="0.3">
      <c r="A196" s="21" t="str">
        <f t="shared" si="14"/>
        <v/>
      </c>
      <c r="B196" s="22"/>
      <c r="C196" s="43">
        <f t="shared" si="15"/>
        <v>45721</v>
      </c>
      <c r="D196" s="21">
        <f t="shared" si="16"/>
        <v>45722</v>
      </c>
      <c r="E196" s="58">
        <f t="shared" si="20"/>
        <v>0</v>
      </c>
      <c r="F196" s="10">
        <f>IFERROR(VLOOKUP(B196,PVSKTC!$A$4:$D$1048576,2,0),0)</f>
        <v>0</v>
      </c>
      <c r="G196" s="10">
        <f>IFERROR(VLOOKUP(B196,PVSKTC!$A$4:$D$1048576,3,0),0)</f>
        <v>0</v>
      </c>
      <c r="H196" s="10">
        <f>IFERROR(VLOOKUP(B196,PVSKTC!$A$4:$D$1048576,4,0),0)</f>
        <v>0</v>
      </c>
      <c r="I196" s="17" t="str">
        <f>IFERROR(IF(E196&gt;0,THTT!E$2,""),"")</f>
        <v/>
      </c>
      <c r="J196" s="18" t="str">
        <f t="shared" si="17"/>
        <v/>
      </c>
      <c r="K196" s="10" t="str">
        <f t="shared" si="18"/>
        <v/>
      </c>
      <c r="L196" s="10" t="str">
        <f t="shared" si="19"/>
        <v/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</row>
    <row r="197" spans="1:63" s="4" customFormat="1" x14ac:dyDescent="0.3">
      <c r="A197" s="21" t="str">
        <f t="shared" si="14"/>
        <v/>
      </c>
      <c r="B197" s="22"/>
      <c r="C197" s="43">
        <f t="shared" si="15"/>
        <v>45721</v>
      </c>
      <c r="D197" s="21">
        <f t="shared" si="16"/>
        <v>45722</v>
      </c>
      <c r="E197" s="58">
        <f t="shared" si="20"/>
        <v>0</v>
      </c>
      <c r="F197" s="10">
        <f>IFERROR(VLOOKUP(B197,PVSKTC!$A$4:$D$1048576,2,0),0)</f>
        <v>0</v>
      </c>
      <c r="G197" s="10">
        <f>IFERROR(VLOOKUP(B197,PVSKTC!$A$4:$D$1048576,3,0),0)</f>
        <v>0</v>
      </c>
      <c r="H197" s="10">
        <f>IFERROR(VLOOKUP(B197,PVSKTC!$A$4:$D$1048576,4,0),0)</f>
        <v>0</v>
      </c>
      <c r="I197" s="17" t="str">
        <f>IFERROR(IF(E197&gt;0,THTT!E$2,""),"")</f>
        <v/>
      </c>
      <c r="J197" s="18" t="str">
        <f t="shared" si="17"/>
        <v/>
      </c>
      <c r="K197" s="10" t="str">
        <f t="shared" si="18"/>
        <v/>
      </c>
      <c r="L197" s="10" t="str">
        <f t="shared" si="19"/>
        <v/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</row>
    <row r="198" spans="1:63" s="4" customFormat="1" x14ac:dyDescent="0.3">
      <c r="A198" s="21" t="str">
        <f t="shared" si="14"/>
        <v/>
      </c>
      <c r="B198" s="22"/>
      <c r="C198" s="43">
        <f t="shared" si="15"/>
        <v>45721</v>
      </c>
      <c r="D198" s="21">
        <f t="shared" si="16"/>
        <v>45722</v>
      </c>
      <c r="E198" s="58">
        <f t="shared" si="20"/>
        <v>0</v>
      </c>
      <c r="F198" s="10">
        <f>IFERROR(VLOOKUP(B198,PVSKTC!$A$4:$D$1048576,2,0),0)</f>
        <v>0</v>
      </c>
      <c r="G198" s="10">
        <f>IFERROR(VLOOKUP(B198,PVSKTC!$A$4:$D$1048576,3,0),0)</f>
        <v>0</v>
      </c>
      <c r="H198" s="10">
        <f>IFERROR(VLOOKUP(B198,PVSKTC!$A$4:$D$1048576,4,0),0)</f>
        <v>0</v>
      </c>
      <c r="I198" s="17" t="str">
        <f>IFERROR(IF(E198&gt;0,THTT!E$2,""),"")</f>
        <v/>
      </c>
      <c r="J198" s="18" t="str">
        <f t="shared" si="17"/>
        <v/>
      </c>
      <c r="K198" s="10" t="str">
        <f t="shared" si="18"/>
        <v/>
      </c>
      <c r="L198" s="10" t="str">
        <f t="shared" si="19"/>
        <v/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</row>
    <row r="199" spans="1:63" s="4" customFormat="1" x14ac:dyDescent="0.3">
      <c r="A199" s="21" t="str">
        <f t="shared" si="14"/>
        <v/>
      </c>
      <c r="B199" s="22"/>
      <c r="C199" s="43">
        <f t="shared" si="15"/>
        <v>45721</v>
      </c>
      <c r="D199" s="21">
        <f t="shared" si="16"/>
        <v>45722</v>
      </c>
      <c r="E199" s="58">
        <f t="shared" si="20"/>
        <v>0</v>
      </c>
      <c r="F199" s="10">
        <f>IFERROR(VLOOKUP(B199,PVSKTC!$A$4:$D$1048576,2,0),0)</f>
        <v>0</v>
      </c>
      <c r="G199" s="10">
        <f>IFERROR(VLOOKUP(B199,PVSKTC!$A$4:$D$1048576,3,0),0)</f>
        <v>0</v>
      </c>
      <c r="H199" s="10">
        <f>IFERROR(VLOOKUP(B199,PVSKTC!$A$4:$D$1048576,4,0),0)</f>
        <v>0</v>
      </c>
      <c r="I199" s="17" t="str">
        <f>IFERROR(IF(E199&gt;0,THTT!E$2,""),"")</f>
        <v/>
      </c>
      <c r="J199" s="18" t="str">
        <f t="shared" si="17"/>
        <v/>
      </c>
      <c r="K199" s="10" t="str">
        <f t="shared" si="18"/>
        <v/>
      </c>
      <c r="L199" s="10" t="str">
        <f t="shared" si="19"/>
        <v/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</row>
    <row r="200" spans="1:63" s="4" customFormat="1" x14ac:dyDescent="0.3">
      <c r="A200" s="21" t="str">
        <f t="shared" si="14"/>
        <v/>
      </c>
      <c r="B200" s="22"/>
      <c r="C200" s="43">
        <f t="shared" si="15"/>
        <v>45721</v>
      </c>
      <c r="D200" s="21">
        <f t="shared" si="16"/>
        <v>45722</v>
      </c>
      <c r="E200" s="58">
        <f t="shared" si="20"/>
        <v>0</v>
      </c>
      <c r="F200" s="10">
        <f>IFERROR(VLOOKUP(B200,PVSKTC!$A$4:$D$1048576,2,0),0)</f>
        <v>0</v>
      </c>
      <c r="G200" s="10">
        <f>IFERROR(VLOOKUP(B200,PVSKTC!$A$4:$D$1048576,3,0),0)</f>
        <v>0</v>
      </c>
      <c r="H200" s="10">
        <f>IFERROR(VLOOKUP(B200,PVSKTC!$A$4:$D$1048576,4,0),0)</f>
        <v>0</v>
      </c>
      <c r="I200" s="17" t="str">
        <f>IFERROR(IF(E200&gt;0,THTT!E$2,""),"")</f>
        <v/>
      </c>
      <c r="J200" s="18" t="str">
        <f t="shared" si="17"/>
        <v/>
      </c>
      <c r="K200" s="10" t="str">
        <f t="shared" si="18"/>
        <v/>
      </c>
      <c r="L200" s="10" t="str">
        <f t="shared" si="19"/>
        <v/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</row>
    <row r="201" spans="1:63" s="4" customFormat="1" x14ac:dyDescent="0.3">
      <c r="A201" s="21" t="str">
        <f t="shared" si="14"/>
        <v/>
      </c>
      <c r="B201" s="22"/>
      <c r="C201" s="43">
        <f t="shared" si="15"/>
        <v>45721</v>
      </c>
      <c r="D201" s="21">
        <f t="shared" si="16"/>
        <v>45722</v>
      </c>
      <c r="E201" s="58">
        <f t="shared" si="20"/>
        <v>0</v>
      </c>
      <c r="F201" s="10">
        <f>IFERROR(VLOOKUP(B201,PVSKTC!$A$4:$D$1048576,2,0),0)</f>
        <v>0</v>
      </c>
      <c r="G201" s="10">
        <f>IFERROR(VLOOKUP(B201,PVSKTC!$A$4:$D$1048576,3,0),0)</f>
        <v>0</v>
      </c>
      <c r="H201" s="10">
        <f>IFERROR(VLOOKUP(B201,PVSKTC!$A$4:$D$1048576,4,0),0)</f>
        <v>0</v>
      </c>
      <c r="I201" s="17" t="str">
        <f>IFERROR(IF(E201&gt;0,THTT!E$2,""),"")</f>
        <v/>
      </c>
      <c r="J201" s="18" t="str">
        <f t="shared" si="17"/>
        <v/>
      </c>
      <c r="K201" s="10" t="str">
        <f t="shared" si="18"/>
        <v/>
      </c>
      <c r="L201" s="10" t="str">
        <f t="shared" si="19"/>
        <v/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</row>
    <row r="202" spans="1:63" s="4" customFormat="1" x14ac:dyDescent="0.3">
      <c r="A202" s="21" t="str">
        <f t="shared" si="14"/>
        <v/>
      </c>
      <c r="B202" s="22"/>
      <c r="C202" s="43">
        <f t="shared" si="15"/>
        <v>45721</v>
      </c>
      <c r="D202" s="21">
        <f t="shared" si="16"/>
        <v>45722</v>
      </c>
      <c r="E202" s="58">
        <f t="shared" si="20"/>
        <v>0</v>
      </c>
      <c r="F202" s="10">
        <f>IFERROR(VLOOKUP(B202,PVSKTC!$A$4:$D$1048576,2,0),0)</f>
        <v>0</v>
      </c>
      <c r="G202" s="10">
        <f>IFERROR(VLOOKUP(B202,PVSKTC!$A$4:$D$1048576,3,0),0)</f>
        <v>0</v>
      </c>
      <c r="H202" s="10">
        <f>IFERROR(VLOOKUP(B202,PVSKTC!$A$4:$D$1048576,4,0),0)</f>
        <v>0</v>
      </c>
      <c r="I202" s="17" t="str">
        <f>IFERROR(IF(E202&gt;0,THTT!E$2,""),"")</f>
        <v/>
      </c>
      <c r="J202" s="18" t="str">
        <f t="shared" si="17"/>
        <v/>
      </c>
      <c r="K202" s="10" t="str">
        <f t="shared" si="18"/>
        <v/>
      </c>
      <c r="L202" s="10" t="str">
        <f t="shared" si="19"/>
        <v/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</row>
    <row r="203" spans="1:63" s="4" customFormat="1" x14ac:dyDescent="0.3">
      <c r="A203" s="21" t="str">
        <f t="shared" si="14"/>
        <v/>
      </c>
      <c r="B203" s="22"/>
      <c r="C203" s="43">
        <f t="shared" si="15"/>
        <v>45721</v>
      </c>
      <c r="D203" s="21">
        <f t="shared" si="16"/>
        <v>45722</v>
      </c>
      <c r="E203" s="58">
        <f t="shared" si="20"/>
        <v>0</v>
      </c>
      <c r="F203" s="10">
        <f>IFERROR(VLOOKUP(B203,PVSKTC!$A$4:$D$1048576,2,0),0)</f>
        <v>0</v>
      </c>
      <c r="G203" s="10">
        <f>IFERROR(VLOOKUP(B203,PVSKTC!$A$4:$D$1048576,3,0),0)</f>
        <v>0</v>
      </c>
      <c r="H203" s="10">
        <f>IFERROR(VLOOKUP(B203,PVSKTC!$A$4:$D$1048576,4,0),0)</f>
        <v>0</v>
      </c>
      <c r="I203" s="17" t="str">
        <f>IFERROR(IF(E203&gt;0,THTT!E$2,""),"")</f>
        <v/>
      </c>
      <c r="J203" s="18" t="str">
        <f t="shared" si="17"/>
        <v/>
      </c>
      <c r="K203" s="10" t="str">
        <f t="shared" si="18"/>
        <v/>
      </c>
      <c r="L203" s="10" t="str">
        <f t="shared" si="19"/>
        <v/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</row>
    <row r="204" spans="1:63" s="4" customFormat="1" x14ac:dyDescent="0.3">
      <c r="A204" s="21" t="str">
        <f t="shared" si="14"/>
        <v/>
      </c>
      <c r="B204" s="22"/>
      <c r="C204" s="43">
        <f t="shared" si="15"/>
        <v>45721</v>
      </c>
      <c r="D204" s="21">
        <f t="shared" si="16"/>
        <v>45722</v>
      </c>
      <c r="E204" s="58">
        <f t="shared" si="20"/>
        <v>0</v>
      </c>
      <c r="F204" s="10">
        <f>IFERROR(VLOOKUP(B204,PVSKTC!$A$4:$D$1048576,2,0),0)</f>
        <v>0</v>
      </c>
      <c r="G204" s="10">
        <f>IFERROR(VLOOKUP(B204,PVSKTC!$A$4:$D$1048576,3,0),0)</f>
        <v>0</v>
      </c>
      <c r="H204" s="10">
        <f>IFERROR(VLOOKUP(B204,PVSKTC!$A$4:$D$1048576,4,0),0)</f>
        <v>0</v>
      </c>
      <c r="I204" s="17" t="str">
        <f>IFERROR(IF(E204&gt;0,THTT!E$2,""),"")</f>
        <v/>
      </c>
      <c r="J204" s="18" t="str">
        <f t="shared" si="17"/>
        <v/>
      </c>
      <c r="K204" s="10" t="str">
        <f t="shared" si="18"/>
        <v/>
      </c>
      <c r="L204" s="10" t="str">
        <f t="shared" si="19"/>
        <v/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</row>
    <row r="205" spans="1:63" s="4" customFormat="1" x14ac:dyDescent="0.3">
      <c r="A205" s="21" t="str">
        <f t="shared" si="14"/>
        <v/>
      </c>
      <c r="B205" s="22"/>
      <c r="C205" s="43">
        <f t="shared" si="15"/>
        <v>45721</v>
      </c>
      <c r="D205" s="21">
        <f t="shared" si="16"/>
        <v>45722</v>
      </c>
      <c r="E205" s="58">
        <f t="shared" si="20"/>
        <v>0</v>
      </c>
      <c r="F205" s="10">
        <f>IFERROR(VLOOKUP(B205,PVSKTC!$A$4:$D$1048576,2,0),0)</f>
        <v>0</v>
      </c>
      <c r="G205" s="10">
        <f>IFERROR(VLOOKUP(B205,PVSKTC!$A$4:$D$1048576,3,0),0)</f>
        <v>0</v>
      </c>
      <c r="H205" s="10">
        <f>IFERROR(VLOOKUP(B205,PVSKTC!$A$4:$D$1048576,4,0),0)</f>
        <v>0</v>
      </c>
      <c r="I205" s="17" t="str">
        <f>IFERROR(IF(E205&gt;0,THTT!E$2,""),"")</f>
        <v/>
      </c>
      <c r="J205" s="18" t="str">
        <f t="shared" si="17"/>
        <v/>
      </c>
      <c r="K205" s="10" t="str">
        <f t="shared" si="18"/>
        <v/>
      </c>
      <c r="L205" s="10" t="str">
        <f t="shared" si="19"/>
        <v/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</row>
    <row r="206" spans="1:63" s="4" customFormat="1" x14ac:dyDescent="0.3">
      <c r="A206" s="21" t="str">
        <f t="shared" ref="A206:A250" si="21">IF(E206&lt;=0,"",IF(B206&gt;=$B$9,"QUÁ HẠN","TRONG HẠN"))</f>
        <v/>
      </c>
      <c r="B206" s="22"/>
      <c r="C206" s="43">
        <f t="shared" ref="C206:C250" si="22">IFERROR(IF(B207="", $B$10, B207-1), $B$10)</f>
        <v>45721</v>
      </c>
      <c r="D206" s="21">
        <f t="shared" ref="D206:D250" si="23">C206-B206+1</f>
        <v>45722</v>
      </c>
      <c r="E206" s="58">
        <f t="shared" si="20"/>
        <v>0</v>
      </c>
      <c r="F206" s="10">
        <f>IFERROR(VLOOKUP(B206,PVSKTC!$A$4:$D$1048576,2,0),0)</f>
        <v>0</v>
      </c>
      <c r="G206" s="10">
        <f>IFERROR(VLOOKUP(B206,PVSKTC!$A$4:$D$1048576,3,0),0)</f>
        <v>0</v>
      </c>
      <c r="H206" s="10">
        <f>IFERROR(VLOOKUP(B206,PVSKTC!$A$4:$D$1048576,4,0),0)</f>
        <v>0</v>
      </c>
      <c r="I206" s="17" t="str">
        <f>IFERROR(IF(E206&gt;0,THTT!E$2,""),"")</f>
        <v/>
      </c>
      <c r="J206" s="18" t="str">
        <f t="shared" ref="J206:J250" si="24">IF(A206="QUÁ HẠN",I206*150%,"")</f>
        <v/>
      </c>
      <c r="K206" s="10" t="str">
        <f t="shared" ref="K206:K250" si="25">IF(E206&gt;0,E206*I206*D206/365,"")</f>
        <v/>
      </c>
      <c r="L206" s="10" t="str">
        <f t="shared" ref="L206:L250" si="26">IF(A206="QUÁ HẠN",E206*I206*D206/365,"")</f>
        <v/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</row>
    <row r="207" spans="1:63" s="4" customFormat="1" x14ac:dyDescent="0.3">
      <c r="A207" s="21" t="str">
        <f t="shared" si="21"/>
        <v/>
      </c>
      <c r="B207" s="22"/>
      <c r="C207" s="43">
        <f t="shared" si="22"/>
        <v>45721</v>
      </c>
      <c r="D207" s="21">
        <f t="shared" si="23"/>
        <v>45722</v>
      </c>
      <c r="E207" s="58">
        <f t="shared" ref="E207:E250" si="27">E206+F207-G207</f>
        <v>0</v>
      </c>
      <c r="F207" s="10">
        <f>IFERROR(VLOOKUP(B207,PVSKTC!$A$4:$D$1048576,2,0),0)</f>
        <v>0</v>
      </c>
      <c r="G207" s="10">
        <f>IFERROR(VLOOKUP(B207,PVSKTC!$A$4:$D$1048576,3,0),0)</f>
        <v>0</v>
      </c>
      <c r="H207" s="10">
        <f>IFERROR(VLOOKUP(B207,PVSKTC!$A$4:$D$1048576,4,0),0)</f>
        <v>0</v>
      </c>
      <c r="I207" s="17" t="str">
        <f>IFERROR(IF(E207&gt;0,THTT!E$2,""),"")</f>
        <v/>
      </c>
      <c r="J207" s="18" t="str">
        <f t="shared" si="24"/>
        <v/>
      </c>
      <c r="K207" s="10" t="str">
        <f t="shared" si="25"/>
        <v/>
      </c>
      <c r="L207" s="10" t="str">
        <f t="shared" si="26"/>
        <v/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</row>
    <row r="208" spans="1:63" s="4" customFormat="1" x14ac:dyDescent="0.3">
      <c r="A208" s="21" t="str">
        <f t="shared" si="21"/>
        <v/>
      </c>
      <c r="B208" s="22"/>
      <c r="C208" s="43">
        <f t="shared" si="22"/>
        <v>45721</v>
      </c>
      <c r="D208" s="21">
        <f t="shared" si="23"/>
        <v>45722</v>
      </c>
      <c r="E208" s="58">
        <f t="shared" si="27"/>
        <v>0</v>
      </c>
      <c r="F208" s="10">
        <f>IFERROR(VLOOKUP(B208,PVSKTC!$A$4:$D$1048576,2,0),0)</f>
        <v>0</v>
      </c>
      <c r="G208" s="10">
        <f>IFERROR(VLOOKUP(B208,PVSKTC!$A$4:$D$1048576,3,0),0)</f>
        <v>0</v>
      </c>
      <c r="H208" s="10">
        <f>IFERROR(VLOOKUP(B208,PVSKTC!$A$4:$D$1048576,4,0),0)</f>
        <v>0</v>
      </c>
      <c r="I208" s="17" t="str">
        <f>IFERROR(IF(E208&gt;0,THTT!E$2,""),"")</f>
        <v/>
      </c>
      <c r="J208" s="18" t="str">
        <f t="shared" si="24"/>
        <v/>
      </c>
      <c r="K208" s="10" t="str">
        <f t="shared" si="25"/>
        <v/>
      </c>
      <c r="L208" s="10" t="str">
        <f t="shared" si="26"/>
        <v/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</row>
    <row r="209" spans="1:63" s="4" customFormat="1" x14ac:dyDescent="0.3">
      <c r="A209" s="21" t="str">
        <f t="shared" si="21"/>
        <v/>
      </c>
      <c r="B209" s="22"/>
      <c r="C209" s="43">
        <f t="shared" si="22"/>
        <v>45721</v>
      </c>
      <c r="D209" s="21">
        <f t="shared" si="23"/>
        <v>45722</v>
      </c>
      <c r="E209" s="58">
        <f t="shared" si="27"/>
        <v>0</v>
      </c>
      <c r="F209" s="10">
        <f>IFERROR(VLOOKUP(B209,PVSKTC!$A$4:$D$1048576,2,0),0)</f>
        <v>0</v>
      </c>
      <c r="G209" s="10">
        <f>IFERROR(VLOOKUP(B209,PVSKTC!$A$4:$D$1048576,3,0),0)</f>
        <v>0</v>
      </c>
      <c r="H209" s="10">
        <f>IFERROR(VLOOKUP(B209,PVSKTC!$A$4:$D$1048576,4,0),0)</f>
        <v>0</v>
      </c>
      <c r="I209" s="17" t="str">
        <f>IFERROR(IF(E209&gt;0,THTT!E$2,""),"")</f>
        <v/>
      </c>
      <c r="J209" s="18" t="str">
        <f t="shared" si="24"/>
        <v/>
      </c>
      <c r="K209" s="10" t="str">
        <f t="shared" si="25"/>
        <v/>
      </c>
      <c r="L209" s="10" t="str">
        <f t="shared" si="26"/>
        <v/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</row>
    <row r="210" spans="1:63" s="4" customFormat="1" x14ac:dyDescent="0.3">
      <c r="A210" s="21" t="str">
        <f t="shared" si="21"/>
        <v/>
      </c>
      <c r="B210" s="22"/>
      <c r="C210" s="43">
        <f t="shared" si="22"/>
        <v>45721</v>
      </c>
      <c r="D210" s="21">
        <f t="shared" si="23"/>
        <v>45722</v>
      </c>
      <c r="E210" s="58">
        <f t="shared" si="27"/>
        <v>0</v>
      </c>
      <c r="F210" s="10">
        <f>IFERROR(VLOOKUP(B210,PVSKTC!$A$4:$D$1048576,2,0),0)</f>
        <v>0</v>
      </c>
      <c r="G210" s="10">
        <f>IFERROR(VLOOKUP(B210,PVSKTC!$A$4:$D$1048576,3,0),0)</f>
        <v>0</v>
      </c>
      <c r="H210" s="10">
        <f>IFERROR(VLOOKUP(B210,PVSKTC!$A$4:$D$1048576,4,0),0)</f>
        <v>0</v>
      </c>
      <c r="I210" s="17" t="str">
        <f>IFERROR(IF(E210&gt;0,THTT!E$2,""),"")</f>
        <v/>
      </c>
      <c r="J210" s="18" t="str">
        <f t="shared" si="24"/>
        <v/>
      </c>
      <c r="K210" s="10" t="str">
        <f t="shared" si="25"/>
        <v/>
      </c>
      <c r="L210" s="10" t="str">
        <f t="shared" si="26"/>
        <v/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</row>
    <row r="211" spans="1:63" s="4" customFormat="1" x14ac:dyDescent="0.3">
      <c r="A211" s="21" t="str">
        <f t="shared" si="21"/>
        <v/>
      </c>
      <c r="B211" s="22"/>
      <c r="C211" s="43">
        <f t="shared" si="22"/>
        <v>45721</v>
      </c>
      <c r="D211" s="21">
        <f t="shared" si="23"/>
        <v>45722</v>
      </c>
      <c r="E211" s="58">
        <f t="shared" si="27"/>
        <v>0</v>
      </c>
      <c r="F211" s="10">
        <f>IFERROR(VLOOKUP(B211,PVSKTC!$A$4:$D$1048576,2,0),0)</f>
        <v>0</v>
      </c>
      <c r="G211" s="10">
        <f>IFERROR(VLOOKUP(B211,PVSKTC!$A$4:$D$1048576,3,0),0)</f>
        <v>0</v>
      </c>
      <c r="H211" s="10">
        <f>IFERROR(VLOOKUP(B211,PVSKTC!$A$4:$D$1048576,4,0),0)</f>
        <v>0</v>
      </c>
      <c r="I211" s="17" t="str">
        <f>IFERROR(IF(E211&gt;0,THTT!E$2,""),"")</f>
        <v/>
      </c>
      <c r="J211" s="18" t="str">
        <f t="shared" si="24"/>
        <v/>
      </c>
      <c r="K211" s="10" t="str">
        <f t="shared" si="25"/>
        <v/>
      </c>
      <c r="L211" s="10" t="str">
        <f t="shared" si="26"/>
        <v/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</row>
    <row r="212" spans="1:63" s="4" customFormat="1" x14ac:dyDescent="0.3">
      <c r="A212" s="21" t="str">
        <f t="shared" si="21"/>
        <v/>
      </c>
      <c r="B212" s="22"/>
      <c r="C212" s="43">
        <f t="shared" si="22"/>
        <v>45721</v>
      </c>
      <c r="D212" s="21">
        <f t="shared" si="23"/>
        <v>45722</v>
      </c>
      <c r="E212" s="58">
        <f t="shared" si="27"/>
        <v>0</v>
      </c>
      <c r="F212" s="10">
        <f>IFERROR(VLOOKUP(B212,PVSKTC!$A$4:$D$1048576,2,0),0)</f>
        <v>0</v>
      </c>
      <c r="G212" s="10">
        <f>IFERROR(VLOOKUP(B212,PVSKTC!$A$4:$D$1048576,3,0),0)</f>
        <v>0</v>
      </c>
      <c r="H212" s="10">
        <f>IFERROR(VLOOKUP(B212,PVSKTC!$A$4:$D$1048576,4,0),0)</f>
        <v>0</v>
      </c>
      <c r="I212" s="17" t="str">
        <f>IFERROR(IF(E212&gt;0,THTT!E$2,""),"")</f>
        <v/>
      </c>
      <c r="J212" s="18" t="str">
        <f t="shared" si="24"/>
        <v/>
      </c>
      <c r="K212" s="10" t="str">
        <f t="shared" si="25"/>
        <v/>
      </c>
      <c r="L212" s="10" t="str">
        <f t="shared" si="26"/>
        <v/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</row>
    <row r="213" spans="1:63" s="4" customFormat="1" x14ac:dyDescent="0.3">
      <c r="A213" s="21" t="str">
        <f t="shared" si="21"/>
        <v/>
      </c>
      <c r="B213" s="22"/>
      <c r="C213" s="43">
        <f t="shared" si="22"/>
        <v>45721</v>
      </c>
      <c r="D213" s="21">
        <f t="shared" si="23"/>
        <v>45722</v>
      </c>
      <c r="E213" s="58">
        <f t="shared" si="27"/>
        <v>0</v>
      </c>
      <c r="F213" s="10">
        <f>IFERROR(VLOOKUP(B213,PVSKTC!$A$4:$D$1048576,2,0),0)</f>
        <v>0</v>
      </c>
      <c r="G213" s="10">
        <f>IFERROR(VLOOKUP(B213,PVSKTC!$A$4:$D$1048576,3,0),0)</f>
        <v>0</v>
      </c>
      <c r="H213" s="10">
        <f>IFERROR(VLOOKUP(B213,PVSKTC!$A$4:$D$1048576,4,0),0)</f>
        <v>0</v>
      </c>
      <c r="I213" s="17" t="str">
        <f>IFERROR(IF(E213&gt;0,THTT!E$2,""),"")</f>
        <v/>
      </c>
      <c r="J213" s="18" t="str">
        <f t="shared" si="24"/>
        <v/>
      </c>
      <c r="K213" s="10" t="str">
        <f t="shared" si="25"/>
        <v/>
      </c>
      <c r="L213" s="10" t="str">
        <f t="shared" si="26"/>
        <v/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</row>
    <row r="214" spans="1:63" s="4" customFormat="1" x14ac:dyDescent="0.3">
      <c r="A214" s="21" t="str">
        <f t="shared" si="21"/>
        <v/>
      </c>
      <c r="B214" s="22"/>
      <c r="C214" s="43">
        <f t="shared" si="22"/>
        <v>45721</v>
      </c>
      <c r="D214" s="21">
        <f t="shared" si="23"/>
        <v>45722</v>
      </c>
      <c r="E214" s="58">
        <f t="shared" si="27"/>
        <v>0</v>
      </c>
      <c r="F214" s="10">
        <f>IFERROR(VLOOKUP(B214,PVSKTC!$A$4:$D$1048576,2,0),0)</f>
        <v>0</v>
      </c>
      <c r="G214" s="10">
        <f>IFERROR(VLOOKUP(B214,PVSKTC!$A$4:$D$1048576,3,0),0)</f>
        <v>0</v>
      </c>
      <c r="H214" s="10">
        <f>IFERROR(VLOOKUP(B214,PVSKTC!$A$4:$D$1048576,4,0),0)</f>
        <v>0</v>
      </c>
      <c r="I214" s="17" t="str">
        <f>IFERROR(IF(E214&gt;0,THTT!E$2,""),"")</f>
        <v/>
      </c>
      <c r="J214" s="18" t="str">
        <f t="shared" si="24"/>
        <v/>
      </c>
      <c r="K214" s="10" t="str">
        <f t="shared" si="25"/>
        <v/>
      </c>
      <c r="L214" s="10" t="str">
        <f t="shared" si="26"/>
        <v/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</row>
    <row r="215" spans="1:63" s="4" customFormat="1" x14ac:dyDescent="0.3">
      <c r="A215" s="21" t="str">
        <f t="shared" si="21"/>
        <v/>
      </c>
      <c r="B215" s="22"/>
      <c r="C215" s="43">
        <f t="shared" si="22"/>
        <v>45721</v>
      </c>
      <c r="D215" s="21">
        <f t="shared" si="23"/>
        <v>45722</v>
      </c>
      <c r="E215" s="58">
        <f t="shared" si="27"/>
        <v>0</v>
      </c>
      <c r="F215" s="10">
        <f>IFERROR(VLOOKUP(B215,PVSKTC!$A$4:$D$1048576,2,0),0)</f>
        <v>0</v>
      </c>
      <c r="G215" s="10">
        <f>IFERROR(VLOOKUP(B215,PVSKTC!$A$4:$D$1048576,3,0),0)</f>
        <v>0</v>
      </c>
      <c r="H215" s="10">
        <f>IFERROR(VLOOKUP(B215,PVSKTC!$A$4:$D$1048576,4,0),0)</f>
        <v>0</v>
      </c>
      <c r="I215" s="17" t="str">
        <f>IFERROR(IF(E215&gt;0,THTT!E$2,""),"")</f>
        <v/>
      </c>
      <c r="J215" s="18" t="str">
        <f t="shared" si="24"/>
        <v/>
      </c>
      <c r="K215" s="10" t="str">
        <f t="shared" si="25"/>
        <v/>
      </c>
      <c r="L215" s="10" t="str">
        <f t="shared" si="26"/>
        <v/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</row>
    <row r="216" spans="1:63" s="4" customFormat="1" x14ac:dyDescent="0.3">
      <c r="A216" s="21" t="str">
        <f t="shared" si="21"/>
        <v/>
      </c>
      <c r="B216" s="22"/>
      <c r="C216" s="43">
        <f t="shared" si="22"/>
        <v>45721</v>
      </c>
      <c r="D216" s="21">
        <f t="shared" si="23"/>
        <v>45722</v>
      </c>
      <c r="E216" s="58">
        <f t="shared" si="27"/>
        <v>0</v>
      </c>
      <c r="F216" s="10">
        <f>IFERROR(VLOOKUP(B216,PVSKTC!$A$4:$D$1048576,2,0),0)</f>
        <v>0</v>
      </c>
      <c r="G216" s="10">
        <f>IFERROR(VLOOKUP(B216,PVSKTC!$A$4:$D$1048576,3,0),0)</f>
        <v>0</v>
      </c>
      <c r="H216" s="10">
        <f>IFERROR(VLOOKUP(B216,PVSKTC!$A$4:$D$1048576,4,0),0)</f>
        <v>0</v>
      </c>
      <c r="I216" s="17" t="str">
        <f>IFERROR(IF(E216&gt;0,THTT!E$2,""),"")</f>
        <v/>
      </c>
      <c r="J216" s="18" t="str">
        <f t="shared" si="24"/>
        <v/>
      </c>
      <c r="K216" s="10" t="str">
        <f t="shared" si="25"/>
        <v/>
      </c>
      <c r="L216" s="10" t="str">
        <f t="shared" si="26"/>
        <v/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</row>
    <row r="217" spans="1:63" s="4" customFormat="1" x14ac:dyDescent="0.3">
      <c r="A217" s="21" t="str">
        <f t="shared" si="21"/>
        <v/>
      </c>
      <c r="B217" s="22"/>
      <c r="C217" s="43">
        <f t="shared" si="22"/>
        <v>45721</v>
      </c>
      <c r="D217" s="21">
        <f t="shared" si="23"/>
        <v>45722</v>
      </c>
      <c r="E217" s="58">
        <f t="shared" si="27"/>
        <v>0</v>
      </c>
      <c r="F217" s="10">
        <f>IFERROR(VLOOKUP(B217,PVSKTC!$A$4:$D$1048576,2,0),0)</f>
        <v>0</v>
      </c>
      <c r="G217" s="10">
        <f>IFERROR(VLOOKUP(B217,PVSKTC!$A$4:$D$1048576,3,0),0)</f>
        <v>0</v>
      </c>
      <c r="H217" s="10">
        <f>IFERROR(VLOOKUP(B217,PVSKTC!$A$4:$D$1048576,4,0),0)</f>
        <v>0</v>
      </c>
      <c r="I217" s="17" t="str">
        <f>IFERROR(IF(E217&gt;0,THTT!E$2,""),"")</f>
        <v/>
      </c>
      <c r="J217" s="18" t="str">
        <f t="shared" si="24"/>
        <v/>
      </c>
      <c r="K217" s="10" t="str">
        <f t="shared" si="25"/>
        <v/>
      </c>
      <c r="L217" s="10" t="str">
        <f t="shared" si="26"/>
        <v/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</row>
    <row r="218" spans="1:63" s="4" customFormat="1" x14ac:dyDescent="0.3">
      <c r="A218" s="21" t="str">
        <f t="shared" si="21"/>
        <v/>
      </c>
      <c r="B218" s="22"/>
      <c r="C218" s="43">
        <f t="shared" si="22"/>
        <v>45721</v>
      </c>
      <c r="D218" s="21">
        <f t="shared" si="23"/>
        <v>45722</v>
      </c>
      <c r="E218" s="58">
        <f t="shared" si="27"/>
        <v>0</v>
      </c>
      <c r="F218" s="10">
        <f>IFERROR(VLOOKUP(B218,PVSKTC!$A$4:$D$1048576,2,0),0)</f>
        <v>0</v>
      </c>
      <c r="G218" s="10">
        <f>IFERROR(VLOOKUP(B218,PVSKTC!$A$4:$D$1048576,3,0),0)</f>
        <v>0</v>
      </c>
      <c r="H218" s="10">
        <f>IFERROR(VLOOKUP(B218,PVSKTC!$A$4:$D$1048576,4,0),0)</f>
        <v>0</v>
      </c>
      <c r="I218" s="17" t="str">
        <f>IFERROR(IF(E218&gt;0,THTT!E$2,""),"")</f>
        <v/>
      </c>
      <c r="J218" s="18" t="str">
        <f t="shared" si="24"/>
        <v/>
      </c>
      <c r="K218" s="10" t="str">
        <f t="shared" si="25"/>
        <v/>
      </c>
      <c r="L218" s="10" t="str">
        <f t="shared" si="26"/>
        <v/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</row>
    <row r="219" spans="1:63" s="4" customFormat="1" x14ac:dyDescent="0.3">
      <c r="A219" s="21" t="str">
        <f t="shared" si="21"/>
        <v/>
      </c>
      <c r="B219" s="22"/>
      <c r="C219" s="43">
        <f t="shared" si="22"/>
        <v>45721</v>
      </c>
      <c r="D219" s="21">
        <f t="shared" si="23"/>
        <v>45722</v>
      </c>
      <c r="E219" s="58">
        <f t="shared" si="27"/>
        <v>0</v>
      </c>
      <c r="F219" s="10">
        <f>IFERROR(VLOOKUP(B219,PVSKTC!$A$4:$D$1048576,2,0),0)</f>
        <v>0</v>
      </c>
      <c r="G219" s="10">
        <f>IFERROR(VLOOKUP(B219,PVSKTC!$A$4:$D$1048576,3,0),0)</f>
        <v>0</v>
      </c>
      <c r="H219" s="10">
        <f>IFERROR(VLOOKUP(B219,PVSKTC!$A$4:$D$1048576,4,0),0)</f>
        <v>0</v>
      </c>
      <c r="I219" s="17" t="str">
        <f>IFERROR(IF(E219&gt;0,THTT!E$2,""),"")</f>
        <v/>
      </c>
      <c r="J219" s="18" t="str">
        <f t="shared" si="24"/>
        <v/>
      </c>
      <c r="K219" s="10" t="str">
        <f t="shared" si="25"/>
        <v/>
      </c>
      <c r="L219" s="10" t="str">
        <f t="shared" si="26"/>
        <v/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</row>
    <row r="220" spans="1:63" s="4" customFormat="1" x14ac:dyDescent="0.3">
      <c r="A220" s="21" t="str">
        <f t="shared" si="21"/>
        <v/>
      </c>
      <c r="B220" s="22"/>
      <c r="C220" s="43">
        <f t="shared" si="22"/>
        <v>45721</v>
      </c>
      <c r="D220" s="21">
        <f t="shared" si="23"/>
        <v>45722</v>
      </c>
      <c r="E220" s="58">
        <f t="shared" si="27"/>
        <v>0</v>
      </c>
      <c r="F220" s="10">
        <f>IFERROR(VLOOKUP(B220,PVSKTC!$A$4:$D$1048576,2,0),0)</f>
        <v>0</v>
      </c>
      <c r="G220" s="10">
        <f>IFERROR(VLOOKUP(B220,PVSKTC!$A$4:$D$1048576,3,0),0)</f>
        <v>0</v>
      </c>
      <c r="H220" s="10">
        <f>IFERROR(VLOOKUP(B220,PVSKTC!$A$4:$D$1048576,4,0),0)</f>
        <v>0</v>
      </c>
      <c r="I220" s="17" t="str">
        <f>IFERROR(IF(E220&gt;0,THTT!E$2,""),"")</f>
        <v/>
      </c>
      <c r="J220" s="18" t="str">
        <f t="shared" si="24"/>
        <v/>
      </c>
      <c r="K220" s="10" t="str">
        <f t="shared" si="25"/>
        <v/>
      </c>
      <c r="L220" s="10" t="str">
        <f t="shared" si="26"/>
        <v/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</row>
    <row r="221" spans="1:63" s="4" customFormat="1" x14ac:dyDescent="0.3">
      <c r="A221" s="21" t="str">
        <f t="shared" si="21"/>
        <v/>
      </c>
      <c r="B221" s="22"/>
      <c r="C221" s="43">
        <f t="shared" si="22"/>
        <v>45721</v>
      </c>
      <c r="D221" s="21">
        <f t="shared" si="23"/>
        <v>45722</v>
      </c>
      <c r="E221" s="58">
        <f t="shared" si="27"/>
        <v>0</v>
      </c>
      <c r="F221" s="10">
        <f>IFERROR(VLOOKUP(B221,PVSKTC!$A$4:$D$1048576,2,0),0)</f>
        <v>0</v>
      </c>
      <c r="G221" s="10">
        <f>IFERROR(VLOOKUP(B221,PVSKTC!$A$4:$D$1048576,3,0),0)</f>
        <v>0</v>
      </c>
      <c r="H221" s="10">
        <f>IFERROR(VLOOKUP(B221,PVSKTC!$A$4:$D$1048576,4,0),0)</f>
        <v>0</v>
      </c>
      <c r="I221" s="17" t="str">
        <f>IFERROR(IF(E221&gt;0,THTT!E$2,""),"")</f>
        <v/>
      </c>
      <c r="J221" s="18" t="str">
        <f t="shared" si="24"/>
        <v/>
      </c>
      <c r="K221" s="10" t="str">
        <f t="shared" si="25"/>
        <v/>
      </c>
      <c r="L221" s="10" t="str">
        <f t="shared" si="26"/>
        <v/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</row>
    <row r="222" spans="1:63" s="4" customFormat="1" x14ac:dyDescent="0.3">
      <c r="A222" s="21" t="str">
        <f t="shared" si="21"/>
        <v/>
      </c>
      <c r="B222" s="22"/>
      <c r="C222" s="43">
        <f t="shared" si="22"/>
        <v>45721</v>
      </c>
      <c r="D222" s="21">
        <f t="shared" si="23"/>
        <v>45722</v>
      </c>
      <c r="E222" s="58">
        <f t="shared" si="27"/>
        <v>0</v>
      </c>
      <c r="F222" s="10">
        <f>IFERROR(VLOOKUP(B222,PVSKTC!$A$4:$D$1048576,2,0),0)</f>
        <v>0</v>
      </c>
      <c r="G222" s="10">
        <f>IFERROR(VLOOKUP(B222,PVSKTC!$A$4:$D$1048576,3,0),0)</f>
        <v>0</v>
      </c>
      <c r="H222" s="10">
        <f>IFERROR(VLOOKUP(B222,PVSKTC!$A$4:$D$1048576,4,0),0)</f>
        <v>0</v>
      </c>
      <c r="I222" s="17" t="str">
        <f>IFERROR(IF(E222&gt;0,THTT!E$2,""),"")</f>
        <v/>
      </c>
      <c r="J222" s="18" t="str">
        <f t="shared" si="24"/>
        <v/>
      </c>
      <c r="K222" s="10" t="str">
        <f t="shared" si="25"/>
        <v/>
      </c>
      <c r="L222" s="10" t="str">
        <f t="shared" si="26"/>
        <v/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</row>
    <row r="223" spans="1:63" s="4" customFormat="1" x14ac:dyDescent="0.3">
      <c r="A223" s="21" t="str">
        <f t="shared" si="21"/>
        <v/>
      </c>
      <c r="B223" s="22"/>
      <c r="C223" s="43">
        <f t="shared" si="22"/>
        <v>45721</v>
      </c>
      <c r="D223" s="21">
        <f t="shared" si="23"/>
        <v>45722</v>
      </c>
      <c r="E223" s="58">
        <f t="shared" si="27"/>
        <v>0</v>
      </c>
      <c r="F223" s="10">
        <f>IFERROR(VLOOKUP(B223,PVSKTC!$A$4:$D$1048576,2,0),0)</f>
        <v>0</v>
      </c>
      <c r="G223" s="10">
        <f>IFERROR(VLOOKUP(B223,PVSKTC!$A$4:$D$1048576,3,0),0)</f>
        <v>0</v>
      </c>
      <c r="H223" s="10">
        <f>IFERROR(VLOOKUP(B223,PVSKTC!$A$4:$D$1048576,4,0),0)</f>
        <v>0</v>
      </c>
      <c r="I223" s="17" t="str">
        <f>IFERROR(IF(E223&gt;0,THTT!E$2,""),"")</f>
        <v/>
      </c>
      <c r="J223" s="18" t="str">
        <f t="shared" si="24"/>
        <v/>
      </c>
      <c r="K223" s="10" t="str">
        <f t="shared" si="25"/>
        <v/>
      </c>
      <c r="L223" s="10" t="str">
        <f t="shared" si="26"/>
        <v/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</row>
    <row r="224" spans="1:63" s="4" customFormat="1" x14ac:dyDescent="0.3">
      <c r="A224" s="21" t="str">
        <f t="shared" si="21"/>
        <v/>
      </c>
      <c r="B224" s="22"/>
      <c r="C224" s="43">
        <f t="shared" si="22"/>
        <v>45721</v>
      </c>
      <c r="D224" s="21">
        <f t="shared" si="23"/>
        <v>45722</v>
      </c>
      <c r="E224" s="58">
        <f t="shared" si="27"/>
        <v>0</v>
      </c>
      <c r="F224" s="10">
        <f>IFERROR(VLOOKUP(B224,PVSKTC!$A$4:$D$1048576,2,0),0)</f>
        <v>0</v>
      </c>
      <c r="G224" s="10">
        <f>IFERROR(VLOOKUP(B224,PVSKTC!$A$4:$D$1048576,3,0),0)</f>
        <v>0</v>
      </c>
      <c r="H224" s="10">
        <f>IFERROR(VLOOKUP(B224,PVSKTC!$A$4:$D$1048576,4,0),0)</f>
        <v>0</v>
      </c>
      <c r="I224" s="17" t="str">
        <f>IFERROR(IF(E224&gt;0,THTT!E$2,""),"")</f>
        <v/>
      </c>
      <c r="J224" s="18" t="str">
        <f t="shared" si="24"/>
        <v/>
      </c>
      <c r="K224" s="10" t="str">
        <f t="shared" si="25"/>
        <v/>
      </c>
      <c r="L224" s="10" t="str">
        <f t="shared" si="26"/>
        <v/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</row>
    <row r="225" spans="1:63" s="4" customFormat="1" x14ac:dyDescent="0.3">
      <c r="A225" s="21" t="str">
        <f t="shared" si="21"/>
        <v/>
      </c>
      <c r="B225" s="22"/>
      <c r="C225" s="43">
        <f t="shared" si="22"/>
        <v>45721</v>
      </c>
      <c r="D225" s="21">
        <f t="shared" si="23"/>
        <v>45722</v>
      </c>
      <c r="E225" s="58">
        <f t="shared" si="27"/>
        <v>0</v>
      </c>
      <c r="F225" s="10">
        <f>IFERROR(VLOOKUP(B225,PVSKTC!$A$4:$D$1048576,2,0),0)</f>
        <v>0</v>
      </c>
      <c r="G225" s="10">
        <f>IFERROR(VLOOKUP(B225,PVSKTC!$A$4:$D$1048576,3,0),0)</f>
        <v>0</v>
      </c>
      <c r="H225" s="10">
        <f>IFERROR(VLOOKUP(B225,PVSKTC!$A$4:$D$1048576,4,0),0)</f>
        <v>0</v>
      </c>
      <c r="I225" s="17" t="str">
        <f>IFERROR(IF(E225&gt;0,THTT!E$2,""),"")</f>
        <v/>
      </c>
      <c r="J225" s="18" t="str">
        <f t="shared" si="24"/>
        <v/>
      </c>
      <c r="K225" s="10" t="str">
        <f t="shared" si="25"/>
        <v/>
      </c>
      <c r="L225" s="10" t="str">
        <f t="shared" si="26"/>
        <v/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</row>
    <row r="226" spans="1:63" s="4" customFormat="1" x14ac:dyDescent="0.3">
      <c r="A226" s="21" t="str">
        <f t="shared" si="21"/>
        <v/>
      </c>
      <c r="B226" s="22"/>
      <c r="C226" s="43">
        <f t="shared" si="22"/>
        <v>45721</v>
      </c>
      <c r="D226" s="21">
        <f t="shared" si="23"/>
        <v>45722</v>
      </c>
      <c r="E226" s="58">
        <f t="shared" si="27"/>
        <v>0</v>
      </c>
      <c r="F226" s="10">
        <f>IFERROR(VLOOKUP(B226,PVSKTC!$A$4:$D$1048576,2,0),0)</f>
        <v>0</v>
      </c>
      <c r="G226" s="10">
        <f>IFERROR(VLOOKUP(B226,PVSKTC!$A$4:$D$1048576,3,0),0)</f>
        <v>0</v>
      </c>
      <c r="H226" s="10">
        <f>IFERROR(VLOOKUP(B226,PVSKTC!$A$4:$D$1048576,4,0),0)</f>
        <v>0</v>
      </c>
      <c r="I226" s="17" t="str">
        <f>IFERROR(IF(E226&gt;0,THTT!E$2,""),"")</f>
        <v/>
      </c>
      <c r="J226" s="18" t="str">
        <f t="shared" si="24"/>
        <v/>
      </c>
      <c r="K226" s="10" t="str">
        <f t="shared" si="25"/>
        <v/>
      </c>
      <c r="L226" s="10" t="str">
        <f t="shared" si="26"/>
        <v/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</row>
    <row r="227" spans="1:63" s="4" customFormat="1" x14ac:dyDescent="0.3">
      <c r="A227" s="21" t="str">
        <f t="shared" si="21"/>
        <v/>
      </c>
      <c r="B227" s="22"/>
      <c r="C227" s="43">
        <f t="shared" si="22"/>
        <v>45721</v>
      </c>
      <c r="D227" s="21">
        <f t="shared" si="23"/>
        <v>45722</v>
      </c>
      <c r="E227" s="58">
        <f t="shared" si="27"/>
        <v>0</v>
      </c>
      <c r="F227" s="10">
        <f>IFERROR(VLOOKUP(B227,PVSKTC!$A$4:$D$1048576,2,0),0)</f>
        <v>0</v>
      </c>
      <c r="G227" s="10">
        <f>IFERROR(VLOOKUP(B227,PVSKTC!$A$4:$D$1048576,3,0),0)</f>
        <v>0</v>
      </c>
      <c r="H227" s="10">
        <f>IFERROR(VLOOKUP(B227,PVSKTC!$A$4:$D$1048576,4,0),0)</f>
        <v>0</v>
      </c>
      <c r="I227" s="17" t="str">
        <f>IFERROR(IF(E227&gt;0,THTT!E$2,""),"")</f>
        <v/>
      </c>
      <c r="J227" s="18" t="str">
        <f t="shared" si="24"/>
        <v/>
      </c>
      <c r="K227" s="10" t="str">
        <f t="shared" si="25"/>
        <v/>
      </c>
      <c r="L227" s="10" t="str">
        <f t="shared" si="26"/>
        <v/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</row>
    <row r="228" spans="1:63" s="4" customFormat="1" x14ac:dyDescent="0.3">
      <c r="A228" s="21" t="str">
        <f t="shared" si="21"/>
        <v/>
      </c>
      <c r="B228" s="22"/>
      <c r="C228" s="43">
        <f t="shared" si="22"/>
        <v>45721</v>
      </c>
      <c r="D228" s="21">
        <f t="shared" si="23"/>
        <v>45722</v>
      </c>
      <c r="E228" s="58">
        <f t="shared" si="27"/>
        <v>0</v>
      </c>
      <c r="F228" s="10">
        <f>IFERROR(VLOOKUP(B228,PVSKTC!$A$4:$D$1048576,2,0),0)</f>
        <v>0</v>
      </c>
      <c r="G228" s="10">
        <f>IFERROR(VLOOKUP(B228,PVSKTC!$A$4:$D$1048576,3,0),0)</f>
        <v>0</v>
      </c>
      <c r="H228" s="10">
        <f>IFERROR(VLOOKUP(B228,PVSKTC!$A$4:$D$1048576,4,0),0)</f>
        <v>0</v>
      </c>
      <c r="I228" s="17" t="str">
        <f>IFERROR(IF(E228&gt;0,THTT!E$2,""),"")</f>
        <v/>
      </c>
      <c r="J228" s="18" t="str">
        <f t="shared" si="24"/>
        <v/>
      </c>
      <c r="K228" s="10" t="str">
        <f t="shared" si="25"/>
        <v/>
      </c>
      <c r="L228" s="10" t="str">
        <f t="shared" si="26"/>
        <v/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</row>
    <row r="229" spans="1:63" s="4" customFormat="1" x14ac:dyDescent="0.3">
      <c r="A229" s="21" t="str">
        <f t="shared" si="21"/>
        <v/>
      </c>
      <c r="B229" s="22"/>
      <c r="C229" s="43">
        <f t="shared" si="22"/>
        <v>45721</v>
      </c>
      <c r="D229" s="21">
        <f t="shared" si="23"/>
        <v>45722</v>
      </c>
      <c r="E229" s="58">
        <f t="shared" si="27"/>
        <v>0</v>
      </c>
      <c r="F229" s="10">
        <f>IFERROR(VLOOKUP(B229,PVSKTC!$A$4:$D$1048576,2,0),0)</f>
        <v>0</v>
      </c>
      <c r="G229" s="10">
        <f>IFERROR(VLOOKUP(B229,PVSKTC!$A$4:$D$1048576,3,0),0)</f>
        <v>0</v>
      </c>
      <c r="H229" s="10">
        <f>IFERROR(VLOOKUP(B229,PVSKTC!$A$4:$D$1048576,4,0),0)</f>
        <v>0</v>
      </c>
      <c r="I229" s="17" t="str">
        <f>IFERROR(IF(E229&gt;0,THTT!E$2,""),"")</f>
        <v/>
      </c>
      <c r="J229" s="18" t="str">
        <f t="shared" si="24"/>
        <v/>
      </c>
      <c r="K229" s="10" t="str">
        <f t="shared" si="25"/>
        <v/>
      </c>
      <c r="L229" s="10" t="str">
        <f t="shared" si="26"/>
        <v/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</row>
    <row r="230" spans="1:63" s="4" customFormat="1" x14ac:dyDescent="0.3">
      <c r="A230" s="21" t="str">
        <f t="shared" si="21"/>
        <v/>
      </c>
      <c r="B230" s="22"/>
      <c r="C230" s="43">
        <f t="shared" si="22"/>
        <v>45721</v>
      </c>
      <c r="D230" s="21">
        <f t="shared" si="23"/>
        <v>45722</v>
      </c>
      <c r="E230" s="58">
        <f t="shared" si="27"/>
        <v>0</v>
      </c>
      <c r="F230" s="10">
        <f>IFERROR(VLOOKUP(B230,PVSKTC!$A$4:$D$1048576,2,0),0)</f>
        <v>0</v>
      </c>
      <c r="G230" s="10">
        <f>IFERROR(VLOOKUP(B230,PVSKTC!$A$4:$D$1048576,3,0),0)</f>
        <v>0</v>
      </c>
      <c r="H230" s="10">
        <f>IFERROR(VLOOKUP(B230,PVSKTC!$A$4:$D$1048576,4,0),0)</f>
        <v>0</v>
      </c>
      <c r="I230" s="17" t="str">
        <f>IFERROR(IF(E230&gt;0,THTT!E$2,""),"")</f>
        <v/>
      </c>
      <c r="J230" s="18" t="str">
        <f t="shared" si="24"/>
        <v/>
      </c>
      <c r="K230" s="10" t="str">
        <f t="shared" si="25"/>
        <v/>
      </c>
      <c r="L230" s="10" t="str">
        <f t="shared" si="26"/>
        <v/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</row>
    <row r="231" spans="1:63" s="4" customFormat="1" x14ac:dyDescent="0.3">
      <c r="A231" s="21" t="str">
        <f t="shared" si="21"/>
        <v/>
      </c>
      <c r="B231" s="22"/>
      <c r="C231" s="43">
        <f t="shared" si="22"/>
        <v>45721</v>
      </c>
      <c r="D231" s="21">
        <f t="shared" si="23"/>
        <v>45722</v>
      </c>
      <c r="E231" s="58">
        <f t="shared" si="27"/>
        <v>0</v>
      </c>
      <c r="F231" s="10">
        <f>IFERROR(VLOOKUP(B231,PVSKTC!$A$4:$D$1048576,2,0),0)</f>
        <v>0</v>
      </c>
      <c r="G231" s="10">
        <f>IFERROR(VLOOKUP(B231,PVSKTC!$A$4:$D$1048576,3,0),0)</f>
        <v>0</v>
      </c>
      <c r="H231" s="10">
        <f>IFERROR(VLOOKUP(B231,PVSKTC!$A$4:$D$1048576,4,0),0)</f>
        <v>0</v>
      </c>
      <c r="I231" s="17" t="str">
        <f>IFERROR(IF(E231&gt;0,THTT!E$2,""),"")</f>
        <v/>
      </c>
      <c r="J231" s="18" t="str">
        <f t="shared" si="24"/>
        <v/>
      </c>
      <c r="K231" s="10" t="str">
        <f t="shared" si="25"/>
        <v/>
      </c>
      <c r="L231" s="10" t="str">
        <f t="shared" si="26"/>
        <v/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</row>
    <row r="232" spans="1:63" s="4" customFormat="1" x14ac:dyDescent="0.3">
      <c r="A232" s="21" t="str">
        <f t="shared" si="21"/>
        <v/>
      </c>
      <c r="B232" s="22"/>
      <c r="C232" s="43">
        <f t="shared" si="22"/>
        <v>45721</v>
      </c>
      <c r="D232" s="21">
        <f t="shared" si="23"/>
        <v>45722</v>
      </c>
      <c r="E232" s="58">
        <f t="shared" si="27"/>
        <v>0</v>
      </c>
      <c r="F232" s="10">
        <f>IFERROR(VLOOKUP(B232,PVSKTC!$A$4:$D$1048576,2,0),0)</f>
        <v>0</v>
      </c>
      <c r="G232" s="10">
        <f>IFERROR(VLOOKUP(B232,PVSKTC!$A$4:$D$1048576,3,0),0)</f>
        <v>0</v>
      </c>
      <c r="H232" s="10">
        <f>IFERROR(VLOOKUP(B232,PVSKTC!$A$4:$D$1048576,4,0),0)</f>
        <v>0</v>
      </c>
      <c r="I232" s="17" t="str">
        <f>IFERROR(IF(E232&gt;0,THTT!E$2,""),"")</f>
        <v/>
      </c>
      <c r="J232" s="18" t="str">
        <f t="shared" si="24"/>
        <v/>
      </c>
      <c r="K232" s="10" t="str">
        <f t="shared" si="25"/>
        <v/>
      </c>
      <c r="L232" s="10" t="str">
        <f t="shared" si="26"/>
        <v/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</row>
    <row r="233" spans="1:63" s="4" customFormat="1" x14ac:dyDescent="0.3">
      <c r="A233" s="21" t="str">
        <f t="shared" si="21"/>
        <v/>
      </c>
      <c r="B233" s="22"/>
      <c r="C233" s="43">
        <f t="shared" si="22"/>
        <v>45721</v>
      </c>
      <c r="D233" s="21">
        <f t="shared" si="23"/>
        <v>45722</v>
      </c>
      <c r="E233" s="58">
        <f t="shared" si="27"/>
        <v>0</v>
      </c>
      <c r="F233" s="10">
        <f>IFERROR(VLOOKUP(B233,PVSKTC!$A$4:$D$1048576,2,0),0)</f>
        <v>0</v>
      </c>
      <c r="G233" s="10">
        <f>IFERROR(VLOOKUP(B233,PVSKTC!$A$4:$D$1048576,3,0),0)</f>
        <v>0</v>
      </c>
      <c r="H233" s="10">
        <f>IFERROR(VLOOKUP(B233,PVSKTC!$A$4:$D$1048576,4,0),0)</f>
        <v>0</v>
      </c>
      <c r="I233" s="17" t="str">
        <f>IFERROR(IF(E233&gt;0,THTT!E$2,""),"")</f>
        <v/>
      </c>
      <c r="J233" s="18" t="str">
        <f t="shared" si="24"/>
        <v/>
      </c>
      <c r="K233" s="10" t="str">
        <f t="shared" si="25"/>
        <v/>
      </c>
      <c r="L233" s="10" t="str">
        <f t="shared" si="26"/>
        <v/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</row>
    <row r="234" spans="1:63" s="4" customFormat="1" x14ac:dyDescent="0.3">
      <c r="A234" s="21" t="str">
        <f t="shared" si="21"/>
        <v/>
      </c>
      <c r="B234" s="22"/>
      <c r="C234" s="43">
        <f t="shared" si="22"/>
        <v>45721</v>
      </c>
      <c r="D234" s="21">
        <f t="shared" si="23"/>
        <v>45722</v>
      </c>
      <c r="E234" s="58">
        <f t="shared" si="27"/>
        <v>0</v>
      </c>
      <c r="F234" s="10">
        <f>IFERROR(VLOOKUP(B234,PVSKTC!$A$4:$D$1048576,2,0),0)</f>
        <v>0</v>
      </c>
      <c r="G234" s="10">
        <f>IFERROR(VLOOKUP(B234,PVSKTC!$A$4:$D$1048576,3,0),0)</f>
        <v>0</v>
      </c>
      <c r="H234" s="10">
        <f>IFERROR(VLOOKUP(B234,PVSKTC!$A$4:$D$1048576,4,0),0)</f>
        <v>0</v>
      </c>
      <c r="I234" s="17" t="str">
        <f>IFERROR(IF(E234&gt;0,THTT!E$2,""),"")</f>
        <v/>
      </c>
      <c r="J234" s="18" t="str">
        <f t="shared" si="24"/>
        <v/>
      </c>
      <c r="K234" s="10" t="str">
        <f t="shared" si="25"/>
        <v/>
      </c>
      <c r="L234" s="10" t="str">
        <f t="shared" si="26"/>
        <v/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</row>
    <row r="235" spans="1:63" s="4" customFormat="1" x14ac:dyDescent="0.3">
      <c r="A235" s="21" t="str">
        <f t="shared" si="21"/>
        <v/>
      </c>
      <c r="B235" s="22"/>
      <c r="C235" s="43">
        <f t="shared" si="22"/>
        <v>45721</v>
      </c>
      <c r="D235" s="21">
        <f t="shared" si="23"/>
        <v>45722</v>
      </c>
      <c r="E235" s="58">
        <f t="shared" si="27"/>
        <v>0</v>
      </c>
      <c r="F235" s="10">
        <f>IFERROR(VLOOKUP(B235,PVSKTC!$A$4:$D$1048576,2,0),0)</f>
        <v>0</v>
      </c>
      <c r="G235" s="10">
        <f>IFERROR(VLOOKUP(B235,PVSKTC!$A$4:$D$1048576,3,0),0)</f>
        <v>0</v>
      </c>
      <c r="H235" s="10">
        <f>IFERROR(VLOOKUP(B235,PVSKTC!$A$4:$D$1048576,4,0),0)</f>
        <v>0</v>
      </c>
      <c r="I235" s="17" t="str">
        <f>IFERROR(IF(E235&gt;0,THTT!E$2,""),"")</f>
        <v/>
      </c>
      <c r="J235" s="18" t="str">
        <f t="shared" si="24"/>
        <v/>
      </c>
      <c r="K235" s="10" t="str">
        <f t="shared" si="25"/>
        <v/>
      </c>
      <c r="L235" s="10" t="str">
        <f t="shared" si="26"/>
        <v/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</row>
    <row r="236" spans="1:63" s="4" customFormat="1" x14ac:dyDescent="0.3">
      <c r="A236" s="21" t="str">
        <f t="shared" si="21"/>
        <v/>
      </c>
      <c r="B236" s="22"/>
      <c r="C236" s="43">
        <f t="shared" si="22"/>
        <v>45721</v>
      </c>
      <c r="D236" s="21">
        <f t="shared" si="23"/>
        <v>45722</v>
      </c>
      <c r="E236" s="58">
        <f t="shared" si="27"/>
        <v>0</v>
      </c>
      <c r="F236" s="10">
        <f>IFERROR(VLOOKUP(B236,PVSKTC!$A$4:$D$1048576,2,0),0)</f>
        <v>0</v>
      </c>
      <c r="G236" s="10">
        <f>IFERROR(VLOOKUP(B236,PVSKTC!$A$4:$D$1048576,3,0),0)</f>
        <v>0</v>
      </c>
      <c r="H236" s="10">
        <f>IFERROR(VLOOKUP(B236,PVSKTC!$A$4:$D$1048576,4,0),0)</f>
        <v>0</v>
      </c>
      <c r="I236" s="17" t="str">
        <f>IFERROR(IF(E236&gt;0,THTT!E$2,""),"")</f>
        <v/>
      </c>
      <c r="J236" s="18" t="str">
        <f t="shared" si="24"/>
        <v/>
      </c>
      <c r="K236" s="10" t="str">
        <f t="shared" si="25"/>
        <v/>
      </c>
      <c r="L236" s="10" t="str">
        <f t="shared" si="26"/>
        <v/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</row>
    <row r="237" spans="1:63" s="4" customFormat="1" x14ac:dyDescent="0.3">
      <c r="A237" s="21" t="str">
        <f t="shared" si="21"/>
        <v/>
      </c>
      <c r="B237" s="22"/>
      <c r="C237" s="43">
        <f t="shared" si="22"/>
        <v>45721</v>
      </c>
      <c r="D237" s="21">
        <f t="shared" si="23"/>
        <v>45722</v>
      </c>
      <c r="E237" s="58">
        <f t="shared" si="27"/>
        <v>0</v>
      </c>
      <c r="F237" s="10">
        <f>IFERROR(VLOOKUP(B237,PVSKTC!$A$4:$D$1048576,2,0),0)</f>
        <v>0</v>
      </c>
      <c r="G237" s="10">
        <f>IFERROR(VLOOKUP(B237,PVSKTC!$A$4:$D$1048576,3,0),0)</f>
        <v>0</v>
      </c>
      <c r="H237" s="10">
        <f>IFERROR(VLOOKUP(B237,PVSKTC!$A$4:$D$1048576,4,0),0)</f>
        <v>0</v>
      </c>
      <c r="I237" s="17" t="str">
        <f>IFERROR(IF(E237&gt;0,THTT!E$2,""),"")</f>
        <v/>
      </c>
      <c r="J237" s="18" t="str">
        <f t="shared" si="24"/>
        <v/>
      </c>
      <c r="K237" s="10" t="str">
        <f t="shared" si="25"/>
        <v/>
      </c>
      <c r="L237" s="10" t="str">
        <f t="shared" si="26"/>
        <v/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</row>
    <row r="238" spans="1:63" s="4" customFormat="1" x14ac:dyDescent="0.3">
      <c r="A238" s="21" t="str">
        <f t="shared" si="21"/>
        <v/>
      </c>
      <c r="B238" s="22"/>
      <c r="C238" s="43">
        <f t="shared" si="22"/>
        <v>45721</v>
      </c>
      <c r="D238" s="21">
        <f t="shared" si="23"/>
        <v>45722</v>
      </c>
      <c r="E238" s="58">
        <f t="shared" si="27"/>
        <v>0</v>
      </c>
      <c r="F238" s="10">
        <f>IFERROR(VLOOKUP(B238,PVSKTC!$A$4:$D$1048576,2,0),0)</f>
        <v>0</v>
      </c>
      <c r="G238" s="10">
        <f>IFERROR(VLOOKUP(B238,PVSKTC!$A$4:$D$1048576,3,0),0)</f>
        <v>0</v>
      </c>
      <c r="H238" s="10">
        <f>IFERROR(VLOOKUP(B238,PVSKTC!$A$4:$D$1048576,4,0),0)</f>
        <v>0</v>
      </c>
      <c r="I238" s="17" t="str">
        <f>IFERROR(IF(E238&gt;0,THTT!E$2,""),"")</f>
        <v/>
      </c>
      <c r="J238" s="18" t="str">
        <f t="shared" si="24"/>
        <v/>
      </c>
      <c r="K238" s="10" t="str">
        <f t="shared" si="25"/>
        <v/>
      </c>
      <c r="L238" s="10" t="str">
        <f t="shared" si="26"/>
        <v/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</row>
    <row r="239" spans="1:63" s="4" customFormat="1" x14ac:dyDescent="0.3">
      <c r="A239" s="21" t="str">
        <f t="shared" si="21"/>
        <v/>
      </c>
      <c r="B239" s="22"/>
      <c r="C239" s="43">
        <f t="shared" si="22"/>
        <v>45721</v>
      </c>
      <c r="D239" s="21">
        <f t="shared" si="23"/>
        <v>45722</v>
      </c>
      <c r="E239" s="58">
        <f t="shared" si="27"/>
        <v>0</v>
      </c>
      <c r="F239" s="10">
        <f>IFERROR(VLOOKUP(B239,PVSKTC!$A$4:$D$1048576,2,0),0)</f>
        <v>0</v>
      </c>
      <c r="G239" s="10">
        <f>IFERROR(VLOOKUP(B239,PVSKTC!$A$4:$D$1048576,3,0),0)</f>
        <v>0</v>
      </c>
      <c r="H239" s="10">
        <f>IFERROR(VLOOKUP(B239,PVSKTC!$A$4:$D$1048576,4,0),0)</f>
        <v>0</v>
      </c>
      <c r="I239" s="17" t="str">
        <f>IFERROR(IF(E239&gt;0,THTT!E$2,""),"")</f>
        <v/>
      </c>
      <c r="J239" s="18" t="str">
        <f t="shared" si="24"/>
        <v/>
      </c>
      <c r="K239" s="10" t="str">
        <f t="shared" si="25"/>
        <v/>
      </c>
      <c r="L239" s="10" t="str">
        <f t="shared" si="26"/>
        <v/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</row>
    <row r="240" spans="1:63" s="4" customFormat="1" x14ac:dyDescent="0.3">
      <c r="A240" s="21" t="str">
        <f t="shared" si="21"/>
        <v/>
      </c>
      <c r="B240" s="22"/>
      <c r="C240" s="43">
        <f t="shared" si="22"/>
        <v>45721</v>
      </c>
      <c r="D240" s="21">
        <f t="shared" si="23"/>
        <v>45722</v>
      </c>
      <c r="E240" s="58">
        <f t="shared" si="27"/>
        <v>0</v>
      </c>
      <c r="F240" s="10">
        <f>IFERROR(VLOOKUP(B240,PVSKTC!$A$4:$D$1048576,2,0),0)</f>
        <v>0</v>
      </c>
      <c r="G240" s="10">
        <f>IFERROR(VLOOKUP(B240,PVSKTC!$A$4:$D$1048576,3,0),0)</f>
        <v>0</v>
      </c>
      <c r="H240" s="10">
        <f>IFERROR(VLOOKUP(B240,PVSKTC!$A$4:$D$1048576,4,0),0)</f>
        <v>0</v>
      </c>
      <c r="I240" s="17" t="str">
        <f>IFERROR(IF(E240&gt;0,THTT!E$2,""),"")</f>
        <v/>
      </c>
      <c r="J240" s="18" t="str">
        <f t="shared" si="24"/>
        <v/>
      </c>
      <c r="K240" s="10" t="str">
        <f t="shared" si="25"/>
        <v/>
      </c>
      <c r="L240" s="10" t="str">
        <f t="shared" si="26"/>
        <v/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</row>
    <row r="241" spans="1:63" s="4" customFormat="1" x14ac:dyDescent="0.3">
      <c r="A241" s="21" t="str">
        <f t="shared" si="21"/>
        <v/>
      </c>
      <c r="B241" s="22"/>
      <c r="C241" s="43">
        <f t="shared" si="22"/>
        <v>45721</v>
      </c>
      <c r="D241" s="21">
        <f t="shared" si="23"/>
        <v>45722</v>
      </c>
      <c r="E241" s="58">
        <f t="shared" si="27"/>
        <v>0</v>
      </c>
      <c r="F241" s="10">
        <f>IFERROR(VLOOKUP(B241,PVSKTC!$A$4:$D$1048576,2,0),0)</f>
        <v>0</v>
      </c>
      <c r="G241" s="10">
        <f>IFERROR(VLOOKUP(B241,PVSKTC!$A$4:$D$1048576,3,0),0)</f>
        <v>0</v>
      </c>
      <c r="H241" s="10">
        <f>IFERROR(VLOOKUP(B241,PVSKTC!$A$4:$D$1048576,4,0),0)</f>
        <v>0</v>
      </c>
      <c r="I241" s="17" t="str">
        <f>IFERROR(IF(E241&gt;0,THTT!E$2,""),"")</f>
        <v/>
      </c>
      <c r="J241" s="18" t="str">
        <f t="shared" si="24"/>
        <v/>
      </c>
      <c r="K241" s="10" t="str">
        <f t="shared" si="25"/>
        <v/>
      </c>
      <c r="L241" s="10" t="str">
        <f t="shared" si="26"/>
        <v/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</row>
    <row r="242" spans="1:63" s="4" customFormat="1" x14ac:dyDescent="0.3">
      <c r="A242" s="21" t="str">
        <f t="shared" si="21"/>
        <v/>
      </c>
      <c r="B242" s="22"/>
      <c r="C242" s="43">
        <f t="shared" si="22"/>
        <v>45721</v>
      </c>
      <c r="D242" s="21">
        <f t="shared" si="23"/>
        <v>45722</v>
      </c>
      <c r="E242" s="58">
        <f t="shared" si="27"/>
        <v>0</v>
      </c>
      <c r="F242" s="10">
        <f>IFERROR(VLOOKUP(B242,PVSKTC!$A$4:$D$1048576,2,0),0)</f>
        <v>0</v>
      </c>
      <c r="G242" s="10">
        <f>IFERROR(VLOOKUP(B242,PVSKTC!$A$4:$D$1048576,3,0),0)</f>
        <v>0</v>
      </c>
      <c r="H242" s="10">
        <f>IFERROR(VLOOKUP(B242,PVSKTC!$A$4:$D$1048576,4,0),0)</f>
        <v>0</v>
      </c>
      <c r="I242" s="17" t="str">
        <f>IFERROR(IF(E242&gt;0,THTT!E$2,""),"")</f>
        <v/>
      </c>
      <c r="J242" s="18" t="str">
        <f t="shared" si="24"/>
        <v/>
      </c>
      <c r="K242" s="10" t="str">
        <f t="shared" si="25"/>
        <v/>
      </c>
      <c r="L242" s="10" t="str">
        <f t="shared" si="26"/>
        <v/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</row>
    <row r="243" spans="1:63" s="4" customFormat="1" x14ac:dyDescent="0.3">
      <c r="A243" s="21" t="str">
        <f t="shared" si="21"/>
        <v/>
      </c>
      <c r="B243" s="22"/>
      <c r="C243" s="43">
        <f t="shared" si="22"/>
        <v>45721</v>
      </c>
      <c r="D243" s="21">
        <f t="shared" si="23"/>
        <v>45722</v>
      </c>
      <c r="E243" s="58">
        <f t="shared" si="27"/>
        <v>0</v>
      </c>
      <c r="F243" s="10">
        <f>IFERROR(VLOOKUP(B243,PVSKTC!$A$4:$D$1048576,2,0),0)</f>
        <v>0</v>
      </c>
      <c r="G243" s="10">
        <f>IFERROR(VLOOKUP(B243,PVSKTC!$A$4:$D$1048576,3,0),0)</f>
        <v>0</v>
      </c>
      <c r="H243" s="10">
        <f>IFERROR(VLOOKUP(B243,PVSKTC!$A$4:$D$1048576,4,0),0)</f>
        <v>0</v>
      </c>
      <c r="I243" s="17" t="str">
        <f>IFERROR(IF(E243&gt;0,THTT!E$2,""),"")</f>
        <v/>
      </c>
      <c r="J243" s="18" t="str">
        <f t="shared" si="24"/>
        <v/>
      </c>
      <c r="K243" s="10" t="str">
        <f t="shared" si="25"/>
        <v/>
      </c>
      <c r="L243" s="10" t="str">
        <f t="shared" si="26"/>
        <v/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</row>
    <row r="244" spans="1:63" s="4" customFormat="1" x14ac:dyDescent="0.3">
      <c r="A244" s="21" t="str">
        <f t="shared" si="21"/>
        <v/>
      </c>
      <c r="B244" s="22"/>
      <c r="C244" s="43">
        <f t="shared" si="22"/>
        <v>45721</v>
      </c>
      <c r="D244" s="21">
        <f t="shared" si="23"/>
        <v>45722</v>
      </c>
      <c r="E244" s="58">
        <f t="shared" si="27"/>
        <v>0</v>
      </c>
      <c r="F244" s="10">
        <f>IFERROR(VLOOKUP(B244,PVSKTC!$A$4:$D$1048576,2,0),0)</f>
        <v>0</v>
      </c>
      <c r="G244" s="10">
        <f>IFERROR(VLOOKUP(B244,PVSKTC!$A$4:$D$1048576,3,0),0)</f>
        <v>0</v>
      </c>
      <c r="H244" s="10">
        <f>IFERROR(VLOOKUP(B244,PVSKTC!$A$4:$D$1048576,4,0),0)</f>
        <v>0</v>
      </c>
      <c r="I244" s="17" t="str">
        <f>IFERROR(IF(E244&gt;0,THTT!E$2,""),"")</f>
        <v/>
      </c>
      <c r="J244" s="18" t="str">
        <f t="shared" si="24"/>
        <v/>
      </c>
      <c r="K244" s="10" t="str">
        <f t="shared" si="25"/>
        <v/>
      </c>
      <c r="L244" s="10" t="str">
        <f t="shared" si="26"/>
        <v/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</row>
    <row r="245" spans="1:63" s="4" customFormat="1" x14ac:dyDescent="0.3">
      <c r="A245" s="21" t="str">
        <f t="shared" si="21"/>
        <v/>
      </c>
      <c r="B245" s="22"/>
      <c r="C245" s="43">
        <f t="shared" si="22"/>
        <v>45721</v>
      </c>
      <c r="D245" s="21">
        <f t="shared" si="23"/>
        <v>45722</v>
      </c>
      <c r="E245" s="58">
        <f t="shared" si="27"/>
        <v>0</v>
      </c>
      <c r="F245" s="10">
        <f>IFERROR(VLOOKUP(B245,PVSKTC!$A$4:$D$1048576,2,0),0)</f>
        <v>0</v>
      </c>
      <c r="G245" s="10">
        <f>IFERROR(VLOOKUP(B245,PVSKTC!$A$4:$D$1048576,3,0),0)</f>
        <v>0</v>
      </c>
      <c r="H245" s="10">
        <f>IFERROR(VLOOKUP(B245,PVSKTC!$A$4:$D$1048576,4,0),0)</f>
        <v>0</v>
      </c>
      <c r="I245" s="17" t="str">
        <f>IFERROR(IF(E245&gt;0,THTT!E$2,""),"")</f>
        <v/>
      </c>
      <c r="J245" s="18" t="str">
        <f t="shared" si="24"/>
        <v/>
      </c>
      <c r="K245" s="10" t="str">
        <f t="shared" si="25"/>
        <v/>
      </c>
      <c r="L245" s="10" t="str">
        <f t="shared" si="26"/>
        <v/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</row>
    <row r="246" spans="1:63" s="4" customFormat="1" x14ac:dyDescent="0.3">
      <c r="A246" s="21" t="str">
        <f t="shared" si="21"/>
        <v/>
      </c>
      <c r="B246" s="22"/>
      <c r="C246" s="43">
        <f t="shared" si="22"/>
        <v>45721</v>
      </c>
      <c r="D246" s="21">
        <f t="shared" si="23"/>
        <v>45722</v>
      </c>
      <c r="E246" s="58">
        <f t="shared" si="27"/>
        <v>0</v>
      </c>
      <c r="F246" s="10">
        <f>IFERROR(VLOOKUP(B246,PVSKTC!$A$4:$D$1048576,2,0),0)</f>
        <v>0</v>
      </c>
      <c r="G246" s="10">
        <f>IFERROR(VLOOKUP(B246,PVSKTC!$A$4:$D$1048576,3,0),0)</f>
        <v>0</v>
      </c>
      <c r="H246" s="10">
        <f>IFERROR(VLOOKUP(B246,PVSKTC!$A$4:$D$1048576,4,0),0)</f>
        <v>0</v>
      </c>
      <c r="I246" s="17" t="str">
        <f>IFERROR(IF(E246&gt;0,THTT!E$2,""),"")</f>
        <v/>
      </c>
      <c r="J246" s="18" t="str">
        <f t="shared" si="24"/>
        <v/>
      </c>
      <c r="K246" s="10" t="str">
        <f t="shared" si="25"/>
        <v/>
      </c>
      <c r="L246" s="10" t="str">
        <f t="shared" si="26"/>
        <v/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</row>
    <row r="247" spans="1:63" s="4" customFormat="1" x14ac:dyDescent="0.3">
      <c r="A247" s="21" t="str">
        <f t="shared" si="21"/>
        <v/>
      </c>
      <c r="B247" s="22"/>
      <c r="C247" s="43">
        <f t="shared" si="22"/>
        <v>45721</v>
      </c>
      <c r="D247" s="21">
        <f t="shared" si="23"/>
        <v>45722</v>
      </c>
      <c r="E247" s="58">
        <f t="shared" si="27"/>
        <v>0</v>
      </c>
      <c r="F247" s="10">
        <f>IFERROR(VLOOKUP(B247,PVSKTC!$A$4:$D$1048576,2,0),0)</f>
        <v>0</v>
      </c>
      <c r="G247" s="10">
        <f>IFERROR(VLOOKUP(B247,PVSKTC!$A$4:$D$1048576,3,0),0)</f>
        <v>0</v>
      </c>
      <c r="H247" s="10">
        <f>IFERROR(VLOOKUP(B247,PVSKTC!$A$4:$D$1048576,4,0),0)</f>
        <v>0</v>
      </c>
      <c r="I247" s="17" t="str">
        <f>IFERROR(IF(E247&gt;0,THTT!E$2,""),"")</f>
        <v/>
      </c>
      <c r="J247" s="18" t="str">
        <f t="shared" si="24"/>
        <v/>
      </c>
      <c r="K247" s="10" t="str">
        <f t="shared" si="25"/>
        <v/>
      </c>
      <c r="L247" s="10" t="str">
        <f t="shared" si="26"/>
        <v/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</row>
    <row r="248" spans="1:63" s="4" customFormat="1" x14ac:dyDescent="0.3">
      <c r="A248" s="21" t="str">
        <f t="shared" si="21"/>
        <v/>
      </c>
      <c r="B248" s="22"/>
      <c r="C248" s="43">
        <f t="shared" si="22"/>
        <v>45721</v>
      </c>
      <c r="D248" s="21">
        <f t="shared" si="23"/>
        <v>45722</v>
      </c>
      <c r="E248" s="58">
        <f t="shared" si="27"/>
        <v>0</v>
      </c>
      <c r="F248" s="10">
        <f>IFERROR(VLOOKUP(B248,PVSKTC!$A$4:$D$1048576,2,0),0)</f>
        <v>0</v>
      </c>
      <c r="G248" s="10">
        <f>IFERROR(VLOOKUP(B248,PVSKTC!$A$4:$D$1048576,3,0),0)</f>
        <v>0</v>
      </c>
      <c r="H248" s="10">
        <f>IFERROR(VLOOKUP(B248,PVSKTC!$A$4:$D$1048576,4,0),0)</f>
        <v>0</v>
      </c>
      <c r="I248" s="17" t="str">
        <f>IFERROR(IF(E248&gt;0,THTT!E$2,""),"")</f>
        <v/>
      </c>
      <c r="J248" s="18" t="str">
        <f t="shared" si="24"/>
        <v/>
      </c>
      <c r="K248" s="10" t="str">
        <f t="shared" si="25"/>
        <v/>
      </c>
      <c r="L248" s="10" t="str">
        <f t="shared" si="26"/>
        <v/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</row>
    <row r="249" spans="1:63" s="4" customFormat="1" x14ac:dyDescent="0.3">
      <c r="A249" s="21" t="str">
        <f t="shared" si="21"/>
        <v/>
      </c>
      <c r="B249" s="22"/>
      <c r="C249" s="43">
        <f t="shared" si="22"/>
        <v>45721</v>
      </c>
      <c r="D249" s="21">
        <f t="shared" si="23"/>
        <v>45722</v>
      </c>
      <c r="E249" s="58">
        <f t="shared" si="27"/>
        <v>0</v>
      </c>
      <c r="F249" s="10">
        <f>IFERROR(VLOOKUP(B249,PVSKTC!$A$4:$D$1048576,2,0),0)</f>
        <v>0</v>
      </c>
      <c r="G249" s="10">
        <f>IFERROR(VLOOKUP(B249,PVSKTC!$A$4:$D$1048576,3,0),0)</f>
        <v>0</v>
      </c>
      <c r="H249" s="10">
        <f>IFERROR(VLOOKUP(B249,PVSKTC!$A$4:$D$1048576,4,0),0)</f>
        <v>0</v>
      </c>
      <c r="I249" s="17" t="str">
        <f>IFERROR(IF(E249&gt;0,THTT!E$2,""),"")</f>
        <v/>
      </c>
      <c r="J249" s="18" t="str">
        <f t="shared" si="24"/>
        <v/>
      </c>
      <c r="K249" s="10" t="str">
        <f t="shared" si="25"/>
        <v/>
      </c>
      <c r="L249" s="10" t="str">
        <f t="shared" si="26"/>
        <v/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</row>
    <row r="250" spans="1:63" s="4" customFormat="1" x14ac:dyDescent="0.3">
      <c r="A250" s="21" t="str">
        <f t="shared" si="21"/>
        <v/>
      </c>
      <c r="B250" s="22"/>
      <c r="C250" s="43">
        <f t="shared" si="22"/>
        <v>45721</v>
      </c>
      <c r="D250" s="21">
        <f t="shared" si="23"/>
        <v>45722</v>
      </c>
      <c r="E250" s="58">
        <f t="shared" si="27"/>
        <v>0</v>
      </c>
      <c r="F250" s="10">
        <f>IFERROR(VLOOKUP(B250,PVSKTC!$A$4:$D$1048576,2,0),0)</f>
        <v>0</v>
      </c>
      <c r="G250" s="10">
        <f>IFERROR(VLOOKUP(B250,PVSKTC!$A$4:$D$1048576,3,0),0)</f>
        <v>0</v>
      </c>
      <c r="H250" s="10">
        <f>IFERROR(VLOOKUP(B250,PVSKTC!$A$4:$D$1048576,4,0),0)</f>
        <v>0</v>
      </c>
      <c r="I250" s="17" t="str">
        <f>IFERROR(IF(E250&gt;0,THTT!E$2,""),"")</f>
        <v/>
      </c>
      <c r="J250" s="18" t="str">
        <f t="shared" si="24"/>
        <v/>
      </c>
      <c r="K250" s="10" t="str">
        <f t="shared" si="25"/>
        <v/>
      </c>
      <c r="L250" s="10" t="str">
        <f t="shared" si="26"/>
        <v/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</row>
    <row r="251" spans="1:63" x14ac:dyDescent="0.3">
      <c r="A251" s="13"/>
      <c r="B251" s="14"/>
      <c r="C251" s="14" t="s">
        <v>11</v>
      </c>
      <c r="D251" s="14"/>
      <c r="E251" s="15">
        <f>INDEX(E12:E250, COUNTA(E12:E250))</f>
        <v>0</v>
      </c>
      <c r="F251" s="16">
        <f>SUM(F13:F250)</f>
        <v>0</v>
      </c>
      <c r="G251" s="16">
        <f>SUM(G13:G250)</f>
        <v>0</v>
      </c>
      <c r="H251" s="16">
        <f>SUM(H13:H250)</f>
        <v>0</v>
      </c>
      <c r="I251" s="16"/>
      <c r="J251" s="67"/>
      <c r="K251" s="16">
        <f>SUM(K13:K250)</f>
        <v>0</v>
      </c>
      <c r="L251" s="16">
        <f>SUM(L13:L250)</f>
        <v>0</v>
      </c>
    </row>
    <row r="252" spans="1:63" x14ac:dyDescent="0.3">
      <c r="B252" s="8"/>
      <c r="C252" s="9"/>
      <c r="D252" s="9"/>
      <c r="E252" s="9"/>
      <c r="F252" s="9"/>
      <c r="G252" s="9"/>
      <c r="H252" s="9"/>
      <c r="I252" s="9"/>
      <c r="J252" s="68"/>
      <c r="K252" s="9"/>
      <c r="L252" s="9"/>
    </row>
    <row r="253" spans="1:63" x14ac:dyDescent="0.3">
      <c r="F253" s="37"/>
      <c r="K253" s="49" t="s">
        <v>45</v>
      </c>
      <c r="L253" s="49"/>
    </row>
    <row r="254" spans="1:63" x14ac:dyDescent="0.3">
      <c r="F254" s="38"/>
      <c r="L254" s="2"/>
    </row>
    <row r="255" spans="1:63" x14ac:dyDescent="0.3">
      <c r="L255" s="2"/>
    </row>
    <row r="256" spans="1:63" x14ac:dyDescent="0.3">
      <c r="L256" s="2"/>
    </row>
    <row r="257" spans="11:12" x14ac:dyDescent="0.3">
      <c r="K257" s="50" t="s">
        <v>51</v>
      </c>
      <c r="L257" s="50"/>
    </row>
  </sheetData>
  <mergeCells count="5">
    <mergeCell ref="A1:L1"/>
    <mergeCell ref="A3:B3"/>
    <mergeCell ref="G4:H4"/>
    <mergeCell ref="K253:L253"/>
    <mergeCell ref="K257:L257"/>
  </mergeCells>
  <pageMargins left="0.7" right="0.7" top="0.75" bottom="0.75" header="0.3" footer="0.3"/>
  <pageSetup paperSize="9" scale="6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K45"/>
  <sheetViews>
    <sheetView showGridLines="0" tabSelected="1" zoomScaleNormal="100" workbookViewId="0">
      <selection activeCell="H3" sqref="H3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63" customWidth="1"/>
    <col min="11" max="11" width="17.109375" style="1" customWidth="1"/>
    <col min="12" max="12" width="19.332031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44" t="s">
        <v>15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</row>
    <row r="3" spans="1:63" x14ac:dyDescent="0.3">
      <c r="A3" s="45" t="s">
        <v>0</v>
      </c>
      <c r="B3" s="46"/>
      <c r="C3" s="3"/>
      <c r="D3" s="3"/>
      <c r="E3"/>
      <c r="F3"/>
      <c r="K3"/>
      <c r="L3"/>
    </row>
    <row r="4" spans="1:63" x14ac:dyDescent="0.3">
      <c r="A4" s="6" t="s">
        <v>1</v>
      </c>
      <c r="B4" s="31" t="str">
        <f>PVSKTC!C2</f>
        <v>NGUYEN THI KIEU OANH</v>
      </c>
      <c r="C4" s="3"/>
      <c r="D4" s="3"/>
      <c r="E4"/>
      <c r="F4"/>
      <c r="G4" s="47" t="s">
        <v>16</v>
      </c>
      <c r="H4" s="48"/>
      <c r="J4" s="64"/>
      <c r="K4"/>
      <c r="L4"/>
    </row>
    <row r="5" spans="1:63" x14ac:dyDescent="0.3">
      <c r="A5" s="6" t="s">
        <v>2</v>
      </c>
      <c r="B5" s="31" t="str">
        <f>PVSKTC!B2</f>
        <v>1733906</v>
      </c>
      <c r="C5" s="3"/>
      <c r="D5" s="3"/>
      <c r="E5"/>
      <c r="F5"/>
      <c r="G5" s="20" t="s">
        <v>50</v>
      </c>
      <c r="H5" s="19">
        <f>E39</f>
        <v>39965650</v>
      </c>
      <c r="J5" s="64"/>
      <c r="K5"/>
      <c r="L5"/>
    </row>
    <row r="6" spans="1:63" x14ac:dyDescent="0.3">
      <c r="A6" s="53" t="s">
        <v>804</v>
      </c>
      <c r="B6" s="56" t="str">
        <f>PVSKTC!D2</f>
        <v>378137873</v>
      </c>
      <c r="C6"/>
      <c r="D6" s="3"/>
      <c r="E6"/>
      <c r="F6"/>
      <c r="G6" s="20" t="s">
        <v>13</v>
      </c>
      <c r="H6" s="19">
        <f>L39+K39-H39</f>
        <v>15228529.864219179</v>
      </c>
      <c r="J6" s="65"/>
      <c r="K6"/>
      <c r="L6"/>
    </row>
    <row r="7" spans="1:63" x14ac:dyDescent="0.3">
      <c r="A7" s="6" t="s">
        <v>46</v>
      </c>
      <c r="B7" s="31">
        <f>THTT!A2</f>
        <v>40000000</v>
      </c>
      <c r="C7" s="3"/>
      <c r="D7" s="3"/>
      <c r="E7"/>
      <c r="F7"/>
      <c r="G7" s="27" t="s">
        <v>21</v>
      </c>
      <c r="H7" s="19">
        <f>H5+H6</f>
        <v>55194179.864219181</v>
      </c>
      <c r="J7" s="64"/>
      <c r="K7"/>
      <c r="L7"/>
    </row>
    <row r="8" spans="1:63" x14ac:dyDescent="0.3">
      <c r="A8" s="57" t="s">
        <v>793</v>
      </c>
      <c r="B8" s="12">
        <f>THTT!B2</f>
        <v>45440</v>
      </c>
      <c r="C8" s="3"/>
      <c r="D8" s="3"/>
      <c r="E8"/>
      <c r="F8"/>
      <c r="G8"/>
      <c r="H8"/>
      <c r="I8"/>
      <c r="J8" s="64"/>
      <c r="K8"/>
      <c r="L8"/>
    </row>
    <row r="9" spans="1:63" x14ac:dyDescent="0.3">
      <c r="A9" s="6" t="s">
        <v>3</v>
      </c>
      <c r="B9" s="12">
        <f>THTT!C2</f>
        <v>45477</v>
      </c>
      <c r="C9" s="3"/>
      <c r="D9" s="3"/>
      <c r="E9"/>
      <c r="F9"/>
      <c r="G9"/>
      <c r="H9"/>
      <c r="J9" s="64"/>
      <c r="K9"/>
      <c r="L9"/>
    </row>
    <row r="10" spans="1:63" x14ac:dyDescent="0.3">
      <c r="A10" s="6" t="s">
        <v>12</v>
      </c>
      <c r="B10" s="62">
        <f>THTT!D2</f>
        <v>45721</v>
      </c>
      <c r="C10" s="3"/>
      <c r="D10" s="3"/>
      <c r="E10"/>
      <c r="F10"/>
      <c r="G10"/>
      <c r="H10"/>
      <c r="J10" s="64"/>
      <c r="K10"/>
      <c r="L10"/>
    </row>
    <row r="11" spans="1:63" x14ac:dyDescent="0.3">
      <c r="A11" s="59"/>
      <c r="B11" s="60"/>
      <c r="C11" s="3"/>
      <c r="D11" s="3"/>
      <c r="E11"/>
      <c r="F11"/>
      <c r="G11"/>
      <c r="H11"/>
      <c r="J11" s="64"/>
      <c r="K11"/>
      <c r="L11"/>
    </row>
    <row r="12" spans="1:63" ht="39" customHeight="1" x14ac:dyDescent="0.3">
      <c r="A12" s="23" t="s">
        <v>4</v>
      </c>
      <c r="B12" s="23" t="s">
        <v>14</v>
      </c>
      <c r="C12" s="23" t="s">
        <v>5</v>
      </c>
      <c r="D12" s="23" t="s">
        <v>6</v>
      </c>
      <c r="E12" s="23" t="s">
        <v>47</v>
      </c>
      <c r="F12" s="23" t="s">
        <v>49</v>
      </c>
      <c r="G12" s="23" t="s">
        <v>48</v>
      </c>
      <c r="H12" s="23" t="s">
        <v>10</v>
      </c>
      <c r="I12" s="23" t="s">
        <v>7</v>
      </c>
      <c r="J12" s="66" t="s">
        <v>17</v>
      </c>
      <c r="K12" s="23" t="s">
        <v>8</v>
      </c>
      <c r="L12" s="23" t="s">
        <v>9</v>
      </c>
    </row>
    <row r="13" spans="1:63" s="4" customFormat="1" x14ac:dyDescent="0.3">
      <c r="A13" s="21" t="str">
        <f>IF(E13&lt;=0,"",IF(B13&gt;=$B$9,"QUÁ HẠN","TRONG HẠN"))</f>
        <v>TRONG HẠN</v>
      </c>
      <c r="B13" s="55">
        <v>45440</v>
      </c>
      <c r="C13" s="43">
        <f>IFERROR(IF(B14="", $B$10, B14-1), $B$10)</f>
        <v>45442</v>
      </c>
      <c r="D13" s="21">
        <f>C13-B13+1</f>
        <v>3</v>
      </c>
      <c r="E13" s="58">
        <f>F13-G13</f>
        <v>39877693</v>
      </c>
      <c r="F13" s="10">
        <v>39877693</v>
      </c>
      <c r="G13" s="10"/>
      <c r="H13" s="10">
        <f>IFERROR(VLOOKUP(B13,PVSKTC!$A$4:$D$1048576,4,0),0)</f>
        <v>0</v>
      </c>
      <c r="I13" s="17">
        <f>IFERROR(IF(E13&gt;0,THTT!E$2,""),0)</f>
        <v>0.28000000000000003</v>
      </c>
      <c r="J13" s="18" t="str">
        <f>IF(A13="QUÁ HẠN",I13*150%,"")</f>
        <v/>
      </c>
      <c r="K13" s="10">
        <f>IF(E13&gt;0,E13*I13*D13/365,"")</f>
        <v>91773.320876712343</v>
      </c>
      <c r="L13" s="10" t="str">
        <f>IF(A13="QUÁ HẠN",E13*I13*D13/365,"")</f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21" t="str">
        <f t="shared" ref="A14:A38" si="0">IF(E14&lt;=0,"",IF(B14&gt;=$B$9,"QUÁ HẠN","TRONG HẠN"))</f>
        <v>TRONG HẠN</v>
      </c>
      <c r="B14" s="55">
        <v>45443</v>
      </c>
      <c r="C14" s="43">
        <f t="shared" ref="C14:C37" si="1">IFERROR(IF(B15="", $B$10, B15-1), $B$10)</f>
        <v>45452</v>
      </c>
      <c r="D14" s="21">
        <f t="shared" ref="D14:D38" si="2">C14-B14+1</f>
        <v>10</v>
      </c>
      <c r="E14" s="58">
        <f>E13+F14-G14</f>
        <v>39877588</v>
      </c>
      <c r="F14" s="10">
        <f>IFERROR(VLOOKUP(B14,PVSKTC!$A$4:$D$1048576,2,0),0)</f>
        <v>0</v>
      </c>
      <c r="G14" s="10">
        <f>IFERROR(VLOOKUP(B14,PVSKTC!$A$4:$D$1048576,3,0),0)</f>
        <v>105</v>
      </c>
      <c r="H14" s="10">
        <f>IFERROR(VLOOKUP(B14,PVSKTC!$A$4:$D$1048576,4,0),0)</f>
        <v>0</v>
      </c>
      <c r="I14" s="17">
        <f>IFERROR(IF(E14&gt;0,THTT!E$2,""),"")</f>
        <v>0.28000000000000003</v>
      </c>
      <c r="J14" s="18" t="str">
        <f t="shared" ref="J14:J38" si="3">IF(A14="QUÁ HẠN",I14*150%,"")</f>
        <v/>
      </c>
      <c r="K14" s="10">
        <f t="shared" ref="K14:K38" si="4">IF(E14&gt;0,E14*I14*D14/365,"")</f>
        <v>305910.26410958904</v>
      </c>
      <c r="L14" s="10" t="str">
        <f t="shared" ref="L14:L38" si="5">IF(A14="QUÁ HẠN",E14*I14*D14/365,"")</f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21" t="str">
        <f t="shared" si="0"/>
        <v>TRONG HẠN</v>
      </c>
      <c r="B15" s="55">
        <v>45453</v>
      </c>
      <c r="C15" s="43">
        <f t="shared" si="1"/>
        <v>45454</v>
      </c>
      <c r="D15" s="21">
        <f t="shared" si="2"/>
        <v>2</v>
      </c>
      <c r="E15" s="58">
        <f t="shared" ref="E15:E38" si="6">E14+F15-G15</f>
        <v>35677588</v>
      </c>
      <c r="F15" s="10">
        <f>IFERROR(VLOOKUP(B15,PVSKTC!$A$4:$D$1048576,2,0),0)</f>
        <v>0</v>
      </c>
      <c r="G15" s="10">
        <f>IFERROR(VLOOKUP(B15,PVSKTC!$A$4:$D$1048576,3,0),0)</f>
        <v>4200000</v>
      </c>
      <c r="H15" s="10">
        <f>IFERROR(VLOOKUP(B15,PVSKTC!$A$4:$D$1048576,4,0),0)</f>
        <v>0</v>
      </c>
      <c r="I15" s="17">
        <f>IFERROR(IF(E15&gt;0,THTT!E$2,""),"")</f>
        <v>0.28000000000000003</v>
      </c>
      <c r="J15" s="18" t="str">
        <f t="shared" si="3"/>
        <v/>
      </c>
      <c r="K15" s="10">
        <f t="shared" si="4"/>
        <v>54738.217205479457</v>
      </c>
      <c r="L15" s="10" t="str">
        <f t="shared" si="5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21" t="str">
        <f t="shared" si="0"/>
        <v>TRONG HẠN</v>
      </c>
      <c r="B16" s="55">
        <v>45455</v>
      </c>
      <c r="C16" s="43">
        <f t="shared" si="1"/>
        <v>45457</v>
      </c>
      <c r="D16" s="21">
        <f t="shared" si="2"/>
        <v>3</v>
      </c>
      <c r="E16" s="58">
        <f t="shared" si="6"/>
        <v>31645238</v>
      </c>
      <c r="F16" s="10">
        <f>IFERROR(VLOOKUP(B16,PVSKTC!$A$4:$D$1048576,2,0),0)</f>
        <v>0</v>
      </c>
      <c r="G16" s="10">
        <f>IFERROR(VLOOKUP(B16,PVSKTC!$A$4:$D$1048576,3,0),0)</f>
        <v>4032350</v>
      </c>
      <c r="H16" s="10">
        <f>IFERROR(VLOOKUP(B16,PVSKTC!$A$4:$D$1048576,4,0),0)</f>
        <v>0</v>
      </c>
      <c r="I16" s="17">
        <f>IFERROR(IF(E16&gt;0,THTT!E$2,""),"")</f>
        <v>0.28000000000000003</v>
      </c>
      <c r="J16" s="18" t="str">
        <f t="shared" si="3"/>
        <v/>
      </c>
      <c r="K16" s="10">
        <f t="shared" si="4"/>
        <v>72827.397041095901</v>
      </c>
      <c r="L16" s="10" t="str">
        <f t="shared" si="5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21" t="str">
        <f t="shared" si="0"/>
        <v>TRONG HẠN</v>
      </c>
      <c r="B17" s="55">
        <v>45458</v>
      </c>
      <c r="C17" s="43">
        <f t="shared" si="1"/>
        <v>45459</v>
      </c>
      <c r="D17" s="21">
        <f t="shared" si="2"/>
        <v>2</v>
      </c>
      <c r="E17" s="58">
        <f t="shared" si="6"/>
        <v>35917238</v>
      </c>
      <c r="F17" s="10">
        <f>IFERROR(VLOOKUP(B17,PVSKTC!$A$4:$D$1048576,2,0),0)</f>
        <v>4402000</v>
      </c>
      <c r="G17" s="10">
        <f>IFERROR(VLOOKUP(B17,PVSKTC!$A$4:$D$1048576,3,0),0)</f>
        <v>130000</v>
      </c>
      <c r="H17" s="10">
        <f>IFERROR(VLOOKUP(B17,PVSKTC!$A$4:$D$1048576,4,0),0)</f>
        <v>0</v>
      </c>
      <c r="I17" s="17">
        <f>IFERROR(IF(E17&gt;0,THTT!E$2,""),"")</f>
        <v>0.28000000000000003</v>
      </c>
      <c r="J17" s="18" t="str">
        <f t="shared" si="3"/>
        <v/>
      </c>
      <c r="K17" s="10">
        <f t="shared" si="4"/>
        <v>55105.899397260277</v>
      </c>
      <c r="L17" s="10" t="str">
        <f t="shared" si="5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21" t="str">
        <f t="shared" si="0"/>
        <v>TRONG HẠN</v>
      </c>
      <c r="B18" s="55">
        <v>45460</v>
      </c>
      <c r="C18" s="43">
        <f t="shared" si="1"/>
        <v>45460</v>
      </c>
      <c r="D18" s="21">
        <f t="shared" si="2"/>
        <v>1</v>
      </c>
      <c r="E18" s="58">
        <f t="shared" si="6"/>
        <v>38759438</v>
      </c>
      <c r="F18" s="10">
        <f>IFERROR(VLOOKUP(B18,PVSKTC!$A$4:$D$1048576,2,0),0)</f>
        <v>3842200</v>
      </c>
      <c r="G18" s="10">
        <f>IFERROR(VLOOKUP(B18,PVSKTC!$A$4:$D$1048576,3,0),0)</f>
        <v>1000000</v>
      </c>
      <c r="H18" s="10">
        <f>IFERROR(VLOOKUP(B18,PVSKTC!$A$4:$D$1048576,4,0),0)</f>
        <v>0</v>
      </c>
      <c r="I18" s="17">
        <f>IFERROR(IF(E18&gt;0,THTT!E$2,""),"")</f>
        <v>0.28000000000000003</v>
      </c>
      <c r="J18" s="18" t="str">
        <f t="shared" si="3"/>
        <v/>
      </c>
      <c r="K18" s="10">
        <f t="shared" si="4"/>
        <v>29733.267506849315</v>
      </c>
      <c r="L18" s="10" t="str">
        <f t="shared" si="5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21" t="str">
        <f t="shared" si="0"/>
        <v>TRONG HẠN</v>
      </c>
      <c r="B19" s="55">
        <v>45461</v>
      </c>
      <c r="C19" s="43">
        <f t="shared" si="1"/>
        <v>45461</v>
      </c>
      <c r="D19" s="21">
        <f t="shared" si="2"/>
        <v>1</v>
      </c>
      <c r="E19" s="58">
        <f t="shared" si="6"/>
        <v>38859438</v>
      </c>
      <c r="F19" s="10">
        <f>IFERROR(VLOOKUP(B19,PVSKTC!$A$4:$D$1048576,2,0),0)</f>
        <v>100000</v>
      </c>
      <c r="G19" s="10">
        <f>IFERROR(VLOOKUP(B19,PVSKTC!$A$4:$D$1048576,3,0),0)</f>
        <v>0</v>
      </c>
      <c r="H19" s="10">
        <f>IFERROR(VLOOKUP(B19,PVSKTC!$A$4:$D$1048576,4,0),0)</f>
        <v>0</v>
      </c>
      <c r="I19" s="17">
        <f>IFERROR(IF(E19&gt;0,THTT!E$2,""),"")</f>
        <v>0.28000000000000003</v>
      </c>
      <c r="J19" s="18" t="str">
        <f t="shared" si="3"/>
        <v/>
      </c>
      <c r="K19" s="10">
        <f t="shared" si="4"/>
        <v>29809.979835616439</v>
      </c>
      <c r="L19" s="10" t="str">
        <f t="shared" si="5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21" t="str">
        <f t="shared" si="0"/>
        <v>TRONG HẠN</v>
      </c>
      <c r="B20" s="55">
        <v>45462</v>
      </c>
      <c r="C20" s="43">
        <f t="shared" si="1"/>
        <v>45462</v>
      </c>
      <c r="D20" s="21">
        <f t="shared" si="2"/>
        <v>1</v>
      </c>
      <c r="E20" s="58">
        <f t="shared" si="6"/>
        <v>38359438</v>
      </c>
      <c r="F20" s="10">
        <f>IFERROR(VLOOKUP(B20,PVSKTC!$A$4:$D$1048576,2,0),0)</f>
        <v>0</v>
      </c>
      <c r="G20" s="10">
        <f>IFERROR(VLOOKUP(B20,PVSKTC!$A$4:$D$1048576,3,0),0)</f>
        <v>500000</v>
      </c>
      <c r="H20" s="10">
        <f>IFERROR(VLOOKUP(B20,PVSKTC!$A$4:$D$1048576,4,0),0)</f>
        <v>0</v>
      </c>
      <c r="I20" s="17">
        <f>IFERROR(IF(E20&gt;0,THTT!E$2,""),"")</f>
        <v>0.28000000000000003</v>
      </c>
      <c r="J20" s="18" t="str">
        <f t="shared" si="3"/>
        <v/>
      </c>
      <c r="K20" s="10">
        <f t="shared" si="4"/>
        <v>29426.418191780824</v>
      </c>
      <c r="L20" s="10" t="str">
        <f t="shared" si="5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21" t="str">
        <f t="shared" si="0"/>
        <v>TRONG HẠN</v>
      </c>
      <c r="B21" s="55">
        <v>45463</v>
      </c>
      <c r="C21" s="43">
        <f t="shared" si="1"/>
        <v>45466</v>
      </c>
      <c r="D21" s="21">
        <f t="shared" si="2"/>
        <v>4</v>
      </c>
      <c r="E21" s="58">
        <f t="shared" si="6"/>
        <v>39499438</v>
      </c>
      <c r="F21" s="10">
        <f>IFERROR(VLOOKUP(B21,PVSKTC!$A$4:$D$1048576,2,0),0)</f>
        <v>1140000</v>
      </c>
      <c r="G21" s="10">
        <f>IFERROR(VLOOKUP(B21,PVSKTC!$A$4:$D$1048576,3,0),0)</f>
        <v>0</v>
      </c>
      <c r="H21" s="10">
        <f>IFERROR(VLOOKUP(B21,PVSKTC!$A$4:$D$1048576,4,0),0)</f>
        <v>0</v>
      </c>
      <c r="I21" s="17">
        <f>IFERROR(IF(E21&gt;0,THTT!E$2,""),"")</f>
        <v>0.28000000000000003</v>
      </c>
      <c r="J21" s="18" t="str">
        <f t="shared" si="3"/>
        <v/>
      </c>
      <c r="K21" s="10">
        <f t="shared" si="4"/>
        <v>121203.75495890412</v>
      </c>
      <c r="L21" s="10" t="str">
        <f t="shared" si="5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21" t="str">
        <f t="shared" si="0"/>
        <v>TRONG HẠN</v>
      </c>
      <c r="B22" s="55">
        <v>45467</v>
      </c>
      <c r="C22" s="43">
        <f t="shared" si="1"/>
        <v>45467</v>
      </c>
      <c r="D22" s="21">
        <f t="shared" si="2"/>
        <v>1</v>
      </c>
      <c r="E22" s="58">
        <f t="shared" si="6"/>
        <v>39549438</v>
      </c>
      <c r="F22" s="10">
        <f>IFERROR(VLOOKUP(B22,PVSKTC!$A$4:$D$1048576,2,0),0)</f>
        <v>50000</v>
      </c>
      <c r="G22" s="10">
        <f>IFERROR(VLOOKUP(B22,PVSKTC!$A$4:$D$1048576,3,0),0)</f>
        <v>0</v>
      </c>
      <c r="H22" s="10">
        <f>IFERROR(VLOOKUP(B22,PVSKTC!$A$4:$D$1048576,4,0),0)</f>
        <v>0</v>
      </c>
      <c r="I22" s="17">
        <f>IFERROR(IF(E22&gt;0,THTT!E$2,""),"")</f>
        <v>0.28000000000000003</v>
      </c>
      <c r="J22" s="18" t="str">
        <f t="shared" si="3"/>
        <v/>
      </c>
      <c r="K22" s="10">
        <f t="shared" si="4"/>
        <v>30339.294904109589</v>
      </c>
      <c r="L22" s="10" t="str">
        <f t="shared" si="5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21" t="str">
        <f t="shared" si="0"/>
        <v>TRONG HẠN</v>
      </c>
      <c r="B23" s="55">
        <v>45468</v>
      </c>
      <c r="C23" s="43">
        <f t="shared" si="1"/>
        <v>45470</v>
      </c>
      <c r="D23" s="21">
        <f t="shared" si="2"/>
        <v>3</v>
      </c>
      <c r="E23" s="58">
        <f t="shared" si="6"/>
        <v>39784438</v>
      </c>
      <c r="F23" s="10">
        <f>IFERROR(VLOOKUP(B23,PVSKTC!$A$4:$D$1048576,2,0),0)</f>
        <v>235000</v>
      </c>
      <c r="G23" s="10">
        <f>IFERROR(VLOOKUP(B23,PVSKTC!$A$4:$D$1048576,3,0),0)</f>
        <v>0</v>
      </c>
      <c r="H23" s="10">
        <f>IFERROR(VLOOKUP(B23,PVSKTC!$A$4:$D$1048576,4,0),0)</f>
        <v>0</v>
      </c>
      <c r="I23" s="17">
        <f>IFERROR(IF(E23&gt;0,THTT!E$2,""),"")</f>
        <v>0.28000000000000003</v>
      </c>
      <c r="J23" s="18" t="str">
        <f t="shared" si="3"/>
        <v/>
      </c>
      <c r="K23" s="10">
        <f t="shared" si="4"/>
        <v>91558.706630136992</v>
      </c>
      <c r="L23" s="10" t="str">
        <f t="shared" si="5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21" t="str">
        <f t="shared" si="0"/>
        <v>TRONG HẠN</v>
      </c>
      <c r="B24" s="55">
        <v>45471</v>
      </c>
      <c r="C24" s="43">
        <f t="shared" si="1"/>
        <v>45471</v>
      </c>
      <c r="D24" s="21">
        <f t="shared" si="2"/>
        <v>1</v>
      </c>
      <c r="E24" s="58">
        <f t="shared" si="6"/>
        <v>38884438</v>
      </c>
      <c r="F24" s="10">
        <f>IFERROR(VLOOKUP(B24,PVSKTC!$A$4:$D$1048576,2,0),0)</f>
        <v>100000</v>
      </c>
      <c r="G24" s="10">
        <f>IFERROR(VLOOKUP(B24,PVSKTC!$A$4:$D$1048576,3,0),0)</f>
        <v>1000000</v>
      </c>
      <c r="H24" s="10">
        <f>IFERROR(VLOOKUP(B24,PVSKTC!$A$4:$D$1048576,4,0),0)</f>
        <v>0</v>
      </c>
      <c r="I24" s="17">
        <f>IFERROR(IF(E24&gt;0,THTT!E$2,""),"")</f>
        <v>0.28000000000000003</v>
      </c>
      <c r="J24" s="18" t="str">
        <f t="shared" si="3"/>
        <v/>
      </c>
      <c r="K24" s="10">
        <f t="shared" si="4"/>
        <v>29829.157917808221</v>
      </c>
      <c r="L24" s="10" t="str">
        <f t="shared" si="5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21" t="str">
        <f t="shared" si="0"/>
        <v>TRONG HẠN</v>
      </c>
      <c r="B25" s="55">
        <v>45472</v>
      </c>
      <c r="C25" s="43">
        <f t="shared" si="1"/>
        <v>45472</v>
      </c>
      <c r="D25" s="21">
        <f t="shared" si="2"/>
        <v>1</v>
      </c>
      <c r="E25" s="58">
        <f t="shared" si="6"/>
        <v>39675012</v>
      </c>
      <c r="F25" s="10">
        <f>IFERROR(VLOOKUP(B25,PVSKTC!$A$4:$D$1048576,2,0),0)</f>
        <v>790574</v>
      </c>
      <c r="G25" s="10">
        <f>IFERROR(VLOOKUP(B25,PVSKTC!$A$4:$D$1048576,3,0),0)</f>
        <v>0</v>
      </c>
      <c r="H25" s="10">
        <f>IFERROR(VLOOKUP(B25,PVSKTC!$A$4:$D$1048576,4,0),0)</f>
        <v>790574</v>
      </c>
      <c r="I25" s="17">
        <f>IFERROR(IF(E25&gt;0,THTT!E$2,""),"")</f>
        <v>0.28000000000000003</v>
      </c>
      <c r="J25" s="18" t="str">
        <f t="shared" si="3"/>
        <v/>
      </c>
      <c r="K25" s="10">
        <f t="shared" si="4"/>
        <v>30435.625643835621</v>
      </c>
      <c r="L25" s="10" t="str">
        <f t="shared" si="5"/>
        <v/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21" t="str">
        <f t="shared" si="0"/>
        <v>TRONG HẠN</v>
      </c>
      <c r="B26" s="55">
        <v>45473</v>
      </c>
      <c r="C26" s="43">
        <f t="shared" si="1"/>
        <v>45474</v>
      </c>
      <c r="D26" s="21">
        <f t="shared" si="2"/>
        <v>2</v>
      </c>
      <c r="E26" s="58">
        <f t="shared" si="6"/>
        <v>39605012</v>
      </c>
      <c r="F26" s="10">
        <f>IFERROR(VLOOKUP(B26,PVSKTC!$A$4:$D$1048576,2,0),0)</f>
        <v>0</v>
      </c>
      <c r="G26" s="10">
        <f>IFERROR(VLOOKUP(B26,PVSKTC!$A$4:$D$1048576,3,0),0)</f>
        <v>70000</v>
      </c>
      <c r="H26" s="10">
        <f>IFERROR(VLOOKUP(B26,PVSKTC!$A$4:$D$1048576,4,0),0)</f>
        <v>0</v>
      </c>
      <c r="I26" s="17">
        <f>IFERROR(IF(E26&gt;0,THTT!E$2,""),"")</f>
        <v>0.28000000000000003</v>
      </c>
      <c r="J26" s="18" t="str">
        <f t="shared" si="3"/>
        <v/>
      </c>
      <c r="K26" s="10">
        <f t="shared" si="4"/>
        <v>60763.854027397269</v>
      </c>
      <c r="L26" s="10" t="str">
        <f t="shared" si="5"/>
        <v/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21" t="str">
        <f t="shared" si="0"/>
        <v>TRONG HẠN</v>
      </c>
      <c r="B27" s="55">
        <v>45475</v>
      </c>
      <c r="C27" s="43">
        <f t="shared" si="1"/>
        <v>45476</v>
      </c>
      <c r="D27" s="21">
        <f t="shared" si="2"/>
        <v>2</v>
      </c>
      <c r="E27" s="58">
        <f t="shared" si="6"/>
        <v>39705012</v>
      </c>
      <c r="F27" s="10">
        <f>IFERROR(VLOOKUP(B27,PVSKTC!$A$4:$D$1048576,2,0),0)</f>
        <v>100000</v>
      </c>
      <c r="G27" s="10">
        <f>IFERROR(VLOOKUP(B27,PVSKTC!$A$4:$D$1048576,3,0),0)</f>
        <v>0</v>
      </c>
      <c r="H27" s="10">
        <f>IFERROR(VLOOKUP(B27,PVSKTC!$A$4:$D$1048576,4,0),0)</f>
        <v>0</v>
      </c>
      <c r="I27" s="17">
        <f>IFERROR(IF(E27&gt;0,THTT!E$2,""),"")</f>
        <v>0.28000000000000003</v>
      </c>
      <c r="J27" s="18" t="str">
        <f t="shared" si="3"/>
        <v/>
      </c>
      <c r="K27" s="10">
        <f t="shared" si="4"/>
        <v>60917.278684931516</v>
      </c>
      <c r="L27" s="10" t="str">
        <f t="shared" si="5"/>
        <v/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21" t="str">
        <f t="shared" si="0"/>
        <v>QUÁ HẠN</v>
      </c>
      <c r="B28" s="55">
        <v>45477</v>
      </c>
      <c r="C28" s="43">
        <f t="shared" si="1"/>
        <v>45484</v>
      </c>
      <c r="D28" s="21">
        <f t="shared" si="2"/>
        <v>8</v>
      </c>
      <c r="E28" s="58">
        <f t="shared" si="6"/>
        <v>39705012</v>
      </c>
      <c r="F28" s="10">
        <f>IFERROR(VLOOKUP(B28,PVSKTC!$A$4:$D$1048576,2,0),0)</f>
        <v>0</v>
      </c>
      <c r="G28" s="10">
        <f>IFERROR(VLOOKUP(B28,PVSKTC!$A$4:$D$1048576,3,0),0)</f>
        <v>0</v>
      </c>
      <c r="H28" s="10">
        <f>IFERROR(VLOOKUP(B28,PVSKTC!$A$4:$D$1048576,4,0),0)</f>
        <v>0</v>
      </c>
      <c r="I28" s="17">
        <f>IFERROR(IF(E28&gt;0,THTT!E$2,""),"")</f>
        <v>0.28000000000000003</v>
      </c>
      <c r="J28" s="18">
        <f t="shared" si="3"/>
        <v>0.42000000000000004</v>
      </c>
      <c r="K28" s="10">
        <f t="shared" si="4"/>
        <v>243669.11473972606</v>
      </c>
      <c r="L28" s="10">
        <f t="shared" si="5"/>
        <v>243669.11473972606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21" t="str">
        <f t="shared" si="0"/>
        <v>QUÁ HẠN</v>
      </c>
      <c r="B29" s="55">
        <v>45485</v>
      </c>
      <c r="C29" s="43">
        <f t="shared" si="1"/>
        <v>45491</v>
      </c>
      <c r="D29" s="21">
        <f t="shared" si="2"/>
        <v>7</v>
      </c>
      <c r="E29" s="58">
        <f t="shared" si="6"/>
        <v>39945012</v>
      </c>
      <c r="F29" s="10">
        <f>IFERROR(VLOOKUP(B29,PVSKTC!$A$4:$D$1048576,2,0),0)</f>
        <v>240000</v>
      </c>
      <c r="G29" s="10">
        <f>IFERROR(VLOOKUP(B29,PVSKTC!$A$4:$D$1048576,3,0),0)</f>
        <v>0</v>
      </c>
      <c r="H29" s="10">
        <f>IFERROR(VLOOKUP(B29,PVSKTC!$A$4:$D$1048576,4,0),0)</f>
        <v>0</v>
      </c>
      <c r="I29" s="17">
        <f>IFERROR(IF(E29&gt;0,THTT!E$2,""),"")</f>
        <v>0.28000000000000003</v>
      </c>
      <c r="J29" s="18">
        <f t="shared" si="3"/>
        <v>0.42000000000000004</v>
      </c>
      <c r="K29" s="10">
        <f t="shared" si="4"/>
        <v>214499.24252054797</v>
      </c>
      <c r="L29" s="10">
        <f t="shared" si="5"/>
        <v>214499.24252054797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21" t="str">
        <f t="shared" si="0"/>
        <v>QUÁ HẠN</v>
      </c>
      <c r="B30" s="55">
        <v>45492</v>
      </c>
      <c r="C30" s="43">
        <f t="shared" si="1"/>
        <v>45496</v>
      </c>
      <c r="D30" s="21">
        <f t="shared" si="2"/>
        <v>5</v>
      </c>
      <c r="E30" s="58">
        <f t="shared" si="6"/>
        <v>39947662</v>
      </c>
      <c r="F30" s="10">
        <f>IFERROR(VLOOKUP(B30,PVSKTC!$A$4:$D$1048576,2,0),0)</f>
        <v>4035000</v>
      </c>
      <c r="G30" s="10">
        <f>IFERROR(VLOOKUP(B30,PVSKTC!$A$4:$D$1048576,3,0),0)</f>
        <v>4032350</v>
      </c>
      <c r="H30" s="10">
        <f>IFERROR(VLOOKUP(B30,PVSKTC!$A$4:$D$1048576,4,0),0)</f>
        <v>0</v>
      </c>
      <c r="I30" s="17">
        <f>IFERROR(IF(E30&gt;0,THTT!E$2,""),"")</f>
        <v>0.28000000000000003</v>
      </c>
      <c r="J30" s="18">
        <f t="shared" si="3"/>
        <v>0.42000000000000004</v>
      </c>
      <c r="K30" s="10">
        <f t="shared" si="4"/>
        <v>153223.9090410959</v>
      </c>
      <c r="L30" s="10">
        <f t="shared" si="5"/>
        <v>153223.9090410959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21" t="str">
        <f t="shared" si="0"/>
        <v>QUÁ HẠN</v>
      </c>
      <c r="B31" s="55">
        <v>45497</v>
      </c>
      <c r="C31" s="43">
        <f t="shared" si="1"/>
        <v>45519</v>
      </c>
      <c r="D31" s="21">
        <f t="shared" si="2"/>
        <v>23</v>
      </c>
      <c r="E31" s="58">
        <f t="shared" si="6"/>
        <v>39947662</v>
      </c>
      <c r="F31" s="10">
        <f>IFERROR(VLOOKUP(B31,PVSKTC!$A$4:$D$1048576,2,0),0)</f>
        <v>500000</v>
      </c>
      <c r="G31" s="10">
        <f>IFERROR(VLOOKUP(B31,PVSKTC!$A$4:$D$1048576,3,0),0)</f>
        <v>500000</v>
      </c>
      <c r="H31" s="10">
        <f>IFERROR(VLOOKUP(B31,PVSKTC!$A$4:$D$1048576,4,0),0)</f>
        <v>0</v>
      </c>
      <c r="I31" s="17">
        <f>IFERROR(IF(E31&gt;0,THTT!E$2,""),"")</f>
        <v>0.28000000000000003</v>
      </c>
      <c r="J31" s="18">
        <f t="shared" si="3"/>
        <v>0.42000000000000004</v>
      </c>
      <c r="K31" s="10">
        <f t="shared" si="4"/>
        <v>704829.98158904118</v>
      </c>
      <c r="L31" s="10">
        <f t="shared" si="5"/>
        <v>704829.98158904118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21" t="str">
        <f t="shared" si="0"/>
        <v>QUÁ HẠN</v>
      </c>
      <c r="B32" s="55">
        <v>45520</v>
      </c>
      <c r="C32" s="43">
        <f t="shared" si="1"/>
        <v>45522</v>
      </c>
      <c r="D32" s="21">
        <f t="shared" si="2"/>
        <v>3</v>
      </c>
      <c r="E32" s="58">
        <f t="shared" si="6"/>
        <v>40000000</v>
      </c>
      <c r="F32" s="10">
        <f>IFERROR(VLOOKUP(B32,PVSKTC!$A$4:$D$1048576,2,0),0)</f>
        <v>4084688</v>
      </c>
      <c r="G32" s="10">
        <f>IFERROR(VLOOKUP(B32,PVSKTC!$A$4:$D$1048576,3,0),0)</f>
        <v>4032350</v>
      </c>
      <c r="H32" s="10">
        <f>IFERROR(VLOOKUP(B32,PVSKTC!$A$4:$D$1048576,4,0),0)</f>
        <v>54688</v>
      </c>
      <c r="I32" s="17">
        <f>IFERROR(IF(E32&gt;0,THTT!E$2,""),"")</f>
        <v>0.28000000000000003</v>
      </c>
      <c r="J32" s="18">
        <f t="shared" si="3"/>
        <v>0.42000000000000004</v>
      </c>
      <c r="K32" s="10">
        <f t="shared" si="4"/>
        <v>92054.794520547963</v>
      </c>
      <c r="L32" s="10">
        <f t="shared" si="5"/>
        <v>92054.794520547963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21" t="str">
        <f t="shared" si="0"/>
        <v>QUÁ HẠN</v>
      </c>
      <c r="B33" s="55">
        <v>45523</v>
      </c>
      <c r="C33" s="43">
        <f t="shared" si="1"/>
        <v>45525</v>
      </c>
      <c r="D33" s="21">
        <f t="shared" si="2"/>
        <v>3</v>
      </c>
      <c r="E33" s="58">
        <f t="shared" si="6"/>
        <v>40000000</v>
      </c>
      <c r="F33" s="10">
        <f>IFERROR(VLOOKUP(B33,PVSKTC!$A$4:$D$1048576,2,0),0)</f>
        <v>30000</v>
      </c>
      <c r="G33" s="10">
        <f>IFERROR(VLOOKUP(B33,PVSKTC!$A$4:$D$1048576,3,0),0)</f>
        <v>30000</v>
      </c>
      <c r="H33" s="10">
        <f>IFERROR(VLOOKUP(B33,PVSKTC!$A$4:$D$1048576,4,0),0)</f>
        <v>30000</v>
      </c>
      <c r="I33" s="17">
        <f>IFERROR(IF(E33&gt;0,THTT!E$2,""),"")</f>
        <v>0.28000000000000003</v>
      </c>
      <c r="J33" s="18">
        <f t="shared" si="3"/>
        <v>0.42000000000000004</v>
      </c>
      <c r="K33" s="10">
        <f t="shared" si="4"/>
        <v>92054.794520547963</v>
      </c>
      <c r="L33" s="10">
        <f t="shared" si="5"/>
        <v>92054.794520547963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21" t="str">
        <f t="shared" si="0"/>
        <v>QUÁ HẠN</v>
      </c>
      <c r="B34" s="55">
        <v>45526</v>
      </c>
      <c r="C34" s="43">
        <f t="shared" si="1"/>
        <v>45546</v>
      </c>
      <c r="D34" s="21">
        <f t="shared" si="2"/>
        <v>21</v>
      </c>
      <c r="E34" s="58">
        <f t="shared" si="6"/>
        <v>40000000</v>
      </c>
      <c r="F34" s="10">
        <f>IFERROR(VLOOKUP(B34,PVSKTC!$A$4:$D$1048576,2,0),0)</f>
        <v>10000</v>
      </c>
      <c r="G34" s="10">
        <f>IFERROR(VLOOKUP(B34,PVSKTC!$A$4:$D$1048576,3,0),0)</f>
        <v>10000</v>
      </c>
      <c r="H34" s="10">
        <f>IFERROR(VLOOKUP(B34,PVSKTC!$A$4:$D$1048576,4,0),0)</f>
        <v>10000</v>
      </c>
      <c r="I34" s="17">
        <f>IFERROR(IF(E34&gt;0,THTT!E$2,""),"")</f>
        <v>0.28000000000000003</v>
      </c>
      <c r="J34" s="18">
        <f t="shared" si="3"/>
        <v>0.42000000000000004</v>
      </c>
      <c r="K34" s="10">
        <f t="shared" si="4"/>
        <v>644383.56164383574</v>
      </c>
      <c r="L34" s="10">
        <f t="shared" si="5"/>
        <v>644383.56164383574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21" t="str">
        <f t="shared" si="0"/>
        <v>QUÁ HẠN</v>
      </c>
      <c r="B35" s="55">
        <v>45547</v>
      </c>
      <c r="C35" s="43">
        <f t="shared" si="1"/>
        <v>45571</v>
      </c>
      <c r="D35" s="21">
        <f t="shared" si="2"/>
        <v>25</v>
      </c>
      <c r="E35" s="58">
        <f t="shared" si="6"/>
        <v>40000000</v>
      </c>
      <c r="F35" s="10">
        <f>IFERROR(VLOOKUP(B35,PVSKTC!$A$4:$D$1048576,2,0),0)</f>
        <v>4032350</v>
      </c>
      <c r="G35" s="10">
        <f>IFERROR(VLOOKUP(B35,PVSKTC!$A$4:$D$1048576,3,0),0)</f>
        <v>4032350</v>
      </c>
      <c r="H35" s="10">
        <f>IFERROR(VLOOKUP(B35,PVSKTC!$A$4:$D$1048576,4,0),0)</f>
        <v>2350</v>
      </c>
      <c r="I35" s="17">
        <f>IFERROR(IF(E35&gt;0,THTT!E$2,""),"")</f>
        <v>0.28000000000000003</v>
      </c>
      <c r="J35" s="18">
        <f t="shared" si="3"/>
        <v>0.42000000000000004</v>
      </c>
      <c r="K35" s="10">
        <f t="shared" si="4"/>
        <v>767123.28767123306</v>
      </c>
      <c r="L35" s="10">
        <f t="shared" si="5"/>
        <v>767123.28767123306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21" t="str">
        <f t="shared" si="0"/>
        <v>QUÁ HẠN</v>
      </c>
      <c r="B36" s="55">
        <v>45572</v>
      </c>
      <c r="C36" s="43">
        <f t="shared" si="1"/>
        <v>45578</v>
      </c>
      <c r="D36" s="21">
        <f t="shared" si="2"/>
        <v>7</v>
      </c>
      <c r="E36" s="58">
        <f t="shared" si="6"/>
        <v>40000000</v>
      </c>
      <c r="F36" s="10">
        <f>IFERROR(VLOOKUP(B36,PVSKTC!$A$4:$D$1048576,2,0),0)</f>
        <v>0</v>
      </c>
      <c r="G36" s="10">
        <f>IFERROR(VLOOKUP(B36,PVSKTC!$A$4:$D$1048576,3,0),0)</f>
        <v>0</v>
      </c>
      <c r="H36" s="10">
        <f>IFERROR(VLOOKUP(B36,PVSKTC!$A$4:$D$1048576,4,0),0)</f>
        <v>0</v>
      </c>
      <c r="I36" s="17">
        <f>IFERROR(IF(E36&gt;0,THTT!E$2,""),"")</f>
        <v>0.28000000000000003</v>
      </c>
      <c r="J36" s="18">
        <f t="shared" si="3"/>
        <v>0.42000000000000004</v>
      </c>
      <c r="K36" s="10">
        <f t="shared" si="4"/>
        <v>214794.52054794526</v>
      </c>
      <c r="L36" s="10">
        <f t="shared" si="5"/>
        <v>214794.52054794526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21" t="str">
        <f t="shared" si="0"/>
        <v>QUÁ HẠN</v>
      </c>
      <c r="B37" s="55">
        <v>45579</v>
      </c>
      <c r="C37" s="43">
        <f t="shared" si="1"/>
        <v>45581</v>
      </c>
      <c r="D37" s="21">
        <f t="shared" si="2"/>
        <v>3</v>
      </c>
      <c r="E37" s="58">
        <f t="shared" si="6"/>
        <v>39998000</v>
      </c>
      <c r="F37" s="10">
        <f>IFERROR(VLOOKUP(B37,PVSKTC!$A$4:$D$1048576,2,0),0)</f>
        <v>0</v>
      </c>
      <c r="G37" s="10">
        <f>IFERROR(VLOOKUP(B37,PVSKTC!$A$4:$D$1048576,3,0),0)</f>
        <v>2000</v>
      </c>
      <c r="H37" s="10">
        <f>IFERROR(VLOOKUP(B37,PVSKTC!$A$4:$D$1048576,4,0),0)</f>
        <v>0</v>
      </c>
      <c r="I37" s="17">
        <f>IFERROR(IF(E37&gt;0,THTT!E$2,""),"")</f>
        <v>0.28000000000000003</v>
      </c>
      <c r="J37" s="18">
        <f t="shared" si="3"/>
        <v>0.42000000000000004</v>
      </c>
      <c r="K37" s="10">
        <f t="shared" si="4"/>
        <v>92050.191780821944</v>
      </c>
      <c r="L37" s="10">
        <f t="shared" si="5"/>
        <v>92050.191780821944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21" t="str">
        <f t="shared" si="0"/>
        <v>QUÁ HẠN</v>
      </c>
      <c r="B38" s="55">
        <v>45582</v>
      </c>
      <c r="C38" s="43">
        <f>IFERROR(IF(#REF!="", $B$10,#REF!- 1), $B$10)</f>
        <v>45721</v>
      </c>
      <c r="D38" s="21">
        <f t="shared" si="2"/>
        <v>140</v>
      </c>
      <c r="E38" s="58">
        <f t="shared" si="6"/>
        <v>39965650</v>
      </c>
      <c r="F38" s="10">
        <f>IFERROR(VLOOKUP(B38,PVSKTC!$A$4:$D$1048576,2,0),0)</f>
        <v>4000000</v>
      </c>
      <c r="G38" s="10">
        <f>IFERROR(VLOOKUP(B38,PVSKTC!$A$4:$D$1048576,3,0),0)</f>
        <v>4032350</v>
      </c>
      <c r="H38" s="10">
        <f>IFERROR(VLOOKUP(B38,PVSKTC!$A$4:$D$1048576,4,0),0)</f>
        <v>0</v>
      </c>
      <c r="I38" s="17">
        <f>IFERROR(IF(E38&gt;0,THTT!E$2,""),"")</f>
        <v>0.28000000000000003</v>
      </c>
      <c r="J38" s="18">
        <f t="shared" si="3"/>
        <v>0.42000000000000004</v>
      </c>
      <c r="K38" s="10">
        <f t="shared" si="4"/>
        <v>4292201.3150684936</v>
      </c>
      <c r="L38" s="10">
        <f t="shared" si="5"/>
        <v>4292201.3150684936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x14ac:dyDescent="0.3">
      <c r="A39" s="13"/>
      <c r="B39" s="14"/>
      <c r="C39" s="14" t="s">
        <v>11</v>
      </c>
      <c r="D39" s="14"/>
      <c r="E39" s="15">
        <f>INDEX(E12:E38, COUNTA(E12:E38))</f>
        <v>39965650</v>
      </c>
      <c r="F39" s="16">
        <f>SUM(F13:F38)</f>
        <v>67569505</v>
      </c>
      <c r="G39" s="16">
        <f>SUM(G13:G38)</f>
        <v>27603855</v>
      </c>
      <c r="H39" s="16">
        <f>SUM(H13:H38)</f>
        <v>887612</v>
      </c>
      <c r="I39" s="16"/>
      <c r="J39" s="67"/>
      <c r="K39" s="16">
        <f>SUM(K13:K38)</f>
        <v>8605257.1505753435</v>
      </c>
      <c r="L39" s="16">
        <f>SUM(L13:L38)</f>
        <v>7510884.7136438359</v>
      </c>
    </row>
    <row r="40" spans="1:63" x14ac:dyDescent="0.3">
      <c r="B40" s="8"/>
      <c r="C40" s="9"/>
      <c r="D40" s="9"/>
      <c r="E40" s="9"/>
      <c r="F40" s="9"/>
      <c r="G40" s="9"/>
      <c r="H40" s="9"/>
      <c r="I40" s="9"/>
      <c r="J40" s="68"/>
      <c r="K40" s="9"/>
      <c r="L40" s="9"/>
    </row>
    <row r="41" spans="1:63" x14ac:dyDescent="0.3">
      <c r="F41" s="37"/>
      <c r="K41" s="49" t="s">
        <v>45</v>
      </c>
      <c r="L41" s="49"/>
    </row>
    <row r="42" spans="1:63" x14ac:dyDescent="0.3">
      <c r="F42" s="38"/>
      <c r="L42" s="2"/>
    </row>
    <row r="43" spans="1:63" x14ac:dyDescent="0.3">
      <c r="L43" s="2"/>
    </row>
    <row r="44" spans="1:63" x14ac:dyDescent="0.3">
      <c r="L44" s="2"/>
    </row>
    <row r="45" spans="1:63" x14ac:dyDescent="0.3">
      <c r="K45" s="50" t="s">
        <v>51</v>
      </c>
      <c r="L45" s="50"/>
    </row>
  </sheetData>
  <sortState ref="B13:B38">
    <sortCondition ref="B13:B38"/>
  </sortState>
  <mergeCells count="5">
    <mergeCell ref="A1:L1"/>
    <mergeCell ref="A3:B3"/>
    <mergeCell ref="G4:H4"/>
    <mergeCell ref="K41:L41"/>
    <mergeCell ref="K45:L45"/>
  </mergeCells>
  <pageMargins left="0.7" right="0.7" top="0.75" bottom="0.75" header="0.3" footer="0.3"/>
  <pageSetup paperSize="9" scale="6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K190"/>
  <sheetViews>
    <sheetView showGridLines="0" zoomScale="81" zoomScaleNormal="100" workbookViewId="0">
      <selection activeCell="C63" sqref="C63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1" customWidth="1"/>
    <col min="11" max="11" width="17.109375" style="1" customWidth="1"/>
    <col min="12" max="12" width="22.66406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44" t="s">
        <v>15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</row>
    <row r="3" spans="1:63" x14ac:dyDescent="0.3">
      <c r="A3" s="45" t="s">
        <v>0</v>
      </c>
      <c r="B3" s="46"/>
      <c r="C3" s="3"/>
      <c r="D3" s="3"/>
      <c r="E3"/>
      <c r="F3"/>
      <c r="K3"/>
      <c r="L3"/>
    </row>
    <row r="4" spans="1:63" x14ac:dyDescent="0.3">
      <c r="A4" s="6" t="s">
        <v>1</v>
      </c>
      <c r="B4" s="11" t="s">
        <v>54</v>
      </c>
      <c r="C4" s="3"/>
      <c r="D4" s="3"/>
      <c r="E4"/>
      <c r="F4"/>
      <c r="G4" s="47" t="s">
        <v>16</v>
      </c>
      <c r="H4" s="48"/>
      <c r="J4"/>
      <c r="K4"/>
      <c r="L4"/>
    </row>
    <row r="5" spans="1:63" x14ac:dyDescent="0.3">
      <c r="A5" s="6" t="s">
        <v>2</v>
      </c>
      <c r="B5" s="11">
        <v>1733906</v>
      </c>
      <c r="C5" s="3"/>
      <c r="D5" s="3"/>
      <c r="E5"/>
      <c r="F5"/>
      <c r="G5" s="20" t="s">
        <v>50</v>
      </c>
      <c r="H5" s="19">
        <f>E184</f>
        <v>39965650</v>
      </c>
      <c r="J5" s="35"/>
      <c r="K5"/>
      <c r="L5"/>
    </row>
    <row r="6" spans="1:63" x14ac:dyDescent="0.3">
      <c r="A6" s="40" t="s">
        <v>793</v>
      </c>
      <c r="B6" s="41"/>
      <c r="C6"/>
      <c r="D6" s="3"/>
      <c r="E6"/>
      <c r="F6"/>
      <c r="G6" s="20" t="s">
        <v>13</v>
      </c>
      <c r="H6" s="19">
        <f>L184+K184-H184</f>
        <v>24865531.5449863</v>
      </c>
      <c r="J6" s="36"/>
      <c r="K6"/>
      <c r="L6"/>
    </row>
    <row r="7" spans="1:63" x14ac:dyDescent="0.3">
      <c r="A7" s="6" t="s">
        <v>46</v>
      </c>
      <c r="B7" s="31">
        <v>40000000</v>
      </c>
      <c r="C7" s="3"/>
      <c r="D7" s="3"/>
      <c r="E7"/>
      <c r="F7"/>
      <c r="G7" s="27" t="s">
        <v>21</v>
      </c>
      <c r="H7" s="19">
        <f>H5+H6</f>
        <v>64831181.5449863</v>
      </c>
      <c r="J7"/>
      <c r="K7"/>
      <c r="L7"/>
    </row>
    <row r="8" spans="1:63" x14ac:dyDescent="0.3">
      <c r="A8" s="6" t="s">
        <v>3</v>
      </c>
      <c r="B8" s="12">
        <v>45510</v>
      </c>
      <c r="C8" s="3"/>
      <c r="D8" s="3"/>
      <c r="E8"/>
      <c r="F8"/>
      <c r="G8"/>
      <c r="H8"/>
      <c r="I8"/>
      <c r="J8"/>
      <c r="K8"/>
      <c r="L8"/>
    </row>
    <row r="9" spans="1:63" x14ac:dyDescent="0.3">
      <c r="A9" s="6" t="s">
        <v>12</v>
      </c>
      <c r="B9" s="12">
        <v>46064</v>
      </c>
      <c r="C9" s="3"/>
      <c r="D9" s="3"/>
      <c r="E9"/>
      <c r="F9"/>
      <c r="G9"/>
      <c r="H9"/>
      <c r="J9"/>
      <c r="K9"/>
      <c r="L9"/>
    </row>
    <row r="10" spans="1:63" x14ac:dyDescent="0.3">
      <c r="C10" s="3"/>
      <c r="D10" s="3"/>
      <c r="E10"/>
      <c r="F10"/>
      <c r="G10"/>
      <c r="H10"/>
      <c r="J10"/>
      <c r="K10"/>
      <c r="L10"/>
    </row>
    <row r="11" spans="1:63" x14ac:dyDescent="0.3">
      <c r="F11"/>
      <c r="G11"/>
      <c r="H11"/>
      <c r="I11"/>
      <c r="J11"/>
      <c r="K11"/>
    </row>
    <row r="12" spans="1:63" ht="39" customHeight="1" x14ac:dyDescent="0.3">
      <c r="A12" s="23" t="s">
        <v>4</v>
      </c>
      <c r="B12" s="23" t="s">
        <v>14</v>
      </c>
      <c r="C12" s="23" t="s">
        <v>5</v>
      </c>
      <c r="D12" s="23" t="s">
        <v>6</v>
      </c>
      <c r="E12" s="23" t="s">
        <v>47</v>
      </c>
      <c r="F12" s="23" t="s">
        <v>49</v>
      </c>
      <c r="G12" s="23" t="s">
        <v>48</v>
      </c>
      <c r="H12" s="23" t="s">
        <v>10</v>
      </c>
      <c r="I12" s="23" t="s">
        <v>7</v>
      </c>
      <c r="J12" s="23" t="s">
        <v>17</v>
      </c>
      <c r="K12" s="23" t="s">
        <v>8</v>
      </c>
      <c r="L12" s="23" t="s">
        <v>9</v>
      </c>
    </row>
    <row r="13" spans="1:63" s="4" customFormat="1" x14ac:dyDescent="0.3">
      <c r="A13" s="21"/>
      <c r="B13" s="22">
        <v>44769</v>
      </c>
      <c r="C13" s="22">
        <f>B14-1</f>
        <v>44777</v>
      </c>
      <c r="D13" s="21">
        <f>C13-B13+1</f>
        <v>9</v>
      </c>
      <c r="E13" s="34">
        <f>F13-G13</f>
        <v>0</v>
      </c>
      <c r="F13" s="10">
        <v>100000</v>
      </c>
      <c r="G13" s="10">
        <v>100000</v>
      </c>
      <c r="H13" s="10"/>
      <c r="I13" s="17"/>
      <c r="J13" s="18"/>
      <c r="K13" s="10"/>
      <c r="L13" s="10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21"/>
      <c r="B14" s="22">
        <v>44778</v>
      </c>
      <c r="C14" s="22">
        <f t="shared" ref="C14:C77" si="0">B15-1</f>
        <v>44809</v>
      </c>
      <c r="D14" s="21">
        <f t="shared" ref="D14:D77" si="1">C14-B14+1</f>
        <v>32</v>
      </c>
      <c r="E14" s="34">
        <f>E13+F14-G14</f>
        <v>0</v>
      </c>
      <c r="F14" s="10">
        <v>50000</v>
      </c>
      <c r="G14" s="10">
        <v>50000</v>
      </c>
      <c r="H14" s="10"/>
      <c r="I14" s="17"/>
      <c r="J14" s="18"/>
      <c r="K14" s="10"/>
      <c r="L14" s="10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21"/>
      <c r="B15" s="22">
        <v>44810</v>
      </c>
      <c r="C15" s="22">
        <f t="shared" si="0"/>
        <v>44832</v>
      </c>
      <c r="D15" s="21">
        <f t="shared" si="1"/>
        <v>23</v>
      </c>
      <c r="E15" s="34">
        <f t="shared" ref="E15:E78" si="2">E14+F15-G15</f>
        <v>-55800</v>
      </c>
      <c r="F15" s="10">
        <v>8500000</v>
      </c>
      <c r="G15" s="10">
        <v>8555800</v>
      </c>
      <c r="H15" s="10"/>
      <c r="I15" s="17"/>
      <c r="J15" s="18"/>
      <c r="K15" s="10"/>
      <c r="L15" s="10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21"/>
      <c r="B16" s="22">
        <v>44833</v>
      </c>
      <c r="C16" s="22">
        <f t="shared" si="0"/>
        <v>44833</v>
      </c>
      <c r="D16" s="21">
        <f t="shared" si="1"/>
        <v>1</v>
      </c>
      <c r="E16" s="34">
        <f t="shared" si="2"/>
        <v>-428300</v>
      </c>
      <c r="F16" s="10"/>
      <c r="G16" s="10">
        <v>372500</v>
      </c>
      <c r="H16" s="10"/>
      <c r="I16" s="17"/>
      <c r="J16" s="18"/>
      <c r="K16" s="10"/>
      <c r="L16" s="10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21"/>
      <c r="B17" s="22">
        <v>44834</v>
      </c>
      <c r="C17" s="22">
        <f t="shared" si="0"/>
        <v>44837</v>
      </c>
      <c r="D17" s="21">
        <f t="shared" si="1"/>
        <v>4</v>
      </c>
      <c r="E17" s="34">
        <f t="shared" si="2"/>
        <v>-428310</v>
      </c>
      <c r="F17" s="10"/>
      <c r="G17" s="10">
        <v>10</v>
      </c>
      <c r="H17" s="10"/>
      <c r="I17" s="17"/>
      <c r="J17" s="18"/>
      <c r="K17" s="10"/>
      <c r="L17" s="10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21"/>
      <c r="B18" s="22">
        <v>44838</v>
      </c>
      <c r="C18" s="22">
        <f t="shared" si="0"/>
        <v>44838</v>
      </c>
      <c r="D18" s="21">
        <f t="shared" si="1"/>
        <v>1</v>
      </c>
      <c r="E18" s="34">
        <f t="shared" si="2"/>
        <v>-8662056</v>
      </c>
      <c r="F18" s="10"/>
      <c r="G18" s="10">
        <v>8233746</v>
      </c>
      <c r="H18" s="10"/>
      <c r="I18" s="17"/>
      <c r="J18" s="18"/>
      <c r="K18" s="10"/>
      <c r="L18" s="10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21"/>
      <c r="B19" s="22">
        <v>44839</v>
      </c>
      <c r="C19" s="22">
        <f t="shared" si="0"/>
        <v>44864</v>
      </c>
      <c r="D19" s="21">
        <f t="shared" si="1"/>
        <v>26</v>
      </c>
      <c r="E19" s="34">
        <f t="shared" si="2"/>
        <v>-162056</v>
      </c>
      <c r="F19" s="10">
        <v>8500000</v>
      </c>
      <c r="G19" s="10"/>
      <c r="H19" s="10"/>
      <c r="I19" s="17"/>
      <c r="J19" s="18"/>
      <c r="K19" s="10"/>
      <c r="L19" s="10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21"/>
      <c r="B20" s="22">
        <v>44865</v>
      </c>
      <c r="C20" s="22">
        <f t="shared" si="0"/>
        <v>44866</v>
      </c>
      <c r="D20" s="21">
        <f t="shared" si="1"/>
        <v>2</v>
      </c>
      <c r="E20" s="34">
        <f t="shared" si="2"/>
        <v>-162134</v>
      </c>
      <c r="F20" s="10"/>
      <c r="G20" s="10">
        <v>78</v>
      </c>
      <c r="H20" s="10"/>
      <c r="I20" s="17"/>
      <c r="J20" s="18"/>
      <c r="K20" s="10"/>
      <c r="L20" s="10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21"/>
      <c r="B21" s="22">
        <v>44867</v>
      </c>
      <c r="C21" s="22">
        <f t="shared" si="0"/>
        <v>44875</v>
      </c>
      <c r="D21" s="21">
        <f t="shared" si="1"/>
        <v>9</v>
      </c>
      <c r="E21" s="34">
        <f t="shared" si="2"/>
        <v>-237649</v>
      </c>
      <c r="F21" s="10">
        <v>7500000</v>
      </c>
      <c r="G21" s="10">
        <v>7575515</v>
      </c>
      <c r="H21" s="10"/>
      <c r="I21" s="17"/>
      <c r="J21" s="18"/>
      <c r="K21" s="10"/>
      <c r="L21" s="10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21"/>
      <c r="B22" s="22">
        <v>44876</v>
      </c>
      <c r="C22" s="22">
        <f t="shared" si="0"/>
        <v>44885</v>
      </c>
      <c r="D22" s="21">
        <f t="shared" si="1"/>
        <v>10</v>
      </c>
      <c r="E22" s="34">
        <f t="shared" si="2"/>
        <v>-537649</v>
      </c>
      <c r="F22" s="10">
        <v>100000</v>
      </c>
      <c r="G22" s="10">
        <v>400000</v>
      </c>
      <c r="H22" s="10"/>
      <c r="I22" s="17"/>
      <c r="J22" s="18"/>
      <c r="K22" s="10"/>
      <c r="L22" s="10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21"/>
      <c r="B23" s="22">
        <v>44886</v>
      </c>
      <c r="C23" s="22">
        <f t="shared" si="0"/>
        <v>44894</v>
      </c>
      <c r="D23" s="21">
        <f t="shared" si="1"/>
        <v>9</v>
      </c>
      <c r="E23" s="34">
        <f t="shared" si="2"/>
        <v>-1237649</v>
      </c>
      <c r="F23" s="10"/>
      <c r="G23" s="10">
        <v>700000</v>
      </c>
      <c r="H23" s="10"/>
      <c r="I23" s="17"/>
      <c r="J23" s="18"/>
      <c r="K23" s="10"/>
      <c r="L23" s="10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21"/>
      <c r="B24" s="22">
        <v>44895</v>
      </c>
      <c r="C24" s="22">
        <f t="shared" si="0"/>
        <v>44896</v>
      </c>
      <c r="D24" s="21">
        <f t="shared" si="1"/>
        <v>2</v>
      </c>
      <c r="E24" s="34">
        <f t="shared" si="2"/>
        <v>-1237770</v>
      </c>
      <c r="F24" s="10"/>
      <c r="G24" s="10">
        <v>121</v>
      </c>
      <c r="H24" s="10"/>
      <c r="I24" s="17"/>
      <c r="J24" s="18"/>
      <c r="K24" s="10"/>
      <c r="L24" s="10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21"/>
      <c r="B25" s="22">
        <v>44897</v>
      </c>
      <c r="C25" s="22">
        <f t="shared" si="0"/>
        <v>44897</v>
      </c>
      <c r="D25" s="21">
        <f t="shared" si="1"/>
        <v>1</v>
      </c>
      <c r="E25" s="34">
        <f t="shared" si="2"/>
        <v>-12315294</v>
      </c>
      <c r="F25" s="10"/>
      <c r="G25" s="10">
        <v>11077524</v>
      </c>
      <c r="H25" s="10"/>
      <c r="I25" s="17"/>
      <c r="J25" s="18"/>
      <c r="K25" s="10"/>
      <c r="L25" s="10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21"/>
      <c r="B26" s="22">
        <v>44898</v>
      </c>
      <c r="C26" s="22">
        <f t="shared" si="0"/>
        <v>44899</v>
      </c>
      <c r="D26" s="21">
        <f t="shared" si="1"/>
        <v>2</v>
      </c>
      <c r="E26" s="34">
        <f t="shared" si="2"/>
        <v>-315294</v>
      </c>
      <c r="F26" s="10">
        <v>12000000</v>
      </c>
      <c r="G26" s="10"/>
      <c r="H26" s="10"/>
      <c r="I26" s="17"/>
      <c r="J26" s="18"/>
      <c r="K26" s="10"/>
      <c r="L26" s="10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21"/>
      <c r="B27" s="22">
        <v>44900</v>
      </c>
      <c r="C27" s="22">
        <f t="shared" si="0"/>
        <v>44903</v>
      </c>
      <c r="D27" s="21">
        <f t="shared" si="1"/>
        <v>4</v>
      </c>
      <c r="E27" s="34">
        <f t="shared" si="2"/>
        <v>-265294</v>
      </c>
      <c r="F27" s="10">
        <v>100000</v>
      </c>
      <c r="G27" s="10">
        <v>50000</v>
      </c>
      <c r="H27" s="10"/>
      <c r="I27" s="17"/>
      <c r="J27" s="18"/>
      <c r="K27" s="10"/>
      <c r="L27" s="10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21"/>
      <c r="B28" s="22">
        <v>44904</v>
      </c>
      <c r="C28" s="22">
        <f t="shared" si="0"/>
        <v>44904</v>
      </c>
      <c r="D28" s="21">
        <f t="shared" si="1"/>
        <v>1</v>
      </c>
      <c r="E28" s="34">
        <f t="shared" si="2"/>
        <v>-66294</v>
      </c>
      <c r="F28" s="10">
        <v>200000</v>
      </c>
      <c r="G28" s="10">
        <v>1000</v>
      </c>
      <c r="H28" s="10"/>
      <c r="I28" s="17"/>
      <c r="J28" s="18"/>
      <c r="K28" s="10"/>
      <c r="L28" s="10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21"/>
      <c r="B29" s="22">
        <v>44905</v>
      </c>
      <c r="C29" s="22">
        <f t="shared" si="0"/>
        <v>44916</v>
      </c>
      <c r="D29" s="21">
        <f t="shared" si="1"/>
        <v>12</v>
      </c>
      <c r="E29" s="34">
        <f t="shared" si="2"/>
        <v>-8566294</v>
      </c>
      <c r="F29" s="10">
        <v>3700000</v>
      </c>
      <c r="G29" s="10">
        <v>12200000</v>
      </c>
      <c r="H29" s="10"/>
      <c r="I29" s="17"/>
      <c r="J29" s="18"/>
      <c r="K29" s="10"/>
      <c r="L29" s="10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21"/>
      <c r="B30" s="22">
        <v>44917</v>
      </c>
      <c r="C30" s="22">
        <f t="shared" si="0"/>
        <v>44924</v>
      </c>
      <c r="D30" s="21">
        <f t="shared" si="1"/>
        <v>8</v>
      </c>
      <c r="E30" s="34">
        <f t="shared" si="2"/>
        <v>-3366294</v>
      </c>
      <c r="F30" s="10">
        <v>5600000</v>
      </c>
      <c r="G30" s="10">
        <v>400000</v>
      </c>
      <c r="H30" s="10"/>
      <c r="I30" s="17"/>
      <c r="J30" s="18"/>
      <c r="K30" s="10"/>
      <c r="L30" s="10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21"/>
      <c r="B31" s="22">
        <v>44925</v>
      </c>
      <c r="C31" s="22">
        <f t="shared" si="0"/>
        <v>44925</v>
      </c>
      <c r="D31" s="21">
        <f t="shared" si="1"/>
        <v>1</v>
      </c>
      <c r="E31" s="34">
        <f t="shared" si="2"/>
        <v>-66294</v>
      </c>
      <c r="F31" s="10">
        <v>3300000</v>
      </c>
      <c r="G31" s="10"/>
      <c r="H31" s="10"/>
      <c r="I31" s="17"/>
      <c r="J31" s="18"/>
      <c r="K31" s="10"/>
      <c r="L31" s="10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21"/>
      <c r="B32" s="22">
        <v>44926</v>
      </c>
      <c r="C32" s="22">
        <f t="shared" si="0"/>
        <v>44929</v>
      </c>
      <c r="D32" s="21">
        <f t="shared" si="1"/>
        <v>4</v>
      </c>
      <c r="E32" s="34">
        <f t="shared" si="2"/>
        <v>-67089</v>
      </c>
      <c r="F32" s="10"/>
      <c r="G32" s="10">
        <v>795</v>
      </c>
      <c r="H32" s="10"/>
      <c r="I32" s="17"/>
      <c r="J32" s="18"/>
      <c r="K32" s="10"/>
      <c r="L32" s="1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21"/>
      <c r="B33" s="22">
        <v>44930</v>
      </c>
      <c r="C33" s="22">
        <f t="shared" si="0"/>
        <v>44930</v>
      </c>
      <c r="D33" s="21">
        <f t="shared" si="1"/>
        <v>1</v>
      </c>
      <c r="E33" s="34">
        <f t="shared" si="2"/>
        <v>-9828738</v>
      </c>
      <c r="F33" s="10">
        <v>2000000</v>
      </c>
      <c r="G33" s="10">
        <v>11761649</v>
      </c>
      <c r="H33" s="10"/>
      <c r="I33" s="17"/>
      <c r="J33" s="18"/>
      <c r="K33" s="10"/>
      <c r="L33" s="1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21"/>
      <c r="B34" s="22">
        <v>44931</v>
      </c>
      <c r="C34" s="22">
        <f t="shared" si="0"/>
        <v>44931</v>
      </c>
      <c r="D34" s="21">
        <f t="shared" si="1"/>
        <v>1</v>
      </c>
      <c r="E34" s="34">
        <f t="shared" si="2"/>
        <v>-828738</v>
      </c>
      <c r="F34" s="10">
        <v>9000000</v>
      </c>
      <c r="G34" s="10"/>
      <c r="H34" s="10"/>
      <c r="I34" s="17"/>
      <c r="J34" s="18"/>
      <c r="K34" s="10"/>
      <c r="L34" s="1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21"/>
      <c r="B35" s="22">
        <v>44932</v>
      </c>
      <c r="C35" s="22">
        <f t="shared" si="0"/>
        <v>44932</v>
      </c>
      <c r="D35" s="21">
        <f t="shared" si="1"/>
        <v>1</v>
      </c>
      <c r="E35" s="34">
        <f t="shared" si="2"/>
        <v>-3078738</v>
      </c>
      <c r="F35" s="10"/>
      <c r="G35" s="10">
        <v>2250000</v>
      </c>
      <c r="H35" s="10"/>
      <c r="I35" s="17"/>
      <c r="J35" s="18"/>
      <c r="K35" s="10"/>
      <c r="L35" s="10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21"/>
      <c r="B36" s="22">
        <v>44933</v>
      </c>
      <c r="C36" s="22">
        <f t="shared" si="0"/>
        <v>44936</v>
      </c>
      <c r="D36" s="21">
        <f t="shared" si="1"/>
        <v>4</v>
      </c>
      <c r="E36" s="34">
        <f t="shared" si="2"/>
        <v>-78738</v>
      </c>
      <c r="F36" s="10">
        <v>3000000</v>
      </c>
      <c r="G36" s="10"/>
      <c r="H36" s="10"/>
      <c r="I36" s="17"/>
      <c r="J36" s="18"/>
      <c r="K36" s="10"/>
      <c r="L36" s="1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21"/>
      <c r="B37" s="22">
        <v>44937</v>
      </c>
      <c r="C37" s="22">
        <f t="shared" si="0"/>
        <v>44941</v>
      </c>
      <c r="D37" s="21">
        <f t="shared" si="1"/>
        <v>5</v>
      </c>
      <c r="E37" s="34">
        <f t="shared" si="2"/>
        <v>-3597588</v>
      </c>
      <c r="F37" s="10">
        <v>200000</v>
      </c>
      <c r="G37" s="10">
        <v>3718850</v>
      </c>
      <c r="H37" s="10"/>
      <c r="I37" s="17"/>
      <c r="J37" s="18"/>
      <c r="K37" s="10"/>
      <c r="L37" s="1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21"/>
      <c r="B38" s="22">
        <v>44942</v>
      </c>
      <c r="C38" s="22">
        <f t="shared" si="0"/>
        <v>44942</v>
      </c>
      <c r="D38" s="21">
        <f t="shared" si="1"/>
        <v>1</v>
      </c>
      <c r="E38" s="34">
        <f t="shared" si="2"/>
        <v>-97588</v>
      </c>
      <c r="F38" s="10">
        <v>6700000</v>
      </c>
      <c r="G38" s="10">
        <v>3200000</v>
      </c>
      <c r="H38" s="10"/>
      <c r="I38" s="17"/>
      <c r="J38" s="18"/>
      <c r="K38" s="10"/>
      <c r="L38" s="1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21"/>
      <c r="B39" s="22">
        <v>44943</v>
      </c>
      <c r="C39" s="22">
        <f t="shared" si="0"/>
        <v>44943</v>
      </c>
      <c r="D39" s="21">
        <f t="shared" si="1"/>
        <v>1</v>
      </c>
      <c r="E39" s="34">
        <f t="shared" si="2"/>
        <v>-7097588</v>
      </c>
      <c r="F39" s="10"/>
      <c r="G39" s="10">
        <v>7000000</v>
      </c>
      <c r="H39" s="10"/>
      <c r="I39" s="17"/>
      <c r="J39" s="18"/>
      <c r="K39" s="10"/>
      <c r="L39" s="10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21"/>
      <c r="B40" s="22">
        <v>44944</v>
      </c>
      <c r="C40" s="22">
        <f t="shared" si="0"/>
        <v>44951</v>
      </c>
      <c r="D40" s="21">
        <f t="shared" si="1"/>
        <v>8</v>
      </c>
      <c r="E40" s="34">
        <f t="shared" si="2"/>
        <v>-4097588</v>
      </c>
      <c r="F40" s="10">
        <v>3000000</v>
      </c>
      <c r="G40" s="10"/>
      <c r="H40" s="10"/>
      <c r="I40" s="17"/>
      <c r="J40" s="18"/>
      <c r="K40" s="10"/>
      <c r="L40" s="1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21"/>
      <c r="B41" s="22">
        <v>44952</v>
      </c>
      <c r="C41" s="22">
        <f t="shared" si="0"/>
        <v>44952</v>
      </c>
      <c r="D41" s="21">
        <f t="shared" si="1"/>
        <v>1</v>
      </c>
      <c r="E41" s="34">
        <f t="shared" si="2"/>
        <v>-97588</v>
      </c>
      <c r="F41" s="10">
        <v>4000000</v>
      </c>
      <c r="G41" s="10"/>
      <c r="H41" s="10"/>
      <c r="I41" s="17"/>
      <c r="J41" s="18"/>
      <c r="K41" s="10"/>
      <c r="L41" s="1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21"/>
      <c r="B42" s="22">
        <v>44953</v>
      </c>
      <c r="C42" s="22">
        <f t="shared" si="0"/>
        <v>44953</v>
      </c>
      <c r="D42" s="21">
        <f t="shared" si="1"/>
        <v>1</v>
      </c>
      <c r="E42" s="34">
        <f t="shared" si="2"/>
        <v>-200915</v>
      </c>
      <c r="F42" s="10"/>
      <c r="G42" s="10">
        <v>103327</v>
      </c>
      <c r="H42" s="10"/>
      <c r="I42" s="17"/>
      <c r="J42" s="18"/>
      <c r="K42" s="10"/>
      <c r="L42" s="1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21"/>
      <c r="B43" s="22">
        <v>44954</v>
      </c>
      <c r="C43" s="22">
        <f t="shared" si="0"/>
        <v>44956</v>
      </c>
      <c r="D43" s="21">
        <f t="shared" si="1"/>
        <v>3</v>
      </c>
      <c r="E43" s="34">
        <f t="shared" si="2"/>
        <v>-915</v>
      </c>
      <c r="F43" s="10">
        <v>1200000</v>
      </c>
      <c r="G43" s="10">
        <v>1000000</v>
      </c>
      <c r="H43" s="10"/>
      <c r="I43" s="17"/>
      <c r="J43" s="18"/>
      <c r="K43" s="10"/>
      <c r="L43" s="10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21"/>
      <c r="B44" s="22">
        <v>44957</v>
      </c>
      <c r="C44" s="22">
        <f t="shared" si="0"/>
        <v>44958</v>
      </c>
      <c r="D44" s="21">
        <f t="shared" si="1"/>
        <v>2</v>
      </c>
      <c r="E44" s="34">
        <f t="shared" si="2"/>
        <v>-1315</v>
      </c>
      <c r="F44" s="10"/>
      <c r="G44" s="10">
        <v>400</v>
      </c>
      <c r="H44" s="10"/>
      <c r="I44" s="17"/>
      <c r="J44" s="18"/>
      <c r="K44" s="10"/>
      <c r="L44" s="1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21"/>
      <c r="B45" s="22">
        <v>44959</v>
      </c>
      <c r="C45" s="22">
        <f t="shared" si="0"/>
        <v>44959</v>
      </c>
      <c r="D45" s="21">
        <f t="shared" si="1"/>
        <v>1</v>
      </c>
      <c r="E45" s="34">
        <f t="shared" si="2"/>
        <v>-381662</v>
      </c>
      <c r="F45" s="10">
        <v>8500000</v>
      </c>
      <c r="G45" s="10">
        <v>8880347</v>
      </c>
      <c r="H45" s="10"/>
      <c r="I45" s="17"/>
      <c r="J45" s="18"/>
      <c r="K45" s="10"/>
      <c r="L45" s="1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21"/>
      <c r="B46" s="22">
        <v>44960</v>
      </c>
      <c r="C46" s="22">
        <f t="shared" si="0"/>
        <v>44965</v>
      </c>
      <c r="D46" s="21">
        <f t="shared" si="1"/>
        <v>6</v>
      </c>
      <c r="E46" s="34">
        <f t="shared" si="2"/>
        <v>-81662</v>
      </c>
      <c r="F46" s="10">
        <v>300000</v>
      </c>
      <c r="G46" s="10"/>
      <c r="H46" s="10"/>
      <c r="I46" s="17"/>
      <c r="J46" s="18"/>
      <c r="K46" s="10"/>
      <c r="L46" s="1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21"/>
      <c r="B47" s="22">
        <v>44966</v>
      </c>
      <c r="C47" s="22">
        <f t="shared" si="0"/>
        <v>44976</v>
      </c>
      <c r="D47" s="21">
        <f t="shared" si="1"/>
        <v>11</v>
      </c>
      <c r="E47" s="34">
        <f t="shared" si="2"/>
        <v>-21662</v>
      </c>
      <c r="F47" s="10">
        <v>180000</v>
      </c>
      <c r="G47" s="10">
        <v>120000</v>
      </c>
      <c r="H47" s="10"/>
      <c r="I47" s="17"/>
      <c r="J47" s="18"/>
      <c r="K47" s="10"/>
      <c r="L47" s="1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21"/>
      <c r="B48" s="22">
        <v>44977</v>
      </c>
      <c r="C48" s="22">
        <f t="shared" si="0"/>
        <v>44977</v>
      </c>
      <c r="D48" s="21">
        <f t="shared" si="1"/>
        <v>1</v>
      </c>
      <c r="E48" s="34">
        <f t="shared" si="2"/>
        <v>-1021662</v>
      </c>
      <c r="F48" s="10"/>
      <c r="G48" s="10">
        <v>1000000</v>
      </c>
      <c r="H48" s="10"/>
      <c r="I48" s="17"/>
      <c r="J48" s="18"/>
      <c r="K48" s="10"/>
      <c r="L48" s="1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21"/>
      <c r="B49" s="22">
        <v>44978</v>
      </c>
      <c r="C49" s="22">
        <f t="shared" si="0"/>
        <v>44978</v>
      </c>
      <c r="D49" s="21">
        <f t="shared" si="1"/>
        <v>1</v>
      </c>
      <c r="E49" s="34">
        <f t="shared" si="2"/>
        <v>-21662</v>
      </c>
      <c r="F49" s="10">
        <v>1000000</v>
      </c>
      <c r="G49" s="10"/>
      <c r="H49" s="10"/>
      <c r="I49" s="17"/>
      <c r="J49" s="18"/>
      <c r="K49" s="10"/>
      <c r="L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21"/>
      <c r="B50" s="22">
        <v>44979</v>
      </c>
      <c r="C50" s="22">
        <f t="shared" si="0"/>
        <v>44980</v>
      </c>
      <c r="D50" s="21">
        <f t="shared" si="1"/>
        <v>2</v>
      </c>
      <c r="E50" s="34">
        <f t="shared" si="2"/>
        <v>-16721662</v>
      </c>
      <c r="F50" s="10"/>
      <c r="G50" s="10">
        <v>16700000</v>
      </c>
      <c r="H50" s="10"/>
      <c r="I50" s="17"/>
      <c r="J50" s="18"/>
      <c r="K50" s="10"/>
      <c r="L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21"/>
      <c r="B51" s="22">
        <v>44981</v>
      </c>
      <c r="C51" s="22">
        <f t="shared" si="0"/>
        <v>44983</v>
      </c>
      <c r="D51" s="21">
        <f t="shared" si="1"/>
        <v>3</v>
      </c>
      <c r="E51" s="34">
        <f t="shared" si="2"/>
        <v>-15721662</v>
      </c>
      <c r="F51" s="10">
        <v>1000000</v>
      </c>
      <c r="G51" s="10"/>
      <c r="H51" s="10"/>
      <c r="I51" s="17"/>
      <c r="J51" s="18"/>
      <c r="K51" s="10"/>
      <c r="L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21"/>
      <c r="B52" s="22">
        <v>44984</v>
      </c>
      <c r="C52" s="22">
        <f t="shared" si="0"/>
        <v>44984</v>
      </c>
      <c r="D52" s="21">
        <f t="shared" si="1"/>
        <v>1</v>
      </c>
      <c r="E52" s="34">
        <f t="shared" si="2"/>
        <v>-15571662</v>
      </c>
      <c r="F52" s="10">
        <v>250000</v>
      </c>
      <c r="G52" s="10">
        <v>100000</v>
      </c>
      <c r="H52" s="10"/>
      <c r="I52" s="17"/>
      <c r="J52" s="18"/>
      <c r="K52" s="10"/>
      <c r="L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21"/>
      <c r="B53" s="22">
        <v>44985</v>
      </c>
      <c r="C53" s="22">
        <f t="shared" si="0"/>
        <v>44986</v>
      </c>
      <c r="D53" s="21">
        <f t="shared" si="1"/>
        <v>2</v>
      </c>
      <c r="E53" s="34">
        <f t="shared" si="2"/>
        <v>-15572286</v>
      </c>
      <c r="F53" s="10"/>
      <c r="G53" s="10">
        <v>624</v>
      </c>
      <c r="H53" s="10"/>
      <c r="I53" s="17"/>
      <c r="J53" s="18"/>
      <c r="K53" s="10"/>
      <c r="L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21"/>
      <c r="B54" s="22">
        <v>44987</v>
      </c>
      <c r="C54" s="22">
        <f t="shared" si="0"/>
        <v>44987</v>
      </c>
      <c r="D54" s="21">
        <f t="shared" si="1"/>
        <v>1</v>
      </c>
      <c r="E54" s="34">
        <f t="shared" si="2"/>
        <v>-16822711</v>
      </c>
      <c r="F54" s="10">
        <v>9000000</v>
      </c>
      <c r="G54" s="10">
        <v>10250425</v>
      </c>
      <c r="H54" s="10"/>
      <c r="I54" s="17"/>
      <c r="J54" s="18"/>
      <c r="K54" s="10"/>
      <c r="L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21"/>
      <c r="B55" s="22">
        <v>44988</v>
      </c>
      <c r="C55" s="22">
        <f t="shared" si="0"/>
        <v>45006</v>
      </c>
      <c r="D55" s="21">
        <f t="shared" si="1"/>
        <v>19</v>
      </c>
      <c r="E55" s="34">
        <f t="shared" si="2"/>
        <v>-4822711</v>
      </c>
      <c r="F55" s="10">
        <v>12000000</v>
      </c>
      <c r="G55" s="10"/>
      <c r="H55" s="10"/>
      <c r="I55" s="17"/>
      <c r="J55" s="18"/>
      <c r="K55" s="10"/>
      <c r="L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21"/>
      <c r="B56" s="22">
        <v>45007</v>
      </c>
      <c r="C56" s="22">
        <f t="shared" si="0"/>
        <v>45015</v>
      </c>
      <c r="D56" s="21">
        <f t="shared" si="1"/>
        <v>9</v>
      </c>
      <c r="E56" s="34">
        <f t="shared" si="2"/>
        <v>-1822711</v>
      </c>
      <c r="F56" s="10">
        <v>3000000</v>
      </c>
      <c r="G56" s="10"/>
      <c r="H56" s="10"/>
      <c r="I56" s="17"/>
      <c r="J56" s="18"/>
      <c r="K56" s="10"/>
      <c r="L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21"/>
      <c r="B57" s="22">
        <v>45016</v>
      </c>
      <c r="C57" s="22">
        <f t="shared" si="0"/>
        <v>45018</v>
      </c>
      <c r="D57" s="21">
        <f t="shared" si="1"/>
        <v>3</v>
      </c>
      <c r="E57" s="34">
        <f t="shared" si="2"/>
        <v>-1823490</v>
      </c>
      <c r="F57" s="10">
        <v>800000</v>
      </c>
      <c r="G57" s="10">
        <v>800779</v>
      </c>
      <c r="H57" s="10"/>
      <c r="I57" s="17"/>
      <c r="J57" s="18"/>
      <c r="K57" s="10"/>
      <c r="L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21"/>
      <c r="B58" s="22">
        <v>45019</v>
      </c>
      <c r="C58" s="22">
        <f t="shared" si="0"/>
        <v>45019</v>
      </c>
      <c r="D58" s="21">
        <f t="shared" si="1"/>
        <v>1</v>
      </c>
      <c r="E58" s="34">
        <f t="shared" si="2"/>
        <v>-1913490</v>
      </c>
      <c r="F58" s="10"/>
      <c r="G58" s="10">
        <v>90000</v>
      </c>
      <c r="H58" s="10"/>
      <c r="I58" s="17"/>
      <c r="J58" s="18"/>
      <c r="K58" s="10"/>
      <c r="L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21"/>
      <c r="B59" s="22">
        <v>45020</v>
      </c>
      <c r="C59" s="22">
        <f t="shared" si="0"/>
        <v>45020</v>
      </c>
      <c r="D59" s="21">
        <f t="shared" si="1"/>
        <v>1</v>
      </c>
      <c r="E59" s="34">
        <f t="shared" si="2"/>
        <v>-2060544</v>
      </c>
      <c r="F59" s="10">
        <v>13300000</v>
      </c>
      <c r="G59" s="10">
        <v>13447054</v>
      </c>
      <c r="H59" s="10"/>
      <c r="I59" s="17"/>
      <c r="J59" s="18"/>
      <c r="K59" s="10"/>
      <c r="L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21"/>
      <c r="B60" s="22">
        <v>45021</v>
      </c>
      <c r="C60" s="22">
        <f t="shared" si="0"/>
        <v>45025</v>
      </c>
      <c r="D60" s="21">
        <f t="shared" si="1"/>
        <v>5</v>
      </c>
      <c r="E60" s="34">
        <f t="shared" si="2"/>
        <v>-160544</v>
      </c>
      <c r="F60" s="10">
        <v>6600000</v>
      </c>
      <c r="G60" s="10">
        <v>4700000</v>
      </c>
      <c r="H60" s="10"/>
      <c r="I60" s="17"/>
      <c r="J60" s="18"/>
      <c r="K60" s="10"/>
      <c r="L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21"/>
      <c r="B61" s="22">
        <v>45026</v>
      </c>
      <c r="C61" s="22">
        <f t="shared" si="0"/>
        <v>45028</v>
      </c>
      <c r="D61" s="21">
        <f t="shared" si="1"/>
        <v>3</v>
      </c>
      <c r="E61" s="34">
        <f t="shared" si="2"/>
        <v>-10660544</v>
      </c>
      <c r="F61" s="10"/>
      <c r="G61" s="10">
        <v>10500000</v>
      </c>
      <c r="H61" s="10"/>
      <c r="I61" s="17"/>
      <c r="J61" s="18"/>
      <c r="K61" s="10"/>
      <c r="L61" s="10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21"/>
      <c r="B62" s="22">
        <v>45029</v>
      </c>
      <c r="C62" s="22">
        <f t="shared" si="0"/>
        <v>45032</v>
      </c>
      <c r="D62" s="21">
        <f t="shared" si="1"/>
        <v>4</v>
      </c>
      <c r="E62" s="34">
        <f t="shared" si="2"/>
        <v>-10160544</v>
      </c>
      <c r="F62" s="10">
        <v>500000</v>
      </c>
      <c r="G62" s="10"/>
      <c r="H62" s="10"/>
      <c r="I62" s="17"/>
      <c r="J62" s="18"/>
      <c r="K62" s="10"/>
      <c r="L62" s="10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21"/>
      <c r="B63" s="22">
        <v>45033</v>
      </c>
      <c r="C63" s="22">
        <f t="shared" si="0"/>
        <v>45041</v>
      </c>
      <c r="D63" s="21">
        <f t="shared" si="1"/>
        <v>9</v>
      </c>
      <c r="E63" s="34">
        <f t="shared" si="2"/>
        <v>-7160544</v>
      </c>
      <c r="F63" s="10">
        <v>3000000</v>
      </c>
      <c r="G63" s="10"/>
      <c r="H63" s="10"/>
      <c r="I63" s="17"/>
      <c r="J63" s="18"/>
      <c r="K63" s="10"/>
      <c r="L63" s="10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21"/>
      <c r="B64" s="22">
        <v>45042</v>
      </c>
      <c r="C64" s="22">
        <f t="shared" si="0"/>
        <v>45042</v>
      </c>
      <c r="D64" s="21">
        <f t="shared" si="1"/>
        <v>1</v>
      </c>
      <c r="E64" s="34">
        <f t="shared" si="2"/>
        <v>-1160544</v>
      </c>
      <c r="F64" s="10">
        <v>6000000</v>
      </c>
      <c r="G64" s="10"/>
      <c r="H64" s="10"/>
      <c r="I64" s="17"/>
      <c r="J64" s="18"/>
      <c r="K64" s="10"/>
      <c r="L64" s="10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21"/>
      <c r="B65" s="22">
        <v>45043</v>
      </c>
      <c r="C65" s="22">
        <f t="shared" si="0"/>
        <v>45045</v>
      </c>
      <c r="D65" s="21">
        <f t="shared" si="1"/>
        <v>3</v>
      </c>
      <c r="E65" s="34">
        <f t="shared" si="2"/>
        <v>-1010544</v>
      </c>
      <c r="F65" s="10">
        <v>460000</v>
      </c>
      <c r="G65" s="10">
        <v>310000</v>
      </c>
      <c r="H65" s="10"/>
      <c r="I65" s="17"/>
      <c r="J65" s="18"/>
      <c r="K65" s="10"/>
      <c r="L65" s="10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21"/>
      <c r="B66" s="22">
        <v>45046</v>
      </c>
      <c r="C66" s="22">
        <f t="shared" si="0"/>
        <v>45049</v>
      </c>
      <c r="D66" s="21">
        <f t="shared" si="1"/>
        <v>4</v>
      </c>
      <c r="E66" s="34">
        <f t="shared" si="2"/>
        <v>-1012578</v>
      </c>
      <c r="F66" s="10"/>
      <c r="G66" s="10">
        <v>2034</v>
      </c>
      <c r="H66" s="10"/>
      <c r="I66" s="17"/>
      <c r="J66" s="18"/>
      <c r="K66" s="10"/>
      <c r="L66" s="10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21"/>
      <c r="B67" s="22">
        <v>45050</v>
      </c>
      <c r="C67" s="22">
        <f t="shared" si="0"/>
        <v>45051</v>
      </c>
      <c r="D67" s="21">
        <f t="shared" si="1"/>
        <v>2</v>
      </c>
      <c r="E67" s="34">
        <f t="shared" si="2"/>
        <v>-6950241</v>
      </c>
      <c r="F67" s="10">
        <v>5000000</v>
      </c>
      <c r="G67" s="10">
        <v>10937663</v>
      </c>
      <c r="H67" s="10"/>
      <c r="I67" s="17"/>
      <c r="J67" s="18"/>
      <c r="K67" s="10"/>
      <c r="L67" s="10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21"/>
      <c r="B68" s="22">
        <v>45052</v>
      </c>
      <c r="C68" s="22">
        <f t="shared" si="0"/>
        <v>45053</v>
      </c>
      <c r="D68" s="21">
        <f t="shared" si="1"/>
        <v>2</v>
      </c>
      <c r="E68" s="34">
        <f t="shared" si="2"/>
        <v>-950241</v>
      </c>
      <c r="F68" s="10">
        <v>6000000</v>
      </c>
      <c r="G68" s="10"/>
      <c r="H68" s="10"/>
      <c r="I68" s="17"/>
      <c r="J68" s="18"/>
      <c r="K68" s="10"/>
      <c r="L68" s="10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21"/>
      <c r="B69" s="22">
        <v>45054</v>
      </c>
      <c r="C69" s="22">
        <f t="shared" si="0"/>
        <v>45067</v>
      </c>
      <c r="D69" s="21">
        <f t="shared" si="1"/>
        <v>14</v>
      </c>
      <c r="E69" s="34">
        <f t="shared" si="2"/>
        <v>-500241</v>
      </c>
      <c r="F69" s="10">
        <v>450000</v>
      </c>
      <c r="G69" s="10"/>
      <c r="H69" s="10"/>
      <c r="I69" s="17"/>
      <c r="J69" s="18"/>
      <c r="K69" s="10"/>
      <c r="L69" s="10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21"/>
      <c r="B70" s="22">
        <v>45068</v>
      </c>
      <c r="C70" s="22">
        <f t="shared" si="0"/>
        <v>45068</v>
      </c>
      <c r="D70" s="21">
        <f t="shared" si="1"/>
        <v>1</v>
      </c>
      <c r="E70" s="34">
        <f t="shared" si="2"/>
        <v>-2200241</v>
      </c>
      <c r="F70" s="10"/>
      <c r="G70" s="10">
        <v>1700000</v>
      </c>
      <c r="H70" s="10"/>
      <c r="I70" s="17"/>
      <c r="J70" s="18"/>
      <c r="K70" s="10"/>
      <c r="L70" s="10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21"/>
      <c r="B71" s="22">
        <v>45069</v>
      </c>
      <c r="C71" s="22">
        <f t="shared" si="0"/>
        <v>45076</v>
      </c>
      <c r="D71" s="21">
        <f t="shared" si="1"/>
        <v>8</v>
      </c>
      <c r="E71" s="34">
        <f t="shared" si="2"/>
        <v>-200241</v>
      </c>
      <c r="F71" s="10">
        <v>2000000</v>
      </c>
      <c r="G71" s="10"/>
      <c r="H71" s="10"/>
      <c r="I71" s="17"/>
      <c r="J71" s="18"/>
      <c r="K71" s="10"/>
      <c r="L71" s="10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21"/>
      <c r="B72" s="22">
        <v>45077</v>
      </c>
      <c r="C72" s="22">
        <f t="shared" si="0"/>
        <v>45078</v>
      </c>
      <c r="D72" s="21">
        <f t="shared" si="1"/>
        <v>2</v>
      </c>
      <c r="E72" s="34">
        <f t="shared" si="2"/>
        <v>-100648</v>
      </c>
      <c r="F72" s="10">
        <v>100000</v>
      </c>
      <c r="G72" s="10">
        <v>407</v>
      </c>
      <c r="H72" s="10"/>
      <c r="I72" s="17"/>
      <c r="J72" s="18"/>
      <c r="K72" s="10"/>
      <c r="L72" s="10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21"/>
      <c r="B73" s="22">
        <v>45079</v>
      </c>
      <c r="C73" s="22">
        <f t="shared" si="0"/>
        <v>45102</v>
      </c>
      <c r="D73" s="21">
        <f t="shared" si="1"/>
        <v>24</v>
      </c>
      <c r="E73" s="34">
        <f t="shared" si="2"/>
        <v>-409365</v>
      </c>
      <c r="F73" s="10">
        <v>8000000</v>
      </c>
      <c r="G73" s="10">
        <v>8308717</v>
      </c>
      <c r="H73" s="10"/>
      <c r="I73" s="17"/>
      <c r="J73" s="18"/>
      <c r="K73" s="10"/>
      <c r="L73" s="10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21"/>
      <c r="B74" s="22">
        <v>45103</v>
      </c>
      <c r="C74" s="22">
        <f t="shared" si="0"/>
        <v>45106</v>
      </c>
      <c r="D74" s="21">
        <f t="shared" si="1"/>
        <v>4</v>
      </c>
      <c r="E74" s="34">
        <f t="shared" si="2"/>
        <v>-239365</v>
      </c>
      <c r="F74" s="10">
        <v>170000</v>
      </c>
      <c r="G74" s="10"/>
      <c r="H74" s="10"/>
      <c r="I74" s="17"/>
      <c r="J74" s="18"/>
      <c r="K74" s="10"/>
      <c r="L74" s="10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21"/>
      <c r="B75" s="22">
        <v>45107</v>
      </c>
      <c r="C75" s="22">
        <f t="shared" si="0"/>
        <v>45107</v>
      </c>
      <c r="D75" s="21">
        <f t="shared" si="1"/>
        <v>1</v>
      </c>
      <c r="E75" s="34">
        <f t="shared" si="2"/>
        <v>-1239510</v>
      </c>
      <c r="F75" s="10"/>
      <c r="G75" s="10">
        <v>1000145</v>
      </c>
      <c r="H75" s="10"/>
      <c r="I75" s="17"/>
      <c r="J75" s="18"/>
      <c r="K75" s="10"/>
      <c r="L75" s="10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21"/>
      <c r="B76" s="22">
        <v>45108</v>
      </c>
      <c r="C76" s="22">
        <f t="shared" si="0"/>
        <v>45109</v>
      </c>
      <c r="D76" s="21">
        <f t="shared" si="1"/>
        <v>2</v>
      </c>
      <c r="E76" s="34">
        <f t="shared" si="2"/>
        <v>-189510</v>
      </c>
      <c r="F76" s="10">
        <v>1050000</v>
      </c>
      <c r="G76" s="10"/>
      <c r="H76" s="10"/>
      <c r="I76" s="17"/>
      <c r="J76" s="18"/>
      <c r="K76" s="10"/>
      <c r="L76" s="10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21"/>
      <c r="B77" s="22">
        <v>45110</v>
      </c>
      <c r="C77" s="22">
        <f t="shared" si="0"/>
        <v>45117</v>
      </c>
      <c r="D77" s="21">
        <f t="shared" si="1"/>
        <v>8</v>
      </c>
      <c r="E77" s="34">
        <f t="shared" si="2"/>
        <v>-75916</v>
      </c>
      <c r="F77" s="10">
        <v>12000000</v>
      </c>
      <c r="G77" s="10">
        <v>11886406</v>
      </c>
      <c r="H77" s="10"/>
      <c r="I77" s="17"/>
      <c r="J77" s="18"/>
      <c r="K77" s="10"/>
      <c r="L77" s="10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21"/>
      <c r="B78" s="22">
        <v>45118</v>
      </c>
      <c r="C78" s="22">
        <f t="shared" ref="C78:C141" si="3">B79-1</f>
        <v>45118</v>
      </c>
      <c r="D78" s="21">
        <f t="shared" ref="D78:D141" si="4">C78-B78+1</f>
        <v>1</v>
      </c>
      <c r="E78" s="34">
        <f t="shared" si="2"/>
        <v>-9075916</v>
      </c>
      <c r="F78" s="10">
        <v>1000000</v>
      </c>
      <c r="G78" s="10">
        <v>10000000</v>
      </c>
      <c r="H78" s="10"/>
      <c r="I78" s="17"/>
      <c r="J78" s="18"/>
      <c r="K78" s="10"/>
      <c r="L78" s="10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21"/>
      <c r="B79" s="22">
        <v>45119</v>
      </c>
      <c r="C79" s="22">
        <f t="shared" si="3"/>
        <v>45127</v>
      </c>
      <c r="D79" s="21">
        <f t="shared" si="4"/>
        <v>9</v>
      </c>
      <c r="E79" s="34">
        <f t="shared" ref="E79:E142" si="5">E78+F79-G79</f>
        <v>-75916</v>
      </c>
      <c r="F79" s="10">
        <v>9000000</v>
      </c>
      <c r="G79" s="10"/>
      <c r="H79" s="10"/>
      <c r="I79" s="17"/>
      <c r="J79" s="18"/>
      <c r="K79" s="10"/>
      <c r="L79" s="10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21"/>
      <c r="B80" s="22">
        <v>45128</v>
      </c>
      <c r="C80" s="22">
        <f t="shared" si="3"/>
        <v>45130</v>
      </c>
      <c r="D80" s="21">
        <f t="shared" si="4"/>
        <v>3</v>
      </c>
      <c r="E80" s="34">
        <f t="shared" si="5"/>
        <v>-3275916</v>
      </c>
      <c r="F80" s="10"/>
      <c r="G80" s="10">
        <v>3200000</v>
      </c>
      <c r="H80" s="10"/>
      <c r="I80" s="17"/>
      <c r="J80" s="18"/>
      <c r="K80" s="10"/>
      <c r="L80" s="10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21"/>
      <c r="B81" s="22">
        <v>45131</v>
      </c>
      <c r="C81" s="22">
        <f t="shared" si="3"/>
        <v>45137</v>
      </c>
      <c r="D81" s="21">
        <f t="shared" si="4"/>
        <v>7</v>
      </c>
      <c r="E81" s="34">
        <f t="shared" si="5"/>
        <v>-75916</v>
      </c>
      <c r="F81" s="10">
        <v>3200000</v>
      </c>
      <c r="G81" s="10"/>
      <c r="H81" s="10"/>
      <c r="I81" s="17"/>
      <c r="J81" s="18"/>
      <c r="K81" s="10"/>
      <c r="L81" s="10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21"/>
      <c r="B82" s="22">
        <v>45138</v>
      </c>
      <c r="C82" s="22">
        <f t="shared" si="3"/>
        <v>45138</v>
      </c>
      <c r="D82" s="21">
        <f t="shared" si="4"/>
        <v>1</v>
      </c>
      <c r="E82" s="34">
        <f t="shared" si="5"/>
        <v>-75973</v>
      </c>
      <c r="F82" s="10"/>
      <c r="G82" s="10">
        <v>57</v>
      </c>
      <c r="H82" s="10"/>
      <c r="I82" s="17"/>
      <c r="J82" s="18"/>
      <c r="K82" s="10"/>
      <c r="L82" s="10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21"/>
      <c r="B83" s="22">
        <v>45139</v>
      </c>
      <c r="C83" s="22">
        <f t="shared" si="3"/>
        <v>45148</v>
      </c>
      <c r="D83" s="21">
        <f t="shared" si="4"/>
        <v>10</v>
      </c>
      <c r="E83" s="34">
        <f t="shared" si="5"/>
        <v>-96143</v>
      </c>
      <c r="F83" s="10">
        <v>10800000</v>
      </c>
      <c r="G83" s="10">
        <v>10820170</v>
      </c>
      <c r="H83" s="10"/>
      <c r="I83" s="17"/>
      <c r="J83" s="18"/>
      <c r="K83" s="10"/>
      <c r="L83" s="10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21"/>
      <c r="B84" s="22">
        <v>45149</v>
      </c>
      <c r="C84" s="22">
        <f t="shared" si="3"/>
        <v>45149</v>
      </c>
      <c r="D84" s="21">
        <f t="shared" si="4"/>
        <v>1</v>
      </c>
      <c r="E84" s="34">
        <f t="shared" si="5"/>
        <v>-6096143</v>
      </c>
      <c r="F84" s="10"/>
      <c r="G84" s="10">
        <v>6000000</v>
      </c>
      <c r="H84" s="10"/>
      <c r="I84" s="17"/>
      <c r="J84" s="18"/>
      <c r="K84" s="10"/>
      <c r="L84" s="10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21"/>
      <c r="B85" s="22">
        <v>45150</v>
      </c>
      <c r="C85" s="22">
        <f t="shared" si="3"/>
        <v>45151</v>
      </c>
      <c r="D85" s="21">
        <f t="shared" si="4"/>
        <v>2</v>
      </c>
      <c r="E85" s="34">
        <f t="shared" si="5"/>
        <v>-96143</v>
      </c>
      <c r="F85" s="10">
        <v>6000000</v>
      </c>
      <c r="G85" s="10"/>
      <c r="H85" s="10"/>
      <c r="I85" s="17"/>
      <c r="J85" s="18"/>
      <c r="K85" s="10"/>
      <c r="L85" s="10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21"/>
      <c r="B86" s="22">
        <v>45152</v>
      </c>
      <c r="C86" s="22">
        <f t="shared" si="3"/>
        <v>45152</v>
      </c>
      <c r="D86" s="21">
        <f t="shared" si="4"/>
        <v>1</v>
      </c>
      <c r="E86" s="34">
        <f t="shared" si="5"/>
        <v>-56143</v>
      </c>
      <c r="F86" s="10">
        <v>40000</v>
      </c>
      <c r="G86" s="10"/>
      <c r="H86" s="10"/>
      <c r="I86" s="17"/>
      <c r="J86" s="18"/>
      <c r="K86" s="10"/>
      <c r="L86" s="10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21"/>
      <c r="B87" s="22">
        <v>45153</v>
      </c>
      <c r="C87" s="22">
        <f t="shared" si="3"/>
        <v>45153</v>
      </c>
      <c r="D87" s="21">
        <f t="shared" si="4"/>
        <v>1</v>
      </c>
      <c r="E87" s="34">
        <f t="shared" si="5"/>
        <v>-77056143</v>
      </c>
      <c r="F87" s="10"/>
      <c r="G87" s="10">
        <v>77000000</v>
      </c>
      <c r="H87" s="10"/>
      <c r="I87" s="17"/>
      <c r="J87" s="18"/>
      <c r="K87" s="10"/>
      <c r="L87" s="10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21"/>
      <c r="B88" s="22">
        <v>45154</v>
      </c>
      <c r="C88" s="22">
        <f t="shared" si="3"/>
        <v>45161</v>
      </c>
      <c r="D88" s="21">
        <f t="shared" si="4"/>
        <v>8</v>
      </c>
      <c r="E88" s="34">
        <f t="shared" si="5"/>
        <v>-57056143</v>
      </c>
      <c r="F88" s="10">
        <v>20000000</v>
      </c>
      <c r="G88" s="10"/>
      <c r="H88" s="10"/>
      <c r="I88" s="17"/>
      <c r="J88" s="18"/>
      <c r="K88" s="10"/>
      <c r="L88" s="10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21"/>
      <c r="B89" s="22">
        <v>45162</v>
      </c>
      <c r="C89" s="22">
        <f t="shared" si="3"/>
        <v>45168</v>
      </c>
      <c r="D89" s="21">
        <f t="shared" si="4"/>
        <v>7</v>
      </c>
      <c r="E89" s="34">
        <f t="shared" si="5"/>
        <v>-60256143</v>
      </c>
      <c r="F89" s="10"/>
      <c r="G89" s="10">
        <v>3200000</v>
      </c>
      <c r="H89" s="10"/>
      <c r="I89" s="17"/>
      <c r="J89" s="18"/>
      <c r="K89" s="10"/>
      <c r="L89" s="10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21"/>
      <c r="B90" s="22">
        <v>45169</v>
      </c>
      <c r="C90" s="22">
        <f t="shared" si="3"/>
        <v>45173</v>
      </c>
      <c r="D90" s="21">
        <f t="shared" si="4"/>
        <v>5</v>
      </c>
      <c r="E90" s="34">
        <f t="shared" si="5"/>
        <v>-60258945</v>
      </c>
      <c r="F90" s="10"/>
      <c r="G90" s="10">
        <v>2802</v>
      </c>
      <c r="H90" s="10"/>
      <c r="I90" s="17"/>
      <c r="J90" s="18"/>
      <c r="K90" s="10"/>
      <c r="L90" s="10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21"/>
      <c r="B91" s="22">
        <v>45174</v>
      </c>
      <c r="C91" s="22">
        <f t="shared" si="3"/>
        <v>45176</v>
      </c>
      <c r="D91" s="21">
        <f t="shared" si="4"/>
        <v>3</v>
      </c>
      <c r="E91" s="34">
        <f t="shared" si="5"/>
        <v>-43978618</v>
      </c>
      <c r="F91" s="10">
        <v>23000000</v>
      </c>
      <c r="G91" s="10">
        <v>6719673</v>
      </c>
      <c r="H91" s="10"/>
      <c r="I91" s="17"/>
      <c r="J91" s="18"/>
      <c r="K91" s="10"/>
      <c r="L91" s="10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21"/>
      <c r="B92" s="22">
        <v>45177</v>
      </c>
      <c r="C92" s="22">
        <f t="shared" si="3"/>
        <v>45186</v>
      </c>
      <c r="D92" s="21">
        <f t="shared" si="4"/>
        <v>10</v>
      </c>
      <c r="E92" s="34">
        <f t="shared" si="5"/>
        <v>-52878618</v>
      </c>
      <c r="F92" s="10"/>
      <c r="G92" s="10">
        <v>8900000</v>
      </c>
      <c r="H92" s="10"/>
      <c r="I92" s="17"/>
      <c r="J92" s="18"/>
      <c r="K92" s="10"/>
      <c r="L92" s="10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21"/>
      <c r="B93" s="22">
        <v>45187</v>
      </c>
      <c r="C93" s="22">
        <f t="shared" si="3"/>
        <v>45190</v>
      </c>
      <c r="D93" s="21">
        <f t="shared" si="4"/>
        <v>4</v>
      </c>
      <c r="E93" s="34">
        <f t="shared" si="5"/>
        <v>-40828618</v>
      </c>
      <c r="F93" s="10">
        <v>12050000</v>
      </c>
      <c r="G93" s="10"/>
      <c r="H93" s="10"/>
      <c r="I93" s="17"/>
      <c r="J93" s="18"/>
      <c r="K93" s="10"/>
      <c r="L93" s="10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21"/>
      <c r="B94" s="22">
        <v>45191</v>
      </c>
      <c r="C94" s="22">
        <f t="shared" si="3"/>
        <v>45193</v>
      </c>
      <c r="D94" s="21">
        <f t="shared" si="4"/>
        <v>3</v>
      </c>
      <c r="E94" s="34">
        <f t="shared" si="5"/>
        <v>-44028618</v>
      </c>
      <c r="F94" s="10"/>
      <c r="G94" s="10">
        <v>3200000</v>
      </c>
      <c r="H94" s="10"/>
      <c r="I94" s="17"/>
      <c r="J94" s="18"/>
      <c r="K94" s="10"/>
      <c r="L94" s="10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21"/>
      <c r="B95" s="22">
        <v>45194</v>
      </c>
      <c r="C95" s="22">
        <f t="shared" si="3"/>
        <v>45198</v>
      </c>
      <c r="D95" s="21">
        <f t="shared" si="4"/>
        <v>5</v>
      </c>
      <c r="E95" s="34">
        <f t="shared" si="5"/>
        <v>-35028618</v>
      </c>
      <c r="F95" s="10">
        <v>9000000</v>
      </c>
      <c r="G95" s="10"/>
      <c r="H95" s="10"/>
      <c r="I95" s="17"/>
      <c r="J95" s="18"/>
      <c r="K95" s="10"/>
      <c r="L95" s="10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21"/>
      <c r="B96" s="22">
        <v>45199</v>
      </c>
      <c r="C96" s="22">
        <f t="shared" si="3"/>
        <v>45202</v>
      </c>
      <c r="D96" s="21">
        <f t="shared" si="4"/>
        <v>4</v>
      </c>
      <c r="E96" s="34">
        <f t="shared" si="5"/>
        <v>-35032475</v>
      </c>
      <c r="F96" s="10"/>
      <c r="G96" s="10">
        <v>3857</v>
      </c>
      <c r="H96" s="10"/>
      <c r="I96" s="17"/>
      <c r="J96" s="18"/>
      <c r="K96" s="10"/>
      <c r="L96" s="10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21"/>
      <c r="B97" s="22">
        <v>45203</v>
      </c>
      <c r="C97" s="22">
        <f t="shared" si="3"/>
        <v>45208</v>
      </c>
      <c r="D97" s="21">
        <f t="shared" si="4"/>
        <v>6</v>
      </c>
      <c r="E97" s="34">
        <f t="shared" si="5"/>
        <v>-70432475</v>
      </c>
      <c r="F97" s="10">
        <v>29000000</v>
      </c>
      <c r="G97" s="10">
        <v>64400000</v>
      </c>
      <c r="H97" s="10"/>
      <c r="I97" s="17"/>
      <c r="J97" s="18"/>
      <c r="K97" s="10"/>
      <c r="L97" s="10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21"/>
      <c r="B98" s="22">
        <v>45209</v>
      </c>
      <c r="C98" s="22">
        <f t="shared" si="3"/>
        <v>45212</v>
      </c>
      <c r="D98" s="21">
        <f t="shared" si="4"/>
        <v>4</v>
      </c>
      <c r="E98" s="34">
        <f t="shared" si="5"/>
        <v>-80132475</v>
      </c>
      <c r="F98" s="10"/>
      <c r="G98" s="10">
        <v>9700000</v>
      </c>
      <c r="H98" s="10"/>
      <c r="I98" s="17"/>
      <c r="J98" s="18"/>
      <c r="K98" s="10"/>
      <c r="L98" s="10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21"/>
      <c r="B99" s="22">
        <v>45213</v>
      </c>
      <c r="C99" s="22">
        <f t="shared" si="3"/>
        <v>45219</v>
      </c>
      <c r="D99" s="21">
        <f t="shared" si="4"/>
        <v>7</v>
      </c>
      <c r="E99" s="34">
        <f t="shared" si="5"/>
        <v>-71132475</v>
      </c>
      <c r="F99" s="10">
        <v>9000000</v>
      </c>
      <c r="G99" s="10"/>
      <c r="H99" s="10"/>
      <c r="I99" s="17"/>
      <c r="J99" s="18"/>
      <c r="K99" s="10"/>
      <c r="L99" s="10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21"/>
      <c r="B100" s="22">
        <v>45220</v>
      </c>
      <c r="C100" s="22">
        <f t="shared" si="3"/>
        <v>45221</v>
      </c>
      <c r="D100" s="21">
        <f t="shared" si="4"/>
        <v>2</v>
      </c>
      <c r="E100" s="34">
        <f t="shared" si="5"/>
        <v>-59632475</v>
      </c>
      <c r="F100" s="10">
        <v>12000000</v>
      </c>
      <c r="G100" s="10">
        <v>500000</v>
      </c>
      <c r="H100" s="10"/>
      <c r="I100" s="17"/>
      <c r="J100" s="18"/>
      <c r="K100" s="10"/>
      <c r="L100" s="10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21"/>
      <c r="B101" s="22">
        <v>45222</v>
      </c>
      <c r="C101" s="22">
        <f t="shared" si="3"/>
        <v>45229</v>
      </c>
      <c r="D101" s="21">
        <f t="shared" si="4"/>
        <v>8</v>
      </c>
      <c r="E101" s="34">
        <f t="shared" si="5"/>
        <v>-59832475</v>
      </c>
      <c r="F101" s="10"/>
      <c r="G101" s="10">
        <v>200000</v>
      </c>
      <c r="H101" s="10"/>
      <c r="I101" s="17"/>
      <c r="J101" s="18"/>
      <c r="K101" s="10"/>
      <c r="L101" s="10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21"/>
      <c r="B102" s="22">
        <v>45230</v>
      </c>
      <c r="C102" s="22">
        <f t="shared" si="3"/>
        <v>45230</v>
      </c>
      <c r="D102" s="21">
        <f t="shared" si="4"/>
        <v>1</v>
      </c>
      <c r="E102" s="34">
        <f t="shared" si="5"/>
        <v>-59837965</v>
      </c>
      <c r="F102" s="10"/>
      <c r="G102" s="10">
        <v>5490</v>
      </c>
      <c r="H102" s="10"/>
      <c r="I102" s="17"/>
      <c r="J102" s="18"/>
      <c r="K102" s="10"/>
      <c r="L102" s="10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21"/>
      <c r="B103" s="22">
        <v>45231</v>
      </c>
      <c r="C103" s="22">
        <f t="shared" si="3"/>
        <v>45231</v>
      </c>
      <c r="D103" s="21">
        <f t="shared" si="4"/>
        <v>1</v>
      </c>
      <c r="E103" s="34">
        <f t="shared" si="5"/>
        <v>-68290222</v>
      </c>
      <c r="F103" s="10"/>
      <c r="G103" s="10">
        <v>8452257</v>
      </c>
      <c r="H103" s="10"/>
      <c r="I103" s="17"/>
      <c r="J103" s="18"/>
      <c r="K103" s="10"/>
      <c r="L103" s="10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21"/>
      <c r="B104" s="22">
        <v>45232</v>
      </c>
      <c r="C104" s="22">
        <f t="shared" si="3"/>
        <v>45235</v>
      </c>
      <c r="D104" s="21">
        <f t="shared" si="4"/>
        <v>4</v>
      </c>
      <c r="E104" s="34">
        <f t="shared" si="5"/>
        <v>-56290222</v>
      </c>
      <c r="F104" s="10">
        <v>12000000</v>
      </c>
      <c r="G104" s="10"/>
      <c r="H104" s="10"/>
      <c r="I104" s="17"/>
      <c r="J104" s="18"/>
      <c r="K104" s="10"/>
      <c r="L104" s="10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21"/>
      <c r="B105" s="22">
        <v>45236</v>
      </c>
      <c r="C105" s="22">
        <f t="shared" si="3"/>
        <v>45238</v>
      </c>
      <c r="D105" s="21">
        <f t="shared" si="4"/>
        <v>3</v>
      </c>
      <c r="E105" s="34">
        <f t="shared" si="5"/>
        <v>-41240222</v>
      </c>
      <c r="F105" s="10">
        <v>15050000</v>
      </c>
      <c r="G105" s="10"/>
      <c r="H105" s="10"/>
      <c r="I105" s="17"/>
      <c r="J105" s="18"/>
      <c r="K105" s="10"/>
      <c r="L105" s="10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21"/>
      <c r="B106" s="22">
        <v>45239</v>
      </c>
      <c r="C106" s="22">
        <f t="shared" si="3"/>
        <v>45242</v>
      </c>
      <c r="D106" s="21">
        <f t="shared" si="4"/>
        <v>4</v>
      </c>
      <c r="E106" s="34">
        <f t="shared" si="5"/>
        <v>-47640222</v>
      </c>
      <c r="F106" s="10"/>
      <c r="G106" s="10">
        <v>6400000</v>
      </c>
      <c r="H106" s="10"/>
      <c r="I106" s="17"/>
      <c r="J106" s="18"/>
      <c r="K106" s="10"/>
      <c r="L106" s="10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21"/>
      <c r="B107" s="22">
        <v>45243</v>
      </c>
      <c r="C107" s="22">
        <f t="shared" si="3"/>
        <v>45251</v>
      </c>
      <c r="D107" s="21">
        <f t="shared" si="4"/>
        <v>9</v>
      </c>
      <c r="E107" s="34">
        <f t="shared" si="5"/>
        <v>-67640222</v>
      </c>
      <c r="F107" s="10"/>
      <c r="G107" s="10">
        <v>20000000</v>
      </c>
      <c r="H107" s="10"/>
      <c r="I107" s="17"/>
      <c r="J107" s="18"/>
      <c r="K107" s="10"/>
      <c r="L107" s="10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21"/>
      <c r="B108" s="22">
        <v>45252</v>
      </c>
      <c r="C108" s="22">
        <f t="shared" si="3"/>
        <v>45259</v>
      </c>
      <c r="D108" s="21">
        <f t="shared" si="4"/>
        <v>8</v>
      </c>
      <c r="E108" s="34">
        <f t="shared" si="5"/>
        <v>-55640222</v>
      </c>
      <c r="F108" s="10">
        <v>12000000</v>
      </c>
      <c r="G108" s="10"/>
      <c r="H108" s="10"/>
      <c r="I108" s="17"/>
      <c r="J108" s="18"/>
      <c r="K108" s="10"/>
      <c r="L108" s="10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21"/>
      <c r="B109" s="22">
        <v>45260</v>
      </c>
      <c r="C109" s="22">
        <f t="shared" si="3"/>
        <v>45263</v>
      </c>
      <c r="D109" s="21">
        <f t="shared" si="4"/>
        <v>4</v>
      </c>
      <c r="E109" s="34">
        <f t="shared" si="5"/>
        <v>-55644926</v>
      </c>
      <c r="F109" s="10"/>
      <c r="G109" s="10">
        <v>4704</v>
      </c>
      <c r="H109" s="10"/>
      <c r="I109" s="17"/>
      <c r="J109" s="18"/>
      <c r="K109" s="10"/>
      <c r="L109" s="10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21"/>
      <c r="B110" s="22">
        <v>45264</v>
      </c>
      <c r="C110" s="22">
        <f t="shared" si="3"/>
        <v>45267</v>
      </c>
      <c r="D110" s="21">
        <f t="shared" si="4"/>
        <v>4</v>
      </c>
      <c r="E110" s="34">
        <f t="shared" si="5"/>
        <v>-36666436</v>
      </c>
      <c r="F110" s="10">
        <v>27050000</v>
      </c>
      <c r="G110" s="10">
        <v>8071510</v>
      </c>
      <c r="H110" s="10"/>
      <c r="I110" s="17"/>
      <c r="J110" s="18"/>
      <c r="K110" s="10"/>
      <c r="L110" s="10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21"/>
      <c r="B111" s="22">
        <v>45268</v>
      </c>
      <c r="C111" s="22">
        <f t="shared" si="3"/>
        <v>45268</v>
      </c>
      <c r="D111" s="21">
        <f t="shared" si="4"/>
        <v>1</v>
      </c>
      <c r="E111" s="34">
        <f t="shared" si="5"/>
        <v>-43966436</v>
      </c>
      <c r="F111" s="10"/>
      <c r="G111" s="10">
        <v>7300000</v>
      </c>
      <c r="H111" s="10"/>
      <c r="I111" s="17"/>
      <c r="J111" s="18"/>
      <c r="K111" s="10"/>
      <c r="L111" s="10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21"/>
      <c r="B112" s="22">
        <v>45269</v>
      </c>
      <c r="C112" s="22">
        <f t="shared" si="3"/>
        <v>45277</v>
      </c>
      <c r="D112" s="21">
        <f t="shared" si="4"/>
        <v>9</v>
      </c>
      <c r="E112" s="34">
        <f t="shared" si="5"/>
        <v>-43866436</v>
      </c>
      <c r="F112" s="10">
        <v>100000</v>
      </c>
      <c r="G112" s="10"/>
      <c r="H112" s="10"/>
      <c r="I112" s="17"/>
      <c r="J112" s="18"/>
      <c r="K112" s="10"/>
      <c r="L112" s="10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21"/>
      <c r="B113" s="22">
        <v>45278</v>
      </c>
      <c r="C113" s="22">
        <f t="shared" si="3"/>
        <v>45285</v>
      </c>
      <c r="D113" s="21">
        <f t="shared" si="4"/>
        <v>8</v>
      </c>
      <c r="E113" s="34">
        <f t="shared" si="5"/>
        <v>-37866436</v>
      </c>
      <c r="F113" s="10">
        <v>6000000</v>
      </c>
      <c r="G113" s="10"/>
      <c r="H113" s="10"/>
      <c r="I113" s="17"/>
      <c r="J113" s="18"/>
      <c r="K113" s="10"/>
      <c r="L113" s="10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21"/>
      <c r="B114" s="22">
        <v>45286</v>
      </c>
      <c r="C114" s="22">
        <f t="shared" si="3"/>
        <v>45290</v>
      </c>
      <c r="D114" s="21">
        <f t="shared" si="4"/>
        <v>5</v>
      </c>
      <c r="E114" s="34">
        <f t="shared" si="5"/>
        <v>-31866436</v>
      </c>
      <c r="F114" s="10">
        <v>6000000</v>
      </c>
      <c r="G114" s="10"/>
      <c r="H114" s="10"/>
      <c r="I114" s="17"/>
      <c r="J114" s="18"/>
      <c r="K114" s="10"/>
      <c r="L114" s="10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21"/>
      <c r="B115" s="22">
        <v>45291</v>
      </c>
      <c r="C115" s="22">
        <f t="shared" si="3"/>
        <v>45294</v>
      </c>
      <c r="D115" s="21">
        <f t="shared" si="4"/>
        <v>4</v>
      </c>
      <c r="E115" s="34">
        <f t="shared" si="5"/>
        <v>-25869834</v>
      </c>
      <c r="F115" s="10">
        <v>6000000</v>
      </c>
      <c r="G115" s="10">
        <v>3398</v>
      </c>
      <c r="H115" s="10"/>
      <c r="I115" s="17"/>
      <c r="J115" s="18"/>
      <c r="K115" s="10"/>
      <c r="L115" s="10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21"/>
      <c r="B116" s="22">
        <v>45295</v>
      </c>
      <c r="C116" s="22">
        <f t="shared" si="3"/>
        <v>45300</v>
      </c>
      <c r="D116" s="21">
        <f t="shared" si="4"/>
        <v>6</v>
      </c>
      <c r="E116" s="34">
        <f t="shared" si="5"/>
        <v>-21829441</v>
      </c>
      <c r="F116" s="10">
        <v>12000000</v>
      </c>
      <c r="G116" s="10">
        <v>7959607</v>
      </c>
      <c r="H116" s="10"/>
      <c r="I116" s="17"/>
      <c r="J116" s="18"/>
      <c r="K116" s="10"/>
      <c r="L116" s="10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21"/>
      <c r="B117" s="22">
        <v>45301</v>
      </c>
      <c r="C117" s="22">
        <f t="shared" si="3"/>
        <v>45302</v>
      </c>
      <c r="D117" s="21">
        <f t="shared" si="4"/>
        <v>2</v>
      </c>
      <c r="E117" s="34">
        <f t="shared" si="5"/>
        <v>-32329441</v>
      </c>
      <c r="F117" s="10"/>
      <c r="G117" s="10">
        <v>10500000</v>
      </c>
      <c r="H117" s="10"/>
      <c r="I117" s="17"/>
      <c r="J117" s="18"/>
      <c r="K117" s="10"/>
      <c r="L117" s="10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21"/>
      <c r="B118" s="22">
        <v>45303</v>
      </c>
      <c r="C118" s="22">
        <f t="shared" si="3"/>
        <v>45309</v>
      </c>
      <c r="D118" s="21">
        <f t="shared" si="4"/>
        <v>7</v>
      </c>
      <c r="E118" s="34">
        <f t="shared" si="5"/>
        <v>-20329441</v>
      </c>
      <c r="F118" s="10">
        <v>12000000</v>
      </c>
      <c r="G118" s="10"/>
      <c r="H118" s="10"/>
      <c r="I118" s="17"/>
      <c r="J118" s="18"/>
      <c r="K118" s="10"/>
      <c r="L118" s="10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21"/>
      <c r="B119" s="22">
        <v>45310</v>
      </c>
      <c r="C119" s="22">
        <f t="shared" si="3"/>
        <v>45312</v>
      </c>
      <c r="D119" s="21">
        <f t="shared" si="4"/>
        <v>3</v>
      </c>
      <c r="E119" s="34">
        <f t="shared" si="5"/>
        <v>-11329441</v>
      </c>
      <c r="F119" s="10">
        <v>9000000</v>
      </c>
      <c r="G119" s="10"/>
      <c r="H119" s="10"/>
      <c r="I119" s="17"/>
      <c r="J119" s="18"/>
      <c r="K119" s="10"/>
      <c r="L119" s="10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21"/>
      <c r="B120" s="22">
        <v>45313</v>
      </c>
      <c r="C120" s="22">
        <f t="shared" si="3"/>
        <v>45315</v>
      </c>
      <c r="D120" s="21">
        <f t="shared" si="4"/>
        <v>3</v>
      </c>
      <c r="E120" s="34">
        <f t="shared" si="5"/>
        <v>-17639441</v>
      </c>
      <c r="F120" s="10"/>
      <c r="G120" s="10">
        <v>6310000</v>
      </c>
      <c r="H120" s="10"/>
      <c r="I120" s="17"/>
      <c r="J120" s="18"/>
      <c r="K120" s="10"/>
      <c r="L120" s="10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21"/>
      <c r="B121" s="22">
        <v>45316</v>
      </c>
      <c r="C121" s="22">
        <f t="shared" si="3"/>
        <v>45316</v>
      </c>
      <c r="D121" s="21">
        <f t="shared" si="4"/>
        <v>1</v>
      </c>
      <c r="E121" s="34">
        <f t="shared" si="5"/>
        <v>-23639441</v>
      </c>
      <c r="F121" s="10"/>
      <c r="G121" s="10">
        <v>6000000</v>
      </c>
      <c r="H121" s="10"/>
      <c r="I121" s="17"/>
      <c r="J121" s="18"/>
      <c r="K121" s="10"/>
      <c r="L121" s="10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21"/>
      <c r="B122" s="22">
        <v>45317</v>
      </c>
      <c r="C122" s="22">
        <f t="shared" si="3"/>
        <v>45321</v>
      </c>
      <c r="D122" s="21">
        <f t="shared" si="4"/>
        <v>5</v>
      </c>
      <c r="E122" s="34">
        <f t="shared" si="5"/>
        <v>-17639441</v>
      </c>
      <c r="F122" s="10">
        <v>6000000</v>
      </c>
      <c r="G122" s="10"/>
      <c r="H122" s="10"/>
      <c r="I122" s="17"/>
      <c r="J122" s="18"/>
      <c r="K122" s="10"/>
      <c r="L122" s="10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21"/>
      <c r="B123" s="22">
        <v>45322</v>
      </c>
      <c r="C123" s="22">
        <f t="shared" si="3"/>
        <v>45322</v>
      </c>
      <c r="D123" s="21">
        <f t="shared" si="4"/>
        <v>1</v>
      </c>
      <c r="E123" s="34">
        <f t="shared" si="5"/>
        <v>-17641173</v>
      </c>
      <c r="F123" s="10"/>
      <c r="G123" s="10">
        <v>1732</v>
      </c>
      <c r="H123" s="10"/>
      <c r="I123" s="17"/>
      <c r="J123" s="18"/>
      <c r="K123" s="10"/>
      <c r="L123" s="10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21"/>
      <c r="B124" s="22">
        <v>45323</v>
      </c>
      <c r="C124" s="22">
        <f t="shared" si="3"/>
        <v>45323</v>
      </c>
      <c r="D124" s="21">
        <f t="shared" si="4"/>
        <v>1</v>
      </c>
      <c r="E124" s="34">
        <f t="shared" si="5"/>
        <v>-25780864</v>
      </c>
      <c r="F124" s="10"/>
      <c r="G124" s="10">
        <v>8139691</v>
      </c>
      <c r="H124" s="10"/>
      <c r="I124" s="17"/>
      <c r="J124" s="18"/>
      <c r="K124" s="10"/>
      <c r="L124" s="10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21"/>
      <c r="B125" s="22">
        <v>45324</v>
      </c>
      <c r="C125" s="22">
        <f t="shared" si="3"/>
        <v>45326</v>
      </c>
      <c r="D125" s="21">
        <f t="shared" si="4"/>
        <v>3</v>
      </c>
      <c r="E125" s="34">
        <f t="shared" si="5"/>
        <v>-1015864</v>
      </c>
      <c r="F125" s="10">
        <v>24765000</v>
      </c>
      <c r="G125" s="10"/>
      <c r="H125" s="10"/>
      <c r="I125" s="17"/>
      <c r="J125" s="18"/>
      <c r="K125" s="10"/>
      <c r="L125" s="10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21"/>
      <c r="B126" s="22">
        <v>45327</v>
      </c>
      <c r="C126" s="22">
        <f t="shared" si="3"/>
        <v>45327</v>
      </c>
      <c r="D126" s="21">
        <f t="shared" si="4"/>
        <v>1</v>
      </c>
      <c r="E126" s="34">
        <f t="shared" si="5"/>
        <v>-439364</v>
      </c>
      <c r="F126" s="10">
        <v>576500</v>
      </c>
      <c r="G126" s="10"/>
      <c r="H126" s="10"/>
      <c r="I126" s="17"/>
      <c r="J126" s="18"/>
      <c r="K126" s="10"/>
      <c r="L126" s="10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21"/>
      <c r="B127" s="22">
        <v>45328</v>
      </c>
      <c r="C127" s="22">
        <f t="shared" si="3"/>
        <v>45335</v>
      </c>
      <c r="D127" s="21">
        <f t="shared" si="4"/>
        <v>8</v>
      </c>
      <c r="E127" s="34">
        <f t="shared" si="5"/>
        <v>-7939364</v>
      </c>
      <c r="F127" s="10"/>
      <c r="G127" s="10">
        <v>7500000</v>
      </c>
      <c r="H127" s="10"/>
      <c r="I127" s="17"/>
      <c r="J127" s="18"/>
      <c r="K127" s="10"/>
      <c r="L127" s="10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21"/>
      <c r="B128" s="22">
        <v>45336</v>
      </c>
      <c r="C128" s="22">
        <f t="shared" si="3"/>
        <v>45337</v>
      </c>
      <c r="D128" s="21">
        <f t="shared" si="4"/>
        <v>2</v>
      </c>
      <c r="E128" s="34">
        <f t="shared" si="5"/>
        <v>-4789364</v>
      </c>
      <c r="F128" s="10">
        <v>3150000</v>
      </c>
      <c r="G128" s="10"/>
      <c r="H128" s="10"/>
      <c r="I128" s="17"/>
      <c r="J128" s="18"/>
      <c r="K128" s="10"/>
      <c r="L128" s="10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21"/>
      <c r="B129" s="22">
        <v>45338</v>
      </c>
      <c r="C129" s="22">
        <f t="shared" si="3"/>
        <v>45338</v>
      </c>
      <c r="D129" s="21">
        <f t="shared" si="4"/>
        <v>1</v>
      </c>
      <c r="E129" s="34">
        <f t="shared" si="5"/>
        <v>-5196364</v>
      </c>
      <c r="F129" s="10">
        <v>1593000</v>
      </c>
      <c r="G129" s="10">
        <v>2000000</v>
      </c>
      <c r="H129" s="10"/>
      <c r="I129" s="17"/>
      <c r="J129" s="18"/>
      <c r="K129" s="10"/>
      <c r="L129" s="10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21"/>
      <c r="B130" s="22">
        <v>45339</v>
      </c>
      <c r="C130" s="22">
        <f t="shared" si="3"/>
        <v>45340</v>
      </c>
      <c r="D130" s="21">
        <f t="shared" si="4"/>
        <v>2</v>
      </c>
      <c r="E130" s="34">
        <f t="shared" si="5"/>
        <v>-9196364</v>
      </c>
      <c r="F130" s="10"/>
      <c r="G130" s="10">
        <v>4000000</v>
      </c>
      <c r="H130" s="10"/>
      <c r="I130" s="17"/>
      <c r="J130" s="18"/>
      <c r="K130" s="10"/>
      <c r="L130" s="10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21"/>
      <c r="B131" s="22">
        <v>45341</v>
      </c>
      <c r="C131" s="22">
        <f t="shared" si="3"/>
        <v>45341</v>
      </c>
      <c r="D131" s="21">
        <f t="shared" si="4"/>
        <v>1</v>
      </c>
      <c r="E131" s="34">
        <f t="shared" si="5"/>
        <v>-9336364</v>
      </c>
      <c r="F131" s="10"/>
      <c r="G131" s="10">
        <v>140000</v>
      </c>
      <c r="H131" s="10"/>
      <c r="I131" s="17"/>
      <c r="J131" s="18"/>
      <c r="K131" s="10"/>
      <c r="L131" s="10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21"/>
      <c r="B132" s="22">
        <v>45342</v>
      </c>
      <c r="C132" s="22">
        <f t="shared" si="3"/>
        <v>45342</v>
      </c>
      <c r="D132" s="21">
        <f t="shared" si="4"/>
        <v>1</v>
      </c>
      <c r="E132" s="34">
        <f t="shared" si="5"/>
        <v>-9539802</v>
      </c>
      <c r="F132" s="10"/>
      <c r="G132" s="10">
        <v>203438</v>
      </c>
      <c r="H132" s="10"/>
      <c r="I132" s="17"/>
      <c r="J132" s="18"/>
      <c r="K132" s="10"/>
      <c r="L132" s="10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21"/>
      <c r="B133" s="22">
        <v>45343</v>
      </c>
      <c r="C133" s="22">
        <f t="shared" si="3"/>
        <v>45350</v>
      </c>
      <c r="D133" s="21">
        <f t="shared" si="4"/>
        <v>8</v>
      </c>
      <c r="E133" s="34">
        <f t="shared" si="5"/>
        <v>-539802</v>
      </c>
      <c r="F133" s="10">
        <v>9000000</v>
      </c>
      <c r="G133" s="10"/>
      <c r="H133" s="10"/>
      <c r="I133" s="17"/>
      <c r="J133" s="18"/>
      <c r="K133" s="10"/>
      <c r="L133" s="10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21"/>
      <c r="B134" s="22">
        <v>45351</v>
      </c>
      <c r="C134" s="22">
        <f t="shared" si="3"/>
        <v>45354</v>
      </c>
      <c r="D134" s="21">
        <f t="shared" si="4"/>
        <v>4</v>
      </c>
      <c r="E134" s="34">
        <f t="shared" si="5"/>
        <v>-540213</v>
      </c>
      <c r="F134" s="10"/>
      <c r="G134" s="10">
        <v>411</v>
      </c>
      <c r="H134" s="10"/>
      <c r="I134" s="17"/>
      <c r="J134" s="18"/>
      <c r="K134" s="10"/>
      <c r="L134" s="10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21"/>
      <c r="B135" s="22">
        <v>45355</v>
      </c>
      <c r="C135" s="22">
        <f t="shared" si="3"/>
        <v>45355</v>
      </c>
      <c r="D135" s="21">
        <f t="shared" si="4"/>
        <v>1</v>
      </c>
      <c r="E135" s="34">
        <f t="shared" si="5"/>
        <v>-8647683</v>
      </c>
      <c r="F135" s="10"/>
      <c r="G135" s="10">
        <v>8107470</v>
      </c>
      <c r="H135" s="10"/>
      <c r="I135" s="17"/>
      <c r="J135" s="18"/>
      <c r="K135" s="10"/>
      <c r="L135" s="10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21"/>
      <c r="B136" s="22">
        <v>45356</v>
      </c>
      <c r="C136" s="22">
        <f t="shared" si="3"/>
        <v>45356</v>
      </c>
      <c r="D136" s="21">
        <f t="shared" si="4"/>
        <v>1</v>
      </c>
      <c r="E136" s="34">
        <f t="shared" si="5"/>
        <v>-7647683</v>
      </c>
      <c r="F136" s="10">
        <v>1000000</v>
      </c>
      <c r="G136" s="10"/>
      <c r="H136" s="10"/>
      <c r="I136" s="17"/>
      <c r="J136" s="18"/>
      <c r="K136" s="10"/>
      <c r="L136" s="10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21"/>
      <c r="B137" s="22">
        <v>45357</v>
      </c>
      <c r="C137" s="22">
        <f t="shared" si="3"/>
        <v>45358</v>
      </c>
      <c r="D137" s="21">
        <f t="shared" si="4"/>
        <v>2</v>
      </c>
      <c r="E137" s="34">
        <f t="shared" si="5"/>
        <v>-147683</v>
      </c>
      <c r="F137" s="10">
        <v>7500000</v>
      </c>
      <c r="G137" s="10"/>
      <c r="H137" s="10"/>
      <c r="I137" s="17"/>
      <c r="J137" s="18"/>
      <c r="K137" s="10"/>
      <c r="L137" s="10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21"/>
      <c r="B138" s="22">
        <v>45359</v>
      </c>
      <c r="C138" s="22">
        <f t="shared" si="3"/>
        <v>45361</v>
      </c>
      <c r="D138" s="21">
        <f t="shared" si="4"/>
        <v>3</v>
      </c>
      <c r="E138" s="34">
        <f t="shared" si="5"/>
        <v>-5647683</v>
      </c>
      <c r="F138" s="10"/>
      <c r="G138" s="10">
        <v>5500000</v>
      </c>
      <c r="H138" s="10"/>
      <c r="I138" s="17"/>
      <c r="J138" s="18"/>
      <c r="K138" s="10"/>
      <c r="L138" s="10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21"/>
      <c r="B139" s="22">
        <v>45362</v>
      </c>
      <c r="C139" s="22">
        <f t="shared" si="3"/>
        <v>45375</v>
      </c>
      <c r="D139" s="21">
        <f t="shared" si="4"/>
        <v>14</v>
      </c>
      <c r="E139" s="34">
        <f t="shared" si="5"/>
        <v>-4416683</v>
      </c>
      <c r="F139" s="10">
        <v>1231000</v>
      </c>
      <c r="G139" s="10"/>
      <c r="H139" s="10"/>
      <c r="I139" s="17"/>
      <c r="J139" s="18"/>
      <c r="K139" s="10"/>
      <c r="L139" s="10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21"/>
      <c r="B140" s="22">
        <v>45376</v>
      </c>
      <c r="C140" s="22">
        <f t="shared" si="3"/>
        <v>45381</v>
      </c>
      <c r="D140" s="21">
        <f t="shared" si="4"/>
        <v>6</v>
      </c>
      <c r="E140" s="34">
        <f t="shared" si="5"/>
        <v>-1416683</v>
      </c>
      <c r="F140" s="10">
        <v>3000000</v>
      </c>
      <c r="G140" s="10"/>
      <c r="H140" s="10"/>
      <c r="I140" s="17"/>
      <c r="J140" s="18"/>
      <c r="K140" s="10"/>
      <c r="L140" s="10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21"/>
      <c r="B141" s="22">
        <v>45382</v>
      </c>
      <c r="C141" s="22">
        <f t="shared" si="3"/>
        <v>45383</v>
      </c>
      <c r="D141" s="21">
        <f t="shared" si="4"/>
        <v>2</v>
      </c>
      <c r="E141" s="34">
        <f t="shared" si="5"/>
        <v>-1416976</v>
      </c>
      <c r="F141" s="10"/>
      <c r="G141" s="10">
        <v>293</v>
      </c>
      <c r="H141" s="10"/>
      <c r="I141" s="17"/>
      <c r="J141" s="18"/>
      <c r="K141" s="10"/>
      <c r="L141" s="10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21"/>
      <c r="B142" s="22">
        <v>45384</v>
      </c>
      <c r="C142" s="22">
        <f t="shared" ref="C142:C182" si="6">B143-1</f>
        <v>45390</v>
      </c>
      <c r="D142" s="21">
        <f t="shared" ref="D142:D183" si="7">C142-B142+1</f>
        <v>7</v>
      </c>
      <c r="E142" s="34">
        <f t="shared" si="5"/>
        <v>-2907707</v>
      </c>
      <c r="F142" s="10">
        <v>5500000</v>
      </c>
      <c r="G142" s="10">
        <v>6990731</v>
      </c>
      <c r="H142" s="10"/>
      <c r="I142" s="17"/>
      <c r="J142" s="18"/>
      <c r="K142" s="10"/>
      <c r="L142" s="10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21"/>
      <c r="B143" s="22">
        <v>45391</v>
      </c>
      <c r="C143" s="22">
        <f t="shared" si="6"/>
        <v>45391</v>
      </c>
      <c r="D143" s="21">
        <f t="shared" si="7"/>
        <v>1</v>
      </c>
      <c r="E143" s="34">
        <f t="shared" ref="E143:E183" si="8">E142+F143-G143</f>
        <v>-277707</v>
      </c>
      <c r="F143" s="10">
        <v>2630000</v>
      </c>
      <c r="G143" s="10"/>
      <c r="H143" s="10"/>
      <c r="I143" s="17"/>
      <c r="J143" s="18"/>
      <c r="K143" s="10"/>
      <c r="L143" s="10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21"/>
      <c r="B144" s="22">
        <v>45392</v>
      </c>
      <c r="C144" s="22">
        <f t="shared" si="6"/>
        <v>45393</v>
      </c>
      <c r="D144" s="21">
        <f t="shared" si="7"/>
        <v>2</v>
      </c>
      <c r="E144" s="34">
        <f t="shared" si="8"/>
        <v>-7188707</v>
      </c>
      <c r="F144" s="10">
        <v>1089000</v>
      </c>
      <c r="G144" s="10">
        <v>8000000</v>
      </c>
      <c r="H144" s="10"/>
      <c r="I144" s="17"/>
      <c r="J144" s="18"/>
      <c r="K144" s="10"/>
      <c r="L144" s="10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21"/>
      <c r="B145" s="22">
        <v>45394</v>
      </c>
      <c r="C145" s="22">
        <f t="shared" si="6"/>
        <v>45400</v>
      </c>
      <c r="D145" s="21">
        <f t="shared" si="7"/>
        <v>7</v>
      </c>
      <c r="E145" s="34">
        <f t="shared" si="8"/>
        <v>-2188707</v>
      </c>
      <c r="F145" s="10">
        <v>5000000</v>
      </c>
      <c r="G145" s="10"/>
      <c r="H145" s="10"/>
      <c r="I145" s="17"/>
      <c r="J145" s="18"/>
      <c r="K145" s="10"/>
      <c r="L145" s="10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21"/>
      <c r="B146" s="22">
        <v>45401</v>
      </c>
      <c r="C146" s="22">
        <f t="shared" si="6"/>
        <v>45403</v>
      </c>
      <c r="D146" s="21">
        <f t="shared" si="7"/>
        <v>3</v>
      </c>
      <c r="E146" s="34">
        <f t="shared" si="8"/>
        <v>-1788707</v>
      </c>
      <c r="F146" s="10">
        <v>400000</v>
      </c>
      <c r="G146" s="10"/>
      <c r="H146" s="10"/>
      <c r="I146" s="17"/>
      <c r="J146" s="18"/>
      <c r="K146" s="10"/>
      <c r="L146" s="10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21"/>
      <c r="B147" s="22">
        <v>45404</v>
      </c>
      <c r="C147" s="22">
        <f t="shared" si="6"/>
        <v>45407</v>
      </c>
      <c r="D147" s="21">
        <f t="shared" si="7"/>
        <v>4</v>
      </c>
      <c r="E147" s="34">
        <f t="shared" si="8"/>
        <v>-3788707</v>
      </c>
      <c r="F147" s="10"/>
      <c r="G147" s="10">
        <v>2000000</v>
      </c>
      <c r="H147" s="10"/>
      <c r="I147" s="17"/>
      <c r="J147" s="18"/>
      <c r="K147" s="10"/>
      <c r="L147" s="10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21"/>
      <c r="B148" s="22">
        <v>45408</v>
      </c>
      <c r="C148" s="22">
        <f t="shared" si="6"/>
        <v>45411</v>
      </c>
      <c r="D148" s="21">
        <f t="shared" si="7"/>
        <v>4</v>
      </c>
      <c r="E148" s="34">
        <f t="shared" si="8"/>
        <v>-1788707</v>
      </c>
      <c r="F148" s="10">
        <v>2000000</v>
      </c>
      <c r="G148" s="10"/>
      <c r="H148" s="10"/>
      <c r="I148" s="17"/>
      <c r="J148" s="18"/>
      <c r="K148" s="10"/>
      <c r="L148" s="10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21"/>
      <c r="B149" s="22">
        <v>45412</v>
      </c>
      <c r="C149" s="22">
        <f t="shared" si="6"/>
        <v>45412</v>
      </c>
      <c r="D149" s="21">
        <f t="shared" si="7"/>
        <v>1</v>
      </c>
      <c r="E149" s="34">
        <f t="shared" si="8"/>
        <v>-1688930</v>
      </c>
      <c r="F149" s="10">
        <v>100000</v>
      </c>
      <c r="G149" s="10">
        <v>223</v>
      </c>
      <c r="H149" s="10"/>
      <c r="I149" s="17"/>
      <c r="J149" s="18"/>
      <c r="K149" s="10"/>
      <c r="L149" s="10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21"/>
      <c r="B150" s="22">
        <v>45413</v>
      </c>
      <c r="C150" s="22">
        <f t="shared" si="6"/>
        <v>45414</v>
      </c>
      <c r="D150" s="21">
        <f t="shared" si="7"/>
        <v>2</v>
      </c>
      <c r="E150" s="34">
        <f t="shared" si="8"/>
        <v>-58930</v>
      </c>
      <c r="F150" s="10">
        <v>1630000</v>
      </c>
      <c r="G150" s="10"/>
      <c r="H150" s="10"/>
      <c r="I150" s="17"/>
      <c r="J150" s="18"/>
      <c r="K150" s="10"/>
      <c r="L150" s="10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21"/>
      <c r="B151" s="22">
        <v>45415</v>
      </c>
      <c r="C151" s="22">
        <f t="shared" si="6"/>
        <v>45421</v>
      </c>
      <c r="D151" s="21">
        <f t="shared" si="7"/>
        <v>7</v>
      </c>
      <c r="E151" s="34">
        <f t="shared" si="8"/>
        <v>-2393307</v>
      </c>
      <c r="F151" s="10"/>
      <c r="G151" s="10">
        <v>2334377</v>
      </c>
      <c r="H151" s="10"/>
      <c r="I151" s="17"/>
      <c r="J151" s="18"/>
      <c r="K151" s="10"/>
      <c r="L151" s="10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21"/>
      <c r="B152" s="22">
        <v>45422</v>
      </c>
      <c r="C152" s="22">
        <f t="shared" si="6"/>
        <v>45425</v>
      </c>
      <c r="D152" s="21">
        <f t="shared" si="7"/>
        <v>4</v>
      </c>
      <c r="E152" s="34">
        <f t="shared" si="8"/>
        <v>-6393307</v>
      </c>
      <c r="F152" s="10"/>
      <c r="G152" s="10">
        <v>4000000</v>
      </c>
      <c r="H152" s="10"/>
      <c r="I152" s="17"/>
      <c r="J152" s="18"/>
      <c r="K152" s="10"/>
      <c r="L152" s="10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21"/>
      <c r="B153" s="22">
        <v>45426</v>
      </c>
      <c r="C153" s="22">
        <f t="shared" si="6"/>
        <v>45427</v>
      </c>
      <c r="D153" s="21">
        <f t="shared" si="7"/>
        <v>2</v>
      </c>
      <c r="E153" s="34">
        <f t="shared" si="8"/>
        <v>-6922307</v>
      </c>
      <c r="F153" s="10">
        <v>1121000</v>
      </c>
      <c r="G153" s="10">
        <v>1650000</v>
      </c>
      <c r="H153" s="10"/>
      <c r="I153" s="17"/>
      <c r="J153" s="18"/>
      <c r="K153" s="10"/>
      <c r="L153" s="10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21"/>
      <c r="B154" s="22">
        <v>45428</v>
      </c>
      <c r="C154" s="22">
        <f t="shared" si="6"/>
        <v>45431</v>
      </c>
      <c r="D154" s="21">
        <f t="shared" si="7"/>
        <v>4</v>
      </c>
      <c r="E154" s="34">
        <f t="shared" si="8"/>
        <v>-422307</v>
      </c>
      <c r="F154" s="10">
        <v>6500000</v>
      </c>
      <c r="G154" s="10"/>
      <c r="H154" s="10"/>
      <c r="I154" s="17"/>
      <c r="J154" s="18"/>
      <c r="K154" s="10"/>
      <c r="L154" s="10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21"/>
      <c r="B155" s="22">
        <v>45432</v>
      </c>
      <c r="C155" s="22">
        <f t="shared" si="6"/>
        <v>45435</v>
      </c>
      <c r="D155" s="21">
        <f t="shared" si="7"/>
        <v>4</v>
      </c>
      <c r="E155" s="34">
        <f t="shared" si="8"/>
        <v>-52307</v>
      </c>
      <c r="F155" s="10">
        <v>1000000</v>
      </c>
      <c r="G155" s="10">
        <v>630000</v>
      </c>
      <c r="H155" s="10"/>
      <c r="I155" s="17"/>
      <c r="J155" s="18"/>
      <c r="K155" s="10"/>
      <c r="L155" s="10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21"/>
      <c r="B156" s="22">
        <v>45436</v>
      </c>
      <c r="C156" s="22">
        <f t="shared" si="6"/>
        <v>45438</v>
      </c>
      <c r="D156" s="21">
        <f t="shared" si="7"/>
        <v>3</v>
      </c>
      <c r="E156" s="34">
        <f t="shared" si="8"/>
        <v>-52307</v>
      </c>
      <c r="F156" s="10">
        <v>500000</v>
      </c>
      <c r="G156" s="10">
        <v>500000</v>
      </c>
      <c r="H156" s="10"/>
      <c r="I156" s="17"/>
      <c r="J156" s="18"/>
      <c r="K156" s="10"/>
      <c r="L156" s="10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21"/>
      <c r="B157" s="22">
        <v>45439</v>
      </c>
      <c r="C157" s="22">
        <f t="shared" si="6"/>
        <v>45439</v>
      </c>
      <c r="D157" s="21">
        <f t="shared" si="7"/>
        <v>1</v>
      </c>
      <c r="E157" s="34">
        <f t="shared" si="8"/>
        <v>-122307</v>
      </c>
      <c r="F157" s="10"/>
      <c r="G157" s="10">
        <v>70000</v>
      </c>
      <c r="H157" s="10"/>
      <c r="I157" s="17"/>
      <c r="J157" s="18"/>
      <c r="K157" s="10"/>
      <c r="L157" s="10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21" t="s">
        <v>53</v>
      </c>
      <c r="B158" s="22">
        <v>45440</v>
      </c>
      <c r="C158" s="22">
        <f t="shared" si="6"/>
        <v>45442</v>
      </c>
      <c r="D158" s="21">
        <f t="shared" si="7"/>
        <v>3</v>
      </c>
      <c r="E158" s="34">
        <f t="shared" si="8"/>
        <v>39877693</v>
      </c>
      <c r="F158" s="10">
        <v>59000000</v>
      </c>
      <c r="G158" s="10">
        <v>19000000</v>
      </c>
      <c r="H158" s="10"/>
      <c r="I158" s="17">
        <v>0.26</v>
      </c>
      <c r="J158" s="18"/>
      <c r="K158" s="10">
        <f>I158*E158*D158/365</f>
        <v>85218.083671232875</v>
      </c>
      <c r="L158" s="10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21" t="s">
        <v>53</v>
      </c>
      <c r="B159" s="22">
        <v>45443</v>
      </c>
      <c r="C159" s="22">
        <f t="shared" si="6"/>
        <v>45452</v>
      </c>
      <c r="D159" s="21">
        <f t="shared" si="7"/>
        <v>10</v>
      </c>
      <c r="E159" s="34">
        <f t="shared" si="8"/>
        <v>39877588</v>
      </c>
      <c r="F159" s="10"/>
      <c r="G159" s="10">
        <v>105</v>
      </c>
      <c r="H159" s="10"/>
      <c r="I159" s="17">
        <v>0.26</v>
      </c>
      <c r="J159" s="18"/>
      <c r="K159" s="10">
        <f t="shared" ref="K159:K175" si="9">I159*E159*D159/365</f>
        <v>284059.53095890413</v>
      </c>
      <c r="L159" s="10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21" t="s">
        <v>53</v>
      </c>
      <c r="B160" s="22">
        <v>45453</v>
      </c>
      <c r="C160" s="22">
        <f t="shared" si="6"/>
        <v>45454</v>
      </c>
      <c r="D160" s="21">
        <f t="shared" si="7"/>
        <v>2</v>
      </c>
      <c r="E160" s="34">
        <f t="shared" si="8"/>
        <v>35677588</v>
      </c>
      <c r="F160" s="10"/>
      <c r="G160" s="10">
        <v>4200000</v>
      </c>
      <c r="H160" s="10"/>
      <c r="I160" s="17">
        <v>0.26</v>
      </c>
      <c r="J160" s="18"/>
      <c r="K160" s="10">
        <f t="shared" si="9"/>
        <v>50828.344547945213</v>
      </c>
      <c r="L160" s="10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21" t="s">
        <v>53</v>
      </c>
      <c r="B161" s="22">
        <v>45455</v>
      </c>
      <c r="C161" s="22">
        <f t="shared" si="6"/>
        <v>45457</v>
      </c>
      <c r="D161" s="21">
        <f t="shared" si="7"/>
        <v>3</v>
      </c>
      <c r="E161" s="34">
        <f t="shared" si="8"/>
        <v>31645238</v>
      </c>
      <c r="F161" s="10"/>
      <c r="G161" s="10">
        <v>4032350</v>
      </c>
      <c r="H161" s="10"/>
      <c r="I161" s="17">
        <v>0.26</v>
      </c>
      <c r="J161" s="18"/>
      <c r="K161" s="10">
        <f t="shared" si="9"/>
        <v>67625.44010958905</v>
      </c>
      <c r="L161" s="10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21" t="s">
        <v>53</v>
      </c>
      <c r="B162" s="22">
        <v>45458</v>
      </c>
      <c r="C162" s="22">
        <f t="shared" si="6"/>
        <v>45459</v>
      </c>
      <c r="D162" s="21">
        <f t="shared" si="7"/>
        <v>2</v>
      </c>
      <c r="E162" s="34">
        <f t="shared" si="8"/>
        <v>35917238</v>
      </c>
      <c r="F162" s="10">
        <v>4402000</v>
      </c>
      <c r="G162" s="10">
        <v>130000</v>
      </c>
      <c r="H162" s="10"/>
      <c r="I162" s="17">
        <v>0.26</v>
      </c>
      <c r="J162" s="18"/>
      <c r="K162" s="10">
        <f t="shared" si="9"/>
        <v>51169.763726027399</v>
      </c>
      <c r="L162" s="10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21" t="s">
        <v>53</v>
      </c>
      <c r="B163" s="22">
        <v>45460</v>
      </c>
      <c r="C163" s="22">
        <f t="shared" si="6"/>
        <v>45460</v>
      </c>
      <c r="D163" s="21">
        <f t="shared" si="7"/>
        <v>1</v>
      </c>
      <c r="E163" s="34">
        <f t="shared" si="8"/>
        <v>38759438</v>
      </c>
      <c r="F163" s="10">
        <v>3842200</v>
      </c>
      <c r="G163" s="10">
        <v>1000000</v>
      </c>
      <c r="H163" s="10"/>
      <c r="I163" s="17">
        <v>0.26</v>
      </c>
      <c r="J163" s="18"/>
      <c r="K163" s="10">
        <f t="shared" si="9"/>
        <v>27609.46268493151</v>
      </c>
      <c r="L163" s="10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21" t="s">
        <v>53</v>
      </c>
      <c r="B164" s="22">
        <v>45461</v>
      </c>
      <c r="C164" s="22">
        <f t="shared" si="6"/>
        <v>45461</v>
      </c>
      <c r="D164" s="21">
        <f t="shared" si="7"/>
        <v>1</v>
      </c>
      <c r="E164" s="34">
        <f t="shared" si="8"/>
        <v>38859438</v>
      </c>
      <c r="F164" s="10">
        <v>100000</v>
      </c>
      <c r="G164" s="10"/>
      <c r="H164" s="10"/>
      <c r="I164" s="17">
        <v>0.26</v>
      </c>
      <c r="J164" s="18"/>
      <c r="K164" s="10">
        <f t="shared" si="9"/>
        <v>27680.695561643839</v>
      </c>
      <c r="L164" s="10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21" t="s">
        <v>53</v>
      </c>
      <c r="B165" s="22">
        <v>45462</v>
      </c>
      <c r="C165" s="22">
        <f t="shared" si="6"/>
        <v>45462</v>
      </c>
      <c r="D165" s="21">
        <f t="shared" si="7"/>
        <v>1</v>
      </c>
      <c r="E165" s="34">
        <f t="shared" si="8"/>
        <v>38359438</v>
      </c>
      <c r="F165" s="10"/>
      <c r="G165" s="10">
        <v>500000</v>
      </c>
      <c r="H165" s="10"/>
      <c r="I165" s="17">
        <v>0.26</v>
      </c>
      <c r="J165" s="18"/>
      <c r="K165" s="10">
        <f t="shared" si="9"/>
        <v>27324.531178082194</v>
      </c>
      <c r="L165" s="10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21" t="s">
        <v>53</v>
      </c>
      <c r="B166" s="22">
        <v>45463</v>
      </c>
      <c r="C166" s="22">
        <f t="shared" si="6"/>
        <v>45466</v>
      </c>
      <c r="D166" s="21">
        <f t="shared" si="7"/>
        <v>4</v>
      </c>
      <c r="E166" s="34">
        <f t="shared" si="8"/>
        <v>39499438</v>
      </c>
      <c r="F166" s="10">
        <v>1140000</v>
      </c>
      <c r="G166" s="10"/>
      <c r="H166" s="10"/>
      <c r="I166" s="17">
        <v>0.26</v>
      </c>
      <c r="J166" s="18"/>
      <c r="K166" s="10">
        <f t="shared" si="9"/>
        <v>112546.34389041096</v>
      </c>
      <c r="L166" s="10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21" t="s">
        <v>53</v>
      </c>
      <c r="B167" s="22">
        <v>45467</v>
      </c>
      <c r="C167" s="22">
        <f t="shared" si="6"/>
        <v>45467</v>
      </c>
      <c r="D167" s="21">
        <f t="shared" si="7"/>
        <v>1</v>
      </c>
      <c r="E167" s="34">
        <f t="shared" si="8"/>
        <v>39549438</v>
      </c>
      <c r="F167" s="10">
        <v>50000</v>
      </c>
      <c r="G167" s="10"/>
      <c r="H167" s="10"/>
      <c r="I167" s="17">
        <v>0.26</v>
      </c>
      <c r="J167" s="18"/>
      <c r="K167" s="10">
        <f t="shared" si="9"/>
        <v>28172.202410958907</v>
      </c>
      <c r="L167" s="10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21" t="s">
        <v>53</v>
      </c>
      <c r="B168" s="22">
        <v>45468</v>
      </c>
      <c r="C168" s="22">
        <f t="shared" si="6"/>
        <v>45470</v>
      </c>
      <c r="D168" s="21">
        <f t="shared" si="7"/>
        <v>3</v>
      </c>
      <c r="E168" s="34">
        <f t="shared" si="8"/>
        <v>39784438</v>
      </c>
      <c r="F168" s="10">
        <v>235000</v>
      </c>
      <c r="G168" s="10"/>
      <c r="H168" s="10"/>
      <c r="I168" s="17">
        <v>0.26</v>
      </c>
      <c r="J168" s="18"/>
      <c r="K168" s="10">
        <f t="shared" si="9"/>
        <v>85018.799013698634</v>
      </c>
      <c r="L168" s="10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21" t="s">
        <v>53</v>
      </c>
      <c r="B169" s="22">
        <v>45471</v>
      </c>
      <c r="C169" s="22">
        <f t="shared" si="6"/>
        <v>45471</v>
      </c>
      <c r="D169" s="21">
        <f t="shared" si="7"/>
        <v>1</v>
      </c>
      <c r="E169" s="34">
        <f t="shared" si="8"/>
        <v>38884438</v>
      </c>
      <c r="F169" s="10">
        <v>100000</v>
      </c>
      <c r="G169" s="10">
        <v>1000000</v>
      </c>
      <c r="H169" s="10"/>
      <c r="I169" s="17">
        <v>0.26</v>
      </c>
      <c r="J169" s="18"/>
      <c r="K169" s="10">
        <f t="shared" si="9"/>
        <v>27698.50378082192</v>
      </c>
      <c r="L169" s="10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21" t="s">
        <v>53</v>
      </c>
      <c r="B170" s="22">
        <v>45472</v>
      </c>
      <c r="C170" s="22">
        <f t="shared" si="6"/>
        <v>45472</v>
      </c>
      <c r="D170" s="21">
        <f t="shared" si="7"/>
        <v>1</v>
      </c>
      <c r="E170" s="34">
        <f t="shared" si="8"/>
        <v>39675012</v>
      </c>
      <c r="F170" s="10">
        <v>790574</v>
      </c>
      <c r="G170" s="10"/>
      <c r="H170" s="10">
        <v>790574</v>
      </c>
      <c r="I170" s="17">
        <v>0.26</v>
      </c>
      <c r="J170" s="18"/>
      <c r="K170" s="10">
        <f t="shared" si="9"/>
        <v>28261.652383561646</v>
      </c>
      <c r="L170" s="10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21" t="s">
        <v>53</v>
      </c>
      <c r="B171" s="22">
        <v>45473</v>
      </c>
      <c r="C171" s="22">
        <f t="shared" si="6"/>
        <v>45474</v>
      </c>
      <c r="D171" s="21">
        <f t="shared" si="7"/>
        <v>2</v>
      </c>
      <c r="E171" s="34">
        <f t="shared" si="8"/>
        <v>39605012</v>
      </c>
      <c r="F171" s="10"/>
      <c r="G171" s="10">
        <v>70000</v>
      </c>
      <c r="H171" s="10"/>
      <c r="I171" s="17">
        <v>0.26</v>
      </c>
      <c r="J171" s="18"/>
      <c r="K171" s="10">
        <f t="shared" si="9"/>
        <v>56423.578739726036</v>
      </c>
      <c r="L171" s="10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21" t="s">
        <v>53</v>
      </c>
      <c r="B172" s="22">
        <v>45475</v>
      </c>
      <c r="C172" s="22">
        <f t="shared" si="6"/>
        <v>45484</v>
      </c>
      <c r="D172" s="21">
        <f t="shared" si="7"/>
        <v>10</v>
      </c>
      <c r="E172" s="34">
        <f t="shared" si="8"/>
        <v>39705012</v>
      </c>
      <c r="F172" s="10">
        <v>100000</v>
      </c>
      <c r="G172" s="10"/>
      <c r="H172" s="10"/>
      <c r="I172" s="17">
        <v>0.26</v>
      </c>
      <c r="J172" s="18"/>
      <c r="K172" s="10">
        <f t="shared" si="9"/>
        <v>282830.2224657535</v>
      </c>
      <c r="L172" s="10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21" t="s">
        <v>53</v>
      </c>
      <c r="B173" s="22">
        <v>45485</v>
      </c>
      <c r="C173" s="22">
        <f t="shared" si="6"/>
        <v>45491</v>
      </c>
      <c r="D173" s="21">
        <f t="shared" si="7"/>
        <v>7</v>
      </c>
      <c r="E173" s="34">
        <f t="shared" si="8"/>
        <v>39945012</v>
      </c>
      <c r="F173" s="10">
        <v>240000</v>
      </c>
      <c r="G173" s="10"/>
      <c r="H173" s="10"/>
      <c r="I173" s="17">
        <v>0.26</v>
      </c>
      <c r="J173" s="18"/>
      <c r="K173" s="10">
        <f t="shared" si="9"/>
        <v>199177.86805479453</v>
      </c>
      <c r="L173" s="10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21" t="s">
        <v>53</v>
      </c>
      <c r="B174" s="22">
        <v>45492</v>
      </c>
      <c r="C174" s="22">
        <f t="shared" si="6"/>
        <v>45496</v>
      </c>
      <c r="D174" s="21">
        <f t="shared" si="7"/>
        <v>5</v>
      </c>
      <c r="E174" s="34">
        <f t="shared" si="8"/>
        <v>39947662</v>
      </c>
      <c r="F174" s="10">
        <v>4035000</v>
      </c>
      <c r="G174" s="10">
        <v>4032350</v>
      </c>
      <c r="H174" s="10"/>
      <c r="I174" s="17">
        <v>0.26</v>
      </c>
      <c r="J174" s="18"/>
      <c r="K174" s="10">
        <f t="shared" si="9"/>
        <v>142279.34410958906</v>
      </c>
      <c r="L174" s="10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21" t="s">
        <v>53</v>
      </c>
      <c r="B175" s="22">
        <v>45497</v>
      </c>
      <c r="C175" s="22">
        <f t="shared" si="6"/>
        <v>45509</v>
      </c>
      <c r="D175" s="21">
        <f t="shared" si="7"/>
        <v>13</v>
      </c>
      <c r="E175" s="34">
        <f t="shared" si="8"/>
        <v>39947662</v>
      </c>
      <c r="F175" s="10">
        <v>500000</v>
      </c>
      <c r="G175" s="10">
        <v>500000</v>
      </c>
      <c r="H175" s="10"/>
      <c r="I175" s="17">
        <v>0.26</v>
      </c>
      <c r="J175" s="18"/>
      <c r="K175" s="10">
        <f t="shared" si="9"/>
        <v>369926.29468493152</v>
      </c>
      <c r="L175" s="10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21" t="s">
        <v>52</v>
      </c>
      <c r="B176" s="22">
        <v>45510</v>
      </c>
      <c r="C176" s="22">
        <f t="shared" si="6"/>
        <v>45519</v>
      </c>
      <c r="D176" s="21">
        <f t="shared" si="7"/>
        <v>10</v>
      </c>
      <c r="E176" s="34">
        <f t="shared" si="8"/>
        <v>39947662</v>
      </c>
      <c r="F176" s="10"/>
      <c r="G176" s="10"/>
      <c r="H176" s="10"/>
      <c r="I176" s="17">
        <v>0.26</v>
      </c>
      <c r="J176" s="18">
        <f>I176*1.5</f>
        <v>0.39</v>
      </c>
      <c r="K176" s="10"/>
      <c r="L176" s="10">
        <f>J176*E176*D176/365</f>
        <v>426838.03232876718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21" t="s">
        <v>52</v>
      </c>
      <c r="B177" s="22">
        <v>45520</v>
      </c>
      <c r="C177" s="22">
        <f t="shared" si="6"/>
        <v>45522</v>
      </c>
      <c r="D177" s="21">
        <f t="shared" si="7"/>
        <v>3</v>
      </c>
      <c r="E177" s="34">
        <f t="shared" si="8"/>
        <v>40000000</v>
      </c>
      <c r="F177" s="10">
        <v>4084688</v>
      </c>
      <c r="G177" s="10">
        <v>4032350</v>
      </c>
      <c r="H177" s="10"/>
      <c r="I177" s="17">
        <v>0.26</v>
      </c>
      <c r="J177" s="18">
        <f t="shared" ref="J177:J183" si="10">I177*1.5</f>
        <v>0.39</v>
      </c>
      <c r="K177" s="10"/>
      <c r="L177" s="10">
        <f t="shared" ref="L177:L183" si="11">J177*E177*D177/365</f>
        <v>128219.17808219178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21" t="s">
        <v>52</v>
      </c>
      <c r="B178" s="22">
        <v>45523</v>
      </c>
      <c r="C178" s="22">
        <f t="shared" si="6"/>
        <v>45525</v>
      </c>
      <c r="D178" s="21">
        <f t="shared" si="7"/>
        <v>3</v>
      </c>
      <c r="E178" s="34">
        <f t="shared" si="8"/>
        <v>40000000</v>
      </c>
      <c r="F178" s="10">
        <v>30000</v>
      </c>
      <c r="G178" s="10">
        <v>30000</v>
      </c>
      <c r="H178" s="10"/>
      <c r="I178" s="17">
        <v>0.26</v>
      </c>
      <c r="J178" s="18">
        <f t="shared" si="10"/>
        <v>0.39</v>
      </c>
      <c r="K178" s="10"/>
      <c r="L178" s="10">
        <f t="shared" si="11"/>
        <v>128219.17808219178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21" t="s">
        <v>52</v>
      </c>
      <c r="B179" s="22">
        <v>45526</v>
      </c>
      <c r="C179" s="22">
        <f t="shared" si="6"/>
        <v>45546</v>
      </c>
      <c r="D179" s="21">
        <f t="shared" si="7"/>
        <v>21</v>
      </c>
      <c r="E179" s="34">
        <f t="shared" si="8"/>
        <v>40000000</v>
      </c>
      <c r="F179" s="10">
        <v>10000</v>
      </c>
      <c r="G179" s="10">
        <v>10000</v>
      </c>
      <c r="H179" s="10"/>
      <c r="I179" s="17">
        <v>0.26</v>
      </c>
      <c r="J179" s="18">
        <f t="shared" si="10"/>
        <v>0.39</v>
      </c>
      <c r="K179" s="10"/>
      <c r="L179" s="10">
        <f t="shared" si="11"/>
        <v>897534.24657534249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21" t="s">
        <v>52</v>
      </c>
      <c r="B180" s="22">
        <v>45547</v>
      </c>
      <c r="C180" s="22">
        <f t="shared" si="6"/>
        <v>45571</v>
      </c>
      <c r="D180" s="21">
        <f t="shared" si="7"/>
        <v>25</v>
      </c>
      <c r="E180" s="34">
        <f t="shared" si="8"/>
        <v>40000000</v>
      </c>
      <c r="F180" s="10">
        <v>4032350</v>
      </c>
      <c r="G180" s="10">
        <v>4032350</v>
      </c>
      <c r="H180" s="10"/>
      <c r="I180" s="17">
        <v>0.26</v>
      </c>
      <c r="J180" s="18">
        <f t="shared" si="10"/>
        <v>0.39</v>
      </c>
      <c r="K180" s="10"/>
      <c r="L180" s="10">
        <f t="shared" si="11"/>
        <v>1068493.1506849315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21" t="s">
        <v>52</v>
      </c>
      <c r="B181" s="22">
        <v>45572</v>
      </c>
      <c r="C181" s="22">
        <f t="shared" si="6"/>
        <v>45578</v>
      </c>
      <c r="D181" s="21">
        <f t="shared" si="7"/>
        <v>7</v>
      </c>
      <c r="E181" s="34">
        <f t="shared" si="8"/>
        <v>40000000</v>
      </c>
      <c r="F181" s="10"/>
      <c r="G181" s="10"/>
      <c r="H181" s="10"/>
      <c r="I181" s="17">
        <v>0.26</v>
      </c>
      <c r="J181" s="18">
        <f t="shared" si="10"/>
        <v>0.39</v>
      </c>
      <c r="K181" s="10"/>
      <c r="L181" s="10">
        <f t="shared" si="11"/>
        <v>299178.08219178085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21" t="s">
        <v>52</v>
      </c>
      <c r="B182" s="22">
        <v>45579</v>
      </c>
      <c r="C182" s="22">
        <f t="shared" si="6"/>
        <v>45581</v>
      </c>
      <c r="D182" s="21">
        <f t="shared" si="7"/>
        <v>3</v>
      </c>
      <c r="E182" s="34">
        <f t="shared" si="8"/>
        <v>39998000</v>
      </c>
      <c r="F182" s="10"/>
      <c r="G182" s="10">
        <v>2000</v>
      </c>
      <c r="H182" s="10"/>
      <c r="I182" s="17">
        <v>0.26</v>
      </c>
      <c r="J182" s="18">
        <f t="shared" si="10"/>
        <v>0.39</v>
      </c>
      <c r="K182" s="10"/>
      <c r="L182" s="10">
        <f t="shared" si="11"/>
        <v>128212.76712328767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21" t="s">
        <v>52</v>
      </c>
      <c r="B183" s="22">
        <v>45582</v>
      </c>
      <c r="C183" s="22">
        <v>46064</v>
      </c>
      <c r="D183" s="21">
        <f t="shared" si="7"/>
        <v>483</v>
      </c>
      <c r="E183" s="34">
        <f t="shared" si="8"/>
        <v>39965650</v>
      </c>
      <c r="F183" s="10">
        <v>4000000</v>
      </c>
      <c r="G183" s="10">
        <v>4032350</v>
      </c>
      <c r="H183" s="10"/>
      <c r="I183" s="17">
        <v>0.26</v>
      </c>
      <c r="J183" s="18">
        <f t="shared" si="10"/>
        <v>0.39</v>
      </c>
      <c r="K183" s="10"/>
      <c r="L183" s="10">
        <f t="shared" si="11"/>
        <v>20625560.247945204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x14ac:dyDescent="0.3">
      <c r="A184" s="13"/>
      <c r="B184" s="14"/>
      <c r="C184" s="14" t="s">
        <v>11</v>
      </c>
      <c r="D184" s="14"/>
      <c r="E184" s="15">
        <f>E183</f>
        <v>39965650</v>
      </c>
      <c r="F184" s="16">
        <f>SUM(F13:F183)</f>
        <v>612677312</v>
      </c>
      <c r="G184" s="16">
        <f>SUM(G13:G183)</f>
        <v>572711662</v>
      </c>
      <c r="H184" s="16">
        <f>SUM(H13:H183)</f>
        <v>790574</v>
      </c>
      <c r="I184" s="16"/>
      <c r="J184" s="16"/>
      <c r="K184" s="16">
        <f>SUM(K13:K183)</f>
        <v>1953850.6619726028</v>
      </c>
      <c r="L184" s="16">
        <f>SUM(L13:L183)</f>
        <v>23702254.883013695</v>
      </c>
    </row>
    <row r="185" spans="1:63" x14ac:dyDescent="0.3">
      <c r="B185" s="8"/>
      <c r="C185" s="9"/>
      <c r="D185" s="9"/>
      <c r="E185" s="9"/>
      <c r="F185" s="9"/>
      <c r="G185" s="9"/>
      <c r="H185" s="9"/>
      <c r="I185" s="9"/>
      <c r="J185" s="9"/>
      <c r="K185" s="9"/>
      <c r="L185" s="9"/>
    </row>
    <row r="186" spans="1:63" x14ac:dyDescent="0.3">
      <c r="F186" s="37"/>
      <c r="K186" s="49" t="s">
        <v>45</v>
      </c>
      <c r="L186" s="49"/>
    </row>
    <row r="187" spans="1:63" x14ac:dyDescent="0.3">
      <c r="F187" s="38"/>
      <c r="L187" s="2"/>
    </row>
    <row r="188" spans="1:63" x14ac:dyDescent="0.3">
      <c r="L188" s="2"/>
    </row>
    <row r="189" spans="1:63" x14ac:dyDescent="0.3">
      <c r="L189" s="2"/>
    </row>
    <row r="190" spans="1:63" x14ac:dyDescent="0.3">
      <c r="K190" s="50" t="s">
        <v>51</v>
      </c>
      <c r="L190" s="50"/>
    </row>
  </sheetData>
  <mergeCells count="5">
    <mergeCell ref="K190:L190"/>
    <mergeCell ref="A1:L1"/>
    <mergeCell ref="A3:B3"/>
    <mergeCell ref="G4:H4"/>
    <mergeCell ref="K186:L186"/>
  </mergeCells>
  <pageMargins left="0.7" right="0.7" top="0.75" bottom="0.75" header="0.3" footer="0.3"/>
  <pageSetup paperSize="9" scale="6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27</v>
      </c>
      <c r="B1" t="s">
        <v>28</v>
      </c>
      <c r="C1" t="s">
        <v>29</v>
      </c>
      <c r="D1" t="s">
        <v>30</v>
      </c>
    </row>
    <row r="2" spans="1:6" x14ac:dyDescent="0.3">
      <c r="A2" s="30">
        <v>45913.589942129627</v>
      </c>
      <c r="B2" t="s">
        <v>31</v>
      </c>
      <c r="C2" t="s">
        <v>24</v>
      </c>
      <c r="D2">
        <v>14</v>
      </c>
      <c r="E2" t="s">
        <v>32</v>
      </c>
      <c r="F2" t="s">
        <v>33</v>
      </c>
    </row>
    <row r="3" spans="1:6" x14ac:dyDescent="0.3">
      <c r="A3" s="30">
        <v>45913.589942129627</v>
      </c>
      <c r="B3" t="s">
        <v>34</v>
      </c>
      <c r="C3" t="s">
        <v>22</v>
      </c>
      <c r="D3">
        <v>33</v>
      </c>
      <c r="E3" t="s">
        <v>32</v>
      </c>
      <c r="F3" t="s">
        <v>33</v>
      </c>
    </row>
    <row r="4" spans="1:6" x14ac:dyDescent="0.3">
      <c r="A4" s="30">
        <v>45913.589942129627</v>
      </c>
      <c r="B4" t="s">
        <v>35</v>
      </c>
      <c r="C4" t="s">
        <v>23</v>
      </c>
      <c r="D4">
        <v>33</v>
      </c>
      <c r="E4" t="s">
        <v>32</v>
      </c>
      <c r="F4" t="s">
        <v>33</v>
      </c>
    </row>
    <row r="5" spans="1:6" x14ac:dyDescent="0.3">
      <c r="A5" s="30">
        <v>45913.589942129627</v>
      </c>
      <c r="B5" t="s">
        <v>36</v>
      </c>
      <c r="C5" t="s">
        <v>26</v>
      </c>
      <c r="D5">
        <v>12</v>
      </c>
      <c r="E5" t="s">
        <v>32</v>
      </c>
      <c r="F5" t="s">
        <v>33</v>
      </c>
    </row>
    <row r="6" spans="1:6" x14ac:dyDescent="0.3">
      <c r="A6" s="30">
        <v>45913.590243055558</v>
      </c>
      <c r="B6" t="s">
        <v>37</v>
      </c>
      <c r="C6" t="s">
        <v>25</v>
      </c>
      <c r="D6">
        <v>11</v>
      </c>
      <c r="E6" t="s">
        <v>32</v>
      </c>
      <c r="F6" t="s">
        <v>33</v>
      </c>
    </row>
    <row r="7" spans="1:6" x14ac:dyDescent="0.3">
      <c r="A7" s="30">
        <v>45913.590243055558</v>
      </c>
      <c r="B7" t="s">
        <v>31</v>
      </c>
      <c r="C7" t="s">
        <v>24</v>
      </c>
      <c r="D7">
        <v>14</v>
      </c>
      <c r="E7" t="s">
        <v>32</v>
      </c>
      <c r="F7" t="s">
        <v>33</v>
      </c>
    </row>
    <row r="8" spans="1:6" x14ac:dyDescent="0.3">
      <c r="A8" s="30">
        <v>45913.590243055558</v>
      </c>
      <c r="B8" t="s">
        <v>34</v>
      </c>
      <c r="C8" t="s">
        <v>22</v>
      </c>
      <c r="D8">
        <v>33</v>
      </c>
      <c r="E8" t="s">
        <v>32</v>
      </c>
      <c r="F8" t="s">
        <v>33</v>
      </c>
    </row>
    <row r="9" spans="1:6" x14ac:dyDescent="0.3">
      <c r="A9" s="30">
        <v>45913.590243055558</v>
      </c>
      <c r="B9" t="s">
        <v>35</v>
      </c>
      <c r="C9" t="s">
        <v>23</v>
      </c>
      <c r="D9">
        <v>33</v>
      </c>
      <c r="E9" t="s">
        <v>32</v>
      </c>
      <c r="F9" t="s">
        <v>33</v>
      </c>
    </row>
    <row r="10" spans="1:6" x14ac:dyDescent="0.3">
      <c r="A10" s="30">
        <v>45913.590254629627</v>
      </c>
      <c r="B10" t="s">
        <v>36</v>
      </c>
      <c r="C10" t="s">
        <v>26</v>
      </c>
      <c r="D10">
        <v>12</v>
      </c>
      <c r="E10" t="s">
        <v>32</v>
      </c>
      <c r="F10" t="s">
        <v>33</v>
      </c>
    </row>
    <row r="11" spans="1:6" x14ac:dyDescent="0.3">
      <c r="A11" s="30">
        <v>45913.616481481484</v>
      </c>
      <c r="B11" t="s">
        <v>38</v>
      </c>
      <c r="C11" t="s">
        <v>26</v>
      </c>
      <c r="D11">
        <v>3</v>
      </c>
      <c r="E11" t="s">
        <v>32</v>
      </c>
      <c r="F11" t="s">
        <v>33</v>
      </c>
    </row>
    <row r="12" spans="1:6" x14ac:dyDescent="0.3">
      <c r="A12" s="30">
        <v>45913.617245370369</v>
      </c>
      <c r="B12" t="s">
        <v>39</v>
      </c>
      <c r="C12" t="s">
        <v>25</v>
      </c>
      <c r="D12">
        <v>0</v>
      </c>
      <c r="E12" t="s">
        <v>32</v>
      </c>
      <c r="F12" t="s">
        <v>33</v>
      </c>
    </row>
    <row r="13" spans="1:6" x14ac:dyDescent="0.3">
      <c r="A13" s="30">
        <v>45913.617245370369</v>
      </c>
      <c r="B13" t="s">
        <v>40</v>
      </c>
      <c r="C13" t="s">
        <v>24</v>
      </c>
      <c r="D13">
        <v>0</v>
      </c>
      <c r="E13" t="s">
        <v>32</v>
      </c>
      <c r="F13" t="s">
        <v>33</v>
      </c>
    </row>
    <row r="14" spans="1:6" x14ac:dyDescent="0.3">
      <c r="A14" s="30">
        <v>45913.617245370369</v>
      </c>
      <c r="B14" t="s">
        <v>41</v>
      </c>
      <c r="C14" t="s">
        <v>22</v>
      </c>
      <c r="D14">
        <v>7</v>
      </c>
      <c r="E14" t="s">
        <v>32</v>
      </c>
      <c r="F14" t="s">
        <v>33</v>
      </c>
    </row>
    <row r="15" spans="1:6" x14ac:dyDescent="0.3">
      <c r="A15" s="30">
        <v>45913.617245370369</v>
      </c>
      <c r="B15" t="s">
        <v>42</v>
      </c>
      <c r="C15" t="s">
        <v>23</v>
      </c>
      <c r="D15">
        <v>7</v>
      </c>
      <c r="E15" t="s">
        <v>32</v>
      </c>
      <c r="F15" t="s">
        <v>33</v>
      </c>
    </row>
    <row r="16" spans="1:6" x14ac:dyDescent="0.3">
      <c r="A16" s="30">
        <v>45913.617256944446</v>
      </c>
      <c r="B16" t="s">
        <v>38</v>
      </c>
      <c r="C16" t="s">
        <v>26</v>
      </c>
      <c r="D16">
        <v>3</v>
      </c>
      <c r="E16" t="s">
        <v>43</v>
      </c>
      <c r="F16" t="s">
        <v>44</v>
      </c>
    </row>
    <row r="17" spans="1:6" x14ac:dyDescent="0.3">
      <c r="A17" s="30">
        <v>45913.620682870373</v>
      </c>
      <c r="B17" t="s">
        <v>39</v>
      </c>
      <c r="C17" t="s">
        <v>25</v>
      </c>
      <c r="D17">
        <v>1</v>
      </c>
      <c r="E17" t="s">
        <v>32</v>
      </c>
      <c r="F17" t="s">
        <v>33</v>
      </c>
    </row>
    <row r="18" spans="1:6" x14ac:dyDescent="0.3">
      <c r="A18" s="30">
        <v>45913.620682870373</v>
      </c>
      <c r="B18" t="s">
        <v>40</v>
      </c>
      <c r="C18" t="s">
        <v>24</v>
      </c>
      <c r="D18">
        <v>1</v>
      </c>
      <c r="E18" t="s">
        <v>32</v>
      </c>
      <c r="F18" t="s">
        <v>33</v>
      </c>
    </row>
    <row r="19" spans="1:6" x14ac:dyDescent="0.3">
      <c r="A19" s="30">
        <v>45913.620682870373</v>
      </c>
      <c r="B19" t="s">
        <v>41</v>
      </c>
      <c r="C19" t="s">
        <v>22</v>
      </c>
      <c r="D19">
        <v>7</v>
      </c>
      <c r="E19" t="s">
        <v>32</v>
      </c>
      <c r="F19" t="s">
        <v>33</v>
      </c>
    </row>
    <row r="20" spans="1:6" x14ac:dyDescent="0.3">
      <c r="A20" s="30">
        <v>45913.620694444442</v>
      </c>
      <c r="B20" t="s">
        <v>42</v>
      </c>
      <c r="C20" t="s">
        <v>23</v>
      </c>
      <c r="D20">
        <v>7</v>
      </c>
      <c r="E20" t="s">
        <v>32</v>
      </c>
      <c r="F20" t="s">
        <v>33</v>
      </c>
    </row>
    <row r="21" spans="1:6" x14ac:dyDescent="0.3">
      <c r="A21" s="30">
        <v>45913.620694444442</v>
      </c>
      <c r="B21" t="s">
        <v>38</v>
      </c>
      <c r="C21" t="s">
        <v>26</v>
      </c>
      <c r="D21">
        <v>3</v>
      </c>
      <c r="E21" t="s">
        <v>32</v>
      </c>
      <c r="F21" t="s">
        <v>33</v>
      </c>
    </row>
    <row r="22" spans="1:6" x14ac:dyDescent="0.3">
      <c r="A22" s="30">
        <v>45913.621365740742</v>
      </c>
      <c r="B22" t="s">
        <v>39</v>
      </c>
      <c r="C22" t="s">
        <v>25</v>
      </c>
      <c r="D22">
        <v>1</v>
      </c>
      <c r="E22" t="s">
        <v>32</v>
      </c>
      <c r="F22" t="s">
        <v>33</v>
      </c>
    </row>
    <row r="23" spans="1:6" x14ac:dyDescent="0.3">
      <c r="A23" s="30">
        <v>45913.621365740742</v>
      </c>
      <c r="B23" t="s">
        <v>40</v>
      </c>
      <c r="C23" t="s">
        <v>24</v>
      </c>
      <c r="D23">
        <v>1</v>
      </c>
      <c r="E23" t="s">
        <v>32</v>
      </c>
      <c r="F23" t="s">
        <v>33</v>
      </c>
    </row>
    <row r="24" spans="1:6" x14ac:dyDescent="0.3">
      <c r="A24" s="30">
        <v>45913.621365740742</v>
      </c>
      <c r="B24" t="s">
        <v>41</v>
      </c>
      <c r="C24" t="s">
        <v>22</v>
      </c>
      <c r="D24">
        <v>7</v>
      </c>
      <c r="E24" t="s">
        <v>32</v>
      </c>
      <c r="F24" t="s">
        <v>33</v>
      </c>
    </row>
    <row r="25" spans="1:6" x14ac:dyDescent="0.3">
      <c r="A25" s="30">
        <v>45913.621365740742</v>
      </c>
      <c r="B25" t="s">
        <v>42</v>
      </c>
      <c r="C25" t="s">
        <v>23</v>
      </c>
      <c r="D25">
        <v>7</v>
      </c>
      <c r="E25" t="s">
        <v>32</v>
      </c>
      <c r="F25" t="s">
        <v>33</v>
      </c>
    </row>
    <row r="26" spans="1:6" x14ac:dyDescent="0.3">
      <c r="A26" s="30">
        <v>45913.621365740742</v>
      </c>
      <c r="B26" t="s">
        <v>38</v>
      </c>
      <c r="C26" t="s">
        <v>26</v>
      </c>
      <c r="D26">
        <v>3</v>
      </c>
      <c r="E26" t="s">
        <v>32</v>
      </c>
      <c r="F26" t="s">
        <v>33</v>
      </c>
    </row>
    <row r="27" spans="1:6" x14ac:dyDescent="0.3">
      <c r="A27" s="30">
        <v>45913.840555555558</v>
      </c>
      <c r="B27" t="s">
        <v>39</v>
      </c>
      <c r="C27" t="s">
        <v>25</v>
      </c>
      <c r="D27">
        <v>1</v>
      </c>
      <c r="E27" t="s">
        <v>32</v>
      </c>
    </row>
    <row r="28" spans="1:6" x14ac:dyDescent="0.3">
      <c r="A28" s="30">
        <v>45913.840555555558</v>
      </c>
      <c r="B28" t="s">
        <v>40</v>
      </c>
      <c r="C28" t="s">
        <v>24</v>
      </c>
      <c r="D28">
        <v>1</v>
      </c>
      <c r="E28" t="s">
        <v>32</v>
      </c>
    </row>
    <row r="29" spans="1:6" x14ac:dyDescent="0.3">
      <c r="A29" s="30">
        <v>45913.840555555558</v>
      </c>
      <c r="B29" t="s">
        <v>41</v>
      </c>
      <c r="C29" t="s">
        <v>22</v>
      </c>
      <c r="D29">
        <v>7</v>
      </c>
      <c r="E29" t="s">
        <v>32</v>
      </c>
    </row>
    <row r="30" spans="1:6" x14ac:dyDescent="0.3">
      <c r="A30" s="30">
        <v>45913.840555555558</v>
      </c>
      <c r="B30" t="s">
        <v>42</v>
      </c>
      <c r="C30" t="s">
        <v>23</v>
      </c>
      <c r="D30">
        <v>7</v>
      </c>
      <c r="E30" t="s">
        <v>32</v>
      </c>
    </row>
    <row r="31" spans="1:6" x14ac:dyDescent="0.3">
      <c r="A31" s="30">
        <v>45913.840567129628</v>
      </c>
      <c r="B31" t="s">
        <v>38</v>
      </c>
      <c r="C31" t="s">
        <v>26</v>
      </c>
      <c r="D31">
        <v>5</v>
      </c>
      <c r="E3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THTT</vt:lpstr>
      <vt:lpstr>PVSKTC</vt:lpstr>
      <vt:lpstr>SKTC</vt:lpstr>
      <vt:lpstr>BANGTINH</vt:lpstr>
      <vt:lpstr>378137873</vt:lpstr>
      <vt:lpstr>hehe</vt:lpstr>
      <vt:lpstr>'378137873'!Print_Area</vt:lpstr>
      <vt:lpstr>BANGTINH!Print_Area</vt:lpstr>
      <vt:lpstr>hehe!Print_Area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2026-01-06T08:19:04Z</cp:lastPrinted>
  <dcterms:created xsi:type="dcterms:W3CDTF">2025-08-10T08:27:57Z</dcterms:created>
  <dcterms:modified xsi:type="dcterms:W3CDTF">2026-03-04T18:09:32Z</dcterms:modified>
</cp:coreProperties>
</file>