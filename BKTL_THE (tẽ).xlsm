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4000" windowHeight="8580" tabRatio="596" firstSheet="1" activeTab="1"/>
  </bookViews>
  <sheets>
    <sheet name="BKTL" sheetId="6" state="hidden" r:id="rId1"/>
    <sheet name="THTT" sheetId="5" r:id="rId2"/>
    <sheet name="saokethe" sheetId="19" state="hidden" r:id="rId3"/>
    <sheet name="tinhnhanh" sheetId="3" state="hidden" r:id="rId4"/>
  </sheets>
  <functionGroups builtInGroupCount="18"/>
  <definedNames>
    <definedName name="_xlnm._FilterDatabase" localSheetId="2" hidden="1">saokethe!$A$1:$Q$191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30" i="3" l="1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F63" i="3" s="1"/>
  <c r="G63" i="3" s="1"/>
  <c r="E62" i="3"/>
  <c r="E61" i="3"/>
  <c r="E60" i="3"/>
  <c r="E59" i="3"/>
  <c r="E58" i="3"/>
  <c r="E57" i="3"/>
  <c r="E56" i="3"/>
  <c r="E55" i="3"/>
  <c r="F55" i="3" s="1"/>
  <c r="G55" i="3" s="1"/>
  <c r="E54" i="3"/>
  <c r="E53" i="3"/>
  <c r="E52" i="3"/>
  <c r="E51" i="3"/>
  <c r="E50" i="3"/>
  <c r="E49" i="3"/>
  <c r="E48" i="3"/>
  <c r="F48" i="3" s="1"/>
  <c r="G48" i="3" s="1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F29" i="3" s="1"/>
  <c r="G29" i="3" s="1"/>
  <c r="E28" i="3"/>
  <c r="E27" i="3"/>
  <c r="E26" i="3"/>
  <c r="E25" i="3"/>
  <c r="E24" i="3"/>
  <c r="E23" i="3"/>
  <c r="F23" i="3" s="1"/>
  <c r="G23" i="3" s="1"/>
  <c r="E22" i="3"/>
  <c r="E21" i="3"/>
  <c r="E20" i="3"/>
  <c r="E19" i="3"/>
  <c r="E18" i="3"/>
  <c r="E17" i="3"/>
  <c r="E16" i="3"/>
  <c r="F16" i="3" s="1"/>
  <c r="G16" i="3" s="1"/>
  <c r="E15" i="3"/>
  <c r="E14" i="3"/>
  <c r="E13" i="3"/>
  <c r="E12" i="3"/>
  <c r="E11" i="3"/>
  <c r="F11" i="3" s="1"/>
  <c r="G11" i="3" s="1"/>
  <c r="E10" i="3"/>
  <c r="E9" i="3"/>
  <c r="E8" i="3"/>
  <c r="F8" i="3" s="1"/>
  <c r="G8" i="3" s="1"/>
  <c r="E7" i="3"/>
  <c r="E6" i="3"/>
  <c r="E5" i="3"/>
  <c r="F50" i="3" s="1"/>
  <c r="G50" i="3" s="1"/>
  <c r="E4" i="3"/>
  <c r="E3" i="3"/>
  <c r="F152" i="3" s="1"/>
  <c r="G152" i="3" s="1"/>
  <c r="F2" i="3"/>
  <c r="G2" i="3" s="1"/>
  <c r="E2" i="3"/>
  <c r="F452" i="3" s="1"/>
  <c r="G452" i="3" s="1"/>
  <c r="F79" i="3" l="1"/>
  <c r="G79" i="3" s="1"/>
  <c r="F17" i="3"/>
  <c r="G17" i="3" s="1"/>
  <c r="F30" i="3"/>
  <c r="G30" i="3" s="1"/>
  <c r="F42" i="3"/>
  <c r="G42" i="3" s="1"/>
  <c r="F49" i="3"/>
  <c r="G49" i="3" s="1"/>
  <c r="F56" i="3"/>
  <c r="G56" i="3" s="1"/>
  <c r="F64" i="3"/>
  <c r="G64" i="3" s="1"/>
  <c r="F72" i="3"/>
  <c r="G72" i="3" s="1"/>
  <c r="F80" i="3"/>
  <c r="G80" i="3" s="1"/>
  <c r="F88" i="3"/>
  <c r="G88" i="3" s="1"/>
  <c r="F96" i="3"/>
  <c r="G96" i="3" s="1"/>
  <c r="F10" i="3"/>
  <c r="G10" i="3" s="1"/>
  <c r="F24" i="3"/>
  <c r="G24" i="3" s="1"/>
  <c r="F65" i="3"/>
  <c r="G65" i="3" s="1"/>
  <c r="F81" i="3"/>
  <c r="G81" i="3" s="1"/>
  <c r="F89" i="3"/>
  <c r="G89" i="3" s="1"/>
  <c r="F97" i="3"/>
  <c r="G97" i="3" s="1"/>
  <c r="F105" i="3"/>
  <c r="G105" i="3" s="1"/>
  <c r="F129" i="3"/>
  <c r="G129" i="3" s="1"/>
  <c r="F137" i="3"/>
  <c r="G137" i="3" s="1"/>
  <c r="F145" i="3"/>
  <c r="G145" i="3" s="1"/>
  <c r="F153" i="3"/>
  <c r="G153" i="3" s="1"/>
  <c r="F161" i="3"/>
  <c r="G161" i="3" s="1"/>
  <c r="F57" i="3"/>
  <c r="G57" i="3" s="1"/>
  <c r="F73" i="3"/>
  <c r="G73" i="3" s="1"/>
  <c r="F6" i="3"/>
  <c r="G6" i="3" s="1"/>
  <c r="F18" i="3"/>
  <c r="G18" i="3" s="1"/>
  <c r="F25" i="3"/>
  <c r="G25" i="3" s="1"/>
  <c r="F38" i="3"/>
  <c r="G38" i="3" s="1"/>
  <c r="F98" i="3"/>
  <c r="G98" i="3" s="1"/>
  <c r="F106" i="3"/>
  <c r="G106" i="3" s="1"/>
  <c r="F87" i="3"/>
  <c r="G87" i="3" s="1"/>
  <c r="F37" i="3"/>
  <c r="G37" i="3" s="1"/>
  <c r="F7" i="3"/>
  <c r="G7" i="3" s="1"/>
  <c r="F19" i="3"/>
  <c r="G19" i="3" s="1"/>
  <c r="F45" i="3"/>
  <c r="G45" i="3" s="1"/>
  <c r="F99" i="3"/>
  <c r="G99" i="3" s="1"/>
  <c r="F115" i="3"/>
  <c r="G115" i="3" s="1"/>
  <c r="F123" i="3"/>
  <c r="G123" i="3" s="1"/>
  <c r="F71" i="3"/>
  <c r="G71" i="3" s="1"/>
  <c r="F90" i="3"/>
  <c r="G90" i="3" s="1"/>
  <c r="F82" i="3"/>
  <c r="G82" i="3" s="1"/>
  <c r="F74" i="3"/>
  <c r="G74" i="3" s="1"/>
  <c r="F102" i="3"/>
  <c r="G102" i="3" s="1"/>
  <c r="F20" i="3"/>
  <c r="G20" i="3" s="1"/>
  <c r="F12" i="3"/>
  <c r="G12" i="3" s="1"/>
  <c r="F4" i="3"/>
  <c r="G4" i="3" s="1"/>
  <c r="F192" i="3"/>
  <c r="G192" i="3" s="1"/>
  <c r="F121" i="3"/>
  <c r="G121" i="3" s="1"/>
  <c r="F118" i="3"/>
  <c r="G118" i="3" s="1"/>
  <c r="F93" i="3"/>
  <c r="G93" i="3" s="1"/>
  <c r="F58" i="3"/>
  <c r="G58" i="3" s="1"/>
  <c r="F183" i="3"/>
  <c r="G183" i="3" s="1"/>
  <c r="F174" i="3"/>
  <c r="G174" i="3" s="1"/>
  <c r="F206" i="3"/>
  <c r="G206" i="3" s="1"/>
  <c r="F85" i="3"/>
  <c r="G85" i="3" s="1"/>
  <c r="F5" i="3"/>
  <c r="G5" i="3" s="1"/>
  <c r="F66" i="3"/>
  <c r="G66" i="3" s="1"/>
  <c r="F31" i="3"/>
  <c r="G31" i="3" s="1"/>
  <c r="F13" i="3"/>
  <c r="G13" i="3" s="1"/>
  <c r="F32" i="3"/>
  <c r="G32" i="3" s="1"/>
  <c r="F39" i="3"/>
  <c r="G39" i="3" s="1"/>
  <c r="F14" i="3"/>
  <c r="G14" i="3" s="1"/>
  <c r="F26" i="3"/>
  <c r="G26" i="3" s="1"/>
  <c r="F33" i="3"/>
  <c r="G33" i="3" s="1"/>
  <c r="F46" i="3"/>
  <c r="G46" i="3" s="1"/>
  <c r="F15" i="3"/>
  <c r="G15" i="3" s="1"/>
  <c r="F21" i="3"/>
  <c r="G21" i="3" s="1"/>
  <c r="F40" i="3"/>
  <c r="G40" i="3" s="1"/>
  <c r="F47" i="3"/>
  <c r="G47" i="3" s="1"/>
  <c r="F53" i="3"/>
  <c r="G53" i="3" s="1"/>
  <c r="F61" i="3"/>
  <c r="G61" i="3" s="1"/>
  <c r="F69" i="3"/>
  <c r="G69" i="3" s="1"/>
  <c r="F77" i="3"/>
  <c r="G77" i="3" s="1"/>
  <c r="F9" i="3"/>
  <c r="G9" i="3" s="1"/>
  <c r="F22" i="3"/>
  <c r="G22" i="3" s="1"/>
  <c r="F34" i="3"/>
  <c r="G34" i="3" s="1"/>
  <c r="F41" i="3"/>
  <c r="G41" i="3" s="1"/>
  <c r="F54" i="3"/>
  <c r="G54" i="3" s="1"/>
  <c r="F62" i="3"/>
  <c r="G62" i="3" s="1"/>
  <c r="F70" i="3"/>
  <c r="G70" i="3" s="1"/>
  <c r="F78" i="3"/>
  <c r="G78" i="3" s="1"/>
  <c r="F86" i="3"/>
  <c r="G86" i="3" s="1"/>
  <c r="F94" i="3"/>
  <c r="G94" i="3" s="1"/>
  <c r="F110" i="3"/>
  <c r="G110" i="3" s="1"/>
  <c r="F440" i="3"/>
  <c r="G440" i="3" s="1"/>
  <c r="F109" i="3"/>
  <c r="G109" i="3" s="1"/>
  <c r="F122" i="3"/>
  <c r="G122" i="3" s="1"/>
  <c r="F171" i="3"/>
  <c r="G171" i="3" s="1"/>
  <c r="F180" i="3"/>
  <c r="G180" i="3" s="1"/>
  <c r="F189" i="3"/>
  <c r="G189" i="3" s="1"/>
  <c r="F193" i="3"/>
  <c r="G193" i="3" s="1"/>
  <c r="F203" i="3"/>
  <c r="G203" i="3" s="1"/>
  <c r="F212" i="3"/>
  <c r="G212" i="3" s="1"/>
  <c r="F217" i="3"/>
  <c r="G217" i="3" s="1"/>
  <c r="F222" i="3"/>
  <c r="G222" i="3" s="1"/>
  <c r="F228" i="3"/>
  <c r="G228" i="3" s="1"/>
  <c r="F233" i="3"/>
  <c r="G233" i="3" s="1"/>
  <c r="F238" i="3"/>
  <c r="G238" i="3" s="1"/>
  <c r="F245" i="3"/>
  <c r="G245" i="3" s="1"/>
  <c r="F258" i="3"/>
  <c r="G258" i="3" s="1"/>
  <c r="F265" i="3"/>
  <c r="G265" i="3" s="1"/>
  <c r="F271" i="3"/>
  <c r="G271" i="3" s="1"/>
  <c r="F277" i="3"/>
  <c r="G277" i="3" s="1"/>
  <c r="F290" i="3"/>
  <c r="G290" i="3" s="1"/>
  <c r="F297" i="3"/>
  <c r="G297" i="3" s="1"/>
  <c r="F303" i="3"/>
  <c r="G303" i="3" s="1"/>
  <c r="F309" i="3"/>
  <c r="G309" i="3" s="1"/>
  <c r="F327" i="3"/>
  <c r="G327" i="3" s="1"/>
  <c r="F362" i="3"/>
  <c r="G362" i="3" s="1"/>
  <c r="F383" i="3"/>
  <c r="G383" i="3" s="1"/>
  <c r="F426" i="3"/>
  <c r="G426" i="3" s="1"/>
  <c r="F464" i="3"/>
  <c r="G464" i="3" s="1"/>
  <c r="F296" i="3"/>
  <c r="G296" i="3" s="1"/>
  <c r="F418" i="3"/>
  <c r="G418" i="3" s="1"/>
  <c r="F43" i="3"/>
  <c r="G43" i="3" s="1"/>
  <c r="F67" i="3"/>
  <c r="G67" i="3" s="1"/>
  <c r="F91" i="3"/>
  <c r="G91" i="3" s="1"/>
  <c r="F112" i="3"/>
  <c r="G112" i="3" s="1"/>
  <c r="F126" i="3"/>
  <c r="G126" i="3" s="1"/>
  <c r="F130" i="3"/>
  <c r="G130" i="3" s="1"/>
  <c r="F134" i="3"/>
  <c r="G134" i="3" s="1"/>
  <c r="F138" i="3"/>
  <c r="G138" i="3" s="1"/>
  <c r="F142" i="3"/>
  <c r="G142" i="3" s="1"/>
  <c r="F146" i="3"/>
  <c r="G146" i="3" s="1"/>
  <c r="F150" i="3"/>
  <c r="G150" i="3" s="1"/>
  <c r="F154" i="3"/>
  <c r="G154" i="3" s="1"/>
  <c r="F158" i="3"/>
  <c r="G158" i="3" s="1"/>
  <c r="F162" i="3"/>
  <c r="G162" i="3" s="1"/>
  <c r="F166" i="3"/>
  <c r="G166" i="3" s="1"/>
  <c r="F175" i="3"/>
  <c r="G175" i="3" s="1"/>
  <c r="F184" i="3"/>
  <c r="G184" i="3" s="1"/>
  <c r="F194" i="3"/>
  <c r="G194" i="3" s="1"/>
  <c r="F198" i="3"/>
  <c r="G198" i="3" s="1"/>
  <c r="F207" i="3"/>
  <c r="G207" i="3" s="1"/>
  <c r="F218" i="3"/>
  <c r="G218" i="3" s="1"/>
  <c r="F234" i="3"/>
  <c r="G234" i="3" s="1"/>
  <c r="F266" i="3"/>
  <c r="G266" i="3" s="1"/>
  <c r="F298" i="3"/>
  <c r="G298" i="3" s="1"/>
  <c r="F322" i="3"/>
  <c r="G322" i="3" s="1"/>
  <c r="F328" i="3"/>
  <c r="G328" i="3" s="1"/>
  <c r="F370" i="3"/>
  <c r="G370" i="3" s="1"/>
  <c r="F434" i="3"/>
  <c r="G434" i="3" s="1"/>
  <c r="F276" i="3"/>
  <c r="G276" i="3" s="1"/>
  <c r="F308" i="3"/>
  <c r="G308" i="3" s="1"/>
  <c r="F3" i="3"/>
  <c r="G3" i="3" s="1"/>
  <c r="F35" i="3"/>
  <c r="G35" i="3" s="1"/>
  <c r="F59" i="3"/>
  <c r="G59" i="3" s="1"/>
  <c r="F83" i="3"/>
  <c r="G83" i="3" s="1"/>
  <c r="F100" i="3"/>
  <c r="G100" i="3" s="1"/>
  <c r="F116" i="3"/>
  <c r="G116" i="3" s="1"/>
  <c r="F119" i="3"/>
  <c r="G119" i="3" s="1"/>
  <c r="F147" i="3"/>
  <c r="G147" i="3" s="1"/>
  <c r="F163" i="3"/>
  <c r="G163" i="3" s="1"/>
  <c r="F172" i="3"/>
  <c r="G172" i="3" s="1"/>
  <c r="F181" i="3"/>
  <c r="G181" i="3" s="1"/>
  <c r="F185" i="3"/>
  <c r="G185" i="3" s="1"/>
  <c r="F195" i="3"/>
  <c r="G195" i="3" s="1"/>
  <c r="F204" i="3"/>
  <c r="G204" i="3" s="1"/>
  <c r="F213" i="3"/>
  <c r="G213" i="3" s="1"/>
  <c r="F219" i="3"/>
  <c r="G219" i="3" s="1"/>
  <c r="F223" i="3"/>
  <c r="G223" i="3" s="1"/>
  <c r="F229" i="3"/>
  <c r="G229" i="3" s="1"/>
  <c r="F235" i="3"/>
  <c r="G235" i="3" s="1"/>
  <c r="F246" i="3"/>
  <c r="G246" i="3" s="1"/>
  <c r="F252" i="3"/>
  <c r="G252" i="3" s="1"/>
  <c r="F272" i="3"/>
  <c r="G272" i="3" s="1"/>
  <c r="F278" i="3"/>
  <c r="G278" i="3" s="1"/>
  <c r="F284" i="3"/>
  <c r="G284" i="3" s="1"/>
  <c r="F304" i="3"/>
  <c r="G304" i="3" s="1"/>
  <c r="F310" i="3"/>
  <c r="G310" i="3" s="1"/>
  <c r="F316" i="3"/>
  <c r="G316" i="3" s="1"/>
  <c r="F329" i="3"/>
  <c r="G329" i="3" s="1"/>
  <c r="F335" i="3"/>
  <c r="G335" i="3" s="1"/>
  <c r="F342" i="3"/>
  <c r="G342" i="3" s="1"/>
  <c r="F371" i="3"/>
  <c r="G371" i="3" s="1"/>
  <c r="F378" i="3"/>
  <c r="G378" i="3" s="1"/>
  <c r="F385" i="3"/>
  <c r="G385" i="3" s="1"/>
  <c r="F202" i="3"/>
  <c r="G202" i="3" s="1"/>
  <c r="F264" i="3"/>
  <c r="G264" i="3" s="1"/>
  <c r="F375" i="3"/>
  <c r="G375" i="3" s="1"/>
  <c r="F27" i="3"/>
  <c r="G27" i="3" s="1"/>
  <c r="F51" i="3"/>
  <c r="G51" i="3" s="1"/>
  <c r="F75" i="3"/>
  <c r="G75" i="3" s="1"/>
  <c r="F103" i="3"/>
  <c r="G103" i="3" s="1"/>
  <c r="F131" i="3"/>
  <c r="G131" i="3" s="1"/>
  <c r="F139" i="3"/>
  <c r="G139" i="3" s="1"/>
  <c r="F155" i="3"/>
  <c r="G155" i="3" s="1"/>
  <c r="F167" i="3"/>
  <c r="G167" i="3" s="1"/>
  <c r="F176" i="3"/>
  <c r="G176" i="3" s="1"/>
  <c r="F186" i="3"/>
  <c r="G186" i="3" s="1"/>
  <c r="F190" i="3"/>
  <c r="G190" i="3" s="1"/>
  <c r="F199" i="3"/>
  <c r="G199" i="3" s="1"/>
  <c r="F208" i="3"/>
  <c r="G208" i="3" s="1"/>
  <c r="F241" i="3"/>
  <c r="G241" i="3" s="1"/>
  <c r="F261" i="3"/>
  <c r="G261" i="3" s="1"/>
  <c r="F273" i="3"/>
  <c r="G273" i="3" s="1"/>
  <c r="F293" i="3"/>
  <c r="G293" i="3" s="1"/>
  <c r="F305" i="3"/>
  <c r="G305" i="3" s="1"/>
  <c r="F343" i="3"/>
  <c r="G343" i="3" s="1"/>
  <c r="F429" i="3"/>
  <c r="G429" i="3" s="1"/>
  <c r="F459" i="3"/>
  <c r="G459" i="3" s="1"/>
  <c r="F483" i="3"/>
  <c r="G483" i="3" s="1"/>
  <c r="F28" i="3"/>
  <c r="G28" i="3" s="1"/>
  <c r="F36" i="3"/>
  <c r="G36" i="3" s="1"/>
  <c r="F44" i="3"/>
  <c r="G44" i="3" s="1"/>
  <c r="F52" i="3"/>
  <c r="G52" i="3" s="1"/>
  <c r="F60" i="3"/>
  <c r="G60" i="3" s="1"/>
  <c r="F68" i="3"/>
  <c r="G68" i="3" s="1"/>
  <c r="F76" i="3"/>
  <c r="G76" i="3" s="1"/>
  <c r="F84" i="3"/>
  <c r="G84" i="3" s="1"/>
  <c r="F92" i="3"/>
  <c r="G92" i="3" s="1"/>
  <c r="F101" i="3"/>
  <c r="G101" i="3" s="1"/>
  <c r="F107" i="3"/>
  <c r="G107" i="3" s="1"/>
  <c r="F113" i="3"/>
  <c r="G113" i="3" s="1"/>
  <c r="F117" i="3"/>
  <c r="G117" i="3" s="1"/>
  <c r="F120" i="3"/>
  <c r="G120" i="3" s="1"/>
  <c r="F132" i="3"/>
  <c r="G132" i="3" s="1"/>
  <c r="F135" i="3"/>
  <c r="G135" i="3" s="1"/>
  <c r="F140" i="3"/>
  <c r="G140" i="3" s="1"/>
  <c r="F143" i="3"/>
  <c r="G143" i="3" s="1"/>
  <c r="F148" i="3"/>
  <c r="G148" i="3" s="1"/>
  <c r="F151" i="3"/>
  <c r="G151" i="3" s="1"/>
  <c r="F156" i="3"/>
  <c r="G156" i="3" s="1"/>
  <c r="F159" i="3"/>
  <c r="G159" i="3" s="1"/>
  <c r="F164" i="3"/>
  <c r="G164" i="3" s="1"/>
  <c r="F173" i="3"/>
  <c r="G173" i="3" s="1"/>
  <c r="F177" i="3"/>
  <c r="G177" i="3" s="1"/>
  <c r="F187" i="3"/>
  <c r="G187" i="3" s="1"/>
  <c r="F196" i="3"/>
  <c r="G196" i="3" s="1"/>
  <c r="F205" i="3"/>
  <c r="G205" i="3" s="1"/>
  <c r="F209" i="3"/>
  <c r="G209" i="3" s="1"/>
  <c r="F214" i="3"/>
  <c r="G214" i="3" s="1"/>
  <c r="F220" i="3"/>
  <c r="G220" i="3" s="1"/>
  <c r="F225" i="3"/>
  <c r="G225" i="3" s="1"/>
  <c r="F230" i="3"/>
  <c r="G230" i="3" s="1"/>
  <c r="F236" i="3"/>
  <c r="G236" i="3" s="1"/>
  <c r="F242" i="3"/>
  <c r="G242" i="3" s="1"/>
  <c r="F268" i="3"/>
  <c r="G268" i="3" s="1"/>
  <c r="F274" i="3"/>
  <c r="G274" i="3" s="1"/>
  <c r="F300" i="3"/>
  <c r="G300" i="3" s="1"/>
  <c r="F306" i="3"/>
  <c r="G306" i="3" s="1"/>
  <c r="F351" i="3"/>
  <c r="G351" i="3" s="1"/>
  <c r="F394" i="3"/>
  <c r="G394" i="3" s="1"/>
  <c r="F170" i="3"/>
  <c r="G170" i="3" s="1"/>
  <c r="F244" i="3"/>
  <c r="G244" i="3" s="1"/>
  <c r="F124" i="3"/>
  <c r="G124" i="3" s="1"/>
  <c r="F127" i="3"/>
  <c r="G127" i="3" s="1"/>
  <c r="F625" i="3"/>
  <c r="G625" i="3" s="1"/>
  <c r="F617" i="3"/>
  <c r="G617" i="3" s="1"/>
  <c r="F609" i="3"/>
  <c r="G609" i="3" s="1"/>
  <c r="F601" i="3"/>
  <c r="G601" i="3" s="1"/>
  <c r="F593" i="3"/>
  <c r="G593" i="3" s="1"/>
  <c r="F585" i="3"/>
  <c r="G585" i="3" s="1"/>
  <c r="F577" i="3"/>
  <c r="G577" i="3" s="1"/>
  <c r="F569" i="3"/>
  <c r="G569" i="3" s="1"/>
  <c r="F561" i="3"/>
  <c r="G561" i="3" s="1"/>
  <c r="F553" i="3"/>
  <c r="G553" i="3" s="1"/>
  <c r="F545" i="3"/>
  <c r="G545" i="3" s="1"/>
  <c r="F537" i="3"/>
  <c r="G537" i="3" s="1"/>
  <c r="F529" i="3"/>
  <c r="G529" i="3" s="1"/>
  <c r="F521" i="3"/>
  <c r="G521" i="3" s="1"/>
  <c r="F627" i="3"/>
  <c r="G627" i="3" s="1"/>
  <c r="F619" i="3"/>
  <c r="G619" i="3" s="1"/>
  <c r="F611" i="3"/>
  <c r="G611" i="3" s="1"/>
  <c r="F603" i="3"/>
  <c r="G603" i="3" s="1"/>
  <c r="F595" i="3"/>
  <c r="G595" i="3" s="1"/>
  <c r="F587" i="3"/>
  <c r="G587" i="3" s="1"/>
  <c r="F579" i="3"/>
  <c r="G579" i="3" s="1"/>
  <c r="F571" i="3"/>
  <c r="G571" i="3" s="1"/>
  <c r="F563" i="3"/>
  <c r="G563" i="3" s="1"/>
  <c r="F555" i="3"/>
  <c r="G555" i="3" s="1"/>
  <c r="F547" i="3"/>
  <c r="G547" i="3" s="1"/>
  <c r="F624" i="3"/>
  <c r="G624" i="3" s="1"/>
  <c r="F616" i="3"/>
  <c r="G616" i="3" s="1"/>
  <c r="F608" i="3"/>
  <c r="G608" i="3" s="1"/>
  <c r="F600" i="3"/>
  <c r="G600" i="3" s="1"/>
  <c r="F592" i="3"/>
  <c r="G592" i="3" s="1"/>
  <c r="F584" i="3"/>
  <c r="G584" i="3" s="1"/>
  <c r="F576" i="3"/>
  <c r="G576" i="3" s="1"/>
  <c r="F568" i="3"/>
  <c r="G568" i="3" s="1"/>
  <c r="F560" i="3"/>
  <c r="G560" i="3" s="1"/>
  <c r="F552" i="3"/>
  <c r="G552" i="3" s="1"/>
  <c r="F544" i="3"/>
  <c r="G544" i="3" s="1"/>
  <c r="F536" i="3"/>
  <c r="G536" i="3" s="1"/>
  <c r="F528" i="3"/>
  <c r="G528" i="3" s="1"/>
  <c r="F501" i="3"/>
  <c r="G501" i="3" s="1"/>
  <c r="F493" i="3"/>
  <c r="G493" i="3" s="1"/>
  <c r="F485" i="3"/>
  <c r="G485" i="3" s="1"/>
  <c r="F477" i="3"/>
  <c r="G477" i="3" s="1"/>
  <c r="F469" i="3"/>
  <c r="G469" i="3" s="1"/>
  <c r="F465" i="3"/>
  <c r="G465" i="3" s="1"/>
  <c r="F445" i="3"/>
  <c r="G445" i="3" s="1"/>
  <c r="F436" i="3"/>
  <c r="G436" i="3" s="1"/>
  <c r="F428" i="3"/>
  <c r="G428" i="3" s="1"/>
  <c r="F420" i="3"/>
  <c r="G420" i="3" s="1"/>
  <c r="F412" i="3"/>
  <c r="G412" i="3" s="1"/>
  <c r="F404" i="3"/>
  <c r="G404" i="3" s="1"/>
  <c r="F396" i="3"/>
  <c r="G396" i="3" s="1"/>
  <c r="F599" i="3"/>
  <c r="G599" i="3" s="1"/>
  <c r="F567" i="3"/>
  <c r="G567" i="3" s="1"/>
  <c r="F535" i="3"/>
  <c r="G535" i="3" s="1"/>
  <c r="F512" i="3"/>
  <c r="G512" i="3" s="1"/>
  <c r="F504" i="3"/>
  <c r="G504" i="3" s="1"/>
  <c r="F496" i="3"/>
  <c r="G496" i="3" s="1"/>
  <c r="F488" i="3"/>
  <c r="G488" i="3" s="1"/>
  <c r="F480" i="3"/>
  <c r="G480" i="3" s="1"/>
  <c r="F472" i="3"/>
  <c r="G472" i="3" s="1"/>
  <c r="F461" i="3"/>
  <c r="G461" i="3" s="1"/>
  <c r="F457" i="3"/>
  <c r="G457" i="3" s="1"/>
  <c r="F441" i="3"/>
  <c r="G441" i="3" s="1"/>
  <c r="F438" i="3"/>
  <c r="G438" i="3" s="1"/>
  <c r="F430" i="3"/>
  <c r="G430" i="3" s="1"/>
  <c r="F623" i="3"/>
  <c r="G623" i="3" s="1"/>
  <c r="F591" i="3"/>
  <c r="G591" i="3" s="1"/>
  <c r="F559" i="3"/>
  <c r="G559" i="3" s="1"/>
  <c r="F527" i="3"/>
  <c r="G527" i="3" s="1"/>
  <c r="F511" i="3"/>
  <c r="G511" i="3" s="1"/>
  <c r="F503" i="3"/>
  <c r="G503" i="3" s="1"/>
  <c r="F495" i="3"/>
  <c r="G495" i="3" s="1"/>
  <c r="F487" i="3"/>
  <c r="G487" i="3" s="1"/>
  <c r="F479" i="3"/>
  <c r="G479" i="3" s="1"/>
  <c r="F471" i="3"/>
  <c r="G471" i="3" s="1"/>
  <c r="F520" i="3"/>
  <c r="G520" i="3" s="1"/>
  <c r="F467" i="3"/>
  <c r="G467" i="3" s="1"/>
  <c r="F453" i="3"/>
  <c r="G453" i="3" s="1"/>
  <c r="F432" i="3"/>
  <c r="G432" i="3" s="1"/>
  <c r="F424" i="3"/>
  <c r="G424" i="3" s="1"/>
  <c r="F615" i="3"/>
  <c r="G615" i="3" s="1"/>
  <c r="F583" i="3"/>
  <c r="G583" i="3" s="1"/>
  <c r="F551" i="3"/>
  <c r="G551" i="3" s="1"/>
  <c r="F463" i="3"/>
  <c r="G463" i="3" s="1"/>
  <c r="F519" i="3"/>
  <c r="G519" i="3" s="1"/>
  <c r="F505" i="3"/>
  <c r="G505" i="3" s="1"/>
  <c r="F497" i="3"/>
  <c r="G497" i="3" s="1"/>
  <c r="F489" i="3"/>
  <c r="G489" i="3" s="1"/>
  <c r="F607" i="3"/>
  <c r="G607" i="3" s="1"/>
  <c r="F439" i="3"/>
  <c r="G439" i="3" s="1"/>
  <c r="F423" i="3"/>
  <c r="G423" i="3" s="1"/>
  <c r="F415" i="3"/>
  <c r="G415" i="3" s="1"/>
  <c r="F407" i="3"/>
  <c r="G407" i="3" s="1"/>
  <c r="F399" i="3"/>
  <c r="G399" i="3" s="1"/>
  <c r="F388" i="3"/>
  <c r="G388" i="3" s="1"/>
  <c r="F384" i="3"/>
  <c r="G384" i="3" s="1"/>
  <c r="F356" i="3"/>
  <c r="G356" i="3" s="1"/>
  <c r="F352" i="3"/>
  <c r="G352" i="3" s="1"/>
  <c r="F481" i="3"/>
  <c r="G481" i="3" s="1"/>
  <c r="F391" i="3"/>
  <c r="G391" i="3" s="1"/>
  <c r="F366" i="3"/>
  <c r="G366" i="3" s="1"/>
  <c r="F359" i="3"/>
  <c r="G359" i="3" s="1"/>
  <c r="F334" i="3"/>
  <c r="G334" i="3" s="1"/>
  <c r="F318" i="3"/>
  <c r="G318" i="3" s="1"/>
  <c r="F312" i="3"/>
  <c r="G312" i="3" s="1"/>
  <c r="F292" i="3"/>
  <c r="G292" i="3" s="1"/>
  <c r="F289" i="3"/>
  <c r="G289" i="3" s="1"/>
  <c r="F286" i="3"/>
  <c r="G286" i="3" s="1"/>
  <c r="F280" i="3"/>
  <c r="G280" i="3" s="1"/>
  <c r="F260" i="3"/>
  <c r="G260" i="3" s="1"/>
  <c r="F257" i="3"/>
  <c r="G257" i="3" s="1"/>
  <c r="F254" i="3"/>
  <c r="G254" i="3" s="1"/>
  <c r="F248" i="3"/>
  <c r="G248" i="3" s="1"/>
  <c r="F240" i="3"/>
  <c r="G240" i="3" s="1"/>
  <c r="F232" i="3"/>
  <c r="G232" i="3" s="1"/>
  <c r="F224" i="3"/>
  <c r="G224" i="3" s="1"/>
  <c r="F216" i="3"/>
  <c r="G216" i="3" s="1"/>
  <c r="F575" i="3"/>
  <c r="G575" i="3" s="1"/>
  <c r="F455" i="3"/>
  <c r="G455" i="3" s="1"/>
  <c r="F422" i="3"/>
  <c r="G422" i="3" s="1"/>
  <c r="F414" i="3"/>
  <c r="G414" i="3" s="1"/>
  <c r="F406" i="3"/>
  <c r="G406" i="3" s="1"/>
  <c r="F398" i="3"/>
  <c r="G398" i="3" s="1"/>
  <c r="F380" i="3"/>
  <c r="G380" i="3" s="1"/>
  <c r="F376" i="3"/>
  <c r="G376" i="3" s="1"/>
  <c r="F348" i="3"/>
  <c r="G348" i="3" s="1"/>
  <c r="F344" i="3"/>
  <c r="G344" i="3" s="1"/>
  <c r="F473" i="3"/>
  <c r="G473" i="3" s="1"/>
  <c r="F449" i="3"/>
  <c r="G449" i="3" s="1"/>
  <c r="F390" i="3"/>
  <c r="G390" i="3" s="1"/>
  <c r="F358" i="3"/>
  <c r="G358" i="3" s="1"/>
  <c r="F324" i="3"/>
  <c r="G324" i="3" s="1"/>
  <c r="F294" i="3"/>
  <c r="G294" i="3" s="1"/>
  <c r="F262" i="3"/>
  <c r="G262" i="3" s="1"/>
  <c r="F543" i="3"/>
  <c r="G543" i="3" s="1"/>
  <c r="F513" i="3"/>
  <c r="G513" i="3" s="1"/>
  <c r="F431" i="3"/>
  <c r="G431" i="3" s="1"/>
  <c r="F386" i="3"/>
  <c r="G386" i="3" s="1"/>
  <c r="F372" i="3"/>
  <c r="G372" i="3" s="1"/>
  <c r="F368" i="3"/>
  <c r="G368" i="3" s="1"/>
  <c r="F354" i="3"/>
  <c r="G354" i="3" s="1"/>
  <c r="F340" i="3"/>
  <c r="G340" i="3" s="1"/>
  <c r="F336" i="3"/>
  <c r="G336" i="3" s="1"/>
  <c r="F333" i="3"/>
  <c r="G333" i="3" s="1"/>
  <c r="F330" i="3"/>
  <c r="G330" i="3" s="1"/>
  <c r="F320" i="3"/>
  <c r="G320" i="3" s="1"/>
  <c r="F317" i="3"/>
  <c r="G317" i="3" s="1"/>
  <c r="F314" i="3"/>
  <c r="G314" i="3" s="1"/>
  <c r="F311" i="3"/>
  <c r="G311" i="3" s="1"/>
  <c r="F285" i="3"/>
  <c r="G285" i="3" s="1"/>
  <c r="F282" i="3"/>
  <c r="G282" i="3" s="1"/>
  <c r="F279" i="3"/>
  <c r="G279" i="3" s="1"/>
  <c r="F253" i="3"/>
  <c r="G253" i="3" s="1"/>
  <c r="F250" i="3"/>
  <c r="G250" i="3" s="1"/>
  <c r="F247" i="3"/>
  <c r="G247" i="3" s="1"/>
  <c r="F239" i="3"/>
  <c r="G239" i="3" s="1"/>
  <c r="F416" i="3"/>
  <c r="G416" i="3" s="1"/>
  <c r="F408" i="3"/>
  <c r="G408" i="3" s="1"/>
  <c r="F400" i="3"/>
  <c r="G400" i="3" s="1"/>
  <c r="F382" i="3"/>
  <c r="G382" i="3" s="1"/>
  <c r="F350" i="3"/>
  <c r="G350" i="3" s="1"/>
  <c r="F326" i="3"/>
  <c r="G326" i="3" s="1"/>
  <c r="F302" i="3"/>
  <c r="G302" i="3" s="1"/>
  <c r="F270" i="3"/>
  <c r="G270" i="3" s="1"/>
  <c r="F392" i="3"/>
  <c r="G392" i="3" s="1"/>
  <c r="F364" i="3"/>
  <c r="G364" i="3" s="1"/>
  <c r="F360" i="3"/>
  <c r="G360" i="3" s="1"/>
  <c r="F95" i="3"/>
  <c r="G95" i="3" s="1"/>
  <c r="F104" i="3"/>
  <c r="G104" i="3" s="1"/>
  <c r="F168" i="3"/>
  <c r="G168" i="3" s="1"/>
  <c r="F178" i="3"/>
  <c r="G178" i="3" s="1"/>
  <c r="F182" i="3"/>
  <c r="G182" i="3" s="1"/>
  <c r="F191" i="3"/>
  <c r="G191" i="3" s="1"/>
  <c r="F200" i="3"/>
  <c r="G200" i="3" s="1"/>
  <c r="F210" i="3"/>
  <c r="G210" i="3" s="1"/>
  <c r="F226" i="3"/>
  <c r="G226" i="3" s="1"/>
  <c r="F243" i="3"/>
  <c r="G243" i="3" s="1"/>
  <c r="F255" i="3"/>
  <c r="G255" i="3" s="1"/>
  <c r="F263" i="3"/>
  <c r="G263" i="3" s="1"/>
  <c r="F269" i="3"/>
  <c r="G269" i="3" s="1"/>
  <c r="F287" i="3"/>
  <c r="G287" i="3" s="1"/>
  <c r="F295" i="3"/>
  <c r="G295" i="3" s="1"/>
  <c r="F301" i="3"/>
  <c r="G301" i="3" s="1"/>
  <c r="F325" i="3"/>
  <c r="G325" i="3" s="1"/>
  <c r="F338" i="3"/>
  <c r="G338" i="3" s="1"/>
  <c r="F402" i="3"/>
  <c r="G402" i="3" s="1"/>
  <c r="F446" i="3"/>
  <c r="G446" i="3" s="1"/>
  <c r="F108" i="3"/>
  <c r="G108" i="3" s="1"/>
  <c r="F111" i="3"/>
  <c r="G111" i="3" s="1"/>
  <c r="F114" i="3"/>
  <c r="G114" i="3" s="1"/>
  <c r="F125" i="3"/>
  <c r="G125" i="3" s="1"/>
  <c r="F128" i="3"/>
  <c r="G128" i="3" s="1"/>
  <c r="F133" i="3"/>
  <c r="G133" i="3" s="1"/>
  <c r="F136" i="3"/>
  <c r="G136" i="3" s="1"/>
  <c r="F141" i="3"/>
  <c r="G141" i="3" s="1"/>
  <c r="F144" i="3"/>
  <c r="G144" i="3" s="1"/>
  <c r="F149" i="3"/>
  <c r="G149" i="3" s="1"/>
  <c r="F157" i="3"/>
  <c r="G157" i="3" s="1"/>
  <c r="F160" i="3"/>
  <c r="G160" i="3" s="1"/>
  <c r="F165" i="3"/>
  <c r="G165" i="3" s="1"/>
  <c r="F169" i="3"/>
  <c r="G169" i="3" s="1"/>
  <c r="F179" i="3"/>
  <c r="G179" i="3" s="1"/>
  <c r="F188" i="3"/>
  <c r="G188" i="3" s="1"/>
  <c r="F197" i="3"/>
  <c r="G197" i="3" s="1"/>
  <c r="F201" i="3"/>
  <c r="G201" i="3" s="1"/>
  <c r="F211" i="3"/>
  <c r="G211" i="3" s="1"/>
  <c r="F215" i="3"/>
  <c r="G215" i="3" s="1"/>
  <c r="F221" i="3"/>
  <c r="G221" i="3" s="1"/>
  <c r="F227" i="3"/>
  <c r="G227" i="3" s="1"/>
  <c r="F231" i="3"/>
  <c r="G231" i="3" s="1"/>
  <c r="F237" i="3"/>
  <c r="G237" i="3" s="1"/>
  <c r="F249" i="3"/>
  <c r="G249" i="3" s="1"/>
  <c r="F256" i="3"/>
  <c r="G256" i="3" s="1"/>
  <c r="F281" i="3"/>
  <c r="G281" i="3" s="1"/>
  <c r="F288" i="3"/>
  <c r="G288" i="3" s="1"/>
  <c r="F313" i="3"/>
  <c r="G313" i="3" s="1"/>
  <c r="F319" i="3"/>
  <c r="G319" i="3" s="1"/>
  <c r="F332" i="3"/>
  <c r="G332" i="3" s="1"/>
  <c r="F339" i="3"/>
  <c r="G339" i="3" s="1"/>
  <c r="F346" i="3"/>
  <c r="G346" i="3" s="1"/>
  <c r="F353" i="3"/>
  <c r="G353" i="3" s="1"/>
  <c r="F367" i="3"/>
  <c r="G367" i="3" s="1"/>
  <c r="F374" i="3"/>
  <c r="G374" i="3" s="1"/>
  <c r="F410" i="3"/>
  <c r="G410" i="3" s="1"/>
  <c r="F470" i="3"/>
  <c r="G470" i="3" s="1"/>
  <c r="F267" i="3"/>
  <c r="G267" i="3" s="1"/>
  <c r="F299" i="3"/>
  <c r="G299" i="3" s="1"/>
  <c r="F323" i="3"/>
  <c r="G323" i="3" s="1"/>
  <c r="F357" i="3"/>
  <c r="G357" i="3" s="1"/>
  <c r="F389" i="3"/>
  <c r="G389" i="3" s="1"/>
  <c r="F435" i="3"/>
  <c r="G435" i="3" s="1"/>
  <c r="F447" i="3"/>
  <c r="G447" i="3" s="1"/>
  <c r="F491" i="3"/>
  <c r="G491" i="3" s="1"/>
  <c r="F347" i="3"/>
  <c r="G347" i="3" s="1"/>
  <c r="F361" i="3"/>
  <c r="G361" i="3" s="1"/>
  <c r="F379" i="3"/>
  <c r="G379" i="3" s="1"/>
  <c r="F393" i="3"/>
  <c r="G393" i="3" s="1"/>
  <c r="F397" i="3"/>
  <c r="G397" i="3" s="1"/>
  <c r="F405" i="3"/>
  <c r="G405" i="3" s="1"/>
  <c r="F413" i="3"/>
  <c r="G413" i="3" s="1"/>
  <c r="F421" i="3"/>
  <c r="G421" i="3" s="1"/>
  <c r="F425" i="3"/>
  <c r="G425" i="3" s="1"/>
  <c r="F448" i="3"/>
  <c r="G448" i="3" s="1"/>
  <c r="F466" i="3"/>
  <c r="G466" i="3" s="1"/>
  <c r="F478" i="3"/>
  <c r="G478" i="3" s="1"/>
  <c r="F499" i="3"/>
  <c r="G499" i="3" s="1"/>
  <c r="F550" i="3"/>
  <c r="G550" i="3" s="1"/>
  <c r="F259" i="3"/>
  <c r="G259" i="3" s="1"/>
  <c r="F291" i="3"/>
  <c r="G291" i="3" s="1"/>
  <c r="F365" i="3"/>
  <c r="G365" i="3" s="1"/>
  <c r="F401" i="3"/>
  <c r="G401" i="3" s="1"/>
  <c r="F409" i="3"/>
  <c r="G409" i="3" s="1"/>
  <c r="F417" i="3"/>
  <c r="G417" i="3" s="1"/>
  <c r="F507" i="3"/>
  <c r="G507" i="3" s="1"/>
  <c r="F321" i="3"/>
  <c r="G321" i="3" s="1"/>
  <c r="F337" i="3"/>
  <c r="G337" i="3" s="1"/>
  <c r="F355" i="3"/>
  <c r="G355" i="3" s="1"/>
  <c r="F369" i="3"/>
  <c r="G369" i="3" s="1"/>
  <c r="F387" i="3"/>
  <c r="G387" i="3" s="1"/>
  <c r="F437" i="3"/>
  <c r="G437" i="3" s="1"/>
  <c r="F443" i="3"/>
  <c r="G443" i="3" s="1"/>
  <c r="F582" i="3"/>
  <c r="G582" i="3" s="1"/>
  <c r="F251" i="3"/>
  <c r="G251" i="3" s="1"/>
  <c r="F283" i="3"/>
  <c r="G283" i="3" s="1"/>
  <c r="F315" i="3"/>
  <c r="G315" i="3" s="1"/>
  <c r="F331" i="3"/>
  <c r="G331" i="3" s="1"/>
  <c r="F341" i="3"/>
  <c r="G341" i="3" s="1"/>
  <c r="F373" i="3"/>
  <c r="G373" i="3" s="1"/>
  <c r="F427" i="3"/>
  <c r="G427" i="3" s="1"/>
  <c r="F444" i="3"/>
  <c r="G444" i="3" s="1"/>
  <c r="F345" i="3"/>
  <c r="G345" i="3" s="1"/>
  <c r="F363" i="3"/>
  <c r="G363" i="3" s="1"/>
  <c r="F377" i="3"/>
  <c r="G377" i="3" s="1"/>
  <c r="F395" i="3"/>
  <c r="G395" i="3" s="1"/>
  <c r="F403" i="3"/>
  <c r="G403" i="3" s="1"/>
  <c r="F411" i="3"/>
  <c r="G411" i="3" s="1"/>
  <c r="F419" i="3"/>
  <c r="G419" i="3" s="1"/>
  <c r="F433" i="3"/>
  <c r="G433" i="3" s="1"/>
  <c r="F451" i="3"/>
  <c r="G451" i="3" s="1"/>
  <c r="F456" i="3"/>
  <c r="G456" i="3" s="1"/>
  <c r="F475" i="3"/>
  <c r="G475" i="3" s="1"/>
  <c r="F531" i="3"/>
  <c r="G531" i="3" s="1"/>
  <c r="F614" i="3"/>
  <c r="G614" i="3" s="1"/>
  <c r="F275" i="3"/>
  <c r="G275" i="3" s="1"/>
  <c r="F307" i="3"/>
  <c r="G307" i="3" s="1"/>
  <c r="F349" i="3"/>
  <c r="G349" i="3" s="1"/>
  <c r="F381" i="3"/>
  <c r="G381" i="3" s="1"/>
  <c r="F486" i="3"/>
  <c r="G486" i="3" s="1"/>
  <c r="F494" i="3"/>
  <c r="G494" i="3" s="1"/>
  <c r="F502" i="3"/>
  <c r="G502" i="3" s="1"/>
  <c r="F510" i="3"/>
  <c r="G510" i="3" s="1"/>
  <c r="F514" i="3"/>
  <c r="G514" i="3" s="1"/>
  <c r="F525" i="3"/>
  <c r="G525" i="3" s="1"/>
  <c r="F532" i="3"/>
  <c r="G532" i="3" s="1"/>
  <c r="F538" i="3"/>
  <c r="G538" i="3" s="1"/>
  <c r="F557" i="3"/>
  <c r="G557" i="3" s="1"/>
  <c r="F564" i="3"/>
  <c r="G564" i="3" s="1"/>
  <c r="F570" i="3"/>
  <c r="G570" i="3" s="1"/>
  <c r="F589" i="3"/>
  <c r="G589" i="3" s="1"/>
  <c r="F596" i="3"/>
  <c r="G596" i="3" s="1"/>
  <c r="F602" i="3"/>
  <c r="G602" i="3" s="1"/>
  <c r="F621" i="3"/>
  <c r="G621" i="3" s="1"/>
  <c r="F628" i="3"/>
  <c r="G628" i="3" s="1"/>
  <c r="F460" i="3"/>
  <c r="G460" i="3" s="1"/>
  <c r="F474" i="3"/>
  <c r="G474" i="3" s="1"/>
  <c r="F482" i="3"/>
  <c r="G482" i="3" s="1"/>
  <c r="F490" i="3"/>
  <c r="G490" i="3" s="1"/>
  <c r="F498" i="3"/>
  <c r="G498" i="3" s="1"/>
  <c r="F506" i="3"/>
  <c r="G506" i="3" s="1"/>
  <c r="F515" i="3"/>
  <c r="G515" i="3" s="1"/>
  <c r="F526" i="3"/>
  <c r="G526" i="3" s="1"/>
  <c r="F539" i="3"/>
  <c r="G539" i="3" s="1"/>
  <c r="F558" i="3"/>
  <c r="G558" i="3" s="1"/>
  <c r="F590" i="3"/>
  <c r="G590" i="3" s="1"/>
  <c r="F622" i="3"/>
  <c r="G622" i="3" s="1"/>
  <c r="F450" i="3"/>
  <c r="G450" i="3" s="1"/>
  <c r="F516" i="3"/>
  <c r="G516" i="3" s="1"/>
  <c r="F533" i="3"/>
  <c r="G533" i="3" s="1"/>
  <c r="F540" i="3"/>
  <c r="G540" i="3" s="1"/>
  <c r="F546" i="3"/>
  <c r="G546" i="3" s="1"/>
  <c r="F565" i="3"/>
  <c r="G565" i="3" s="1"/>
  <c r="F572" i="3"/>
  <c r="G572" i="3" s="1"/>
  <c r="F578" i="3"/>
  <c r="G578" i="3" s="1"/>
  <c r="F597" i="3"/>
  <c r="G597" i="3" s="1"/>
  <c r="F604" i="3"/>
  <c r="G604" i="3" s="1"/>
  <c r="F610" i="3"/>
  <c r="G610" i="3" s="1"/>
  <c r="F629" i="3"/>
  <c r="G629" i="3" s="1"/>
  <c r="F468" i="3"/>
  <c r="G468" i="3" s="1"/>
  <c r="F534" i="3"/>
  <c r="G534" i="3" s="1"/>
  <c r="F566" i="3"/>
  <c r="G566" i="3" s="1"/>
  <c r="F598" i="3"/>
  <c r="G598" i="3" s="1"/>
  <c r="F630" i="3"/>
  <c r="G630" i="3" s="1"/>
  <c r="F454" i="3"/>
  <c r="G454" i="3" s="1"/>
  <c r="F476" i="3"/>
  <c r="G476" i="3" s="1"/>
  <c r="F484" i="3"/>
  <c r="G484" i="3" s="1"/>
  <c r="F492" i="3"/>
  <c r="G492" i="3" s="1"/>
  <c r="F500" i="3"/>
  <c r="G500" i="3" s="1"/>
  <c r="F508" i="3"/>
  <c r="G508" i="3" s="1"/>
  <c r="F517" i="3"/>
  <c r="G517" i="3" s="1"/>
  <c r="F522" i="3"/>
  <c r="G522" i="3" s="1"/>
  <c r="F541" i="3"/>
  <c r="G541" i="3" s="1"/>
  <c r="F548" i="3"/>
  <c r="G548" i="3" s="1"/>
  <c r="F554" i="3"/>
  <c r="G554" i="3" s="1"/>
  <c r="F573" i="3"/>
  <c r="G573" i="3" s="1"/>
  <c r="F580" i="3"/>
  <c r="G580" i="3" s="1"/>
  <c r="F586" i="3"/>
  <c r="G586" i="3" s="1"/>
  <c r="F605" i="3"/>
  <c r="G605" i="3" s="1"/>
  <c r="F612" i="3"/>
  <c r="G612" i="3" s="1"/>
  <c r="F618" i="3"/>
  <c r="G618" i="3" s="1"/>
  <c r="F458" i="3"/>
  <c r="G458" i="3" s="1"/>
  <c r="F523" i="3"/>
  <c r="G523" i="3" s="1"/>
  <c r="F542" i="3"/>
  <c r="G542" i="3" s="1"/>
  <c r="F574" i="3"/>
  <c r="G574" i="3" s="1"/>
  <c r="F606" i="3"/>
  <c r="G606" i="3" s="1"/>
  <c r="F442" i="3"/>
  <c r="G442" i="3" s="1"/>
  <c r="F462" i="3"/>
  <c r="G462" i="3" s="1"/>
  <c r="F509" i="3"/>
  <c r="G509" i="3" s="1"/>
  <c r="F518" i="3"/>
  <c r="G518" i="3" s="1"/>
  <c r="F524" i="3"/>
  <c r="G524" i="3" s="1"/>
  <c r="F530" i="3"/>
  <c r="G530" i="3" s="1"/>
  <c r="F549" i="3"/>
  <c r="G549" i="3" s="1"/>
  <c r="F556" i="3"/>
  <c r="G556" i="3" s="1"/>
  <c r="F562" i="3"/>
  <c r="G562" i="3" s="1"/>
  <c r="F581" i="3"/>
  <c r="G581" i="3" s="1"/>
  <c r="F588" i="3"/>
  <c r="G588" i="3" s="1"/>
  <c r="F594" i="3"/>
  <c r="G594" i="3" s="1"/>
  <c r="F613" i="3"/>
  <c r="G613" i="3" s="1"/>
  <c r="F620" i="3"/>
  <c r="G620" i="3" s="1"/>
  <c r="F626" i="3"/>
  <c r="G626" i="3" s="1"/>
  <c r="C14" i="6"/>
  <c r="C13" i="6"/>
  <c r="F13" i="6" l="1"/>
  <c r="L13" i="6" s="1"/>
  <c r="F14" i="6"/>
  <c r="L14" i="6" s="1"/>
  <c r="C15" i="6" s="1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E7" i="6"/>
  <c r="L15" i="6" l="1"/>
  <c r="C16" i="6" s="1"/>
  <c r="L16" i="6" s="1"/>
  <c r="C17" i="6" s="1"/>
  <c r="L17" i="6" s="1"/>
  <c r="C18" i="6" s="1"/>
  <c r="L18" i="6" s="1"/>
  <c r="C19" i="6" s="1"/>
  <c r="L19" i="6" s="1"/>
  <c r="C20" i="6" s="1"/>
  <c r="L20" i="6" s="1"/>
  <c r="C21" i="6" s="1"/>
  <c r="L21" i="6" s="1"/>
  <c r="C22" i="6" s="1"/>
  <c r="L22" i="6" s="1"/>
  <c r="C23" i="6" s="1"/>
  <c r="L23" i="6" s="1"/>
  <c r="C24" i="6" s="1"/>
  <c r="L24" i="6" s="1"/>
  <c r="C25" i="6" s="1"/>
  <c r="L25" i="6" s="1"/>
  <c r="C26" i="6" s="1"/>
  <c r="L26" i="6" s="1"/>
  <c r="C27" i="6" s="1"/>
  <c r="L27" i="6" s="1"/>
  <c r="C28" i="6" s="1"/>
  <c r="L28" i="6" s="1"/>
  <c r="C29" i="6" s="1"/>
  <c r="L29" i="6" s="1"/>
  <c r="C30" i="6" s="1"/>
  <c r="L30" i="6" s="1"/>
  <c r="C31" i="6" s="1"/>
  <c r="L31" i="6" s="1"/>
  <c r="C32" i="6" s="1"/>
  <c r="L32" i="6" s="1"/>
  <c r="C33" i="6" s="1"/>
  <c r="L33" i="6" s="1"/>
  <c r="C34" i="6" s="1"/>
  <c r="L34" i="6" s="1"/>
  <c r="C35" i="6" s="1"/>
  <c r="L35" i="6" s="1"/>
  <c r="C36" i="6" s="1"/>
  <c r="L36" i="6" s="1"/>
  <c r="C37" i="6" s="1"/>
  <c r="L37" i="6" s="1"/>
  <c r="C38" i="6" s="1"/>
  <c r="L38" i="6" s="1"/>
  <c r="C39" i="6" s="1"/>
  <c r="L39" i="6" s="1"/>
  <c r="C40" i="6" s="1"/>
  <c r="L40" i="6" s="1"/>
  <c r="C41" i="6" s="1"/>
  <c r="L41" i="6" s="1"/>
  <c r="C42" i="6" s="1"/>
  <c r="L42" i="6" s="1"/>
  <c r="C43" i="6" s="1"/>
  <c r="L43" i="6" s="1"/>
  <c r="C44" i="6" s="1"/>
  <c r="L44" i="6" s="1"/>
  <c r="C45" i="6" s="1"/>
  <c r="L45" i="6" s="1"/>
  <c r="C46" i="6" s="1"/>
  <c r="L46" i="6" s="1"/>
  <c r="C47" i="6" s="1"/>
  <c r="L47" i="6" s="1"/>
  <c r="C48" i="6" s="1"/>
  <c r="L48" i="6" s="1"/>
  <c r="C49" i="6" s="1"/>
  <c r="L49" i="6" s="1"/>
  <c r="C50" i="6" s="1"/>
  <c r="L50" i="6" s="1"/>
  <c r="C51" i="6" s="1"/>
  <c r="L51" i="6" s="1"/>
  <c r="C52" i="6" s="1"/>
  <c r="L52" i="6" s="1"/>
  <c r="C53" i="6" s="1"/>
  <c r="L53" i="6" s="1"/>
  <c r="C54" i="6" s="1"/>
  <c r="L54" i="6" s="1"/>
  <c r="C55" i="6" s="1"/>
  <c r="L55" i="6" s="1"/>
  <c r="C56" i="6" s="1"/>
  <c r="L56" i="6" s="1"/>
  <c r="C57" i="6" s="1"/>
  <c r="L57" i="6" s="1"/>
  <c r="C58" i="6" s="1"/>
  <c r="L58" i="6" s="1"/>
  <c r="C59" i="6" s="1"/>
  <c r="L59" i="6" s="1"/>
  <c r="C60" i="6" s="1"/>
  <c r="L60" i="6" s="1"/>
  <c r="C61" i="6" s="1"/>
  <c r="L61" i="6" s="1"/>
  <c r="C62" i="6" s="1"/>
  <c r="L62" i="6" s="1"/>
  <c r="C63" i="6" s="1"/>
  <c r="L63" i="6" s="1"/>
  <c r="C64" i="6" s="1"/>
  <c r="L64" i="6" s="1"/>
  <c r="C65" i="6" s="1"/>
  <c r="L65" i="6" s="1"/>
  <c r="C66" i="6" s="1"/>
  <c r="L66" i="6" s="1"/>
  <c r="C67" i="6" s="1"/>
  <c r="L67" i="6" s="1"/>
  <c r="C68" i="6" s="1"/>
  <c r="L68" i="6" s="1"/>
  <c r="C69" i="6" s="1"/>
  <c r="L69" i="6" s="1"/>
  <c r="C70" i="6" s="1"/>
  <c r="L70" i="6" s="1"/>
  <c r="C71" i="6" s="1"/>
  <c r="L71" i="6" s="1"/>
  <c r="C72" i="6" s="1"/>
  <c r="L72" i="6" s="1"/>
  <c r="C73" i="6" s="1"/>
  <c r="L73" i="6" s="1"/>
  <c r="C74" i="6" s="1"/>
  <c r="L74" i="6" s="1"/>
  <c r="C75" i="6" s="1"/>
  <c r="L75" i="6" s="1"/>
  <c r="C76" i="6" s="1"/>
  <c r="L76" i="6" s="1"/>
  <c r="C77" i="6" s="1"/>
  <c r="L77" i="6" s="1"/>
  <c r="C78" i="6" s="1"/>
  <c r="L78" i="6" s="1"/>
  <c r="C79" i="6" s="1"/>
  <c r="L79" i="6" s="1"/>
  <c r="C80" i="6" s="1"/>
  <c r="L80" i="6" s="1"/>
  <c r="C81" i="6" s="1"/>
  <c r="L81" i="6" s="1"/>
  <c r="C82" i="6" s="1"/>
  <c r="L82" i="6" s="1"/>
  <c r="C83" i="6" s="1"/>
  <c r="L83" i="6" s="1"/>
  <c r="C84" i="6" s="1"/>
  <c r="L84" i="6" s="1"/>
  <c r="C85" i="6" s="1"/>
  <c r="L85" i="6" s="1"/>
  <c r="C86" i="6" s="1"/>
  <c r="L86" i="6" s="1"/>
  <c r="C87" i="6" s="1"/>
  <c r="L87" i="6" s="1"/>
  <c r="C88" i="6" s="1"/>
  <c r="L88" i="6" s="1"/>
  <c r="C89" i="6" s="1"/>
  <c r="L89" i="6" s="1"/>
  <c r="C90" i="6" s="1"/>
  <c r="L90" i="6" s="1"/>
  <c r="C91" i="6" s="1"/>
  <c r="L91" i="6" s="1"/>
  <c r="C92" i="6" s="1"/>
  <c r="L92" i="6" s="1"/>
  <c r="C93" i="6" s="1"/>
  <c r="L93" i="6" s="1"/>
  <c r="C94" i="6" s="1"/>
  <c r="L94" i="6" s="1"/>
  <c r="C95" i="6" s="1"/>
  <c r="L95" i="6" s="1"/>
  <c r="C96" i="6" s="1"/>
  <c r="L96" i="6" s="1"/>
  <c r="C97" i="6" s="1"/>
  <c r="L97" i="6" s="1"/>
  <c r="C98" i="6" s="1"/>
  <c r="L98" i="6" s="1"/>
  <c r="C99" i="6" s="1"/>
  <c r="L99" i="6" s="1"/>
  <c r="C100" i="6" s="1"/>
  <c r="L100" i="6" s="1"/>
  <c r="C101" i="6" s="1"/>
  <c r="L101" i="6" s="1"/>
  <c r="C102" i="6" s="1"/>
  <c r="L102" i="6" s="1"/>
  <c r="C103" i="6" s="1"/>
  <c r="L103" i="6" s="1"/>
  <c r="C104" i="6" s="1"/>
  <c r="L104" i="6" s="1"/>
  <c r="C105" i="6" s="1"/>
  <c r="L105" i="6" s="1"/>
  <c r="C106" i="6" s="1"/>
  <c r="L106" i="6" s="1"/>
  <c r="C107" i="6" s="1"/>
  <c r="L107" i="6" s="1"/>
  <c r="C108" i="6" s="1"/>
  <c r="L108" i="6" s="1"/>
  <c r="C109" i="6" s="1"/>
  <c r="L109" i="6" s="1"/>
  <c r="C110" i="6" s="1"/>
  <c r="L110" i="6" s="1"/>
  <c r="C111" i="6" s="1"/>
  <c r="L111" i="6" s="1"/>
  <c r="C112" i="6" s="1"/>
  <c r="L112" i="6" s="1"/>
  <c r="C113" i="6" s="1"/>
  <c r="L113" i="6" s="1"/>
  <c r="C114" i="6" s="1"/>
  <c r="L114" i="6" s="1"/>
  <c r="C115" i="6" s="1"/>
  <c r="L115" i="6" s="1"/>
  <c r="C116" i="6" s="1"/>
  <c r="L116" i="6" s="1"/>
  <c r="C117" i="6" s="1"/>
  <c r="L117" i="6" s="1"/>
  <c r="C118" i="6" s="1"/>
  <c r="L118" i="6" s="1"/>
  <c r="C119" i="6" s="1"/>
  <c r="L119" i="6" s="1"/>
  <c r="C120" i="6" s="1"/>
  <c r="L120" i="6" s="1"/>
  <c r="C121" i="6" s="1"/>
  <c r="L121" i="6" s="1"/>
  <c r="C122" i="6" s="1"/>
  <c r="L122" i="6" s="1"/>
  <c r="C123" i="6" s="1"/>
  <c r="L123" i="6" s="1"/>
  <c r="C124" i="6" s="1"/>
  <c r="L124" i="6" s="1"/>
  <c r="C125" i="6" s="1"/>
  <c r="L125" i="6" s="1"/>
  <c r="C126" i="6" s="1"/>
  <c r="L126" i="6" s="1"/>
  <c r="C127" i="6" s="1"/>
  <c r="L127" i="6" s="1"/>
  <c r="C128" i="6" s="1"/>
  <c r="L128" i="6" s="1"/>
  <c r="C129" i="6" s="1"/>
  <c r="L129" i="6" s="1"/>
  <c r="C130" i="6" s="1"/>
  <c r="L130" i="6" s="1"/>
  <c r="C131" i="6" s="1"/>
  <c r="L131" i="6" s="1"/>
  <c r="C132" i="6" s="1"/>
  <c r="L132" i="6" s="1"/>
  <c r="C133" i="6" s="1"/>
  <c r="L133" i="6" s="1"/>
  <c r="C134" i="6" s="1"/>
  <c r="L134" i="6" s="1"/>
  <c r="C135" i="6" s="1"/>
  <c r="L135" i="6" s="1"/>
  <c r="C136" i="6" s="1"/>
  <c r="L136" i="6" s="1"/>
  <c r="C137" i="6" s="1"/>
  <c r="L137" i="6" s="1"/>
  <c r="C138" i="6" s="1"/>
  <c r="L138" i="6" s="1"/>
  <c r="C139" i="6" s="1"/>
  <c r="L139" i="6" s="1"/>
  <c r="C140" i="6" s="1"/>
  <c r="L140" i="6" s="1"/>
  <c r="C141" i="6" s="1"/>
  <c r="L141" i="6" s="1"/>
  <c r="C142" i="6" s="1"/>
  <c r="L142" i="6" s="1"/>
  <c r="C143" i="6" s="1"/>
  <c r="L143" i="6" s="1"/>
  <c r="C144" i="6" s="1"/>
  <c r="L144" i="6" s="1"/>
  <c r="C145" i="6" s="1"/>
  <c r="L145" i="6" s="1"/>
  <c r="C146" i="6" s="1"/>
  <c r="L146" i="6" s="1"/>
  <c r="C147" i="6" s="1"/>
  <c r="L147" i="6" s="1"/>
  <c r="C148" i="6" s="1"/>
  <c r="L148" i="6" s="1"/>
  <c r="C149" i="6" s="1"/>
  <c r="L149" i="6" s="1"/>
  <c r="C150" i="6" s="1"/>
  <c r="L150" i="6" s="1"/>
  <c r="K151" i="6" l="1"/>
  <c r="J151" i="6"/>
  <c r="I151" i="6"/>
  <c r="E151" i="6"/>
  <c r="D151" i="6"/>
  <c r="F12" i="6"/>
  <c r="L12" i="6" s="1"/>
  <c r="E8" i="6"/>
  <c r="E4" i="6"/>
  <c r="E6" i="6" l="1"/>
  <c r="H151" i="6"/>
  <c r="H7" i="6"/>
  <c r="G151" i="6" l="1"/>
  <c r="L151" i="6"/>
  <c r="F151" i="6" l="1"/>
  <c r="E5" i="6"/>
  <c r="H6" i="6" s="1"/>
  <c r="H5" i="6" s="1"/>
  <c r="H2" i="5" l="1"/>
</calcChain>
</file>

<file path=xl/sharedStrings.xml><?xml version="1.0" encoding="utf-8"?>
<sst xmlns="http://schemas.openxmlformats.org/spreadsheetml/2006/main" count="1600" uniqueCount="822">
  <si>
    <t>Khách hàng</t>
  </si>
  <si>
    <t>Số thẻ</t>
  </si>
  <si>
    <t>Ngày mở thẻ</t>
  </si>
  <si>
    <t>Ngày quá hạn</t>
  </si>
  <si>
    <t>Số ngày quá hạn</t>
  </si>
  <si>
    <t>Nợ gốc</t>
  </si>
  <si>
    <t>Nợ lãi</t>
  </si>
  <si>
    <t>Tổng</t>
  </si>
  <si>
    <t>Ngày bắt đầu sao kê</t>
  </si>
  <si>
    <t>Ngày sao kê</t>
  </si>
  <si>
    <t>Dư nợ đầu kỳ</t>
  </si>
  <si>
    <t>Dư nợ cuối kỳ</t>
  </si>
  <si>
    <t>Lãi phát sinh</t>
  </si>
  <si>
    <t>TỔNG</t>
  </si>
  <si>
    <t>TÔNG SỐ</t>
  </si>
  <si>
    <t>THÁNG TÍNH</t>
  </si>
  <si>
    <t>tổng tiền</t>
  </si>
  <si>
    <t>Dấu</t>
  </si>
  <si>
    <t>loại</t>
  </si>
  <si>
    <t>Tổng dư nợ</t>
  </si>
  <si>
    <t>Gốc đã trả </t>
  </si>
  <si>
    <t>Phí đã trả </t>
  </si>
  <si>
    <t>Lãi đã trả</t>
  </si>
  <si>
    <t>Tổng tiền trả trong  kỳ (gốc/lãi/phí) </t>
  </si>
  <si>
    <t>Tổng tiền khách hàng đã trả</t>
  </si>
  <si>
    <t>Tổng tiền khách hàng đã sử dụng</t>
  </si>
  <si>
    <t>+ Gốc đã trả</t>
  </si>
  <si>
    <t>Số thẻ (*)</t>
  </si>
  <si>
    <t>Ngày mở thẻ (*)</t>
  </si>
  <si>
    <t>Ngày quá hạn (*)</t>
  </si>
  <si>
    <t>Ngày cần tính (*)</t>
  </si>
  <si>
    <t>Tên KH (*)</t>
  </si>
  <si>
    <t>Ghi chú</t>
  </si>
  <si>
    <t>Lãi trả góp 
phát sinh</t>
  </si>
  <si>
    <t>Phí phát sinh
(ẩn khi xong)</t>
  </si>
  <si>
    <t>Tổng tiền sử dụng trong kỳ</t>
  </si>
  <si>
    <t>Ngày bắt đầu sao kê! Ví dụ: 26</t>
  </si>
  <si>
    <t>Ngày cần tính</t>
  </si>
  <si>
    <t>Nợ gốc = Tổng tiền sử dụng - gốc đã trả</t>
  </si>
  <si>
    <t>Nợ lãi = Lãi phát sính - lãi đã trả</t>
  </si>
  <si>
    <t>(*) Nếu có trả góp thì lãi cộng thêm phần lãi trả góp</t>
  </si>
  <si>
    <t>Phí lỹ kế</t>
  </si>
  <si>
    <t>Lãi lũy kế</t>
  </si>
  <si>
    <t>Nhập dư nợ gốc trên fin (*)</t>
  </si>
  <si>
    <t>Tự động</t>
  </si>
  <si>
    <t>BẢNG TÓM TẮT SAO KÊ THẺ</t>
  </si>
  <si>
    <t>+ Lãi đã trả</t>
  </si>
  <si>
    <t>+ Phí đã trả</t>
  </si>
  <si>
    <t>© boi baotg10 - ban quyen bao ve</t>
  </si>
  <si>
    <t>Interests</t>
  </si>
  <si>
    <t>Misc</t>
  </si>
  <si>
    <t>Transaction</t>
  </si>
  <si>
    <t>Virtual Card payment;</t>
  </si>
  <si>
    <t>Auto OVD payment</t>
  </si>
  <si>
    <t>Du no 1900-01</t>
  </si>
  <si>
    <t>Phi 1900-01</t>
  </si>
  <si>
    <t>Da thanh toan 1900-01</t>
  </si>
  <si>
    <t>Lai 1900-01</t>
  </si>
  <si>
    <t>Lai tra gop 1900-01</t>
  </si>
  <si>
    <t>bao</t>
  </si>
  <si>
    <t>tg10</t>
  </si>
  <si>
    <t>Chỗ này úp file excel nha</t>
  </si>
  <si>
    <t>Du no 1900-02</t>
  </si>
  <si>
    <t>Phi 1900-02</t>
  </si>
  <si>
    <t>Da thanh toan 1900-02</t>
  </si>
  <si>
    <t>Lai 1900-02</t>
  </si>
  <si>
    <t>Lai tra gop 1900-02</t>
  </si>
  <si>
    <t>Du no 1900-03</t>
  </si>
  <si>
    <t>Phi 1900-03</t>
  </si>
  <si>
    <t>Da thanh toan 1900-03</t>
  </si>
  <si>
    <t>Lai 1900-03</t>
  </si>
  <si>
    <t>Lai tra gop 1900-03</t>
  </si>
  <si>
    <t>Du no 1900-04</t>
  </si>
  <si>
    <t>Phi 1900-04</t>
  </si>
  <si>
    <t>Da thanh toan 1900-04</t>
  </si>
  <si>
    <t>Lai 1900-04</t>
  </si>
  <si>
    <t>Lai tra gop 1900-04</t>
  </si>
  <si>
    <t>Du no 1900-05</t>
  </si>
  <si>
    <t>Phi 1900-05</t>
  </si>
  <si>
    <t>Da thanh toan 1900-05</t>
  </si>
  <si>
    <t>Lai 1900-05</t>
  </si>
  <si>
    <t>Lai tra gop 1900-05</t>
  </si>
  <si>
    <t>Du no 1900-06</t>
  </si>
  <si>
    <t>Phi 1900-06</t>
  </si>
  <si>
    <t>Da thanh toan 1900-06</t>
  </si>
  <si>
    <t>Lai 1900-06</t>
  </si>
  <si>
    <t>Lai tra gop 1900-06</t>
  </si>
  <si>
    <t>Du no 1900-07</t>
  </si>
  <si>
    <t>Phi 1900-07</t>
  </si>
  <si>
    <t>Da thanh toan 1900-07</t>
  </si>
  <si>
    <t>Lai 1900-07</t>
  </si>
  <si>
    <t>Lai tra gop 1900-07</t>
  </si>
  <si>
    <t>Du no 1900-08</t>
  </si>
  <si>
    <t>Phi 1900-08</t>
  </si>
  <si>
    <t>Da thanh toan 1900-08</t>
  </si>
  <si>
    <t>Lai 1900-08</t>
  </si>
  <si>
    <t>Lai tra gop 1900-08</t>
  </si>
  <si>
    <t>Du no 1900-09</t>
  </si>
  <si>
    <t>Phi 1900-09</t>
  </si>
  <si>
    <t>Da thanh toan 1900-09</t>
  </si>
  <si>
    <t>Lai 1900-09</t>
  </si>
  <si>
    <t>Lai tra gop 1900-09</t>
  </si>
  <si>
    <t>Du no 1900-10</t>
  </si>
  <si>
    <t>Phi 1900-10</t>
  </si>
  <si>
    <t>Da thanh toan 1900-10</t>
  </si>
  <si>
    <t>Lai 1900-10</t>
  </si>
  <si>
    <t>Lai tra gop 1900-10</t>
  </si>
  <si>
    <t>Du no 1900-11</t>
  </si>
  <si>
    <t>Phi 1900-11</t>
  </si>
  <si>
    <t>Da thanh toan 1900-11</t>
  </si>
  <si>
    <t>Lai 1900-11</t>
  </si>
  <si>
    <t>Lai tra gop 1900-11</t>
  </si>
  <si>
    <t>Du no 1900-12</t>
  </si>
  <si>
    <t>Phi 1900-12</t>
  </si>
  <si>
    <t>Da thanh toan 1900-12</t>
  </si>
  <si>
    <t>Lai 1900-12</t>
  </si>
  <si>
    <t>Lai tra gop 1900-12</t>
  </si>
  <si>
    <t>Du no 1900-13</t>
  </si>
  <si>
    <t>Phi 1900-13</t>
  </si>
  <si>
    <t>Da thanh toan 1900-13</t>
  </si>
  <si>
    <t>Lai 1900-13</t>
  </si>
  <si>
    <t>Lai tra gop 1900-13</t>
  </si>
  <si>
    <t>Du no 1900-14</t>
  </si>
  <si>
    <t>Phi 1900-14</t>
  </si>
  <si>
    <t>Da thanh toan 1900-14</t>
  </si>
  <si>
    <t>Lai 1900-14</t>
  </si>
  <si>
    <t>Lai tra gop 1900-14</t>
  </si>
  <si>
    <t>Du no 1900-15</t>
  </si>
  <si>
    <t>Phi 1900-15</t>
  </si>
  <si>
    <t>Da thanh toan 1900-15</t>
  </si>
  <si>
    <t>Lai 1900-15</t>
  </si>
  <si>
    <t>Lai tra gop 1900-15</t>
  </si>
  <si>
    <t>Du no 1900-16</t>
  </si>
  <si>
    <t>Phi 1900-16</t>
  </si>
  <si>
    <t>Da thanh toan 1900-16</t>
  </si>
  <si>
    <t>Lai 1900-16</t>
  </si>
  <si>
    <t>Lai tra gop 1900-16</t>
  </si>
  <si>
    <t>Du no 1900-17</t>
  </si>
  <si>
    <t>Phi 1900-17</t>
  </si>
  <si>
    <t>Da thanh toan 1900-17</t>
  </si>
  <si>
    <t>Lai 1900-17</t>
  </si>
  <si>
    <t>Lai tra gop 1900-17</t>
  </si>
  <si>
    <t>Du no 1900-18</t>
  </si>
  <si>
    <t>Phi 1900-18</t>
  </si>
  <si>
    <t>Da thanh toan 1900-18</t>
  </si>
  <si>
    <t>Lai 1900-18</t>
  </si>
  <si>
    <t>Lai tra gop 1900-18</t>
  </si>
  <si>
    <t>Du no 1900-19</t>
  </si>
  <si>
    <t>Phi 1900-19</t>
  </si>
  <si>
    <t>Da thanh toan 1900-19</t>
  </si>
  <si>
    <t>Lai 1900-19</t>
  </si>
  <si>
    <t>Lai tra gop 1900-19</t>
  </si>
  <si>
    <t>Du no 1900-20</t>
  </si>
  <si>
    <t>Phi 1900-20</t>
  </si>
  <si>
    <t>Da thanh toan 1900-20</t>
  </si>
  <si>
    <t>Lai 1900-20</t>
  </si>
  <si>
    <t>Lai tra gop 1900-20</t>
  </si>
  <si>
    <t>Du no 1900-21</t>
  </si>
  <si>
    <t>Phi 1900-21</t>
  </si>
  <si>
    <t>Da thanh toan 1900-21</t>
  </si>
  <si>
    <t>Lai 1900-21</t>
  </si>
  <si>
    <t>Lai tra gop 1900-21</t>
  </si>
  <si>
    <t>Du no 1900-22</t>
  </si>
  <si>
    <t>Phi 1900-22</t>
  </si>
  <si>
    <t>Da thanh toan 1900-22</t>
  </si>
  <si>
    <t>Lai 1900-22</t>
  </si>
  <si>
    <t>Lai tra gop 1900-22</t>
  </si>
  <si>
    <t>Du no 1900-23</t>
  </si>
  <si>
    <t>Phi 1900-23</t>
  </si>
  <si>
    <t>Da thanh toan 1900-23</t>
  </si>
  <si>
    <t>Lai 1900-23</t>
  </si>
  <si>
    <t>Lai tra gop 1900-23</t>
  </si>
  <si>
    <t>Du no 1900-24</t>
  </si>
  <si>
    <t>Phi 1900-24</t>
  </si>
  <si>
    <t>Da thanh toan 1900-24</t>
  </si>
  <si>
    <t>Lai 1900-24</t>
  </si>
  <si>
    <t>Lai tra gop 1900-24</t>
  </si>
  <si>
    <t>Du no 1900-25</t>
  </si>
  <si>
    <t>Phi 1900-25</t>
  </si>
  <si>
    <t>Da thanh toan 1900-25</t>
  </si>
  <si>
    <t>Lai 1900-25</t>
  </si>
  <si>
    <t>Lai tra gop 1900-25</t>
  </si>
  <si>
    <t>Du no 1900-26</t>
  </si>
  <si>
    <t>Phi 1900-26</t>
  </si>
  <si>
    <t>Da thanh toan 1900-26</t>
  </si>
  <si>
    <t>Lai 1900-26</t>
  </si>
  <si>
    <t>Lai tra gop 1900-26</t>
  </si>
  <si>
    <t>Du no 1900-27</t>
  </si>
  <si>
    <t>Phi 1900-27</t>
  </si>
  <si>
    <t>Da thanh toan 1900-27</t>
  </si>
  <si>
    <t>Lai 1900-27</t>
  </si>
  <si>
    <t>Lai tra gop 1900-27</t>
  </si>
  <si>
    <t>Du no 1900-28</t>
  </si>
  <si>
    <t>Phi 1900-28</t>
  </si>
  <si>
    <t>Da thanh toan 1900-28</t>
  </si>
  <si>
    <t>Lai 1900-28</t>
  </si>
  <si>
    <t>Lai tra gop 1900-28</t>
  </si>
  <si>
    <t>Du no 1900-29</t>
  </si>
  <si>
    <t>Phi 1900-29</t>
  </si>
  <si>
    <t>Da thanh toan 1900-29</t>
  </si>
  <si>
    <t>Lai 1900-29</t>
  </si>
  <si>
    <t>Lai tra gop 1900-29</t>
  </si>
  <si>
    <t>Du no 1900-30</t>
  </si>
  <si>
    <t>Phi 1900-30</t>
  </si>
  <si>
    <t>Da thanh toan 1900-30</t>
  </si>
  <si>
    <t>Lai 1900-30</t>
  </si>
  <si>
    <t>Lai tra gop 1900-30</t>
  </si>
  <si>
    <t>Du no 1900-31</t>
  </si>
  <si>
    <t>Phi 1900-31</t>
  </si>
  <si>
    <t>Da thanh toan 1900-31</t>
  </si>
  <si>
    <t>Lai 1900-31</t>
  </si>
  <si>
    <t>Lai tra gop 1900-31</t>
  </si>
  <si>
    <t>Du no 1900-32</t>
  </si>
  <si>
    <t>Phi 1900-32</t>
  </si>
  <si>
    <t>Da thanh toan 1900-32</t>
  </si>
  <si>
    <t>Lai 1900-32</t>
  </si>
  <si>
    <t>Lai tra gop 1900-32</t>
  </si>
  <si>
    <t>Du no 1900-33</t>
  </si>
  <si>
    <t>Phi 1900-33</t>
  </si>
  <si>
    <t>Da thanh toan 1900-33</t>
  </si>
  <si>
    <t>Lai 1900-33</t>
  </si>
  <si>
    <t>Lai tra gop 1900-33</t>
  </si>
  <si>
    <t>Du no 1900-34</t>
  </si>
  <si>
    <t>Phi 1900-34</t>
  </si>
  <si>
    <t>Da thanh toan 1900-34</t>
  </si>
  <si>
    <t>Lai 1900-34</t>
  </si>
  <si>
    <t>Lai tra gop 1900-34</t>
  </si>
  <si>
    <t>Du no 1900-35</t>
  </si>
  <si>
    <t>Phi 1900-35</t>
  </si>
  <si>
    <t>Da thanh toan 1900-35</t>
  </si>
  <si>
    <t>Lai 1900-35</t>
  </si>
  <si>
    <t>Lai tra gop 1900-35</t>
  </si>
  <si>
    <t>Du no 1900-36</t>
  </si>
  <si>
    <t>Phi 1900-36</t>
  </si>
  <si>
    <t>Da thanh toan 1900-36</t>
  </si>
  <si>
    <t>Lai 1900-36</t>
  </si>
  <si>
    <t>Lai tra gop 1900-36</t>
  </si>
  <si>
    <t>Du no 1900-37</t>
  </si>
  <si>
    <t>Phi 1900-37</t>
  </si>
  <si>
    <t>Da thanh toan 1900-37</t>
  </si>
  <si>
    <t>Lai 1900-37</t>
  </si>
  <si>
    <t>Lai tra gop 1900-37</t>
  </si>
  <si>
    <t>Du no 1900-38</t>
  </si>
  <si>
    <t>Phi 1900-38</t>
  </si>
  <si>
    <t>Da thanh toan 1900-38</t>
  </si>
  <si>
    <t>Lai 1900-38</t>
  </si>
  <si>
    <t>Lai tra gop 1900-38</t>
  </si>
  <si>
    <t>Du no 1900-39</t>
  </si>
  <si>
    <t>Phi 1900-39</t>
  </si>
  <si>
    <t>Da thanh toan 1900-39</t>
  </si>
  <si>
    <t>Lai 1900-39</t>
  </si>
  <si>
    <t>Lai tra gop 1900-39</t>
  </si>
  <si>
    <t>Du no 1900-40</t>
  </si>
  <si>
    <t>Phi 1900-40</t>
  </si>
  <si>
    <t>Da thanh toan 1900-40</t>
  </si>
  <si>
    <t>Lai 1900-40</t>
  </si>
  <si>
    <t>Lai tra gop 1900-40</t>
  </si>
  <si>
    <t>Du no 1900-41</t>
  </si>
  <si>
    <t>Phi 1900-41</t>
  </si>
  <si>
    <t>Da thanh toan 1900-41</t>
  </si>
  <si>
    <t>Lai 1900-41</t>
  </si>
  <si>
    <t>Lai tra gop 1900-41</t>
  </si>
  <si>
    <t>Du no 1900-42</t>
  </si>
  <si>
    <t>Phi 1900-42</t>
  </si>
  <si>
    <t>Da thanh toan 1900-42</t>
  </si>
  <si>
    <t>Lai 1900-42</t>
  </si>
  <si>
    <t>Lai tra gop 1900-42</t>
  </si>
  <si>
    <t>Du no 1900-43</t>
  </si>
  <si>
    <t>Phi 1900-43</t>
  </si>
  <si>
    <t>Da thanh toan 1900-43</t>
  </si>
  <si>
    <t>Lai 1900-43</t>
  </si>
  <si>
    <t>Lai tra gop 1900-43</t>
  </si>
  <si>
    <t>Du no 1900-44</t>
  </si>
  <si>
    <t>Phi 1900-44</t>
  </si>
  <si>
    <t>Da thanh toan 1900-44</t>
  </si>
  <si>
    <t>Lai 1900-44</t>
  </si>
  <si>
    <t>Lai tra gop 1900-44</t>
  </si>
  <si>
    <t>Du no 1900-45</t>
  </si>
  <si>
    <t>Phi 1900-45</t>
  </si>
  <si>
    <t>Da thanh toan 1900-45</t>
  </si>
  <si>
    <t>Lai 1900-45</t>
  </si>
  <si>
    <t>Lai tra gop 1900-45</t>
  </si>
  <si>
    <t>Du no 1900-46</t>
  </si>
  <si>
    <t>Phi 1900-46</t>
  </si>
  <si>
    <t>Da thanh toan 1900-46</t>
  </si>
  <si>
    <t>Lai 1900-46</t>
  </si>
  <si>
    <t>Lai tra gop 1900-46</t>
  </si>
  <si>
    <t>Du no 1900-47</t>
  </si>
  <si>
    <t>Phi 1900-47</t>
  </si>
  <si>
    <t>Da thanh toan 1900-47</t>
  </si>
  <si>
    <t>Lai 1900-47</t>
  </si>
  <si>
    <t>Lai tra gop 1900-47</t>
  </si>
  <si>
    <t>Du no 1900-48</t>
  </si>
  <si>
    <t>Phi 1900-48</t>
  </si>
  <si>
    <t>Da thanh toan 1900-48</t>
  </si>
  <si>
    <t>Lai 1900-48</t>
  </si>
  <si>
    <t>Lai tra gop 1900-48</t>
  </si>
  <si>
    <t>Du no 1900-49</t>
  </si>
  <si>
    <t>Phi 1900-49</t>
  </si>
  <si>
    <t>Da thanh toan 1900-49</t>
  </si>
  <si>
    <t>Lai 1900-49</t>
  </si>
  <si>
    <t>Lai tra gop 1900-49</t>
  </si>
  <si>
    <t>Du no 1900-50</t>
  </si>
  <si>
    <t>Phi 1900-50</t>
  </si>
  <si>
    <t>Da thanh toan 1900-50</t>
  </si>
  <si>
    <t>Lai 1900-50</t>
  </si>
  <si>
    <t>Lai tra gop 1900-50</t>
  </si>
  <si>
    <t>Du no 1900-51</t>
  </si>
  <si>
    <t>Phi 1900-51</t>
  </si>
  <si>
    <t>Da thanh toan 1900-51</t>
  </si>
  <si>
    <t>Lai 1900-51</t>
  </si>
  <si>
    <t>Lai tra gop 1900-51</t>
  </si>
  <si>
    <t>Du no 1900-52</t>
  </si>
  <si>
    <t>Phi 1900-52</t>
  </si>
  <si>
    <t>Da thanh toan 1900-52</t>
  </si>
  <si>
    <t>Lai 1900-52</t>
  </si>
  <si>
    <t>Lai tra gop 1900-52</t>
  </si>
  <si>
    <t>Du no 1900-53</t>
  </si>
  <si>
    <t>Phi 1900-53</t>
  </si>
  <si>
    <t>Da thanh toan 1900-53</t>
  </si>
  <si>
    <t>Lai 1900-53</t>
  </si>
  <si>
    <t>Lai tra gop 1900-53</t>
  </si>
  <si>
    <t>Du no 1900-54</t>
  </si>
  <si>
    <t>Phi 1900-54</t>
  </si>
  <si>
    <t>Da thanh toan 1900-54</t>
  </si>
  <si>
    <t>Lai 1900-54</t>
  </si>
  <si>
    <t>Lai tra gop 1900-54</t>
  </si>
  <si>
    <t>Du no 1900-55</t>
  </si>
  <si>
    <t>Phi 1900-55</t>
  </si>
  <si>
    <t>Da thanh toan 1900-55</t>
  </si>
  <si>
    <t>Lai 1900-55</t>
  </si>
  <si>
    <t>Lai tra gop 1900-55</t>
  </si>
  <si>
    <t>Du no 1900-56</t>
  </si>
  <si>
    <t>Phi 1900-56</t>
  </si>
  <si>
    <t>Da thanh toan 1900-56</t>
  </si>
  <si>
    <t>Lai 1900-56</t>
  </si>
  <si>
    <t>Lai tra gop 1900-56</t>
  </si>
  <si>
    <t>Du no 1900-57</t>
  </si>
  <si>
    <t>Phi 1900-57</t>
  </si>
  <si>
    <t>Da thanh toan 1900-57</t>
  </si>
  <si>
    <t>Lai 1900-57</t>
  </si>
  <si>
    <t>Lai tra gop 1900-57</t>
  </si>
  <si>
    <t>Du no 1900-58</t>
  </si>
  <si>
    <t>Phi 1900-58</t>
  </si>
  <si>
    <t>Da thanh toan 1900-58</t>
  </si>
  <si>
    <t>Lai 1900-58</t>
  </si>
  <si>
    <t>Lai tra gop 1900-58</t>
  </si>
  <si>
    <t>Du no 1900-59</t>
  </si>
  <si>
    <t>Phi 1900-59</t>
  </si>
  <si>
    <t>Da thanh toan 1900-59</t>
  </si>
  <si>
    <t>Lai 1900-59</t>
  </si>
  <si>
    <t>Lai tra gop 1900-59</t>
  </si>
  <si>
    <t>Du no 1900-60</t>
  </si>
  <si>
    <t>Phi 1900-60</t>
  </si>
  <si>
    <t>Da thanh toan 1900-60</t>
  </si>
  <si>
    <t>Lai 1900-60</t>
  </si>
  <si>
    <t>Lai tra gop 1900-60</t>
  </si>
  <si>
    <t>Du no 1900-61</t>
  </si>
  <si>
    <t>Phi 1900-61</t>
  </si>
  <si>
    <t>Da thanh toan 1900-61</t>
  </si>
  <si>
    <t>Lai 1900-61</t>
  </si>
  <si>
    <t>Lai tra gop 1900-61</t>
  </si>
  <si>
    <t>Du no 1900-62</t>
  </si>
  <si>
    <t>Phi 1900-62</t>
  </si>
  <si>
    <t>Da thanh toan 1900-62</t>
  </si>
  <si>
    <t>Lai 1900-62</t>
  </si>
  <si>
    <t>Lai tra gop 1900-62</t>
  </si>
  <si>
    <t>Du no 1900-63</t>
  </si>
  <si>
    <t>Phi 1900-63</t>
  </si>
  <si>
    <t>Da thanh toan 1900-63</t>
  </si>
  <si>
    <t>Lai 1900-63</t>
  </si>
  <si>
    <t>Lai tra gop 1900-63</t>
  </si>
  <si>
    <t>Du no 1900-64</t>
  </si>
  <si>
    <t>Phi 1900-64</t>
  </si>
  <si>
    <t>Da thanh toan 1900-64</t>
  </si>
  <si>
    <t>Lai 1900-64</t>
  </si>
  <si>
    <t>Lai tra gop 1900-64</t>
  </si>
  <si>
    <t>Du no 1900-65</t>
  </si>
  <si>
    <t>Phi 1900-65</t>
  </si>
  <si>
    <t>Da thanh toan 1900-65</t>
  </si>
  <si>
    <t>Lai 1900-65</t>
  </si>
  <si>
    <t>Lai tra gop 1900-65</t>
  </si>
  <si>
    <t>Du no 1900-66</t>
  </si>
  <si>
    <t>Phi 1900-66</t>
  </si>
  <si>
    <t>Da thanh toan 1900-66</t>
  </si>
  <si>
    <t>Lai 1900-66</t>
  </si>
  <si>
    <t>Lai tra gop 1900-66</t>
  </si>
  <si>
    <t>Du no 1900-67</t>
  </si>
  <si>
    <t>Phi 1900-67</t>
  </si>
  <si>
    <t>Da thanh toan 1900-67</t>
  </si>
  <si>
    <t>Lai 1900-67</t>
  </si>
  <si>
    <t>Lai tra gop 1900-67</t>
  </si>
  <si>
    <t>Du no 1900-68</t>
  </si>
  <si>
    <t>Phi 1900-68</t>
  </si>
  <si>
    <t>Da thanh toan 1900-68</t>
  </si>
  <si>
    <t>Lai 1900-68</t>
  </si>
  <si>
    <t>Lai tra gop 1900-68</t>
  </si>
  <si>
    <t>Du no 1900-69</t>
  </si>
  <si>
    <t>Phi 1900-69</t>
  </si>
  <si>
    <t>Da thanh toan 1900-69</t>
  </si>
  <si>
    <t>Lai 1900-69</t>
  </si>
  <si>
    <t>Lai tra gop 1900-69</t>
  </si>
  <si>
    <t>Du no 1900-70</t>
  </si>
  <si>
    <t>Phi 1900-70</t>
  </si>
  <si>
    <t>Da thanh toan 1900-70</t>
  </si>
  <si>
    <t>Lai 1900-70</t>
  </si>
  <si>
    <t>Lai tra gop 1900-70</t>
  </si>
  <si>
    <t>Du no 1900-71</t>
  </si>
  <si>
    <t>Phi 1900-71</t>
  </si>
  <si>
    <t>Da thanh toan 1900-71</t>
  </si>
  <si>
    <t>Lai 1900-71</t>
  </si>
  <si>
    <t>Lai tra gop 1900-71</t>
  </si>
  <si>
    <t>Du no 1900-72</t>
  </si>
  <si>
    <t>Phi 1900-72</t>
  </si>
  <si>
    <t>Da thanh toan 1900-72</t>
  </si>
  <si>
    <t>Lai 1900-72</t>
  </si>
  <si>
    <t>Lai tra gop 1900-72</t>
  </si>
  <si>
    <t>Du no 1900-73</t>
  </si>
  <si>
    <t>Phi 1900-73</t>
  </si>
  <si>
    <t>Da thanh toan 1900-73</t>
  </si>
  <si>
    <t>Lai 1900-73</t>
  </si>
  <si>
    <t>Lai tra gop 1900-73</t>
  </si>
  <si>
    <t>Du no 1900-74</t>
  </si>
  <si>
    <t>Phi 1900-74</t>
  </si>
  <si>
    <t>Da thanh toan 1900-74</t>
  </si>
  <si>
    <t>Lai 1900-74</t>
  </si>
  <si>
    <t>Lai tra gop 1900-74</t>
  </si>
  <si>
    <t>Du no 1900-75</t>
  </si>
  <si>
    <t>Phi 1900-75</t>
  </si>
  <si>
    <t>Da thanh toan 1900-75</t>
  </si>
  <si>
    <t>Lai 1900-75</t>
  </si>
  <si>
    <t>Lai tra gop 1900-75</t>
  </si>
  <si>
    <t>Du no 1900-76</t>
  </si>
  <si>
    <t>Phi 1900-76</t>
  </si>
  <si>
    <t>Da thanh toan 1900-76</t>
  </si>
  <si>
    <t>Lai 1900-76</t>
  </si>
  <si>
    <t>Lai tra gop 1900-76</t>
  </si>
  <si>
    <t>Du no 1900-77</t>
  </si>
  <si>
    <t>Phi 1900-77</t>
  </si>
  <si>
    <t>Da thanh toan 1900-77</t>
  </si>
  <si>
    <t>Lai 1900-77</t>
  </si>
  <si>
    <t>Lai tra gop 1900-77</t>
  </si>
  <si>
    <t>Du no 1900-78</t>
  </si>
  <si>
    <t>Phi 1900-78</t>
  </si>
  <si>
    <t>Da thanh toan 1900-78</t>
  </si>
  <si>
    <t>Lai 1900-78</t>
  </si>
  <si>
    <t>Lai tra gop 1900-78</t>
  </si>
  <si>
    <t>Du no 1900-79</t>
  </si>
  <si>
    <t>Phi 1900-79</t>
  </si>
  <si>
    <t>Da thanh toan 1900-79</t>
  </si>
  <si>
    <t>Lai 1900-79</t>
  </si>
  <si>
    <t>Lai tra gop 1900-79</t>
  </si>
  <si>
    <t>Du no 1900-80</t>
  </si>
  <si>
    <t>Phi 1900-80</t>
  </si>
  <si>
    <t>Da thanh toan 1900-80</t>
  </si>
  <si>
    <t>Lai 1900-80</t>
  </si>
  <si>
    <t>Lai tra gop 1900-80</t>
  </si>
  <si>
    <t>Du no 1900-81</t>
  </si>
  <si>
    <t>Phi 1900-81</t>
  </si>
  <si>
    <t>Da thanh toan 1900-81</t>
  </si>
  <si>
    <t>Lai 1900-81</t>
  </si>
  <si>
    <t>Lai tra gop 1900-81</t>
  </si>
  <si>
    <t>Du no 1900-82</t>
  </si>
  <si>
    <t>Phi 1900-82</t>
  </si>
  <si>
    <t>Da thanh toan 1900-82</t>
  </si>
  <si>
    <t>Lai 1900-82</t>
  </si>
  <si>
    <t>Lai tra gop 1900-82</t>
  </si>
  <si>
    <t>Du no 1900-83</t>
  </si>
  <si>
    <t>Phi 1900-83</t>
  </si>
  <si>
    <t>Da thanh toan 1900-83</t>
  </si>
  <si>
    <t>Lai 1900-83</t>
  </si>
  <si>
    <t>Lai tra gop 1900-83</t>
  </si>
  <si>
    <t>Du no 1900-84</t>
  </si>
  <si>
    <t>Phi 1900-84</t>
  </si>
  <si>
    <t>Da thanh toan 1900-84</t>
  </si>
  <si>
    <t>Lai 1900-84</t>
  </si>
  <si>
    <t>Lai tra gop 1900-84</t>
  </si>
  <si>
    <t>Du no 1900-85</t>
  </si>
  <si>
    <t>Phi 1900-85</t>
  </si>
  <si>
    <t>Da thanh toan 1900-85</t>
  </si>
  <si>
    <t>Lai 1900-85</t>
  </si>
  <si>
    <t>Lai tra gop 1900-85</t>
  </si>
  <si>
    <t>Du no 1900-86</t>
  </si>
  <si>
    <t>Phi 1900-86</t>
  </si>
  <si>
    <t>Da thanh toan 1900-86</t>
  </si>
  <si>
    <t>Lai 1900-86</t>
  </si>
  <si>
    <t>Lai tra gop 1900-86</t>
  </si>
  <si>
    <t>Du no 1900-87</t>
  </si>
  <si>
    <t>Phi 1900-87</t>
  </si>
  <si>
    <t>Da thanh toan 1900-87</t>
  </si>
  <si>
    <t>Lai 1900-87</t>
  </si>
  <si>
    <t>Lai tra gop 1900-87</t>
  </si>
  <si>
    <t>Du no 1900-88</t>
  </si>
  <si>
    <t>Phi 1900-88</t>
  </si>
  <si>
    <t>Da thanh toan 1900-88</t>
  </si>
  <si>
    <t>Lai 1900-88</t>
  </si>
  <si>
    <t>Lai tra gop 1900-88</t>
  </si>
  <si>
    <t>Du no 1900-89</t>
  </si>
  <si>
    <t>Phi 1900-89</t>
  </si>
  <si>
    <t>Da thanh toan 1900-89</t>
  </si>
  <si>
    <t>Lai 1900-89</t>
  </si>
  <si>
    <t>Lai tra gop 1900-89</t>
  </si>
  <si>
    <t>Du no 1900-90</t>
  </si>
  <si>
    <t>Phi 1900-90</t>
  </si>
  <si>
    <t>Da thanh toan 1900-90</t>
  </si>
  <si>
    <t>Lai 1900-90</t>
  </si>
  <si>
    <t>Lai tra gop 1900-90</t>
  </si>
  <si>
    <t>Du no 1900-91</t>
  </si>
  <si>
    <t>Phi 1900-91</t>
  </si>
  <si>
    <t>Da thanh toan 1900-91</t>
  </si>
  <si>
    <t>Lai 1900-91</t>
  </si>
  <si>
    <t>Lai tra gop 1900-91</t>
  </si>
  <si>
    <t>Du no 1900-92</t>
  </si>
  <si>
    <t>Phi 1900-92</t>
  </si>
  <si>
    <t>Da thanh toan 1900-92</t>
  </si>
  <si>
    <t>Lai 1900-92</t>
  </si>
  <si>
    <t>Lai tra gop 1900-92</t>
  </si>
  <si>
    <t>Du no 1900-93</t>
  </si>
  <si>
    <t>Phi 1900-93</t>
  </si>
  <si>
    <t>Da thanh toan 1900-93</t>
  </si>
  <si>
    <t>Lai 1900-93</t>
  </si>
  <si>
    <t>Lai tra gop 1900-93</t>
  </si>
  <si>
    <t>Du no 1900-94</t>
  </si>
  <si>
    <t>Phi 1900-94</t>
  </si>
  <si>
    <t>Da thanh toan 1900-94</t>
  </si>
  <si>
    <t>Lai 1900-94</t>
  </si>
  <si>
    <t>Lai tra gop 1900-94</t>
  </si>
  <si>
    <t>Du no 1900-95</t>
  </si>
  <si>
    <t>Phi 1900-95</t>
  </si>
  <si>
    <t>Da thanh toan 1900-95</t>
  </si>
  <si>
    <t>Lai 1900-95</t>
  </si>
  <si>
    <t>Lai tra gop 1900-95</t>
  </si>
  <si>
    <t>Du no 1900-96</t>
  </si>
  <si>
    <t>Phi 1900-96</t>
  </si>
  <si>
    <t>Da thanh toan 1900-96</t>
  </si>
  <si>
    <t>Lai 1900-96</t>
  </si>
  <si>
    <t>Lai tra gop 1900-96</t>
  </si>
  <si>
    <t>Du no 1900-97</t>
  </si>
  <si>
    <t>Phi 1900-97</t>
  </si>
  <si>
    <t>Da thanh toan 1900-97</t>
  </si>
  <si>
    <t>Lai 1900-97</t>
  </si>
  <si>
    <t>Lai tra gop 1900-97</t>
  </si>
  <si>
    <t>Du no 1900-98</t>
  </si>
  <si>
    <t>Phi 1900-98</t>
  </si>
  <si>
    <t>Da thanh toan 1900-98</t>
  </si>
  <si>
    <t>Lai 1900-98</t>
  </si>
  <si>
    <t>Lai tra gop 1900-98</t>
  </si>
  <si>
    <t>Du no 1900-99</t>
  </si>
  <si>
    <t>Phi 1900-99</t>
  </si>
  <si>
    <t>Da thanh toan 1900-99</t>
  </si>
  <si>
    <t>Lai 1900-99</t>
  </si>
  <si>
    <t>Lai tra gop 1900-99</t>
  </si>
  <si>
    <t>Du no 1900-100</t>
  </si>
  <si>
    <t>Phi 1900-100</t>
  </si>
  <si>
    <t>Da thanh toan 1900-100</t>
  </si>
  <si>
    <t>Lai 1900-100</t>
  </si>
  <si>
    <t>Lai tra gop 1900-100</t>
  </si>
  <si>
    <t>Du no 1900-101</t>
  </si>
  <si>
    <t>Phi 1900-101</t>
  </si>
  <si>
    <t>Da thanh toan 1900-101</t>
  </si>
  <si>
    <t>Lai 1900-101</t>
  </si>
  <si>
    <t>Lai tra gop 1900-101</t>
  </si>
  <si>
    <t>Du no 1900-102</t>
  </si>
  <si>
    <t>Phi 1900-102</t>
  </si>
  <si>
    <t>Da thanh toan 1900-102</t>
  </si>
  <si>
    <t>Lai 1900-102</t>
  </si>
  <si>
    <t>Lai tra gop 1900-102</t>
  </si>
  <si>
    <t>Du no 1900-103</t>
  </si>
  <si>
    <t>Phi 1900-103</t>
  </si>
  <si>
    <t>Da thanh toan 1900-103</t>
  </si>
  <si>
    <t>Lai 1900-103</t>
  </si>
  <si>
    <t>Lai tra gop 1900-103</t>
  </si>
  <si>
    <t>Du no 1900-104</t>
  </si>
  <si>
    <t>Phi 1900-104</t>
  </si>
  <si>
    <t>Da thanh toan 1900-104</t>
  </si>
  <si>
    <t>Lai 1900-104</t>
  </si>
  <si>
    <t>Lai tra gop 1900-104</t>
  </si>
  <si>
    <t>Du no 1900-105</t>
  </si>
  <si>
    <t>Phi 1900-105</t>
  </si>
  <si>
    <t>Da thanh toan 1900-105</t>
  </si>
  <si>
    <t>Lai 1900-105</t>
  </si>
  <si>
    <t>Lai tra gop 1900-105</t>
  </si>
  <si>
    <t>Du no 1900-106</t>
  </si>
  <si>
    <t>Phi 1900-106</t>
  </si>
  <si>
    <t>Da thanh toan 1900-106</t>
  </si>
  <si>
    <t>Lai 1900-106</t>
  </si>
  <si>
    <t>Lai tra gop 1900-106</t>
  </si>
  <si>
    <t>Du no 1900-107</t>
  </si>
  <si>
    <t>Phi 1900-107</t>
  </si>
  <si>
    <t>Da thanh toan 1900-107</t>
  </si>
  <si>
    <t>Lai 1900-107</t>
  </si>
  <si>
    <t>Lai tra gop 1900-107</t>
  </si>
  <si>
    <t>Du no 1900-108</t>
  </si>
  <si>
    <t>Phi 1900-108</t>
  </si>
  <si>
    <t>Da thanh toan 1900-108</t>
  </si>
  <si>
    <t>Lai 1900-108</t>
  </si>
  <si>
    <t>Lai tra gop 1900-108</t>
  </si>
  <si>
    <t>Du no 1900-109</t>
  </si>
  <si>
    <t>Phi 1900-109</t>
  </si>
  <si>
    <t>Da thanh toan 1900-109</t>
  </si>
  <si>
    <t>Lai 1900-109</t>
  </si>
  <si>
    <t>Lai tra gop 1900-109</t>
  </si>
  <si>
    <t>Du no 1900-110</t>
  </si>
  <si>
    <t>Phi 1900-110</t>
  </si>
  <si>
    <t>Da thanh toan 1900-110</t>
  </si>
  <si>
    <t>Lai 1900-110</t>
  </si>
  <si>
    <t>Lai tra gop 1900-110</t>
  </si>
  <si>
    <t>Du no 1900-111</t>
  </si>
  <si>
    <t>Phi 1900-111</t>
  </si>
  <si>
    <t>Da thanh toan 1900-111</t>
  </si>
  <si>
    <t>Lai 1900-111</t>
  </si>
  <si>
    <t>Lai tra gop 1900-111</t>
  </si>
  <si>
    <t>Du no 1900-112</t>
  </si>
  <si>
    <t>Phi 1900-112</t>
  </si>
  <si>
    <t>Da thanh toan 1900-112</t>
  </si>
  <si>
    <t>Lai 1900-112</t>
  </si>
  <si>
    <t>Lai tra gop 1900-112</t>
  </si>
  <si>
    <t>Du no 1900-113</t>
  </si>
  <si>
    <t>Phi 1900-113</t>
  </si>
  <si>
    <t>Da thanh toan 1900-113</t>
  </si>
  <si>
    <t>Lai 1900-113</t>
  </si>
  <si>
    <t>Lai tra gop 1900-113</t>
  </si>
  <si>
    <t>Du no 1900-114</t>
  </si>
  <si>
    <t>Phi 1900-114</t>
  </si>
  <si>
    <t>Da thanh toan 1900-114</t>
  </si>
  <si>
    <t>Lai 1900-114</t>
  </si>
  <si>
    <t>Lai tra gop 1900-114</t>
  </si>
  <si>
    <t>Du no 1900-115</t>
  </si>
  <si>
    <t>Phi 1900-115</t>
  </si>
  <si>
    <t>Da thanh toan 1900-115</t>
  </si>
  <si>
    <t>Lai 1900-115</t>
  </si>
  <si>
    <t>Lai tra gop 1900-115</t>
  </si>
  <si>
    <t>Du no 1900-116</t>
  </si>
  <si>
    <t>Phi 1900-116</t>
  </si>
  <si>
    <t>Da thanh toan 1900-116</t>
  </si>
  <si>
    <t>Lai 1900-116</t>
  </si>
  <si>
    <t>Lai tra gop 1900-116</t>
  </si>
  <si>
    <t>Du no 1900-117</t>
  </si>
  <si>
    <t>Phi 1900-117</t>
  </si>
  <si>
    <t>Da thanh toan 1900-117</t>
  </si>
  <si>
    <t>Lai 1900-117</t>
  </si>
  <si>
    <t>Lai tra gop 1900-117</t>
  </si>
  <si>
    <t>Du no 1900-118</t>
  </si>
  <si>
    <t>Phi 1900-118</t>
  </si>
  <si>
    <t>Da thanh toan 1900-118</t>
  </si>
  <si>
    <t>Lai 1900-118</t>
  </si>
  <si>
    <t>Lai tra gop 1900-118</t>
  </si>
  <si>
    <t>Du no 1900-119</t>
  </si>
  <si>
    <t>Phi 1900-119</t>
  </si>
  <si>
    <t>Da thanh toan 1900-119</t>
  </si>
  <si>
    <t>Lai 1900-119</t>
  </si>
  <si>
    <t>Lai tra gop 1900-119</t>
  </si>
  <si>
    <t>Du no 1900-120</t>
  </si>
  <si>
    <t>Phi 1900-120</t>
  </si>
  <si>
    <t>Da thanh toan 1900-120</t>
  </si>
  <si>
    <t>Lai 1900-120</t>
  </si>
  <si>
    <t>Lai tra gop 1900-120</t>
  </si>
  <si>
    <t>Du no 1900-121</t>
  </si>
  <si>
    <t>Phi 1900-121</t>
  </si>
  <si>
    <t>Da thanh toan 1900-121</t>
  </si>
  <si>
    <t>Lai 1900-121</t>
  </si>
  <si>
    <t>Lai tra gop 1900-121</t>
  </si>
  <si>
    <t>Du no 1900-122</t>
  </si>
  <si>
    <t>Phi 1900-122</t>
  </si>
  <si>
    <t>Da thanh toan 1900-122</t>
  </si>
  <si>
    <t>Lai 1900-122</t>
  </si>
  <si>
    <t>Lai tra gop 1900-122</t>
  </si>
  <si>
    <t>Du no 1900-123</t>
  </si>
  <si>
    <t>Phi 1900-123</t>
  </si>
  <si>
    <t>Da thanh toan 1900-123</t>
  </si>
  <si>
    <t>Lai 1900-123</t>
  </si>
  <si>
    <t>Lai tra gop 1900-123</t>
  </si>
  <si>
    <t>Du no 1900-124</t>
  </si>
  <si>
    <t>Phi 1900-124</t>
  </si>
  <si>
    <t>Da thanh toan 1900-124</t>
  </si>
  <si>
    <t>Lai 1900-124</t>
  </si>
  <si>
    <t>Lai tra gop 1900-124</t>
  </si>
  <si>
    <t>Du no 1900-125</t>
  </si>
  <si>
    <t>Phi 1900-125</t>
  </si>
  <si>
    <t>Da thanh toan 1900-125</t>
  </si>
  <si>
    <t>Lai 1900-125</t>
  </si>
  <si>
    <t>Lai tra gop 1900-125</t>
  </si>
  <si>
    <t>Du no 1900-126</t>
  </si>
  <si>
    <t>Phi 1900-126</t>
  </si>
  <si>
    <t>Da thanh toan 1900-126</t>
  </si>
  <si>
    <t>Lai 1900-126</t>
  </si>
  <si>
    <t>Lai tra gop 1900-126</t>
  </si>
  <si>
    <t>Du no 1900-127</t>
  </si>
  <si>
    <t>Phi 1900-127</t>
  </si>
  <si>
    <t>Da thanh toan 1900-127</t>
  </si>
  <si>
    <t>Lai 1900-127</t>
  </si>
  <si>
    <t>Lai tra gop 1900-127</t>
  </si>
  <si>
    <t>Du no 1900-128</t>
  </si>
  <si>
    <t>Phi 1900-128</t>
  </si>
  <si>
    <t>Da thanh toan 1900-128</t>
  </si>
  <si>
    <t>Lai 1900-128</t>
  </si>
  <si>
    <t>Lai tra gop 1900-128</t>
  </si>
  <si>
    <t>Du no 1900-129</t>
  </si>
  <si>
    <t>Phi 1900-129</t>
  </si>
  <si>
    <t>Da thanh toan 1900-129</t>
  </si>
  <si>
    <t>Lai 1900-129</t>
  </si>
  <si>
    <t>Lai tra gop 1900-129</t>
  </si>
  <si>
    <t>Du no 1900-130</t>
  </si>
  <si>
    <t>Phi 1900-130</t>
  </si>
  <si>
    <t>Da thanh toan 1900-130</t>
  </si>
  <si>
    <t>Lai 1900-130</t>
  </si>
  <si>
    <t>Lai tra gop 1900-130</t>
  </si>
  <si>
    <t>Du no 1900-131</t>
  </si>
  <si>
    <t>Phi 1900-131</t>
  </si>
  <si>
    <t>Da thanh toan 1900-131</t>
  </si>
  <si>
    <t>Lai 1900-131</t>
  </si>
  <si>
    <t>Lai tra gop 1900-131</t>
  </si>
  <si>
    <t>Du no 1900-132</t>
  </si>
  <si>
    <t>Phi 1900-132</t>
  </si>
  <si>
    <t>Da thanh toan 1900-132</t>
  </si>
  <si>
    <t>Lai 1900-132</t>
  </si>
  <si>
    <t>Lai tra gop 1900-132</t>
  </si>
  <si>
    <t>Du no 1900-133</t>
  </si>
  <si>
    <t>Phi 1900-133</t>
  </si>
  <si>
    <t>Da thanh toan 1900-133</t>
  </si>
  <si>
    <t>Lai 1900-133</t>
  </si>
  <si>
    <t>Lai tra gop 1900-133</t>
  </si>
  <si>
    <t>Du no 1900-134</t>
  </si>
  <si>
    <t>Phi 1900-134</t>
  </si>
  <si>
    <t>Da thanh toan 1900-134</t>
  </si>
  <si>
    <t>Lai 1900-134</t>
  </si>
  <si>
    <t>Lai tra gop 1900-134</t>
  </si>
  <si>
    <t>Du no 1900-135</t>
  </si>
  <si>
    <t>Phi 1900-135</t>
  </si>
  <si>
    <t>Da thanh toan 1900-135</t>
  </si>
  <si>
    <t>Lai 1900-135</t>
  </si>
  <si>
    <t>Lai tra gop 1900-135</t>
  </si>
  <si>
    <t>Du no 1900-136</t>
  </si>
  <si>
    <t>Phi 1900-136</t>
  </si>
  <si>
    <t>Da thanh toan 1900-136</t>
  </si>
  <si>
    <t>Lai 1900-136</t>
  </si>
  <si>
    <t>Lai tra gop 1900-136</t>
  </si>
  <si>
    <t>Du no 1900-137</t>
  </si>
  <si>
    <t>Phi 1900-137</t>
  </si>
  <si>
    <t>Da thanh toan 1900-137</t>
  </si>
  <si>
    <t>Lai 1900-137</t>
  </si>
  <si>
    <t>Lai tra gop 1900-137</t>
  </si>
  <si>
    <t>Du no 1900-138</t>
  </si>
  <si>
    <t>Phi 1900-138</t>
  </si>
  <si>
    <t>Da thanh toan 1900-138</t>
  </si>
  <si>
    <t>Lai 1900-138</t>
  </si>
  <si>
    <t>Lai tra gop 1900-138</t>
  </si>
  <si>
    <t>Du no 1900-139</t>
  </si>
  <si>
    <t>Phi 1900-139</t>
  </si>
  <si>
    <t>Da thanh toan 1900-139</t>
  </si>
  <si>
    <t>Lai 1900-139</t>
  </si>
  <si>
    <t>Lai tra gop 1900-139</t>
  </si>
  <si>
    <t>Link hướng dẫn : https://giabao1881.github.io/BKTL/</t>
  </si>
  <si>
    <t>Account Transfer</t>
  </si>
  <si>
    <t>VPB_INSTALMENT=CASH-Chuyen goc tra gop con lai sang du no thong thuong khi BadDebt</t>
  </si>
  <si>
    <t>VPB_INSTALMENT=CASH-Chuyen goc tra gop sang qua han</t>
  </si>
  <si>
    <t>VPB_INSTALMENT=CASH-Chuyen lai tra gop sang qua han</t>
  </si>
  <si>
    <t>VPB_INSTALMENT=RETAIL-Chuyen goc tra gop Aged sang du no thong thuong khi BadDebt</t>
  </si>
  <si>
    <t>VPB_INSTALMENT=CASH-Chuyen goc tra gop Aged sang du no thong thuong khi BadDebt</t>
  </si>
  <si>
    <t>CASH-Chuyen lai tra gop con lai sang du no thong thuong khi BadDebt</t>
  </si>
  <si>
    <t>VPB_INSTALMENT=CASH-Chuyen lai tra gop Aged sang du no thong thuong khi BadDebt</t>
  </si>
  <si>
    <t>VPB_INSTALMENT=CASH-Trich no hang thang tra gop the TD</t>
  </si>
  <si>
    <t>CASH-Trich lai tra gop the TD</t>
  </si>
  <si>
    <t>FTL202313104EB749374</t>
  </si>
  <si>
    <t>VPB_INSTALMENT=CASH-Chuyen doi giao dich sang tra gop</t>
  </si>
  <si>
    <t>OCB</t>
  </si>
  <si>
    <t>IBT Receive money</t>
  </si>
  <si>
    <t>FTL202333031EB352432</t>
  </si>
  <si>
    <t>BHBA1 20235705035703629</t>
  </si>
  <si>
    <t>FTL202232354EB010452</t>
  </si>
  <si>
    <t>BHBA12 20223403113406729</t>
  </si>
  <si>
    <t>FTL202232320EB784125</t>
  </si>
  <si>
    <t>BHBA11 20221303121307255</t>
  </si>
  <si>
    <t>FTL202222290EB602008</t>
  </si>
  <si>
    <t>BHBA10 20220705010728444</t>
  </si>
  <si>
    <t>BHBA9 20225705095738336</t>
  </si>
  <si>
    <t>BHBA8 20222602072657300</t>
  </si>
  <si>
    <t>BHBA7 20222702022727358</t>
  </si>
  <si>
    <t>BHBA6 20224601104648830</t>
  </si>
  <si>
    <t>BHBA5 20223705063718499</t>
  </si>
  <si>
    <t>BHBA4 20221905031950655</t>
  </si>
  <si>
    <t>BHBA3 20223004083031728</t>
  </si>
  <si>
    <t>BHBA2 20222809082803077</t>
  </si>
  <si>
    <t>BHBA1 20224805064801354</t>
  </si>
  <si>
    <t>VPB_INSTALMENT=RETAIL-Chuyen goc tra gop sang qua han</t>
  </si>
  <si>
    <t>BHBA11 20215202115256560</t>
  </si>
  <si>
    <t>VPB_INSTALMENT=RETAIL-Trich no hang thang tra gop the TD</t>
  </si>
  <si>
    <t>BHBA10 20213704033750838</t>
  </si>
  <si>
    <t>BHBA9 20211206011218306</t>
  </si>
  <si>
    <t>BHBA8 20215203115212310</t>
  </si>
  <si>
    <t>FTL202111190EB936079</t>
  </si>
  <si>
    <t>BHBA7 20211402111440959</t>
  </si>
  <si>
    <t>FT21165B00000893</t>
  </si>
  <si>
    <t>FTL202111160EB769896</t>
  </si>
  <si>
    <t>BHBA6 20215404015444901</t>
  </si>
  <si>
    <t>VPB_INSTALMENT=RETAIL-Chuyen doi giao dich sang tra gop</t>
  </si>
  <si>
    <t>NGAN LUONG INTERPAY .,</t>
  </si>
  <si>
    <t>BHBA5 20214004054002232</t>
  </si>
  <si>
    <t>BHBA4 20213301063325725</t>
  </si>
  <si>
    <t>BHBA3 20213902123908030</t>
  </si>
  <si>
    <t>BHBA2 20213207023200619</t>
  </si>
  <si>
    <t>BHBA1 20214609074643560</t>
  </si>
  <si>
    <t>BHBA12 20200403020441937</t>
  </si>
  <si>
    <t>BHBA11 20202102072118622</t>
  </si>
  <si>
    <t>000000062000013 TSCN</t>
  </si>
  <si>
    <t>000000062200008 NHCT</t>
  </si>
  <si>
    <t>BHBA10 20204802064801372</t>
  </si>
  <si>
    <t>BHBA9 20202202052216870</t>
  </si>
  <si>
    <t>ACB ATM PGD DI LINH</t>
  </si>
  <si>
    <t>BARD 693 quoc lo 20,</t>
  </si>
  <si>
    <t>PGD DUC TRONG</t>
  </si>
  <si>
    <t>BHBA8 20201502121532387</t>
  </si>
  <si>
    <t>DAKLAK QUY TD DAKRUC</t>
  </si>
  <si>
    <t>61 NGUYEN TAT THANH,</t>
  </si>
  <si>
    <t>BHBA7 20201214101224511</t>
  </si>
  <si>
    <t>BHTHE20200611210805579</t>
  </si>
  <si>
    <t>BIG C DA LAT</t>
  </si>
  <si>
    <r>
      <t> File → Options → Trust Center → Trust Center Settings → Protected View →</t>
    </r>
    <r>
      <rPr>
        <b/>
        <sz val="14"/>
        <color theme="1"/>
        <rFont val="Calibri"/>
        <family val="2"/>
        <scheme val="minor"/>
      </rPr>
      <t xml:space="preserve"> bỏ chọn</t>
    </r>
    <r>
      <rPr>
        <b/>
        <sz val="14"/>
        <color rgb="FFFF0000"/>
        <rFont val="Calibri"/>
        <family val="2"/>
        <scheme val="minor"/>
      </rPr>
      <t xml:space="preserve"> các ô “Enable Protected View” → OK</t>
    </r>
  </si>
  <si>
    <r>
      <t xml:space="preserve"> File → Options → Trust Center → Trust Center Settings → Macro Settings → </t>
    </r>
    <r>
      <rPr>
        <b/>
        <sz val="14"/>
        <color theme="1"/>
        <rFont val="Calibri"/>
        <family val="2"/>
        <scheme val="minor"/>
      </rPr>
      <t>Tíck chọn</t>
    </r>
    <r>
      <rPr>
        <b/>
        <sz val="14"/>
        <color rgb="FFFF0000"/>
        <rFont val="Calibri"/>
        <family val="2"/>
        <scheme val="minor"/>
      </rPr>
      <t xml:space="preserve"> ”Enable ….. Và Trust access…"→ OK</t>
    </r>
  </si>
  <si>
    <t>Nếu up file bị văng ra thì bạn nên tải lại file và up file trước rồi nhập thông tin sau</t>
  </si>
  <si>
    <t>Nếu bấm chạy không được thì làm theo 02 dòng đỏ bên dưới và cày đặt máy theo hướng dẫn trên link</t>
  </si>
  <si>
    <t xml:space="preserve">Nhập số G2 xong ô H2 hiện " REF" là ok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</si>
</sst>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_-;\-* #,##0.00_-;_-* &quot;-&quot;_-;_-@_-"/>
    <numFmt numFmtId="168" formatCode="_-* #,##0.0_-;\-* #,##0.0_-;_-* &quot;-&quot;??_-;_-@_-"/>
    <numFmt numFmtId="169" formatCode="dd/mm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rgb="FF00B050"/>
      <name val="Calibri"/>
      <family val="2"/>
      <scheme val="minor"/>
    </font>
    <font>
      <b/>
      <i/>
      <sz val="14"/>
      <color rgb="FF00B0F0"/>
      <name val="Calibri"/>
      <family val="2"/>
      <scheme val="minor"/>
    </font>
    <font>
      <sz val="12"/>
      <color rgb="FF00006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6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5" borderId="0" xfId="0" applyFont="1" applyFill="1"/>
    <xf numFmtId="165" fontId="3" fillId="5" borderId="0" xfId="1" applyNumberFormat="1" applyFont="1" applyFill="1"/>
    <xf numFmtId="165" fontId="3" fillId="5" borderId="0" xfId="2" applyNumberFormat="1" applyFont="1" applyFill="1"/>
    <xf numFmtId="0" fontId="4" fillId="5" borderId="0" xfId="0" applyFont="1" applyFill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43" fontId="0" fillId="0" borderId="0" xfId="1" applyFont="1"/>
    <xf numFmtId="166" fontId="0" fillId="0" borderId="0" xfId="0" applyNumberFormat="1"/>
    <xf numFmtId="43" fontId="0" fillId="0" borderId="0" xfId="1" applyFont="1" applyBorder="1"/>
    <xf numFmtId="43" fontId="2" fillId="3" borderId="1" xfId="1" applyFont="1" applyFill="1" applyBorder="1" applyAlignment="1">
      <alignment horizontal="center" vertical="center" wrapText="1"/>
    </xf>
    <xf numFmtId="166" fontId="0" fillId="0" borderId="1" xfId="0" applyNumberFormat="1" applyBorder="1"/>
    <xf numFmtId="166" fontId="2" fillId="0" borderId="1" xfId="0" applyNumberFormat="1" applyFont="1" applyBorder="1"/>
    <xf numFmtId="166" fontId="0" fillId="0" borderId="0" xfId="1" applyNumberFormat="1" applyFont="1"/>
    <xf numFmtId="14" fontId="3" fillId="5" borderId="0" xfId="0" applyNumberFormat="1" applyFont="1" applyFill="1"/>
    <xf numFmtId="14" fontId="0" fillId="0" borderId="0" xfId="0" applyNumberFormat="1"/>
    <xf numFmtId="0" fontId="2" fillId="0" borderId="1" xfId="0" applyFont="1" applyBorder="1" applyAlignment="1">
      <alignment horizontal="center"/>
    </xf>
    <xf numFmtId="41" fontId="0" fillId="0" borderId="0" xfId="3" applyFont="1"/>
    <xf numFmtId="0" fontId="2" fillId="0" borderId="1" xfId="0" quotePrefix="1" applyFont="1" applyBorder="1"/>
    <xf numFmtId="43" fontId="2" fillId="0" borderId="1" xfId="1" applyFont="1" applyBorder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/>
    <xf numFmtId="0" fontId="5" fillId="0" borderId="0" xfId="0" applyFont="1"/>
    <xf numFmtId="165" fontId="5" fillId="0" borderId="0" xfId="2" applyNumberFormat="1" applyFont="1"/>
    <xf numFmtId="2" fontId="5" fillId="0" borderId="0" xfId="0" applyNumberFormat="1" applyFont="1"/>
    <xf numFmtId="1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7" fontId="3" fillId="5" borderId="0" xfId="3" applyNumberFormat="1" applyFont="1" applyFill="1"/>
    <xf numFmtId="167" fontId="0" fillId="0" borderId="0" xfId="3" applyNumberFormat="1" applyFont="1"/>
    <xf numFmtId="14" fontId="0" fillId="0" borderId="0" xfId="0" applyNumberFormat="1"/>
    <xf numFmtId="1" fontId="0" fillId="0" borderId="0" xfId="3" applyNumberFormat="1" applyFont="1"/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/>
    <xf numFmtId="43" fontId="2" fillId="3" borderId="3" xfId="1" applyFont="1" applyFill="1" applyBorder="1" applyAlignment="1">
      <alignment horizontal="center" vertical="center" wrapText="1"/>
    </xf>
    <xf numFmtId="43" fontId="2" fillId="3" borderId="0" xfId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/>
    <xf numFmtId="43" fontId="7" fillId="0" borderId="0" xfId="1" applyFont="1" applyBorder="1"/>
    <xf numFmtId="14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166" fontId="0" fillId="0" borderId="1" xfId="1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43" fontId="2" fillId="4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10" fillId="0" borderId="0" xfId="0" applyFont="1"/>
    <xf numFmtId="0" fontId="6" fillId="0" borderId="0" xfId="0" quotePrefix="1" applyFont="1"/>
    <xf numFmtId="0" fontId="11" fillId="0" borderId="0" xfId="0" quotePrefix="1" applyFont="1"/>
    <xf numFmtId="0" fontId="12" fillId="0" borderId="0" xfId="0" applyFont="1"/>
    <xf numFmtId="168" fontId="0" fillId="0" borderId="1" xfId="1" applyNumberFormat="1" applyFont="1" applyBorder="1"/>
    <xf numFmtId="0" fontId="6" fillId="0" borderId="0" xfId="0" applyFont="1" applyAlignment="1">
      <alignment vertical="top" wrapText="1"/>
    </xf>
    <xf numFmtId="0" fontId="2" fillId="2" borderId="0" xfId="0" applyFont="1" applyFill="1" applyAlignment="1">
      <alignment horizontal="center"/>
    </xf>
    <xf numFmtId="169" fontId="0" fillId="0" borderId="0" xfId="0" applyNumberFormat="1"/>
    <xf numFmtId="0" fontId="2" fillId="6" borderId="1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 applyFill="1"/>
    <xf numFmtId="0" fontId="6" fillId="0" borderId="4" xfId="0" applyFont="1" applyBorder="1" applyAlignment="1">
      <alignment horizontal="center" vertical="top" wrapText="1"/>
    </xf>
  </cellXfs>
  <cellStyles count="4">
    <cellStyle name="Comma" xfId="1" builtinId="3"/>
    <cellStyle name="Comma [0]" xfId="3" builtinId="6"/>
    <cellStyle name="Comma 2" xfId="2"/>
    <cellStyle name="Normal" xfId="0" builtinId="0"/>
  </cellStyles>
  <dxfs count="0"/>
  <tableStyles count="0" defaultTableStyle="TableStyleMedium2" defaultPivotStyle="PivotStyleLight16"/>
  <colors>
    <mruColors>
      <color rgb="FF000066"/>
      <color rgb="FFF5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3" name="TextBox 2"/>
        <xdr:cNvSpPr txBox="1"/>
      </xdr:nvSpPr>
      <xdr:spPr>
        <a:xfrm>
          <a:off x="8032376" y="25863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4" name="TextBox 3"/>
        <xdr:cNvSpPr txBox="1"/>
      </xdr:nvSpPr>
      <xdr:spPr>
        <a:xfrm>
          <a:off x="8032376" y="22635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324969</xdr:colOff>
      <xdr:row>2</xdr:row>
      <xdr:rowOff>168088</xdr:rowOff>
    </xdr:from>
    <xdr:to>
      <xdr:col>3</xdr:col>
      <xdr:colOff>829234</xdr:colOff>
      <xdr:row>12</xdr:row>
      <xdr:rowOff>92449</xdr:rowOff>
    </xdr:to>
    <xdr:pic macro="[0]!Module3.CapNhatToanBo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801469" y="907676"/>
          <a:ext cx="1759324" cy="1759324"/>
        </a:xfrm>
        <a:prstGeom prst="rect">
          <a:avLst/>
        </a:prstGeom>
      </xdr:spPr>
    </xdr:pic>
    <xdr:clientData/>
  </xdr:twoCellAnchor>
  <xdr:twoCellAnchor>
    <xdr:from>
      <xdr:col>0</xdr:col>
      <xdr:colOff>930090</xdr:colOff>
      <xdr:row>4</xdr:row>
      <xdr:rowOff>153395</xdr:rowOff>
    </xdr:from>
    <xdr:to>
      <xdr:col>2</xdr:col>
      <xdr:colOff>145677</xdr:colOff>
      <xdr:row>11</xdr:row>
      <xdr:rowOff>112059</xdr:rowOff>
    </xdr:to>
    <xdr:grpSp>
      <xdr:nvGrpSpPr>
        <xdr:cNvPr id="13" name="Group 12"/>
        <xdr:cNvGrpSpPr/>
      </xdr:nvGrpSpPr>
      <xdr:grpSpPr>
        <a:xfrm>
          <a:off x="930090" y="1312053"/>
          <a:ext cx="1679039" cy="1273896"/>
          <a:chOff x="717178" y="1568825"/>
          <a:chExt cx="2296498" cy="1647263"/>
        </a:xfrm>
      </xdr:grpSpPr>
      <xdr:pic macro="[0]!Upload_To_Saokethe_Safe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640193">
            <a:off x="2558413" y="1966868"/>
            <a:ext cx="455263" cy="455263"/>
          </a:xfrm>
          <a:prstGeom prst="rect">
            <a:avLst/>
          </a:prstGeom>
        </xdr:spPr>
      </xdr:pic>
      <xdr:pic macro="[0]!Upload_To_Saokethe_Safe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7178" y="1568825"/>
            <a:ext cx="1647263" cy="164726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9"/>
  <sheetViews>
    <sheetView zoomScale="70" zoomScaleNormal="100" workbookViewId="0">
      <selection activeCell="D15" sqref="D15"/>
    </sheetView>
  </sheetViews>
  <sheetFormatPr defaultRowHeight="14.4" x14ac:dyDescent="0.3"/>
  <cols>
    <col min="1" max="1" width="15.44140625" customWidth="1"/>
    <col min="2" max="2" width="21.109375" customWidth="1"/>
    <col min="3" max="3" width="18.5546875" customWidth="1"/>
    <col min="4" max="4" width="30.6640625" customWidth="1"/>
    <col min="5" max="5" width="20.6640625" style="9" customWidth="1"/>
    <col min="6" max="6" width="16.88671875" style="9" customWidth="1"/>
    <col min="7" max="10" width="15.44140625" style="9" customWidth="1"/>
    <col min="11" max="11" width="18.44140625" customWidth="1"/>
    <col min="12" max="12" width="27.109375" customWidth="1"/>
    <col min="13" max="13" width="9.109375" hidden="1" customWidth="1"/>
    <col min="14" max="14" width="15.44140625" hidden="1" customWidth="1"/>
    <col min="15" max="19" width="8.88671875" hidden="1" customWidth="1"/>
    <col min="20" max="20" width="8.88671875" customWidth="1"/>
    <col min="21" max="21" width="10.5546875" bestFit="1" customWidth="1"/>
  </cols>
  <sheetData>
    <row r="1" spans="1:21" x14ac:dyDescent="0.3">
      <c r="A1" s="59" t="s">
        <v>45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2" spans="1:21" x14ac:dyDescent="0.3">
      <c r="B2" s="52"/>
    </row>
    <row r="3" spans="1:21" x14ac:dyDescent="0.3">
      <c r="A3" s="22" t="s">
        <v>0</v>
      </c>
      <c r="B3" s="30"/>
      <c r="D3" s="9"/>
      <c r="F3" s="11"/>
      <c r="G3" s="11"/>
      <c r="H3" s="11"/>
      <c r="I3" s="11"/>
      <c r="J3" s="11"/>
      <c r="K3" s="11"/>
    </row>
    <row r="4" spans="1:21" x14ac:dyDescent="0.3">
      <c r="A4" s="22" t="s">
        <v>1</v>
      </c>
      <c r="B4" s="18"/>
      <c r="D4" s="2" t="s">
        <v>24</v>
      </c>
      <c r="E4" s="14">
        <f>SUM(E12:E150)</f>
        <v>0</v>
      </c>
      <c r="F4" s="11"/>
      <c r="J4"/>
      <c r="K4" s="11"/>
    </row>
    <row r="5" spans="1:21" x14ac:dyDescent="0.3">
      <c r="A5" s="22" t="s">
        <v>2</v>
      </c>
      <c r="B5" s="31"/>
      <c r="D5" s="20" t="s">
        <v>26</v>
      </c>
      <c r="E5" s="13">
        <f>ROUND(SUM(F12:F150),0)</f>
        <v>0</v>
      </c>
      <c r="F5" s="11"/>
      <c r="G5" s="21" t="s">
        <v>19</v>
      </c>
      <c r="H5" s="37">
        <f>H6+H7</f>
        <v>0</v>
      </c>
      <c r="I5"/>
      <c r="J5"/>
      <c r="K5" s="42" t="s">
        <v>38</v>
      </c>
    </row>
    <row r="6" spans="1:21" x14ac:dyDescent="0.3">
      <c r="A6" s="36" t="s">
        <v>3</v>
      </c>
      <c r="B6" s="31"/>
      <c r="D6" s="20" t="s">
        <v>46</v>
      </c>
      <c r="E6" s="13">
        <f>ROUND(SUM(H12:H150),0)</f>
        <v>0</v>
      </c>
      <c r="F6" s="11"/>
      <c r="G6" s="21" t="s">
        <v>5</v>
      </c>
      <c r="H6" s="37">
        <f>ROUND(E8-E5,0)</f>
        <v>0</v>
      </c>
      <c r="I6"/>
      <c r="J6"/>
      <c r="K6" s="42" t="s">
        <v>39</v>
      </c>
    </row>
    <row r="7" spans="1:21" x14ac:dyDescent="0.3">
      <c r="A7" s="36" t="s">
        <v>4</v>
      </c>
      <c r="B7" s="30"/>
      <c r="D7" s="20" t="s">
        <v>47</v>
      </c>
      <c r="E7" s="57">
        <f>SUM(G12:G150)</f>
        <v>0</v>
      </c>
      <c r="G7" s="21" t="s">
        <v>6</v>
      </c>
      <c r="H7" s="37">
        <f>ROUND(SUM(K12:K150)+SUM(J12:J150)-SUM(H12:H150),0)</f>
        <v>0</v>
      </c>
      <c r="I7"/>
      <c r="J7"/>
      <c r="K7" s="42" t="s">
        <v>40</v>
      </c>
    </row>
    <row r="8" spans="1:21" x14ac:dyDescent="0.3">
      <c r="A8" s="36" t="s">
        <v>37</v>
      </c>
      <c r="B8" s="31"/>
      <c r="D8" s="2" t="s">
        <v>25</v>
      </c>
      <c r="E8" s="14">
        <f>SUM(D12:D150)</f>
        <v>0</v>
      </c>
      <c r="F8"/>
      <c r="K8" s="11"/>
      <c r="L8" s="11"/>
    </row>
    <row r="9" spans="1:21" x14ac:dyDescent="0.3">
      <c r="K9" s="11"/>
      <c r="L9" s="11"/>
    </row>
    <row r="11" spans="1:21" ht="50.25" customHeight="1" x14ac:dyDescent="0.3">
      <c r="A11" s="1" t="s">
        <v>8</v>
      </c>
      <c r="B11" s="1" t="s">
        <v>9</v>
      </c>
      <c r="C11" s="1" t="s">
        <v>10</v>
      </c>
      <c r="D11" s="1" t="s">
        <v>35</v>
      </c>
      <c r="E11" s="12" t="s">
        <v>23</v>
      </c>
      <c r="F11" s="49" t="s">
        <v>20</v>
      </c>
      <c r="G11" s="49" t="s">
        <v>21</v>
      </c>
      <c r="H11" s="49" t="s">
        <v>22</v>
      </c>
      <c r="I11" s="12" t="s">
        <v>34</v>
      </c>
      <c r="J11" s="12" t="s">
        <v>33</v>
      </c>
      <c r="K11" s="1" t="s">
        <v>12</v>
      </c>
      <c r="L11" s="1" t="s">
        <v>11</v>
      </c>
      <c r="M11" s="38" t="s">
        <v>41</v>
      </c>
      <c r="N11" s="39" t="s">
        <v>42</v>
      </c>
    </row>
    <row r="12" spans="1:21" x14ac:dyDescent="0.3">
      <c r="A12" s="43"/>
      <c r="B12" s="43"/>
      <c r="C12" s="44"/>
      <c r="D12" s="45">
        <v>0</v>
      </c>
      <c r="E12" s="45">
        <v>0</v>
      </c>
      <c r="F12" s="45">
        <f>E12-G12-H12</f>
        <v>0</v>
      </c>
      <c r="G12" s="45">
        <v>0</v>
      </c>
      <c r="H12" s="45"/>
      <c r="I12" s="45">
        <v>0</v>
      </c>
      <c r="J12" s="45">
        <v>0</v>
      </c>
      <c r="K12" s="45">
        <v>0</v>
      </c>
      <c r="L12" s="46">
        <f>C12+J12+K12-H12-F12+D12</f>
        <v>0</v>
      </c>
      <c r="M12" s="47">
        <v>0</v>
      </c>
      <c r="N12" s="47">
        <v>0</v>
      </c>
      <c r="O12" s="48" t="s">
        <v>54</v>
      </c>
      <c r="P12" s="48" t="s">
        <v>55</v>
      </c>
      <c r="Q12" s="48" t="s">
        <v>56</v>
      </c>
      <c r="R12" s="48" t="s">
        <v>57</v>
      </c>
      <c r="S12" s="48" t="s">
        <v>58</v>
      </c>
      <c r="T12" s="48"/>
    </row>
    <row r="13" spans="1:21" x14ac:dyDescent="0.3">
      <c r="A13" s="43"/>
      <c r="B13" s="43"/>
      <c r="C13" s="46">
        <f>L12</f>
        <v>0</v>
      </c>
      <c r="D13" s="45">
        <v>0</v>
      </c>
      <c r="E13" s="45">
        <v>0</v>
      </c>
      <c r="F13" s="45">
        <f t="shared" ref="F13:F76" si="0">E13-G13-H13</f>
        <v>0</v>
      </c>
      <c r="G13" s="45">
        <v>0</v>
      </c>
      <c r="H13" s="45"/>
      <c r="I13" s="45">
        <v>0</v>
      </c>
      <c r="J13" s="45">
        <v>0</v>
      </c>
      <c r="K13" s="45">
        <v>0</v>
      </c>
      <c r="L13" s="46">
        <f t="shared" ref="L13:L76" si="1">C13+J13+K13-H13-F13+D13</f>
        <v>0</v>
      </c>
      <c r="M13" s="47">
        <v>0</v>
      </c>
      <c r="N13" s="47">
        <v>0</v>
      </c>
      <c r="O13" s="48" t="s">
        <v>62</v>
      </c>
      <c r="P13" s="48" t="s">
        <v>63</v>
      </c>
      <c r="Q13" s="48" t="s">
        <v>64</v>
      </c>
      <c r="R13" s="48" t="s">
        <v>65</v>
      </c>
      <c r="S13" s="48" t="s">
        <v>66</v>
      </c>
      <c r="T13" s="48"/>
    </row>
    <row r="14" spans="1:21" x14ac:dyDescent="0.3">
      <c r="A14" s="43"/>
      <c r="B14" s="43"/>
      <c r="C14" s="46">
        <f t="shared" ref="C14:C77" si="2">L13</f>
        <v>0</v>
      </c>
      <c r="D14" s="45">
        <v>0</v>
      </c>
      <c r="E14" s="45">
        <v>0</v>
      </c>
      <c r="F14" s="45">
        <f t="shared" si="0"/>
        <v>0</v>
      </c>
      <c r="G14" s="45">
        <v>0</v>
      </c>
      <c r="H14" s="45"/>
      <c r="I14" s="45">
        <v>0</v>
      </c>
      <c r="J14" s="45">
        <v>0</v>
      </c>
      <c r="K14" s="45">
        <v>0</v>
      </c>
      <c r="L14" s="46">
        <f t="shared" si="1"/>
        <v>0</v>
      </c>
      <c r="M14" s="47">
        <v>0</v>
      </c>
      <c r="N14" s="47">
        <v>0</v>
      </c>
      <c r="O14" s="48" t="s">
        <v>67</v>
      </c>
      <c r="P14" s="48" t="s">
        <v>68</v>
      </c>
      <c r="Q14" s="48" t="s">
        <v>69</v>
      </c>
      <c r="R14" s="48" t="s">
        <v>70</v>
      </c>
      <c r="S14" s="48" t="s">
        <v>71</v>
      </c>
      <c r="T14" s="48"/>
      <c r="U14" s="10"/>
    </row>
    <row r="15" spans="1:21" x14ac:dyDescent="0.3">
      <c r="A15" s="43"/>
      <c r="B15" s="43"/>
      <c r="C15" s="46">
        <f t="shared" si="2"/>
        <v>0</v>
      </c>
      <c r="D15" s="45">
        <v>0</v>
      </c>
      <c r="E15" s="45">
        <v>0</v>
      </c>
      <c r="F15" s="45">
        <f t="shared" si="0"/>
        <v>0</v>
      </c>
      <c r="G15" s="45">
        <v>0</v>
      </c>
      <c r="H15" s="45"/>
      <c r="I15" s="45">
        <v>0</v>
      </c>
      <c r="J15" s="45">
        <v>0</v>
      </c>
      <c r="K15" s="45">
        <v>0</v>
      </c>
      <c r="L15" s="46">
        <f t="shared" si="1"/>
        <v>0</v>
      </c>
      <c r="M15" s="47">
        <v>0</v>
      </c>
      <c r="N15" s="47">
        <v>0</v>
      </c>
      <c r="O15" s="48" t="s">
        <v>72</v>
      </c>
      <c r="P15" s="48" t="s">
        <v>73</v>
      </c>
      <c r="Q15" s="48" t="s">
        <v>74</v>
      </c>
      <c r="R15" s="48" t="s">
        <v>75</v>
      </c>
      <c r="S15" s="48" t="s">
        <v>76</v>
      </c>
      <c r="T15" s="48"/>
      <c r="U15" s="10"/>
    </row>
    <row r="16" spans="1:21" x14ac:dyDescent="0.3">
      <c r="A16" s="43"/>
      <c r="B16" s="43"/>
      <c r="C16" s="46">
        <f t="shared" si="2"/>
        <v>0</v>
      </c>
      <c r="D16" s="45">
        <v>0</v>
      </c>
      <c r="E16" s="45">
        <v>0</v>
      </c>
      <c r="F16" s="45">
        <f t="shared" si="0"/>
        <v>0</v>
      </c>
      <c r="G16" s="45">
        <v>0</v>
      </c>
      <c r="H16" s="45"/>
      <c r="I16" s="45">
        <v>0</v>
      </c>
      <c r="J16" s="45">
        <v>0</v>
      </c>
      <c r="K16" s="45">
        <v>0</v>
      </c>
      <c r="L16" s="46">
        <f t="shared" si="1"/>
        <v>0</v>
      </c>
      <c r="M16" s="47">
        <v>0</v>
      </c>
      <c r="N16" s="47">
        <v>0</v>
      </c>
      <c r="O16" s="48" t="s">
        <v>77</v>
      </c>
      <c r="P16" s="48" t="s">
        <v>78</v>
      </c>
      <c r="Q16" s="48" t="s">
        <v>79</v>
      </c>
      <c r="R16" s="48" t="s">
        <v>80</v>
      </c>
      <c r="S16" s="48" t="s">
        <v>81</v>
      </c>
      <c r="T16" s="48"/>
      <c r="U16" s="10"/>
    </row>
    <row r="17" spans="1:21" ht="15.75" customHeight="1" x14ac:dyDescent="0.3">
      <c r="A17" s="43"/>
      <c r="B17" s="43"/>
      <c r="C17" s="46">
        <f t="shared" si="2"/>
        <v>0</v>
      </c>
      <c r="D17" s="45">
        <v>0</v>
      </c>
      <c r="E17" s="45">
        <v>0</v>
      </c>
      <c r="F17" s="45">
        <f t="shared" si="0"/>
        <v>0</v>
      </c>
      <c r="G17" s="45">
        <v>0</v>
      </c>
      <c r="H17" s="45"/>
      <c r="I17" s="45">
        <v>0</v>
      </c>
      <c r="J17" s="45">
        <v>0</v>
      </c>
      <c r="K17" s="45">
        <v>0</v>
      </c>
      <c r="L17" s="46">
        <f t="shared" si="1"/>
        <v>0</v>
      </c>
      <c r="M17" s="47">
        <v>0</v>
      </c>
      <c r="N17" s="47">
        <v>0</v>
      </c>
      <c r="O17" s="48" t="s">
        <v>82</v>
      </c>
      <c r="P17" s="48" t="s">
        <v>83</v>
      </c>
      <c r="Q17" s="48" t="s">
        <v>84</v>
      </c>
      <c r="R17" s="48" t="s">
        <v>85</v>
      </c>
      <c r="S17" s="48" t="s">
        <v>86</v>
      </c>
      <c r="T17" s="48"/>
      <c r="U17" s="10"/>
    </row>
    <row r="18" spans="1:21" ht="15.75" customHeight="1" x14ac:dyDescent="0.3">
      <c r="A18" s="43"/>
      <c r="B18" s="43"/>
      <c r="C18" s="46">
        <f t="shared" si="2"/>
        <v>0</v>
      </c>
      <c r="D18" s="45">
        <v>0</v>
      </c>
      <c r="E18" s="45">
        <v>0</v>
      </c>
      <c r="F18" s="45">
        <f t="shared" si="0"/>
        <v>0</v>
      </c>
      <c r="G18" s="45">
        <v>0</v>
      </c>
      <c r="H18" s="45"/>
      <c r="I18" s="45">
        <v>0</v>
      </c>
      <c r="J18" s="45">
        <v>0</v>
      </c>
      <c r="K18" s="45">
        <v>0</v>
      </c>
      <c r="L18" s="46">
        <f t="shared" si="1"/>
        <v>0</v>
      </c>
      <c r="M18" s="47">
        <v>0</v>
      </c>
      <c r="N18" s="47">
        <v>0</v>
      </c>
      <c r="O18" s="48" t="s">
        <v>87</v>
      </c>
      <c r="P18" s="48" t="s">
        <v>88</v>
      </c>
      <c r="Q18" s="48" t="s">
        <v>89</v>
      </c>
      <c r="R18" s="48" t="s">
        <v>90</v>
      </c>
      <c r="S18" s="48" t="s">
        <v>91</v>
      </c>
      <c r="T18" s="48"/>
      <c r="U18" s="10"/>
    </row>
    <row r="19" spans="1:21" ht="15.75" customHeight="1" x14ac:dyDescent="0.3">
      <c r="A19" s="43"/>
      <c r="B19" s="43"/>
      <c r="C19" s="46">
        <f t="shared" si="2"/>
        <v>0</v>
      </c>
      <c r="D19" s="45">
        <v>0</v>
      </c>
      <c r="E19" s="45">
        <v>0</v>
      </c>
      <c r="F19" s="45">
        <f t="shared" si="0"/>
        <v>0</v>
      </c>
      <c r="G19" s="45">
        <v>0</v>
      </c>
      <c r="H19" s="45"/>
      <c r="I19" s="45">
        <v>0</v>
      </c>
      <c r="J19" s="45">
        <v>0</v>
      </c>
      <c r="K19" s="45">
        <v>0</v>
      </c>
      <c r="L19" s="46">
        <f t="shared" si="1"/>
        <v>0</v>
      </c>
      <c r="M19" s="47">
        <v>0</v>
      </c>
      <c r="N19" s="47">
        <v>0</v>
      </c>
      <c r="O19" s="48" t="s">
        <v>92</v>
      </c>
      <c r="P19" s="48" t="s">
        <v>93</v>
      </c>
      <c r="Q19" s="48" t="s">
        <v>94</v>
      </c>
      <c r="R19" s="48" t="s">
        <v>95</v>
      </c>
      <c r="S19" s="48" t="s">
        <v>96</v>
      </c>
      <c r="T19" s="48"/>
      <c r="U19" s="10"/>
    </row>
    <row r="20" spans="1:21" ht="15.75" customHeight="1" x14ac:dyDescent="0.3">
      <c r="A20" s="43"/>
      <c r="B20" s="43"/>
      <c r="C20" s="46">
        <f t="shared" si="2"/>
        <v>0</v>
      </c>
      <c r="D20" s="45">
        <v>0</v>
      </c>
      <c r="E20" s="45">
        <v>0</v>
      </c>
      <c r="F20" s="45">
        <f t="shared" si="0"/>
        <v>0</v>
      </c>
      <c r="G20" s="45">
        <v>0</v>
      </c>
      <c r="H20" s="45"/>
      <c r="I20" s="45">
        <v>0</v>
      </c>
      <c r="J20" s="45">
        <v>0</v>
      </c>
      <c r="K20" s="45">
        <v>0</v>
      </c>
      <c r="L20" s="46">
        <f t="shared" si="1"/>
        <v>0</v>
      </c>
      <c r="M20" s="47">
        <v>0</v>
      </c>
      <c r="N20" s="47">
        <v>0</v>
      </c>
      <c r="O20" s="48" t="s">
        <v>97</v>
      </c>
      <c r="P20" s="48" t="s">
        <v>98</v>
      </c>
      <c r="Q20" s="48" t="s">
        <v>99</v>
      </c>
      <c r="R20" s="48" t="s">
        <v>100</v>
      </c>
      <c r="S20" s="48" t="s">
        <v>101</v>
      </c>
      <c r="T20" s="48"/>
      <c r="U20" s="10"/>
    </row>
    <row r="21" spans="1:21" ht="15.75" customHeight="1" x14ac:dyDescent="0.3">
      <c r="A21" s="43"/>
      <c r="B21" s="43"/>
      <c r="C21" s="46">
        <f t="shared" si="2"/>
        <v>0</v>
      </c>
      <c r="D21" s="45">
        <v>0</v>
      </c>
      <c r="E21" s="45">
        <v>0</v>
      </c>
      <c r="F21" s="45">
        <f t="shared" si="0"/>
        <v>0</v>
      </c>
      <c r="G21" s="45">
        <v>0</v>
      </c>
      <c r="H21" s="45"/>
      <c r="I21" s="45">
        <v>0</v>
      </c>
      <c r="J21" s="45">
        <v>0</v>
      </c>
      <c r="K21" s="45">
        <v>0</v>
      </c>
      <c r="L21" s="46">
        <f t="shared" si="1"/>
        <v>0</v>
      </c>
      <c r="M21" s="47">
        <v>0</v>
      </c>
      <c r="N21" s="47">
        <v>0</v>
      </c>
      <c r="O21" s="48" t="s">
        <v>102</v>
      </c>
      <c r="P21" s="48" t="s">
        <v>103</v>
      </c>
      <c r="Q21" s="48" t="s">
        <v>104</v>
      </c>
      <c r="R21" s="48" t="s">
        <v>105</v>
      </c>
      <c r="S21" s="48" t="s">
        <v>106</v>
      </c>
      <c r="T21" s="48"/>
    </row>
    <row r="22" spans="1:21" x14ac:dyDescent="0.3">
      <c r="A22" s="43"/>
      <c r="B22" s="43"/>
      <c r="C22" s="46">
        <f t="shared" si="2"/>
        <v>0</v>
      </c>
      <c r="D22" s="45">
        <v>0</v>
      </c>
      <c r="E22" s="45">
        <v>0</v>
      </c>
      <c r="F22" s="45">
        <f t="shared" si="0"/>
        <v>0</v>
      </c>
      <c r="G22" s="45">
        <v>0</v>
      </c>
      <c r="H22" s="45"/>
      <c r="I22" s="45">
        <v>0</v>
      </c>
      <c r="J22" s="45">
        <v>0</v>
      </c>
      <c r="K22" s="45">
        <v>0</v>
      </c>
      <c r="L22" s="46">
        <f t="shared" si="1"/>
        <v>0</v>
      </c>
      <c r="M22" s="47">
        <v>0</v>
      </c>
      <c r="N22" s="47">
        <v>0</v>
      </c>
      <c r="O22" s="48" t="s">
        <v>107</v>
      </c>
      <c r="P22" s="48" t="s">
        <v>108</v>
      </c>
      <c r="Q22" s="48" t="s">
        <v>109</v>
      </c>
      <c r="R22" s="48" t="s">
        <v>110</v>
      </c>
      <c r="S22" s="48" t="s">
        <v>111</v>
      </c>
      <c r="T22" s="48"/>
    </row>
    <row r="23" spans="1:21" x14ac:dyDescent="0.3">
      <c r="A23" s="43"/>
      <c r="B23" s="43"/>
      <c r="C23" s="46">
        <f t="shared" si="2"/>
        <v>0</v>
      </c>
      <c r="D23" s="45">
        <v>0</v>
      </c>
      <c r="E23" s="45">
        <v>0</v>
      </c>
      <c r="F23" s="45">
        <f t="shared" si="0"/>
        <v>0</v>
      </c>
      <c r="G23" s="45">
        <v>0</v>
      </c>
      <c r="H23" s="45"/>
      <c r="I23" s="45">
        <v>0</v>
      </c>
      <c r="J23" s="45">
        <v>0</v>
      </c>
      <c r="K23" s="45">
        <v>0</v>
      </c>
      <c r="L23" s="46">
        <f t="shared" si="1"/>
        <v>0</v>
      </c>
      <c r="M23" s="47">
        <v>0</v>
      </c>
      <c r="N23" s="47">
        <v>0</v>
      </c>
      <c r="O23" s="48" t="s">
        <v>112</v>
      </c>
      <c r="P23" s="48" t="s">
        <v>113</v>
      </c>
      <c r="Q23" s="48" t="s">
        <v>114</v>
      </c>
      <c r="R23" s="48" t="s">
        <v>115</v>
      </c>
      <c r="S23" s="48" t="s">
        <v>116</v>
      </c>
      <c r="T23" s="48"/>
    </row>
    <row r="24" spans="1:21" x14ac:dyDescent="0.3">
      <c r="A24" s="43"/>
      <c r="B24" s="43"/>
      <c r="C24" s="46">
        <f t="shared" si="2"/>
        <v>0</v>
      </c>
      <c r="D24" s="45">
        <v>0</v>
      </c>
      <c r="E24" s="45">
        <v>0</v>
      </c>
      <c r="F24" s="45">
        <f t="shared" si="0"/>
        <v>0</v>
      </c>
      <c r="G24" s="45">
        <v>0</v>
      </c>
      <c r="H24" s="45"/>
      <c r="I24" s="45">
        <v>0</v>
      </c>
      <c r="J24" s="45">
        <v>0</v>
      </c>
      <c r="K24" s="45">
        <v>0</v>
      </c>
      <c r="L24" s="46">
        <f t="shared" si="1"/>
        <v>0</v>
      </c>
      <c r="M24" s="47">
        <v>0</v>
      </c>
      <c r="N24" s="47">
        <v>0</v>
      </c>
      <c r="O24" s="48" t="s">
        <v>117</v>
      </c>
      <c r="P24" s="48" t="s">
        <v>118</v>
      </c>
      <c r="Q24" s="48" t="s">
        <v>119</v>
      </c>
      <c r="R24" s="48" t="s">
        <v>120</v>
      </c>
      <c r="S24" s="48" t="s">
        <v>121</v>
      </c>
      <c r="T24" s="48"/>
    </row>
    <row r="25" spans="1:21" x14ac:dyDescent="0.3">
      <c r="A25" s="43"/>
      <c r="B25" s="43"/>
      <c r="C25" s="46">
        <f t="shared" si="2"/>
        <v>0</v>
      </c>
      <c r="D25" s="45">
        <v>0</v>
      </c>
      <c r="E25" s="45">
        <v>0</v>
      </c>
      <c r="F25" s="45">
        <f t="shared" si="0"/>
        <v>0</v>
      </c>
      <c r="G25" s="45">
        <v>0</v>
      </c>
      <c r="H25" s="45"/>
      <c r="I25" s="45">
        <v>0</v>
      </c>
      <c r="J25" s="45">
        <v>0</v>
      </c>
      <c r="K25" s="45">
        <v>0</v>
      </c>
      <c r="L25" s="46">
        <f t="shared" si="1"/>
        <v>0</v>
      </c>
      <c r="M25" s="47">
        <v>0</v>
      </c>
      <c r="N25" s="47">
        <v>0</v>
      </c>
      <c r="O25" s="48" t="s">
        <v>122</v>
      </c>
      <c r="P25" s="48" t="s">
        <v>123</v>
      </c>
      <c r="Q25" s="48" t="s">
        <v>124</v>
      </c>
      <c r="R25" s="48" t="s">
        <v>125</v>
      </c>
      <c r="S25" s="48" t="s">
        <v>126</v>
      </c>
      <c r="T25" s="48"/>
    </row>
    <row r="26" spans="1:21" x14ac:dyDescent="0.3">
      <c r="A26" s="43"/>
      <c r="B26" s="43"/>
      <c r="C26" s="46">
        <f t="shared" si="2"/>
        <v>0</v>
      </c>
      <c r="D26" s="45">
        <v>0</v>
      </c>
      <c r="E26" s="45">
        <v>0</v>
      </c>
      <c r="F26" s="45">
        <f t="shared" si="0"/>
        <v>0</v>
      </c>
      <c r="G26" s="45">
        <v>0</v>
      </c>
      <c r="H26" s="45"/>
      <c r="I26" s="45">
        <v>0</v>
      </c>
      <c r="J26" s="45">
        <v>0</v>
      </c>
      <c r="K26" s="45">
        <v>0</v>
      </c>
      <c r="L26" s="46">
        <f t="shared" si="1"/>
        <v>0</v>
      </c>
      <c r="M26" s="47">
        <v>0</v>
      </c>
      <c r="N26" s="47">
        <v>0</v>
      </c>
      <c r="O26" s="48" t="s">
        <v>127</v>
      </c>
      <c r="P26" s="48" t="s">
        <v>128</v>
      </c>
      <c r="Q26" s="48" t="s">
        <v>129</v>
      </c>
      <c r="R26" s="48" t="s">
        <v>130</v>
      </c>
      <c r="S26" s="48" t="s">
        <v>131</v>
      </c>
      <c r="T26" s="48"/>
    </row>
    <row r="27" spans="1:21" x14ac:dyDescent="0.3">
      <c r="A27" s="43"/>
      <c r="B27" s="43"/>
      <c r="C27" s="46">
        <f t="shared" si="2"/>
        <v>0</v>
      </c>
      <c r="D27" s="45">
        <v>0</v>
      </c>
      <c r="E27" s="45">
        <v>0</v>
      </c>
      <c r="F27" s="45">
        <f t="shared" si="0"/>
        <v>0</v>
      </c>
      <c r="G27" s="45">
        <v>0</v>
      </c>
      <c r="H27" s="45"/>
      <c r="I27" s="45">
        <v>0</v>
      </c>
      <c r="J27" s="45">
        <v>0</v>
      </c>
      <c r="K27" s="45">
        <v>0</v>
      </c>
      <c r="L27" s="46">
        <f t="shared" si="1"/>
        <v>0</v>
      </c>
      <c r="M27" s="47">
        <v>0</v>
      </c>
      <c r="N27" s="47">
        <v>0</v>
      </c>
      <c r="O27" s="48" t="s">
        <v>132</v>
      </c>
      <c r="P27" s="48" t="s">
        <v>133</v>
      </c>
      <c r="Q27" s="48" t="s">
        <v>134</v>
      </c>
      <c r="R27" s="48" t="s">
        <v>135</v>
      </c>
      <c r="S27" s="48" t="s">
        <v>136</v>
      </c>
      <c r="T27" s="48"/>
    </row>
    <row r="28" spans="1:21" x14ac:dyDescent="0.3">
      <c r="A28" s="43"/>
      <c r="B28" s="43"/>
      <c r="C28" s="46">
        <f t="shared" si="2"/>
        <v>0</v>
      </c>
      <c r="D28" s="45">
        <v>0</v>
      </c>
      <c r="E28" s="45">
        <v>0</v>
      </c>
      <c r="F28" s="45">
        <f t="shared" si="0"/>
        <v>0</v>
      </c>
      <c r="G28" s="45">
        <v>0</v>
      </c>
      <c r="H28" s="45"/>
      <c r="I28" s="45">
        <v>0</v>
      </c>
      <c r="J28" s="45">
        <v>0</v>
      </c>
      <c r="K28" s="45">
        <v>0</v>
      </c>
      <c r="L28" s="46">
        <f t="shared" si="1"/>
        <v>0</v>
      </c>
      <c r="M28" s="47">
        <v>0</v>
      </c>
      <c r="N28" s="47">
        <v>0</v>
      </c>
      <c r="O28" s="48" t="s">
        <v>137</v>
      </c>
      <c r="P28" s="48" t="s">
        <v>138</v>
      </c>
      <c r="Q28" s="48" t="s">
        <v>139</v>
      </c>
      <c r="R28" s="48" t="s">
        <v>140</v>
      </c>
      <c r="S28" s="48" t="s">
        <v>141</v>
      </c>
      <c r="T28" s="48"/>
    </row>
    <row r="29" spans="1:21" x14ac:dyDescent="0.3">
      <c r="A29" s="43"/>
      <c r="B29" s="43"/>
      <c r="C29" s="46">
        <f t="shared" si="2"/>
        <v>0</v>
      </c>
      <c r="D29" s="45">
        <v>0</v>
      </c>
      <c r="E29" s="45">
        <v>0</v>
      </c>
      <c r="F29" s="45">
        <f t="shared" si="0"/>
        <v>0</v>
      </c>
      <c r="G29" s="45">
        <v>0</v>
      </c>
      <c r="H29" s="45"/>
      <c r="I29" s="45">
        <v>0</v>
      </c>
      <c r="J29" s="45">
        <v>0</v>
      </c>
      <c r="K29" s="45">
        <v>0</v>
      </c>
      <c r="L29" s="46">
        <f t="shared" si="1"/>
        <v>0</v>
      </c>
      <c r="M29" s="47">
        <v>0</v>
      </c>
      <c r="N29" s="47">
        <v>0</v>
      </c>
      <c r="O29" s="48" t="s">
        <v>142</v>
      </c>
      <c r="P29" s="48" t="s">
        <v>143</v>
      </c>
      <c r="Q29" s="48" t="s">
        <v>144</v>
      </c>
      <c r="R29" s="48" t="s">
        <v>145</v>
      </c>
      <c r="S29" s="48" t="s">
        <v>146</v>
      </c>
      <c r="T29" s="48"/>
    </row>
    <row r="30" spans="1:21" x14ac:dyDescent="0.3">
      <c r="A30" s="43"/>
      <c r="B30" s="43"/>
      <c r="C30" s="46">
        <f t="shared" si="2"/>
        <v>0</v>
      </c>
      <c r="D30" s="45">
        <v>0</v>
      </c>
      <c r="E30" s="45">
        <v>0</v>
      </c>
      <c r="F30" s="45">
        <f t="shared" si="0"/>
        <v>0</v>
      </c>
      <c r="G30" s="45">
        <v>0</v>
      </c>
      <c r="H30" s="45"/>
      <c r="I30" s="45">
        <v>0</v>
      </c>
      <c r="J30" s="45">
        <v>0</v>
      </c>
      <c r="K30" s="45">
        <v>0</v>
      </c>
      <c r="L30" s="46">
        <f t="shared" si="1"/>
        <v>0</v>
      </c>
      <c r="M30" s="47">
        <v>0</v>
      </c>
      <c r="N30" s="47">
        <v>0</v>
      </c>
      <c r="O30" s="48" t="s">
        <v>147</v>
      </c>
      <c r="P30" s="48" t="s">
        <v>148</v>
      </c>
      <c r="Q30" s="48" t="s">
        <v>149</v>
      </c>
      <c r="R30" s="48" t="s">
        <v>150</v>
      </c>
      <c r="S30" s="48" t="s">
        <v>151</v>
      </c>
      <c r="T30" s="48"/>
    </row>
    <row r="31" spans="1:21" x14ac:dyDescent="0.3">
      <c r="A31" s="43"/>
      <c r="B31" s="43"/>
      <c r="C31" s="46">
        <f t="shared" si="2"/>
        <v>0</v>
      </c>
      <c r="D31" s="45">
        <v>0</v>
      </c>
      <c r="E31" s="45">
        <v>0</v>
      </c>
      <c r="F31" s="45">
        <f t="shared" si="0"/>
        <v>0</v>
      </c>
      <c r="G31" s="45">
        <v>0</v>
      </c>
      <c r="H31" s="45"/>
      <c r="I31" s="45">
        <v>0</v>
      </c>
      <c r="J31" s="45">
        <v>0</v>
      </c>
      <c r="K31" s="45">
        <v>0</v>
      </c>
      <c r="L31" s="46">
        <f t="shared" si="1"/>
        <v>0</v>
      </c>
      <c r="M31" s="47">
        <v>0</v>
      </c>
      <c r="N31" s="47">
        <v>0</v>
      </c>
      <c r="O31" s="48" t="s">
        <v>152</v>
      </c>
      <c r="P31" s="48" t="s">
        <v>153</v>
      </c>
      <c r="Q31" s="48" t="s">
        <v>154</v>
      </c>
      <c r="R31" s="48" t="s">
        <v>155</v>
      </c>
      <c r="S31" s="48" t="s">
        <v>156</v>
      </c>
      <c r="T31" s="48"/>
    </row>
    <row r="32" spans="1:21" x14ac:dyDescent="0.3">
      <c r="A32" s="43"/>
      <c r="B32" s="43"/>
      <c r="C32" s="46">
        <f t="shared" si="2"/>
        <v>0</v>
      </c>
      <c r="D32" s="45">
        <v>0</v>
      </c>
      <c r="E32" s="45">
        <v>0</v>
      </c>
      <c r="F32" s="45">
        <f t="shared" si="0"/>
        <v>0</v>
      </c>
      <c r="G32" s="45">
        <v>0</v>
      </c>
      <c r="H32" s="45"/>
      <c r="I32" s="45">
        <v>0</v>
      </c>
      <c r="J32" s="45">
        <v>0</v>
      </c>
      <c r="K32" s="45">
        <v>0</v>
      </c>
      <c r="L32" s="46">
        <f t="shared" si="1"/>
        <v>0</v>
      </c>
      <c r="M32" s="47">
        <v>0</v>
      </c>
      <c r="N32" s="47">
        <v>0</v>
      </c>
      <c r="O32" s="48" t="s">
        <v>157</v>
      </c>
      <c r="P32" s="48" t="s">
        <v>158</v>
      </c>
      <c r="Q32" s="48" t="s">
        <v>159</v>
      </c>
      <c r="R32" s="48" t="s">
        <v>160</v>
      </c>
      <c r="S32" s="48" t="s">
        <v>161</v>
      </c>
      <c r="T32" s="48"/>
    </row>
    <row r="33" spans="1:20" x14ac:dyDescent="0.3">
      <c r="A33" s="43"/>
      <c r="B33" s="43"/>
      <c r="C33" s="46">
        <f t="shared" si="2"/>
        <v>0</v>
      </c>
      <c r="D33" s="45">
        <v>0</v>
      </c>
      <c r="E33" s="45">
        <v>0</v>
      </c>
      <c r="F33" s="45">
        <f t="shared" si="0"/>
        <v>0</v>
      </c>
      <c r="G33" s="45">
        <v>0</v>
      </c>
      <c r="H33" s="45"/>
      <c r="I33" s="45">
        <v>0</v>
      </c>
      <c r="J33" s="45">
        <v>0</v>
      </c>
      <c r="K33" s="45">
        <v>0</v>
      </c>
      <c r="L33" s="46">
        <f t="shared" si="1"/>
        <v>0</v>
      </c>
      <c r="M33" s="47">
        <v>0</v>
      </c>
      <c r="N33" s="47">
        <v>0</v>
      </c>
      <c r="O33" s="48" t="s">
        <v>162</v>
      </c>
      <c r="P33" s="48" t="s">
        <v>163</v>
      </c>
      <c r="Q33" s="48" t="s">
        <v>164</v>
      </c>
      <c r="R33" s="48" t="s">
        <v>165</v>
      </c>
      <c r="S33" s="48" t="s">
        <v>166</v>
      </c>
      <c r="T33" s="48"/>
    </row>
    <row r="34" spans="1:20" x14ac:dyDescent="0.3">
      <c r="A34" s="43"/>
      <c r="B34" s="43"/>
      <c r="C34" s="46">
        <f t="shared" si="2"/>
        <v>0</v>
      </c>
      <c r="D34" s="45">
        <v>0</v>
      </c>
      <c r="E34" s="45">
        <v>0</v>
      </c>
      <c r="F34" s="45">
        <f t="shared" si="0"/>
        <v>0</v>
      </c>
      <c r="G34" s="45">
        <v>0</v>
      </c>
      <c r="H34" s="45"/>
      <c r="I34" s="45">
        <v>0</v>
      </c>
      <c r="J34" s="45">
        <v>0</v>
      </c>
      <c r="K34" s="45">
        <v>0</v>
      </c>
      <c r="L34" s="46">
        <f t="shared" si="1"/>
        <v>0</v>
      </c>
      <c r="M34" s="47">
        <v>0</v>
      </c>
      <c r="N34" s="47">
        <v>0</v>
      </c>
      <c r="O34" s="48" t="s">
        <v>167</v>
      </c>
      <c r="P34" s="48" t="s">
        <v>168</v>
      </c>
      <c r="Q34" s="48" t="s">
        <v>169</v>
      </c>
      <c r="R34" s="48" t="s">
        <v>170</v>
      </c>
      <c r="S34" s="48" t="s">
        <v>171</v>
      </c>
      <c r="T34" s="48"/>
    </row>
    <row r="35" spans="1:20" x14ac:dyDescent="0.3">
      <c r="A35" s="43"/>
      <c r="B35" s="43"/>
      <c r="C35" s="46">
        <f t="shared" si="2"/>
        <v>0</v>
      </c>
      <c r="D35" s="45">
        <v>0</v>
      </c>
      <c r="E35" s="45">
        <v>0</v>
      </c>
      <c r="F35" s="45">
        <f t="shared" si="0"/>
        <v>0</v>
      </c>
      <c r="G35" s="45">
        <v>0</v>
      </c>
      <c r="H35" s="45"/>
      <c r="I35" s="45">
        <v>0</v>
      </c>
      <c r="J35" s="45">
        <v>0</v>
      </c>
      <c r="K35" s="45">
        <v>0</v>
      </c>
      <c r="L35" s="46">
        <f t="shared" si="1"/>
        <v>0</v>
      </c>
      <c r="M35" s="47">
        <v>0</v>
      </c>
      <c r="N35" s="47">
        <v>0</v>
      </c>
      <c r="O35" s="48" t="s">
        <v>172</v>
      </c>
      <c r="P35" s="48" t="s">
        <v>173</v>
      </c>
      <c r="Q35" s="48" t="s">
        <v>174</v>
      </c>
      <c r="R35" s="48" t="s">
        <v>175</v>
      </c>
      <c r="S35" s="48" t="s">
        <v>176</v>
      </c>
      <c r="T35" s="48"/>
    </row>
    <row r="36" spans="1:20" x14ac:dyDescent="0.3">
      <c r="A36" s="43"/>
      <c r="B36" s="43"/>
      <c r="C36" s="46">
        <f t="shared" si="2"/>
        <v>0</v>
      </c>
      <c r="D36" s="45">
        <v>0</v>
      </c>
      <c r="E36" s="45">
        <v>0</v>
      </c>
      <c r="F36" s="45">
        <f t="shared" si="0"/>
        <v>0</v>
      </c>
      <c r="G36" s="45">
        <v>0</v>
      </c>
      <c r="H36" s="45"/>
      <c r="I36" s="45">
        <v>0</v>
      </c>
      <c r="J36" s="45">
        <v>0</v>
      </c>
      <c r="K36" s="45">
        <v>0</v>
      </c>
      <c r="L36" s="46">
        <f t="shared" si="1"/>
        <v>0</v>
      </c>
      <c r="M36" s="47">
        <v>0</v>
      </c>
      <c r="N36" s="47">
        <v>0</v>
      </c>
      <c r="O36" s="48" t="s">
        <v>177</v>
      </c>
      <c r="P36" s="48" t="s">
        <v>178</v>
      </c>
      <c r="Q36" s="48" t="s">
        <v>179</v>
      </c>
      <c r="R36" s="48" t="s">
        <v>180</v>
      </c>
      <c r="S36" s="48" t="s">
        <v>181</v>
      </c>
      <c r="T36" s="48"/>
    </row>
    <row r="37" spans="1:20" x14ac:dyDescent="0.3">
      <c r="A37" s="43"/>
      <c r="B37" s="43"/>
      <c r="C37" s="46">
        <f t="shared" si="2"/>
        <v>0</v>
      </c>
      <c r="D37" s="45">
        <v>0</v>
      </c>
      <c r="E37" s="45">
        <v>0</v>
      </c>
      <c r="F37" s="45">
        <f t="shared" si="0"/>
        <v>0</v>
      </c>
      <c r="G37" s="45">
        <v>0</v>
      </c>
      <c r="H37" s="45"/>
      <c r="I37" s="45">
        <v>0</v>
      </c>
      <c r="J37" s="45">
        <v>0</v>
      </c>
      <c r="K37" s="45">
        <v>0</v>
      </c>
      <c r="L37" s="46">
        <f t="shared" si="1"/>
        <v>0</v>
      </c>
      <c r="M37" s="47">
        <v>0</v>
      </c>
      <c r="N37" s="47">
        <v>0</v>
      </c>
      <c r="O37" s="48" t="s">
        <v>182</v>
      </c>
      <c r="P37" s="48" t="s">
        <v>183</v>
      </c>
      <c r="Q37" s="48" t="s">
        <v>184</v>
      </c>
      <c r="R37" s="48" t="s">
        <v>185</v>
      </c>
      <c r="S37" s="48" t="s">
        <v>186</v>
      </c>
      <c r="T37" s="48"/>
    </row>
    <row r="38" spans="1:20" x14ac:dyDescent="0.3">
      <c r="A38" s="43"/>
      <c r="B38" s="43"/>
      <c r="C38" s="46">
        <f t="shared" si="2"/>
        <v>0</v>
      </c>
      <c r="D38" s="45">
        <v>0</v>
      </c>
      <c r="E38" s="45">
        <v>0</v>
      </c>
      <c r="F38" s="45">
        <f t="shared" si="0"/>
        <v>0</v>
      </c>
      <c r="G38" s="45">
        <v>0</v>
      </c>
      <c r="H38" s="45"/>
      <c r="I38" s="45">
        <v>0</v>
      </c>
      <c r="J38" s="45">
        <v>0</v>
      </c>
      <c r="K38" s="45">
        <v>0</v>
      </c>
      <c r="L38" s="46">
        <f t="shared" si="1"/>
        <v>0</v>
      </c>
      <c r="M38" s="47">
        <v>0</v>
      </c>
      <c r="N38" s="47">
        <v>0</v>
      </c>
      <c r="O38" s="48" t="s">
        <v>187</v>
      </c>
      <c r="P38" s="48" t="s">
        <v>188</v>
      </c>
      <c r="Q38" s="48" t="s">
        <v>189</v>
      </c>
      <c r="R38" s="48" t="s">
        <v>190</v>
      </c>
      <c r="S38" s="48" t="s">
        <v>191</v>
      </c>
      <c r="T38" s="48"/>
    </row>
    <row r="39" spans="1:20" x14ac:dyDescent="0.3">
      <c r="A39" s="43"/>
      <c r="B39" s="43"/>
      <c r="C39" s="46">
        <f t="shared" si="2"/>
        <v>0</v>
      </c>
      <c r="D39" s="45">
        <v>0</v>
      </c>
      <c r="E39" s="45">
        <v>0</v>
      </c>
      <c r="F39" s="45">
        <f t="shared" si="0"/>
        <v>0</v>
      </c>
      <c r="G39" s="45">
        <v>0</v>
      </c>
      <c r="H39" s="45"/>
      <c r="I39" s="45">
        <v>0</v>
      </c>
      <c r="J39" s="45">
        <v>0</v>
      </c>
      <c r="K39" s="45">
        <v>0</v>
      </c>
      <c r="L39" s="46">
        <f t="shared" si="1"/>
        <v>0</v>
      </c>
      <c r="M39" s="47">
        <v>0</v>
      </c>
      <c r="N39" s="47">
        <v>0</v>
      </c>
      <c r="O39" s="48" t="s">
        <v>192</v>
      </c>
      <c r="P39" s="48" t="s">
        <v>193</v>
      </c>
      <c r="Q39" s="48" t="s">
        <v>194</v>
      </c>
      <c r="R39" s="48" t="s">
        <v>195</v>
      </c>
      <c r="S39" s="48" t="s">
        <v>196</v>
      </c>
      <c r="T39" s="48"/>
    </row>
    <row r="40" spans="1:20" x14ac:dyDescent="0.3">
      <c r="A40" s="43"/>
      <c r="B40" s="43"/>
      <c r="C40" s="46">
        <f t="shared" si="2"/>
        <v>0</v>
      </c>
      <c r="D40" s="45">
        <v>0</v>
      </c>
      <c r="E40" s="45">
        <v>0</v>
      </c>
      <c r="F40" s="45">
        <f t="shared" si="0"/>
        <v>0</v>
      </c>
      <c r="G40" s="45">
        <v>0</v>
      </c>
      <c r="H40" s="45"/>
      <c r="I40" s="45">
        <v>0</v>
      </c>
      <c r="J40" s="45">
        <v>0</v>
      </c>
      <c r="K40" s="45">
        <v>0</v>
      </c>
      <c r="L40" s="46">
        <f t="shared" si="1"/>
        <v>0</v>
      </c>
      <c r="M40" s="47">
        <v>0</v>
      </c>
      <c r="N40" s="47">
        <v>0</v>
      </c>
      <c r="O40" s="48" t="s">
        <v>197</v>
      </c>
      <c r="P40" s="48" t="s">
        <v>198</v>
      </c>
      <c r="Q40" s="48" t="s">
        <v>199</v>
      </c>
      <c r="R40" s="48" t="s">
        <v>200</v>
      </c>
      <c r="S40" s="48" t="s">
        <v>201</v>
      </c>
      <c r="T40" s="48"/>
    </row>
    <row r="41" spans="1:20" x14ac:dyDescent="0.3">
      <c r="A41" s="43"/>
      <c r="B41" s="43"/>
      <c r="C41" s="46">
        <f t="shared" si="2"/>
        <v>0</v>
      </c>
      <c r="D41" s="45">
        <v>0</v>
      </c>
      <c r="E41" s="45">
        <v>0</v>
      </c>
      <c r="F41" s="45">
        <f t="shared" si="0"/>
        <v>0</v>
      </c>
      <c r="G41" s="45">
        <v>0</v>
      </c>
      <c r="H41" s="45"/>
      <c r="I41" s="45">
        <v>0</v>
      </c>
      <c r="J41" s="45">
        <v>0</v>
      </c>
      <c r="K41" s="45">
        <v>0</v>
      </c>
      <c r="L41" s="46">
        <f t="shared" si="1"/>
        <v>0</v>
      </c>
      <c r="M41" s="47">
        <v>0</v>
      </c>
      <c r="N41" s="47">
        <v>0</v>
      </c>
      <c r="O41" s="48" t="s">
        <v>202</v>
      </c>
      <c r="P41" s="48" t="s">
        <v>203</v>
      </c>
      <c r="Q41" s="48" t="s">
        <v>204</v>
      </c>
      <c r="R41" s="48" t="s">
        <v>205</v>
      </c>
      <c r="S41" s="48" t="s">
        <v>206</v>
      </c>
      <c r="T41" s="48"/>
    </row>
    <row r="42" spans="1:20" x14ac:dyDescent="0.3">
      <c r="A42" s="43"/>
      <c r="B42" s="43"/>
      <c r="C42" s="46">
        <f t="shared" si="2"/>
        <v>0</v>
      </c>
      <c r="D42" s="45">
        <v>0</v>
      </c>
      <c r="E42" s="45">
        <v>0</v>
      </c>
      <c r="F42" s="45">
        <f t="shared" si="0"/>
        <v>0</v>
      </c>
      <c r="G42" s="45">
        <v>0</v>
      </c>
      <c r="H42" s="45"/>
      <c r="I42" s="45">
        <v>0</v>
      </c>
      <c r="J42" s="45">
        <v>0</v>
      </c>
      <c r="K42" s="45">
        <v>0</v>
      </c>
      <c r="L42" s="46">
        <f t="shared" si="1"/>
        <v>0</v>
      </c>
      <c r="M42" s="47">
        <v>0</v>
      </c>
      <c r="N42" s="47">
        <v>0</v>
      </c>
      <c r="O42" s="48" t="s">
        <v>207</v>
      </c>
      <c r="P42" s="48" t="s">
        <v>208</v>
      </c>
      <c r="Q42" s="48" t="s">
        <v>209</v>
      </c>
      <c r="R42" s="48" t="s">
        <v>210</v>
      </c>
      <c r="S42" s="48" t="s">
        <v>211</v>
      </c>
      <c r="T42" s="48"/>
    </row>
    <row r="43" spans="1:20" x14ac:dyDescent="0.3">
      <c r="A43" s="43"/>
      <c r="B43" s="43"/>
      <c r="C43" s="46">
        <f t="shared" si="2"/>
        <v>0</v>
      </c>
      <c r="D43" s="45">
        <v>0</v>
      </c>
      <c r="E43" s="45">
        <v>0</v>
      </c>
      <c r="F43" s="45">
        <f t="shared" si="0"/>
        <v>0</v>
      </c>
      <c r="G43" s="45">
        <v>0</v>
      </c>
      <c r="H43" s="45"/>
      <c r="I43" s="45">
        <v>0</v>
      </c>
      <c r="J43" s="45">
        <v>0</v>
      </c>
      <c r="K43" s="45">
        <v>0</v>
      </c>
      <c r="L43" s="46">
        <f t="shared" si="1"/>
        <v>0</v>
      </c>
      <c r="M43" s="47">
        <v>0</v>
      </c>
      <c r="N43" s="47">
        <v>0</v>
      </c>
      <c r="O43" s="48" t="s">
        <v>212</v>
      </c>
      <c r="P43" s="48" t="s">
        <v>213</v>
      </c>
      <c r="Q43" s="48" t="s">
        <v>214</v>
      </c>
      <c r="R43" s="48" t="s">
        <v>215</v>
      </c>
      <c r="S43" s="48" t="s">
        <v>216</v>
      </c>
      <c r="T43" s="48"/>
    </row>
    <row r="44" spans="1:20" x14ac:dyDescent="0.3">
      <c r="A44" s="43"/>
      <c r="B44" s="43"/>
      <c r="C44" s="46">
        <f t="shared" si="2"/>
        <v>0</v>
      </c>
      <c r="D44" s="45">
        <v>0</v>
      </c>
      <c r="E44" s="45">
        <v>0</v>
      </c>
      <c r="F44" s="45">
        <f t="shared" si="0"/>
        <v>0</v>
      </c>
      <c r="G44" s="45">
        <v>0</v>
      </c>
      <c r="H44" s="45"/>
      <c r="I44" s="45">
        <v>0</v>
      </c>
      <c r="J44" s="45">
        <v>0</v>
      </c>
      <c r="K44" s="45">
        <v>0</v>
      </c>
      <c r="L44" s="46">
        <f t="shared" si="1"/>
        <v>0</v>
      </c>
      <c r="M44" s="47">
        <v>0</v>
      </c>
      <c r="N44" s="47">
        <v>0</v>
      </c>
      <c r="O44" s="48" t="s">
        <v>217</v>
      </c>
      <c r="P44" s="48" t="s">
        <v>218</v>
      </c>
      <c r="Q44" s="48" t="s">
        <v>219</v>
      </c>
      <c r="R44" s="48" t="s">
        <v>220</v>
      </c>
      <c r="S44" s="48" t="s">
        <v>221</v>
      </c>
      <c r="T44" s="48"/>
    </row>
    <row r="45" spans="1:20" x14ac:dyDescent="0.3">
      <c r="A45" s="43"/>
      <c r="B45" s="43"/>
      <c r="C45" s="46">
        <f t="shared" si="2"/>
        <v>0</v>
      </c>
      <c r="D45" s="45">
        <v>0</v>
      </c>
      <c r="E45" s="45">
        <v>0</v>
      </c>
      <c r="F45" s="45">
        <f t="shared" si="0"/>
        <v>0</v>
      </c>
      <c r="G45" s="45">
        <v>0</v>
      </c>
      <c r="H45" s="45"/>
      <c r="I45" s="45">
        <v>0</v>
      </c>
      <c r="J45" s="45">
        <v>0</v>
      </c>
      <c r="K45" s="45">
        <v>0</v>
      </c>
      <c r="L45" s="46">
        <f t="shared" si="1"/>
        <v>0</v>
      </c>
      <c r="M45" s="47">
        <v>0</v>
      </c>
      <c r="N45" s="47">
        <v>0</v>
      </c>
      <c r="O45" s="48" t="s">
        <v>222</v>
      </c>
      <c r="P45" s="48" t="s">
        <v>223</v>
      </c>
      <c r="Q45" s="48" t="s">
        <v>224</v>
      </c>
      <c r="R45" s="48" t="s">
        <v>225</v>
      </c>
      <c r="S45" s="48" t="s">
        <v>226</v>
      </c>
      <c r="T45" s="48"/>
    </row>
    <row r="46" spans="1:20" x14ac:dyDescent="0.3">
      <c r="A46" s="43"/>
      <c r="B46" s="43"/>
      <c r="C46" s="46">
        <f t="shared" si="2"/>
        <v>0</v>
      </c>
      <c r="D46" s="45">
        <v>0</v>
      </c>
      <c r="E46" s="45">
        <v>0</v>
      </c>
      <c r="F46" s="45">
        <f t="shared" si="0"/>
        <v>0</v>
      </c>
      <c r="G46" s="45">
        <v>0</v>
      </c>
      <c r="H46" s="45"/>
      <c r="I46" s="45">
        <v>0</v>
      </c>
      <c r="J46" s="45">
        <v>0</v>
      </c>
      <c r="K46" s="45">
        <v>0</v>
      </c>
      <c r="L46" s="46">
        <f t="shared" si="1"/>
        <v>0</v>
      </c>
      <c r="M46" s="47">
        <v>0</v>
      </c>
      <c r="N46" s="47">
        <v>0</v>
      </c>
      <c r="O46" s="48" t="s">
        <v>227</v>
      </c>
      <c r="P46" s="48" t="s">
        <v>228</v>
      </c>
      <c r="Q46" s="48" t="s">
        <v>229</v>
      </c>
      <c r="R46" s="48" t="s">
        <v>230</v>
      </c>
      <c r="S46" s="48" t="s">
        <v>231</v>
      </c>
      <c r="T46" s="48"/>
    </row>
    <row r="47" spans="1:20" x14ac:dyDescent="0.3">
      <c r="A47" s="43"/>
      <c r="B47" s="43"/>
      <c r="C47" s="46">
        <f t="shared" si="2"/>
        <v>0</v>
      </c>
      <c r="D47" s="45">
        <v>0</v>
      </c>
      <c r="E47" s="45">
        <v>0</v>
      </c>
      <c r="F47" s="45">
        <f t="shared" si="0"/>
        <v>0</v>
      </c>
      <c r="G47" s="45">
        <v>0</v>
      </c>
      <c r="H47" s="45"/>
      <c r="I47" s="45">
        <v>0</v>
      </c>
      <c r="J47" s="45">
        <v>0</v>
      </c>
      <c r="K47" s="45">
        <v>0</v>
      </c>
      <c r="L47" s="46">
        <f t="shared" si="1"/>
        <v>0</v>
      </c>
      <c r="M47" s="47">
        <v>0</v>
      </c>
      <c r="N47" s="47">
        <v>0</v>
      </c>
      <c r="O47" s="48" t="s">
        <v>232</v>
      </c>
      <c r="P47" s="48" t="s">
        <v>233</v>
      </c>
      <c r="Q47" s="48" t="s">
        <v>234</v>
      </c>
      <c r="R47" s="48" t="s">
        <v>235</v>
      </c>
      <c r="S47" s="48" t="s">
        <v>236</v>
      </c>
      <c r="T47" s="48"/>
    </row>
    <row r="48" spans="1:20" x14ac:dyDescent="0.3">
      <c r="A48" s="43"/>
      <c r="B48" s="43"/>
      <c r="C48" s="46">
        <f t="shared" si="2"/>
        <v>0</v>
      </c>
      <c r="D48" s="45">
        <v>0</v>
      </c>
      <c r="E48" s="45">
        <v>0</v>
      </c>
      <c r="F48" s="45">
        <f t="shared" si="0"/>
        <v>0</v>
      </c>
      <c r="G48" s="45">
        <v>0</v>
      </c>
      <c r="H48" s="45"/>
      <c r="I48" s="45">
        <v>0</v>
      </c>
      <c r="J48" s="45">
        <v>0</v>
      </c>
      <c r="K48" s="45">
        <v>0</v>
      </c>
      <c r="L48" s="46">
        <f t="shared" si="1"/>
        <v>0</v>
      </c>
      <c r="M48" s="47">
        <v>0</v>
      </c>
      <c r="N48" s="47">
        <v>0</v>
      </c>
      <c r="O48" s="48" t="s">
        <v>237</v>
      </c>
      <c r="P48" s="48" t="s">
        <v>238</v>
      </c>
      <c r="Q48" s="48" t="s">
        <v>239</v>
      </c>
      <c r="R48" s="48" t="s">
        <v>240</v>
      </c>
      <c r="S48" s="48" t="s">
        <v>241</v>
      </c>
      <c r="T48" s="48"/>
    </row>
    <row r="49" spans="1:20" x14ac:dyDescent="0.3">
      <c r="A49" s="43"/>
      <c r="B49" s="43"/>
      <c r="C49" s="46">
        <f t="shared" si="2"/>
        <v>0</v>
      </c>
      <c r="D49" s="45">
        <v>0</v>
      </c>
      <c r="E49" s="45">
        <v>0</v>
      </c>
      <c r="F49" s="45">
        <f t="shared" si="0"/>
        <v>0</v>
      </c>
      <c r="G49" s="45">
        <v>0</v>
      </c>
      <c r="H49" s="45"/>
      <c r="I49" s="45">
        <v>0</v>
      </c>
      <c r="J49" s="45">
        <v>0</v>
      </c>
      <c r="K49" s="45">
        <v>0</v>
      </c>
      <c r="L49" s="46">
        <f t="shared" si="1"/>
        <v>0</v>
      </c>
      <c r="M49" s="47">
        <v>0</v>
      </c>
      <c r="N49" s="47">
        <v>0</v>
      </c>
      <c r="O49" s="48" t="s">
        <v>242</v>
      </c>
      <c r="P49" s="48" t="s">
        <v>243</v>
      </c>
      <c r="Q49" s="48" t="s">
        <v>244</v>
      </c>
      <c r="R49" s="48" t="s">
        <v>245</v>
      </c>
      <c r="S49" s="48" t="s">
        <v>246</v>
      </c>
      <c r="T49" s="48"/>
    </row>
    <row r="50" spans="1:20" x14ac:dyDescent="0.3">
      <c r="A50" s="43"/>
      <c r="B50" s="43"/>
      <c r="C50" s="46">
        <f t="shared" si="2"/>
        <v>0</v>
      </c>
      <c r="D50" s="45">
        <v>0</v>
      </c>
      <c r="E50" s="45">
        <v>0</v>
      </c>
      <c r="F50" s="45">
        <f t="shared" si="0"/>
        <v>0</v>
      </c>
      <c r="G50" s="45">
        <v>0</v>
      </c>
      <c r="H50" s="45"/>
      <c r="I50" s="45">
        <v>0</v>
      </c>
      <c r="J50" s="45">
        <v>0</v>
      </c>
      <c r="K50" s="45">
        <v>0</v>
      </c>
      <c r="L50" s="46">
        <f t="shared" si="1"/>
        <v>0</v>
      </c>
      <c r="M50" s="47">
        <v>0</v>
      </c>
      <c r="N50" s="47">
        <v>0</v>
      </c>
      <c r="O50" s="48" t="s">
        <v>247</v>
      </c>
      <c r="P50" s="48" t="s">
        <v>248</v>
      </c>
      <c r="Q50" s="48" t="s">
        <v>249</v>
      </c>
      <c r="R50" s="48" t="s">
        <v>250</v>
      </c>
      <c r="S50" s="48" t="s">
        <v>251</v>
      </c>
      <c r="T50" s="48"/>
    </row>
    <row r="51" spans="1:20" x14ac:dyDescent="0.3">
      <c r="A51" s="43"/>
      <c r="B51" s="43"/>
      <c r="C51" s="46">
        <f t="shared" si="2"/>
        <v>0</v>
      </c>
      <c r="D51" s="45">
        <v>0</v>
      </c>
      <c r="E51" s="45">
        <v>0</v>
      </c>
      <c r="F51" s="45">
        <f t="shared" si="0"/>
        <v>0</v>
      </c>
      <c r="G51" s="45">
        <v>0</v>
      </c>
      <c r="H51" s="45"/>
      <c r="I51" s="45">
        <v>0</v>
      </c>
      <c r="J51" s="45">
        <v>0</v>
      </c>
      <c r="K51" s="45">
        <v>0</v>
      </c>
      <c r="L51" s="46">
        <f t="shared" si="1"/>
        <v>0</v>
      </c>
      <c r="M51" s="47">
        <v>0</v>
      </c>
      <c r="N51" s="47">
        <v>0</v>
      </c>
      <c r="O51" s="48" t="s">
        <v>252</v>
      </c>
      <c r="P51" s="48" t="s">
        <v>253</v>
      </c>
      <c r="Q51" s="48" t="s">
        <v>254</v>
      </c>
      <c r="R51" s="48" t="s">
        <v>255</v>
      </c>
      <c r="S51" s="48" t="s">
        <v>256</v>
      </c>
      <c r="T51" s="48"/>
    </row>
    <row r="52" spans="1:20" x14ac:dyDescent="0.3">
      <c r="A52" s="43"/>
      <c r="B52" s="43"/>
      <c r="C52" s="46">
        <f t="shared" si="2"/>
        <v>0</v>
      </c>
      <c r="D52" s="45">
        <v>0</v>
      </c>
      <c r="E52" s="45">
        <v>0</v>
      </c>
      <c r="F52" s="45">
        <f t="shared" si="0"/>
        <v>0</v>
      </c>
      <c r="G52" s="45">
        <v>0</v>
      </c>
      <c r="H52" s="45"/>
      <c r="I52" s="45">
        <v>0</v>
      </c>
      <c r="J52" s="45">
        <v>0</v>
      </c>
      <c r="K52" s="45">
        <v>0</v>
      </c>
      <c r="L52" s="46">
        <f t="shared" si="1"/>
        <v>0</v>
      </c>
      <c r="M52" s="47">
        <v>0</v>
      </c>
      <c r="N52" s="47">
        <v>0</v>
      </c>
      <c r="O52" s="48" t="s">
        <v>257</v>
      </c>
      <c r="P52" s="48" t="s">
        <v>258</v>
      </c>
      <c r="Q52" s="48" t="s">
        <v>259</v>
      </c>
      <c r="R52" s="48" t="s">
        <v>260</v>
      </c>
      <c r="S52" s="48" t="s">
        <v>261</v>
      </c>
      <c r="T52" s="48"/>
    </row>
    <row r="53" spans="1:20" x14ac:dyDescent="0.3">
      <c r="A53" s="43"/>
      <c r="B53" s="43"/>
      <c r="C53" s="46">
        <f t="shared" si="2"/>
        <v>0</v>
      </c>
      <c r="D53" s="45">
        <v>0</v>
      </c>
      <c r="E53" s="45">
        <v>0</v>
      </c>
      <c r="F53" s="45">
        <f t="shared" si="0"/>
        <v>0</v>
      </c>
      <c r="G53" s="45">
        <v>0</v>
      </c>
      <c r="H53" s="45"/>
      <c r="I53" s="45">
        <v>0</v>
      </c>
      <c r="J53" s="45">
        <v>0</v>
      </c>
      <c r="K53" s="45">
        <v>0</v>
      </c>
      <c r="L53" s="46">
        <f t="shared" si="1"/>
        <v>0</v>
      </c>
      <c r="M53" s="47">
        <v>0</v>
      </c>
      <c r="N53" s="47">
        <v>0</v>
      </c>
      <c r="O53" s="48" t="s">
        <v>262</v>
      </c>
      <c r="P53" s="48" t="s">
        <v>263</v>
      </c>
      <c r="Q53" s="48" t="s">
        <v>264</v>
      </c>
      <c r="R53" s="48" t="s">
        <v>265</v>
      </c>
      <c r="S53" s="48" t="s">
        <v>266</v>
      </c>
      <c r="T53" s="48"/>
    </row>
    <row r="54" spans="1:20" x14ac:dyDescent="0.3">
      <c r="A54" s="43"/>
      <c r="B54" s="43"/>
      <c r="C54" s="46">
        <f t="shared" si="2"/>
        <v>0</v>
      </c>
      <c r="D54" s="45">
        <v>0</v>
      </c>
      <c r="E54" s="45">
        <v>0</v>
      </c>
      <c r="F54" s="45">
        <f t="shared" si="0"/>
        <v>0</v>
      </c>
      <c r="G54" s="45">
        <v>0</v>
      </c>
      <c r="H54" s="45"/>
      <c r="I54" s="45">
        <v>0</v>
      </c>
      <c r="J54" s="45">
        <v>0</v>
      </c>
      <c r="K54" s="45">
        <v>0</v>
      </c>
      <c r="L54" s="46">
        <f t="shared" si="1"/>
        <v>0</v>
      </c>
      <c r="M54" s="47">
        <v>0</v>
      </c>
      <c r="N54" s="47">
        <v>0</v>
      </c>
      <c r="O54" s="48" t="s">
        <v>267</v>
      </c>
      <c r="P54" s="48" t="s">
        <v>268</v>
      </c>
      <c r="Q54" s="48" t="s">
        <v>269</v>
      </c>
      <c r="R54" s="48" t="s">
        <v>270</v>
      </c>
      <c r="S54" s="48" t="s">
        <v>271</v>
      </c>
      <c r="T54" s="48"/>
    </row>
    <row r="55" spans="1:20" x14ac:dyDescent="0.3">
      <c r="A55" s="43"/>
      <c r="B55" s="43"/>
      <c r="C55" s="46">
        <f t="shared" si="2"/>
        <v>0</v>
      </c>
      <c r="D55" s="45">
        <v>0</v>
      </c>
      <c r="E55" s="45">
        <v>0</v>
      </c>
      <c r="F55" s="45">
        <f t="shared" si="0"/>
        <v>0</v>
      </c>
      <c r="G55" s="45">
        <v>0</v>
      </c>
      <c r="H55" s="45"/>
      <c r="I55" s="45">
        <v>0</v>
      </c>
      <c r="J55" s="45">
        <v>0</v>
      </c>
      <c r="K55" s="45">
        <v>0</v>
      </c>
      <c r="L55" s="46">
        <f t="shared" si="1"/>
        <v>0</v>
      </c>
      <c r="M55" s="47">
        <v>0</v>
      </c>
      <c r="N55" s="47">
        <v>0</v>
      </c>
      <c r="O55" s="48" t="s">
        <v>272</v>
      </c>
      <c r="P55" s="48" t="s">
        <v>273</v>
      </c>
      <c r="Q55" s="48" t="s">
        <v>274</v>
      </c>
      <c r="R55" s="48" t="s">
        <v>275</v>
      </c>
      <c r="S55" s="48" t="s">
        <v>276</v>
      </c>
      <c r="T55" s="48"/>
    </row>
    <row r="56" spans="1:20" x14ac:dyDescent="0.3">
      <c r="A56" s="43"/>
      <c r="B56" s="43"/>
      <c r="C56" s="46">
        <f t="shared" si="2"/>
        <v>0</v>
      </c>
      <c r="D56" s="45">
        <v>0</v>
      </c>
      <c r="E56" s="45">
        <v>0</v>
      </c>
      <c r="F56" s="45">
        <f t="shared" si="0"/>
        <v>0</v>
      </c>
      <c r="G56" s="45">
        <v>0</v>
      </c>
      <c r="H56" s="45"/>
      <c r="I56" s="45">
        <v>0</v>
      </c>
      <c r="J56" s="45">
        <v>0</v>
      </c>
      <c r="K56" s="45">
        <v>0</v>
      </c>
      <c r="L56" s="46">
        <f t="shared" si="1"/>
        <v>0</v>
      </c>
      <c r="M56" s="47">
        <v>0</v>
      </c>
      <c r="N56" s="47">
        <v>0</v>
      </c>
      <c r="O56" s="48" t="s">
        <v>277</v>
      </c>
      <c r="P56" s="48" t="s">
        <v>278</v>
      </c>
      <c r="Q56" s="48" t="s">
        <v>279</v>
      </c>
      <c r="R56" s="48" t="s">
        <v>280</v>
      </c>
      <c r="S56" s="48" t="s">
        <v>281</v>
      </c>
      <c r="T56" s="48"/>
    </row>
    <row r="57" spans="1:20" x14ac:dyDescent="0.3">
      <c r="A57" s="43"/>
      <c r="B57" s="43"/>
      <c r="C57" s="46">
        <f t="shared" si="2"/>
        <v>0</v>
      </c>
      <c r="D57" s="45">
        <v>0</v>
      </c>
      <c r="E57" s="45">
        <v>0</v>
      </c>
      <c r="F57" s="45">
        <f t="shared" si="0"/>
        <v>0</v>
      </c>
      <c r="G57" s="45">
        <v>0</v>
      </c>
      <c r="H57" s="45"/>
      <c r="I57" s="45">
        <v>0</v>
      </c>
      <c r="J57" s="45">
        <v>0</v>
      </c>
      <c r="K57" s="45">
        <v>0</v>
      </c>
      <c r="L57" s="46">
        <f t="shared" si="1"/>
        <v>0</v>
      </c>
      <c r="M57" s="47">
        <v>0</v>
      </c>
      <c r="N57" s="47">
        <v>0</v>
      </c>
      <c r="O57" s="48" t="s">
        <v>282</v>
      </c>
      <c r="P57" s="48" t="s">
        <v>283</v>
      </c>
      <c r="Q57" s="48" t="s">
        <v>284</v>
      </c>
      <c r="R57" s="48" t="s">
        <v>285</v>
      </c>
      <c r="S57" s="48" t="s">
        <v>286</v>
      </c>
      <c r="T57" s="48"/>
    </row>
    <row r="58" spans="1:20" x14ac:dyDescent="0.3">
      <c r="A58" s="43"/>
      <c r="B58" s="43"/>
      <c r="C58" s="46">
        <f t="shared" si="2"/>
        <v>0</v>
      </c>
      <c r="D58" s="45">
        <v>0</v>
      </c>
      <c r="E58" s="45">
        <v>0</v>
      </c>
      <c r="F58" s="45">
        <f t="shared" si="0"/>
        <v>0</v>
      </c>
      <c r="G58" s="45">
        <v>0</v>
      </c>
      <c r="H58" s="45"/>
      <c r="I58" s="45">
        <v>0</v>
      </c>
      <c r="J58" s="45">
        <v>0</v>
      </c>
      <c r="K58" s="45">
        <v>0</v>
      </c>
      <c r="L58" s="46">
        <f t="shared" si="1"/>
        <v>0</v>
      </c>
      <c r="M58" s="47">
        <v>0</v>
      </c>
      <c r="N58" s="47">
        <v>0</v>
      </c>
      <c r="O58" s="48" t="s">
        <v>287</v>
      </c>
      <c r="P58" s="48" t="s">
        <v>288</v>
      </c>
      <c r="Q58" s="48" t="s">
        <v>289</v>
      </c>
      <c r="R58" s="48" t="s">
        <v>290</v>
      </c>
      <c r="S58" s="48" t="s">
        <v>291</v>
      </c>
      <c r="T58" s="48"/>
    </row>
    <row r="59" spans="1:20" x14ac:dyDescent="0.3">
      <c r="A59" s="43"/>
      <c r="B59" s="43"/>
      <c r="C59" s="46">
        <f t="shared" si="2"/>
        <v>0</v>
      </c>
      <c r="D59" s="45">
        <v>0</v>
      </c>
      <c r="E59" s="45">
        <v>0</v>
      </c>
      <c r="F59" s="45">
        <f t="shared" si="0"/>
        <v>0</v>
      </c>
      <c r="G59" s="45">
        <v>0</v>
      </c>
      <c r="H59" s="45"/>
      <c r="I59" s="45">
        <v>0</v>
      </c>
      <c r="J59" s="45">
        <v>0</v>
      </c>
      <c r="K59" s="45">
        <v>0</v>
      </c>
      <c r="L59" s="46">
        <f t="shared" si="1"/>
        <v>0</v>
      </c>
      <c r="M59" s="47">
        <v>0</v>
      </c>
      <c r="N59" s="47">
        <v>0</v>
      </c>
      <c r="O59" s="48" t="s">
        <v>292</v>
      </c>
      <c r="P59" s="48" t="s">
        <v>293</v>
      </c>
      <c r="Q59" s="48" t="s">
        <v>294</v>
      </c>
      <c r="R59" s="48" t="s">
        <v>295</v>
      </c>
      <c r="S59" s="48" t="s">
        <v>296</v>
      </c>
      <c r="T59" s="48"/>
    </row>
    <row r="60" spans="1:20" x14ac:dyDescent="0.3">
      <c r="A60" s="43"/>
      <c r="B60" s="43"/>
      <c r="C60" s="46">
        <f t="shared" si="2"/>
        <v>0</v>
      </c>
      <c r="D60" s="45">
        <v>0</v>
      </c>
      <c r="E60" s="45">
        <v>0</v>
      </c>
      <c r="F60" s="45">
        <f t="shared" si="0"/>
        <v>0</v>
      </c>
      <c r="G60" s="45">
        <v>0</v>
      </c>
      <c r="H60" s="45"/>
      <c r="I60" s="45">
        <v>0</v>
      </c>
      <c r="J60" s="45">
        <v>0</v>
      </c>
      <c r="K60" s="45">
        <v>0</v>
      </c>
      <c r="L60" s="46">
        <f t="shared" si="1"/>
        <v>0</v>
      </c>
      <c r="M60" s="47">
        <v>0</v>
      </c>
      <c r="N60" s="47">
        <v>0</v>
      </c>
      <c r="O60" s="48" t="s">
        <v>297</v>
      </c>
      <c r="P60" s="48" t="s">
        <v>298</v>
      </c>
      <c r="Q60" s="48" t="s">
        <v>299</v>
      </c>
      <c r="R60" s="48" t="s">
        <v>300</v>
      </c>
      <c r="S60" s="48" t="s">
        <v>301</v>
      </c>
      <c r="T60" s="48"/>
    </row>
    <row r="61" spans="1:20" x14ac:dyDescent="0.3">
      <c r="A61" s="43"/>
      <c r="B61" s="43"/>
      <c r="C61" s="46">
        <f t="shared" si="2"/>
        <v>0</v>
      </c>
      <c r="D61" s="45">
        <v>0</v>
      </c>
      <c r="E61" s="45">
        <v>0</v>
      </c>
      <c r="F61" s="45">
        <f t="shared" si="0"/>
        <v>0</v>
      </c>
      <c r="G61" s="45">
        <v>0</v>
      </c>
      <c r="H61" s="45"/>
      <c r="I61" s="45">
        <v>0</v>
      </c>
      <c r="J61" s="45">
        <v>0</v>
      </c>
      <c r="K61" s="45">
        <v>0</v>
      </c>
      <c r="L61" s="46">
        <f t="shared" si="1"/>
        <v>0</v>
      </c>
      <c r="M61" s="47">
        <v>0</v>
      </c>
      <c r="N61" s="47">
        <v>0</v>
      </c>
      <c r="O61" s="48" t="s">
        <v>302</v>
      </c>
      <c r="P61" s="48" t="s">
        <v>303</v>
      </c>
      <c r="Q61" s="48" t="s">
        <v>304</v>
      </c>
      <c r="R61" s="48" t="s">
        <v>305</v>
      </c>
      <c r="S61" s="48" t="s">
        <v>306</v>
      </c>
      <c r="T61" s="48"/>
    </row>
    <row r="62" spans="1:20" x14ac:dyDescent="0.3">
      <c r="A62" s="43"/>
      <c r="B62" s="43"/>
      <c r="C62" s="46">
        <f t="shared" si="2"/>
        <v>0</v>
      </c>
      <c r="D62" s="45">
        <v>0</v>
      </c>
      <c r="E62" s="45">
        <v>0</v>
      </c>
      <c r="F62" s="45">
        <f t="shared" si="0"/>
        <v>0</v>
      </c>
      <c r="G62" s="45">
        <v>0</v>
      </c>
      <c r="H62" s="45"/>
      <c r="I62" s="45">
        <v>0</v>
      </c>
      <c r="J62" s="45">
        <v>0</v>
      </c>
      <c r="K62" s="45">
        <v>0</v>
      </c>
      <c r="L62" s="46">
        <f t="shared" si="1"/>
        <v>0</v>
      </c>
      <c r="M62" s="47">
        <v>0</v>
      </c>
      <c r="N62" s="47">
        <v>0</v>
      </c>
      <c r="O62" s="48" t="s">
        <v>307</v>
      </c>
      <c r="P62" s="48" t="s">
        <v>308</v>
      </c>
      <c r="Q62" s="48" t="s">
        <v>309</v>
      </c>
      <c r="R62" s="48" t="s">
        <v>310</v>
      </c>
      <c r="S62" s="48" t="s">
        <v>311</v>
      </c>
      <c r="T62" s="48"/>
    </row>
    <row r="63" spans="1:20" x14ac:dyDescent="0.3">
      <c r="A63" s="43"/>
      <c r="B63" s="43"/>
      <c r="C63" s="46">
        <f t="shared" si="2"/>
        <v>0</v>
      </c>
      <c r="D63" s="45">
        <v>0</v>
      </c>
      <c r="E63" s="45">
        <v>0</v>
      </c>
      <c r="F63" s="45">
        <f t="shared" si="0"/>
        <v>0</v>
      </c>
      <c r="G63" s="45">
        <v>0</v>
      </c>
      <c r="H63" s="45"/>
      <c r="I63" s="45">
        <v>0</v>
      </c>
      <c r="J63" s="45">
        <v>0</v>
      </c>
      <c r="K63" s="45">
        <v>0</v>
      </c>
      <c r="L63" s="46">
        <f t="shared" si="1"/>
        <v>0</v>
      </c>
      <c r="M63" s="47">
        <v>0</v>
      </c>
      <c r="N63" s="47">
        <v>0</v>
      </c>
      <c r="O63" s="48" t="s">
        <v>312</v>
      </c>
      <c r="P63" s="48" t="s">
        <v>313</v>
      </c>
      <c r="Q63" s="48" t="s">
        <v>314</v>
      </c>
      <c r="R63" s="48" t="s">
        <v>315</v>
      </c>
      <c r="S63" s="48" t="s">
        <v>316</v>
      </c>
      <c r="T63" s="48"/>
    </row>
    <row r="64" spans="1:20" x14ac:dyDescent="0.3">
      <c r="A64" s="43"/>
      <c r="B64" s="43"/>
      <c r="C64" s="46">
        <f t="shared" si="2"/>
        <v>0</v>
      </c>
      <c r="D64" s="45">
        <v>0</v>
      </c>
      <c r="E64" s="45">
        <v>0</v>
      </c>
      <c r="F64" s="45">
        <f t="shared" si="0"/>
        <v>0</v>
      </c>
      <c r="G64" s="45">
        <v>0</v>
      </c>
      <c r="H64" s="45"/>
      <c r="I64" s="45">
        <v>0</v>
      </c>
      <c r="J64" s="45">
        <v>0</v>
      </c>
      <c r="K64" s="45">
        <v>0</v>
      </c>
      <c r="L64" s="46">
        <f t="shared" si="1"/>
        <v>0</v>
      </c>
      <c r="M64" s="47">
        <v>0</v>
      </c>
      <c r="N64" s="47">
        <v>0</v>
      </c>
      <c r="O64" s="48" t="s">
        <v>317</v>
      </c>
      <c r="P64" s="48" t="s">
        <v>318</v>
      </c>
      <c r="Q64" s="48" t="s">
        <v>319</v>
      </c>
      <c r="R64" s="48" t="s">
        <v>320</v>
      </c>
      <c r="S64" s="48" t="s">
        <v>321</v>
      </c>
      <c r="T64" s="48"/>
    </row>
    <row r="65" spans="1:20" x14ac:dyDescent="0.3">
      <c r="A65" s="43"/>
      <c r="B65" s="43"/>
      <c r="C65" s="46">
        <f t="shared" si="2"/>
        <v>0</v>
      </c>
      <c r="D65" s="45">
        <v>0</v>
      </c>
      <c r="E65" s="45">
        <v>0</v>
      </c>
      <c r="F65" s="45">
        <f t="shared" si="0"/>
        <v>0</v>
      </c>
      <c r="G65" s="45">
        <v>0</v>
      </c>
      <c r="H65" s="45"/>
      <c r="I65" s="45">
        <v>0</v>
      </c>
      <c r="J65" s="45">
        <v>0</v>
      </c>
      <c r="K65" s="45">
        <v>0</v>
      </c>
      <c r="L65" s="46">
        <f t="shared" si="1"/>
        <v>0</v>
      </c>
      <c r="M65" s="47">
        <v>0</v>
      </c>
      <c r="N65" s="47">
        <v>0</v>
      </c>
      <c r="O65" s="48" t="s">
        <v>322</v>
      </c>
      <c r="P65" s="48" t="s">
        <v>323</v>
      </c>
      <c r="Q65" s="48" t="s">
        <v>324</v>
      </c>
      <c r="R65" s="48" t="s">
        <v>325</v>
      </c>
      <c r="S65" s="48" t="s">
        <v>326</v>
      </c>
      <c r="T65" s="48"/>
    </row>
    <row r="66" spans="1:20" x14ac:dyDescent="0.3">
      <c r="A66" s="43"/>
      <c r="B66" s="43"/>
      <c r="C66" s="46">
        <f t="shared" si="2"/>
        <v>0</v>
      </c>
      <c r="D66" s="45">
        <v>0</v>
      </c>
      <c r="E66" s="45">
        <v>0</v>
      </c>
      <c r="F66" s="45">
        <f t="shared" si="0"/>
        <v>0</v>
      </c>
      <c r="G66" s="45">
        <v>0</v>
      </c>
      <c r="H66" s="45"/>
      <c r="I66" s="45">
        <v>0</v>
      </c>
      <c r="J66" s="45">
        <v>0</v>
      </c>
      <c r="K66" s="45">
        <v>0</v>
      </c>
      <c r="L66" s="46">
        <f t="shared" si="1"/>
        <v>0</v>
      </c>
      <c r="M66" s="47">
        <v>0</v>
      </c>
      <c r="N66" s="47">
        <v>0</v>
      </c>
      <c r="O66" s="48" t="s">
        <v>327</v>
      </c>
      <c r="P66" s="48" t="s">
        <v>328</v>
      </c>
      <c r="Q66" s="48" t="s">
        <v>329</v>
      </c>
      <c r="R66" s="48" t="s">
        <v>330</v>
      </c>
      <c r="S66" s="48" t="s">
        <v>331</v>
      </c>
      <c r="T66" s="48"/>
    </row>
    <row r="67" spans="1:20" x14ac:dyDescent="0.3">
      <c r="A67" s="43"/>
      <c r="B67" s="43"/>
      <c r="C67" s="46">
        <f t="shared" si="2"/>
        <v>0</v>
      </c>
      <c r="D67" s="45">
        <v>0</v>
      </c>
      <c r="E67" s="45">
        <v>0</v>
      </c>
      <c r="F67" s="45">
        <f t="shared" si="0"/>
        <v>0</v>
      </c>
      <c r="G67" s="45">
        <v>0</v>
      </c>
      <c r="H67" s="45"/>
      <c r="I67" s="45">
        <v>0</v>
      </c>
      <c r="J67" s="45">
        <v>0</v>
      </c>
      <c r="K67" s="45">
        <v>0</v>
      </c>
      <c r="L67" s="46">
        <f t="shared" si="1"/>
        <v>0</v>
      </c>
      <c r="M67" s="47">
        <v>0</v>
      </c>
      <c r="N67" s="47">
        <v>0</v>
      </c>
      <c r="O67" s="48" t="s">
        <v>332</v>
      </c>
      <c r="P67" s="48" t="s">
        <v>333</v>
      </c>
      <c r="Q67" s="48" t="s">
        <v>334</v>
      </c>
      <c r="R67" s="48" t="s">
        <v>335</v>
      </c>
      <c r="S67" s="48" t="s">
        <v>336</v>
      </c>
      <c r="T67" s="48"/>
    </row>
    <row r="68" spans="1:20" x14ac:dyDescent="0.3">
      <c r="A68" s="43"/>
      <c r="B68" s="43"/>
      <c r="C68" s="46">
        <f t="shared" si="2"/>
        <v>0</v>
      </c>
      <c r="D68" s="45">
        <v>0</v>
      </c>
      <c r="E68" s="45">
        <v>0</v>
      </c>
      <c r="F68" s="45">
        <f t="shared" si="0"/>
        <v>0</v>
      </c>
      <c r="G68" s="45">
        <v>0</v>
      </c>
      <c r="H68" s="45"/>
      <c r="I68" s="45">
        <v>0</v>
      </c>
      <c r="J68" s="45">
        <v>0</v>
      </c>
      <c r="K68" s="45">
        <v>0</v>
      </c>
      <c r="L68" s="46">
        <f t="shared" si="1"/>
        <v>0</v>
      </c>
      <c r="M68" s="47">
        <v>0</v>
      </c>
      <c r="N68" s="47">
        <v>0</v>
      </c>
      <c r="O68" s="48" t="s">
        <v>337</v>
      </c>
      <c r="P68" s="48" t="s">
        <v>338</v>
      </c>
      <c r="Q68" s="48" t="s">
        <v>339</v>
      </c>
      <c r="R68" s="48" t="s">
        <v>340</v>
      </c>
      <c r="S68" s="48" t="s">
        <v>341</v>
      </c>
      <c r="T68" s="48"/>
    </row>
    <row r="69" spans="1:20" x14ac:dyDescent="0.3">
      <c r="A69" s="43"/>
      <c r="B69" s="43"/>
      <c r="C69" s="46">
        <f t="shared" si="2"/>
        <v>0</v>
      </c>
      <c r="D69" s="45">
        <v>0</v>
      </c>
      <c r="E69" s="45">
        <v>0</v>
      </c>
      <c r="F69" s="45">
        <f t="shared" si="0"/>
        <v>0</v>
      </c>
      <c r="G69" s="45">
        <v>0</v>
      </c>
      <c r="H69" s="45"/>
      <c r="I69" s="45">
        <v>0</v>
      </c>
      <c r="J69" s="45">
        <v>0</v>
      </c>
      <c r="K69" s="45">
        <v>0</v>
      </c>
      <c r="L69" s="46">
        <f t="shared" si="1"/>
        <v>0</v>
      </c>
      <c r="M69" s="47">
        <v>0</v>
      </c>
      <c r="N69" s="47">
        <v>0</v>
      </c>
      <c r="O69" s="48" t="s">
        <v>342</v>
      </c>
      <c r="P69" s="48" t="s">
        <v>343</v>
      </c>
      <c r="Q69" s="48" t="s">
        <v>344</v>
      </c>
      <c r="R69" s="48" t="s">
        <v>345</v>
      </c>
      <c r="S69" s="48" t="s">
        <v>346</v>
      </c>
      <c r="T69" s="48"/>
    </row>
    <row r="70" spans="1:20" x14ac:dyDescent="0.3">
      <c r="A70" s="43"/>
      <c r="B70" s="43"/>
      <c r="C70" s="46">
        <f t="shared" si="2"/>
        <v>0</v>
      </c>
      <c r="D70" s="45">
        <v>0</v>
      </c>
      <c r="E70" s="45">
        <v>0</v>
      </c>
      <c r="F70" s="45">
        <f t="shared" si="0"/>
        <v>0</v>
      </c>
      <c r="G70" s="45">
        <v>0</v>
      </c>
      <c r="H70" s="45"/>
      <c r="I70" s="45">
        <v>0</v>
      </c>
      <c r="J70" s="45">
        <v>0</v>
      </c>
      <c r="K70" s="45">
        <v>0</v>
      </c>
      <c r="L70" s="46">
        <f t="shared" si="1"/>
        <v>0</v>
      </c>
      <c r="M70" s="47">
        <v>0</v>
      </c>
      <c r="N70" s="47">
        <v>0</v>
      </c>
      <c r="O70" s="48" t="s">
        <v>347</v>
      </c>
      <c r="P70" s="48" t="s">
        <v>348</v>
      </c>
      <c r="Q70" s="48" t="s">
        <v>349</v>
      </c>
      <c r="R70" s="48" t="s">
        <v>350</v>
      </c>
      <c r="S70" s="48" t="s">
        <v>351</v>
      </c>
      <c r="T70" s="48"/>
    </row>
    <row r="71" spans="1:20" x14ac:dyDescent="0.3">
      <c r="A71" s="43"/>
      <c r="B71" s="43"/>
      <c r="C71" s="46">
        <f t="shared" si="2"/>
        <v>0</v>
      </c>
      <c r="D71" s="45">
        <v>0</v>
      </c>
      <c r="E71" s="45">
        <v>0</v>
      </c>
      <c r="F71" s="45">
        <f t="shared" si="0"/>
        <v>0</v>
      </c>
      <c r="G71" s="45">
        <v>0</v>
      </c>
      <c r="H71" s="45"/>
      <c r="I71" s="45">
        <v>0</v>
      </c>
      <c r="J71" s="45">
        <v>0</v>
      </c>
      <c r="K71" s="45">
        <v>0</v>
      </c>
      <c r="L71" s="46">
        <f t="shared" si="1"/>
        <v>0</v>
      </c>
      <c r="M71" s="47">
        <v>0</v>
      </c>
      <c r="N71" s="47">
        <v>0</v>
      </c>
      <c r="O71" s="48" t="s">
        <v>352</v>
      </c>
      <c r="P71" s="48" t="s">
        <v>353</v>
      </c>
      <c r="Q71" s="48" t="s">
        <v>354</v>
      </c>
      <c r="R71" s="48" t="s">
        <v>355</v>
      </c>
      <c r="S71" s="48" t="s">
        <v>356</v>
      </c>
      <c r="T71" s="48"/>
    </row>
    <row r="72" spans="1:20" x14ac:dyDescent="0.3">
      <c r="A72" s="43"/>
      <c r="B72" s="43"/>
      <c r="C72" s="46">
        <f t="shared" si="2"/>
        <v>0</v>
      </c>
      <c r="D72" s="45">
        <v>0</v>
      </c>
      <c r="E72" s="45">
        <v>0</v>
      </c>
      <c r="F72" s="45">
        <f t="shared" si="0"/>
        <v>0</v>
      </c>
      <c r="G72" s="45">
        <v>0</v>
      </c>
      <c r="H72" s="45"/>
      <c r="I72" s="45">
        <v>0</v>
      </c>
      <c r="J72" s="45">
        <v>0</v>
      </c>
      <c r="K72" s="45">
        <v>0</v>
      </c>
      <c r="L72" s="46">
        <f t="shared" si="1"/>
        <v>0</v>
      </c>
      <c r="M72" s="47">
        <v>0</v>
      </c>
      <c r="N72" s="47">
        <v>0</v>
      </c>
      <c r="O72" s="48" t="s">
        <v>357</v>
      </c>
      <c r="P72" s="48" t="s">
        <v>358</v>
      </c>
      <c r="Q72" s="48" t="s">
        <v>359</v>
      </c>
      <c r="R72" s="48" t="s">
        <v>360</v>
      </c>
      <c r="S72" s="48" t="s">
        <v>361</v>
      </c>
      <c r="T72" s="48"/>
    </row>
    <row r="73" spans="1:20" x14ac:dyDescent="0.3">
      <c r="A73" s="43"/>
      <c r="B73" s="43"/>
      <c r="C73" s="46">
        <f t="shared" si="2"/>
        <v>0</v>
      </c>
      <c r="D73" s="45">
        <v>0</v>
      </c>
      <c r="E73" s="45">
        <v>0</v>
      </c>
      <c r="F73" s="45">
        <f t="shared" si="0"/>
        <v>0</v>
      </c>
      <c r="G73" s="45">
        <v>0</v>
      </c>
      <c r="H73" s="45"/>
      <c r="I73" s="45">
        <v>0</v>
      </c>
      <c r="J73" s="45">
        <v>0</v>
      </c>
      <c r="K73" s="45">
        <v>0</v>
      </c>
      <c r="L73" s="46">
        <f t="shared" si="1"/>
        <v>0</v>
      </c>
      <c r="M73" s="47">
        <v>0</v>
      </c>
      <c r="N73" s="47">
        <v>0</v>
      </c>
      <c r="O73" s="48" t="s">
        <v>362</v>
      </c>
      <c r="P73" s="48" t="s">
        <v>363</v>
      </c>
      <c r="Q73" s="48" t="s">
        <v>364</v>
      </c>
      <c r="R73" s="48" t="s">
        <v>365</v>
      </c>
      <c r="S73" s="48" t="s">
        <v>366</v>
      </c>
      <c r="T73" s="48"/>
    </row>
    <row r="74" spans="1:20" x14ac:dyDescent="0.3">
      <c r="A74" s="43"/>
      <c r="B74" s="43"/>
      <c r="C74" s="46">
        <f t="shared" si="2"/>
        <v>0</v>
      </c>
      <c r="D74" s="45">
        <v>0</v>
      </c>
      <c r="E74" s="45">
        <v>0</v>
      </c>
      <c r="F74" s="45">
        <f t="shared" si="0"/>
        <v>0</v>
      </c>
      <c r="G74" s="45">
        <v>0</v>
      </c>
      <c r="H74" s="45"/>
      <c r="I74" s="45">
        <v>0</v>
      </c>
      <c r="J74" s="45">
        <v>0</v>
      </c>
      <c r="K74" s="45">
        <v>0</v>
      </c>
      <c r="L74" s="46">
        <f t="shared" si="1"/>
        <v>0</v>
      </c>
      <c r="M74" s="47">
        <v>0</v>
      </c>
      <c r="N74" s="47">
        <v>0</v>
      </c>
      <c r="O74" s="48" t="s">
        <v>367</v>
      </c>
      <c r="P74" s="48" t="s">
        <v>368</v>
      </c>
      <c r="Q74" s="48" t="s">
        <v>369</v>
      </c>
      <c r="R74" s="48" t="s">
        <v>370</v>
      </c>
      <c r="S74" s="48" t="s">
        <v>371</v>
      </c>
      <c r="T74" s="48"/>
    </row>
    <row r="75" spans="1:20" x14ac:dyDescent="0.3">
      <c r="A75" s="43"/>
      <c r="B75" s="43"/>
      <c r="C75" s="46">
        <f t="shared" si="2"/>
        <v>0</v>
      </c>
      <c r="D75" s="45">
        <v>0</v>
      </c>
      <c r="E75" s="45">
        <v>0</v>
      </c>
      <c r="F75" s="45">
        <f t="shared" si="0"/>
        <v>0</v>
      </c>
      <c r="G75" s="45">
        <v>0</v>
      </c>
      <c r="H75" s="45"/>
      <c r="I75" s="45">
        <v>0</v>
      </c>
      <c r="J75" s="45">
        <v>0</v>
      </c>
      <c r="K75" s="45">
        <v>0</v>
      </c>
      <c r="L75" s="46">
        <f t="shared" si="1"/>
        <v>0</v>
      </c>
      <c r="M75" s="47">
        <v>0</v>
      </c>
      <c r="N75" s="47">
        <v>0</v>
      </c>
      <c r="O75" s="48" t="s">
        <v>372</v>
      </c>
      <c r="P75" s="48" t="s">
        <v>373</v>
      </c>
      <c r="Q75" s="48" t="s">
        <v>374</v>
      </c>
      <c r="R75" s="48" t="s">
        <v>375</v>
      </c>
      <c r="S75" s="48" t="s">
        <v>376</v>
      </c>
      <c r="T75" s="48"/>
    </row>
    <row r="76" spans="1:20" x14ac:dyDescent="0.3">
      <c r="A76" s="43"/>
      <c r="B76" s="43"/>
      <c r="C76" s="46">
        <f t="shared" si="2"/>
        <v>0</v>
      </c>
      <c r="D76" s="45">
        <v>0</v>
      </c>
      <c r="E76" s="45">
        <v>0</v>
      </c>
      <c r="F76" s="45">
        <f t="shared" si="0"/>
        <v>0</v>
      </c>
      <c r="G76" s="45">
        <v>0</v>
      </c>
      <c r="H76" s="45"/>
      <c r="I76" s="45">
        <v>0</v>
      </c>
      <c r="J76" s="45">
        <v>0</v>
      </c>
      <c r="K76" s="45">
        <v>0</v>
      </c>
      <c r="L76" s="46">
        <f t="shared" si="1"/>
        <v>0</v>
      </c>
      <c r="M76" s="47">
        <v>0</v>
      </c>
      <c r="N76" s="47">
        <v>0</v>
      </c>
      <c r="O76" s="48" t="s">
        <v>377</v>
      </c>
      <c r="P76" s="48" t="s">
        <v>378</v>
      </c>
      <c r="Q76" s="48" t="s">
        <v>379</v>
      </c>
      <c r="R76" s="48" t="s">
        <v>380</v>
      </c>
      <c r="S76" s="48" t="s">
        <v>381</v>
      </c>
      <c r="T76" s="48"/>
    </row>
    <row r="77" spans="1:20" x14ac:dyDescent="0.3">
      <c r="A77" s="43"/>
      <c r="B77" s="43"/>
      <c r="C77" s="46">
        <f t="shared" si="2"/>
        <v>0</v>
      </c>
      <c r="D77" s="45">
        <v>0</v>
      </c>
      <c r="E77" s="45">
        <v>0</v>
      </c>
      <c r="F77" s="45">
        <f t="shared" ref="F77:F140" si="3">E77-G77-H77</f>
        <v>0</v>
      </c>
      <c r="G77" s="45">
        <v>0</v>
      </c>
      <c r="H77" s="45"/>
      <c r="I77" s="45">
        <v>0</v>
      </c>
      <c r="J77" s="45">
        <v>0</v>
      </c>
      <c r="K77" s="45">
        <v>0</v>
      </c>
      <c r="L77" s="46">
        <f t="shared" ref="L77:L140" si="4">C77+J77+K77-H77-F77+D77</f>
        <v>0</v>
      </c>
      <c r="M77" s="47">
        <v>0</v>
      </c>
      <c r="N77" s="47">
        <v>0</v>
      </c>
      <c r="O77" s="48" t="s">
        <v>382</v>
      </c>
      <c r="P77" s="48" t="s">
        <v>383</v>
      </c>
      <c r="Q77" s="48" t="s">
        <v>384</v>
      </c>
      <c r="R77" s="48" t="s">
        <v>385</v>
      </c>
      <c r="S77" s="48" t="s">
        <v>386</v>
      </c>
      <c r="T77" s="48"/>
    </row>
    <row r="78" spans="1:20" x14ac:dyDescent="0.3">
      <c r="A78" s="43"/>
      <c r="B78" s="43"/>
      <c r="C78" s="46">
        <f t="shared" ref="C78:C141" si="5">L77</f>
        <v>0</v>
      </c>
      <c r="D78" s="45">
        <v>0</v>
      </c>
      <c r="E78" s="45">
        <v>0</v>
      </c>
      <c r="F78" s="45">
        <f t="shared" si="3"/>
        <v>0</v>
      </c>
      <c r="G78" s="45">
        <v>0</v>
      </c>
      <c r="H78" s="45"/>
      <c r="I78" s="45">
        <v>0</v>
      </c>
      <c r="J78" s="45">
        <v>0</v>
      </c>
      <c r="K78" s="45">
        <v>0</v>
      </c>
      <c r="L78" s="46">
        <f t="shared" si="4"/>
        <v>0</v>
      </c>
      <c r="M78" s="47">
        <v>0</v>
      </c>
      <c r="N78" s="47">
        <v>0</v>
      </c>
      <c r="O78" s="48" t="s">
        <v>387</v>
      </c>
      <c r="P78" s="48" t="s">
        <v>388</v>
      </c>
      <c r="Q78" s="48" t="s">
        <v>389</v>
      </c>
      <c r="R78" s="48" t="s">
        <v>390</v>
      </c>
      <c r="S78" s="48" t="s">
        <v>391</v>
      </c>
      <c r="T78" s="48"/>
    </row>
    <row r="79" spans="1:20" x14ac:dyDescent="0.3">
      <c r="A79" s="43"/>
      <c r="B79" s="43"/>
      <c r="C79" s="46">
        <f t="shared" si="5"/>
        <v>0</v>
      </c>
      <c r="D79" s="45">
        <v>0</v>
      </c>
      <c r="E79" s="45">
        <v>0</v>
      </c>
      <c r="F79" s="45">
        <f t="shared" si="3"/>
        <v>0</v>
      </c>
      <c r="G79" s="45">
        <v>0</v>
      </c>
      <c r="H79" s="45"/>
      <c r="I79" s="45">
        <v>0</v>
      </c>
      <c r="J79" s="45">
        <v>0</v>
      </c>
      <c r="K79" s="45">
        <v>0</v>
      </c>
      <c r="L79" s="46">
        <f t="shared" si="4"/>
        <v>0</v>
      </c>
      <c r="M79" s="47">
        <v>0</v>
      </c>
      <c r="N79" s="47">
        <v>0</v>
      </c>
      <c r="O79" s="48" t="s">
        <v>392</v>
      </c>
      <c r="P79" s="48" t="s">
        <v>393</v>
      </c>
      <c r="Q79" s="48" t="s">
        <v>394</v>
      </c>
      <c r="R79" s="48" t="s">
        <v>395</v>
      </c>
      <c r="S79" s="48" t="s">
        <v>396</v>
      </c>
      <c r="T79" s="48"/>
    </row>
    <row r="80" spans="1:20" x14ac:dyDescent="0.3">
      <c r="A80" s="43"/>
      <c r="B80" s="43"/>
      <c r="C80" s="46">
        <f t="shared" si="5"/>
        <v>0</v>
      </c>
      <c r="D80" s="45">
        <v>0</v>
      </c>
      <c r="E80" s="45">
        <v>0</v>
      </c>
      <c r="F80" s="45">
        <f t="shared" si="3"/>
        <v>0</v>
      </c>
      <c r="G80" s="45">
        <v>0</v>
      </c>
      <c r="H80" s="45"/>
      <c r="I80" s="45">
        <v>0</v>
      </c>
      <c r="J80" s="45">
        <v>0</v>
      </c>
      <c r="K80" s="45">
        <v>0</v>
      </c>
      <c r="L80" s="46">
        <f t="shared" si="4"/>
        <v>0</v>
      </c>
      <c r="M80" s="47">
        <v>0</v>
      </c>
      <c r="N80" s="47">
        <v>0</v>
      </c>
      <c r="O80" s="48" t="s">
        <v>397</v>
      </c>
      <c r="P80" s="48" t="s">
        <v>398</v>
      </c>
      <c r="Q80" s="48" t="s">
        <v>399</v>
      </c>
      <c r="R80" s="48" t="s">
        <v>400</v>
      </c>
      <c r="S80" s="48" t="s">
        <v>401</v>
      </c>
      <c r="T80" s="48"/>
    </row>
    <row r="81" spans="1:20" x14ac:dyDescent="0.3">
      <c r="A81" s="43"/>
      <c r="B81" s="43"/>
      <c r="C81" s="46">
        <f t="shared" si="5"/>
        <v>0</v>
      </c>
      <c r="D81" s="45">
        <v>0</v>
      </c>
      <c r="E81" s="45">
        <v>0</v>
      </c>
      <c r="F81" s="45">
        <f t="shared" si="3"/>
        <v>0</v>
      </c>
      <c r="G81" s="45">
        <v>0</v>
      </c>
      <c r="H81" s="45"/>
      <c r="I81" s="45">
        <v>0</v>
      </c>
      <c r="J81" s="45">
        <v>0</v>
      </c>
      <c r="K81" s="45">
        <v>0</v>
      </c>
      <c r="L81" s="46">
        <f t="shared" si="4"/>
        <v>0</v>
      </c>
      <c r="M81" s="47">
        <v>0</v>
      </c>
      <c r="N81" s="47">
        <v>0</v>
      </c>
      <c r="O81" s="48" t="s">
        <v>402</v>
      </c>
      <c r="P81" s="48" t="s">
        <v>403</v>
      </c>
      <c r="Q81" s="48" t="s">
        <v>404</v>
      </c>
      <c r="R81" s="48" t="s">
        <v>405</v>
      </c>
      <c r="S81" s="48" t="s">
        <v>406</v>
      </c>
      <c r="T81" s="48"/>
    </row>
    <row r="82" spans="1:20" x14ac:dyDescent="0.3">
      <c r="A82" s="43"/>
      <c r="B82" s="43"/>
      <c r="C82" s="46">
        <f t="shared" si="5"/>
        <v>0</v>
      </c>
      <c r="D82" s="45">
        <v>0</v>
      </c>
      <c r="E82" s="45">
        <v>0</v>
      </c>
      <c r="F82" s="45">
        <f t="shared" si="3"/>
        <v>0</v>
      </c>
      <c r="G82" s="45">
        <v>0</v>
      </c>
      <c r="H82" s="45"/>
      <c r="I82" s="45">
        <v>0</v>
      </c>
      <c r="J82" s="45">
        <v>0</v>
      </c>
      <c r="K82" s="45">
        <v>0</v>
      </c>
      <c r="L82" s="46">
        <f t="shared" si="4"/>
        <v>0</v>
      </c>
      <c r="M82" s="47">
        <v>0</v>
      </c>
      <c r="N82" s="47">
        <v>0</v>
      </c>
      <c r="O82" s="48" t="s">
        <v>407</v>
      </c>
      <c r="P82" s="48" t="s">
        <v>408</v>
      </c>
      <c r="Q82" s="48" t="s">
        <v>409</v>
      </c>
      <c r="R82" s="48" t="s">
        <v>410</v>
      </c>
      <c r="S82" s="48" t="s">
        <v>411</v>
      </c>
      <c r="T82" s="48"/>
    </row>
    <row r="83" spans="1:20" x14ac:dyDescent="0.3">
      <c r="A83" s="43"/>
      <c r="B83" s="43"/>
      <c r="C83" s="46">
        <f t="shared" si="5"/>
        <v>0</v>
      </c>
      <c r="D83" s="45">
        <v>0</v>
      </c>
      <c r="E83" s="45">
        <v>0</v>
      </c>
      <c r="F83" s="45">
        <f t="shared" si="3"/>
        <v>0</v>
      </c>
      <c r="G83" s="45">
        <v>0</v>
      </c>
      <c r="H83" s="45"/>
      <c r="I83" s="45">
        <v>0</v>
      </c>
      <c r="J83" s="45">
        <v>0</v>
      </c>
      <c r="K83" s="45">
        <v>0</v>
      </c>
      <c r="L83" s="46">
        <f t="shared" si="4"/>
        <v>0</v>
      </c>
      <c r="M83" s="47">
        <v>0</v>
      </c>
      <c r="N83" s="47">
        <v>0</v>
      </c>
      <c r="O83" s="48" t="s">
        <v>412</v>
      </c>
      <c r="P83" s="48" t="s">
        <v>413</v>
      </c>
      <c r="Q83" s="48" t="s">
        <v>414</v>
      </c>
      <c r="R83" s="48" t="s">
        <v>415</v>
      </c>
      <c r="S83" s="48" t="s">
        <v>416</v>
      </c>
      <c r="T83" s="48"/>
    </row>
    <row r="84" spans="1:20" x14ac:dyDescent="0.3">
      <c r="A84" s="43"/>
      <c r="B84" s="43"/>
      <c r="C84" s="46">
        <f t="shared" si="5"/>
        <v>0</v>
      </c>
      <c r="D84" s="45">
        <v>0</v>
      </c>
      <c r="E84" s="45">
        <v>0</v>
      </c>
      <c r="F84" s="45">
        <f t="shared" si="3"/>
        <v>0</v>
      </c>
      <c r="G84" s="45">
        <v>0</v>
      </c>
      <c r="H84" s="45"/>
      <c r="I84" s="45">
        <v>0</v>
      </c>
      <c r="J84" s="45">
        <v>0</v>
      </c>
      <c r="K84" s="45">
        <v>0</v>
      </c>
      <c r="L84" s="46">
        <f t="shared" si="4"/>
        <v>0</v>
      </c>
      <c r="M84" s="47">
        <v>0</v>
      </c>
      <c r="N84" s="47">
        <v>0</v>
      </c>
      <c r="O84" s="48" t="s">
        <v>417</v>
      </c>
      <c r="P84" s="48" t="s">
        <v>418</v>
      </c>
      <c r="Q84" s="48" t="s">
        <v>419</v>
      </c>
      <c r="R84" s="48" t="s">
        <v>420</v>
      </c>
      <c r="S84" s="48" t="s">
        <v>421</v>
      </c>
      <c r="T84" s="48"/>
    </row>
    <row r="85" spans="1:20" x14ac:dyDescent="0.3">
      <c r="A85" s="43"/>
      <c r="B85" s="43"/>
      <c r="C85" s="46">
        <f t="shared" si="5"/>
        <v>0</v>
      </c>
      <c r="D85" s="45">
        <v>0</v>
      </c>
      <c r="E85" s="45">
        <v>0</v>
      </c>
      <c r="F85" s="45">
        <f t="shared" si="3"/>
        <v>0</v>
      </c>
      <c r="G85" s="45">
        <v>0</v>
      </c>
      <c r="H85" s="45"/>
      <c r="I85" s="45">
        <v>0</v>
      </c>
      <c r="J85" s="45">
        <v>0</v>
      </c>
      <c r="K85" s="45">
        <v>0</v>
      </c>
      <c r="L85" s="46">
        <f t="shared" si="4"/>
        <v>0</v>
      </c>
      <c r="M85" s="47">
        <v>0</v>
      </c>
      <c r="N85" s="47">
        <v>0</v>
      </c>
      <c r="O85" s="48" t="s">
        <v>422</v>
      </c>
      <c r="P85" s="48" t="s">
        <v>423</v>
      </c>
      <c r="Q85" s="48" t="s">
        <v>424</v>
      </c>
      <c r="R85" s="48" t="s">
        <v>425</v>
      </c>
      <c r="S85" s="48" t="s">
        <v>426</v>
      </c>
      <c r="T85" s="48"/>
    </row>
    <row r="86" spans="1:20" x14ac:dyDescent="0.3">
      <c r="A86" s="43"/>
      <c r="B86" s="43"/>
      <c r="C86" s="46">
        <f t="shared" si="5"/>
        <v>0</v>
      </c>
      <c r="D86" s="45">
        <v>0</v>
      </c>
      <c r="E86" s="45">
        <v>0</v>
      </c>
      <c r="F86" s="45">
        <f t="shared" si="3"/>
        <v>0</v>
      </c>
      <c r="G86" s="45">
        <v>0</v>
      </c>
      <c r="H86" s="45"/>
      <c r="I86" s="45">
        <v>0</v>
      </c>
      <c r="J86" s="45">
        <v>0</v>
      </c>
      <c r="K86" s="45">
        <v>0</v>
      </c>
      <c r="L86" s="46">
        <f t="shared" si="4"/>
        <v>0</v>
      </c>
      <c r="M86" s="47">
        <v>0</v>
      </c>
      <c r="N86" s="47">
        <v>0</v>
      </c>
      <c r="O86" s="48" t="s">
        <v>427</v>
      </c>
      <c r="P86" s="48" t="s">
        <v>428</v>
      </c>
      <c r="Q86" s="48" t="s">
        <v>429</v>
      </c>
      <c r="R86" s="48" t="s">
        <v>430</v>
      </c>
      <c r="S86" s="48" t="s">
        <v>431</v>
      </c>
      <c r="T86" s="48"/>
    </row>
    <row r="87" spans="1:20" x14ac:dyDescent="0.3">
      <c r="A87" s="43"/>
      <c r="B87" s="43"/>
      <c r="C87" s="46">
        <f t="shared" si="5"/>
        <v>0</v>
      </c>
      <c r="D87" s="45">
        <v>0</v>
      </c>
      <c r="E87" s="45">
        <v>0</v>
      </c>
      <c r="F87" s="45">
        <f t="shared" si="3"/>
        <v>0</v>
      </c>
      <c r="G87" s="45">
        <v>0</v>
      </c>
      <c r="H87" s="45"/>
      <c r="I87" s="45">
        <v>0</v>
      </c>
      <c r="J87" s="45">
        <v>0</v>
      </c>
      <c r="K87" s="45">
        <v>0</v>
      </c>
      <c r="L87" s="46">
        <f t="shared" si="4"/>
        <v>0</v>
      </c>
      <c r="M87" s="47">
        <v>0</v>
      </c>
      <c r="N87" s="47">
        <v>0</v>
      </c>
      <c r="O87" s="48" t="s">
        <v>432</v>
      </c>
      <c r="P87" s="48" t="s">
        <v>433</v>
      </c>
      <c r="Q87" s="48" t="s">
        <v>434</v>
      </c>
      <c r="R87" s="48" t="s">
        <v>435</v>
      </c>
      <c r="S87" s="48" t="s">
        <v>436</v>
      </c>
      <c r="T87" s="48"/>
    </row>
    <row r="88" spans="1:20" x14ac:dyDescent="0.3">
      <c r="A88" s="43"/>
      <c r="B88" s="43"/>
      <c r="C88" s="46">
        <f t="shared" si="5"/>
        <v>0</v>
      </c>
      <c r="D88" s="45">
        <v>0</v>
      </c>
      <c r="E88" s="45">
        <v>0</v>
      </c>
      <c r="F88" s="45">
        <f t="shared" si="3"/>
        <v>0</v>
      </c>
      <c r="G88" s="45">
        <v>0</v>
      </c>
      <c r="H88" s="45"/>
      <c r="I88" s="45">
        <v>0</v>
      </c>
      <c r="J88" s="45">
        <v>0</v>
      </c>
      <c r="K88" s="45">
        <v>0</v>
      </c>
      <c r="L88" s="46">
        <f t="shared" si="4"/>
        <v>0</v>
      </c>
      <c r="M88" s="47">
        <v>0</v>
      </c>
      <c r="N88" s="47">
        <v>0</v>
      </c>
      <c r="O88" s="48" t="s">
        <v>437</v>
      </c>
      <c r="P88" s="48" t="s">
        <v>438</v>
      </c>
      <c r="Q88" s="48" t="s">
        <v>439</v>
      </c>
      <c r="R88" s="48" t="s">
        <v>440</v>
      </c>
      <c r="S88" s="48" t="s">
        <v>441</v>
      </c>
      <c r="T88" s="48"/>
    </row>
    <row r="89" spans="1:20" x14ac:dyDescent="0.3">
      <c r="A89" s="43"/>
      <c r="B89" s="43"/>
      <c r="C89" s="46">
        <f t="shared" si="5"/>
        <v>0</v>
      </c>
      <c r="D89" s="45">
        <v>0</v>
      </c>
      <c r="E89" s="45">
        <v>0</v>
      </c>
      <c r="F89" s="45">
        <f t="shared" si="3"/>
        <v>0</v>
      </c>
      <c r="G89" s="45">
        <v>0</v>
      </c>
      <c r="H89" s="45"/>
      <c r="I89" s="45">
        <v>0</v>
      </c>
      <c r="J89" s="45">
        <v>0</v>
      </c>
      <c r="K89" s="45">
        <v>0</v>
      </c>
      <c r="L89" s="46">
        <f t="shared" si="4"/>
        <v>0</v>
      </c>
      <c r="M89" s="47">
        <v>0</v>
      </c>
      <c r="N89" s="47">
        <v>0</v>
      </c>
      <c r="O89" s="48" t="s">
        <v>442</v>
      </c>
      <c r="P89" s="48" t="s">
        <v>443</v>
      </c>
      <c r="Q89" s="48" t="s">
        <v>444</v>
      </c>
      <c r="R89" s="48" t="s">
        <v>445</v>
      </c>
      <c r="S89" s="48" t="s">
        <v>446</v>
      </c>
      <c r="T89" s="48"/>
    </row>
    <row r="90" spans="1:20" x14ac:dyDescent="0.3">
      <c r="A90" s="43"/>
      <c r="B90" s="43"/>
      <c r="C90" s="46">
        <f t="shared" si="5"/>
        <v>0</v>
      </c>
      <c r="D90" s="45">
        <v>0</v>
      </c>
      <c r="E90" s="45">
        <v>0</v>
      </c>
      <c r="F90" s="45">
        <f t="shared" si="3"/>
        <v>0</v>
      </c>
      <c r="G90" s="45">
        <v>0</v>
      </c>
      <c r="H90" s="45"/>
      <c r="I90" s="45">
        <v>0</v>
      </c>
      <c r="J90" s="45">
        <v>0</v>
      </c>
      <c r="K90" s="45">
        <v>0</v>
      </c>
      <c r="L90" s="46">
        <f t="shared" si="4"/>
        <v>0</v>
      </c>
      <c r="M90" s="47">
        <v>0</v>
      </c>
      <c r="N90" s="47">
        <v>0</v>
      </c>
      <c r="O90" s="48" t="s">
        <v>447</v>
      </c>
      <c r="P90" s="48" t="s">
        <v>448</v>
      </c>
      <c r="Q90" s="48" t="s">
        <v>449</v>
      </c>
      <c r="R90" s="48" t="s">
        <v>450</v>
      </c>
      <c r="S90" s="48" t="s">
        <v>451</v>
      </c>
      <c r="T90" s="48"/>
    </row>
    <row r="91" spans="1:20" x14ac:dyDescent="0.3">
      <c r="A91" s="43"/>
      <c r="B91" s="43"/>
      <c r="C91" s="46">
        <f t="shared" si="5"/>
        <v>0</v>
      </c>
      <c r="D91" s="45">
        <v>0</v>
      </c>
      <c r="E91" s="45">
        <v>0</v>
      </c>
      <c r="F91" s="45">
        <f t="shared" si="3"/>
        <v>0</v>
      </c>
      <c r="G91" s="45">
        <v>0</v>
      </c>
      <c r="H91" s="45"/>
      <c r="I91" s="45">
        <v>0</v>
      </c>
      <c r="J91" s="45">
        <v>0</v>
      </c>
      <c r="K91" s="45">
        <v>0</v>
      </c>
      <c r="L91" s="46">
        <f t="shared" si="4"/>
        <v>0</v>
      </c>
      <c r="M91" s="47">
        <v>0</v>
      </c>
      <c r="N91" s="47">
        <v>0</v>
      </c>
      <c r="O91" s="48" t="s">
        <v>452</v>
      </c>
      <c r="P91" s="48" t="s">
        <v>453</v>
      </c>
      <c r="Q91" s="48" t="s">
        <v>454</v>
      </c>
      <c r="R91" s="48" t="s">
        <v>455</v>
      </c>
      <c r="S91" s="48" t="s">
        <v>456</v>
      </c>
      <c r="T91" s="48"/>
    </row>
    <row r="92" spans="1:20" x14ac:dyDescent="0.3">
      <c r="A92" s="43"/>
      <c r="B92" s="43"/>
      <c r="C92" s="46">
        <f t="shared" si="5"/>
        <v>0</v>
      </c>
      <c r="D92" s="45">
        <v>0</v>
      </c>
      <c r="E92" s="45">
        <v>0</v>
      </c>
      <c r="F92" s="45">
        <f t="shared" si="3"/>
        <v>0</v>
      </c>
      <c r="G92" s="45">
        <v>0</v>
      </c>
      <c r="H92" s="45"/>
      <c r="I92" s="45">
        <v>0</v>
      </c>
      <c r="J92" s="45">
        <v>0</v>
      </c>
      <c r="K92" s="45">
        <v>0</v>
      </c>
      <c r="L92" s="46">
        <f t="shared" si="4"/>
        <v>0</v>
      </c>
      <c r="M92" s="47">
        <v>0</v>
      </c>
      <c r="N92" s="47">
        <v>0</v>
      </c>
      <c r="O92" s="48" t="s">
        <v>457</v>
      </c>
      <c r="P92" s="48" t="s">
        <v>458</v>
      </c>
      <c r="Q92" s="48" t="s">
        <v>459</v>
      </c>
      <c r="R92" s="48" t="s">
        <v>460</v>
      </c>
      <c r="S92" s="48" t="s">
        <v>461</v>
      </c>
      <c r="T92" s="48"/>
    </row>
    <row r="93" spans="1:20" x14ac:dyDescent="0.3">
      <c r="A93" s="43"/>
      <c r="B93" s="43"/>
      <c r="C93" s="46">
        <f t="shared" si="5"/>
        <v>0</v>
      </c>
      <c r="D93" s="45">
        <v>0</v>
      </c>
      <c r="E93" s="45">
        <v>0</v>
      </c>
      <c r="F93" s="45">
        <f t="shared" si="3"/>
        <v>0</v>
      </c>
      <c r="G93" s="45">
        <v>0</v>
      </c>
      <c r="H93" s="45"/>
      <c r="I93" s="45">
        <v>0</v>
      </c>
      <c r="J93" s="45">
        <v>0</v>
      </c>
      <c r="K93" s="45">
        <v>0</v>
      </c>
      <c r="L93" s="46">
        <f t="shared" si="4"/>
        <v>0</v>
      </c>
      <c r="M93" s="47">
        <v>0</v>
      </c>
      <c r="N93" s="47">
        <v>0</v>
      </c>
      <c r="O93" s="48" t="s">
        <v>462</v>
      </c>
      <c r="P93" s="48" t="s">
        <v>463</v>
      </c>
      <c r="Q93" s="48" t="s">
        <v>464</v>
      </c>
      <c r="R93" s="48" t="s">
        <v>465</v>
      </c>
      <c r="S93" s="48" t="s">
        <v>466</v>
      </c>
      <c r="T93" s="48"/>
    </row>
    <row r="94" spans="1:20" x14ac:dyDescent="0.3">
      <c r="A94" s="43"/>
      <c r="B94" s="43"/>
      <c r="C94" s="46">
        <f t="shared" si="5"/>
        <v>0</v>
      </c>
      <c r="D94" s="45">
        <v>0</v>
      </c>
      <c r="E94" s="45">
        <v>0</v>
      </c>
      <c r="F94" s="45">
        <f t="shared" si="3"/>
        <v>0</v>
      </c>
      <c r="G94" s="45">
        <v>0</v>
      </c>
      <c r="H94" s="45"/>
      <c r="I94" s="45">
        <v>0</v>
      </c>
      <c r="J94" s="45">
        <v>0</v>
      </c>
      <c r="K94" s="45">
        <v>0</v>
      </c>
      <c r="L94" s="46">
        <f t="shared" si="4"/>
        <v>0</v>
      </c>
      <c r="M94" s="47">
        <v>0</v>
      </c>
      <c r="N94" s="47">
        <v>0</v>
      </c>
      <c r="O94" s="48" t="s">
        <v>467</v>
      </c>
      <c r="P94" s="48" t="s">
        <v>468</v>
      </c>
      <c r="Q94" s="48" t="s">
        <v>469</v>
      </c>
      <c r="R94" s="48" t="s">
        <v>470</v>
      </c>
      <c r="S94" s="48" t="s">
        <v>471</v>
      </c>
      <c r="T94" s="48"/>
    </row>
    <row r="95" spans="1:20" x14ac:dyDescent="0.3">
      <c r="A95" s="43"/>
      <c r="B95" s="43"/>
      <c r="C95" s="46">
        <f t="shared" si="5"/>
        <v>0</v>
      </c>
      <c r="D95" s="45">
        <v>0</v>
      </c>
      <c r="E95" s="45">
        <v>0</v>
      </c>
      <c r="F95" s="45">
        <f t="shared" si="3"/>
        <v>0</v>
      </c>
      <c r="G95" s="45">
        <v>0</v>
      </c>
      <c r="H95" s="45"/>
      <c r="I95" s="45">
        <v>0</v>
      </c>
      <c r="J95" s="45">
        <v>0</v>
      </c>
      <c r="K95" s="45">
        <v>0</v>
      </c>
      <c r="L95" s="46">
        <f t="shared" si="4"/>
        <v>0</v>
      </c>
      <c r="M95" s="47">
        <v>0</v>
      </c>
      <c r="N95" s="47">
        <v>0</v>
      </c>
      <c r="O95" s="48" t="s">
        <v>472</v>
      </c>
      <c r="P95" s="48" t="s">
        <v>473</v>
      </c>
      <c r="Q95" s="48" t="s">
        <v>474</v>
      </c>
      <c r="R95" s="48" t="s">
        <v>475</v>
      </c>
      <c r="S95" s="48" t="s">
        <v>476</v>
      </c>
      <c r="T95" s="48"/>
    </row>
    <row r="96" spans="1:20" x14ac:dyDescent="0.3">
      <c r="A96" s="43"/>
      <c r="B96" s="43"/>
      <c r="C96" s="46">
        <f t="shared" si="5"/>
        <v>0</v>
      </c>
      <c r="D96" s="45">
        <v>0</v>
      </c>
      <c r="E96" s="45">
        <v>0</v>
      </c>
      <c r="F96" s="45">
        <f t="shared" si="3"/>
        <v>0</v>
      </c>
      <c r="G96" s="45">
        <v>0</v>
      </c>
      <c r="H96" s="45"/>
      <c r="I96" s="45">
        <v>0</v>
      </c>
      <c r="J96" s="45">
        <v>0</v>
      </c>
      <c r="K96" s="45">
        <v>0</v>
      </c>
      <c r="L96" s="46">
        <f t="shared" si="4"/>
        <v>0</v>
      </c>
      <c r="M96" s="47">
        <v>0</v>
      </c>
      <c r="N96" s="47">
        <v>0</v>
      </c>
      <c r="O96" s="48" t="s">
        <v>477</v>
      </c>
      <c r="P96" s="48" t="s">
        <v>478</v>
      </c>
      <c r="Q96" s="48" t="s">
        <v>479</v>
      </c>
      <c r="R96" s="48" t="s">
        <v>480</v>
      </c>
      <c r="S96" s="48" t="s">
        <v>481</v>
      </c>
      <c r="T96" s="48"/>
    </row>
    <row r="97" spans="1:20" x14ac:dyDescent="0.3">
      <c r="A97" s="43"/>
      <c r="B97" s="43"/>
      <c r="C97" s="46">
        <f t="shared" si="5"/>
        <v>0</v>
      </c>
      <c r="D97" s="45">
        <v>0</v>
      </c>
      <c r="E97" s="45">
        <v>0</v>
      </c>
      <c r="F97" s="45">
        <f t="shared" si="3"/>
        <v>0</v>
      </c>
      <c r="G97" s="45">
        <v>0</v>
      </c>
      <c r="H97" s="45"/>
      <c r="I97" s="45">
        <v>0</v>
      </c>
      <c r="J97" s="45">
        <v>0</v>
      </c>
      <c r="K97" s="45">
        <v>0</v>
      </c>
      <c r="L97" s="46">
        <f t="shared" si="4"/>
        <v>0</v>
      </c>
      <c r="M97" s="47">
        <v>0</v>
      </c>
      <c r="N97" s="47">
        <v>0</v>
      </c>
      <c r="O97" s="48" t="s">
        <v>482</v>
      </c>
      <c r="P97" s="48" t="s">
        <v>483</v>
      </c>
      <c r="Q97" s="48" t="s">
        <v>484</v>
      </c>
      <c r="R97" s="48" t="s">
        <v>485</v>
      </c>
      <c r="S97" s="48" t="s">
        <v>486</v>
      </c>
      <c r="T97" s="48"/>
    </row>
    <row r="98" spans="1:20" x14ac:dyDescent="0.3">
      <c r="A98" s="43"/>
      <c r="B98" s="43"/>
      <c r="C98" s="46">
        <f t="shared" si="5"/>
        <v>0</v>
      </c>
      <c r="D98" s="45">
        <v>0</v>
      </c>
      <c r="E98" s="45">
        <v>0</v>
      </c>
      <c r="F98" s="45">
        <f t="shared" si="3"/>
        <v>0</v>
      </c>
      <c r="G98" s="45">
        <v>0</v>
      </c>
      <c r="H98" s="45"/>
      <c r="I98" s="45">
        <v>0</v>
      </c>
      <c r="J98" s="45">
        <v>0</v>
      </c>
      <c r="K98" s="45">
        <v>0</v>
      </c>
      <c r="L98" s="46">
        <f t="shared" si="4"/>
        <v>0</v>
      </c>
      <c r="M98" s="47">
        <v>0</v>
      </c>
      <c r="N98" s="47">
        <v>0</v>
      </c>
      <c r="O98" s="48" t="s">
        <v>487</v>
      </c>
      <c r="P98" s="48" t="s">
        <v>488</v>
      </c>
      <c r="Q98" s="48" t="s">
        <v>489</v>
      </c>
      <c r="R98" s="48" t="s">
        <v>490</v>
      </c>
      <c r="S98" s="48" t="s">
        <v>491</v>
      </c>
      <c r="T98" s="48"/>
    </row>
    <row r="99" spans="1:20" x14ac:dyDescent="0.3">
      <c r="A99" s="43"/>
      <c r="B99" s="43"/>
      <c r="C99" s="46">
        <f t="shared" si="5"/>
        <v>0</v>
      </c>
      <c r="D99" s="45">
        <v>0</v>
      </c>
      <c r="E99" s="45">
        <v>0</v>
      </c>
      <c r="F99" s="45">
        <f t="shared" si="3"/>
        <v>0</v>
      </c>
      <c r="G99" s="45">
        <v>0</v>
      </c>
      <c r="H99" s="45"/>
      <c r="I99" s="45">
        <v>0</v>
      </c>
      <c r="J99" s="45">
        <v>0</v>
      </c>
      <c r="K99" s="45">
        <v>0</v>
      </c>
      <c r="L99" s="46">
        <f t="shared" si="4"/>
        <v>0</v>
      </c>
      <c r="M99" s="47">
        <v>0</v>
      </c>
      <c r="N99" s="47">
        <v>0</v>
      </c>
      <c r="O99" s="48" t="s">
        <v>492</v>
      </c>
      <c r="P99" s="48" t="s">
        <v>493</v>
      </c>
      <c r="Q99" s="48" t="s">
        <v>494</v>
      </c>
      <c r="R99" s="48" t="s">
        <v>495</v>
      </c>
      <c r="S99" s="48" t="s">
        <v>496</v>
      </c>
      <c r="T99" s="48"/>
    </row>
    <row r="100" spans="1:20" x14ac:dyDescent="0.3">
      <c r="A100" s="43"/>
      <c r="B100" s="43"/>
      <c r="C100" s="46">
        <f t="shared" si="5"/>
        <v>0</v>
      </c>
      <c r="D100" s="45">
        <v>0</v>
      </c>
      <c r="E100" s="45">
        <v>0</v>
      </c>
      <c r="F100" s="45">
        <f t="shared" si="3"/>
        <v>0</v>
      </c>
      <c r="G100" s="45">
        <v>0</v>
      </c>
      <c r="H100" s="45"/>
      <c r="I100" s="45">
        <v>0</v>
      </c>
      <c r="J100" s="45">
        <v>0</v>
      </c>
      <c r="K100" s="45">
        <v>0</v>
      </c>
      <c r="L100" s="46">
        <f t="shared" si="4"/>
        <v>0</v>
      </c>
      <c r="M100" s="47">
        <v>0</v>
      </c>
      <c r="N100" s="47">
        <v>0</v>
      </c>
      <c r="O100" s="48" t="s">
        <v>497</v>
      </c>
      <c r="P100" s="48" t="s">
        <v>498</v>
      </c>
      <c r="Q100" s="48" t="s">
        <v>499</v>
      </c>
      <c r="R100" s="48" t="s">
        <v>500</v>
      </c>
      <c r="S100" s="48" t="s">
        <v>501</v>
      </c>
      <c r="T100" s="48"/>
    </row>
    <row r="101" spans="1:20" x14ac:dyDescent="0.3">
      <c r="A101" s="43"/>
      <c r="B101" s="43"/>
      <c r="C101" s="46">
        <f t="shared" si="5"/>
        <v>0</v>
      </c>
      <c r="D101" s="45">
        <v>0</v>
      </c>
      <c r="E101" s="45">
        <v>0</v>
      </c>
      <c r="F101" s="45">
        <f t="shared" si="3"/>
        <v>0</v>
      </c>
      <c r="G101" s="45">
        <v>0</v>
      </c>
      <c r="H101" s="45"/>
      <c r="I101" s="45">
        <v>0</v>
      </c>
      <c r="J101" s="45">
        <v>0</v>
      </c>
      <c r="K101" s="45">
        <v>0</v>
      </c>
      <c r="L101" s="46">
        <f t="shared" si="4"/>
        <v>0</v>
      </c>
      <c r="M101" s="47">
        <v>0</v>
      </c>
      <c r="N101" s="47">
        <v>0</v>
      </c>
      <c r="O101" s="48" t="s">
        <v>502</v>
      </c>
      <c r="P101" s="48" t="s">
        <v>503</v>
      </c>
      <c r="Q101" s="48" t="s">
        <v>504</v>
      </c>
      <c r="R101" s="48" t="s">
        <v>505</v>
      </c>
      <c r="S101" s="48" t="s">
        <v>506</v>
      </c>
      <c r="T101" s="48"/>
    </row>
    <row r="102" spans="1:20" x14ac:dyDescent="0.3">
      <c r="A102" s="43"/>
      <c r="B102" s="43"/>
      <c r="C102" s="46">
        <f t="shared" si="5"/>
        <v>0</v>
      </c>
      <c r="D102" s="45">
        <v>0</v>
      </c>
      <c r="E102" s="45">
        <v>0</v>
      </c>
      <c r="F102" s="45">
        <f t="shared" si="3"/>
        <v>0</v>
      </c>
      <c r="G102" s="45">
        <v>0</v>
      </c>
      <c r="H102" s="45"/>
      <c r="I102" s="45">
        <v>0</v>
      </c>
      <c r="J102" s="45">
        <v>0</v>
      </c>
      <c r="K102" s="45">
        <v>0</v>
      </c>
      <c r="L102" s="46">
        <f t="shared" si="4"/>
        <v>0</v>
      </c>
      <c r="M102" s="47">
        <v>0</v>
      </c>
      <c r="N102" s="47">
        <v>0</v>
      </c>
      <c r="O102" s="48" t="s">
        <v>507</v>
      </c>
      <c r="P102" s="48" t="s">
        <v>508</v>
      </c>
      <c r="Q102" s="48" t="s">
        <v>509</v>
      </c>
      <c r="R102" s="48" t="s">
        <v>510</v>
      </c>
      <c r="S102" s="48" t="s">
        <v>511</v>
      </c>
      <c r="T102" s="48"/>
    </row>
    <row r="103" spans="1:20" x14ac:dyDescent="0.3">
      <c r="A103" s="43"/>
      <c r="B103" s="43"/>
      <c r="C103" s="46">
        <f t="shared" si="5"/>
        <v>0</v>
      </c>
      <c r="D103" s="45">
        <v>0</v>
      </c>
      <c r="E103" s="45">
        <v>0</v>
      </c>
      <c r="F103" s="45">
        <f t="shared" si="3"/>
        <v>0</v>
      </c>
      <c r="G103" s="45">
        <v>0</v>
      </c>
      <c r="H103" s="45"/>
      <c r="I103" s="45">
        <v>0</v>
      </c>
      <c r="J103" s="45">
        <v>0</v>
      </c>
      <c r="K103" s="45">
        <v>0</v>
      </c>
      <c r="L103" s="46">
        <f t="shared" si="4"/>
        <v>0</v>
      </c>
      <c r="M103" s="47">
        <v>0</v>
      </c>
      <c r="N103" s="47">
        <v>0</v>
      </c>
      <c r="O103" s="48" t="s">
        <v>512</v>
      </c>
      <c r="P103" s="48" t="s">
        <v>513</v>
      </c>
      <c r="Q103" s="48" t="s">
        <v>514</v>
      </c>
      <c r="R103" s="48" t="s">
        <v>515</v>
      </c>
      <c r="S103" s="48" t="s">
        <v>516</v>
      </c>
      <c r="T103" s="48"/>
    </row>
    <row r="104" spans="1:20" x14ac:dyDescent="0.3">
      <c r="A104" s="43"/>
      <c r="B104" s="43"/>
      <c r="C104" s="46">
        <f t="shared" si="5"/>
        <v>0</v>
      </c>
      <c r="D104" s="45">
        <v>0</v>
      </c>
      <c r="E104" s="45">
        <v>0</v>
      </c>
      <c r="F104" s="45">
        <f t="shared" si="3"/>
        <v>0</v>
      </c>
      <c r="G104" s="45">
        <v>0</v>
      </c>
      <c r="H104" s="45"/>
      <c r="I104" s="45">
        <v>0</v>
      </c>
      <c r="J104" s="45">
        <v>0</v>
      </c>
      <c r="K104" s="45">
        <v>0</v>
      </c>
      <c r="L104" s="46">
        <f t="shared" si="4"/>
        <v>0</v>
      </c>
      <c r="M104" s="47">
        <v>0</v>
      </c>
      <c r="N104" s="47">
        <v>0</v>
      </c>
      <c r="O104" s="48" t="s">
        <v>517</v>
      </c>
      <c r="P104" s="48" t="s">
        <v>518</v>
      </c>
      <c r="Q104" s="48" t="s">
        <v>519</v>
      </c>
      <c r="R104" s="48" t="s">
        <v>520</v>
      </c>
      <c r="S104" s="48" t="s">
        <v>521</v>
      </c>
      <c r="T104" s="48"/>
    </row>
    <row r="105" spans="1:20" x14ac:dyDescent="0.3">
      <c r="A105" s="43"/>
      <c r="B105" s="43"/>
      <c r="C105" s="46">
        <f t="shared" si="5"/>
        <v>0</v>
      </c>
      <c r="D105" s="45">
        <v>0</v>
      </c>
      <c r="E105" s="45">
        <v>0</v>
      </c>
      <c r="F105" s="45">
        <f t="shared" si="3"/>
        <v>0</v>
      </c>
      <c r="G105" s="45">
        <v>0</v>
      </c>
      <c r="H105" s="45"/>
      <c r="I105" s="45">
        <v>0</v>
      </c>
      <c r="J105" s="45">
        <v>0</v>
      </c>
      <c r="K105" s="45">
        <v>0</v>
      </c>
      <c r="L105" s="46">
        <f t="shared" si="4"/>
        <v>0</v>
      </c>
      <c r="M105" s="47">
        <v>0</v>
      </c>
      <c r="N105" s="47">
        <v>0</v>
      </c>
      <c r="O105" s="48" t="s">
        <v>522</v>
      </c>
      <c r="P105" s="48" t="s">
        <v>523</v>
      </c>
      <c r="Q105" s="48" t="s">
        <v>524</v>
      </c>
      <c r="R105" s="48" t="s">
        <v>525</v>
      </c>
      <c r="S105" s="48" t="s">
        <v>526</v>
      </c>
      <c r="T105" s="48"/>
    </row>
    <row r="106" spans="1:20" x14ac:dyDescent="0.3">
      <c r="A106" s="43"/>
      <c r="B106" s="43"/>
      <c r="C106" s="46">
        <f t="shared" si="5"/>
        <v>0</v>
      </c>
      <c r="D106" s="45">
        <v>0</v>
      </c>
      <c r="E106" s="45">
        <v>0</v>
      </c>
      <c r="F106" s="45">
        <f t="shared" si="3"/>
        <v>0</v>
      </c>
      <c r="G106" s="45">
        <v>0</v>
      </c>
      <c r="H106" s="45"/>
      <c r="I106" s="45">
        <v>0</v>
      </c>
      <c r="J106" s="45">
        <v>0</v>
      </c>
      <c r="K106" s="45">
        <v>0</v>
      </c>
      <c r="L106" s="46">
        <f t="shared" si="4"/>
        <v>0</v>
      </c>
      <c r="M106" s="47">
        <v>0</v>
      </c>
      <c r="N106" s="47">
        <v>0</v>
      </c>
      <c r="O106" s="48" t="s">
        <v>527</v>
      </c>
      <c r="P106" s="48" t="s">
        <v>528</v>
      </c>
      <c r="Q106" s="48" t="s">
        <v>529</v>
      </c>
      <c r="R106" s="48" t="s">
        <v>530</v>
      </c>
      <c r="S106" s="48" t="s">
        <v>531</v>
      </c>
      <c r="T106" s="48"/>
    </row>
    <row r="107" spans="1:20" x14ac:dyDescent="0.3">
      <c r="A107" s="43"/>
      <c r="B107" s="43"/>
      <c r="C107" s="46">
        <f t="shared" si="5"/>
        <v>0</v>
      </c>
      <c r="D107" s="45">
        <v>0</v>
      </c>
      <c r="E107" s="45">
        <v>0</v>
      </c>
      <c r="F107" s="45">
        <f t="shared" si="3"/>
        <v>0</v>
      </c>
      <c r="G107" s="45">
        <v>0</v>
      </c>
      <c r="H107" s="45"/>
      <c r="I107" s="45">
        <v>0</v>
      </c>
      <c r="J107" s="45">
        <v>0</v>
      </c>
      <c r="K107" s="45">
        <v>0</v>
      </c>
      <c r="L107" s="46">
        <f t="shared" si="4"/>
        <v>0</v>
      </c>
      <c r="M107" s="47">
        <v>0</v>
      </c>
      <c r="N107" s="47">
        <v>0</v>
      </c>
      <c r="O107" s="48" t="s">
        <v>532</v>
      </c>
      <c r="P107" s="48" t="s">
        <v>533</v>
      </c>
      <c r="Q107" s="48" t="s">
        <v>534</v>
      </c>
      <c r="R107" s="48" t="s">
        <v>535</v>
      </c>
      <c r="S107" s="48" t="s">
        <v>536</v>
      </c>
      <c r="T107" s="48"/>
    </row>
    <row r="108" spans="1:20" x14ac:dyDescent="0.3">
      <c r="A108" s="43"/>
      <c r="B108" s="43"/>
      <c r="C108" s="46">
        <f t="shared" si="5"/>
        <v>0</v>
      </c>
      <c r="D108" s="45">
        <v>0</v>
      </c>
      <c r="E108" s="45">
        <v>0</v>
      </c>
      <c r="F108" s="45">
        <f t="shared" si="3"/>
        <v>0</v>
      </c>
      <c r="G108" s="45">
        <v>0</v>
      </c>
      <c r="H108" s="45"/>
      <c r="I108" s="45">
        <v>0</v>
      </c>
      <c r="J108" s="45">
        <v>0</v>
      </c>
      <c r="K108" s="45">
        <v>0</v>
      </c>
      <c r="L108" s="46">
        <f t="shared" si="4"/>
        <v>0</v>
      </c>
      <c r="M108" s="47">
        <v>0</v>
      </c>
      <c r="N108" s="47">
        <v>0</v>
      </c>
      <c r="O108" s="48" t="s">
        <v>537</v>
      </c>
      <c r="P108" s="48" t="s">
        <v>538</v>
      </c>
      <c r="Q108" s="48" t="s">
        <v>539</v>
      </c>
      <c r="R108" s="48" t="s">
        <v>540</v>
      </c>
      <c r="S108" s="48" t="s">
        <v>541</v>
      </c>
      <c r="T108" s="48"/>
    </row>
    <row r="109" spans="1:20" x14ac:dyDescent="0.3">
      <c r="A109" s="43"/>
      <c r="B109" s="43"/>
      <c r="C109" s="46">
        <f t="shared" si="5"/>
        <v>0</v>
      </c>
      <c r="D109" s="45">
        <v>0</v>
      </c>
      <c r="E109" s="45">
        <v>0</v>
      </c>
      <c r="F109" s="45">
        <f t="shared" si="3"/>
        <v>0</v>
      </c>
      <c r="G109" s="45">
        <v>0</v>
      </c>
      <c r="H109" s="45"/>
      <c r="I109" s="45">
        <v>0</v>
      </c>
      <c r="J109" s="45">
        <v>0</v>
      </c>
      <c r="K109" s="45">
        <v>0</v>
      </c>
      <c r="L109" s="46">
        <f t="shared" si="4"/>
        <v>0</v>
      </c>
      <c r="M109" s="47">
        <v>0</v>
      </c>
      <c r="N109" s="47">
        <v>0</v>
      </c>
      <c r="O109" s="48" t="s">
        <v>542</v>
      </c>
      <c r="P109" s="48" t="s">
        <v>543</v>
      </c>
      <c r="Q109" s="48" t="s">
        <v>544</v>
      </c>
      <c r="R109" s="48" t="s">
        <v>545</v>
      </c>
      <c r="S109" s="48" t="s">
        <v>546</v>
      </c>
      <c r="T109" s="48"/>
    </row>
    <row r="110" spans="1:20" x14ac:dyDescent="0.3">
      <c r="A110" s="43"/>
      <c r="B110" s="43"/>
      <c r="C110" s="46">
        <f t="shared" si="5"/>
        <v>0</v>
      </c>
      <c r="D110" s="45">
        <v>0</v>
      </c>
      <c r="E110" s="45">
        <v>0</v>
      </c>
      <c r="F110" s="45">
        <f t="shared" si="3"/>
        <v>0</v>
      </c>
      <c r="G110" s="45">
        <v>0</v>
      </c>
      <c r="H110" s="45"/>
      <c r="I110" s="45">
        <v>0</v>
      </c>
      <c r="J110" s="45">
        <v>0</v>
      </c>
      <c r="K110" s="45">
        <v>0</v>
      </c>
      <c r="L110" s="46">
        <f t="shared" si="4"/>
        <v>0</v>
      </c>
      <c r="M110" s="47">
        <v>0</v>
      </c>
      <c r="N110" s="47">
        <v>0</v>
      </c>
      <c r="O110" s="48" t="s">
        <v>547</v>
      </c>
      <c r="P110" s="48" t="s">
        <v>548</v>
      </c>
      <c r="Q110" s="48" t="s">
        <v>549</v>
      </c>
      <c r="R110" s="48" t="s">
        <v>550</v>
      </c>
      <c r="S110" s="48" t="s">
        <v>551</v>
      </c>
      <c r="T110" s="48"/>
    </row>
    <row r="111" spans="1:20" x14ac:dyDescent="0.3">
      <c r="A111" s="43"/>
      <c r="B111" s="43"/>
      <c r="C111" s="46">
        <f t="shared" si="5"/>
        <v>0</v>
      </c>
      <c r="D111" s="45">
        <v>0</v>
      </c>
      <c r="E111" s="45">
        <v>0</v>
      </c>
      <c r="F111" s="45">
        <f t="shared" si="3"/>
        <v>0</v>
      </c>
      <c r="G111" s="45">
        <v>0</v>
      </c>
      <c r="H111" s="45"/>
      <c r="I111" s="45">
        <v>0</v>
      </c>
      <c r="J111" s="45">
        <v>0</v>
      </c>
      <c r="K111" s="45">
        <v>0</v>
      </c>
      <c r="L111" s="46">
        <f t="shared" si="4"/>
        <v>0</v>
      </c>
      <c r="M111" s="47">
        <v>0</v>
      </c>
      <c r="N111" s="47">
        <v>0</v>
      </c>
      <c r="O111" s="48" t="s">
        <v>552</v>
      </c>
      <c r="P111" s="48" t="s">
        <v>553</v>
      </c>
      <c r="Q111" s="48" t="s">
        <v>554</v>
      </c>
      <c r="R111" s="48" t="s">
        <v>555</v>
      </c>
      <c r="S111" s="48" t="s">
        <v>556</v>
      </c>
      <c r="T111" s="48"/>
    </row>
    <row r="112" spans="1:20" x14ac:dyDescent="0.3">
      <c r="A112" s="43"/>
      <c r="B112" s="43"/>
      <c r="C112" s="46">
        <f t="shared" si="5"/>
        <v>0</v>
      </c>
      <c r="D112" s="45">
        <v>0</v>
      </c>
      <c r="E112" s="45">
        <v>0</v>
      </c>
      <c r="F112" s="45">
        <f t="shared" si="3"/>
        <v>0</v>
      </c>
      <c r="G112" s="45">
        <v>0</v>
      </c>
      <c r="H112" s="45"/>
      <c r="I112" s="45">
        <v>0</v>
      </c>
      <c r="J112" s="45">
        <v>0</v>
      </c>
      <c r="K112" s="45">
        <v>0</v>
      </c>
      <c r="L112" s="46">
        <f t="shared" si="4"/>
        <v>0</v>
      </c>
      <c r="M112" s="47">
        <v>0</v>
      </c>
      <c r="N112" s="47">
        <v>0</v>
      </c>
      <c r="O112" s="48" t="s">
        <v>557</v>
      </c>
      <c r="P112" s="48" t="s">
        <v>558</v>
      </c>
      <c r="Q112" s="48" t="s">
        <v>559</v>
      </c>
      <c r="R112" s="48" t="s">
        <v>560</v>
      </c>
      <c r="S112" s="48" t="s">
        <v>561</v>
      </c>
      <c r="T112" s="48"/>
    </row>
    <row r="113" spans="1:20" x14ac:dyDescent="0.3">
      <c r="A113" s="43"/>
      <c r="B113" s="43"/>
      <c r="C113" s="46">
        <f t="shared" si="5"/>
        <v>0</v>
      </c>
      <c r="D113" s="45">
        <v>0</v>
      </c>
      <c r="E113" s="45">
        <v>0</v>
      </c>
      <c r="F113" s="45">
        <f t="shared" si="3"/>
        <v>0</v>
      </c>
      <c r="G113" s="45">
        <v>0</v>
      </c>
      <c r="H113" s="45"/>
      <c r="I113" s="45">
        <v>0</v>
      </c>
      <c r="J113" s="45">
        <v>0</v>
      </c>
      <c r="K113" s="45">
        <v>0</v>
      </c>
      <c r="L113" s="46">
        <f t="shared" si="4"/>
        <v>0</v>
      </c>
      <c r="M113" s="47">
        <v>0</v>
      </c>
      <c r="N113" s="47">
        <v>0</v>
      </c>
      <c r="O113" s="48" t="s">
        <v>562</v>
      </c>
      <c r="P113" s="48" t="s">
        <v>563</v>
      </c>
      <c r="Q113" s="48" t="s">
        <v>564</v>
      </c>
      <c r="R113" s="48" t="s">
        <v>565</v>
      </c>
      <c r="S113" s="48" t="s">
        <v>566</v>
      </c>
      <c r="T113" s="48"/>
    </row>
    <row r="114" spans="1:20" x14ac:dyDescent="0.3">
      <c r="A114" s="43"/>
      <c r="B114" s="43"/>
      <c r="C114" s="46">
        <f t="shared" si="5"/>
        <v>0</v>
      </c>
      <c r="D114" s="45">
        <v>0</v>
      </c>
      <c r="E114" s="45">
        <v>0</v>
      </c>
      <c r="F114" s="45">
        <f t="shared" si="3"/>
        <v>0</v>
      </c>
      <c r="G114" s="45">
        <v>0</v>
      </c>
      <c r="H114" s="45"/>
      <c r="I114" s="45">
        <v>0</v>
      </c>
      <c r="J114" s="45">
        <v>0</v>
      </c>
      <c r="K114" s="45">
        <v>0</v>
      </c>
      <c r="L114" s="46">
        <f t="shared" si="4"/>
        <v>0</v>
      </c>
      <c r="M114" s="47">
        <v>0</v>
      </c>
      <c r="N114" s="47">
        <v>0</v>
      </c>
      <c r="O114" s="48" t="s">
        <v>567</v>
      </c>
      <c r="P114" s="48" t="s">
        <v>568</v>
      </c>
      <c r="Q114" s="48" t="s">
        <v>569</v>
      </c>
      <c r="R114" s="48" t="s">
        <v>570</v>
      </c>
      <c r="S114" s="48" t="s">
        <v>571</v>
      </c>
      <c r="T114" s="48"/>
    </row>
    <row r="115" spans="1:20" x14ac:dyDescent="0.3">
      <c r="A115" s="43"/>
      <c r="B115" s="43"/>
      <c r="C115" s="46">
        <f t="shared" si="5"/>
        <v>0</v>
      </c>
      <c r="D115" s="45">
        <v>0</v>
      </c>
      <c r="E115" s="45">
        <v>0</v>
      </c>
      <c r="F115" s="45">
        <f t="shared" si="3"/>
        <v>0</v>
      </c>
      <c r="G115" s="45">
        <v>0</v>
      </c>
      <c r="H115" s="45"/>
      <c r="I115" s="45">
        <v>0</v>
      </c>
      <c r="J115" s="45">
        <v>0</v>
      </c>
      <c r="K115" s="45">
        <v>0</v>
      </c>
      <c r="L115" s="46">
        <f t="shared" si="4"/>
        <v>0</v>
      </c>
      <c r="M115" s="47">
        <v>0</v>
      </c>
      <c r="N115" s="47">
        <v>0</v>
      </c>
      <c r="O115" s="48" t="s">
        <v>572</v>
      </c>
      <c r="P115" s="48" t="s">
        <v>573</v>
      </c>
      <c r="Q115" s="48" t="s">
        <v>574</v>
      </c>
      <c r="R115" s="48" t="s">
        <v>575</v>
      </c>
      <c r="S115" s="48" t="s">
        <v>576</v>
      </c>
      <c r="T115" s="48"/>
    </row>
    <row r="116" spans="1:20" x14ac:dyDescent="0.3">
      <c r="A116" s="43"/>
      <c r="B116" s="43"/>
      <c r="C116" s="46">
        <f t="shared" si="5"/>
        <v>0</v>
      </c>
      <c r="D116" s="45">
        <v>0</v>
      </c>
      <c r="E116" s="45">
        <v>0</v>
      </c>
      <c r="F116" s="45">
        <f t="shared" si="3"/>
        <v>0</v>
      </c>
      <c r="G116" s="45">
        <v>0</v>
      </c>
      <c r="H116" s="45"/>
      <c r="I116" s="45">
        <v>0</v>
      </c>
      <c r="J116" s="45">
        <v>0</v>
      </c>
      <c r="K116" s="45">
        <v>0</v>
      </c>
      <c r="L116" s="46">
        <f t="shared" si="4"/>
        <v>0</v>
      </c>
      <c r="M116" s="47">
        <v>0</v>
      </c>
      <c r="N116" s="47">
        <v>0</v>
      </c>
      <c r="O116" s="48" t="s">
        <v>577</v>
      </c>
      <c r="P116" s="48" t="s">
        <v>578</v>
      </c>
      <c r="Q116" s="48" t="s">
        <v>579</v>
      </c>
      <c r="R116" s="48" t="s">
        <v>580</v>
      </c>
      <c r="S116" s="48" t="s">
        <v>581</v>
      </c>
      <c r="T116" s="48"/>
    </row>
    <row r="117" spans="1:20" x14ac:dyDescent="0.3">
      <c r="A117" s="43"/>
      <c r="B117" s="43"/>
      <c r="C117" s="46">
        <f t="shared" si="5"/>
        <v>0</v>
      </c>
      <c r="D117" s="45">
        <v>0</v>
      </c>
      <c r="E117" s="45">
        <v>0</v>
      </c>
      <c r="F117" s="45">
        <f t="shared" si="3"/>
        <v>0</v>
      </c>
      <c r="G117" s="45">
        <v>0</v>
      </c>
      <c r="H117" s="45"/>
      <c r="I117" s="45">
        <v>0</v>
      </c>
      <c r="J117" s="45">
        <v>0</v>
      </c>
      <c r="K117" s="45">
        <v>0</v>
      </c>
      <c r="L117" s="46">
        <f t="shared" si="4"/>
        <v>0</v>
      </c>
      <c r="M117" s="47">
        <v>0</v>
      </c>
      <c r="N117" s="47">
        <v>0</v>
      </c>
      <c r="O117" s="48" t="s">
        <v>582</v>
      </c>
      <c r="P117" s="48" t="s">
        <v>583</v>
      </c>
      <c r="Q117" s="48" t="s">
        <v>584</v>
      </c>
      <c r="R117" s="48" t="s">
        <v>585</v>
      </c>
      <c r="S117" s="48" t="s">
        <v>586</v>
      </c>
      <c r="T117" s="48"/>
    </row>
    <row r="118" spans="1:20" x14ac:dyDescent="0.3">
      <c r="A118" s="43"/>
      <c r="B118" s="43"/>
      <c r="C118" s="46">
        <f t="shared" si="5"/>
        <v>0</v>
      </c>
      <c r="D118" s="45">
        <v>0</v>
      </c>
      <c r="E118" s="45">
        <v>0</v>
      </c>
      <c r="F118" s="45">
        <f t="shared" si="3"/>
        <v>0</v>
      </c>
      <c r="G118" s="45">
        <v>0</v>
      </c>
      <c r="H118" s="45"/>
      <c r="I118" s="45">
        <v>0</v>
      </c>
      <c r="J118" s="45">
        <v>0</v>
      </c>
      <c r="K118" s="45">
        <v>0</v>
      </c>
      <c r="L118" s="46">
        <f t="shared" si="4"/>
        <v>0</v>
      </c>
      <c r="M118" s="47">
        <v>0</v>
      </c>
      <c r="N118" s="47">
        <v>0</v>
      </c>
      <c r="O118" s="48" t="s">
        <v>587</v>
      </c>
      <c r="P118" s="48" t="s">
        <v>588</v>
      </c>
      <c r="Q118" s="48" t="s">
        <v>589</v>
      </c>
      <c r="R118" s="48" t="s">
        <v>590</v>
      </c>
      <c r="S118" s="48" t="s">
        <v>591</v>
      </c>
      <c r="T118" s="48"/>
    </row>
    <row r="119" spans="1:20" x14ac:dyDescent="0.3">
      <c r="A119" s="43"/>
      <c r="B119" s="43"/>
      <c r="C119" s="46">
        <f t="shared" si="5"/>
        <v>0</v>
      </c>
      <c r="D119" s="45">
        <v>0</v>
      </c>
      <c r="E119" s="45">
        <v>0</v>
      </c>
      <c r="F119" s="45">
        <f t="shared" si="3"/>
        <v>0</v>
      </c>
      <c r="G119" s="45">
        <v>0</v>
      </c>
      <c r="H119" s="45"/>
      <c r="I119" s="45">
        <v>0</v>
      </c>
      <c r="J119" s="45">
        <v>0</v>
      </c>
      <c r="K119" s="45">
        <v>0</v>
      </c>
      <c r="L119" s="46">
        <f t="shared" si="4"/>
        <v>0</v>
      </c>
      <c r="M119" s="47">
        <v>0</v>
      </c>
      <c r="N119" s="47">
        <v>0</v>
      </c>
      <c r="O119" s="48" t="s">
        <v>592</v>
      </c>
      <c r="P119" s="48" t="s">
        <v>593</v>
      </c>
      <c r="Q119" s="48" t="s">
        <v>594</v>
      </c>
      <c r="R119" s="48" t="s">
        <v>595</v>
      </c>
      <c r="S119" s="48" t="s">
        <v>596</v>
      </c>
      <c r="T119" s="48"/>
    </row>
    <row r="120" spans="1:20" x14ac:dyDescent="0.3">
      <c r="A120" s="43"/>
      <c r="B120" s="43"/>
      <c r="C120" s="46">
        <f t="shared" si="5"/>
        <v>0</v>
      </c>
      <c r="D120" s="45">
        <v>0</v>
      </c>
      <c r="E120" s="45">
        <v>0</v>
      </c>
      <c r="F120" s="45">
        <f t="shared" si="3"/>
        <v>0</v>
      </c>
      <c r="G120" s="45">
        <v>0</v>
      </c>
      <c r="H120" s="45"/>
      <c r="I120" s="45">
        <v>0</v>
      </c>
      <c r="J120" s="45">
        <v>0</v>
      </c>
      <c r="K120" s="45">
        <v>0</v>
      </c>
      <c r="L120" s="46">
        <f t="shared" si="4"/>
        <v>0</v>
      </c>
      <c r="M120" s="47">
        <v>0</v>
      </c>
      <c r="N120" s="47">
        <v>0</v>
      </c>
      <c r="O120" s="48" t="s">
        <v>597</v>
      </c>
      <c r="P120" s="48" t="s">
        <v>598</v>
      </c>
      <c r="Q120" s="48" t="s">
        <v>599</v>
      </c>
      <c r="R120" s="48" t="s">
        <v>600</v>
      </c>
      <c r="S120" s="48" t="s">
        <v>601</v>
      </c>
      <c r="T120" s="48"/>
    </row>
    <row r="121" spans="1:20" x14ac:dyDescent="0.3">
      <c r="A121" s="43"/>
      <c r="B121" s="43"/>
      <c r="C121" s="46">
        <f t="shared" si="5"/>
        <v>0</v>
      </c>
      <c r="D121" s="45">
        <v>0</v>
      </c>
      <c r="E121" s="45">
        <v>0</v>
      </c>
      <c r="F121" s="45">
        <f t="shared" si="3"/>
        <v>0</v>
      </c>
      <c r="G121" s="45">
        <v>0</v>
      </c>
      <c r="H121" s="45"/>
      <c r="I121" s="45">
        <v>0</v>
      </c>
      <c r="J121" s="45">
        <v>0</v>
      </c>
      <c r="K121" s="45">
        <v>0</v>
      </c>
      <c r="L121" s="46">
        <f t="shared" si="4"/>
        <v>0</v>
      </c>
      <c r="M121" s="47">
        <v>0</v>
      </c>
      <c r="N121" s="47">
        <v>0</v>
      </c>
      <c r="O121" s="48" t="s">
        <v>602</v>
      </c>
      <c r="P121" s="48" t="s">
        <v>603</v>
      </c>
      <c r="Q121" s="48" t="s">
        <v>604</v>
      </c>
      <c r="R121" s="48" t="s">
        <v>605</v>
      </c>
      <c r="S121" s="48" t="s">
        <v>606</v>
      </c>
      <c r="T121" s="48"/>
    </row>
    <row r="122" spans="1:20" x14ac:dyDescent="0.3">
      <c r="A122" s="43"/>
      <c r="B122" s="43"/>
      <c r="C122" s="46">
        <f t="shared" si="5"/>
        <v>0</v>
      </c>
      <c r="D122" s="45">
        <v>0</v>
      </c>
      <c r="E122" s="45">
        <v>0</v>
      </c>
      <c r="F122" s="45">
        <f t="shared" si="3"/>
        <v>0</v>
      </c>
      <c r="G122" s="45">
        <v>0</v>
      </c>
      <c r="H122" s="45"/>
      <c r="I122" s="45">
        <v>0</v>
      </c>
      <c r="J122" s="45">
        <v>0</v>
      </c>
      <c r="K122" s="45">
        <v>0</v>
      </c>
      <c r="L122" s="46">
        <f t="shared" si="4"/>
        <v>0</v>
      </c>
      <c r="M122" s="47">
        <v>0</v>
      </c>
      <c r="N122" s="47">
        <v>0</v>
      </c>
      <c r="O122" s="48" t="s">
        <v>607</v>
      </c>
      <c r="P122" s="48" t="s">
        <v>608</v>
      </c>
      <c r="Q122" s="48" t="s">
        <v>609</v>
      </c>
      <c r="R122" s="48" t="s">
        <v>610</v>
      </c>
      <c r="S122" s="48" t="s">
        <v>611</v>
      </c>
      <c r="T122" s="48"/>
    </row>
    <row r="123" spans="1:20" x14ac:dyDescent="0.3">
      <c r="A123" s="43"/>
      <c r="B123" s="43"/>
      <c r="C123" s="46">
        <f t="shared" si="5"/>
        <v>0</v>
      </c>
      <c r="D123" s="45">
        <v>0</v>
      </c>
      <c r="E123" s="45">
        <v>0</v>
      </c>
      <c r="F123" s="45">
        <f t="shared" si="3"/>
        <v>0</v>
      </c>
      <c r="G123" s="45">
        <v>0</v>
      </c>
      <c r="H123" s="45"/>
      <c r="I123" s="45">
        <v>0</v>
      </c>
      <c r="J123" s="45">
        <v>0</v>
      </c>
      <c r="K123" s="45">
        <v>0</v>
      </c>
      <c r="L123" s="46">
        <f t="shared" si="4"/>
        <v>0</v>
      </c>
      <c r="M123" s="47">
        <v>0</v>
      </c>
      <c r="N123" s="47">
        <v>0</v>
      </c>
      <c r="O123" s="48" t="s">
        <v>612</v>
      </c>
      <c r="P123" s="48" t="s">
        <v>613</v>
      </c>
      <c r="Q123" s="48" t="s">
        <v>614</v>
      </c>
      <c r="R123" s="48" t="s">
        <v>615</v>
      </c>
      <c r="S123" s="48" t="s">
        <v>616</v>
      </c>
      <c r="T123" s="48"/>
    </row>
    <row r="124" spans="1:20" x14ac:dyDescent="0.3">
      <c r="A124" s="43"/>
      <c r="B124" s="43"/>
      <c r="C124" s="46">
        <f t="shared" si="5"/>
        <v>0</v>
      </c>
      <c r="D124" s="45">
        <v>0</v>
      </c>
      <c r="E124" s="45">
        <v>0</v>
      </c>
      <c r="F124" s="45">
        <f t="shared" si="3"/>
        <v>0</v>
      </c>
      <c r="G124" s="45">
        <v>0</v>
      </c>
      <c r="H124" s="45"/>
      <c r="I124" s="45">
        <v>0</v>
      </c>
      <c r="J124" s="45">
        <v>0</v>
      </c>
      <c r="K124" s="45">
        <v>0</v>
      </c>
      <c r="L124" s="46">
        <f t="shared" si="4"/>
        <v>0</v>
      </c>
      <c r="M124" s="47">
        <v>0</v>
      </c>
      <c r="N124" s="47">
        <v>0</v>
      </c>
      <c r="O124" s="48" t="s">
        <v>617</v>
      </c>
      <c r="P124" s="48" t="s">
        <v>618</v>
      </c>
      <c r="Q124" s="48" t="s">
        <v>619</v>
      </c>
      <c r="R124" s="48" t="s">
        <v>620</v>
      </c>
      <c r="S124" s="48" t="s">
        <v>621</v>
      </c>
      <c r="T124" s="48"/>
    </row>
    <row r="125" spans="1:20" x14ac:dyDescent="0.3">
      <c r="A125" s="43"/>
      <c r="B125" s="43"/>
      <c r="C125" s="46">
        <f t="shared" si="5"/>
        <v>0</v>
      </c>
      <c r="D125" s="45">
        <v>0</v>
      </c>
      <c r="E125" s="45">
        <v>0</v>
      </c>
      <c r="F125" s="45">
        <f t="shared" si="3"/>
        <v>0</v>
      </c>
      <c r="G125" s="45">
        <v>0</v>
      </c>
      <c r="H125" s="45"/>
      <c r="I125" s="45">
        <v>0</v>
      </c>
      <c r="J125" s="45">
        <v>0</v>
      </c>
      <c r="K125" s="45">
        <v>0</v>
      </c>
      <c r="L125" s="46">
        <f t="shared" si="4"/>
        <v>0</v>
      </c>
      <c r="M125" s="47">
        <v>0</v>
      </c>
      <c r="N125" s="47">
        <v>0</v>
      </c>
      <c r="O125" s="48" t="s">
        <v>622</v>
      </c>
      <c r="P125" s="48" t="s">
        <v>623</v>
      </c>
      <c r="Q125" s="48" t="s">
        <v>624</v>
      </c>
      <c r="R125" s="48" t="s">
        <v>625</v>
      </c>
      <c r="S125" s="48" t="s">
        <v>626</v>
      </c>
      <c r="T125" s="48"/>
    </row>
    <row r="126" spans="1:20" x14ac:dyDescent="0.3">
      <c r="A126" s="43"/>
      <c r="B126" s="43"/>
      <c r="C126" s="46">
        <f t="shared" si="5"/>
        <v>0</v>
      </c>
      <c r="D126" s="45">
        <v>0</v>
      </c>
      <c r="E126" s="45">
        <v>0</v>
      </c>
      <c r="F126" s="45">
        <f t="shared" si="3"/>
        <v>0</v>
      </c>
      <c r="G126" s="45">
        <v>0</v>
      </c>
      <c r="H126" s="45"/>
      <c r="I126" s="45">
        <v>0</v>
      </c>
      <c r="J126" s="45">
        <v>0</v>
      </c>
      <c r="K126" s="45">
        <v>0</v>
      </c>
      <c r="L126" s="46">
        <f t="shared" si="4"/>
        <v>0</v>
      </c>
      <c r="M126" s="47">
        <v>0</v>
      </c>
      <c r="N126" s="47">
        <v>0</v>
      </c>
      <c r="O126" s="48" t="s">
        <v>627</v>
      </c>
      <c r="P126" s="48" t="s">
        <v>628</v>
      </c>
      <c r="Q126" s="48" t="s">
        <v>629</v>
      </c>
      <c r="R126" s="48" t="s">
        <v>630</v>
      </c>
      <c r="S126" s="48" t="s">
        <v>631</v>
      </c>
      <c r="T126" s="48"/>
    </row>
    <row r="127" spans="1:20" x14ac:dyDescent="0.3">
      <c r="A127" s="43"/>
      <c r="B127" s="43"/>
      <c r="C127" s="46">
        <f t="shared" si="5"/>
        <v>0</v>
      </c>
      <c r="D127" s="45">
        <v>0</v>
      </c>
      <c r="E127" s="45">
        <v>0</v>
      </c>
      <c r="F127" s="45">
        <f t="shared" si="3"/>
        <v>0</v>
      </c>
      <c r="G127" s="45">
        <v>0</v>
      </c>
      <c r="H127" s="45"/>
      <c r="I127" s="45">
        <v>0</v>
      </c>
      <c r="J127" s="45">
        <v>0</v>
      </c>
      <c r="K127" s="45">
        <v>0</v>
      </c>
      <c r="L127" s="46">
        <f t="shared" si="4"/>
        <v>0</v>
      </c>
      <c r="M127" s="47">
        <v>0</v>
      </c>
      <c r="N127" s="47">
        <v>0</v>
      </c>
      <c r="O127" s="48" t="s">
        <v>632</v>
      </c>
      <c r="P127" s="48" t="s">
        <v>633</v>
      </c>
      <c r="Q127" s="48" t="s">
        <v>634</v>
      </c>
      <c r="R127" s="48" t="s">
        <v>635</v>
      </c>
      <c r="S127" s="48" t="s">
        <v>636</v>
      </c>
      <c r="T127" s="48"/>
    </row>
    <row r="128" spans="1:20" x14ac:dyDescent="0.3">
      <c r="A128" s="43"/>
      <c r="B128" s="43"/>
      <c r="C128" s="46">
        <f t="shared" si="5"/>
        <v>0</v>
      </c>
      <c r="D128" s="45">
        <v>0</v>
      </c>
      <c r="E128" s="45">
        <v>0</v>
      </c>
      <c r="F128" s="45">
        <f t="shared" si="3"/>
        <v>0</v>
      </c>
      <c r="G128" s="45">
        <v>0</v>
      </c>
      <c r="H128" s="45"/>
      <c r="I128" s="45">
        <v>0</v>
      </c>
      <c r="J128" s="45">
        <v>0</v>
      </c>
      <c r="K128" s="45">
        <v>0</v>
      </c>
      <c r="L128" s="46">
        <f t="shared" si="4"/>
        <v>0</v>
      </c>
      <c r="M128" s="47">
        <v>0</v>
      </c>
      <c r="N128" s="47">
        <v>0</v>
      </c>
      <c r="O128" s="48" t="s">
        <v>637</v>
      </c>
      <c r="P128" s="48" t="s">
        <v>638</v>
      </c>
      <c r="Q128" s="48" t="s">
        <v>639</v>
      </c>
      <c r="R128" s="48" t="s">
        <v>640</v>
      </c>
      <c r="S128" s="48" t="s">
        <v>641</v>
      </c>
      <c r="T128" s="48"/>
    </row>
    <row r="129" spans="1:20" x14ac:dyDescent="0.3">
      <c r="A129" s="43"/>
      <c r="B129" s="43"/>
      <c r="C129" s="46">
        <f t="shared" si="5"/>
        <v>0</v>
      </c>
      <c r="D129" s="45">
        <v>0</v>
      </c>
      <c r="E129" s="45">
        <v>0</v>
      </c>
      <c r="F129" s="45">
        <f t="shared" si="3"/>
        <v>0</v>
      </c>
      <c r="G129" s="45">
        <v>0</v>
      </c>
      <c r="H129" s="45"/>
      <c r="I129" s="45">
        <v>0</v>
      </c>
      <c r="J129" s="45">
        <v>0</v>
      </c>
      <c r="K129" s="45">
        <v>0</v>
      </c>
      <c r="L129" s="46">
        <f t="shared" si="4"/>
        <v>0</v>
      </c>
      <c r="M129" s="47">
        <v>0</v>
      </c>
      <c r="N129" s="47">
        <v>0</v>
      </c>
      <c r="O129" s="48" t="s">
        <v>642</v>
      </c>
      <c r="P129" s="48" t="s">
        <v>643</v>
      </c>
      <c r="Q129" s="48" t="s">
        <v>644</v>
      </c>
      <c r="R129" s="48" t="s">
        <v>645</v>
      </c>
      <c r="S129" s="48" t="s">
        <v>646</v>
      </c>
      <c r="T129" s="48"/>
    </row>
    <row r="130" spans="1:20" x14ac:dyDescent="0.3">
      <c r="A130" s="43"/>
      <c r="B130" s="43"/>
      <c r="C130" s="46">
        <f t="shared" si="5"/>
        <v>0</v>
      </c>
      <c r="D130" s="45">
        <v>0</v>
      </c>
      <c r="E130" s="45">
        <v>0</v>
      </c>
      <c r="F130" s="45">
        <f t="shared" si="3"/>
        <v>0</v>
      </c>
      <c r="G130" s="45">
        <v>0</v>
      </c>
      <c r="H130" s="45"/>
      <c r="I130" s="45">
        <v>0</v>
      </c>
      <c r="J130" s="45">
        <v>0</v>
      </c>
      <c r="K130" s="45">
        <v>0</v>
      </c>
      <c r="L130" s="46">
        <f t="shared" si="4"/>
        <v>0</v>
      </c>
      <c r="M130" s="47">
        <v>0</v>
      </c>
      <c r="N130" s="47">
        <v>0</v>
      </c>
      <c r="O130" s="48" t="s">
        <v>647</v>
      </c>
      <c r="P130" s="48" t="s">
        <v>648</v>
      </c>
      <c r="Q130" s="48" t="s">
        <v>649</v>
      </c>
      <c r="R130" s="48" t="s">
        <v>650</v>
      </c>
      <c r="S130" s="48" t="s">
        <v>651</v>
      </c>
      <c r="T130" s="48"/>
    </row>
    <row r="131" spans="1:20" x14ac:dyDescent="0.3">
      <c r="A131" s="43"/>
      <c r="B131" s="43"/>
      <c r="C131" s="46">
        <f t="shared" si="5"/>
        <v>0</v>
      </c>
      <c r="D131" s="45">
        <v>0</v>
      </c>
      <c r="E131" s="45">
        <v>0</v>
      </c>
      <c r="F131" s="45">
        <f t="shared" si="3"/>
        <v>0</v>
      </c>
      <c r="G131" s="45">
        <v>0</v>
      </c>
      <c r="H131" s="45"/>
      <c r="I131" s="45">
        <v>0</v>
      </c>
      <c r="J131" s="45">
        <v>0</v>
      </c>
      <c r="K131" s="45">
        <v>0</v>
      </c>
      <c r="L131" s="46">
        <f t="shared" si="4"/>
        <v>0</v>
      </c>
      <c r="M131" s="47">
        <v>0</v>
      </c>
      <c r="N131" s="47">
        <v>0</v>
      </c>
      <c r="O131" s="48" t="s">
        <v>652</v>
      </c>
      <c r="P131" s="48" t="s">
        <v>653</v>
      </c>
      <c r="Q131" s="48" t="s">
        <v>654</v>
      </c>
      <c r="R131" s="48" t="s">
        <v>655</v>
      </c>
      <c r="S131" s="48" t="s">
        <v>656</v>
      </c>
      <c r="T131" s="48"/>
    </row>
    <row r="132" spans="1:20" x14ac:dyDescent="0.3">
      <c r="A132" s="43"/>
      <c r="B132" s="43"/>
      <c r="C132" s="46">
        <f t="shared" si="5"/>
        <v>0</v>
      </c>
      <c r="D132" s="45">
        <v>0</v>
      </c>
      <c r="E132" s="45">
        <v>0</v>
      </c>
      <c r="F132" s="45">
        <f t="shared" si="3"/>
        <v>0</v>
      </c>
      <c r="G132" s="45">
        <v>0</v>
      </c>
      <c r="H132" s="45"/>
      <c r="I132" s="45">
        <v>0</v>
      </c>
      <c r="J132" s="45">
        <v>0</v>
      </c>
      <c r="K132" s="45">
        <v>0</v>
      </c>
      <c r="L132" s="46">
        <f t="shared" si="4"/>
        <v>0</v>
      </c>
      <c r="M132" s="47">
        <v>0</v>
      </c>
      <c r="N132" s="47">
        <v>0</v>
      </c>
      <c r="O132" s="48" t="s">
        <v>657</v>
      </c>
      <c r="P132" s="48" t="s">
        <v>658</v>
      </c>
      <c r="Q132" s="48" t="s">
        <v>659</v>
      </c>
      <c r="R132" s="48" t="s">
        <v>660</v>
      </c>
      <c r="S132" s="48" t="s">
        <v>661</v>
      </c>
      <c r="T132" s="48"/>
    </row>
    <row r="133" spans="1:20" x14ac:dyDescent="0.3">
      <c r="A133" s="43"/>
      <c r="B133" s="43"/>
      <c r="C133" s="46">
        <f t="shared" si="5"/>
        <v>0</v>
      </c>
      <c r="D133" s="45">
        <v>0</v>
      </c>
      <c r="E133" s="45">
        <v>0</v>
      </c>
      <c r="F133" s="45">
        <f t="shared" si="3"/>
        <v>0</v>
      </c>
      <c r="G133" s="45">
        <v>0</v>
      </c>
      <c r="H133" s="45"/>
      <c r="I133" s="45">
        <v>0</v>
      </c>
      <c r="J133" s="45">
        <v>0</v>
      </c>
      <c r="K133" s="45">
        <v>0</v>
      </c>
      <c r="L133" s="46">
        <f t="shared" si="4"/>
        <v>0</v>
      </c>
      <c r="M133" s="47">
        <v>0</v>
      </c>
      <c r="N133" s="47">
        <v>0</v>
      </c>
      <c r="O133" s="48" t="s">
        <v>662</v>
      </c>
      <c r="P133" s="48" t="s">
        <v>663</v>
      </c>
      <c r="Q133" s="48" t="s">
        <v>664</v>
      </c>
      <c r="R133" s="48" t="s">
        <v>665</v>
      </c>
      <c r="S133" s="48" t="s">
        <v>666</v>
      </c>
      <c r="T133" s="48"/>
    </row>
    <row r="134" spans="1:20" x14ac:dyDescent="0.3">
      <c r="A134" s="43"/>
      <c r="B134" s="43"/>
      <c r="C134" s="46">
        <f t="shared" si="5"/>
        <v>0</v>
      </c>
      <c r="D134" s="45">
        <v>0</v>
      </c>
      <c r="E134" s="45">
        <v>0</v>
      </c>
      <c r="F134" s="45">
        <f t="shared" si="3"/>
        <v>0</v>
      </c>
      <c r="G134" s="45">
        <v>0</v>
      </c>
      <c r="H134" s="45"/>
      <c r="I134" s="45">
        <v>0</v>
      </c>
      <c r="J134" s="45">
        <v>0</v>
      </c>
      <c r="K134" s="45">
        <v>0</v>
      </c>
      <c r="L134" s="46">
        <f t="shared" si="4"/>
        <v>0</v>
      </c>
      <c r="M134" s="47">
        <v>0</v>
      </c>
      <c r="N134" s="47">
        <v>0</v>
      </c>
      <c r="O134" s="48" t="s">
        <v>667</v>
      </c>
      <c r="P134" s="48" t="s">
        <v>668</v>
      </c>
      <c r="Q134" s="48" t="s">
        <v>669</v>
      </c>
      <c r="R134" s="48" t="s">
        <v>670</v>
      </c>
      <c r="S134" s="48" t="s">
        <v>671</v>
      </c>
      <c r="T134" s="48"/>
    </row>
    <row r="135" spans="1:20" x14ac:dyDescent="0.3">
      <c r="A135" s="43"/>
      <c r="B135" s="43"/>
      <c r="C135" s="46">
        <f t="shared" si="5"/>
        <v>0</v>
      </c>
      <c r="D135" s="45">
        <v>0</v>
      </c>
      <c r="E135" s="45">
        <v>0</v>
      </c>
      <c r="F135" s="45">
        <f t="shared" si="3"/>
        <v>0</v>
      </c>
      <c r="G135" s="45">
        <v>0</v>
      </c>
      <c r="H135" s="45"/>
      <c r="I135" s="45">
        <v>0</v>
      </c>
      <c r="J135" s="45">
        <v>0</v>
      </c>
      <c r="K135" s="45">
        <v>0</v>
      </c>
      <c r="L135" s="46">
        <f t="shared" si="4"/>
        <v>0</v>
      </c>
      <c r="M135" s="47">
        <v>0</v>
      </c>
      <c r="N135" s="47">
        <v>0</v>
      </c>
      <c r="O135" s="48" t="s">
        <v>672</v>
      </c>
      <c r="P135" s="48" t="s">
        <v>673</v>
      </c>
      <c r="Q135" s="48" t="s">
        <v>674</v>
      </c>
      <c r="R135" s="48" t="s">
        <v>675</v>
      </c>
      <c r="S135" s="48" t="s">
        <v>676</v>
      </c>
      <c r="T135" s="48"/>
    </row>
    <row r="136" spans="1:20" x14ac:dyDescent="0.3">
      <c r="A136" s="43"/>
      <c r="B136" s="43"/>
      <c r="C136" s="46">
        <f t="shared" si="5"/>
        <v>0</v>
      </c>
      <c r="D136" s="45">
        <v>0</v>
      </c>
      <c r="E136" s="45">
        <v>0</v>
      </c>
      <c r="F136" s="45">
        <f t="shared" si="3"/>
        <v>0</v>
      </c>
      <c r="G136" s="45">
        <v>0</v>
      </c>
      <c r="H136" s="45"/>
      <c r="I136" s="45">
        <v>0</v>
      </c>
      <c r="J136" s="45">
        <v>0</v>
      </c>
      <c r="K136" s="45">
        <v>0</v>
      </c>
      <c r="L136" s="46">
        <f t="shared" si="4"/>
        <v>0</v>
      </c>
      <c r="M136" s="47">
        <v>0</v>
      </c>
      <c r="N136" s="47">
        <v>0</v>
      </c>
      <c r="O136" s="48" t="s">
        <v>677</v>
      </c>
      <c r="P136" s="48" t="s">
        <v>678</v>
      </c>
      <c r="Q136" s="48" t="s">
        <v>679</v>
      </c>
      <c r="R136" s="48" t="s">
        <v>680</v>
      </c>
      <c r="S136" s="48" t="s">
        <v>681</v>
      </c>
      <c r="T136" s="48"/>
    </row>
    <row r="137" spans="1:20" x14ac:dyDescent="0.3">
      <c r="A137" s="43"/>
      <c r="B137" s="43"/>
      <c r="C137" s="46">
        <f t="shared" si="5"/>
        <v>0</v>
      </c>
      <c r="D137" s="45">
        <v>0</v>
      </c>
      <c r="E137" s="45">
        <v>0</v>
      </c>
      <c r="F137" s="45">
        <f t="shared" si="3"/>
        <v>0</v>
      </c>
      <c r="G137" s="45">
        <v>0</v>
      </c>
      <c r="H137" s="45"/>
      <c r="I137" s="45">
        <v>0</v>
      </c>
      <c r="J137" s="45">
        <v>0</v>
      </c>
      <c r="K137" s="45">
        <v>0</v>
      </c>
      <c r="L137" s="46">
        <f t="shared" si="4"/>
        <v>0</v>
      </c>
      <c r="M137" s="47">
        <v>0</v>
      </c>
      <c r="N137" s="47">
        <v>0</v>
      </c>
      <c r="O137" s="48" t="s">
        <v>682</v>
      </c>
      <c r="P137" s="48" t="s">
        <v>683</v>
      </c>
      <c r="Q137" s="48" t="s">
        <v>684</v>
      </c>
      <c r="R137" s="48" t="s">
        <v>685</v>
      </c>
      <c r="S137" s="48" t="s">
        <v>686</v>
      </c>
      <c r="T137" s="48"/>
    </row>
    <row r="138" spans="1:20" x14ac:dyDescent="0.3">
      <c r="A138" s="43"/>
      <c r="B138" s="43"/>
      <c r="C138" s="46">
        <f t="shared" si="5"/>
        <v>0</v>
      </c>
      <c r="D138" s="45">
        <v>0</v>
      </c>
      <c r="E138" s="45">
        <v>0</v>
      </c>
      <c r="F138" s="45">
        <f t="shared" si="3"/>
        <v>0</v>
      </c>
      <c r="G138" s="45">
        <v>0</v>
      </c>
      <c r="H138" s="45"/>
      <c r="I138" s="45">
        <v>0</v>
      </c>
      <c r="J138" s="45">
        <v>0</v>
      </c>
      <c r="K138" s="45">
        <v>0</v>
      </c>
      <c r="L138" s="46">
        <f t="shared" si="4"/>
        <v>0</v>
      </c>
      <c r="M138" s="47">
        <v>0</v>
      </c>
      <c r="N138" s="47">
        <v>0</v>
      </c>
      <c r="O138" s="48" t="s">
        <v>687</v>
      </c>
      <c r="P138" s="48" t="s">
        <v>688</v>
      </c>
      <c r="Q138" s="48" t="s">
        <v>689</v>
      </c>
      <c r="R138" s="48" t="s">
        <v>690</v>
      </c>
      <c r="S138" s="48" t="s">
        <v>691</v>
      </c>
      <c r="T138" s="48"/>
    </row>
    <row r="139" spans="1:20" x14ac:dyDescent="0.3">
      <c r="A139" s="43"/>
      <c r="B139" s="43"/>
      <c r="C139" s="46">
        <f t="shared" si="5"/>
        <v>0</v>
      </c>
      <c r="D139" s="45">
        <v>0</v>
      </c>
      <c r="E139" s="45">
        <v>0</v>
      </c>
      <c r="F139" s="45">
        <f t="shared" si="3"/>
        <v>0</v>
      </c>
      <c r="G139" s="45">
        <v>0</v>
      </c>
      <c r="H139" s="45"/>
      <c r="I139" s="45">
        <v>0</v>
      </c>
      <c r="J139" s="45">
        <v>0</v>
      </c>
      <c r="K139" s="45">
        <v>0</v>
      </c>
      <c r="L139" s="46">
        <f t="shared" si="4"/>
        <v>0</v>
      </c>
      <c r="M139" s="47">
        <v>0</v>
      </c>
      <c r="N139" s="47">
        <v>0</v>
      </c>
      <c r="O139" s="48" t="s">
        <v>692</v>
      </c>
      <c r="P139" s="48" t="s">
        <v>693</v>
      </c>
      <c r="Q139" s="48" t="s">
        <v>694</v>
      </c>
      <c r="R139" s="48" t="s">
        <v>695</v>
      </c>
      <c r="S139" s="48" t="s">
        <v>696</v>
      </c>
      <c r="T139" s="48"/>
    </row>
    <row r="140" spans="1:20" x14ac:dyDescent="0.3">
      <c r="A140" s="43"/>
      <c r="B140" s="43"/>
      <c r="C140" s="46">
        <f t="shared" si="5"/>
        <v>0</v>
      </c>
      <c r="D140" s="45">
        <v>0</v>
      </c>
      <c r="E140" s="45">
        <v>0</v>
      </c>
      <c r="F140" s="45">
        <f t="shared" si="3"/>
        <v>0</v>
      </c>
      <c r="G140" s="45">
        <v>0</v>
      </c>
      <c r="H140" s="45"/>
      <c r="I140" s="45">
        <v>0</v>
      </c>
      <c r="J140" s="45">
        <v>0</v>
      </c>
      <c r="K140" s="45">
        <v>0</v>
      </c>
      <c r="L140" s="46">
        <f t="shared" si="4"/>
        <v>0</v>
      </c>
      <c r="M140" s="47">
        <v>0</v>
      </c>
      <c r="N140" s="47">
        <v>0</v>
      </c>
      <c r="O140" s="48" t="s">
        <v>697</v>
      </c>
      <c r="P140" s="48" t="s">
        <v>698</v>
      </c>
      <c r="Q140" s="48" t="s">
        <v>699</v>
      </c>
      <c r="R140" s="48" t="s">
        <v>700</v>
      </c>
      <c r="S140" s="48" t="s">
        <v>701</v>
      </c>
      <c r="T140" s="48"/>
    </row>
    <row r="141" spans="1:20" x14ac:dyDescent="0.3">
      <c r="A141" s="43"/>
      <c r="B141" s="43"/>
      <c r="C141" s="46">
        <f t="shared" si="5"/>
        <v>0</v>
      </c>
      <c r="D141" s="45">
        <v>0</v>
      </c>
      <c r="E141" s="45">
        <v>0</v>
      </c>
      <c r="F141" s="45">
        <f t="shared" ref="F141:F150" si="6">E141-G141-H141</f>
        <v>0</v>
      </c>
      <c r="G141" s="45">
        <v>0</v>
      </c>
      <c r="H141" s="45"/>
      <c r="I141" s="45">
        <v>0</v>
      </c>
      <c r="J141" s="45">
        <v>0</v>
      </c>
      <c r="K141" s="45">
        <v>0</v>
      </c>
      <c r="L141" s="46">
        <f t="shared" ref="L141:L150" si="7">C141+J141+K141-H141-F141+D141</f>
        <v>0</v>
      </c>
      <c r="M141" s="47">
        <v>0</v>
      </c>
      <c r="N141" s="47">
        <v>0</v>
      </c>
      <c r="O141" s="48" t="s">
        <v>702</v>
      </c>
      <c r="P141" s="48" t="s">
        <v>703</v>
      </c>
      <c r="Q141" s="48" t="s">
        <v>704</v>
      </c>
      <c r="R141" s="48" t="s">
        <v>705</v>
      </c>
      <c r="S141" s="48" t="s">
        <v>706</v>
      </c>
      <c r="T141" s="48"/>
    </row>
    <row r="142" spans="1:20" x14ac:dyDescent="0.3">
      <c r="A142" s="43"/>
      <c r="B142" s="43"/>
      <c r="C142" s="46">
        <f t="shared" ref="C142:C150" si="8">L141</f>
        <v>0</v>
      </c>
      <c r="D142" s="45">
        <v>0</v>
      </c>
      <c r="E142" s="45">
        <v>0</v>
      </c>
      <c r="F142" s="45">
        <f t="shared" si="6"/>
        <v>0</v>
      </c>
      <c r="G142" s="45">
        <v>0</v>
      </c>
      <c r="H142" s="45"/>
      <c r="I142" s="45">
        <v>0</v>
      </c>
      <c r="J142" s="45">
        <v>0</v>
      </c>
      <c r="K142" s="45">
        <v>0</v>
      </c>
      <c r="L142" s="46">
        <f t="shared" si="7"/>
        <v>0</v>
      </c>
      <c r="M142" s="47">
        <v>0</v>
      </c>
      <c r="N142" s="47">
        <v>0</v>
      </c>
      <c r="O142" s="48" t="s">
        <v>707</v>
      </c>
      <c r="P142" s="48" t="s">
        <v>708</v>
      </c>
      <c r="Q142" s="48" t="s">
        <v>709</v>
      </c>
      <c r="R142" s="48" t="s">
        <v>710</v>
      </c>
      <c r="S142" s="48" t="s">
        <v>711</v>
      </c>
      <c r="T142" s="48"/>
    </row>
    <row r="143" spans="1:20" x14ac:dyDescent="0.3">
      <c r="A143" s="43"/>
      <c r="B143" s="43"/>
      <c r="C143" s="46">
        <f t="shared" si="8"/>
        <v>0</v>
      </c>
      <c r="D143" s="45">
        <v>0</v>
      </c>
      <c r="E143" s="45">
        <v>0</v>
      </c>
      <c r="F143" s="45">
        <f t="shared" si="6"/>
        <v>0</v>
      </c>
      <c r="G143" s="45">
        <v>0</v>
      </c>
      <c r="H143" s="45"/>
      <c r="I143" s="45">
        <v>0</v>
      </c>
      <c r="J143" s="45">
        <v>0</v>
      </c>
      <c r="K143" s="45">
        <v>0</v>
      </c>
      <c r="L143" s="46">
        <f t="shared" si="7"/>
        <v>0</v>
      </c>
      <c r="M143" s="47">
        <v>0</v>
      </c>
      <c r="N143" s="47">
        <v>0</v>
      </c>
      <c r="O143" s="48" t="s">
        <v>712</v>
      </c>
      <c r="P143" s="48" t="s">
        <v>713</v>
      </c>
      <c r="Q143" s="48" t="s">
        <v>714</v>
      </c>
      <c r="R143" s="48" t="s">
        <v>715</v>
      </c>
      <c r="S143" s="48" t="s">
        <v>716</v>
      </c>
      <c r="T143" s="48"/>
    </row>
    <row r="144" spans="1:20" x14ac:dyDescent="0.3">
      <c r="A144" s="43"/>
      <c r="B144" s="43"/>
      <c r="C144" s="46">
        <f t="shared" si="8"/>
        <v>0</v>
      </c>
      <c r="D144" s="45">
        <v>0</v>
      </c>
      <c r="E144" s="45">
        <v>0</v>
      </c>
      <c r="F144" s="45">
        <f t="shared" si="6"/>
        <v>0</v>
      </c>
      <c r="G144" s="45">
        <v>0</v>
      </c>
      <c r="H144" s="45"/>
      <c r="I144" s="45">
        <v>0</v>
      </c>
      <c r="J144" s="45">
        <v>0</v>
      </c>
      <c r="K144" s="45">
        <v>0</v>
      </c>
      <c r="L144" s="46">
        <f t="shared" si="7"/>
        <v>0</v>
      </c>
      <c r="M144" s="47">
        <v>0</v>
      </c>
      <c r="N144" s="47">
        <v>0</v>
      </c>
      <c r="O144" s="48" t="s">
        <v>717</v>
      </c>
      <c r="P144" s="48" t="s">
        <v>718</v>
      </c>
      <c r="Q144" s="48" t="s">
        <v>719</v>
      </c>
      <c r="R144" s="48" t="s">
        <v>720</v>
      </c>
      <c r="S144" s="48" t="s">
        <v>721</v>
      </c>
      <c r="T144" s="48"/>
    </row>
    <row r="145" spans="1:20" x14ac:dyDescent="0.3">
      <c r="A145" s="43"/>
      <c r="B145" s="43"/>
      <c r="C145" s="46">
        <f t="shared" si="8"/>
        <v>0</v>
      </c>
      <c r="D145" s="45">
        <v>0</v>
      </c>
      <c r="E145" s="45">
        <v>0</v>
      </c>
      <c r="F145" s="45">
        <f t="shared" si="6"/>
        <v>0</v>
      </c>
      <c r="G145" s="45">
        <v>0</v>
      </c>
      <c r="H145" s="45"/>
      <c r="I145" s="45">
        <v>0</v>
      </c>
      <c r="J145" s="45">
        <v>0</v>
      </c>
      <c r="K145" s="45">
        <v>0</v>
      </c>
      <c r="L145" s="46">
        <f t="shared" si="7"/>
        <v>0</v>
      </c>
      <c r="M145" s="47">
        <v>0</v>
      </c>
      <c r="N145" s="47">
        <v>0</v>
      </c>
      <c r="O145" s="48" t="s">
        <v>722</v>
      </c>
      <c r="P145" s="48" t="s">
        <v>723</v>
      </c>
      <c r="Q145" s="48" t="s">
        <v>724</v>
      </c>
      <c r="R145" s="48" t="s">
        <v>725</v>
      </c>
      <c r="S145" s="48" t="s">
        <v>726</v>
      </c>
      <c r="T145" s="48"/>
    </row>
    <row r="146" spans="1:20" x14ac:dyDescent="0.3">
      <c r="A146" s="43"/>
      <c r="B146" s="43"/>
      <c r="C146" s="46">
        <f t="shared" si="8"/>
        <v>0</v>
      </c>
      <c r="D146" s="45">
        <v>0</v>
      </c>
      <c r="E146" s="45">
        <v>0</v>
      </c>
      <c r="F146" s="45">
        <f t="shared" si="6"/>
        <v>0</v>
      </c>
      <c r="G146" s="45">
        <v>0</v>
      </c>
      <c r="H146" s="45"/>
      <c r="I146" s="45">
        <v>0</v>
      </c>
      <c r="J146" s="45">
        <v>0</v>
      </c>
      <c r="K146" s="45">
        <v>0</v>
      </c>
      <c r="L146" s="46">
        <f t="shared" si="7"/>
        <v>0</v>
      </c>
      <c r="M146" s="47">
        <v>0</v>
      </c>
      <c r="N146" s="47">
        <v>0</v>
      </c>
      <c r="O146" s="48" t="s">
        <v>727</v>
      </c>
      <c r="P146" s="48" t="s">
        <v>728</v>
      </c>
      <c r="Q146" s="48" t="s">
        <v>729</v>
      </c>
      <c r="R146" s="48" t="s">
        <v>730</v>
      </c>
      <c r="S146" s="48" t="s">
        <v>731</v>
      </c>
      <c r="T146" s="48"/>
    </row>
    <row r="147" spans="1:20" x14ac:dyDescent="0.3">
      <c r="A147" s="43"/>
      <c r="B147" s="43"/>
      <c r="C147" s="46">
        <f t="shared" si="8"/>
        <v>0</v>
      </c>
      <c r="D147" s="45">
        <v>0</v>
      </c>
      <c r="E147" s="45">
        <v>0</v>
      </c>
      <c r="F147" s="45">
        <f t="shared" si="6"/>
        <v>0</v>
      </c>
      <c r="G147" s="45">
        <v>0</v>
      </c>
      <c r="H147" s="45"/>
      <c r="I147" s="45">
        <v>0</v>
      </c>
      <c r="J147" s="45">
        <v>0</v>
      </c>
      <c r="K147" s="45">
        <v>0</v>
      </c>
      <c r="L147" s="46">
        <f t="shared" si="7"/>
        <v>0</v>
      </c>
      <c r="M147" s="47">
        <v>0</v>
      </c>
      <c r="N147" s="47">
        <v>0</v>
      </c>
      <c r="O147" s="48" t="s">
        <v>732</v>
      </c>
      <c r="P147" s="48" t="s">
        <v>733</v>
      </c>
      <c r="Q147" s="48" t="s">
        <v>734</v>
      </c>
      <c r="R147" s="48" t="s">
        <v>735</v>
      </c>
      <c r="S147" s="48" t="s">
        <v>736</v>
      </c>
      <c r="T147" s="48"/>
    </row>
    <row r="148" spans="1:20" x14ac:dyDescent="0.3">
      <c r="A148" s="43"/>
      <c r="B148" s="43"/>
      <c r="C148" s="46">
        <f t="shared" si="8"/>
        <v>0</v>
      </c>
      <c r="D148" s="45">
        <v>0</v>
      </c>
      <c r="E148" s="45">
        <v>0</v>
      </c>
      <c r="F148" s="45">
        <f t="shared" si="6"/>
        <v>0</v>
      </c>
      <c r="G148" s="45">
        <v>0</v>
      </c>
      <c r="H148" s="45"/>
      <c r="I148" s="45">
        <v>0</v>
      </c>
      <c r="J148" s="45">
        <v>0</v>
      </c>
      <c r="K148" s="45">
        <v>0</v>
      </c>
      <c r="L148" s="46">
        <f t="shared" si="7"/>
        <v>0</v>
      </c>
      <c r="M148" s="47">
        <v>0</v>
      </c>
      <c r="N148" s="47">
        <v>0</v>
      </c>
      <c r="O148" s="48" t="s">
        <v>737</v>
      </c>
      <c r="P148" s="48" t="s">
        <v>738</v>
      </c>
      <c r="Q148" s="48" t="s">
        <v>739</v>
      </c>
      <c r="R148" s="48" t="s">
        <v>740</v>
      </c>
      <c r="S148" s="48" t="s">
        <v>741</v>
      </c>
      <c r="T148" s="48"/>
    </row>
    <row r="149" spans="1:20" x14ac:dyDescent="0.3">
      <c r="A149" s="43"/>
      <c r="B149" s="43"/>
      <c r="C149" s="46">
        <f t="shared" si="8"/>
        <v>0</v>
      </c>
      <c r="D149" s="45">
        <v>0</v>
      </c>
      <c r="E149" s="45">
        <v>0</v>
      </c>
      <c r="F149" s="45">
        <f t="shared" si="6"/>
        <v>0</v>
      </c>
      <c r="G149" s="45">
        <v>0</v>
      </c>
      <c r="H149" s="45"/>
      <c r="I149" s="45">
        <v>0</v>
      </c>
      <c r="J149" s="45">
        <v>0</v>
      </c>
      <c r="K149" s="45">
        <v>0</v>
      </c>
      <c r="L149" s="46">
        <f t="shared" si="7"/>
        <v>0</v>
      </c>
      <c r="M149" s="47">
        <v>0</v>
      </c>
      <c r="N149" s="47">
        <v>0</v>
      </c>
      <c r="O149" s="48" t="s">
        <v>742</v>
      </c>
      <c r="P149" s="48" t="s">
        <v>743</v>
      </c>
      <c r="Q149" s="48" t="s">
        <v>744</v>
      </c>
      <c r="R149" s="48" t="s">
        <v>745</v>
      </c>
      <c r="S149" s="48" t="s">
        <v>746</v>
      </c>
      <c r="T149" s="48"/>
    </row>
    <row r="150" spans="1:20" x14ac:dyDescent="0.3">
      <c r="A150" s="43"/>
      <c r="B150" s="43"/>
      <c r="C150" s="46">
        <f t="shared" si="8"/>
        <v>0</v>
      </c>
      <c r="D150" s="45">
        <v>0</v>
      </c>
      <c r="E150" s="45">
        <v>0</v>
      </c>
      <c r="F150" s="45">
        <f t="shared" si="6"/>
        <v>0</v>
      </c>
      <c r="G150" s="45">
        <v>0</v>
      </c>
      <c r="H150" s="45"/>
      <c r="I150" s="45">
        <v>0</v>
      </c>
      <c r="J150" s="45">
        <v>0</v>
      </c>
      <c r="K150" s="45">
        <v>0</v>
      </c>
      <c r="L150" s="46">
        <f t="shared" si="7"/>
        <v>0</v>
      </c>
      <c r="M150" s="47">
        <v>0</v>
      </c>
      <c r="N150" s="47">
        <v>0</v>
      </c>
      <c r="O150" s="48" t="s">
        <v>747</v>
      </c>
      <c r="P150" s="48" t="s">
        <v>748</v>
      </c>
      <c r="Q150" s="48" t="s">
        <v>749</v>
      </c>
      <c r="R150" s="48" t="s">
        <v>750</v>
      </c>
      <c r="S150" s="48" t="s">
        <v>751</v>
      </c>
      <c r="T150" s="48"/>
    </row>
    <row r="151" spans="1:20" x14ac:dyDescent="0.3">
      <c r="A151" s="2"/>
      <c r="B151" s="18" t="s">
        <v>7</v>
      </c>
      <c r="C151" s="2"/>
      <c r="D151" s="14">
        <f t="shared" ref="D151:K151" si="9">SUM(D12:D150)</f>
        <v>0</v>
      </c>
      <c r="E151" s="14">
        <f t="shared" si="9"/>
        <v>0</v>
      </c>
      <c r="F151" s="14">
        <f t="shared" si="9"/>
        <v>0</v>
      </c>
      <c r="G151" s="14">
        <f t="shared" si="9"/>
        <v>0</v>
      </c>
      <c r="H151" s="14">
        <f t="shared" si="9"/>
        <v>0</v>
      </c>
      <c r="I151" s="14">
        <f t="shared" si="9"/>
        <v>0</v>
      </c>
      <c r="J151" s="14">
        <f t="shared" si="9"/>
        <v>0</v>
      </c>
      <c r="K151" s="14">
        <f t="shared" si="9"/>
        <v>0</v>
      </c>
      <c r="L151" s="14">
        <f>INDEX(L12:L150, COUNTA(L12:L150))</f>
        <v>0</v>
      </c>
    </row>
    <row r="152" spans="1:20" x14ac:dyDescent="0.3">
      <c r="D152" s="10"/>
    </row>
    <row r="153" spans="1:20" x14ac:dyDescent="0.3">
      <c r="D153" s="10"/>
      <c r="E153" s="15"/>
      <c r="F153"/>
    </row>
    <row r="154" spans="1:20" x14ac:dyDescent="0.3">
      <c r="D154" s="10"/>
    </row>
    <row r="155" spans="1:20" x14ac:dyDescent="0.3">
      <c r="D155" s="10"/>
    </row>
    <row r="156" spans="1:20" x14ac:dyDescent="0.3">
      <c r="D156" s="10"/>
    </row>
    <row r="159" spans="1:20" x14ac:dyDescent="0.3">
      <c r="D159" s="10"/>
    </row>
  </sheetData>
  <mergeCells count="1">
    <mergeCell ref="A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2"/>
  <sheetViews>
    <sheetView showGridLines="0" tabSelected="1" zoomScale="73" zoomScaleNormal="310" workbookViewId="0">
      <selection activeCell="G16" sqref="G16"/>
    </sheetView>
  </sheetViews>
  <sheetFormatPr defaultRowHeight="14.4" x14ac:dyDescent="0.3"/>
  <cols>
    <col min="1" max="1" width="18.88671875" customWidth="1"/>
    <col min="2" max="2" width="17.109375" customWidth="1"/>
    <col min="3" max="3" width="18.33203125" customWidth="1"/>
    <col min="4" max="4" width="18.6640625" customWidth="1"/>
    <col min="5" max="5" width="21.33203125" customWidth="1"/>
    <col min="6" max="6" width="31.33203125" customWidth="1"/>
    <col min="7" max="7" width="28.109375" customWidth="1"/>
    <col min="8" max="8" width="83.5546875" customWidth="1"/>
    <col min="9" max="9" width="11.44140625" customWidth="1"/>
  </cols>
  <sheetData>
    <row r="1" spans="1:9" ht="39.75" customHeight="1" x14ac:dyDescent="0.3">
      <c r="A1" s="61" t="s">
        <v>31</v>
      </c>
      <c r="B1" s="61" t="s">
        <v>27</v>
      </c>
      <c r="C1" s="61" t="s">
        <v>28</v>
      </c>
      <c r="D1" s="61" t="s">
        <v>29</v>
      </c>
      <c r="E1" s="61" t="s">
        <v>30</v>
      </c>
      <c r="F1" s="61" t="s">
        <v>36</v>
      </c>
      <c r="G1" s="61" t="s">
        <v>43</v>
      </c>
      <c r="H1" s="61" t="s">
        <v>44</v>
      </c>
      <c r="I1" s="19"/>
    </row>
    <row r="2" spans="1:9" ht="18.75" customHeight="1" x14ac:dyDescent="0.3">
      <c r="A2" s="23"/>
      <c r="B2" s="23"/>
      <c r="C2" s="40"/>
      <c r="D2" s="40"/>
      <c r="E2" s="40"/>
      <c r="F2" s="29"/>
      <c r="G2" s="41"/>
      <c r="H2" s="18" t="str">
        <f ca="1">IF(ISBLANK(THTT!G2),
    "Hãy nhập dữ liệu cột G2",
    IF(ISBLANK(INDIRECT("'" &amp; THTT!B2 &amp; "'!H6")),
        "Hãy nhập dữ liệu cột H6",
        IF(ABS(INDIRECT("'" &amp; THTT!B2 &amp; "'!H6") - THTT!G2) &gt; 0,
            IF(INDIRECT("'" &amp; THTT!B2 &amp; "'!H6") - THTT!G2 &lt; 0,
                "Hãy Tăng (+) thêm " &amp; TEXT(ABS(INDIRECT("'" &amp; THTT!B2 &amp; "'!H6") - THTT!G2), "#,##0") &amp; " cho phần Phí đã trả hoặc Lãi đã trả",
                "Hãy Giảm (-) bớt " &amp; TEXT(ABS(INDIRECT("'" &amp; THTT!B2 &amp; "'!H6") - THTT!G2), "#,##0") &amp; " cho phần Phí đã trả hoặc Lãi đã trả"
            ),
            "Đã đúng gốc"
        )
    )
)</f>
        <v>Hãy nhập dữ liệu cột G2</v>
      </c>
    </row>
    <row r="3" spans="1:9" x14ac:dyDescent="0.3">
      <c r="A3" s="24"/>
      <c r="B3" s="24"/>
      <c r="C3" s="24"/>
      <c r="D3" s="24"/>
      <c r="F3" s="24"/>
      <c r="H3" s="65" t="s">
        <v>821</v>
      </c>
    </row>
    <row r="4" spans="1:9" ht="18" x14ac:dyDescent="0.35">
      <c r="A4" s="56" t="s">
        <v>61</v>
      </c>
      <c r="H4" s="58"/>
    </row>
    <row r="6" spans="1:9" x14ac:dyDescent="0.3">
      <c r="A6" s="53"/>
    </row>
    <row r="7" spans="1:9" x14ac:dyDescent="0.3">
      <c r="A7" s="55"/>
    </row>
    <row r="10" spans="1:9" x14ac:dyDescent="0.3">
      <c r="A10" s="53"/>
    </row>
    <row r="11" spans="1:9" x14ac:dyDescent="0.3">
      <c r="A11" s="54"/>
      <c r="D11" s="50"/>
    </row>
    <row r="12" spans="1:9" x14ac:dyDescent="0.3">
      <c r="A12" s="54"/>
    </row>
    <row r="13" spans="1:9" x14ac:dyDescent="0.3">
      <c r="A13" s="54"/>
    </row>
    <row r="15" spans="1:9" ht="15.6" x14ac:dyDescent="0.3">
      <c r="A15" s="64" t="s">
        <v>752</v>
      </c>
    </row>
    <row r="17" spans="1:1" ht="18" x14ac:dyDescent="0.35">
      <c r="A17" s="62" t="s">
        <v>819</v>
      </c>
    </row>
    <row r="18" spans="1:1" ht="18" x14ac:dyDescent="0.35">
      <c r="A18" s="63" t="s">
        <v>820</v>
      </c>
    </row>
    <row r="19" spans="1:1" ht="18" x14ac:dyDescent="0.35">
      <c r="A19" s="56" t="s">
        <v>817</v>
      </c>
    </row>
    <row r="20" spans="1:1" ht="18" x14ac:dyDescent="0.35">
      <c r="A20" s="56" t="s">
        <v>818</v>
      </c>
    </row>
    <row r="802" spans="1:2" x14ac:dyDescent="0.3">
      <c r="A802" t="s">
        <v>59</v>
      </c>
      <c r="B802" t="s">
        <v>60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M13" sqref="M13"/>
    </sheetView>
  </sheetViews>
  <sheetFormatPr defaultRowHeight="14.4" x14ac:dyDescent="0.3"/>
  <cols>
    <col min="1" max="17" width="8.886718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30"/>
  <sheetViews>
    <sheetView topLeftCell="H1" zoomScale="79" zoomScaleNormal="70" workbookViewId="0">
      <selection activeCell="L17" sqref="L17"/>
    </sheetView>
  </sheetViews>
  <sheetFormatPr defaultRowHeight="14.4" x14ac:dyDescent="0.3"/>
  <cols>
    <col min="1" max="1" width="23" style="17" hidden="1" customWidth="1"/>
    <col min="2" max="2" width="26" style="33" hidden="1" customWidth="1"/>
    <col min="3" max="3" width="26.88671875" hidden="1" customWidth="1"/>
    <col min="4" max="4" width="83.33203125" hidden="1" customWidth="1"/>
    <col min="5" max="5" width="20.6640625" hidden="1" customWidth="1"/>
    <col min="6" max="6" width="33.109375" hidden="1" customWidth="1"/>
    <col min="7" max="7" width="18.5546875" hidden="1" customWidth="1"/>
    <col min="8" max="8" width="21.5546875" customWidth="1"/>
    <col min="9" max="9" width="19.109375" bestFit="1" customWidth="1"/>
    <col min="221" max="221" width="10.109375" bestFit="1" customWidth="1"/>
    <col min="222" max="222" width="18.33203125" customWidth="1"/>
    <col min="223" max="223" width="11.88671875" bestFit="1" customWidth="1"/>
    <col min="224" max="224" width="13.44140625" customWidth="1"/>
    <col min="225" max="225" width="30.88671875" bestFit="1" customWidth="1"/>
    <col min="226" max="226" width="21.109375" customWidth="1"/>
    <col min="227" max="227" width="44.5546875" customWidth="1"/>
    <col min="228" max="228" width="17.44140625" customWidth="1"/>
    <col min="229" max="229" width="30.88671875" customWidth="1"/>
    <col min="230" max="230" width="11.88671875" customWidth="1"/>
    <col min="231" max="231" width="41.6640625" customWidth="1"/>
    <col min="232" max="237" width="30.88671875" bestFit="1" customWidth="1"/>
    <col min="238" max="238" width="10.5546875" bestFit="1" customWidth="1"/>
    <col min="477" max="477" width="10.109375" bestFit="1" customWidth="1"/>
    <col min="478" max="478" width="18.33203125" customWidth="1"/>
    <col min="479" max="479" width="11.88671875" bestFit="1" customWidth="1"/>
    <col min="480" max="480" width="13.44140625" customWidth="1"/>
    <col min="481" max="481" width="30.88671875" bestFit="1" customWidth="1"/>
    <col min="482" max="482" width="21.109375" customWidth="1"/>
    <col min="483" max="483" width="44.5546875" customWidth="1"/>
    <col min="484" max="484" width="17.44140625" customWidth="1"/>
    <col min="485" max="485" width="30.88671875" customWidth="1"/>
    <col min="486" max="486" width="11.88671875" customWidth="1"/>
    <col min="487" max="487" width="41.6640625" customWidth="1"/>
    <col min="488" max="493" width="30.88671875" bestFit="1" customWidth="1"/>
    <col min="494" max="494" width="10.5546875" bestFit="1" customWidth="1"/>
    <col min="733" max="733" width="10.109375" bestFit="1" customWidth="1"/>
    <col min="734" max="734" width="18.33203125" customWidth="1"/>
    <col min="735" max="735" width="11.88671875" bestFit="1" customWidth="1"/>
    <col min="736" max="736" width="13.44140625" customWidth="1"/>
    <col min="737" max="737" width="30.88671875" bestFit="1" customWidth="1"/>
    <col min="738" max="738" width="21.109375" customWidth="1"/>
    <col min="739" max="739" width="44.5546875" customWidth="1"/>
    <col min="740" max="740" width="17.44140625" customWidth="1"/>
    <col min="741" max="741" width="30.88671875" customWidth="1"/>
    <col min="742" max="742" width="11.88671875" customWidth="1"/>
    <col min="743" max="743" width="41.6640625" customWidth="1"/>
    <col min="744" max="749" width="30.88671875" bestFit="1" customWidth="1"/>
    <col min="750" max="750" width="10.5546875" bestFit="1" customWidth="1"/>
    <col min="989" max="989" width="10.109375" bestFit="1" customWidth="1"/>
    <col min="990" max="990" width="18.33203125" customWidth="1"/>
    <col min="991" max="991" width="11.88671875" bestFit="1" customWidth="1"/>
    <col min="992" max="992" width="13.44140625" customWidth="1"/>
    <col min="993" max="993" width="30.88671875" bestFit="1" customWidth="1"/>
    <col min="994" max="994" width="21.109375" customWidth="1"/>
    <col min="995" max="995" width="44.5546875" customWidth="1"/>
    <col min="996" max="996" width="17.44140625" customWidth="1"/>
    <col min="997" max="997" width="30.88671875" customWidth="1"/>
    <col min="998" max="998" width="11.88671875" customWidth="1"/>
    <col min="999" max="999" width="41.6640625" customWidth="1"/>
    <col min="1000" max="1005" width="30.88671875" bestFit="1" customWidth="1"/>
    <col min="1006" max="1006" width="10.5546875" bestFit="1" customWidth="1"/>
    <col min="1245" max="1245" width="10.109375" bestFit="1" customWidth="1"/>
    <col min="1246" max="1246" width="18.33203125" customWidth="1"/>
    <col min="1247" max="1247" width="11.88671875" bestFit="1" customWidth="1"/>
    <col min="1248" max="1248" width="13.44140625" customWidth="1"/>
    <col min="1249" max="1249" width="30.88671875" bestFit="1" customWidth="1"/>
    <col min="1250" max="1250" width="21.109375" customWidth="1"/>
    <col min="1251" max="1251" width="44.5546875" customWidth="1"/>
    <col min="1252" max="1252" width="17.44140625" customWidth="1"/>
    <col min="1253" max="1253" width="30.88671875" customWidth="1"/>
    <col min="1254" max="1254" width="11.88671875" customWidth="1"/>
    <col min="1255" max="1255" width="41.6640625" customWidth="1"/>
    <col min="1256" max="1261" width="30.88671875" bestFit="1" customWidth="1"/>
    <col min="1262" max="1262" width="10.5546875" bestFit="1" customWidth="1"/>
    <col min="1501" max="1501" width="10.109375" bestFit="1" customWidth="1"/>
    <col min="1502" max="1502" width="18.33203125" customWidth="1"/>
    <col min="1503" max="1503" width="11.88671875" bestFit="1" customWidth="1"/>
    <col min="1504" max="1504" width="13.44140625" customWidth="1"/>
    <col min="1505" max="1505" width="30.88671875" bestFit="1" customWidth="1"/>
    <col min="1506" max="1506" width="21.109375" customWidth="1"/>
    <col min="1507" max="1507" width="44.5546875" customWidth="1"/>
    <col min="1508" max="1508" width="17.44140625" customWidth="1"/>
    <col min="1509" max="1509" width="30.88671875" customWidth="1"/>
    <col min="1510" max="1510" width="11.88671875" customWidth="1"/>
    <col min="1511" max="1511" width="41.6640625" customWidth="1"/>
    <col min="1512" max="1517" width="30.88671875" bestFit="1" customWidth="1"/>
    <col min="1518" max="1518" width="10.5546875" bestFit="1" customWidth="1"/>
    <col min="1757" max="1757" width="10.109375" bestFit="1" customWidth="1"/>
    <col min="1758" max="1758" width="18.33203125" customWidth="1"/>
    <col min="1759" max="1759" width="11.88671875" bestFit="1" customWidth="1"/>
    <col min="1760" max="1760" width="13.44140625" customWidth="1"/>
    <col min="1761" max="1761" width="30.88671875" bestFit="1" customWidth="1"/>
    <col min="1762" max="1762" width="21.109375" customWidth="1"/>
    <col min="1763" max="1763" width="44.5546875" customWidth="1"/>
    <col min="1764" max="1764" width="17.44140625" customWidth="1"/>
    <col min="1765" max="1765" width="30.88671875" customWidth="1"/>
    <col min="1766" max="1766" width="11.88671875" customWidth="1"/>
    <col min="1767" max="1767" width="41.6640625" customWidth="1"/>
    <col min="1768" max="1773" width="30.88671875" bestFit="1" customWidth="1"/>
    <col min="1774" max="1774" width="10.5546875" bestFit="1" customWidth="1"/>
    <col min="2013" max="2013" width="10.109375" bestFit="1" customWidth="1"/>
    <col min="2014" max="2014" width="18.33203125" customWidth="1"/>
    <col min="2015" max="2015" width="11.88671875" bestFit="1" customWidth="1"/>
    <col min="2016" max="2016" width="13.44140625" customWidth="1"/>
    <col min="2017" max="2017" width="30.88671875" bestFit="1" customWidth="1"/>
    <col min="2018" max="2018" width="21.109375" customWidth="1"/>
    <col min="2019" max="2019" width="44.5546875" customWidth="1"/>
    <col min="2020" max="2020" width="17.44140625" customWidth="1"/>
    <col min="2021" max="2021" width="30.88671875" customWidth="1"/>
    <col min="2022" max="2022" width="11.88671875" customWidth="1"/>
    <col min="2023" max="2023" width="41.6640625" customWidth="1"/>
    <col min="2024" max="2029" width="30.88671875" bestFit="1" customWidth="1"/>
    <col min="2030" max="2030" width="10.5546875" bestFit="1" customWidth="1"/>
    <col min="2269" max="2269" width="10.109375" bestFit="1" customWidth="1"/>
    <col min="2270" max="2270" width="18.33203125" customWidth="1"/>
    <col min="2271" max="2271" width="11.88671875" bestFit="1" customWidth="1"/>
    <col min="2272" max="2272" width="13.44140625" customWidth="1"/>
    <col min="2273" max="2273" width="30.88671875" bestFit="1" customWidth="1"/>
    <col min="2274" max="2274" width="21.109375" customWidth="1"/>
    <col min="2275" max="2275" width="44.5546875" customWidth="1"/>
    <col min="2276" max="2276" width="17.44140625" customWidth="1"/>
    <col min="2277" max="2277" width="30.88671875" customWidth="1"/>
    <col min="2278" max="2278" width="11.88671875" customWidth="1"/>
    <col min="2279" max="2279" width="41.6640625" customWidth="1"/>
    <col min="2280" max="2285" width="30.88671875" bestFit="1" customWidth="1"/>
    <col min="2286" max="2286" width="10.5546875" bestFit="1" customWidth="1"/>
    <col min="2525" max="2525" width="10.109375" bestFit="1" customWidth="1"/>
    <col min="2526" max="2526" width="18.33203125" customWidth="1"/>
    <col min="2527" max="2527" width="11.88671875" bestFit="1" customWidth="1"/>
    <col min="2528" max="2528" width="13.44140625" customWidth="1"/>
    <col min="2529" max="2529" width="30.88671875" bestFit="1" customWidth="1"/>
    <col min="2530" max="2530" width="21.109375" customWidth="1"/>
    <col min="2531" max="2531" width="44.5546875" customWidth="1"/>
    <col min="2532" max="2532" width="17.44140625" customWidth="1"/>
    <col min="2533" max="2533" width="30.88671875" customWidth="1"/>
    <col min="2534" max="2534" width="11.88671875" customWidth="1"/>
    <col min="2535" max="2535" width="41.6640625" customWidth="1"/>
    <col min="2536" max="2541" width="30.88671875" bestFit="1" customWidth="1"/>
    <col min="2542" max="2542" width="10.5546875" bestFit="1" customWidth="1"/>
    <col min="2781" max="2781" width="10.109375" bestFit="1" customWidth="1"/>
    <col min="2782" max="2782" width="18.33203125" customWidth="1"/>
    <col min="2783" max="2783" width="11.88671875" bestFit="1" customWidth="1"/>
    <col min="2784" max="2784" width="13.44140625" customWidth="1"/>
    <col min="2785" max="2785" width="30.88671875" bestFit="1" customWidth="1"/>
    <col min="2786" max="2786" width="21.109375" customWidth="1"/>
    <col min="2787" max="2787" width="44.5546875" customWidth="1"/>
    <col min="2788" max="2788" width="17.44140625" customWidth="1"/>
    <col min="2789" max="2789" width="30.88671875" customWidth="1"/>
    <col min="2790" max="2790" width="11.88671875" customWidth="1"/>
    <col min="2791" max="2791" width="41.6640625" customWidth="1"/>
    <col min="2792" max="2797" width="30.88671875" bestFit="1" customWidth="1"/>
    <col min="2798" max="2798" width="10.5546875" bestFit="1" customWidth="1"/>
    <col min="3037" max="3037" width="10.109375" bestFit="1" customWidth="1"/>
    <col min="3038" max="3038" width="18.33203125" customWidth="1"/>
    <col min="3039" max="3039" width="11.88671875" bestFit="1" customWidth="1"/>
    <col min="3040" max="3040" width="13.44140625" customWidth="1"/>
    <col min="3041" max="3041" width="30.88671875" bestFit="1" customWidth="1"/>
    <col min="3042" max="3042" width="21.109375" customWidth="1"/>
    <col min="3043" max="3043" width="44.5546875" customWidth="1"/>
    <col min="3044" max="3044" width="17.44140625" customWidth="1"/>
    <col min="3045" max="3045" width="30.88671875" customWidth="1"/>
    <col min="3046" max="3046" width="11.88671875" customWidth="1"/>
    <col min="3047" max="3047" width="41.6640625" customWidth="1"/>
    <col min="3048" max="3053" width="30.88671875" bestFit="1" customWidth="1"/>
    <col min="3054" max="3054" width="10.5546875" bestFit="1" customWidth="1"/>
    <col min="3293" max="3293" width="10.109375" bestFit="1" customWidth="1"/>
    <col min="3294" max="3294" width="18.33203125" customWidth="1"/>
    <col min="3295" max="3295" width="11.88671875" bestFit="1" customWidth="1"/>
    <col min="3296" max="3296" width="13.44140625" customWidth="1"/>
    <col min="3297" max="3297" width="30.88671875" bestFit="1" customWidth="1"/>
    <col min="3298" max="3298" width="21.109375" customWidth="1"/>
    <col min="3299" max="3299" width="44.5546875" customWidth="1"/>
    <col min="3300" max="3300" width="17.44140625" customWidth="1"/>
    <col min="3301" max="3301" width="30.88671875" customWidth="1"/>
    <col min="3302" max="3302" width="11.88671875" customWidth="1"/>
    <col min="3303" max="3303" width="41.6640625" customWidth="1"/>
    <col min="3304" max="3309" width="30.88671875" bestFit="1" customWidth="1"/>
    <col min="3310" max="3310" width="10.5546875" bestFit="1" customWidth="1"/>
    <col min="3549" max="3549" width="10.109375" bestFit="1" customWidth="1"/>
    <col min="3550" max="3550" width="18.33203125" customWidth="1"/>
    <col min="3551" max="3551" width="11.88671875" bestFit="1" customWidth="1"/>
    <col min="3552" max="3552" width="13.44140625" customWidth="1"/>
    <col min="3553" max="3553" width="30.88671875" bestFit="1" customWidth="1"/>
    <col min="3554" max="3554" width="21.109375" customWidth="1"/>
    <col min="3555" max="3555" width="44.5546875" customWidth="1"/>
    <col min="3556" max="3556" width="17.44140625" customWidth="1"/>
    <col min="3557" max="3557" width="30.88671875" customWidth="1"/>
    <col min="3558" max="3558" width="11.88671875" customWidth="1"/>
    <col min="3559" max="3559" width="41.6640625" customWidth="1"/>
    <col min="3560" max="3565" width="30.88671875" bestFit="1" customWidth="1"/>
    <col min="3566" max="3566" width="10.5546875" bestFit="1" customWidth="1"/>
    <col min="3805" max="3805" width="10.109375" bestFit="1" customWidth="1"/>
    <col min="3806" max="3806" width="18.33203125" customWidth="1"/>
    <col min="3807" max="3807" width="11.88671875" bestFit="1" customWidth="1"/>
    <col min="3808" max="3808" width="13.44140625" customWidth="1"/>
    <col min="3809" max="3809" width="30.88671875" bestFit="1" customWidth="1"/>
    <col min="3810" max="3810" width="21.109375" customWidth="1"/>
    <col min="3811" max="3811" width="44.5546875" customWidth="1"/>
    <col min="3812" max="3812" width="17.44140625" customWidth="1"/>
    <col min="3813" max="3813" width="30.88671875" customWidth="1"/>
    <col min="3814" max="3814" width="11.88671875" customWidth="1"/>
    <col min="3815" max="3815" width="41.6640625" customWidth="1"/>
    <col min="3816" max="3821" width="30.88671875" bestFit="1" customWidth="1"/>
    <col min="3822" max="3822" width="10.5546875" bestFit="1" customWidth="1"/>
    <col min="4061" max="4061" width="10.109375" bestFit="1" customWidth="1"/>
    <col min="4062" max="4062" width="18.33203125" customWidth="1"/>
    <col min="4063" max="4063" width="11.88671875" bestFit="1" customWidth="1"/>
    <col min="4064" max="4064" width="13.44140625" customWidth="1"/>
    <col min="4065" max="4065" width="30.88671875" bestFit="1" customWidth="1"/>
    <col min="4066" max="4066" width="21.109375" customWidth="1"/>
    <col min="4067" max="4067" width="44.5546875" customWidth="1"/>
    <col min="4068" max="4068" width="17.44140625" customWidth="1"/>
    <col min="4069" max="4069" width="30.88671875" customWidth="1"/>
    <col min="4070" max="4070" width="11.88671875" customWidth="1"/>
    <col min="4071" max="4071" width="41.6640625" customWidth="1"/>
    <col min="4072" max="4077" width="30.88671875" bestFit="1" customWidth="1"/>
    <col min="4078" max="4078" width="10.5546875" bestFit="1" customWidth="1"/>
    <col min="4317" max="4317" width="10.109375" bestFit="1" customWidth="1"/>
    <col min="4318" max="4318" width="18.33203125" customWidth="1"/>
    <col min="4319" max="4319" width="11.88671875" bestFit="1" customWidth="1"/>
    <col min="4320" max="4320" width="13.44140625" customWidth="1"/>
    <col min="4321" max="4321" width="30.88671875" bestFit="1" customWidth="1"/>
    <col min="4322" max="4322" width="21.109375" customWidth="1"/>
    <col min="4323" max="4323" width="44.5546875" customWidth="1"/>
    <col min="4324" max="4324" width="17.44140625" customWidth="1"/>
    <col min="4325" max="4325" width="30.88671875" customWidth="1"/>
    <col min="4326" max="4326" width="11.88671875" customWidth="1"/>
    <col min="4327" max="4327" width="41.6640625" customWidth="1"/>
    <col min="4328" max="4333" width="30.88671875" bestFit="1" customWidth="1"/>
    <col min="4334" max="4334" width="10.5546875" bestFit="1" customWidth="1"/>
    <col min="4573" max="4573" width="10.109375" bestFit="1" customWidth="1"/>
    <col min="4574" max="4574" width="18.33203125" customWidth="1"/>
    <col min="4575" max="4575" width="11.88671875" bestFit="1" customWidth="1"/>
    <col min="4576" max="4576" width="13.44140625" customWidth="1"/>
    <col min="4577" max="4577" width="30.88671875" bestFit="1" customWidth="1"/>
    <col min="4578" max="4578" width="21.109375" customWidth="1"/>
    <col min="4579" max="4579" width="44.5546875" customWidth="1"/>
    <col min="4580" max="4580" width="17.44140625" customWidth="1"/>
    <col min="4581" max="4581" width="30.88671875" customWidth="1"/>
    <col min="4582" max="4582" width="11.88671875" customWidth="1"/>
    <col min="4583" max="4583" width="41.6640625" customWidth="1"/>
    <col min="4584" max="4589" width="30.88671875" bestFit="1" customWidth="1"/>
    <col min="4590" max="4590" width="10.5546875" bestFit="1" customWidth="1"/>
    <col min="4829" max="4829" width="10.109375" bestFit="1" customWidth="1"/>
    <col min="4830" max="4830" width="18.33203125" customWidth="1"/>
    <col min="4831" max="4831" width="11.88671875" bestFit="1" customWidth="1"/>
    <col min="4832" max="4832" width="13.44140625" customWidth="1"/>
    <col min="4833" max="4833" width="30.88671875" bestFit="1" customWidth="1"/>
    <col min="4834" max="4834" width="21.109375" customWidth="1"/>
    <col min="4835" max="4835" width="44.5546875" customWidth="1"/>
    <col min="4836" max="4836" width="17.44140625" customWidth="1"/>
    <col min="4837" max="4837" width="30.88671875" customWidth="1"/>
    <col min="4838" max="4838" width="11.88671875" customWidth="1"/>
    <col min="4839" max="4839" width="41.6640625" customWidth="1"/>
    <col min="4840" max="4845" width="30.88671875" bestFit="1" customWidth="1"/>
    <col min="4846" max="4846" width="10.5546875" bestFit="1" customWidth="1"/>
    <col min="5085" max="5085" width="10.109375" bestFit="1" customWidth="1"/>
    <col min="5086" max="5086" width="18.33203125" customWidth="1"/>
    <col min="5087" max="5087" width="11.88671875" bestFit="1" customWidth="1"/>
    <col min="5088" max="5088" width="13.44140625" customWidth="1"/>
    <col min="5089" max="5089" width="30.88671875" bestFit="1" customWidth="1"/>
    <col min="5090" max="5090" width="21.109375" customWidth="1"/>
    <col min="5091" max="5091" width="44.5546875" customWidth="1"/>
    <col min="5092" max="5092" width="17.44140625" customWidth="1"/>
    <col min="5093" max="5093" width="30.88671875" customWidth="1"/>
    <col min="5094" max="5094" width="11.88671875" customWidth="1"/>
    <col min="5095" max="5095" width="41.6640625" customWidth="1"/>
    <col min="5096" max="5101" width="30.88671875" bestFit="1" customWidth="1"/>
    <col min="5102" max="5102" width="10.5546875" bestFit="1" customWidth="1"/>
    <col min="5341" max="5341" width="10.109375" bestFit="1" customWidth="1"/>
    <col min="5342" max="5342" width="18.33203125" customWidth="1"/>
    <col min="5343" max="5343" width="11.88671875" bestFit="1" customWidth="1"/>
    <col min="5344" max="5344" width="13.44140625" customWidth="1"/>
    <col min="5345" max="5345" width="30.88671875" bestFit="1" customWidth="1"/>
    <col min="5346" max="5346" width="21.109375" customWidth="1"/>
    <col min="5347" max="5347" width="44.5546875" customWidth="1"/>
    <col min="5348" max="5348" width="17.44140625" customWidth="1"/>
    <col min="5349" max="5349" width="30.88671875" customWidth="1"/>
    <col min="5350" max="5350" width="11.88671875" customWidth="1"/>
    <col min="5351" max="5351" width="41.6640625" customWidth="1"/>
    <col min="5352" max="5357" width="30.88671875" bestFit="1" customWidth="1"/>
    <col min="5358" max="5358" width="10.5546875" bestFit="1" customWidth="1"/>
    <col min="5597" max="5597" width="10.109375" bestFit="1" customWidth="1"/>
    <col min="5598" max="5598" width="18.33203125" customWidth="1"/>
    <col min="5599" max="5599" width="11.88671875" bestFit="1" customWidth="1"/>
    <col min="5600" max="5600" width="13.44140625" customWidth="1"/>
    <col min="5601" max="5601" width="30.88671875" bestFit="1" customWidth="1"/>
    <col min="5602" max="5602" width="21.109375" customWidth="1"/>
    <col min="5603" max="5603" width="44.5546875" customWidth="1"/>
    <col min="5604" max="5604" width="17.44140625" customWidth="1"/>
    <col min="5605" max="5605" width="30.88671875" customWidth="1"/>
    <col min="5606" max="5606" width="11.88671875" customWidth="1"/>
    <col min="5607" max="5607" width="41.6640625" customWidth="1"/>
    <col min="5608" max="5613" width="30.88671875" bestFit="1" customWidth="1"/>
    <col min="5614" max="5614" width="10.5546875" bestFit="1" customWidth="1"/>
    <col min="5853" max="5853" width="10.109375" bestFit="1" customWidth="1"/>
    <col min="5854" max="5854" width="18.33203125" customWidth="1"/>
    <col min="5855" max="5855" width="11.88671875" bestFit="1" customWidth="1"/>
    <col min="5856" max="5856" width="13.44140625" customWidth="1"/>
    <col min="5857" max="5857" width="30.88671875" bestFit="1" customWidth="1"/>
    <col min="5858" max="5858" width="21.109375" customWidth="1"/>
    <col min="5859" max="5859" width="44.5546875" customWidth="1"/>
    <col min="5860" max="5860" width="17.44140625" customWidth="1"/>
    <col min="5861" max="5861" width="30.88671875" customWidth="1"/>
    <col min="5862" max="5862" width="11.88671875" customWidth="1"/>
    <col min="5863" max="5863" width="41.6640625" customWidth="1"/>
    <col min="5864" max="5869" width="30.88671875" bestFit="1" customWidth="1"/>
    <col min="5870" max="5870" width="10.5546875" bestFit="1" customWidth="1"/>
    <col min="6109" max="6109" width="10.109375" bestFit="1" customWidth="1"/>
    <col min="6110" max="6110" width="18.33203125" customWidth="1"/>
    <col min="6111" max="6111" width="11.88671875" bestFit="1" customWidth="1"/>
    <col min="6112" max="6112" width="13.44140625" customWidth="1"/>
    <col min="6113" max="6113" width="30.88671875" bestFit="1" customWidth="1"/>
    <col min="6114" max="6114" width="21.109375" customWidth="1"/>
    <col min="6115" max="6115" width="44.5546875" customWidth="1"/>
    <col min="6116" max="6116" width="17.44140625" customWidth="1"/>
    <col min="6117" max="6117" width="30.88671875" customWidth="1"/>
    <col min="6118" max="6118" width="11.88671875" customWidth="1"/>
    <col min="6119" max="6119" width="41.6640625" customWidth="1"/>
    <col min="6120" max="6125" width="30.88671875" bestFit="1" customWidth="1"/>
    <col min="6126" max="6126" width="10.5546875" bestFit="1" customWidth="1"/>
    <col min="6365" max="6365" width="10.109375" bestFit="1" customWidth="1"/>
    <col min="6366" max="6366" width="18.33203125" customWidth="1"/>
    <col min="6367" max="6367" width="11.88671875" bestFit="1" customWidth="1"/>
    <col min="6368" max="6368" width="13.44140625" customWidth="1"/>
    <col min="6369" max="6369" width="30.88671875" bestFit="1" customWidth="1"/>
    <col min="6370" max="6370" width="21.109375" customWidth="1"/>
    <col min="6371" max="6371" width="44.5546875" customWidth="1"/>
    <col min="6372" max="6372" width="17.44140625" customWidth="1"/>
    <col min="6373" max="6373" width="30.88671875" customWidth="1"/>
    <col min="6374" max="6374" width="11.88671875" customWidth="1"/>
    <col min="6375" max="6375" width="41.6640625" customWidth="1"/>
    <col min="6376" max="6381" width="30.88671875" bestFit="1" customWidth="1"/>
    <col min="6382" max="6382" width="10.5546875" bestFit="1" customWidth="1"/>
    <col min="6621" max="6621" width="10.109375" bestFit="1" customWidth="1"/>
    <col min="6622" max="6622" width="18.33203125" customWidth="1"/>
    <col min="6623" max="6623" width="11.88671875" bestFit="1" customWidth="1"/>
    <col min="6624" max="6624" width="13.44140625" customWidth="1"/>
    <col min="6625" max="6625" width="30.88671875" bestFit="1" customWidth="1"/>
    <col min="6626" max="6626" width="21.109375" customWidth="1"/>
    <col min="6627" max="6627" width="44.5546875" customWidth="1"/>
    <col min="6628" max="6628" width="17.44140625" customWidth="1"/>
    <col min="6629" max="6629" width="30.88671875" customWidth="1"/>
    <col min="6630" max="6630" width="11.88671875" customWidth="1"/>
    <col min="6631" max="6631" width="41.6640625" customWidth="1"/>
    <col min="6632" max="6637" width="30.88671875" bestFit="1" customWidth="1"/>
    <col min="6638" max="6638" width="10.5546875" bestFit="1" customWidth="1"/>
    <col min="6877" max="6877" width="10.109375" bestFit="1" customWidth="1"/>
    <col min="6878" max="6878" width="18.33203125" customWidth="1"/>
    <col min="6879" max="6879" width="11.88671875" bestFit="1" customWidth="1"/>
    <col min="6880" max="6880" width="13.44140625" customWidth="1"/>
    <col min="6881" max="6881" width="30.88671875" bestFit="1" customWidth="1"/>
    <col min="6882" max="6882" width="21.109375" customWidth="1"/>
    <col min="6883" max="6883" width="44.5546875" customWidth="1"/>
    <col min="6884" max="6884" width="17.44140625" customWidth="1"/>
    <col min="6885" max="6885" width="30.88671875" customWidth="1"/>
    <col min="6886" max="6886" width="11.88671875" customWidth="1"/>
    <col min="6887" max="6887" width="41.6640625" customWidth="1"/>
    <col min="6888" max="6893" width="30.88671875" bestFit="1" customWidth="1"/>
    <col min="6894" max="6894" width="10.5546875" bestFit="1" customWidth="1"/>
    <col min="7133" max="7133" width="10.109375" bestFit="1" customWidth="1"/>
    <col min="7134" max="7134" width="18.33203125" customWidth="1"/>
    <col min="7135" max="7135" width="11.88671875" bestFit="1" customWidth="1"/>
    <col min="7136" max="7136" width="13.44140625" customWidth="1"/>
    <col min="7137" max="7137" width="30.88671875" bestFit="1" customWidth="1"/>
    <col min="7138" max="7138" width="21.109375" customWidth="1"/>
    <col min="7139" max="7139" width="44.5546875" customWidth="1"/>
    <col min="7140" max="7140" width="17.44140625" customWidth="1"/>
    <col min="7141" max="7141" width="30.88671875" customWidth="1"/>
    <col min="7142" max="7142" width="11.88671875" customWidth="1"/>
    <col min="7143" max="7143" width="41.6640625" customWidth="1"/>
    <col min="7144" max="7149" width="30.88671875" bestFit="1" customWidth="1"/>
    <col min="7150" max="7150" width="10.5546875" bestFit="1" customWidth="1"/>
    <col min="7389" max="7389" width="10.109375" bestFit="1" customWidth="1"/>
    <col min="7390" max="7390" width="18.33203125" customWidth="1"/>
    <col min="7391" max="7391" width="11.88671875" bestFit="1" customWidth="1"/>
    <col min="7392" max="7392" width="13.44140625" customWidth="1"/>
    <col min="7393" max="7393" width="30.88671875" bestFit="1" customWidth="1"/>
    <col min="7394" max="7394" width="21.109375" customWidth="1"/>
    <col min="7395" max="7395" width="44.5546875" customWidth="1"/>
    <col min="7396" max="7396" width="17.44140625" customWidth="1"/>
    <col min="7397" max="7397" width="30.88671875" customWidth="1"/>
    <col min="7398" max="7398" width="11.88671875" customWidth="1"/>
    <col min="7399" max="7399" width="41.6640625" customWidth="1"/>
    <col min="7400" max="7405" width="30.88671875" bestFit="1" customWidth="1"/>
    <col min="7406" max="7406" width="10.5546875" bestFit="1" customWidth="1"/>
    <col min="7645" max="7645" width="10.109375" bestFit="1" customWidth="1"/>
    <col min="7646" max="7646" width="18.33203125" customWidth="1"/>
    <col min="7647" max="7647" width="11.88671875" bestFit="1" customWidth="1"/>
    <col min="7648" max="7648" width="13.44140625" customWidth="1"/>
    <col min="7649" max="7649" width="30.88671875" bestFit="1" customWidth="1"/>
    <col min="7650" max="7650" width="21.109375" customWidth="1"/>
    <col min="7651" max="7651" width="44.5546875" customWidth="1"/>
    <col min="7652" max="7652" width="17.44140625" customWidth="1"/>
    <col min="7653" max="7653" width="30.88671875" customWidth="1"/>
    <col min="7654" max="7654" width="11.88671875" customWidth="1"/>
    <col min="7655" max="7655" width="41.6640625" customWidth="1"/>
    <col min="7656" max="7661" width="30.88671875" bestFit="1" customWidth="1"/>
    <col min="7662" max="7662" width="10.5546875" bestFit="1" customWidth="1"/>
    <col min="7901" max="7901" width="10.109375" bestFit="1" customWidth="1"/>
    <col min="7902" max="7902" width="18.33203125" customWidth="1"/>
    <col min="7903" max="7903" width="11.88671875" bestFit="1" customWidth="1"/>
    <col min="7904" max="7904" width="13.44140625" customWidth="1"/>
    <col min="7905" max="7905" width="30.88671875" bestFit="1" customWidth="1"/>
    <col min="7906" max="7906" width="21.109375" customWidth="1"/>
    <col min="7907" max="7907" width="44.5546875" customWidth="1"/>
    <col min="7908" max="7908" width="17.44140625" customWidth="1"/>
    <col min="7909" max="7909" width="30.88671875" customWidth="1"/>
    <col min="7910" max="7910" width="11.88671875" customWidth="1"/>
    <col min="7911" max="7911" width="41.6640625" customWidth="1"/>
    <col min="7912" max="7917" width="30.88671875" bestFit="1" customWidth="1"/>
    <col min="7918" max="7918" width="10.5546875" bestFit="1" customWidth="1"/>
    <col min="8157" max="8157" width="10.109375" bestFit="1" customWidth="1"/>
    <col min="8158" max="8158" width="18.33203125" customWidth="1"/>
    <col min="8159" max="8159" width="11.88671875" bestFit="1" customWidth="1"/>
    <col min="8160" max="8160" width="13.44140625" customWidth="1"/>
    <col min="8161" max="8161" width="30.88671875" bestFit="1" customWidth="1"/>
    <col min="8162" max="8162" width="21.109375" customWidth="1"/>
    <col min="8163" max="8163" width="44.5546875" customWidth="1"/>
    <col min="8164" max="8164" width="17.44140625" customWidth="1"/>
    <col min="8165" max="8165" width="30.88671875" customWidth="1"/>
    <col min="8166" max="8166" width="11.88671875" customWidth="1"/>
    <col min="8167" max="8167" width="41.6640625" customWidth="1"/>
    <col min="8168" max="8173" width="30.88671875" bestFit="1" customWidth="1"/>
    <col min="8174" max="8174" width="10.5546875" bestFit="1" customWidth="1"/>
    <col min="8413" max="8413" width="10.109375" bestFit="1" customWidth="1"/>
    <col min="8414" max="8414" width="18.33203125" customWidth="1"/>
    <col min="8415" max="8415" width="11.88671875" bestFit="1" customWidth="1"/>
    <col min="8416" max="8416" width="13.44140625" customWidth="1"/>
    <col min="8417" max="8417" width="30.88671875" bestFit="1" customWidth="1"/>
    <col min="8418" max="8418" width="21.109375" customWidth="1"/>
    <col min="8419" max="8419" width="44.5546875" customWidth="1"/>
    <col min="8420" max="8420" width="17.44140625" customWidth="1"/>
    <col min="8421" max="8421" width="30.88671875" customWidth="1"/>
    <col min="8422" max="8422" width="11.88671875" customWidth="1"/>
    <col min="8423" max="8423" width="41.6640625" customWidth="1"/>
    <col min="8424" max="8429" width="30.88671875" bestFit="1" customWidth="1"/>
    <col min="8430" max="8430" width="10.5546875" bestFit="1" customWidth="1"/>
    <col min="8669" max="8669" width="10.109375" bestFit="1" customWidth="1"/>
    <col min="8670" max="8670" width="18.33203125" customWidth="1"/>
    <col min="8671" max="8671" width="11.88671875" bestFit="1" customWidth="1"/>
    <col min="8672" max="8672" width="13.44140625" customWidth="1"/>
    <col min="8673" max="8673" width="30.88671875" bestFit="1" customWidth="1"/>
    <col min="8674" max="8674" width="21.109375" customWidth="1"/>
    <col min="8675" max="8675" width="44.5546875" customWidth="1"/>
    <col min="8676" max="8676" width="17.44140625" customWidth="1"/>
    <col min="8677" max="8677" width="30.88671875" customWidth="1"/>
    <col min="8678" max="8678" width="11.88671875" customWidth="1"/>
    <col min="8679" max="8679" width="41.6640625" customWidth="1"/>
    <col min="8680" max="8685" width="30.88671875" bestFit="1" customWidth="1"/>
    <col min="8686" max="8686" width="10.5546875" bestFit="1" customWidth="1"/>
    <col min="8925" max="8925" width="10.109375" bestFit="1" customWidth="1"/>
    <col min="8926" max="8926" width="18.33203125" customWidth="1"/>
    <col min="8927" max="8927" width="11.88671875" bestFit="1" customWidth="1"/>
    <col min="8928" max="8928" width="13.44140625" customWidth="1"/>
    <col min="8929" max="8929" width="30.88671875" bestFit="1" customWidth="1"/>
    <col min="8930" max="8930" width="21.109375" customWidth="1"/>
    <col min="8931" max="8931" width="44.5546875" customWidth="1"/>
    <col min="8932" max="8932" width="17.44140625" customWidth="1"/>
    <col min="8933" max="8933" width="30.88671875" customWidth="1"/>
    <col min="8934" max="8934" width="11.88671875" customWidth="1"/>
    <col min="8935" max="8935" width="41.6640625" customWidth="1"/>
    <col min="8936" max="8941" width="30.88671875" bestFit="1" customWidth="1"/>
    <col min="8942" max="8942" width="10.5546875" bestFit="1" customWidth="1"/>
    <col min="9181" max="9181" width="10.109375" bestFit="1" customWidth="1"/>
    <col min="9182" max="9182" width="18.33203125" customWidth="1"/>
    <col min="9183" max="9183" width="11.88671875" bestFit="1" customWidth="1"/>
    <col min="9184" max="9184" width="13.44140625" customWidth="1"/>
    <col min="9185" max="9185" width="30.88671875" bestFit="1" customWidth="1"/>
    <col min="9186" max="9186" width="21.109375" customWidth="1"/>
    <col min="9187" max="9187" width="44.5546875" customWidth="1"/>
    <col min="9188" max="9188" width="17.44140625" customWidth="1"/>
    <col min="9189" max="9189" width="30.88671875" customWidth="1"/>
    <col min="9190" max="9190" width="11.88671875" customWidth="1"/>
    <col min="9191" max="9191" width="41.6640625" customWidth="1"/>
    <col min="9192" max="9197" width="30.88671875" bestFit="1" customWidth="1"/>
    <col min="9198" max="9198" width="10.5546875" bestFit="1" customWidth="1"/>
    <col min="9437" max="9437" width="10.109375" bestFit="1" customWidth="1"/>
    <col min="9438" max="9438" width="18.33203125" customWidth="1"/>
    <col min="9439" max="9439" width="11.88671875" bestFit="1" customWidth="1"/>
    <col min="9440" max="9440" width="13.44140625" customWidth="1"/>
    <col min="9441" max="9441" width="30.88671875" bestFit="1" customWidth="1"/>
    <col min="9442" max="9442" width="21.109375" customWidth="1"/>
    <col min="9443" max="9443" width="44.5546875" customWidth="1"/>
    <col min="9444" max="9444" width="17.44140625" customWidth="1"/>
    <col min="9445" max="9445" width="30.88671875" customWidth="1"/>
    <col min="9446" max="9446" width="11.88671875" customWidth="1"/>
    <col min="9447" max="9447" width="41.6640625" customWidth="1"/>
    <col min="9448" max="9453" width="30.88671875" bestFit="1" customWidth="1"/>
    <col min="9454" max="9454" width="10.5546875" bestFit="1" customWidth="1"/>
    <col min="9693" max="9693" width="10.109375" bestFit="1" customWidth="1"/>
    <col min="9694" max="9694" width="18.33203125" customWidth="1"/>
    <col min="9695" max="9695" width="11.88671875" bestFit="1" customWidth="1"/>
    <col min="9696" max="9696" width="13.44140625" customWidth="1"/>
    <col min="9697" max="9697" width="30.88671875" bestFit="1" customWidth="1"/>
    <col min="9698" max="9698" width="21.109375" customWidth="1"/>
    <col min="9699" max="9699" width="44.5546875" customWidth="1"/>
    <col min="9700" max="9700" width="17.44140625" customWidth="1"/>
    <col min="9701" max="9701" width="30.88671875" customWidth="1"/>
    <col min="9702" max="9702" width="11.88671875" customWidth="1"/>
    <col min="9703" max="9703" width="41.6640625" customWidth="1"/>
    <col min="9704" max="9709" width="30.88671875" bestFit="1" customWidth="1"/>
    <col min="9710" max="9710" width="10.5546875" bestFit="1" customWidth="1"/>
    <col min="9949" max="9949" width="10.109375" bestFit="1" customWidth="1"/>
    <col min="9950" max="9950" width="18.33203125" customWidth="1"/>
    <col min="9951" max="9951" width="11.88671875" bestFit="1" customWidth="1"/>
    <col min="9952" max="9952" width="13.44140625" customWidth="1"/>
    <col min="9953" max="9953" width="30.88671875" bestFit="1" customWidth="1"/>
    <col min="9954" max="9954" width="21.109375" customWidth="1"/>
    <col min="9955" max="9955" width="44.5546875" customWidth="1"/>
    <col min="9956" max="9956" width="17.44140625" customWidth="1"/>
    <col min="9957" max="9957" width="30.88671875" customWidth="1"/>
    <col min="9958" max="9958" width="11.88671875" customWidth="1"/>
    <col min="9959" max="9959" width="41.6640625" customWidth="1"/>
    <col min="9960" max="9965" width="30.88671875" bestFit="1" customWidth="1"/>
    <col min="9966" max="9966" width="10.5546875" bestFit="1" customWidth="1"/>
    <col min="10205" max="10205" width="10.109375" bestFit="1" customWidth="1"/>
    <col min="10206" max="10206" width="18.33203125" customWidth="1"/>
    <col min="10207" max="10207" width="11.88671875" bestFit="1" customWidth="1"/>
    <col min="10208" max="10208" width="13.44140625" customWidth="1"/>
    <col min="10209" max="10209" width="30.88671875" bestFit="1" customWidth="1"/>
    <col min="10210" max="10210" width="21.109375" customWidth="1"/>
    <col min="10211" max="10211" width="44.5546875" customWidth="1"/>
    <col min="10212" max="10212" width="17.44140625" customWidth="1"/>
    <col min="10213" max="10213" width="30.88671875" customWidth="1"/>
    <col min="10214" max="10214" width="11.88671875" customWidth="1"/>
    <col min="10215" max="10215" width="41.6640625" customWidth="1"/>
    <col min="10216" max="10221" width="30.88671875" bestFit="1" customWidth="1"/>
    <col min="10222" max="10222" width="10.5546875" bestFit="1" customWidth="1"/>
    <col min="10461" max="10461" width="10.109375" bestFit="1" customWidth="1"/>
    <col min="10462" max="10462" width="18.33203125" customWidth="1"/>
    <col min="10463" max="10463" width="11.88671875" bestFit="1" customWidth="1"/>
    <col min="10464" max="10464" width="13.44140625" customWidth="1"/>
    <col min="10465" max="10465" width="30.88671875" bestFit="1" customWidth="1"/>
    <col min="10466" max="10466" width="21.109375" customWidth="1"/>
    <col min="10467" max="10467" width="44.5546875" customWidth="1"/>
    <col min="10468" max="10468" width="17.44140625" customWidth="1"/>
    <col min="10469" max="10469" width="30.88671875" customWidth="1"/>
    <col min="10470" max="10470" width="11.88671875" customWidth="1"/>
    <col min="10471" max="10471" width="41.6640625" customWidth="1"/>
    <col min="10472" max="10477" width="30.88671875" bestFit="1" customWidth="1"/>
    <col min="10478" max="10478" width="10.5546875" bestFit="1" customWidth="1"/>
    <col min="10717" max="10717" width="10.109375" bestFit="1" customWidth="1"/>
    <col min="10718" max="10718" width="18.33203125" customWidth="1"/>
    <col min="10719" max="10719" width="11.88671875" bestFit="1" customWidth="1"/>
    <col min="10720" max="10720" width="13.44140625" customWidth="1"/>
    <col min="10721" max="10721" width="30.88671875" bestFit="1" customWidth="1"/>
    <col min="10722" max="10722" width="21.109375" customWidth="1"/>
    <col min="10723" max="10723" width="44.5546875" customWidth="1"/>
    <col min="10724" max="10724" width="17.44140625" customWidth="1"/>
    <col min="10725" max="10725" width="30.88671875" customWidth="1"/>
    <col min="10726" max="10726" width="11.88671875" customWidth="1"/>
    <col min="10727" max="10727" width="41.6640625" customWidth="1"/>
    <col min="10728" max="10733" width="30.88671875" bestFit="1" customWidth="1"/>
    <col min="10734" max="10734" width="10.5546875" bestFit="1" customWidth="1"/>
    <col min="10973" max="10973" width="10.109375" bestFit="1" customWidth="1"/>
    <col min="10974" max="10974" width="18.33203125" customWidth="1"/>
    <col min="10975" max="10975" width="11.88671875" bestFit="1" customWidth="1"/>
    <col min="10976" max="10976" width="13.44140625" customWidth="1"/>
    <col min="10977" max="10977" width="30.88671875" bestFit="1" customWidth="1"/>
    <col min="10978" max="10978" width="21.109375" customWidth="1"/>
    <col min="10979" max="10979" width="44.5546875" customWidth="1"/>
    <col min="10980" max="10980" width="17.44140625" customWidth="1"/>
    <col min="10981" max="10981" width="30.88671875" customWidth="1"/>
    <col min="10982" max="10982" width="11.88671875" customWidth="1"/>
    <col min="10983" max="10983" width="41.6640625" customWidth="1"/>
    <col min="10984" max="10989" width="30.88671875" bestFit="1" customWidth="1"/>
    <col min="10990" max="10990" width="10.5546875" bestFit="1" customWidth="1"/>
    <col min="11229" max="11229" width="10.109375" bestFit="1" customWidth="1"/>
    <col min="11230" max="11230" width="18.33203125" customWidth="1"/>
    <col min="11231" max="11231" width="11.88671875" bestFit="1" customWidth="1"/>
    <col min="11232" max="11232" width="13.44140625" customWidth="1"/>
    <col min="11233" max="11233" width="30.88671875" bestFit="1" customWidth="1"/>
    <col min="11234" max="11234" width="21.109375" customWidth="1"/>
    <col min="11235" max="11235" width="44.5546875" customWidth="1"/>
    <col min="11236" max="11236" width="17.44140625" customWidth="1"/>
    <col min="11237" max="11237" width="30.88671875" customWidth="1"/>
    <col min="11238" max="11238" width="11.88671875" customWidth="1"/>
    <col min="11239" max="11239" width="41.6640625" customWidth="1"/>
    <col min="11240" max="11245" width="30.88671875" bestFit="1" customWidth="1"/>
    <col min="11246" max="11246" width="10.5546875" bestFit="1" customWidth="1"/>
    <col min="11485" max="11485" width="10.109375" bestFit="1" customWidth="1"/>
    <col min="11486" max="11486" width="18.33203125" customWidth="1"/>
    <col min="11487" max="11487" width="11.88671875" bestFit="1" customWidth="1"/>
    <col min="11488" max="11488" width="13.44140625" customWidth="1"/>
    <col min="11489" max="11489" width="30.88671875" bestFit="1" customWidth="1"/>
    <col min="11490" max="11490" width="21.109375" customWidth="1"/>
    <col min="11491" max="11491" width="44.5546875" customWidth="1"/>
    <col min="11492" max="11492" width="17.44140625" customWidth="1"/>
    <col min="11493" max="11493" width="30.88671875" customWidth="1"/>
    <col min="11494" max="11494" width="11.88671875" customWidth="1"/>
    <col min="11495" max="11495" width="41.6640625" customWidth="1"/>
    <col min="11496" max="11501" width="30.88671875" bestFit="1" customWidth="1"/>
    <col min="11502" max="11502" width="10.5546875" bestFit="1" customWidth="1"/>
    <col min="11741" max="11741" width="10.109375" bestFit="1" customWidth="1"/>
    <col min="11742" max="11742" width="18.33203125" customWidth="1"/>
    <col min="11743" max="11743" width="11.88671875" bestFit="1" customWidth="1"/>
    <col min="11744" max="11744" width="13.44140625" customWidth="1"/>
    <col min="11745" max="11745" width="30.88671875" bestFit="1" customWidth="1"/>
    <col min="11746" max="11746" width="21.109375" customWidth="1"/>
    <col min="11747" max="11747" width="44.5546875" customWidth="1"/>
    <col min="11748" max="11748" width="17.44140625" customWidth="1"/>
    <col min="11749" max="11749" width="30.88671875" customWidth="1"/>
    <col min="11750" max="11750" width="11.88671875" customWidth="1"/>
    <col min="11751" max="11751" width="41.6640625" customWidth="1"/>
    <col min="11752" max="11757" width="30.88671875" bestFit="1" customWidth="1"/>
    <col min="11758" max="11758" width="10.5546875" bestFit="1" customWidth="1"/>
    <col min="11997" max="11997" width="10.109375" bestFit="1" customWidth="1"/>
    <col min="11998" max="11998" width="18.33203125" customWidth="1"/>
    <col min="11999" max="11999" width="11.88671875" bestFit="1" customWidth="1"/>
    <col min="12000" max="12000" width="13.44140625" customWidth="1"/>
    <col min="12001" max="12001" width="30.88671875" bestFit="1" customWidth="1"/>
    <col min="12002" max="12002" width="21.109375" customWidth="1"/>
    <col min="12003" max="12003" width="44.5546875" customWidth="1"/>
    <col min="12004" max="12004" width="17.44140625" customWidth="1"/>
    <col min="12005" max="12005" width="30.88671875" customWidth="1"/>
    <col min="12006" max="12006" width="11.88671875" customWidth="1"/>
    <col min="12007" max="12007" width="41.6640625" customWidth="1"/>
    <col min="12008" max="12013" width="30.88671875" bestFit="1" customWidth="1"/>
    <col min="12014" max="12014" width="10.5546875" bestFit="1" customWidth="1"/>
    <col min="12253" max="12253" width="10.109375" bestFit="1" customWidth="1"/>
    <col min="12254" max="12254" width="18.33203125" customWidth="1"/>
    <col min="12255" max="12255" width="11.88671875" bestFit="1" customWidth="1"/>
    <col min="12256" max="12256" width="13.44140625" customWidth="1"/>
    <col min="12257" max="12257" width="30.88671875" bestFit="1" customWidth="1"/>
    <col min="12258" max="12258" width="21.109375" customWidth="1"/>
    <col min="12259" max="12259" width="44.5546875" customWidth="1"/>
    <col min="12260" max="12260" width="17.44140625" customWidth="1"/>
    <col min="12261" max="12261" width="30.88671875" customWidth="1"/>
    <col min="12262" max="12262" width="11.88671875" customWidth="1"/>
    <col min="12263" max="12263" width="41.6640625" customWidth="1"/>
    <col min="12264" max="12269" width="30.88671875" bestFit="1" customWidth="1"/>
    <col min="12270" max="12270" width="10.5546875" bestFit="1" customWidth="1"/>
    <col min="12509" max="12509" width="10.109375" bestFit="1" customWidth="1"/>
    <col min="12510" max="12510" width="18.33203125" customWidth="1"/>
    <col min="12511" max="12511" width="11.88671875" bestFit="1" customWidth="1"/>
    <col min="12512" max="12512" width="13.44140625" customWidth="1"/>
    <col min="12513" max="12513" width="30.88671875" bestFit="1" customWidth="1"/>
    <col min="12514" max="12514" width="21.109375" customWidth="1"/>
    <col min="12515" max="12515" width="44.5546875" customWidth="1"/>
    <col min="12516" max="12516" width="17.44140625" customWidth="1"/>
    <col min="12517" max="12517" width="30.88671875" customWidth="1"/>
    <col min="12518" max="12518" width="11.88671875" customWidth="1"/>
    <col min="12519" max="12519" width="41.6640625" customWidth="1"/>
    <col min="12520" max="12525" width="30.88671875" bestFit="1" customWidth="1"/>
    <col min="12526" max="12526" width="10.5546875" bestFit="1" customWidth="1"/>
    <col min="12765" max="12765" width="10.109375" bestFit="1" customWidth="1"/>
    <col min="12766" max="12766" width="18.33203125" customWidth="1"/>
    <col min="12767" max="12767" width="11.88671875" bestFit="1" customWidth="1"/>
    <col min="12768" max="12768" width="13.44140625" customWidth="1"/>
    <col min="12769" max="12769" width="30.88671875" bestFit="1" customWidth="1"/>
    <col min="12770" max="12770" width="21.109375" customWidth="1"/>
    <col min="12771" max="12771" width="44.5546875" customWidth="1"/>
    <col min="12772" max="12772" width="17.44140625" customWidth="1"/>
    <col min="12773" max="12773" width="30.88671875" customWidth="1"/>
    <col min="12774" max="12774" width="11.88671875" customWidth="1"/>
    <col min="12775" max="12775" width="41.6640625" customWidth="1"/>
    <col min="12776" max="12781" width="30.88671875" bestFit="1" customWidth="1"/>
    <col min="12782" max="12782" width="10.5546875" bestFit="1" customWidth="1"/>
    <col min="13021" max="13021" width="10.109375" bestFit="1" customWidth="1"/>
    <col min="13022" max="13022" width="18.33203125" customWidth="1"/>
    <col min="13023" max="13023" width="11.88671875" bestFit="1" customWidth="1"/>
    <col min="13024" max="13024" width="13.44140625" customWidth="1"/>
    <col min="13025" max="13025" width="30.88671875" bestFit="1" customWidth="1"/>
    <col min="13026" max="13026" width="21.109375" customWidth="1"/>
    <col min="13027" max="13027" width="44.5546875" customWidth="1"/>
    <col min="13028" max="13028" width="17.44140625" customWidth="1"/>
    <col min="13029" max="13029" width="30.88671875" customWidth="1"/>
    <col min="13030" max="13030" width="11.88671875" customWidth="1"/>
    <col min="13031" max="13031" width="41.6640625" customWidth="1"/>
    <col min="13032" max="13037" width="30.88671875" bestFit="1" customWidth="1"/>
    <col min="13038" max="13038" width="10.5546875" bestFit="1" customWidth="1"/>
    <col min="13277" max="13277" width="10.109375" bestFit="1" customWidth="1"/>
    <col min="13278" max="13278" width="18.33203125" customWidth="1"/>
    <col min="13279" max="13279" width="11.88671875" bestFit="1" customWidth="1"/>
    <col min="13280" max="13280" width="13.44140625" customWidth="1"/>
    <col min="13281" max="13281" width="30.88671875" bestFit="1" customWidth="1"/>
    <col min="13282" max="13282" width="21.109375" customWidth="1"/>
    <col min="13283" max="13283" width="44.5546875" customWidth="1"/>
    <col min="13284" max="13284" width="17.44140625" customWidth="1"/>
    <col min="13285" max="13285" width="30.88671875" customWidth="1"/>
    <col min="13286" max="13286" width="11.88671875" customWidth="1"/>
    <col min="13287" max="13287" width="41.6640625" customWidth="1"/>
    <col min="13288" max="13293" width="30.88671875" bestFit="1" customWidth="1"/>
    <col min="13294" max="13294" width="10.5546875" bestFit="1" customWidth="1"/>
    <col min="13533" max="13533" width="10.109375" bestFit="1" customWidth="1"/>
    <col min="13534" max="13534" width="18.33203125" customWidth="1"/>
    <col min="13535" max="13535" width="11.88671875" bestFit="1" customWidth="1"/>
    <col min="13536" max="13536" width="13.44140625" customWidth="1"/>
    <col min="13537" max="13537" width="30.88671875" bestFit="1" customWidth="1"/>
    <col min="13538" max="13538" width="21.109375" customWidth="1"/>
    <col min="13539" max="13539" width="44.5546875" customWidth="1"/>
    <col min="13540" max="13540" width="17.44140625" customWidth="1"/>
    <col min="13541" max="13541" width="30.88671875" customWidth="1"/>
    <col min="13542" max="13542" width="11.88671875" customWidth="1"/>
    <col min="13543" max="13543" width="41.6640625" customWidth="1"/>
    <col min="13544" max="13549" width="30.88671875" bestFit="1" customWidth="1"/>
    <col min="13550" max="13550" width="10.5546875" bestFit="1" customWidth="1"/>
    <col min="13789" max="13789" width="10.109375" bestFit="1" customWidth="1"/>
    <col min="13790" max="13790" width="18.33203125" customWidth="1"/>
    <col min="13791" max="13791" width="11.88671875" bestFit="1" customWidth="1"/>
    <col min="13792" max="13792" width="13.44140625" customWidth="1"/>
    <col min="13793" max="13793" width="30.88671875" bestFit="1" customWidth="1"/>
    <col min="13794" max="13794" width="21.109375" customWidth="1"/>
    <col min="13795" max="13795" width="44.5546875" customWidth="1"/>
    <col min="13796" max="13796" width="17.44140625" customWidth="1"/>
    <col min="13797" max="13797" width="30.88671875" customWidth="1"/>
    <col min="13798" max="13798" width="11.88671875" customWidth="1"/>
    <col min="13799" max="13799" width="41.6640625" customWidth="1"/>
    <col min="13800" max="13805" width="30.88671875" bestFit="1" customWidth="1"/>
    <col min="13806" max="13806" width="10.5546875" bestFit="1" customWidth="1"/>
    <col min="14045" max="14045" width="10.109375" bestFit="1" customWidth="1"/>
    <col min="14046" max="14046" width="18.33203125" customWidth="1"/>
    <col min="14047" max="14047" width="11.88671875" bestFit="1" customWidth="1"/>
    <col min="14048" max="14048" width="13.44140625" customWidth="1"/>
    <col min="14049" max="14049" width="30.88671875" bestFit="1" customWidth="1"/>
    <col min="14050" max="14050" width="21.109375" customWidth="1"/>
    <col min="14051" max="14051" width="44.5546875" customWidth="1"/>
    <col min="14052" max="14052" width="17.44140625" customWidth="1"/>
    <col min="14053" max="14053" width="30.88671875" customWidth="1"/>
    <col min="14054" max="14054" width="11.88671875" customWidth="1"/>
    <col min="14055" max="14055" width="41.6640625" customWidth="1"/>
    <col min="14056" max="14061" width="30.88671875" bestFit="1" customWidth="1"/>
    <col min="14062" max="14062" width="10.5546875" bestFit="1" customWidth="1"/>
    <col min="14301" max="14301" width="10.109375" bestFit="1" customWidth="1"/>
    <col min="14302" max="14302" width="18.33203125" customWidth="1"/>
    <col min="14303" max="14303" width="11.88671875" bestFit="1" customWidth="1"/>
    <col min="14304" max="14304" width="13.44140625" customWidth="1"/>
    <col min="14305" max="14305" width="30.88671875" bestFit="1" customWidth="1"/>
    <col min="14306" max="14306" width="21.109375" customWidth="1"/>
    <col min="14307" max="14307" width="44.5546875" customWidth="1"/>
    <col min="14308" max="14308" width="17.44140625" customWidth="1"/>
    <col min="14309" max="14309" width="30.88671875" customWidth="1"/>
    <col min="14310" max="14310" width="11.88671875" customWidth="1"/>
    <col min="14311" max="14311" width="41.6640625" customWidth="1"/>
    <col min="14312" max="14317" width="30.88671875" bestFit="1" customWidth="1"/>
    <col min="14318" max="14318" width="10.5546875" bestFit="1" customWidth="1"/>
    <col min="14557" max="14557" width="10.109375" bestFit="1" customWidth="1"/>
    <col min="14558" max="14558" width="18.33203125" customWidth="1"/>
    <col min="14559" max="14559" width="11.88671875" bestFit="1" customWidth="1"/>
    <col min="14560" max="14560" width="13.44140625" customWidth="1"/>
    <col min="14561" max="14561" width="30.88671875" bestFit="1" customWidth="1"/>
    <col min="14562" max="14562" width="21.109375" customWidth="1"/>
    <col min="14563" max="14563" width="44.5546875" customWidth="1"/>
    <col min="14564" max="14564" width="17.44140625" customWidth="1"/>
    <col min="14565" max="14565" width="30.88671875" customWidth="1"/>
    <col min="14566" max="14566" width="11.88671875" customWidth="1"/>
    <col min="14567" max="14567" width="41.6640625" customWidth="1"/>
    <col min="14568" max="14573" width="30.88671875" bestFit="1" customWidth="1"/>
    <col min="14574" max="14574" width="10.5546875" bestFit="1" customWidth="1"/>
    <col min="14813" max="14813" width="10.109375" bestFit="1" customWidth="1"/>
    <col min="14814" max="14814" width="18.33203125" customWidth="1"/>
    <col min="14815" max="14815" width="11.88671875" bestFit="1" customWidth="1"/>
    <col min="14816" max="14816" width="13.44140625" customWidth="1"/>
    <col min="14817" max="14817" width="30.88671875" bestFit="1" customWidth="1"/>
    <col min="14818" max="14818" width="21.109375" customWidth="1"/>
    <col min="14819" max="14819" width="44.5546875" customWidth="1"/>
    <col min="14820" max="14820" width="17.44140625" customWidth="1"/>
    <col min="14821" max="14821" width="30.88671875" customWidth="1"/>
    <col min="14822" max="14822" width="11.88671875" customWidth="1"/>
    <col min="14823" max="14823" width="41.6640625" customWidth="1"/>
    <col min="14824" max="14829" width="30.88671875" bestFit="1" customWidth="1"/>
    <col min="14830" max="14830" width="10.5546875" bestFit="1" customWidth="1"/>
    <col min="15069" max="15069" width="10.109375" bestFit="1" customWidth="1"/>
    <col min="15070" max="15070" width="18.33203125" customWidth="1"/>
    <col min="15071" max="15071" width="11.88671875" bestFit="1" customWidth="1"/>
    <col min="15072" max="15072" width="13.44140625" customWidth="1"/>
    <col min="15073" max="15073" width="30.88671875" bestFit="1" customWidth="1"/>
    <col min="15074" max="15074" width="21.109375" customWidth="1"/>
    <col min="15075" max="15075" width="44.5546875" customWidth="1"/>
    <col min="15076" max="15076" width="17.44140625" customWidth="1"/>
    <col min="15077" max="15077" width="30.88671875" customWidth="1"/>
    <col min="15078" max="15078" width="11.88671875" customWidth="1"/>
    <col min="15079" max="15079" width="41.6640625" customWidth="1"/>
    <col min="15080" max="15085" width="30.88671875" bestFit="1" customWidth="1"/>
    <col min="15086" max="15086" width="10.5546875" bestFit="1" customWidth="1"/>
    <col min="15325" max="15325" width="10.109375" bestFit="1" customWidth="1"/>
    <col min="15326" max="15326" width="18.33203125" customWidth="1"/>
    <col min="15327" max="15327" width="11.88671875" bestFit="1" customWidth="1"/>
    <col min="15328" max="15328" width="13.44140625" customWidth="1"/>
    <col min="15329" max="15329" width="30.88671875" bestFit="1" customWidth="1"/>
    <col min="15330" max="15330" width="21.109375" customWidth="1"/>
    <col min="15331" max="15331" width="44.5546875" customWidth="1"/>
    <col min="15332" max="15332" width="17.44140625" customWidth="1"/>
    <col min="15333" max="15333" width="30.88671875" customWidth="1"/>
    <col min="15334" max="15334" width="11.88671875" customWidth="1"/>
    <col min="15335" max="15335" width="41.6640625" customWidth="1"/>
    <col min="15336" max="15341" width="30.88671875" bestFit="1" customWidth="1"/>
    <col min="15342" max="15342" width="10.5546875" bestFit="1" customWidth="1"/>
    <col min="15581" max="15581" width="10.109375" bestFit="1" customWidth="1"/>
    <col min="15582" max="15582" width="18.33203125" customWidth="1"/>
    <col min="15583" max="15583" width="11.88671875" bestFit="1" customWidth="1"/>
    <col min="15584" max="15584" width="13.44140625" customWidth="1"/>
    <col min="15585" max="15585" width="30.88671875" bestFit="1" customWidth="1"/>
    <col min="15586" max="15586" width="21.109375" customWidth="1"/>
    <col min="15587" max="15587" width="44.5546875" customWidth="1"/>
    <col min="15588" max="15588" width="17.44140625" customWidth="1"/>
    <col min="15589" max="15589" width="30.88671875" customWidth="1"/>
    <col min="15590" max="15590" width="11.88671875" customWidth="1"/>
    <col min="15591" max="15591" width="41.6640625" customWidth="1"/>
    <col min="15592" max="15597" width="30.88671875" bestFit="1" customWidth="1"/>
    <col min="15598" max="15598" width="10.5546875" bestFit="1" customWidth="1"/>
    <col min="15837" max="15837" width="10.109375" bestFit="1" customWidth="1"/>
    <col min="15838" max="15838" width="18.33203125" customWidth="1"/>
    <col min="15839" max="15839" width="11.88671875" bestFit="1" customWidth="1"/>
    <col min="15840" max="15840" width="13.44140625" customWidth="1"/>
    <col min="15841" max="15841" width="30.88671875" bestFit="1" customWidth="1"/>
    <col min="15842" max="15842" width="21.109375" customWidth="1"/>
    <col min="15843" max="15843" width="44.5546875" customWidth="1"/>
    <col min="15844" max="15844" width="17.44140625" customWidth="1"/>
    <col min="15845" max="15845" width="30.88671875" customWidth="1"/>
    <col min="15846" max="15846" width="11.88671875" customWidth="1"/>
    <col min="15847" max="15847" width="41.6640625" customWidth="1"/>
    <col min="15848" max="15853" width="30.88671875" bestFit="1" customWidth="1"/>
    <col min="15854" max="15854" width="10.5546875" bestFit="1" customWidth="1"/>
    <col min="16093" max="16093" width="10.109375" bestFit="1" customWidth="1"/>
    <col min="16094" max="16094" width="18.33203125" customWidth="1"/>
    <col min="16095" max="16095" width="11.88671875" bestFit="1" customWidth="1"/>
    <col min="16096" max="16096" width="13.44140625" customWidth="1"/>
    <col min="16097" max="16097" width="30.88671875" bestFit="1" customWidth="1"/>
    <col min="16098" max="16098" width="21.109375" customWidth="1"/>
    <col min="16099" max="16099" width="44.5546875" customWidth="1"/>
    <col min="16100" max="16100" width="17.44140625" customWidth="1"/>
    <col min="16101" max="16101" width="30.88671875" customWidth="1"/>
    <col min="16102" max="16102" width="11.88671875" customWidth="1"/>
    <col min="16103" max="16103" width="41.6640625" customWidth="1"/>
    <col min="16104" max="16109" width="30.88671875" bestFit="1" customWidth="1"/>
    <col min="16110" max="16110" width="10.5546875" bestFit="1" customWidth="1"/>
  </cols>
  <sheetData>
    <row r="1" spans="1:26" x14ac:dyDescent="0.3">
      <c r="A1" s="16" t="s">
        <v>13</v>
      </c>
      <c r="B1" s="32" t="s">
        <v>14</v>
      </c>
      <c r="C1" s="4" t="s">
        <v>18</v>
      </c>
      <c r="D1" s="4" t="s">
        <v>32</v>
      </c>
      <c r="E1" s="3" t="s">
        <v>15</v>
      </c>
      <c r="F1" s="5" t="s">
        <v>16</v>
      </c>
      <c r="G1" s="6" t="s">
        <v>17</v>
      </c>
      <c r="Z1" s="51" t="s">
        <v>48</v>
      </c>
    </row>
    <row r="2" spans="1:26" x14ac:dyDescent="0.3">
      <c r="A2" s="60">
        <v>45862</v>
      </c>
      <c r="B2" s="35">
        <v>-1795444.73</v>
      </c>
      <c r="C2" t="s">
        <v>49</v>
      </c>
      <c r="D2" s="25"/>
      <c r="E2" s="26" t="str">
        <f>IF(OR(C2="Transaction",C2="Interests",C2="Misc",C2="Account Transfer"), IF(C2="Transaction", IF(B2&lt;0, "Du no", "Da thanh toan"), IF(C2="Interests", "Lai", IF(C2="Misc", "Phi", IF(C2="Account Transfer", IF(OR(ISNUMBER(SEARCH("Trich lai tra gop the TD", D2)), ISNUMBER(SEARCH("Chuyen lai tra gop con lai sang du no thong thuong khi BadDebt", D2))), IF(B2&lt;0, "Lai tra gop", ""), "" )))))) &amp; " " &amp; IF(C2="Interests", TEXT(EDATE(IF(DAY(A2)&gt;=24, A2, EDATE(A2,-1)), -1),"yyyy-mm"), TEXT(IF(DAY(A2)&gt;=24, A2, EDATE(A2,-1)),"yyyy-mm"))</f>
        <v>Lai 2025-06</v>
      </c>
      <c r="F2" s="27">
        <f>IF(ISNUMBER(B2), ROUND(SUMIFS($B$2:$B$10000, $E$2:$E$10000, E2, $B$2:$B$10000, IF(B2&lt;0, "&lt;0", "&gt;0")), 0), "")</f>
        <v>-2518524</v>
      </c>
      <c r="G2" s="28" t="str">
        <f>IF(F2&gt;0, IF(C2="Transaction", "Da thanh toan", "Duong"), IF(F2&lt;0, IF(C2="Transaction", "Du no", IF(C2="Interests", "Lai phat sinh", IF(C2="Misc", "Phi", IF(C2="Account Transfer", "Lai tra gop", "Am")))), "Bang 0"))</f>
        <v>Lai phat sinh</v>
      </c>
    </row>
    <row r="3" spans="1:26" x14ac:dyDescent="0.3">
      <c r="A3" s="60">
        <v>45862</v>
      </c>
      <c r="B3" s="35">
        <v>-109463.8</v>
      </c>
      <c r="C3" t="s">
        <v>49</v>
      </c>
      <c r="D3" s="25"/>
      <c r="E3" s="26" t="str">
        <f>IF(OR(C3="Transaction",C3="Interests",C3="Misc",C3="Account Transfer"), IF(C3="Transaction", IF(B3&lt;0, "Du no", "Da thanh toan"), IF(C3="Interests", "Lai", IF(C3="Misc", "Phi", IF(C3="Account Transfer", IF(OR(ISNUMBER(SEARCH("Trich lai tra gop the TD", D3)), ISNUMBER(SEARCH("Chuyen lai tra gop con lai sang du no thong thuong khi BadDebt", D3))), IF(B3&lt;0, "Lai tra gop", ""), "" )))))) &amp; " " &amp; IF(C3="Interests", TEXT(EDATE(IF(DAY(A3)&gt;=24, A3, EDATE(A3,-1)), -1),"yyyy-mm"), TEXT(IF(DAY(A3)&gt;=24, A3, EDATE(A3,-1)),"yyyy-mm"))</f>
        <v>Lai 2025-06</v>
      </c>
      <c r="F3" s="27">
        <f>IF(ISNUMBER(B3), ROUND(SUMIFS($B$2:$B$10000, $E$2:$E$10000, E3, $B$2:$B$10000, IF(B3&lt;0, "&lt;0", "&gt;0")), 0), "")</f>
        <v>-2518524</v>
      </c>
      <c r="G3" s="28" t="str">
        <f>IF(F3&gt;0, IF(C3="Transaction", "Da thanh toan", "Duong"), IF(F3&lt;0, IF(C3="Transaction", "Du no", IF(C3="Interests", "Lai phat sinh", IF(C3="Misc", "Phi", IF(C3="Account Transfer", "Lai tra gop", "Am")))), "Bang 0"))</f>
        <v>Lai phat sinh</v>
      </c>
    </row>
    <row r="4" spans="1:26" x14ac:dyDescent="0.3">
      <c r="A4" s="60">
        <v>45862</v>
      </c>
      <c r="B4" s="35">
        <v>-12943.34</v>
      </c>
      <c r="C4" t="s">
        <v>49</v>
      </c>
      <c r="D4" s="25"/>
      <c r="E4" s="26" t="str">
        <f>IF(OR(C4="Transaction",C4="Interests",C4="Misc",C4="Account Transfer"), IF(C4="Transaction", IF(B4&lt;0, "Du no", "Da thanh toan"), IF(C4="Interests", "Lai", IF(C4="Misc", "Phi", IF(C4="Account Transfer", IF(OR(ISNUMBER(SEARCH("Trich lai tra gop the TD", D4)), ISNUMBER(SEARCH("Chuyen lai tra gop con lai sang du no thong thuong khi BadDebt", D4))), IF(B4&lt;0, "Lai tra gop", ""), "" )))))) &amp; " " &amp; IF(C4="Interests", TEXT(EDATE(IF(DAY(A4)&gt;=24, A4, EDATE(A4,-1)), -1),"yyyy-mm"), TEXT(IF(DAY(A4)&gt;=24, A4, EDATE(A4,-1)),"yyyy-mm"))</f>
        <v>Lai 2025-06</v>
      </c>
      <c r="F4" s="27">
        <f>IF(ISNUMBER(B4), ROUND(SUMIFS($B$2:$B$10000, $E$2:$E$10000, E4, $B$2:$B$10000, IF(B4&lt;0, "&lt;0", "&gt;0")), 0), "")</f>
        <v>-2518524</v>
      </c>
      <c r="G4" s="28" t="str">
        <f>IF(F4&gt;0, IF(C4="Transaction", "Da thanh toan", "Duong"), IF(F4&lt;0, IF(C4="Transaction", "Du no", IF(C4="Interests", "Lai phat sinh", IF(C4="Misc", "Phi", IF(C4="Account Transfer", "Lai tra gop", "Am")))), "Bang 0"))</f>
        <v>Lai phat sinh</v>
      </c>
    </row>
    <row r="5" spans="1:26" x14ac:dyDescent="0.3">
      <c r="A5" s="60">
        <v>45862</v>
      </c>
      <c r="B5" s="35">
        <v>-600672.32999999996</v>
      </c>
      <c r="C5" t="s">
        <v>49</v>
      </c>
      <c r="D5" s="7"/>
      <c r="E5" s="26" t="str">
        <f>IF(OR(C5="Transaction",C5="Interests",C5="Misc",C5="Account Transfer"), IF(C5="Transaction", IF(B5&lt;0, "Du no", "Da thanh toan"), IF(C5="Interests", "Lai", IF(C5="Misc", "Phi", IF(C5="Account Transfer", IF(OR(ISNUMBER(SEARCH("Trich lai tra gop the TD", D5)), ISNUMBER(SEARCH("Chuyen lai tra gop con lai sang du no thong thuong khi BadDebt", D5))), IF(B5&lt;0, "Lai tra gop", ""), "" )))))) &amp; " " &amp; IF(C5="Interests", TEXT(EDATE(IF(DAY(A5)&gt;=24, A5, EDATE(A5,-1)), -1),"yyyy-mm"), TEXT(IF(DAY(A5)&gt;=24, A5, EDATE(A5,-1)),"yyyy-mm"))</f>
        <v>Lai 2025-06</v>
      </c>
      <c r="F5" s="27">
        <f>IF(ISNUMBER(B5), ROUND(SUMIFS($B$2:$B$10000, $E$2:$E$10000, E5, $B$2:$B$10000, IF(B5&lt;0, "&lt;0", "&gt;0")), 0), "")</f>
        <v>-2518524</v>
      </c>
      <c r="G5" s="28" t="str">
        <f>IF(F5&gt;0, IF(C5="Transaction", "Da thanh toan", "Duong"), IF(F5&lt;0, IF(C5="Transaction", "Du no", IF(C5="Interests", "Lai phat sinh", IF(C5="Misc", "Phi", IF(C5="Account Transfer", "Lai tra gop", "Am")))), "Bang 0"))</f>
        <v>Lai phat sinh</v>
      </c>
    </row>
    <row r="6" spans="1:26" x14ac:dyDescent="0.3">
      <c r="A6" s="60">
        <v>45832</v>
      </c>
      <c r="B6" s="35">
        <v>-1753598.14</v>
      </c>
      <c r="C6" t="s">
        <v>49</v>
      </c>
      <c r="D6" s="25"/>
      <c r="E6" s="26" t="str">
        <f>IF(OR(C6="Transaction",C6="Interests",C6="Misc",C6="Account Transfer"), IF(C6="Transaction", IF(B6&lt;0, "Du no", "Da thanh toan"), IF(C6="Interests", "Lai", IF(C6="Misc", "Phi", IF(C6="Account Transfer", IF(OR(ISNUMBER(SEARCH("Trich lai tra gop the TD", D6)), ISNUMBER(SEARCH("Chuyen lai tra gop con lai sang du no thong thuong khi BadDebt", D6))), IF(B6&lt;0, "Lai tra gop", ""), "" )))))) &amp; " " &amp; IF(C6="Interests", TEXT(EDATE(IF(DAY(A6)&gt;=24, A6, EDATE(A6,-1)), -1),"yyyy-mm"), TEXT(IF(DAY(A6)&gt;=24, A6, EDATE(A6,-1)),"yyyy-mm"))</f>
        <v>Lai 2025-05</v>
      </c>
      <c r="F6" s="27">
        <f>IF(ISNUMBER(B6), ROUND(SUMIFS($B$2:$B$10000, $E$2:$E$10000, E6, $B$2:$B$10000, IF(B6&lt;0, "&lt;0", "&gt;0")), 0), "")</f>
        <v>-2500780</v>
      </c>
      <c r="G6" s="28" t="str">
        <f>IF(F6&gt;0, IF(C6="Transaction", "Da thanh toan", "Duong"), IF(F6&lt;0, IF(C6="Transaction", "Du no", IF(C6="Interests", "Lai phat sinh", IF(C6="Misc", "Phi", IF(C6="Account Transfer", "Lai tra gop", "Am")))), "Bang 0"))</f>
        <v>Lai phat sinh</v>
      </c>
    </row>
    <row r="7" spans="1:26" x14ac:dyDescent="0.3">
      <c r="A7" s="60">
        <v>45832</v>
      </c>
      <c r="B7" s="35">
        <v>-113112.6</v>
      </c>
      <c r="C7" t="s">
        <v>49</v>
      </c>
      <c r="D7" s="25"/>
      <c r="E7" s="26" t="str">
        <f>IF(OR(C7="Transaction",C7="Interests",C7="Misc",C7="Account Transfer"), IF(C7="Transaction", IF(B7&lt;0, "Du no", "Da thanh toan"), IF(C7="Interests", "Lai", IF(C7="Misc", "Phi", IF(C7="Account Transfer", IF(OR(ISNUMBER(SEARCH("Trich lai tra gop the TD", D7)), ISNUMBER(SEARCH("Chuyen lai tra gop con lai sang du no thong thuong khi BadDebt", D7))), IF(B7&lt;0, "Lai tra gop", ""), "" )))))) &amp; " " &amp; IF(C7="Interests", TEXT(EDATE(IF(DAY(A7)&gt;=24, A7, EDATE(A7,-1)), -1),"yyyy-mm"), TEXT(IF(DAY(A7)&gt;=24, A7, EDATE(A7,-1)),"yyyy-mm"))</f>
        <v>Lai 2025-05</v>
      </c>
      <c r="F7" s="27">
        <f>IF(ISNUMBER(B7), ROUND(SUMIFS($B$2:$B$10000, $E$2:$E$10000, E7, $B$2:$B$10000, IF(B7&lt;0, "&lt;0", "&gt;0")), 0), "")</f>
        <v>-2500780</v>
      </c>
      <c r="G7" s="28" t="str">
        <f>IF(F7&gt;0, IF(C7="Transaction", "Da thanh toan", "Duong"), IF(F7&lt;0, IF(C7="Transaction", "Du no", IF(C7="Interests", "Lai phat sinh", IF(C7="Misc", "Phi", IF(C7="Account Transfer", "Lai tra gop", "Am")))), "Bang 0"))</f>
        <v>Lai phat sinh</v>
      </c>
    </row>
    <row r="8" spans="1:26" x14ac:dyDescent="0.3">
      <c r="A8" s="60">
        <v>45832</v>
      </c>
      <c r="B8" s="35">
        <v>-13374.79</v>
      </c>
      <c r="C8" t="s">
        <v>49</v>
      </c>
      <c r="D8" s="25"/>
      <c r="E8" s="26" t="str">
        <f>IF(OR(C8="Transaction",C8="Interests",C8="Misc",C8="Account Transfer"), IF(C8="Transaction", IF(B8&lt;0, "Du no", "Da thanh toan"), IF(C8="Interests", "Lai", IF(C8="Misc", "Phi", IF(C8="Account Transfer", IF(OR(ISNUMBER(SEARCH("Trich lai tra gop the TD", D8)), ISNUMBER(SEARCH("Chuyen lai tra gop con lai sang du no thong thuong khi BadDebt", D8))), IF(B8&lt;0, "Lai tra gop", ""), "" )))))) &amp; " " &amp; IF(C8="Interests", TEXT(EDATE(IF(DAY(A8)&gt;=24, A8, EDATE(A8,-1)), -1),"yyyy-mm"), TEXT(IF(DAY(A8)&gt;=24, A8, EDATE(A8,-1)),"yyyy-mm"))</f>
        <v>Lai 2025-05</v>
      </c>
      <c r="F8" s="27">
        <f>IF(ISNUMBER(B8), ROUND(SUMIFS($B$2:$B$10000, $E$2:$E$10000, E8, $B$2:$B$10000, IF(B8&lt;0, "&lt;0", "&gt;0")), 0), "")</f>
        <v>-2500780</v>
      </c>
      <c r="G8" s="28" t="str">
        <f>IF(F8&gt;0, IF(C8="Transaction", "Da thanh toan", "Duong"), IF(F8&lt;0, IF(C8="Transaction", "Du no", IF(C8="Interests", "Lai phat sinh", IF(C8="Misc", "Phi", IF(C8="Account Transfer", "Lai tra gop", "Am")))), "Bang 0"))</f>
        <v>Lai phat sinh</v>
      </c>
    </row>
    <row r="9" spans="1:26" x14ac:dyDescent="0.3">
      <c r="A9" s="60">
        <v>45832</v>
      </c>
      <c r="B9" s="35">
        <v>-620694.74</v>
      </c>
      <c r="C9" t="s">
        <v>49</v>
      </c>
      <c r="D9" s="25"/>
      <c r="E9" s="26" t="str">
        <f>IF(OR(C9="Transaction",C9="Interests",C9="Misc",C9="Account Transfer"), IF(C9="Transaction", IF(B9&lt;0, "Du no", "Da thanh toan"), IF(C9="Interests", "Lai", IF(C9="Misc", "Phi", IF(C9="Account Transfer", IF(OR(ISNUMBER(SEARCH("Trich lai tra gop the TD", D9)), ISNUMBER(SEARCH("Chuyen lai tra gop con lai sang du no thong thuong khi BadDebt", D9))), IF(B9&lt;0, "Lai tra gop", ""), "" )))))) &amp; " " &amp; IF(C9="Interests", TEXT(EDATE(IF(DAY(A9)&gt;=24, A9, EDATE(A9,-1)), -1),"yyyy-mm"), TEXT(IF(DAY(A9)&gt;=24, A9, EDATE(A9,-1)),"yyyy-mm"))</f>
        <v>Lai 2025-05</v>
      </c>
      <c r="F9" s="27">
        <f>IF(ISNUMBER(B9), ROUND(SUMIFS($B$2:$B$10000, $E$2:$E$10000, E9, $B$2:$B$10000, IF(B9&lt;0, "&lt;0", "&gt;0")), 0), "")</f>
        <v>-2500780</v>
      </c>
      <c r="G9" s="28" t="str">
        <f>IF(F9&gt;0, IF(C9="Transaction", "Da thanh toan", "Duong"), IF(F9&lt;0, IF(C9="Transaction", "Du no", IF(C9="Interests", "Lai phat sinh", IF(C9="Misc", "Phi", IF(C9="Account Transfer", "Lai tra gop", "Am")))), "Bang 0"))</f>
        <v>Lai phat sinh</v>
      </c>
    </row>
    <row r="10" spans="1:26" x14ac:dyDescent="0.3">
      <c r="A10" s="60">
        <v>45801</v>
      </c>
      <c r="B10" s="35">
        <v>-1605396.94</v>
      </c>
      <c r="C10" t="s">
        <v>49</v>
      </c>
      <c r="D10" s="25"/>
      <c r="E10" s="26" t="str">
        <f>IF(OR(C10="Transaction",C10="Interests",C10="Misc",C10="Account Transfer"), IF(C10="Transaction", IF(B10&lt;0, "Du no", "Da thanh toan"), IF(C10="Interests", "Lai", IF(C10="Misc", "Phi", IF(C10="Account Transfer", IF(OR(ISNUMBER(SEARCH("Trich lai tra gop the TD", D10)), ISNUMBER(SEARCH("Chuyen lai tra gop con lai sang du no thong thuong khi BadDebt", D10))), IF(B10&lt;0, "Lai tra gop", ""), "" )))))) &amp; " " &amp; IF(C10="Interests", TEXT(EDATE(IF(DAY(A10)&gt;=24, A10, EDATE(A10,-1)), -1),"yyyy-mm"), TEXT(IF(DAY(A10)&gt;=24, A10, EDATE(A10,-1)),"yyyy-mm"))</f>
        <v>Lai 2025-04</v>
      </c>
      <c r="F10" s="27">
        <f>IF(ISNUMBER(B10), ROUND(SUMIFS($B$2:$B$10000, $E$2:$E$10000, E10, $B$2:$B$10000, IF(B10&lt;0, "&lt;0", "&gt;0")), 0), "")</f>
        <v>-2328476</v>
      </c>
      <c r="G10" s="28" t="str">
        <f>IF(F10&gt;0, IF(C10="Transaction", "Da thanh toan", "Duong"), IF(F10&lt;0, IF(C10="Transaction", "Du no", IF(C10="Interests", "Lai phat sinh", IF(C10="Misc", "Phi", IF(C10="Account Transfer", "Lai tra gop", "Am")))), "Bang 0"))</f>
        <v>Lai phat sinh</v>
      </c>
    </row>
    <row r="11" spans="1:26" ht="16.5" customHeight="1" x14ac:dyDescent="0.3">
      <c r="A11" s="60">
        <v>45801</v>
      </c>
      <c r="B11" s="35">
        <v>-109463.8</v>
      </c>
      <c r="C11" t="s">
        <v>49</v>
      </c>
      <c r="D11" s="25"/>
      <c r="E11" s="26" t="str">
        <f>IF(OR(C11="Transaction",C11="Interests",C11="Misc",C11="Account Transfer"), IF(C11="Transaction", IF(B11&lt;0, "Du no", "Da thanh toan"), IF(C11="Interests", "Lai", IF(C11="Misc", "Phi", IF(C11="Account Transfer", IF(OR(ISNUMBER(SEARCH("Trich lai tra gop the TD", D11)), ISNUMBER(SEARCH("Chuyen lai tra gop con lai sang du no thong thuong khi BadDebt", D11))), IF(B11&lt;0, "Lai tra gop", ""), "" )))))) &amp; " " &amp; IF(C11="Interests", TEXT(EDATE(IF(DAY(A11)&gt;=24, A11, EDATE(A11,-1)), -1),"yyyy-mm"), TEXT(IF(DAY(A11)&gt;=24, A11, EDATE(A11,-1)),"yyyy-mm"))</f>
        <v>Lai 2025-04</v>
      </c>
      <c r="F11" s="27">
        <f>IF(ISNUMBER(B11), ROUND(SUMIFS($B$2:$B$10000, $E$2:$E$10000, E11, $B$2:$B$10000, IF(B11&lt;0, "&lt;0", "&gt;0")), 0), "")</f>
        <v>-2328476</v>
      </c>
      <c r="G11" s="28" t="str">
        <f>IF(F11&gt;0, IF(C11="Transaction", "Da thanh toan", "Duong"), IF(F11&lt;0, IF(C11="Transaction", "Du no", IF(C11="Interests", "Lai phat sinh", IF(C11="Misc", "Phi", IF(C11="Account Transfer", "Lai tra gop", "Am")))), "Bang 0"))</f>
        <v>Lai phat sinh</v>
      </c>
    </row>
    <row r="12" spans="1:26" x14ac:dyDescent="0.3">
      <c r="A12" s="60">
        <v>45801</v>
      </c>
      <c r="B12" s="35">
        <v>-12943.34</v>
      </c>
      <c r="C12" t="s">
        <v>49</v>
      </c>
      <c r="D12" s="25"/>
      <c r="E12" s="26" t="str">
        <f>IF(OR(C12="Transaction",C12="Interests",C12="Misc",C12="Account Transfer"), IF(C12="Transaction", IF(B12&lt;0, "Du no", "Da thanh toan"), IF(C12="Interests", "Lai", IF(C12="Misc", "Phi", IF(C12="Account Transfer", IF(OR(ISNUMBER(SEARCH("Trich lai tra gop the TD", D12)), ISNUMBER(SEARCH("Chuyen lai tra gop con lai sang du no thong thuong khi BadDebt", D12))), IF(B12&lt;0, "Lai tra gop", ""), "" )))))) &amp; " " &amp; IF(C12="Interests", TEXT(EDATE(IF(DAY(A12)&gt;=24, A12, EDATE(A12,-1)), -1),"yyyy-mm"), TEXT(IF(DAY(A12)&gt;=24, A12, EDATE(A12,-1)),"yyyy-mm"))</f>
        <v>Lai 2025-04</v>
      </c>
      <c r="F12" s="27">
        <f>IF(ISNUMBER(B12), ROUND(SUMIFS($B$2:$B$10000, $E$2:$E$10000, E12, $B$2:$B$10000, IF(B12&lt;0, "&lt;0", "&gt;0")), 0), "")</f>
        <v>-2328476</v>
      </c>
      <c r="G12" s="28" t="str">
        <f>IF(F12&gt;0, IF(C12="Transaction", "Da thanh toan", "Duong"), IF(F12&lt;0, IF(C12="Transaction", "Du no", IF(C12="Interests", "Lai phat sinh", IF(C12="Misc", "Phi", IF(C12="Account Transfer", "Lai tra gop", "Am")))), "Bang 0"))</f>
        <v>Lai phat sinh</v>
      </c>
    </row>
    <row r="13" spans="1:26" x14ac:dyDescent="0.3">
      <c r="A13" s="60">
        <v>45801</v>
      </c>
      <c r="B13" s="35">
        <v>-600672.32999999996</v>
      </c>
      <c r="C13" t="s">
        <v>49</v>
      </c>
      <c r="D13" s="25"/>
      <c r="E13" s="26" t="str">
        <f>IF(OR(C13="Transaction",C13="Interests",C13="Misc",C13="Account Transfer"), IF(C13="Transaction", IF(B13&lt;0, "Du no", "Da thanh toan"), IF(C13="Interests", "Lai", IF(C13="Misc", "Phi", IF(C13="Account Transfer", IF(OR(ISNUMBER(SEARCH("Trich lai tra gop the TD", D13)), ISNUMBER(SEARCH("Chuyen lai tra gop con lai sang du no thong thuong khi BadDebt", D13))), IF(B13&lt;0, "Lai tra gop", ""), "" )))))) &amp; " " &amp; IF(C13="Interests", TEXT(EDATE(IF(DAY(A13)&gt;=24, A13, EDATE(A13,-1)), -1),"yyyy-mm"), TEXT(IF(DAY(A13)&gt;=24, A13, EDATE(A13,-1)),"yyyy-mm"))</f>
        <v>Lai 2025-04</v>
      </c>
      <c r="F13" s="27">
        <f>IF(ISNUMBER(B13), ROUND(SUMIFS($B$2:$B$10000, $E$2:$E$10000, E13, $B$2:$B$10000, IF(B13&lt;0, "&lt;0", "&gt;0")), 0), "")</f>
        <v>-2328476</v>
      </c>
      <c r="G13" s="28" t="str">
        <f>IF(F13&gt;0, IF(C13="Transaction", "Da thanh toan", "Duong"), IF(F13&lt;0, IF(C13="Transaction", "Du no", IF(C13="Interests", "Lai phat sinh", IF(C13="Misc", "Phi", IF(C13="Account Transfer", "Lai tra gop", "Am")))), "Bang 0"))</f>
        <v>Lai phat sinh</v>
      </c>
    </row>
    <row r="14" spans="1:26" x14ac:dyDescent="0.3">
      <c r="A14" s="60">
        <v>45771</v>
      </c>
      <c r="B14" s="35">
        <v>-1564889.31</v>
      </c>
      <c r="C14" t="s">
        <v>49</v>
      </c>
      <c r="D14" s="25"/>
      <c r="E14" s="26" t="str">
        <f>IF(OR(C14="Transaction",C14="Interests",C14="Misc",C14="Account Transfer"), IF(C14="Transaction", IF(B14&lt;0, "Du no", "Da thanh toan"), IF(C14="Interests", "Lai", IF(C14="Misc", "Phi", IF(C14="Account Transfer", IF(OR(ISNUMBER(SEARCH("Trich lai tra gop the TD", D14)), ISNUMBER(SEARCH("Chuyen lai tra gop con lai sang du no thong thuong khi BadDebt", D14))), IF(B14&lt;0, "Lai tra gop", ""), "" )))))) &amp; " " &amp; IF(C14="Interests", TEXT(EDATE(IF(DAY(A14)&gt;=24, A14, EDATE(A14,-1)), -1),"yyyy-mm"), TEXT(IF(DAY(A14)&gt;=24, A14, EDATE(A14,-1)),"yyyy-mm"))</f>
        <v>Lai 2025-03</v>
      </c>
      <c r="F14" s="27">
        <f>IF(ISNUMBER(B14), ROUND(SUMIFS($B$2:$B$10000, $E$2:$E$10000, E14, $B$2:$B$10000, IF(B14&lt;0, "&lt;0", "&gt;0")), 0), "")</f>
        <v>-2312071</v>
      </c>
      <c r="G14" s="28" t="str">
        <f>IF(F14&gt;0, IF(C14="Transaction", "Da thanh toan", "Duong"), IF(F14&lt;0, IF(C14="Transaction", "Du no", IF(C14="Interests", "Lai phat sinh", IF(C14="Misc", "Phi", IF(C14="Account Transfer", "Lai tra gop", "Am")))), "Bang 0"))</f>
        <v>Lai phat sinh</v>
      </c>
    </row>
    <row r="15" spans="1:26" x14ac:dyDescent="0.3">
      <c r="A15" s="60">
        <v>45771</v>
      </c>
      <c r="B15" s="35">
        <v>-113112.6</v>
      </c>
      <c r="C15" t="s">
        <v>49</v>
      </c>
      <c r="D15" s="25"/>
      <c r="E15" s="26" t="str">
        <f>IF(OR(C15="Transaction",C15="Interests",C15="Misc",C15="Account Transfer"), IF(C15="Transaction", IF(B15&lt;0, "Du no", "Da thanh toan"), IF(C15="Interests", "Lai", IF(C15="Misc", "Phi", IF(C15="Account Transfer", IF(OR(ISNUMBER(SEARCH("Trich lai tra gop the TD", D15)), ISNUMBER(SEARCH("Chuyen lai tra gop con lai sang du no thong thuong khi BadDebt", D15))), IF(B15&lt;0, "Lai tra gop", ""), "" )))))) &amp; " " &amp; IF(C15="Interests", TEXT(EDATE(IF(DAY(A15)&gt;=24, A15, EDATE(A15,-1)), -1),"yyyy-mm"), TEXT(IF(DAY(A15)&gt;=24, A15, EDATE(A15,-1)),"yyyy-mm"))</f>
        <v>Lai 2025-03</v>
      </c>
      <c r="F15" s="27">
        <f>IF(ISNUMBER(B15), ROUND(SUMIFS($B$2:$B$10000, $E$2:$E$10000, E15, $B$2:$B$10000, IF(B15&lt;0, "&lt;0", "&gt;0")), 0), "")</f>
        <v>-2312071</v>
      </c>
      <c r="G15" s="28" t="str">
        <f>IF(F15&gt;0, IF(C15="Transaction", "Da thanh toan", "Duong"), IF(F15&lt;0, IF(C15="Transaction", "Du no", IF(C15="Interests", "Lai phat sinh", IF(C15="Misc", "Phi", IF(C15="Account Transfer", "Lai tra gop", "Am")))), "Bang 0"))</f>
        <v>Lai phat sinh</v>
      </c>
    </row>
    <row r="16" spans="1:26" x14ac:dyDescent="0.3">
      <c r="A16" s="60">
        <v>45771</v>
      </c>
      <c r="B16" s="35">
        <v>-13374.79</v>
      </c>
      <c r="C16" t="s">
        <v>49</v>
      </c>
      <c r="D16" s="25"/>
      <c r="E16" s="26" t="str">
        <f>IF(OR(C16="Transaction",C16="Interests",C16="Misc",C16="Account Transfer"), IF(C16="Transaction", IF(B16&lt;0, "Du no", "Da thanh toan"), IF(C16="Interests", "Lai", IF(C16="Misc", "Phi", IF(C16="Account Transfer", IF(OR(ISNUMBER(SEARCH("Trich lai tra gop the TD", D16)), ISNUMBER(SEARCH("Chuyen lai tra gop con lai sang du no thong thuong khi BadDebt", D16))), IF(B16&lt;0, "Lai tra gop", ""), "" )))))) &amp; " " &amp; IF(C16="Interests", TEXT(EDATE(IF(DAY(A16)&gt;=24, A16, EDATE(A16,-1)), -1),"yyyy-mm"), TEXT(IF(DAY(A16)&gt;=24, A16, EDATE(A16,-1)),"yyyy-mm"))</f>
        <v>Lai 2025-03</v>
      </c>
      <c r="F16" s="27">
        <f>IF(ISNUMBER(B16), ROUND(SUMIFS($B$2:$B$10000, $E$2:$E$10000, E16, $B$2:$B$10000, IF(B16&lt;0, "&lt;0", "&gt;0")), 0), "")</f>
        <v>-2312071</v>
      </c>
      <c r="G16" s="28" t="str">
        <f>IF(F16&gt;0, IF(C16="Transaction", "Da thanh toan", "Duong"), IF(F16&lt;0, IF(C16="Transaction", "Du no", IF(C16="Interests", "Lai phat sinh", IF(C16="Misc", "Phi", IF(C16="Account Transfer", "Lai tra gop", "Am")))), "Bang 0"))</f>
        <v>Lai phat sinh</v>
      </c>
    </row>
    <row r="17" spans="1:7" x14ac:dyDescent="0.3">
      <c r="A17" s="60">
        <v>45771</v>
      </c>
      <c r="B17" s="35">
        <v>-620694.74</v>
      </c>
      <c r="C17" t="s">
        <v>49</v>
      </c>
      <c r="D17" s="25"/>
      <c r="E17" s="26" t="str">
        <f>IF(OR(C17="Transaction",C17="Interests",C17="Misc",C17="Account Transfer"), IF(C17="Transaction", IF(B17&lt;0, "Du no", "Da thanh toan"), IF(C17="Interests", "Lai", IF(C17="Misc", "Phi", IF(C17="Account Transfer", IF(OR(ISNUMBER(SEARCH("Trich lai tra gop the TD", D17)), ISNUMBER(SEARCH("Chuyen lai tra gop con lai sang du no thong thuong khi BadDebt", D17))), IF(B17&lt;0, "Lai tra gop", ""), "" )))))) &amp; " " &amp; IF(C17="Interests", TEXT(EDATE(IF(DAY(A17)&gt;=24, A17, EDATE(A17,-1)), -1),"yyyy-mm"), TEXT(IF(DAY(A17)&gt;=24, A17, EDATE(A17,-1)),"yyyy-mm"))</f>
        <v>Lai 2025-03</v>
      </c>
      <c r="F17" s="27">
        <f>IF(ISNUMBER(B17), ROUND(SUMIFS($B$2:$B$10000, $E$2:$E$10000, E17, $B$2:$B$10000, IF(B17&lt;0, "&lt;0", "&gt;0")), 0), "")</f>
        <v>-2312071</v>
      </c>
      <c r="G17" s="28" t="str">
        <f>IF(F17&gt;0, IF(C17="Transaction", "Da thanh toan", "Duong"), IF(F17&lt;0, IF(C17="Transaction", "Du no", IF(C17="Interests", "Lai phat sinh", IF(C17="Misc", "Phi", IF(C17="Account Transfer", "Lai tra gop", "Am")))), "Bang 0"))</f>
        <v>Lai phat sinh</v>
      </c>
    </row>
    <row r="18" spans="1:7" x14ac:dyDescent="0.3">
      <c r="A18" s="60">
        <v>45740</v>
      </c>
      <c r="B18" s="35">
        <v>-1339462.1100000001</v>
      </c>
      <c r="C18" t="s">
        <v>49</v>
      </c>
      <c r="D18" s="25"/>
      <c r="E18" s="26" t="str">
        <f>IF(OR(C18="Transaction",C18="Interests",C18="Misc",C18="Account Transfer"), IF(C18="Transaction", IF(B18&lt;0, "Du no", "Da thanh toan"), IF(C18="Interests", "Lai", IF(C18="Misc", "Phi", IF(C18="Account Transfer", IF(OR(ISNUMBER(SEARCH("Trich lai tra gop the TD", D18)), ISNUMBER(SEARCH("Chuyen lai tra gop con lai sang du no thong thuong khi BadDebt", D18))), IF(B18&lt;0, "Lai tra gop", ""), "" )))))) &amp; " " &amp; IF(C18="Interests", TEXT(EDATE(IF(DAY(A18)&gt;=24, A18, EDATE(A18,-1)), -1),"yyyy-mm"), TEXT(IF(DAY(A18)&gt;=24, A18, EDATE(A18,-1)),"yyyy-mm"))</f>
        <v>Lai 2025-02</v>
      </c>
      <c r="F18" s="27">
        <f>IF(ISNUMBER(B18), ROUND(SUMIFS($B$2:$B$10000, $E$2:$E$10000, E18, $B$2:$B$10000, IF(B18&lt;0, "&lt;0", "&gt;0")), 0), "")</f>
        <v>-2014336</v>
      </c>
      <c r="G18" s="28" t="str">
        <f>IF(F18&gt;0, IF(C18="Transaction", "Da thanh toan", "Duong"), IF(F18&lt;0, IF(C18="Transaction", "Du no", IF(C18="Interests", "Lai phat sinh", IF(C18="Misc", "Phi", IF(C18="Account Transfer", "Lai tra gop", "Am")))), "Bang 0"))</f>
        <v>Lai phat sinh</v>
      </c>
    </row>
    <row r="19" spans="1:7" x14ac:dyDescent="0.3">
      <c r="A19" s="60">
        <v>45740</v>
      </c>
      <c r="B19" s="35">
        <v>-102166.22</v>
      </c>
      <c r="C19" t="s">
        <v>49</v>
      </c>
      <c r="D19" s="25"/>
      <c r="E19" s="26" t="str">
        <f>IF(OR(C19="Transaction",C19="Interests",C19="Misc",C19="Account Transfer"), IF(C19="Transaction", IF(B19&lt;0, "Du no", "Da thanh toan"), IF(C19="Interests", "Lai", IF(C19="Misc", "Phi", IF(C19="Account Transfer", IF(OR(ISNUMBER(SEARCH("Trich lai tra gop the TD", D19)), ISNUMBER(SEARCH("Chuyen lai tra gop con lai sang du no thong thuong khi BadDebt", D19))), IF(B19&lt;0, "Lai tra gop", ""), "" )))))) &amp; " " &amp; IF(C19="Interests", TEXT(EDATE(IF(DAY(A19)&gt;=24, A19, EDATE(A19,-1)), -1),"yyyy-mm"), TEXT(IF(DAY(A19)&gt;=24, A19, EDATE(A19,-1)),"yyyy-mm"))</f>
        <v>Lai 2025-02</v>
      </c>
      <c r="F19" s="27">
        <f>IF(ISNUMBER(B19), ROUND(SUMIFS($B$2:$B$10000, $E$2:$E$10000, E19, $B$2:$B$10000, IF(B19&lt;0, "&lt;0", "&gt;0")), 0), "")</f>
        <v>-2014336</v>
      </c>
      <c r="G19" s="28" t="str">
        <f>IF(F19&gt;0, IF(C19="Transaction", "Da thanh toan", "Duong"), IF(F19&lt;0, IF(C19="Transaction", "Du no", IF(C19="Interests", "Lai phat sinh", IF(C19="Misc", "Phi", IF(C19="Account Transfer", "Lai tra gop", "Am")))), "Bang 0"))</f>
        <v>Lai phat sinh</v>
      </c>
    </row>
    <row r="20" spans="1:7" x14ac:dyDescent="0.3">
      <c r="A20" s="60">
        <v>45740</v>
      </c>
      <c r="B20" s="35">
        <v>-12080.45</v>
      </c>
      <c r="C20" t="s">
        <v>49</v>
      </c>
      <c r="D20" s="17"/>
      <c r="E20" s="26" t="str">
        <f>IF(OR(C20="Transaction",C20="Interests",C20="Misc",C20="Account Transfer"), IF(C20="Transaction", IF(B20&lt;0, "Du no", "Da thanh toan"), IF(C20="Interests", "Lai", IF(C20="Misc", "Phi", IF(C20="Account Transfer", IF(OR(ISNUMBER(SEARCH("Trich lai tra gop the TD", D20)), ISNUMBER(SEARCH("Chuyen lai tra gop con lai sang du no thong thuong khi BadDebt", D20))), IF(B20&lt;0, "Lai tra gop", ""), "" )))))) &amp; " " &amp; IF(C20="Interests", TEXT(EDATE(IF(DAY(A20)&gt;=24, A20, EDATE(A20,-1)), -1),"yyyy-mm"), TEXT(IF(DAY(A20)&gt;=24, A20, EDATE(A20,-1)),"yyyy-mm"))</f>
        <v>Lai 2025-02</v>
      </c>
      <c r="F20" s="27">
        <f>IF(ISNUMBER(B20), ROUND(SUMIFS($B$2:$B$10000, $E$2:$E$10000, E20, $B$2:$B$10000, IF(B20&lt;0, "&lt;0", "&gt;0")), 0), "")</f>
        <v>-2014336</v>
      </c>
      <c r="G20" s="28" t="str">
        <f>IF(F20&gt;0, IF(C20="Transaction", "Da thanh toan", "Duong"), IF(F20&lt;0, IF(C20="Transaction", "Du no", IF(C20="Interests", "Lai phat sinh", IF(C20="Misc", "Phi", IF(C20="Account Transfer", "Lai tra gop", "Am")))), "Bang 0"))</f>
        <v>Lai phat sinh</v>
      </c>
    </row>
    <row r="21" spans="1:7" x14ac:dyDescent="0.3">
      <c r="A21" s="60">
        <v>45740</v>
      </c>
      <c r="B21" s="35">
        <v>-560627.51</v>
      </c>
      <c r="C21" t="s">
        <v>49</v>
      </c>
      <c r="D21" s="17"/>
      <c r="E21" s="26" t="str">
        <f>IF(OR(C21="Transaction",C21="Interests",C21="Misc",C21="Account Transfer"), IF(C21="Transaction", IF(B21&lt;0, "Du no", "Da thanh toan"), IF(C21="Interests", "Lai", IF(C21="Misc", "Phi", IF(C21="Account Transfer", IF(OR(ISNUMBER(SEARCH("Trich lai tra gop the TD", D21)), ISNUMBER(SEARCH("Chuyen lai tra gop con lai sang du no thong thuong khi BadDebt", D21))), IF(B21&lt;0, "Lai tra gop", ""), "" )))))) &amp; " " &amp; IF(C21="Interests", TEXT(EDATE(IF(DAY(A21)&gt;=24, A21, EDATE(A21,-1)), -1),"yyyy-mm"), TEXT(IF(DAY(A21)&gt;=24, A21, EDATE(A21,-1)),"yyyy-mm"))</f>
        <v>Lai 2025-02</v>
      </c>
      <c r="F21" s="27">
        <f>IF(ISNUMBER(B21), ROUND(SUMIFS($B$2:$B$10000, $E$2:$E$10000, E21, $B$2:$B$10000, IF(B21&lt;0, "&lt;0", "&gt;0")), 0), "")</f>
        <v>-2014336</v>
      </c>
      <c r="G21" s="28" t="str">
        <f>IF(F21&gt;0, IF(C21="Transaction", "Da thanh toan", "Duong"), IF(F21&lt;0, IF(C21="Transaction", "Du no", IF(C21="Interests", "Lai phat sinh", IF(C21="Misc", "Phi", IF(C21="Account Transfer", "Lai tra gop", "Am")))), "Bang 0"))</f>
        <v>Lai phat sinh</v>
      </c>
    </row>
    <row r="22" spans="1:7" x14ac:dyDescent="0.3">
      <c r="A22" s="60">
        <v>45712</v>
      </c>
      <c r="B22" s="35">
        <v>-1395829.89</v>
      </c>
      <c r="C22" t="s">
        <v>49</v>
      </c>
      <c r="D22" s="17"/>
      <c r="E22" s="26" t="str">
        <f>IF(OR(C22="Transaction",C22="Interests",C22="Misc",C22="Account Transfer"), IF(C22="Transaction", IF(B22&lt;0, "Du no", "Da thanh toan"), IF(C22="Interests", "Lai", IF(C22="Misc", "Phi", IF(C22="Account Transfer", IF(OR(ISNUMBER(SEARCH("Trich lai tra gop the TD", D22)), ISNUMBER(SEARCH("Chuyen lai tra gop con lai sang du no thong thuong khi BadDebt", D22))), IF(B22&lt;0, "Lai tra gop", ""), "" )))))) &amp; " " &amp; IF(C22="Interests", TEXT(EDATE(IF(DAY(A22)&gt;=24, A22, EDATE(A22,-1)), -1),"yyyy-mm"), TEXT(IF(DAY(A22)&gt;=24, A22, EDATE(A22,-1)),"yyyy-mm"))</f>
        <v>Lai 2025-01</v>
      </c>
      <c r="F22" s="27">
        <f>IF(ISNUMBER(B22), ROUND(SUMIFS($B$2:$B$10000, $E$2:$E$10000, E22, $B$2:$B$10000, IF(B22&lt;0, "&lt;0", "&gt;0")), 0), "")</f>
        <v>-2143012</v>
      </c>
      <c r="G22" s="28" t="str">
        <f>IF(F22&gt;0, IF(C22="Transaction", "Da thanh toan", "Duong"), IF(F22&lt;0, IF(C22="Transaction", "Du no", IF(C22="Interests", "Lai phat sinh", IF(C22="Misc", "Phi", IF(C22="Account Transfer", "Lai tra gop", "Am")))), "Bang 0"))</f>
        <v>Lai phat sinh</v>
      </c>
    </row>
    <row r="23" spans="1:7" x14ac:dyDescent="0.3">
      <c r="A23" s="60">
        <v>45712</v>
      </c>
      <c r="B23" s="35">
        <v>-113112.6</v>
      </c>
      <c r="C23" t="s">
        <v>49</v>
      </c>
      <c r="D23" s="25"/>
      <c r="E23" s="26" t="str">
        <f>IF(OR(C23="Transaction",C23="Interests",C23="Misc",C23="Account Transfer"), IF(C23="Transaction", IF(B23&lt;0, "Du no", "Da thanh toan"), IF(C23="Interests", "Lai", IF(C23="Misc", "Phi", IF(C23="Account Transfer", IF(OR(ISNUMBER(SEARCH("Trich lai tra gop the TD", D23)), ISNUMBER(SEARCH("Chuyen lai tra gop con lai sang du no thong thuong khi BadDebt", D23))), IF(B23&lt;0, "Lai tra gop", ""), "" )))))) &amp; " " &amp; IF(C23="Interests", TEXT(EDATE(IF(DAY(A23)&gt;=24, A23, EDATE(A23,-1)), -1),"yyyy-mm"), TEXT(IF(DAY(A23)&gt;=24, A23, EDATE(A23,-1)),"yyyy-mm"))</f>
        <v>Lai 2025-01</v>
      </c>
      <c r="F23" s="27">
        <f>IF(ISNUMBER(B23), ROUND(SUMIFS($B$2:$B$10000, $E$2:$E$10000, E23, $B$2:$B$10000, IF(B23&lt;0, "&lt;0", "&gt;0")), 0), "")</f>
        <v>-2143012</v>
      </c>
      <c r="G23" s="28" t="str">
        <f>IF(F23&gt;0, IF(C23="Transaction", "Da thanh toan", "Duong"), IF(F23&lt;0, IF(C23="Transaction", "Du no", IF(C23="Interests", "Lai phat sinh", IF(C23="Misc", "Phi", IF(C23="Account Transfer", "Lai tra gop", "Am")))), "Bang 0"))</f>
        <v>Lai phat sinh</v>
      </c>
    </row>
    <row r="24" spans="1:7" x14ac:dyDescent="0.3">
      <c r="A24" s="60">
        <v>45712</v>
      </c>
      <c r="B24" s="35">
        <v>-13374.79</v>
      </c>
      <c r="C24" t="s">
        <v>49</v>
      </c>
      <c r="D24" s="25"/>
      <c r="E24" s="26" t="str">
        <f>IF(OR(C24="Transaction",C24="Interests",C24="Misc",C24="Account Transfer"), IF(C24="Transaction", IF(B24&lt;0, "Du no", "Da thanh toan"), IF(C24="Interests", "Lai", IF(C24="Misc", "Phi", IF(C24="Account Transfer", IF(OR(ISNUMBER(SEARCH("Trich lai tra gop the TD", D24)), ISNUMBER(SEARCH("Chuyen lai tra gop con lai sang du no thong thuong khi BadDebt", D24))), IF(B24&lt;0, "Lai tra gop", ""), "" )))))) &amp; " " &amp; IF(C24="Interests", TEXT(EDATE(IF(DAY(A24)&gt;=24, A24, EDATE(A24,-1)), -1),"yyyy-mm"), TEXT(IF(DAY(A24)&gt;=24, A24, EDATE(A24,-1)),"yyyy-mm"))</f>
        <v>Lai 2025-01</v>
      </c>
      <c r="F24" s="27">
        <f>IF(ISNUMBER(B24), ROUND(SUMIFS($B$2:$B$10000, $E$2:$E$10000, E24, $B$2:$B$10000, IF(B24&lt;0, "&lt;0", "&gt;0")), 0), "")</f>
        <v>-2143012</v>
      </c>
      <c r="G24" s="28" t="str">
        <f>IF(F24&gt;0, IF(C24="Transaction", "Da thanh toan", "Duong"), IF(F24&lt;0, IF(C24="Transaction", "Du no", IF(C24="Interests", "Lai phat sinh", IF(C24="Misc", "Phi", IF(C24="Account Transfer", "Lai tra gop", "Am")))), "Bang 0"))</f>
        <v>Lai phat sinh</v>
      </c>
    </row>
    <row r="25" spans="1:7" x14ac:dyDescent="0.3">
      <c r="A25" s="60">
        <v>45712</v>
      </c>
      <c r="B25" s="35">
        <v>-620694.74</v>
      </c>
      <c r="C25" t="s">
        <v>49</v>
      </c>
      <c r="D25" s="25"/>
      <c r="E25" s="26" t="str">
        <f>IF(OR(C25="Transaction",C25="Interests",C25="Misc",C25="Account Transfer"), IF(C25="Transaction", IF(B25&lt;0, "Du no", "Da thanh toan"), IF(C25="Interests", "Lai", IF(C25="Misc", "Phi", IF(C25="Account Transfer", IF(OR(ISNUMBER(SEARCH("Trich lai tra gop the TD", D25)), ISNUMBER(SEARCH("Chuyen lai tra gop con lai sang du no thong thuong khi BadDebt", D25))), IF(B25&lt;0, "Lai tra gop", ""), "" )))))) &amp; " " &amp; IF(C25="Interests", TEXT(EDATE(IF(DAY(A25)&gt;=24, A25, EDATE(A25,-1)), -1),"yyyy-mm"), TEXT(IF(DAY(A25)&gt;=24, A25, EDATE(A25,-1)),"yyyy-mm"))</f>
        <v>Lai 2025-01</v>
      </c>
      <c r="F25" s="27">
        <f>IF(ISNUMBER(B25), ROUND(SUMIFS($B$2:$B$10000, $E$2:$E$10000, E25, $B$2:$B$10000, IF(B25&lt;0, "&lt;0", "&gt;0")), 0), "")</f>
        <v>-2143012</v>
      </c>
      <c r="G25" s="28" t="str">
        <f>IF(F25&gt;0, IF(C25="Transaction", "Da thanh toan", "Duong"), IF(F25&lt;0, IF(C25="Transaction", "Du no", IF(C25="Interests", "Lai phat sinh", IF(C25="Misc", "Phi", IF(C25="Account Transfer", "Lai tra gop", "Am")))), "Bang 0"))</f>
        <v>Lai phat sinh</v>
      </c>
    </row>
    <row r="26" spans="1:7" x14ac:dyDescent="0.3">
      <c r="A26" s="60">
        <v>45681</v>
      </c>
      <c r="B26" s="35">
        <v>-1312089.2</v>
      </c>
      <c r="C26" t="s">
        <v>49</v>
      </c>
      <c r="D26" s="25"/>
      <c r="E26" s="26" t="str">
        <f>IF(OR(C26="Transaction",C26="Interests",C26="Misc",C26="Account Transfer"), IF(C26="Transaction", IF(B26&lt;0, "Du no", "Da thanh toan"), IF(C26="Interests", "Lai", IF(C26="Misc", "Phi", IF(C26="Account Transfer", IF(OR(ISNUMBER(SEARCH("Trich lai tra gop the TD", D26)), ISNUMBER(SEARCH("Chuyen lai tra gop con lai sang du no thong thuong khi BadDebt", D26))), IF(B26&lt;0, "Lai tra gop", ""), "" )))))) &amp; " " &amp; IF(C26="Interests", TEXT(EDATE(IF(DAY(A26)&gt;=24, A26, EDATE(A26,-1)), -1),"yyyy-mm"), TEXT(IF(DAY(A26)&gt;=24, A26, EDATE(A26,-1)),"yyyy-mm"))</f>
        <v>Lai 2024-12</v>
      </c>
      <c r="F26" s="27">
        <f>IF(ISNUMBER(B26), ROUND(SUMIFS($B$2:$B$10000, $E$2:$E$10000, E26, $B$2:$B$10000, IF(B26&lt;0, "&lt;0", "&gt;0")), 0), "")</f>
        <v>-2059271</v>
      </c>
      <c r="G26" s="28" t="str">
        <f>IF(F26&gt;0, IF(C26="Transaction", "Da thanh toan", "Duong"), IF(F26&lt;0, IF(C26="Transaction", "Du no", IF(C26="Interests", "Lai phat sinh", IF(C26="Misc", "Phi", IF(C26="Account Transfer", "Lai tra gop", "Am")))), "Bang 0"))</f>
        <v>Lai phat sinh</v>
      </c>
    </row>
    <row r="27" spans="1:7" x14ac:dyDescent="0.3">
      <c r="A27" s="60">
        <v>45681</v>
      </c>
      <c r="B27" s="35">
        <v>-113112.6</v>
      </c>
      <c r="C27" t="s">
        <v>49</v>
      </c>
      <c r="D27" s="25"/>
      <c r="E27" s="26" t="str">
        <f>IF(OR(C27="Transaction",C27="Interests",C27="Misc",C27="Account Transfer"), IF(C27="Transaction", IF(B27&lt;0, "Du no", "Da thanh toan"), IF(C27="Interests", "Lai", IF(C27="Misc", "Phi", IF(C27="Account Transfer", IF(OR(ISNUMBER(SEARCH("Trich lai tra gop the TD", D27)), ISNUMBER(SEARCH("Chuyen lai tra gop con lai sang du no thong thuong khi BadDebt", D27))), IF(B27&lt;0, "Lai tra gop", ""), "" )))))) &amp; " " &amp; IF(C27="Interests", TEXT(EDATE(IF(DAY(A27)&gt;=24, A27, EDATE(A27,-1)), -1),"yyyy-mm"), TEXT(IF(DAY(A27)&gt;=24, A27, EDATE(A27,-1)),"yyyy-mm"))</f>
        <v>Lai 2024-12</v>
      </c>
      <c r="F27" s="27">
        <f>IF(ISNUMBER(B27), ROUND(SUMIFS($B$2:$B$10000, $E$2:$E$10000, E27, $B$2:$B$10000, IF(B27&lt;0, "&lt;0", "&gt;0")), 0), "")</f>
        <v>-2059271</v>
      </c>
      <c r="G27" s="28" t="str">
        <f>IF(F27&gt;0, IF(C27="Transaction", "Da thanh toan", "Duong"), IF(F27&lt;0, IF(C27="Transaction", "Du no", IF(C27="Interests", "Lai phat sinh", IF(C27="Misc", "Phi", IF(C27="Account Transfer", "Lai tra gop", "Am")))), "Bang 0"))</f>
        <v>Lai phat sinh</v>
      </c>
    </row>
    <row r="28" spans="1:7" x14ac:dyDescent="0.3">
      <c r="A28" s="60">
        <v>45681</v>
      </c>
      <c r="B28" s="35">
        <v>-13374.79</v>
      </c>
      <c r="C28" t="s">
        <v>49</v>
      </c>
      <c r="D28" s="25"/>
      <c r="E28" s="26" t="str">
        <f>IF(OR(C28="Transaction",C28="Interests",C28="Misc",C28="Account Transfer"), IF(C28="Transaction", IF(B28&lt;0, "Du no", "Da thanh toan"), IF(C28="Interests", "Lai", IF(C28="Misc", "Phi", IF(C28="Account Transfer", IF(OR(ISNUMBER(SEARCH("Trich lai tra gop the TD", D28)), ISNUMBER(SEARCH("Chuyen lai tra gop con lai sang du no thong thuong khi BadDebt", D28))), IF(B28&lt;0, "Lai tra gop", ""), "" )))))) &amp; " " &amp; IF(C28="Interests", TEXT(EDATE(IF(DAY(A28)&gt;=24, A28, EDATE(A28,-1)), -1),"yyyy-mm"), TEXT(IF(DAY(A28)&gt;=24, A28, EDATE(A28,-1)),"yyyy-mm"))</f>
        <v>Lai 2024-12</v>
      </c>
      <c r="F28" s="27">
        <f>IF(ISNUMBER(B28), ROUND(SUMIFS($B$2:$B$10000, $E$2:$E$10000, E28, $B$2:$B$10000, IF(B28&lt;0, "&lt;0", "&gt;0")), 0), "")</f>
        <v>-2059271</v>
      </c>
      <c r="G28" s="28" t="str">
        <f>IF(F28&gt;0, IF(C28="Transaction", "Da thanh toan", "Duong"), IF(F28&lt;0, IF(C28="Transaction", "Du no", IF(C28="Interests", "Lai phat sinh", IF(C28="Misc", "Phi", IF(C28="Account Transfer", "Lai tra gop", "Am")))), "Bang 0"))</f>
        <v>Lai phat sinh</v>
      </c>
    </row>
    <row r="29" spans="1:7" x14ac:dyDescent="0.3">
      <c r="A29" s="60">
        <v>45681</v>
      </c>
      <c r="B29" s="35">
        <v>-620694.74</v>
      </c>
      <c r="C29" t="s">
        <v>49</v>
      </c>
      <c r="D29" s="25"/>
      <c r="E29" s="26" t="str">
        <f>IF(OR(C29="Transaction",C29="Interests",C29="Misc",C29="Account Transfer"), IF(C29="Transaction", IF(B29&lt;0, "Du no", "Da thanh toan"), IF(C29="Interests", "Lai", IF(C29="Misc", "Phi", IF(C29="Account Transfer", IF(OR(ISNUMBER(SEARCH("Trich lai tra gop the TD", D29)), ISNUMBER(SEARCH("Chuyen lai tra gop con lai sang du no thong thuong khi BadDebt", D29))), IF(B29&lt;0, "Lai tra gop", ""), "" )))))) &amp; " " &amp; IF(C29="Interests", TEXT(EDATE(IF(DAY(A29)&gt;=24, A29, EDATE(A29,-1)), -1),"yyyy-mm"), TEXT(IF(DAY(A29)&gt;=24, A29, EDATE(A29,-1)),"yyyy-mm"))</f>
        <v>Lai 2024-12</v>
      </c>
      <c r="F29" s="27">
        <f>IF(ISNUMBER(B29), ROUND(SUMIFS($B$2:$B$10000, $E$2:$E$10000, E29, $B$2:$B$10000, IF(B29&lt;0, "&lt;0", "&gt;0")), 0), "")</f>
        <v>-2059271</v>
      </c>
      <c r="G29" s="28" t="str">
        <f>IF(F29&gt;0, IF(C29="Transaction", "Da thanh toan", "Duong"), IF(F29&lt;0, IF(C29="Transaction", "Du no", IF(C29="Interests", "Lai phat sinh", IF(C29="Misc", "Phi", IF(C29="Account Transfer", "Lai tra gop", "Am")))), "Bang 0"))</f>
        <v>Lai phat sinh</v>
      </c>
    </row>
    <row r="30" spans="1:7" x14ac:dyDescent="0.3">
      <c r="A30" s="60">
        <v>45650</v>
      </c>
      <c r="B30" s="35">
        <v>-1194307.98</v>
      </c>
      <c r="C30" t="s">
        <v>49</v>
      </c>
      <c r="D30" s="25"/>
      <c r="E30" s="26" t="str">
        <f>IF(OR(C30="Transaction",C30="Interests",C30="Misc",C30="Account Transfer"), IF(C30="Transaction", IF(B30&lt;0, "Du no", "Da thanh toan"), IF(C30="Interests", "Lai", IF(C30="Misc", "Phi", IF(C30="Account Transfer", IF(OR(ISNUMBER(SEARCH("Trich lai tra gop the TD", D30)), ISNUMBER(SEARCH("Chuyen lai tra gop con lai sang du no thong thuong khi BadDebt", D30))), IF(B30&lt;0, "Lai tra gop", ""), "" )))))) &amp; " " &amp; IF(C30="Interests", TEXT(EDATE(IF(DAY(A30)&gt;=24, A30, EDATE(A30,-1)), -1),"yyyy-mm"), TEXT(IF(DAY(A30)&gt;=24, A30, EDATE(A30,-1)),"yyyy-mm"))</f>
        <v>Lai 2024-11</v>
      </c>
      <c r="F30" s="27">
        <f>IF(ISNUMBER(B30), ROUND(SUMIFS($B$2:$B$10000, $E$2:$E$10000, E30, $B$2:$B$10000, IF(B30&lt;0, "&lt;0", "&gt;0")), 0), "")</f>
        <v>-1917387</v>
      </c>
      <c r="G30" s="28" t="str">
        <f>IF(F30&gt;0, IF(C30="Transaction", "Da thanh toan", "Duong"), IF(F30&lt;0, IF(C30="Transaction", "Du no", IF(C30="Interests", "Lai phat sinh", IF(C30="Misc", "Phi", IF(C30="Account Transfer", "Lai tra gop", "Am")))), "Bang 0"))</f>
        <v>Lai phat sinh</v>
      </c>
    </row>
    <row r="31" spans="1:7" x14ac:dyDescent="0.3">
      <c r="A31" s="60">
        <v>45650</v>
      </c>
      <c r="B31" s="35">
        <v>-109463.8</v>
      </c>
      <c r="C31" t="s">
        <v>49</v>
      </c>
      <c r="D31" s="25"/>
      <c r="E31" s="26" t="str">
        <f>IF(OR(C31="Transaction",C31="Interests",C31="Misc",C31="Account Transfer"), IF(C31="Transaction", IF(B31&lt;0, "Du no", "Da thanh toan"), IF(C31="Interests", "Lai", IF(C31="Misc", "Phi", IF(C31="Account Transfer", IF(OR(ISNUMBER(SEARCH("Trich lai tra gop the TD", D31)), ISNUMBER(SEARCH("Chuyen lai tra gop con lai sang du no thong thuong khi BadDebt", D31))), IF(B31&lt;0, "Lai tra gop", ""), "" )))))) &amp; " " &amp; IF(C31="Interests", TEXT(EDATE(IF(DAY(A31)&gt;=24, A31, EDATE(A31,-1)), -1),"yyyy-mm"), TEXT(IF(DAY(A31)&gt;=24, A31, EDATE(A31,-1)),"yyyy-mm"))</f>
        <v>Lai 2024-11</v>
      </c>
      <c r="F31" s="27">
        <f>IF(ISNUMBER(B31), ROUND(SUMIFS($B$2:$B$10000, $E$2:$E$10000, E31, $B$2:$B$10000, IF(B31&lt;0, "&lt;0", "&gt;0")), 0), "")</f>
        <v>-1917387</v>
      </c>
      <c r="G31" s="28" t="str">
        <f>IF(F31&gt;0, IF(C31="Transaction", "Da thanh toan", "Duong"), IF(F31&lt;0, IF(C31="Transaction", "Du no", IF(C31="Interests", "Lai phat sinh", IF(C31="Misc", "Phi", IF(C31="Account Transfer", "Lai tra gop", "Am")))), "Bang 0"))</f>
        <v>Lai phat sinh</v>
      </c>
    </row>
    <row r="32" spans="1:7" x14ac:dyDescent="0.3">
      <c r="A32" s="60">
        <v>45650</v>
      </c>
      <c r="B32" s="35">
        <v>-12943.34</v>
      </c>
      <c r="C32" t="s">
        <v>49</v>
      </c>
      <c r="D32" s="25"/>
      <c r="E32" s="26" t="str">
        <f>IF(OR(C32="Transaction",C32="Interests",C32="Misc",C32="Account Transfer"), IF(C32="Transaction", IF(B32&lt;0, "Du no", "Da thanh toan"), IF(C32="Interests", "Lai", IF(C32="Misc", "Phi", IF(C32="Account Transfer", IF(OR(ISNUMBER(SEARCH("Trich lai tra gop the TD", D32)), ISNUMBER(SEARCH("Chuyen lai tra gop con lai sang du no thong thuong khi BadDebt", D32))), IF(B32&lt;0, "Lai tra gop", ""), "" )))))) &amp; " " &amp; IF(C32="Interests", TEXT(EDATE(IF(DAY(A32)&gt;=24, A32, EDATE(A32,-1)), -1),"yyyy-mm"), TEXT(IF(DAY(A32)&gt;=24, A32, EDATE(A32,-1)),"yyyy-mm"))</f>
        <v>Lai 2024-11</v>
      </c>
      <c r="F32" s="27">
        <f>IF(ISNUMBER(B32), ROUND(SUMIFS($B$2:$B$10000, $E$2:$E$10000, E32, $B$2:$B$10000, IF(B32&lt;0, "&lt;0", "&gt;0")), 0), "")</f>
        <v>-1917387</v>
      </c>
      <c r="G32" s="28" t="str">
        <f>IF(F32&gt;0, IF(C32="Transaction", "Da thanh toan", "Duong"), IF(F32&lt;0, IF(C32="Transaction", "Du no", IF(C32="Interests", "Lai phat sinh", IF(C32="Misc", "Phi", IF(C32="Account Transfer", "Lai tra gop", "Am")))), "Bang 0"))</f>
        <v>Lai phat sinh</v>
      </c>
    </row>
    <row r="33" spans="1:7" x14ac:dyDescent="0.3">
      <c r="A33" s="60">
        <v>45650</v>
      </c>
      <c r="B33" s="35">
        <v>-600672.32999999996</v>
      </c>
      <c r="C33" t="s">
        <v>49</v>
      </c>
      <c r="D33" s="25"/>
      <c r="E33" s="26" t="str">
        <f>IF(OR(C33="Transaction",C33="Interests",C33="Misc",C33="Account Transfer"), IF(C33="Transaction", IF(B33&lt;0, "Du no", "Da thanh toan"), IF(C33="Interests", "Lai", IF(C33="Misc", "Phi", IF(C33="Account Transfer", IF(OR(ISNUMBER(SEARCH("Trich lai tra gop the TD", D33)), ISNUMBER(SEARCH("Chuyen lai tra gop con lai sang du no thong thuong khi BadDebt", D33))), IF(B33&lt;0, "Lai tra gop", ""), "" )))))) &amp; " " &amp; IF(C33="Interests", TEXT(EDATE(IF(DAY(A33)&gt;=24, A33, EDATE(A33,-1)), -1),"yyyy-mm"), TEXT(IF(DAY(A33)&gt;=24, A33, EDATE(A33,-1)),"yyyy-mm"))</f>
        <v>Lai 2024-11</v>
      </c>
      <c r="F33" s="27">
        <f>IF(ISNUMBER(B33), ROUND(SUMIFS($B$2:$B$10000, $E$2:$E$10000, E33, $B$2:$B$10000, IF(B33&lt;0, "&lt;0", "&gt;0")), 0), "")</f>
        <v>-1917387</v>
      </c>
      <c r="G33" s="28" t="str">
        <f>IF(F33&gt;0, IF(C33="Transaction", "Da thanh toan", "Duong"), IF(F33&lt;0, IF(C33="Transaction", "Du no", IF(C33="Interests", "Lai phat sinh", IF(C33="Misc", "Phi", IF(C33="Account Transfer", "Lai tra gop", "Am")))), "Bang 0"))</f>
        <v>Lai phat sinh</v>
      </c>
    </row>
    <row r="34" spans="1:7" x14ac:dyDescent="0.3">
      <c r="A34" s="60">
        <v>45620</v>
      </c>
      <c r="B34" s="35">
        <v>-1156696.6200000001</v>
      </c>
      <c r="C34" t="s">
        <v>49</v>
      </c>
      <c r="D34" s="25"/>
      <c r="E34" s="26" t="str">
        <f>IF(OR(C34="Transaction",C34="Interests",C34="Misc",C34="Account Transfer"), IF(C34="Transaction", IF(B34&lt;0, "Du no", "Da thanh toan"), IF(C34="Interests", "Lai", IF(C34="Misc", "Phi", IF(C34="Account Transfer", IF(OR(ISNUMBER(SEARCH("Trich lai tra gop the TD", D34)), ISNUMBER(SEARCH("Chuyen lai tra gop con lai sang du no thong thuong khi BadDebt", D34))), IF(B34&lt;0, "Lai tra gop", ""), "" )))))) &amp; " " &amp; IF(C34="Interests", TEXT(EDATE(IF(DAY(A34)&gt;=24, A34, EDATE(A34,-1)), -1),"yyyy-mm"), TEXT(IF(DAY(A34)&gt;=24, A34, EDATE(A34,-1)),"yyyy-mm"))</f>
        <v>Lai 2024-10</v>
      </c>
      <c r="F34" s="27">
        <f>IF(ISNUMBER(B34), ROUND(SUMIFS($B$2:$B$10000, $E$2:$E$10000, E34, $B$2:$B$10000, IF(B34&lt;0, "&lt;0", "&gt;0")), 0), "")</f>
        <v>-1903879</v>
      </c>
      <c r="G34" s="28" t="str">
        <f>IF(F34&gt;0, IF(C34="Transaction", "Da thanh toan", "Duong"), IF(F34&lt;0, IF(C34="Transaction", "Du no", IF(C34="Interests", "Lai phat sinh", IF(C34="Misc", "Phi", IF(C34="Account Transfer", "Lai tra gop", "Am")))), "Bang 0"))</f>
        <v>Lai phat sinh</v>
      </c>
    </row>
    <row r="35" spans="1:7" x14ac:dyDescent="0.3">
      <c r="A35" s="60">
        <v>45620</v>
      </c>
      <c r="B35" s="35">
        <v>-113112.6</v>
      </c>
      <c r="C35" t="s">
        <v>49</v>
      </c>
      <c r="D35" s="25"/>
      <c r="E35" s="26" t="str">
        <f>IF(OR(C35="Transaction",C35="Interests",C35="Misc",C35="Account Transfer"), IF(C35="Transaction", IF(B35&lt;0, "Du no", "Da thanh toan"), IF(C35="Interests", "Lai", IF(C35="Misc", "Phi", IF(C35="Account Transfer", IF(OR(ISNUMBER(SEARCH("Trich lai tra gop the TD", D35)), ISNUMBER(SEARCH("Chuyen lai tra gop con lai sang du no thong thuong khi BadDebt", D35))), IF(B35&lt;0, "Lai tra gop", ""), "" )))))) &amp; " " &amp; IF(C35="Interests", TEXT(EDATE(IF(DAY(A35)&gt;=24, A35, EDATE(A35,-1)), -1),"yyyy-mm"), TEXT(IF(DAY(A35)&gt;=24, A35, EDATE(A35,-1)),"yyyy-mm"))</f>
        <v>Lai 2024-10</v>
      </c>
      <c r="F35" s="27">
        <f>IF(ISNUMBER(B35), ROUND(SUMIFS($B$2:$B$10000, $E$2:$E$10000, E35, $B$2:$B$10000, IF(B35&lt;0, "&lt;0", "&gt;0")), 0), "")</f>
        <v>-1903879</v>
      </c>
      <c r="G35" s="28" t="str">
        <f>IF(F35&gt;0, IF(C35="Transaction", "Da thanh toan", "Duong"), IF(F35&lt;0, IF(C35="Transaction", "Du no", IF(C35="Interests", "Lai phat sinh", IF(C35="Misc", "Phi", IF(C35="Account Transfer", "Lai tra gop", "Am")))), "Bang 0"))</f>
        <v>Lai phat sinh</v>
      </c>
    </row>
    <row r="36" spans="1:7" x14ac:dyDescent="0.3">
      <c r="A36" s="60">
        <v>45620</v>
      </c>
      <c r="B36" s="35">
        <v>-13374.79</v>
      </c>
      <c r="C36" t="s">
        <v>49</v>
      </c>
      <c r="D36" s="25"/>
      <c r="E36" s="26" t="str">
        <f>IF(OR(C36="Transaction",C36="Interests",C36="Misc",C36="Account Transfer"), IF(C36="Transaction", IF(B36&lt;0, "Du no", "Da thanh toan"), IF(C36="Interests", "Lai", IF(C36="Misc", "Phi", IF(C36="Account Transfer", IF(OR(ISNUMBER(SEARCH("Trich lai tra gop the TD", D36)), ISNUMBER(SEARCH("Chuyen lai tra gop con lai sang du no thong thuong khi BadDebt", D36))), IF(B36&lt;0, "Lai tra gop", ""), "" )))))) &amp; " " &amp; IF(C36="Interests", TEXT(EDATE(IF(DAY(A36)&gt;=24, A36, EDATE(A36,-1)), -1),"yyyy-mm"), TEXT(IF(DAY(A36)&gt;=24, A36, EDATE(A36,-1)),"yyyy-mm"))</f>
        <v>Lai 2024-10</v>
      </c>
      <c r="F36" s="27">
        <f>IF(ISNUMBER(B36), ROUND(SUMIFS($B$2:$B$10000, $E$2:$E$10000, E36, $B$2:$B$10000, IF(B36&lt;0, "&lt;0", "&gt;0")), 0), "")</f>
        <v>-1903879</v>
      </c>
      <c r="G36" s="28" t="str">
        <f>IF(F36&gt;0, IF(C36="Transaction", "Da thanh toan", "Duong"), IF(F36&lt;0, IF(C36="Transaction", "Du no", IF(C36="Interests", "Lai phat sinh", IF(C36="Misc", "Phi", IF(C36="Account Transfer", "Lai tra gop", "Am")))), "Bang 0"))</f>
        <v>Lai phat sinh</v>
      </c>
    </row>
    <row r="37" spans="1:7" x14ac:dyDescent="0.3">
      <c r="A37" s="60">
        <v>45620</v>
      </c>
      <c r="B37" s="35">
        <v>-620694.74</v>
      </c>
      <c r="C37" t="s">
        <v>49</v>
      </c>
      <c r="D37" s="25"/>
      <c r="E37" s="26" t="str">
        <f>IF(OR(C37="Transaction",C37="Interests",C37="Misc",C37="Account Transfer"), IF(C37="Transaction", IF(B37&lt;0, "Du no", "Da thanh toan"), IF(C37="Interests", "Lai", IF(C37="Misc", "Phi", IF(C37="Account Transfer", IF(OR(ISNUMBER(SEARCH("Trich lai tra gop the TD", D37)), ISNUMBER(SEARCH("Chuyen lai tra gop con lai sang du no thong thuong khi BadDebt", D37))), IF(B37&lt;0, "Lai tra gop", ""), "" )))))) &amp; " " &amp; IF(C37="Interests", TEXT(EDATE(IF(DAY(A37)&gt;=24, A37, EDATE(A37,-1)), -1),"yyyy-mm"), TEXT(IF(DAY(A37)&gt;=24, A37, EDATE(A37,-1)),"yyyy-mm"))</f>
        <v>Lai 2024-10</v>
      </c>
      <c r="F37" s="27">
        <f>IF(ISNUMBER(B37), ROUND(SUMIFS($B$2:$B$10000, $E$2:$E$10000, E37, $B$2:$B$10000, IF(B37&lt;0, "&lt;0", "&gt;0")), 0), "")</f>
        <v>-1903879</v>
      </c>
      <c r="G37" s="28" t="str">
        <f>IF(F37&gt;0, IF(C37="Transaction", "Da thanh toan", "Duong"), IF(F37&lt;0, IF(C37="Transaction", "Du no", IF(C37="Interests", "Lai phat sinh", IF(C37="Misc", "Phi", IF(C37="Account Transfer", "Lai tra gop", "Am")))), "Bang 0"))</f>
        <v>Lai phat sinh</v>
      </c>
    </row>
    <row r="38" spans="1:7" x14ac:dyDescent="0.3">
      <c r="A38" s="60">
        <v>45589</v>
      </c>
      <c r="B38" s="35">
        <v>-1049621.95</v>
      </c>
      <c r="C38" t="s">
        <v>49</v>
      </c>
      <c r="D38" s="25"/>
      <c r="E38" s="26" t="str">
        <f>IF(OR(C38="Transaction",C38="Interests",C38="Misc",C38="Account Transfer"), IF(C38="Transaction", IF(B38&lt;0, "Du no", "Da thanh toan"), IF(C38="Interests", "Lai", IF(C38="Misc", "Phi", IF(C38="Account Transfer", IF(OR(ISNUMBER(SEARCH("Trich lai tra gop the TD", D38)), ISNUMBER(SEARCH("Chuyen lai tra gop con lai sang du no thong thuong khi BadDebt", D38))), IF(B38&lt;0, "Lai tra gop", ""), "" )))))) &amp; " " &amp; IF(C38="Interests", TEXT(EDATE(IF(DAY(A38)&gt;=24, A38, EDATE(A38,-1)), -1),"yyyy-mm"), TEXT(IF(DAY(A38)&gt;=24, A38, EDATE(A38,-1)),"yyyy-mm"))</f>
        <v>Lai 2024-09</v>
      </c>
      <c r="F38" s="27">
        <f>IF(ISNUMBER(B38), ROUND(SUMIFS($B$2:$B$10000, $E$2:$E$10000, E38, $B$2:$B$10000, IF(B38&lt;0, "&lt;0", "&gt;0")), 0), "")</f>
        <v>-1772701</v>
      </c>
      <c r="G38" s="28" t="str">
        <f>IF(F38&gt;0, IF(C38="Transaction", "Da thanh toan", "Duong"), IF(F38&lt;0, IF(C38="Transaction", "Du no", IF(C38="Interests", "Lai phat sinh", IF(C38="Misc", "Phi", IF(C38="Account Transfer", "Lai tra gop", "Am")))), "Bang 0"))</f>
        <v>Lai phat sinh</v>
      </c>
    </row>
    <row r="39" spans="1:7" x14ac:dyDescent="0.3">
      <c r="A39" s="60">
        <v>45589</v>
      </c>
      <c r="B39" s="35">
        <v>-109463.8</v>
      </c>
      <c r="C39" t="s">
        <v>49</v>
      </c>
      <c r="D39" s="25"/>
      <c r="E39" s="26" t="str">
        <f>IF(OR(C39="Transaction",C39="Interests",C39="Misc",C39="Account Transfer"), IF(C39="Transaction", IF(B39&lt;0, "Du no", "Da thanh toan"), IF(C39="Interests", "Lai", IF(C39="Misc", "Phi", IF(C39="Account Transfer", IF(OR(ISNUMBER(SEARCH("Trich lai tra gop the TD", D39)), ISNUMBER(SEARCH("Chuyen lai tra gop con lai sang du no thong thuong khi BadDebt", D39))), IF(B39&lt;0, "Lai tra gop", ""), "" )))))) &amp; " " &amp; IF(C39="Interests", TEXT(EDATE(IF(DAY(A39)&gt;=24, A39, EDATE(A39,-1)), -1),"yyyy-mm"), TEXT(IF(DAY(A39)&gt;=24, A39, EDATE(A39,-1)),"yyyy-mm"))</f>
        <v>Lai 2024-09</v>
      </c>
      <c r="F39" s="27">
        <f>IF(ISNUMBER(B39), ROUND(SUMIFS($B$2:$B$10000, $E$2:$E$10000, E39, $B$2:$B$10000, IF(B39&lt;0, "&lt;0", "&gt;0")), 0), "")</f>
        <v>-1772701</v>
      </c>
      <c r="G39" s="28" t="str">
        <f>IF(F39&gt;0, IF(C39="Transaction", "Da thanh toan", "Duong"), IF(F39&lt;0, IF(C39="Transaction", "Du no", IF(C39="Interests", "Lai phat sinh", IF(C39="Misc", "Phi", IF(C39="Account Transfer", "Lai tra gop", "Am")))), "Bang 0"))</f>
        <v>Lai phat sinh</v>
      </c>
    </row>
    <row r="40" spans="1:7" x14ac:dyDescent="0.3">
      <c r="A40" s="60">
        <v>45589</v>
      </c>
      <c r="B40" s="35">
        <v>-12943.34</v>
      </c>
      <c r="C40" t="s">
        <v>49</v>
      </c>
      <c r="D40" s="17"/>
      <c r="E40" s="26" t="str">
        <f>IF(OR(C40="Transaction",C40="Interests",C40="Misc",C40="Account Transfer"), IF(C40="Transaction", IF(B40&lt;0, "Du no", "Da thanh toan"), IF(C40="Interests", "Lai", IF(C40="Misc", "Phi", IF(C40="Account Transfer", IF(OR(ISNUMBER(SEARCH("Trich lai tra gop the TD", D40)), ISNUMBER(SEARCH("Chuyen lai tra gop con lai sang du no thong thuong khi BadDebt", D40))), IF(B40&lt;0, "Lai tra gop", ""), "" )))))) &amp; " " &amp; IF(C40="Interests", TEXT(EDATE(IF(DAY(A40)&gt;=24, A40, EDATE(A40,-1)), -1),"yyyy-mm"), TEXT(IF(DAY(A40)&gt;=24, A40, EDATE(A40,-1)),"yyyy-mm"))</f>
        <v>Lai 2024-09</v>
      </c>
      <c r="F40" s="27">
        <f>IF(ISNUMBER(B40), ROUND(SUMIFS($B$2:$B$10000, $E$2:$E$10000, E40, $B$2:$B$10000, IF(B40&lt;0, "&lt;0", "&gt;0")), 0), "")</f>
        <v>-1772701</v>
      </c>
      <c r="G40" s="28" t="str">
        <f>IF(F40&gt;0, IF(C40="Transaction", "Da thanh toan", "Duong"), IF(F40&lt;0, IF(C40="Transaction", "Du no", IF(C40="Interests", "Lai phat sinh", IF(C40="Misc", "Phi", IF(C40="Account Transfer", "Lai tra gop", "Am")))), "Bang 0"))</f>
        <v>Lai phat sinh</v>
      </c>
    </row>
    <row r="41" spans="1:7" x14ac:dyDescent="0.3">
      <c r="A41" s="60">
        <v>45589</v>
      </c>
      <c r="B41" s="35">
        <v>-600672.32999999996</v>
      </c>
      <c r="C41" t="s">
        <v>49</v>
      </c>
      <c r="D41" s="17"/>
      <c r="E41" s="26" t="str">
        <f>IF(OR(C41="Transaction",C41="Interests",C41="Misc",C41="Account Transfer"), IF(C41="Transaction", IF(B41&lt;0, "Du no", "Da thanh toan"), IF(C41="Interests", "Lai", IF(C41="Misc", "Phi", IF(C41="Account Transfer", IF(OR(ISNUMBER(SEARCH("Trich lai tra gop the TD", D41)), ISNUMBER(SEARCH("Chuyen lai tra gop con lai sang du no thong thuong khi BadDebt", D41))), IF(B41&lt;0, "Lai tra gop", ""), "" )))))) &amp; " " &amp; IF(C41="Interests", TEXT(EDATE(IF(DAY(A41)&gt;=24, A41, EDATE(A41,-1)), -1),"yyyy-mm"), TEXT(IF(DAY(A41)&gt;=24, A41, EDATE(A41,-1)),"yyyy-mm"))</f>
        <v>Lai 2024-09</v>
      </c>
      <c r="F41" s="27">
        <f>IF(ISNUMBER(B41), ROUND(SUMIFS($B$2:$B$10000, $E$2:$E$10000, E41, $B$2:$B$10000, IF(B41&lt;0, "&lt;0", "&gt;0")), 0), "")</f>
        <v>-1772701</v>
      </c>
      <c r="G41" s="28" t="str">
        <f>IF(F41&gt;0, IF(C41="Transaction", "Da thanh toan", "Duong"), IF(F41&lt;0, IF(C41="Transaction", "Du no", IF(C41="Interests", "Lai phat sinh", IF(C41="Misc", "Phi", IF(C41="Account Transfer", "Lai tra gop", "Am")))), "Bang 0"))</f>
        <v>Lai phat sinh</v>
      </c>
    </row>
    <row r="42" spans="1:7" x14ac:dyDescent="0.3">
      <c r="A42" s="60">
        <v>45559</v>
      </c>
      <c r="B42" s="35">
        <v>-1013029.97</v>
      </c>
      <c r="C42" t="s">
        <v>49</v>
      </c>
      <c r="D42" s="25"/>
      <c r="E42" s="26" t="str">
        <f>IF(OR(C42="Transaction",C42="Interests",C42="Misc",C42="Account Transfer"), IF(C42="Transaction", IF(B42&lt;0, "Du no", "Da thanh toan"), IF(C42="Interests", "Lai", IF(C42="Misc", "Phi", IF(C42="Account Transfer", IF(OR(ISNUMBER(SEARCH("Trich lai tra gop the TD", D42)), ISNUMBER(SEARCH("Chuyen lai tra gop con lai sang du no thong thuong khi BadDebt", D42))), IF(B42&lt;0, "Lai tra gop", ""), "" )))))) &amp; " " &amp; IF(C42="Interests", TEXT(EDATE(IF(DAY(A42)&gt;=24, A42, EDATE(A42,-1)), -1),"yyyy-mm"), TEXT(IF(DAY(A42)&gt;=24, A42, EDATE(A42,-1)),"yyyy-mm"))</f>
        <v>Lai 2024-08</v>
      </c>
      <c r="F42" s="27">
        <f>IF(ISNUMBER(B42), ROUND(SUMIFS($B$2:$B$10000, $E$2:$E$10000, E42, $B$2:$B$10000, IF(B42&lt;0, "&lt;0", "&gt;0")), 0), "")</f>
        <v>-1760212</v>
      </c>
      <c r="G42" s="28" t="str">
        <f>IF(F42&gt;0, IF(C42="Transaction", "Da thanh toan", "Duong"), IF(F42&lt;0, IF(C42="Transaction", "Du no", IF(C42="Interests", "Lai phat sinh", IF(C42="Misc", "Phi", IF(C42="Account Transfer", "Lai tra gop", "Am")))), "Bang 0"))</f>
        <v>Lai phat sinh</v>
      </c>
    </row>
    <row r="43" spans="1:7" x14ac:dyDescent="0.3">
      <c r="A43" s="60">
        <v>45559</v>
      </c>
      <c r="B43" s="35">
        <v>-113112.6</v>
      </c>
      <c r="C43" t="s">
        <v>49</v>
      </c>
      <c r="D43" s="17"/>
      <c r="E43" s="26" t="str">
        <f>IF(OR(C43="Transaction",C43="Interests",C43="Misc",C43="Account Transfer"), IF(C43="Transaction", IF(B43&lt;0, "Du no", "Da thanh toan"), IF(C43="Interests", "Lai", IF(C43="Misc", "Phi", IF(C43="Account Transfer", IF(OR(ISNUMBER(SEARCH("Trich lai tra gop the TD", D43)), ISNUMBER(SEARCH("Chuyen lai tra gop con lai sang du no thong thuong khi BadDebt", D43))), IF(B43&lt;0, "Lai tra gop", ""), "" )))))) &amp; " " &amp; IF(C43="Interests", TEXT(EDATE(IF(DAY(A43)&gt;=24, A43, EDATE(A43,-1)), -1),"yyyy-mm"), TEXT(IF(DAY(A43)&gt;=24, A43, EDATE(A43,-1)),"yyyy-mm"))</f>
        <v>Lai 2024-08</v>
      </c>
      <c r="F43" s="27">
        <f>IF(ISNUMBER(B43), ROUND(SUMIFS($B$2:$B$10000, $E$2:$E$10000, E43, $B$2:$B$10000, IF(B43&lt;0, "&lt;0", "&gt;0")), 0), "")</f>
        <v>-1760212</v>
      </c>
      <c r="G43" s="28" t="str">
        <f>IF(F43&gt;0, IF(C43="Transaction", "Da thanh toan", "Duong"), IF(F43&lt;0, IF(C43="Transaction", "Du no", IF(C43="Interests", "Lai phat sinh", IF(C43="Misc", "Phi", IF(C43="Account Transfer", "Lai tra gop", "Am")))), "Bang 0"))</f>
        <v>Lai phat sinh</v>
      </c>
    </row>
    <row r="44" spans="1:7" x14ac:dyDescent="0.3">
      <c r="A44" s="60">
        <v>45559</v>
      </c>
      <c r="B44" s="35">
        <v>-13374.79</v>
      </c>
      <c r="C44" t="s">
        <v>49</v>
      </c>
      <c r="D44" s="17"/>
      <c r="E44" s="26" t="str">
        <f>IF(OR(C44="Transaction",C44="Interests",C44="Misc",C44="Account Transfer"), IF(C44="Transaction", IF(B44&lt;0, "Du no", "Da thanh toan"), IF(C44="Interests", "Lai", IF(C44="Misc", "Phi", IF(C44="Account Transfer", IF(OR(ISNUMBER(SEARCH("Trich lai tra gop the TD", D44)), ISNUMBER(SEARCH("Chuyen lai tra gop con lai sang du no thong thuong khi BadDebt", D44))), IF(B44&lt;0, "Lai tra gop", ""), "" )))))) &amp; " " &amp; IF(C44="Interests", TEXT(EDATE(IF(DAY(A44)&gt;=24, A44, EDATE(A44,-1)), -1),"yyyy-mm"), TEXT(IF(DAY(A44)&gt;=24, A44, EDATE(A44,-1)),"yyyy-mm"))</f>
        <v>Lai 2024-08</v>
      </c>
      <c r="F44" s="27">
        <f>IF(ISNUMBER(B44), ROUND(SUMIFS($B$2:$B$10000, $E$2:$E$10000, E44, $B$2:$B$10000, IF(B44&lt;0, "&lt;0", "&gt;0")), 0), "")</f>
        <v>-1760212</v>
      </c>
      <c r="G44" s="28" t="str">
        <f>IF(F44&gt;0, IF(C44="Transaction", "Da thanh toan", "Duong"), IF(F44&lt;0, IF(C44="Transaction", "Du no", IF(C44="Interests", "Lai phat sinh", IF(C44="Misc", "Phi", IF(C44="Account Transfer", "Lai tra gop", "Am")))), "Bang 0"))</f>
        <v>Lai phat sinh</v>
      </c>
    </row>
    <row r="45" spans="1:7" x14ac:dyDescent="0.3">
      <c r="A45" s="60">
        <v>45559</v>
      </c>
      <c r="B45" s="35">
        <v>-620694.74</v>
      </c>
      <c r="C45" t="s">
        <v>49</v>
      </c>
      <c r="D45" s="17"/>
      <c r="E45" s="26" t="str">
        <f>IF(OR(C45="Transaction",C45="Interests",C45="Misc",C45="Account Transfer"), IF(C45="Transaction", IF(B45&lt;0, "Du no", "Da thanh toan"), IF(C45="Interests", "Lai", IF(C45="Misc", "Phi", IF(C45="Account Transfer", IF(OR(ISNUMBER(SEARCH("Trich lai tra gop the TD", D45)), ISNUMBER(SEARCH("Chuyen lai tra gop con lai sang du no thong thuong khi BadDebt", D45))), IF(B45&lt;0, "Lai tra gop", ""), "" )))))) &amp; " " &amp; IF(C45="Interests", TEXT(EDATE(IF(DAY(A45)&gt;=24, A45, EDATE(A45,-1)), -1),"yyyy-mm"), TEXT(IF(DAY(A45)&gt;=24, A45, EDATE(A45,-1)),"yyyy-mm"))</f>
        <v>Lai 2024-08</v>
      </c>
      <c r="F45" s="27">
        <f>IF(ISNUMBER(B45), ROUND(SUMIFS($B$2:$B$10000, $E$2:$E$10000, E45, $B$2:$B$10000, IF(B45&lt;0, "&lt;0", "&gt;0")), 0), "")</f>
        <v>-1760212</v>
      </c>
      <c r="G45" s="28" t="str">
        <f>IF(F45&gt;0, IF(C45="Transaction", "Da thanh toan", "Duong"), IF(F45&lt;0, IF(C45="Transaction", "Du no", IF(C45="Interests", "Lai phat sinh", IF(C45="Misc", "Phi", IF(C45="Account Transfer", "Lai tra gop", "Am")))), "Bang 0"))</f>
        <v>Lai phat sinh</v>
      </c>
    </row>
    <row r="46" spans="1:7" x14ac:dyDescent="0.3">
      <c r="A46" s="60">
        <v>45528</v>
      </c>
      <c r="B46" s="35">
        <v>-944247.63</v>
      </c>
      <c r="C46" t="s">
        <v>49</v>
      </c>
      <c r="D46" s="17"/>
      <c r="E46" s="26" t="str">
        <f>IF(OR(C46="Transaction",C46="Interests",C46="Misc",C46="Account Transfer"), IF(C46="Transaction", IF(B46&lt;0, "Du no", "Da thanh toan"), IF(C46="Interests", "Lai", IF(C46="Misc", "Phi", IF(C46="Account Transfer", IF(OR(ISNUMBER(SEARCH("Trich lai tra gop the TD", D46)), ISNUMBER(SEARCH("Chuyen lai tra gop con lai sang du no thong thuong khi BadDebt", D46))), IF(B46&lt;0, "Lai tra gop", ""), "" )))))) &amp; " " &amp; IF(C46="Interests", TEXT(EDATE(IF(DAY(A46)&gt;=24, A46, EDATE(A46,-1)), -1),"yyyy-mm"), TEXT(IF(DAY(A46)&gt;=24, A46, EDATE(A46,-1)),"yyyy-mm"))</f>
        <v>Lai 2024-07</v>
      </c>
      <c r="F46" s="27">
        <f>IF(ISNUMBER(B46), ROUND(SUMIFS($B$2:$B$10000, $E$2:$E$10000, E46, $B$2:$B$10000, IF(B46&lt;0, "&lt;0", "&gt;0")), 0), "")</f>
        <v>-1691430</v>
      </c>
      <c r="G46" s="28" t="str">
        <f>IF(F46&gt;0, IF(C46="Transaction", "Da thanh toan", "Duong"), IF(F46&lt;0, IF(C46="Transaction", "Du no", IF(C46="Interests", "Lai phat sinh", IF(C46="Misc", "Phi", IF(C46="Account Transfer", "Lai tra gop", "Am")))), "Bang 0"))</f>
        <v>Lai phat sinh</v>
      </c>
    </row>
    <row r="47" spans="1:7" x14ac:dyDescent="0.3">
      <c r="A47" s="60">
        <v>45528</v>
      </c>
      <c r="B47" s="35">
        <v>-113112.6</v>
      </c>
      <c r="C47" t="s">
        <v>49</v>
      </c>
      <c r="D47" s="17"/>
      <c r="E47" s="26" t="str">
        <f>IF(OR(C47="Transaction",C47="Interests",C47="Misc",C47="Account Transfer"), IF(C47="Transaction", IF(B47&lt;0, "Du no", "Da thanh toan"), IF(C47="Interests", "Lai", IF(C47="Misc", "Phi", IF(C47="Account Transfer", IF(OR(ISNUMBER(SEARCH("Trich lai tra gop the TD", D47)), ISNUMBER(SEARCH("Chuyen lai tra gop con lai sang du no thong thuong khi BadDebt", D47))), IF(B47&lt;0, "Lai tra gop", ""), "" )))))) &amp; " " &amp; IF(C47="Interests", TEXT(EDATE(IF(DAY(A47)&gt;=24, A47, EDATE(A47,-1)), -1),"yyyy-mm"), TEXT(IF(DAY(A47)&gt;=24, A47, EDATE(A47,-1)),"yyyy-mm"))</f>
        <v>Lai 2024-07</v>
      </c>
      <c r="F47" s="27">
        <f>IF(ISNUMBER(B47), ROUND(SUMIFS($B$2:$B$10000, $E$2:$E$10000, E47, $B$2:$B$10000, IF(B47&lt;0, "&lt;0", "&gt;0")), 0), "")</f>
        <v>-1691430</v>
      </c>
      <c r="G47" s="28" t="str">
        <f>IF(F47&gt;0, IF(C47="Transaction", "Da thanh toan", "Duong"), IF(F47&lt;0, IF(C47="Transaction", "Du no", IF(C47="Interests", "Lai phat sinh", IF(C47="Misc", "Phi", IF(C47="Account Transfer", "Lai tra gop", "Am")))), "Bang 0"))</f>
        <v>Lai phat sinh</v>
      </c>
    </row>
    <row r="48" spans="1:7" x14ac:dyDescent="0.3">
      <c r="A48" s="60">
        <v>45528</v>
      </c>
      <c r="B48" s="35">
        <v>-13374.79</v>
      </c>
      <c r="C48" t="s">
        <v>49</v>
      </c>
      <c r="D48" s="17"/>
      <c r="E48" s="26" t="str">
        <f>IF(OR(C48="Transaction",C48="Interests",C48="Misc",C48="Account Transfer"), IF(C48="Transaction", IF(B48&lt;0, "Du no", "Da thanh toan"), IF(C48="Interests", "Lai", IF(C48="Misc", "Phi", IF(C48="Account Transfer", IF(OR(ISNUMBER(SEARCH("Trich lai tra gop the TD", D48)), ISNUMBER(SEARCH("Chuyen lai tra gop con lai sang du no thong thuong khi BadDebt", D48))), IF(B48&lt;0, "Lai tra gop", ""), "" )))))) &amp; " " &amp; IF(C48="Interests", TEXT(EDATE(IF(DAY(A48)&gt;=24, A48, EDATE(A48,-1)), -1),"yyyy-mm"), TEXT(IF(DAY(A48)&gt;=24, A48, EDATE(A48,-1)),"yyyy-mm"))</f>
        <v>Lai 2024-07</v>
      </c>
      <c r="F48" s="27">
        <f>IF(ISNUMBER(B48), ROUND(SUMIFS($B$2:$B$10000, $E$2:$E$10000, E48, $B$2:$B$10000, IF(B48&lt;0, "&lt;0", "&gt;0")), 0), "")</f>
        <v>-1691430</v>
      </c>
      <c r="G48" s="28" t="str">
        <f>IF(F48&gt;0, IF(C48="Transaction", "Da thanh toan", "Duong"), IF(F48&lt;0, IF(C48="Transaction", "Du no", IF(C48="Interests", "Lai phat sinh", IF(C48="Misc", "Phi", IF(C48="Account Transfer", "Lai tra gop", "Am")))), "Bang 0"))</f>
        <v>Lai phat sinh</v>
      </c>
    </row>
    <row r="49" spans="1:7" x14ac:dyDescent="0.3">
      <c r="A49" s="60">
        <v>45528</v>
      </c>
      <c r="B49" s="35">
        <v>-620694.74</v>
      </c>
      <c r="C49" t="s">
        <v>49</v>
      </c>
      <c r="D49" s="17"/>
      <c r="E49" s="26" t="str">
        <f>IF(OR(C49="Transaction",C49="Interests",C49="Misc",C49="Account Transfer"), IF(C49="Transaction", IF(B49&lt;0, "Du no", "Da thanh toan"), IF(C49="Interests", "Lai", IF(C49="Misc", "Phi", IF(C49="Account Transfer", IF(OR(ISNUMBER(SEARCH("Trich lai tra gop the TD", D49)), ISNUMBER(SEARCH("Chuyen lai tra gop con lai sang du no thong thuong khi BadDebt", D49))), IF(B49&lt;0, "Lai tra gop", ""), "" )))))) &amp; " " &amp; IF(C49="Interests", TEXT(EDATE(IF(DAY(A49)&gt;=24, A49, EDATE(A49,-1)), -1),"yyyy-mm"), TEXT(IF(DAY(A49)&gt;=24, A49, EDATE(A49,-1)),"yyyy-mm"))</f>
        <v>Lai 2024-07</v>
      </c>
      <c r="F49" s="27">
        <f>IF(ISNUMBER(B49), ROUND(SUMIFS($B$2:$B$10000, $E$2:$E$10000, E49, $B$2:$B$10000, IF(B49&lt;0, "&lt;0", "&gt;0")), 0), "")</f>
        <v>-1691430</v>
      </c>
      <c r="G49" s="28" t="str">
        <f>IF(F49&gt;0, IF(C49="Transaction", "Da thanh toan", "Duong"), IF(F49&lt;0, IF(C49="Transaction", "Du no", IF(C49="Interests", "Lai phat sinh", IF(C49="Misc", "Phi", IF(C49="Account Transfer", "Lai tra gop", "Am")))), "Bang 0"))</f>
        <v>Lai phat sinh</v>
      </c>
    </row>
    <row r="50" spans="1:7" x14ac:dyDescent="0.3">
      <c r="A50" s="60">
        <v>45497</v>
      </c>
      <c r="B50" s="35">
        <v>-40044.82</v>
      </c>
      <c r="C50" t="s">
        <v>49</v>
      </c>
      <c r="D50" s="25"/>
      <c r="E50" s="26" t="str">
        <f>IF(OR(C50="Transaction",C50="Interests",C50="Misc",C50="Account Transfer"), IF(C50="Transaction", IF(B50&lt;0, "Du no", "Da thanh toan"), IF(C50="Interests", "Lai", IF(C50="Misc", "Phi", IF(C50="Account Transfer", IF(OR(ISNUMBER(SEARCH("Trich lai tra gop the TD", D50)), ISNUMBER(SEARCH("Chuyen lai tra gop con lai sang du no thong thuong khi BadDebt", D50))), IF(B50&lt;0, "Lai tra gop", ""), "" )))))) &amp; " " &amp; IF(C50="Interests", TEXT(EDATE(IF(DAY(A50)&gt;=24, A50, EDATE(A50,-1)), -1),"yyyy-mm"), TEXT(IF(DAY(A50)&gt;=24, A50, EDATE(A50,-1)),"yyyy-mm"))</f>
        <v>Lai 2024-06</v>
      </c>
      <c r="F50" s="27">
        <f>IF(ISNUMBER(B50), ROUND(SUMIFS($B$2:$B$10000, $E$2:$E$10000, E50, $B$2:$B$10000, IF(B50&lt;0, "&lt;0", "&gt;0")), 0), "")</f>
        <v>-1574424</v>
      </c>
      <c r="G50" s="28" t="str">
        <f>IF(F50&gt;0, IF(C50="Transaction", "Da thanh toan", "Duong"), IF(F50&lt;0, IF(C50="Transaction", "Du no", IF(C50="Interests", "Lai phat sinh", IF(C50="Misc", "Phi", IF(C50="Account Transfer", "Lai tra gop", "Am")))), "Bang 0"))</f>
        <v>Lai phat sinh</v>
      </c>
    </row>
    <row r="51" spans="1:7" x14ac:dyDescent="0.3">
      <c r="A51" s="60">
        <v>45497</v>
      </c>
      <c r="B51" s="35">
        <v>-7297.59</v>
      </c>
      <c r="C51" t="s">
        <v>49</v>
      </c>
      <c r="D51" s="25"/>
      <c r="E51" s="26" t="str">
        <f>IF(OR(C51="Transaction",C51="Interests",C51="Misc",C51="Account Transfer"), IF(C51="Transaction", IF(B51&lt;0, "Du no", "Da thanh toan"), IF(C51="Interests", "Lai", IF(C51="Misc", "Phi", IF(C51="Account Transfer", IF(OR(ISNUMBER(SEARCH("Trich lai tra gop the TD", D51)), ISNUMBER(SEARCH("Chuyen lai tra gop con lai sang du no thong thuong khi BadDebt", D51))), IF(B51&lt;0, "Lai tra gop", ""), "" )))))) &amp; " " &amp; IF(C51="Interests", TEXT(EDATE(IF(DAY(A51)&gt;=24, A51, EDATE(A51,-1)), -1),"yyyy-mm"), TEXT(IF(DAY(A51)&gt;=24, A51, EDATE(A51,-1)),"yyyy-mm"))</f>
        <v>Lai 2024-06</v>
      </c>
      <c r="F51" s="27">
        <f>IF(ISNUMBER(B51), ROUND(SUMIFS($B$2:$B$10000, $E$2:$E$10000, E51, $B$2:$B$10000, IF(B51&lt;0, "&lt;0", "&gt;0")), 0), "")</f>
        <v>-1574424</v>
      </c>
      <c r="G51" s="28" t="str">
        <f>IF(F51&gt;0, IF(C51="Transaction", "Da thanh toan", "Duong"), IF(F51&lt;0, IF(C51="Transaction", "Du no", IF(C51="Interests", "Lai phat sinh", IF(C51="Misc", "Phi", IF(C51="Account Transfer", "Lai tra gop", "Am")))), "Bang 0"))</f>
        <v>Lai phat sinh</v>
      </c>
    </row>
    <row r="52" spans="1:7" x14ac:dyDescent="0.3">
      <c r="A52" s="60">
        <v>45497</v>
      </c>
      <c r="B52" s="35">
        <v>-56756.33</v>
      </c>
      <c r="C52" t="s">
        <v>49</v>
      </c>
      <c r="D52" s="25"/>
      <c r="E52" s="26" t="str">
        <f>IF(OR(C52="Transaction",C52="Interests",C52="Misc",C52="Account Transfer"), IF(C52="Transaction", IF(B52&lt;0, "Du no", "Da thanh toan"), IF(C52="Interests", "Lai", IF(C52="Misc", "Phi", IF(C52="Account Transfer", IF(OR(ISNUMBER(SEARCH("Trich lai tra gop the TD", D52)), ISNUMBER(SEARCH("Chuyen lai tra gop con lai sang du no thong thuong khi BadDebt", D52))), IF(B52&lt;0, "Lai tra gop", ""), "" )))))) &amp; " " &amp; IF(C52="Interests", TEXT(EDATE(IF(DAY(A52)&gt;=24, A52, EDATE(A52,-1)), -1),"yyyy-mm"), TEXT(IF(DAY(A52)&gt;=24, A52, EDATE(A52,-1)),"yyyy-mm"))</f>
        <v>Lai 2024-06</v>
      </c>
      <c r="F52" s="27">
        <f>IF(ISNUMBER(B52), ROUND(SUMIFS($B$2:$B$10000, $E$2:$E$10000, E52, $B$2:$B$10000, IF(B52&lt;0, "&lt;0", "&gt;0")), 0), "")</f>
        <v>-1574424</v>
      </c>
      <c r="G52" s="28" t="str">
        <f>IF(F52&gt;0, IF(C52="Transaction", "Da thanh toan", "Duong"), IF(F52&lt;0, IF(C52="Transaction", "Du no", IF(C52="Interests", "Lai phat sinh", IF(C52="Misc", "Phi", IF(C52="Account Transfer", "Lai tra gop", "Am")))), "Bang 0"))</f>
        <v>Lai phat sinh</v>
      </c>
    </row>
    <row r="53" spans="1:7" x14ac:dyDescent="0.3">
      <c r="A53" s="60">
        <v>45497</v>
      </c>
      <c r="B53" s="35">
        <v>-862.89</v>
      </c>
      <c r="C53" t="s">
        <v>49</v>
      </c>
      <c r="D53" s="25"/>
      <c r="E53" s="26" t="str">
        <f>IF(OR(C53="Transaction",C53="Interests",C53="Misc",C53="Account Transfer"), IF(C53="Transaction", IF(B53&lt;0, "Du no", "Da thanh toan"), IF(C53="Interests", "Lai", IF(C53="Misc", "Phi", IF(C53="Account Transfer", IF(OR(ISNUMBER(SEARCH("Trich lai tra gop the TD", D53)), ISNUMBER(SEARCH("Chuyen lai tra gop con lai sang du no thong thuong khi BadDebt", D53))), IF(B53&lt;0, "Lai tra gop", ""), "" )))))) &amp; " " &amp; IF(C53="Interests", TEXT(EDATE(IF(DAY(A53)&gt;=24, A53, EDATE(A53,-1)), -1),"yyyy-mm"), TEXT(IF(DAY(A53)&gt;=24, A53, EDATE(A53,-1)),"yyyy-mm"))</f>
        <v>Lai 2024-06</v>
      </c>
      <c r="F53" s="27">
        <f>IF(ISNUMBER(B53), ROUND(SUMIFS($B$2:$B$10000, $E$2:$E$10000, E53, $B$2:$B$10000, IF(B53&lt;0, "&lt;0", "&gt;0")), 0), "")</f>
        <v>-1574424</v>
      </c>
      <c r="G53" s="28" t="str">
        <f>IF(F53&gt;0, IF(C53="Transaction", "Da thanh toan", "Duong"), IF(F53&lt;0, IF(C53="Transaction", "Du no", IF(C53="Interests", "Lai phat sinh", IF(C53="Misc", "Phi", IF(C53="Account Transfer", "Lai tra gop", "Am")))), "Bang 0"))</f>
        <v>Lai phat sinh</v>
      </c>
    </row>
    <row r="54" spans="1:7" x14ac:dyDescent="0.3">
      <c r="A54" s="60">
        <v>45497</v>
      </c>
      <c r="B54" s="35">
        <v>-794588.63</v>
      </c>
      <c r="C54" t="s">
        <v>49</v>
      </c>
      <c r="D54" s="25"/>
      <c r="E54" s="26" t="str">
        <f>IF(OR(C54="Transaction",C54="Interests",C54="Misc",C54="Account Transfer"), IF(C54="Transaction", IF(B54&lt;0, "Du no", "Da thanh toan"), IF(C54="Interests", "Lai", IF(C54="Misc", "Phi", IF(C54="Account Transfer", IF(OR(ISNUMBER(SEARCH("Trich lai tra gop the TD", D54)), ISNUMBER(SEARCH("Chuyen lai tra gop con lai sang du no thong thuong khi BadDebt", D54))), IF(B54&lt;0, "Lai tra gop", ""), "" )))))) &amp; " " &amp; IF(C54="Interests", TEXT(EDATE(IF(DAY(A54)&gt;=24, A54, EDATE(A54,-1)), -1),"yyyy-mm"), TEXT(IF(DAY(A54)&gt;=24, A54, EDATE(A54,-1)),"yyyy-mm"))</f>
        <v>Lai 2024-06</v>
      </c>
      <c r="F54" s="27">
        <f>IF(ISNUMBER(B54), ROUND(SUMIFS($B$2:$B$10000, $E$2:$E$10000, E54, $B$2:$B$10000, IF(B54&lt;0, "&lt;0", "&gt;0")), 0), "")</f>
        <v>-1574424</v>
      </c>
      <c r="G54" s="28" t="str">
        <f>IF(F54&gt;0, IF(C54="Transaction", "Da thanh toan", "Duong"), IF(F54&lt;0, IF(C54="Transaction", "Du no", IF(C54="Interests", "Lai phat sinh", IF(C54="Misc", "Phi", IF(C54="Account Transfer", "Lai tra gop", "Am")))), "Bang 0"))</f>
        <v>Lai phat sinh</v>
      </c>
    </row>
    <row r="55" spans="1:7" x14ac:dyDescent="0.3">
      <c r="A55" s="60">
        <v>45497</v>
      </c>
      <c r="B55" s="35">
        <v>-102166.22</v>
      </c>
      <c r="C55" t="s">
        <v>49</v>
      </c>
      <c r="D55" s="17"/>
      <c r="E55" s="26" t="str">
        <f>IF(OR(C55="Transaction",C55="Interests",C55="Misc",C55="Account Transfer"), IF(C55="Transaction", IF(B55&lt;0, "Du no", "Da thanh toan"), IF(C55="Interests", "Lai", IF(C55="Misc", "Phi", IF(C55="Account Transfer", IF(OR(ISNUMBER(SEARCH("Trich lai tra gop the TD", D55)), ISNUMBER(SEARCH("Chuyen lai tra gop con lai sang du no thong thuong khi BadDebt", D55))), IF(B55&lt;0, "Lai tra gop", ""), "" )))))) &amp; " " &amp; IF(C55="Interests", TEXT(EDATE(IF(DAY(A55)&gt;=24, A55, EDATE(A55,-1)), -1),"yyyy-mm"), TEXT(IF(DAY(A55)&gt;=24, A55, EDATE(A55,-1)),"yyyy-mm"))</f>
        <v>Lai 2024-06</v>
      </c>
      <c r="F55" s="27">
        <f>IF(ISNUMBER(B55), ROUND(SUMIFS($B$2:$B$10000, $E$2:$E$10000, E55, $B$2:$B$10000, IF(B55&lt;0, "&lt;0", "&gt;0")), 0), "")</f>
        <v>-1574424</v>
      </c>
      <c r="G55" s="28" t="str">
        <f>IF(F55&gt;0, IF(C55="Transaction", "Da thanh toan", "Duong"), IF(F55&lt;0, IF(C55="Transaction", "Du no", IF(C55="Interests", "Lai phat sinh", IF(C55="Misc", "Phi", IF(C55="Account Transfer", "Lai tra gop", "Am")))), "Bang 0"))</f>
        <v>Lai phat sinh</v>
      </c>
    </row>
    <row r="56" spans="1:7" x14ac:dyDescent="0.3">
      <c r="A56" s="60">
        <v>45497</v>
      </c>
      <c r="B56" s="35">
        <v>-12080.45</v>
      </c>
      <c r="C56" t="s">
        <v>49</v>
      </c>
      <c r="D56" s="17"/>
      <c r="E56" s="26" t="str">
        <f>IF(OR(C56="Transaction",C56="Interests",C56="Misc",C56="Account Transfer"), IF(C56="Transaction", IF(B56&lt;0, "Du no", "Da thanh toan"), IF(C56="Interests", "Lai", IF(C56="Misc", "Phi", IF(C56="Account Transfer", IF(OR(ISNUMBER(SEARCH("Trich lai tra gop the TD", D56)), ISNUMBER(SEARCH("Chuyen lai tra gop con lai sang du no thong thuong khi BadDebt", D56))), IF(B56&lt;0, "Lai tra gop", ""), "" )))))) &amp; " " &amp; IF(C56="Interests", TEXT(EDATE(IF(DAY(A56)&gt;=24, A56, EDATE(A56,-1)), -1),"yyyy-mm"), TEXT(IF(DAY(A56)&gt;=24, A56, EDATE(A56,-1)),"yyyy-mm"))</f>
        <v>Lai 2024-06</v>
      </c>
      <c r="F56" s="27">
        <f>IF(ISNUMBER(B56), ROUND(SUMIFS($B$2:$B$10000, $E$2:$E$10000, E56, $B$2:$B$10000, IF(B56&lt;0, "&lt;0", "&gt;0")), 0), "")</f>
        <v>-1574424</v>
      </c>
      <c r="G56" s="28" t="str">
        <f>IF(F56&gt;0, IF(C56="Transaction", "Da thanh toan", "Duong"), IF(F56&lt;0, IF(C56="Transaction", "Du no", IF(C56="Interests", "Lai phat sinh", IF(C56="Misc", "Phi", IF(C56="Account Transfer", "Lai tra gop", "Am")))), "Bang 0"))</f>
        <v>Lai phat sinh</v>
      </c>
    </row>
    <row r="57" spans="1:7" x14ac:dyDescent="0.3">
      <c r="A57" s="60">
        <v>45497</v>
      </c>
      <c r="B57" s="35">
        <v>-560627.51</v>
      </c>
      <c r="C57" t="s">
        <v>49</v>
      </c>
      <c r="D57" s="17"/>
      <c r="E57" s="26" t="str">
        <f>IF(OR(C57="Transaction",C57="Interests",C57="Misc",C57="Account Transfer"), IF(C57="Transaction", IF(B57&lt;0, "Du no", "Da thanh toan"), IF(C57="Interests", "Lai", IF(C57="Misc", "Phi", IF(C57="Account Transfer", IF(OR(ISNUMBER(SEARCH("Trich lai tra gop the TD", D57)), ISNUMBER(SEARCH("Chuyen lai tra gop con lai sang du no thong thuong khi BadDebt", D57))), IF(B57&lt;0, "Lai tra gop", ""), "" )))))) &amp; " " &amp; IF(C57="Interests", TEXT(EDATE(IF(DAY(A57)&gt;=24, A57, EDATE(A57,-1)), -1),"yyyy-mm"), TEXT(IF(DAY(A57)&gt;=24, A57, EDATE(A57,-1)),"yyyy-mm"))</f>
        <v>Lai 2024-06</v>
      </c>
      <c r="F57" s="27">
        <f>IF(ISNUMBER(B57), ROUND(SUMIFS($B$2:$B$10000, $E$2:$E$10000, E57, $B$2:$B$10000, IF(B57&lt;0, "&lt;0", "&gt;0")), 0), "")</f>
        <v>-1574424</v>
      </c>
      <c r="G57" s="28" t="str">
        <f>IF(F57&gt;0, IF(C57="Transaction", "Da thanh toan", "Duong"), IF(F57&lt;0, IF(C57="Transaction", "Du no", IF(C57="Interests", "Lai phat sinh", IF(C57="Misc", "Phi", IF(C57="Account Transfer", "Lai tra gop", "Am")))), "Bang 0"))</f>
        <v>Lai phat sinh</v>
      </c>
    </row>
    <row r="58" spans="1:7" x14ac:dyDescent="0.3">
      <c r="A58" s="60">
        <v>45469</v>
      </c>
      <c r="B58" s="35">
        <v>-3240.41</v>
      </c>
      <c r="C58" t="s">
        <v>49</v>
      </c>
      <c r="D58" s="17"/>
      <c r="E58" s="26" t="str">
        <f>IF(OR(C58="Transaction",C58="Interests",C58="Misc",C58="Account Transfer"), IF(C58="Transaction", IF(B58&lt;0, "Du no", "Da thanh toan"), IF(C58="Interests", "Lai", IF(C58="Misc", "Phi", IF(C58="Account Transfer", IF(OR(ISNUMBER(SEARCH("Trich lai tra gop the TD", D58)), ISNUMBER(SEARCH("Chuyen lai tra gop con lai sang du no thong thuong khi BadDebt", D58))), IF(B58&lt;0, "Lai tra gop", ""), "" )))))) &amp; " " &amp; IF(C58="Interests", TEXT(EDATE(IF(DAY(A58)&gt;=24, A58, EDATE(A58,-1)), -1),"yyyy-mm"), TEXT(IF(DAY(A58)&gt;=24, A58, EDATE(A58,-1)),"yyyy-mm"))</f>
        <v>Lai 2024-05</v>
      </c>
      <c r="F58" s="27">
        <f>IF(ISNUMBER(B58), ROUND(SUMIFS($B$2:$B$10000, $E$2:$E$10000, E58, $B$2:$B$10000, IF(B58&lt;0, "&lt;0", "&gt;0")), 0), "")</f>
        <v>-1575633</v>
      </c>
      <c r="G58" s="28" t="str">
        <f>IF(F58&gt;0, IF(C58="Transaction", "Da thanh toan", "Duong"), IF(F58&lt;0, IF(C58="Transaction", "Du no", IF(C58="Interests", "Lai phat sinh", IF(C58="Misc", "Phi", IF(C58="Account Transfer", "Lai tra gop", "Am")))), "Bang 0"))</f>
        <v>Lai phat sinh</v>
      </c>
    </row>
    <row r="59" spans="1:7" x14ac:dyDescent="0.3">
      <c r="A59" s="60">
        <v>45469</v>
      </c>
      <c r="B59" s="35">
        <v>-9060.34</v>
      </c>
      <c r="C59" t="s">
        <v>49</v>
      </c>
      <c r="D59" s="17"/>
      <c r="E59" s="26" t="str">
        <f>IF(OR(C59="Transaction",C59="Interests",C59="Misc",C59="Account Transfer"), IF(C59="Transaction", IF(B59&lt;0, "Du no", "Da thanh toan"), IF(C59="Interests", "Lai", IF(C59="Misc", "Phi", IF(C59="Account Transfer", IF(OR(ISNUMBER(SEARCH("Trich lai tra gop the TD", D59)), ISNUMBER(SEARCH("Chuyen lai tra gop con lai sang du no thong thuong khi BadDebt", D59))), IF(B59&lt;0, "Lai tra gop", ""), "" )))))) &amp; " " &amp; IF(C59="Interests", TEXT(EDATE(IF(DAY(A59)&gt;=24, A59, EDATE(A59,-1)), -1),"yyyy-mm"), TEXT(IF(DAY(A59)&gt;=24, A59, EDATE(A59,-1)),"yyyy-mm"))</f>
        <v>Lai 2024-05</v>
      </c>
      <c r="F59" s="27">
        <f>IF(ISNUMBER(B59), ROUND(SUMIFS($B$2:$B$10000, $E$2:$E$10000, E59, $B$2:$B$10000, IF(B59&lt;0, "&lt;0", "&gt;0")), 0), "")</f>
        <v>-1575633</v>
      </c>
      <c r="G59" s="28" t="str">
        <f>IF(F59&gt;0, IF(C59="Transaction", "Da thanh toan", "Duong"), IF(F59&lt;0, IF(C59="Transaction", "Du no", IF(C59="Interests", "Lai phat sinh", IF(C59="Misc", "Phi", IF(C59="Account Transfer", "Lai tra gop", "Am")))), "Bang 0"))</f>
        <v>Lai phat sinh</v>
      </c>
    </row>
    <row r="60" spans="1:7" x14ac:dyDescent="0.3">
      <c r="A60" s="60">
        <v>45467</v>
      </c>
      <c r="B60" s="35">
        <v>-620694.74</v>
      </c>
      <c r="C60" t="s">
        <v>49</v>
      </c>
      <c r="D60" s="25"/>
      <c r="E60" s="26" t="str">
        <f>IF(OR(C60="Transaction",C60="Interests",C60="Misc",C60="Account Transfer"), IF(C60="Transaction", IF(B60&lt;0, "Du no", "Da thanh toan"), IF(C60="Interests", "Lai", IF(C60="Misc", "Phi", IF(C60="Account Transfer", IF(OR(ISNUMBER(SEARCH("Trich lai tra gop the TD", D60)), ISNUMBER(SEARCH("Chuyen lai tra gop con lai sang du no thong thuong khi BadDebt", D60))), IF(B60&lt;0, "Lai tra gop", ""), "" )))))) &amp; " " &amp; IF(C60="Interests", TEXT(EDATE(IF(DAY(A60)&gt;=24, A60, EDATE(A60,-1)), -1),"yyyy-mm"), TEXT(IF(DAY(A60)&gt;=24, A60, EDATE(A60,-1)),"yyyy-mm"))</f>
        <v>Lai 2024-05</v>
      </c>
      <c r="F60" s="27">
        <f>IF(ISNUMBER(B60), ROUND(SUMIFS($B$2:$B$10000, $E$2:$E$10000, E60, $B$2:$B$10000, IF(B60&lt;0, "&lt;0", "&gt;0")), 0), "")</f>
        <v>-1575633</v>
      </c>
      <c r="G60" s="28" t="str">
        <f>IF(F60&gt;0, IF(C60="Transaction", "Da thanh toan", "Duong"), IF(F60&lt;0, IF(C60="Transaction", "Du no", IF(C60="Interests", "Lai phat sinh", IF(C60="Misc", "Phi", IF(C60="Account Transfer", "Lai tra gop", "Am")))), "Bang 0"))</f>
        <v>Lai phat sinh</v>
      </c>
    </row>
    <row r="61" spans="1:7" x14ac:dyDescent="0.3">
      <c r="A61" s="60">
        <v>45467</v>
      </c>
      <c r="B61" s="35">
        <v>-113112.6</v>
      </c>
      <c r="C61" t="s">
        <v>49</v>
      </c>
      <c r="D61" s="25"/>
      <c r="E61" s="26" t="str">
        <f>IF(OR(C61="Transaction",C61="Interests",C61="Misc",C61="Account Transfer"), IF(C61="Transaction", IF(B61&lt;0, "Du no", "Da thanh toan"), IF(C61="Interests", "Lai", IF(C61="Misc", "Phi", IF(C61="Account Transfer", IF(OR(ISNUMBER(SEARCH("Trich lai tra gop the TD", D61)), ISNUMBER(SEARCH("Chuyen lai tra gop con lai sang du no thong thuong khi BadDebt", D61))), IF(B61&lt;0, "Lai tra gop", ""), "" )))))) &amp; " " &amp; IF(C61="Interests", TEXT(EDATE(IF(DAY(A61)&gt;=24, A61, EDATE(A61,-1)), -1),"yyyy-mm"), TEXT(IF(DAY(A61)&gt;=24, A61, EDATE(A61,-1)),"yyyy-mm"))</f>
        <v>Lai 2024-05</v>
      </c>
      <c r="F61" s="27">
        <f>IF(ISNUMBER(B61), ROUND(SUMIFS($B$2:$B$10000, $E$2:$E$10000, E61, $B$2:$B$10000, IF(B61&lt;0, "&lt;0", "&gt;0")), 0), "")</f>
        <v>-1575633</v>
      </c>
      <c r="G61" s="28" t="str">
        <f>IF(F61&gt;0, IF(C61="Transaction", "Da thanh toan", "Duong"), IF(F61&lt;0, IF(C61="Transaction", "Du no", IF(C61="Interests", "Lai phat sinh", IF(C61="Misc", "Phi", IF(C61="Account Transfer", "Lai tra gop", "Am")))), "Bang 0"))</f>
        <v>Lai phat sinh</v>
      </c>
    </row>
    <row r="62" spans="1:7" x14ac:dyDescent="0.3">
      <c r="A62" s="60">
        <v>45467</v>
      </c>
      <c r="B62" s="35">
        <v>-816149.9</v>
      </c>
      <c r="C62" t="s">
        <v>49</v>
      </c>
      <c r="D62" s="25"/>
      <c r="E62" s="26" t="str">
        <f>IF(OR(C62="Transaction",C62="Interests",C62="Misc",C62="Account Transfer"), IF(C62="Transaction", IF(B62&lt;0, "Du no", "Da thanh toan"), IF(C62="Interests", "Lai", IF(C62="Misc", "Phi", IF(C62="Account Transfer", IF(OR(ISNUMBER(SEARCH("Trich lai tra gop the TD", D62)), ISNUMBER(SEARCH("Chuyen lai tra gop con lai sang du no thong thuong khi BadDebt", D62))), IF(B62&lt;0, "Lai tra gop", ""), "" )))))) &amp; " " &amp; IF(C62="Interests", TEXT(EDATE(IF(DAY(A62)&gt;=24, A62, EDATE(A62,-1)), -1),"yyyy-mm"), TEXT(IF(DAY(A62)&gt;=24, A62, EDATE(A62,-1)),"yyyy-mm"))</f>
        <v>Lai 2024-05</v>
      </c>
      <c r="F62" s="27">
        <f>IF(ISNUMBER(B62), ROUND(SUMIFS($B$2:$B$10000, $E$2:$E$10000, E62, $B$2:$B$10000, IF(B62&lt;0, "&lt;0", "&gt;0")), 0), "")</f>
        <v>-1575633</v>
      </c>
      <c r="G62" s="28" t="str">
        <f>IF(F62&gt;0, IF(C62="Transaction", "Da thanh toan", "Duong"), IF(F62&lt;0, IF(C62="Transaction", "Du no", IF(C62="Interests", "Lai phat sinh", IF(C62="Misc", "Phi", IF(C62="Account Transfer", "Lai tra gop", "Am")))), "Bang 0"))</f>
        <v>Lai phat sinh</v>
      </c>
    </row>
    <row r="63" spans="1:7" x14ac:dyDescent="0.3">
      <c r="A63" s="60">
        <v>45467</v>
      </c>
      <c r="B63" s="35">
        <v>-13374.79</v>
      </c>
      <c r="C63" t="s">
        <v>49</v>
      </c>
      <c r="D63" s="25"/>
      <c r="E63" s="26" t="str">
        <f>IF(OR(C63="Transaction",C63="Interests",C63="Misc",C63="Account Transfer"), IF(C63="Transaction", IF(B63&lt;0, "Du no", "Da thanh toan"), IF(C63="Interests", "Lai", IF(C63="Misc", "Phi", IF(C63="Account Transfer", IF(OR(ISNUMBER(SEARCH("Trich lai tra gop the TD", D63)), ISNUMBER(SEARCH("Chuyen lai tra gop con lai sang du no thong thuong khi BadDebt", D63))), IF(B63&lt;0, "Lai tra gop", ""), "" )))))) &amp; " " &amp; IF(C63="Interests", TEXT(EDATE(IF(DAY(A63)&gt;=24, A63, EDATE(A63,-1)), -1),"yyyy-mm"), TEXT(IF(DAY(A63)&gt;=24, A63, EDATE(A63,-1)),"yyyy-mm"))</f>
        <v>Lai 2024-05</v>
      </c>
      <c r="F63" s="27">
        <f>IF(ISNUMBER(B63), ROUND(SUMIFS($B$2:$B$10000, $E$2:$E$10000, E63, $B$2:$B$10000, IF(B63&lt;0, "&lt;0", "&gt;0")), 0), "")</f>
        <v>-1575633</v>
      </c>
      <c r="G63" s="28" t="str">
        <f>IF(F63&gt;0, IF(C63="Transaction", "Da thanh toan", "Duong"), IF(F63&lt;0, IF(C63="Transaction", "Du no", IF(C63="Interests", "Lai phat sinh", IF(C63="Misc", "Phi", IF(C63="Account Transfer", "Lai tra gop", "Am")))), "Bang 0"))</f>
        <v>Lai phat sinh</v>
      </c>
    </row>
    <row r="64" spans="1:7" x14ac:dyDescent="0.3">
      <c r="A64" s="60">
        <v>45436</v>
      </c>
      <c r="B64" s="35">
        <v>-600672.32999999996</v>
      </c>
      <c r="C64" t="s">
        <v>49</v>
      </c>
      <c r="D64" s="25"/>
      <c r="E64" s="26" t="str">
        <f>IF(OR(C64="Transaction",C64="Interests",C64="Misc",C64="Account Transfer"), IF(C64="Transaction", IF(B64&lt;0, "Du no", "Da thanh toan"), IF(C64="Interests", "Lai", IF(C64="Misc", "Phi", IF(C64="Account Transfer", IF(OR(ISNUMBER(SEARCH("Trich lai tra gop the TD", D64)), ISNUMBER(SEARCH("Chuyen lai tra gop con lai sang du no thong thuong khi BadDebt", D64))), IF(B64&lt;0, "Lai tra gop", ""), "" )))))) &amp; " " &amp; IF(C64="Interests", TEXT(EDATE(IF(DAY(A64)&gt;=24, A64, EDATE(A64,-1)), -1),"yyyy-mm"), TEXT(IF(DAY(A64)&gt;=24, A64, EDATE(A64,-1)),"yyyy-mm"))</f>
        <v>Lai 2024-04</v>
      </c>
      <c r="F64" s="27">
        <f>IF(ISNUMBER(B64), ROUND(SUMIFS($B$2:$B$10000, $E$2:$E$10000, E64, $B$2:$B$10000, IF(B64&lt;0, "&lt;0", "&gt;0")), 0), "")</f>
        <v>-1455618</v>
      </c>
      <c r="G64" s="28" t="str">
        <f>IF(F64&gt;0, IF(C64="Transaction", "Da thanh toan", "Duong"), IF(F64&lt;0, IF(C64="Transaction", "Du no", IF(C64="Interests", "Lai phat sinh", IF(C64="Misc", "Phi", IF(C64="Account Transfer", "Lai tra gop", "Am")))), "Bang 0"))</f>
        <v>Lai phat sinh</v>
      </c>
    </row>
    <row r="65" spans="1:7" x14ac:dyDescent="0.3">
      <c r="A65" s="60">
        <v>45436</v>
      </c>
      <c r="B65" s="35">
        <v>-109463.8</v>
      </c>
      <c r="C65" t="s">
        <v>49</v>
      </c>
      <c r="D65" s="25"/>
      <c r="E65" s="26" t="str">
        <f>IF(OR(C65="Transaction",C65="Interests",C65="Misc",C65="Account Transfer"), IF(C65="Transaction", IF(B65&lt;0, "Du no", "Da thanh toan"), IF(C65="Interests", "Lai", IF(C65="Misc", "Phi", IF(C65="Account Transfer", IF(OR(ISNUMBER(SEARCH("Trich lai tra gop the TD", D65)), ISNUMBER(SEARCH("Chuyen lai tra gop con lai sang du no thong thuong khi BadDebt", D65))), IF(B65&lt;0, "Lai tra gop", ""), "" )))))) &amp; " " &amp; IF(C65="Interests", TEXT(EDATE(IF(DAY(A65)&gt;=24, A65, EDATE(A65,-1)), -1),"yyyy-mm"), TEXT(IF(DAY(A65)&gt;=24, A65, EDATE(A65,-1)),"yyyy-mm"))</f>
        <v>Lai 2024-04</v>
      </c>
      <c r="F65" s="27">
        <f>IF(ISNUMBER(B65), ROUND(SUMIFS($B$2:$B$10000, $E$2:$E$10000, E65, $B$2:$B$10000, IF(B65&lt;0, "&lt;0", "&gt;0")), 0), "")</f>
        <v>-1455618</v>
      </c>
      <c r="G65" s="28" t="str">
        <f>IF(F65&gt;0, IF(C65="Transaction", "Da thanh toan", "Duong"), IF(F65&lt;0, IF(C65="Transaction", "Du no", IF(C65="Interests", "Lai phat sinh", IF(C65="Misc", "Phi", IF(C65="Account Transfer", "Lai tra gop", "Am")))), "Bang 0"))</f>
        <v>Lai phat sinh</v>
      </c>
    </row>
    <row r="66" spans="1:7" x14ac:dyDescent="0.3">
      <c r="A66" s="60">
        <v>45436</v>
      </c>
      <c r="B66" s="35">
        <v>-732538.92</v>
      </c>
      <c r="C66" t="s">
        <v>49</v>
      </c>
      <c r="D66" s="25"/>
      <c r="E66" s="26" t="str">
        <f>IF(OR(C66="Transaction",C66="Interests",C66="Misc",C66="Account Transfer"), IF(C66="Transaction", IF(B66&lt;0, "Du no", "Da thanh toan"), IF(C66="Interests", "Lai", IF(C66="Misc", "Phi", IF(C66="Account Transfer", IF(OR(ISNUMBER(SEARCH("Trich lai tra gop the TD", D66)), ISNUMBER(SEARCH("Chuyen lai tra gop con lai sang du no thong thuong khi BadDebt", D66))), IF(B66&lt;0, "Lai tra gop", ""), "" )))))) &amp; " " &amp; IF(C66="Interests", TEXT(EDATE(IF(DAY(A66)&gt;=24, A66, EDATE(A66,-1)), -1),"yyyy-mm"), TEXT(IF(DAY(A66)&gt;=24, A66, EDATE(A66,-1)),"yyyy-mm"))</f>
        <v>Lai 2024-04</v>
      </c>
      <c r="F66" s="27">
        <f>IF(ISNUMBER(B66), ROUND(SUMIFS($B$2:$B$10000, $E$2:$E$10000, E66, $B$2:$B$10000, IF(B66&lt;0, "&lt;0", "&gt;0")), 0), "")</f>
        <v>-1455618</v>
      </c>
      <c r="G66" s="28" t="str">
        <f>IF(F66&gt;0, IF(C66="Transaction", "Da thanh toan", "Duong"), IF(F66&lt;0, IF(C66="Transaction", "Du no", IF(C66="Interests", "Lai phat sinh", IF(C66="Misc", "Phi", IF(C66="Account Transfer", "Lai tra gop", "Am")))), "Bang 0"))</f>
        <v>Lai phat sinh</v>
      </c>
    </row>
    <row r="67" spans="1:7" x14ac:dyDescent="0.3">
      <c r="A67" s="60">
        <v>45436</v>
      </c>
      <c r="B67" s="35">
        <v>-12943.34</v>
      </c>
      <c r="C67" t="s">
        <v>49</v>
      </c>
      <c r="D67" s="25"/>
      <c r="E67" s="26" t="str">
        <f>IF(OR(C67="Transaction",C67="Interests",C67="Misc",C67="Account Transfer"), IF(C67="Transaction", IF(B67&lt;0, "Du no", "Da thanh toan"), IF(C67="Interests", "Lai", IF(C67="Misc", "Phi", IF(C67="Account Transfer", IF(OR(ISNUMBER(SEARCH("Trich lai tra gop the TD", D67)), ISNUMBER(SEARCH("Chuyen lai tra gop con lai sang du no thong thuong khi BadDebt", D67))), IF(B67&lt;0, "Lai tra gop", ""), "" )))))) &amp; " " &amp; IF(C67="Interests", TEXT(EDATE(IF(DAY(A67)&gt;=24, A67, EDATE(A67,-1)), -1),"yyyy-mm"), TEXT(IF(DAY(A67)&gt;=24, A67, EDATE(A67,-1)),"yyyy-mm"))</f>
        <v>Lai 2024-04</v>
      </c>
      <c r="F67" s="27">
        <f>IF(ISNUMBER(B67), ROUND(SUMIFS($B$2:$B$10000, $E$2:$E$10000, E67, $B$2:$B$10000, IF(B67&lt;0, "&lt;0", "&gt;0")), 0), "")</f>
        <v>-1455618</v>
      </c>
      <c r="G67" s="28" t="str">
        <f>IF(F67&gt;0, IF(C67="Transaction", "Da thanh toan", "Duong"), IF(F67&lt;0, IF(C67="Transaction", "Du no", IF(C67="Interests", "Lai phat sinh", IF(C67="Misc", "Phi", IF(C67="Account Transfer", "Lai tra gop", "Am")))), "Bang 0"))</f>
        <v>Lai phat sinh</v>
      </c>
    </row>
    <row r="68" spans="1:7" x14ac:dyDescent="0.3">
      <c r="A68" s="60">
        <v>45406</v>
      </c>
      <c r="B68" s="35">
        <v>-620694.74</v>
      </c>
      <c r="C68" t="s">
        <v>49</v>
      </c>
      <c r="D68" s="17"/>
      <c r="E68" s="26" t="str">
        <f>IF(OR(C68="Transaction",C68="Interests",C68="Misc",C68="Account Transfer"), IF(C68="Transaction", IF(B68&lt;0, "Du no", "Da thanh toan"), IF(C68="Interests", "Lai", IF(C68="Misc", "Phi", IF(C68="Account Transfer", IF(OR(ISNUMBER(SEARCH("Trich lai tra gop the TD", D68)), ISNUMBER(SEARCH("Chuyen lai tra gop con lai sang du no thong thuong khi BadDebt", D68))), IF(B68&lt;0, "Lai tra gop", ""), "" )))))) &amp; " " &amp; IF(C68="Interests", TEXT(EDATE(IF(DAY(A68)&gt;=24, A68, EDATE(A68,-1)), -1),"yyyy-mm"), TEXT(IF(DAY(A68)&gt;=24, A68, EDATE(A68,-1)),"yyyy-mm"))</f>
        <v>Lai 2024-03</v>
      </c>
      <c r="F68" s="27">
        <f>IF(ISNUMBER(B68), ROUND(SUMIFS($B$2:$B$10000, $E$2:$E$10000, E68, $B$2:$B$10000, IF(B68&lt;0, "&lt;0", "&gt;0")), 0), "")</f>
        <v>-1445363</v>
      </c>
      <c r="G68" s="28" t="str">
        <f>IF(F68&gt;0, IF(C68="Transaction", "Da thanh toan", "Duong"), IF(F68&lt;0, IF(C68="Transaction", "Du no", IF(C68="Interests", "Lai phat sinh", IF(C68="Misc", "Phi", IF(C68="Account Transfer", "Lai tra gop", "Am")))), "Bang 0"))</f>
        <v>Lai phat sinh</v>
      </c>
    </row>
    <row r="69" spans="1:7" x14ac:dyDescent="0.3">
      <c r="A69" s="60">
        <v>45406</v>
      </c>
      <c r="B69" s="35">
        <v>-113112.6</v>
      </c>
      <c r="C69" t="s">
        <v>49</v>
      </c>
      <c r="D69" s="17"/>
      <c r="E69" s="26" t="str">
        <f>IF(OR(C69="Transaction",C69="Interests",C69="Misc",C69="Account Transfer"), IF(C69="Transaction", IF(B69&lt;0, "Du no", "Da thanh toan"), IF(C69="Interests", "Lai", IF(C69="Misc", "Phi", IF(C69="Account Transfer", IF(OR(ISNUMBER(SEARCH("Trich lai tra gop the TD", D69)), ISNUMBER(SEARCH("Chuyen lai tra gop con lai sang du no thong thuong khi BadDebt", D69))), IF(B69&lt;0, "Lai tra gop", ""), "" )))))) &amp; " " &amp; IF(C69="Interests", TEXT(EDATE(IF(DAY(A69)&gt;=24, A69, EDATE(A69,-1)), -1),"yyyy-mm"), TEXT(IF(DAY(A69)&gt;=24, A69, EDATE(A69,-1)),"yyyy-mm"))</f>
        <v>Lai 2024-03</v>
      </c>
      <c r="F69" s="27">
        <f>IF(ISNUMBER(B69), ROUND(SUMIFS($B$2:$B$10000, $E$2:$E$10000, E69, $B$2:$B$10000, IF(B69&lt;0, "&lt;0", "&gt;0")), 0), "")</f>
        <v>-1445363</v>
      </c>
      <c r="G69" s="28" t="str">
        <f>IF(F69&gt;0, IF(C69="Transaction", "Da thanh toan", "Duong"), IF(F69&lt;0, IF(C69="Transaction", "Du no", IF(C69="Interests", "Lai phat sinh", IF(C69="Misc", "Phi", IF(C69="Account Transfer", "Lai tra gop", "Am")))), "Bang 0"))</f>
        <v>Lai phat sinh</v>
      </c>
    </row>
    <row r="70" spans="1:7" x14ac:dyDescent="0.3">
      <c r="A70" s="60">
        <v>45406</v>
      </c>
      <c r="B70" s="35">
        <v>-698180.9</v>
      </c>
      <c r="C70" t="s">
        <v>49</v>
      </c>
      <c r="D70" s="17"/>
      <c r="E70" s="26" t="str">
        <f>IF(OR(C70="Transaction",C70="Interests",C70="Misc",C70="Account Transfer"), IF(C70="Transaction", IF(B70&lt;0, "Du no", "Da thanh toan"), IF(C70="Interests", "Lai", IF(C70="Misc", "Phi", IF(C70="Account Transfer", IF(OR(ISNUMBER(SEARCH("Trich lai tra gop the TD", D70)), ISNUMBER(SEARCH("Chuyen lai tra gop con lai sang du no thong thuong khi BadDebt", D70))), IF(B70&lt;0, "Lai tra gop", ""), "" )))))) &amp; " " &amp; IF(C70="Interests", TEXT(EDATE(IF(DAY(A70)&gt;=24, A70, EDATE(A70,-1)), -1),"yyyy-mm"), TEXT(IF(DAY(A70)&gt;=24, A70, EDATE(A70,-1)),"yyyy-mm"))</f>
        <v>Lai 2024-03</v>
      </c>
      <c r="F70" s="27">
        <f>IF(ISNUMBER(B70), ROUND(SUMIFS($B$2:$B$10000, $E$2:$E$10000, E70, $B$2:$B$10000, IF(B70&lt;0, "&lt;0", "&gt;0")), 0), "")</f>
        <v>-1445363</v>
      </c>
      <c r="G70" s="28" t="str">
        <f>IF(F70&gt;0, IF(C70="Transaction", "Da thanh toan", "Duong"), IF(F70&lt;0, IF(C70="Transaction", "Du no", IF(C70="Interests", "Lai phat sinh", IF(C70="Misc", "Phi", IF(C70="Account Transfer", "Lai tra gop", "Am")))), "Bang 0"))</f>
        <v>Lai phat sinh</v>
      </c>
    </row>
    <row r="71" spans="1:7" x14ac:dyDescent="0.3">
      <c r="A71" s="60">
        <v>45406</v>
      </c>
      <c r="B71" s="35">
        <v>-13374.79</v>
      </c>
      <c r="C71" t="s">
        <v>49</v>
      </c>
      <c r="D71" s="17"/>
      <c r="E71" s="26" t="str">
        <f>IF(OR(C71="Transaction",C71="Interests",C71="Misc",C71="Account Transfer"), IF(C71="Transaction", IF(B71&lt;0, "Du no", "Da thanh toan"), IF(C71="Interests", "Lai", IF(C71="Misc", "Phi", IF(C71="Account Transfer", IF(OR(ISNUMBER(SEARCH("Trich lai tra gop the TD", D71)), ISNUMBER(SEARCH("Chuyen lai tra gop con lai sang du no thong thuong khi BadDebt", D71))), IF(B71&lt;0, "Lai tra gop", ""), "" )))))) &amp; " " &amp; IF(C71="Interests", TEXT(EDATE(IF(DAY(A71)&gt;=24, A71, EDATE(A71,-1)), -1),"yyyy-mm"), TEXT(IF(DAY(A71)&gt;=24, A71, EDATE(A71,-1)),"yyyy-mm"))</f>
        <v>Lai 2024-03</v>
      </c>
      <c r="F71" s="27">
        <f>IF(ISNUMBER(B71), ROUND(SUMIFS($B$2:$B$10000, $E$2:$E$10000, E71, $B$2:$B$10000, IF(B71&lt;0, "&lt;0", "&gt;0")), 0), "")</f>
        <v>-1445363</v>
      </c>
      <c r="G71" s="28" t="str">
        <f>IF(F71&gt;0, IF(C71="Transaction", "Da thanh toan", "Duong"), IF(F71&lt;0, IF(C71="Transaction", "Du no", IF(C71="Interests", "Lai phat sinh", IF(C71="Misc", "Phi", IF(C71="Account Transfer", "Lai tra gop", "Am")))), "Bang 0"))</f>
        <v>Lai phat sinh</v>
      </c>
    </row>
    <row r="72" spans="1:7" x14ac:dyDescent="0.3">
      <c r="A72" s="60">
        <v>45375</v>
      </c>
      <c r="B72" s="35">
        <v>-580649.92000000004</v>
      </c>
      <c r="C72" t="s">
        <v>49</v>
      </c>
      <c r="D72" s="25"/>
      <c r="E72" s="26" t="str">
        <f>IF(OR(C72="Transaction",C72="Interests",C72="Misc",C72="Account Transfer"), IF(C72="Transaction", IF(B72&lt;0, "Du no", "Da thanh toan"), IF(C72="Interests", "Lai", IF(C72="Misc", "Phi", IF(C72="Account Transfer", IF(OR(ISNUMBER(SEARCH("Trich lai tra gop the TD", D72)), ISNUMBER(SEARCH("Chuyen lai tra gop con lai sang du no thong thuong khi BadDebt", D72))), IF(B72&lt;0, "Lai tra gop", ""), "" )))))) &amp; " " &amp; IF(C72="Interests", TEXT(EDATE(IF(DAY(A72)&gt;=24, A72, EDATE(A72,-1)), -1),"yyyy-mm"), TEXT(IF(DAY(A72)&gt;=24, A72, EDATE(A72,-1)),"yyyy-mm"))</f>
        <v>Lai 2024-02</v>
      </c>
      <c r="F72" s="27">
        <f>IF(ISNUMBER(B72), ROUND(SUMIFS($B$2:$B$10000, $E$2:$E$10000, E72, $B$2:$B$10000, IF(B72&lt;0, "&lt;0", "&gt;0")), 0), "")</f>
        <v>-1302562</v>
      </c>
      <c r="G72" s="28" t="str">
        <f>IF(F72&gt;0, IF(C72="Transaction", "Da thanh toan", "Duong"), IF(F72&lt;0, IF(C72="Transaction", "Du no", IF(C72="Interests", "Lai phat sinh", IF(C72="Misc", "Phi", IF(C72="Account Transfer", "Lai tra gop", "Am")))), "Bang 0"))</f>
        <v>Lai phat sinh</v>
      </c>
    </row>
    <row r="73" spans="1:7" x14ac:dyDescent="0.3">
      <c r="A73" s="60">
        <v>45375</v>
      </c>
      <c r="B73" s="35">
        <v>-105815.01</v>
      </c>
      <c r="C73" t="s">
        <v>49</v>
      </c>
      <c r="D73" s="25"/>
      <c r="E73" s="26" t="str">
        <f>IF(OR(C73="Transaction",C73="Interests",C73="Misc",C73="Account Transfer"), IF(C73="Transaction", IF(B73&lt;0, "Du no", "Da thanh toan"), IF(C73="Interests", "Lai", IF(C73="Misc", "Phi", IF(C73="Account Transfer", IF(OR(ISNUMBER(SEARCH("Trich lai tra gop the TD", D73)), ISNUMBER(SEARCH("Chuyen lai tra gop con lai sang du no thong thuong khi BadDebt", D73))), IF(B73&lt;0, "Lai tra gop", ""), "" )))))) &amp; " " &amp; IF(C73="Interests", TEXT(EDATE(IF(DAY(A73)&gt;=24, A73, EDATE(A73,-1)), -1),"yyyy-mm"), TEXT(IF(DAY(A73)&gt;=24, A73, EDATE(A73,-1)),"yyyy-mm"))</f>
        <v>Lai 2024-02</v>
      </c>
      <c r="F73" s="27">
        <f>IF(ISNUMBER(B73), ROUND(SUMIFS($B$2:$B$10000, $E$2:$E$10000, E73, $B$2:$B$10000, IF(B73&lt;0, "&lt;0", "&gt;0")), 0), "")</f>
        <v>-1302562</v>
      </c>
      <c r="G73" s="28" t="str">
        <f>IF(F73&gt;0, IF(C73="Transaction", "Da thanh toan", "Duong"), IF(F73&lt;0, IF(C73="Transaction", "Du no", IF(C73="Interests", "Lai phat sinh", IF(C73="Misc", "Phi", IF(C73="Account Transfer", "Lai tra gop", "Am")))), "Bang 0"))</f>
        <v>Lai phat sinh</v>
      </c>
    </row>
    <row r="74" spans="1:7" x14ac:dyDescent="0.3">
      <c r="A74" s="60">
        <v>45375</v>
      </c>
      <c r="B74" s="35">
        <v>-603585.36</v>
      </c>
      <c r="C74" t="s">
        <v>49</v>
      </c>
      <c r="D74" s="17"/>
      <c r="E74" s="26" t="str">
        <f>IF(OR(C74="Transaction",C74="Interests",C74="Misc",C74="Account Transfer"), IF(C74="Transaction", IF(B74&lt;0, "Du no", "Da thanh toan"), IF(C74="Interests", "Lai", IF(C74="Misc", "Phi", IF(C74="Account Transfer", IF(OR(ISNUMBER(SEARCH("Trich lai tra gop the TD", D74)), ISNUMBER(SEARCH("Chuyen lai tra gop con lai sang du no thong thuong khi BadDebt", D74))), IF(B74&lt;0, "Lai tra gop", ""), "" )))))) &amp; " " &amp; IF(C74="Interests", TEXT(EDATE(IF(DAY(A74)&gt;=24, A74, EDATE(A74,-1)), -1),"yyyy-mm"), TEXT(IF(DAY(A74)&gt;=24, A74, EDATE(A74,-1)),"yyyy-mm"))</f>
        <v>Lai 2024-02</v>
      </c>
      <c r="F74" s="27">
        <f>IF(ISNUMBER(B74), ROUND(SUMIFS($B$2:$B$10000, $E$2:$E$10000, E74, $B$2:$B$10000, IF(B74&lt;0, "&lt;0", "&gt;0")), 0), "")</f>
        <v>-1302562</v>
      </c>
      <c r="G74" s="28" t="str">
        <f>IF(F74&gt;0, IF(C74="Transaction", "Da thanh toan", "Duong"), IF(F74&lt;0, IF(C74="Transaction", "Du no", IF(C74="Interests", "Lai phat sinh", IF(C74="Misc", "Phi", IF(C74="Account Transfer", "Lai tra gop", "Am")))), "Bang 0"))</f>
        <v>Lai phat sinh</v>
      </c>
    </row>
    <row r="75" spans="1:7" x14ac:dyDescent="0.3">
      <c r="A75" s="60">
        <v>45375</v>
      </c>
      <c r="B75" s="35">
        <v>-12511.9</v>
      </c>
      <c r="C75" t="s">
        <v>49</v>
      </c>
      <c r="D75" s="17"/>
      <c r="E75" s="26" t="str">
        <f>IF(OR(C75="Transaction",C75="Interests",C75="Misc",C75="Account Transfer"), IF(C75="Transaction", IF(B75&lt;0, "Du no", "Da thanh toan"), IF(C75="Interests", "Lai", IF(C75="Misc", "Phi", IF(C75="Account Transfer", IF(OR(ISNUMBER(SEARCH("Trich lai tra gop the TD", D75)), ISNUMBER(SEARCH("Chuyen lai tra gop con lai sang du no thong thuong khi BadDebt", D75))), IF(B75&lt;0, "Lai tra gop", ""), "" )))))) &amp; " " &amp; IF(C75="Interests", TEXT(EDATE(IF(DAY(A75)&gt;=24, A75, EDATE(A75,-1)), -1),"yyyy-mm"), TEXT(IF(DAY(A75)&gt;=24, A75, EDATE(A75,-1)),"yyyy-mm"))</f>
        <v>Lai 2024-02</v>
      </c>
      <c r="F75" s="27">
        <f>IF(ISNUMBER(B75), ROUND(SUMIFS($B$2:$B$10000, $E$2:$E$10000, E75, $B$2:$B$10000, IF(B75&lt;0, "&lt;0", "&gt;0")), 0), "")</f>
        <v>-1302562</v>
      </c>
      <c r="G75" s="28" t="str">
        <f>IF(F75&gt;0, IF(C75="Transaction", "Da thanh toan", "Duong"), IF(F75&lt;0, IF(C75="Transaction", "Du no", IF(C75="Interests", "Lai phat sinh", IF(C75="Misc", "Phi", IF(C75="Account Transfer", "Lai tra gop", "Am")))), "Bang 0"))</f>
        <v>Lai phat sinh</v>
      </c>
    </row>
    <row r="76" spans="1:7" x14ac:dyDescent="0.3">
      <c r="A76" s="60">
        <v>45346</v>
      </c>
      <c r="B76" s="35">
        <v>-620694.74</v>
      </c>
      <c r="C76" t="s">
        <v>49</v>
      </c>
      <c r="D76" s="17"/>
      <c r="E76" s="26" t="str">
        <f>IF(OR(C76="Transaction",C76="Interests",C76="Misc",C76="Account Transfer"), IF(C76="Transaction", IF(B76&lt;0, "Du no", "Da thanh toan"), IF(C76="Interests", "Lai", IF(C76="Misc", "Phi", IF(C76="Account Transfer", IF(OR(ISNUMBER(SEARCH("Trich lai tra gop the TD", D76)), ISNUMBER(SEARCH("Chuyen lai tra gop con lai sang du no thong thuong khi BadDebt", D76))), IF(B76&lt;0, "Lai tra gop", ""), "" )))))) &amp; " " &amp; IF(C76="Interests", TEXT(EDATE(IF(DAY(A76)&gt;=24, A76, EDATE(A76,-1)), -1),"yyyy-mm"), TEXT(IF(DAY(A76)&gt;=24, A76, EDATE(A76,-1)),"yyyy-mm"))</f>
        <v>Lai 2024-01</v>
      </c>
      <c r="F76" s="27">
        <f>IF(ISNUMBER(B76), ROUND(SUMIFS($B$2:$B$10000, $E$2:$E$10000, E76, $B$2:$B$10000, IF(B76&lt;0, "&lt;0", "&gt;0")), 0), "")</f>
        <v>-1337985</v>
      </c>
      <c r="G76" s="28" t="str">
        <f>IF(F76&gt;0, IF(C76="Transaction", "Da thanh toan", "Duong"), IF(F76&lt;0, IF(C76="Transaction", "Du no", IF(C76="Interests", "Lai phat sinh", IF(C76="Misc", "Phi", IF(C76="Account Transfer", "Lai tra gop", "Am")))), "Bang 0"))</f>
        <v>Lai phat sinh</v>
      </c>
    </row>
    <row r="77" spans="1:7" x14ac:dyDescent="0.3">
      <c r="A77" s="60">
        <v>45346</v>
      </c>
      <c r="B77" s="35">
        <v>-113112.6</v>
      </c>
      <c r="C77" t="s">
        <v>49</v>
      </c>
      <c r="D77" s="17"/>
      <c r="E77" s="26" t="str">
        <f>IF(OR(C77="Transaction",C77="Interests",C77="Misc",C77="Account Transfer"), IF(C77="Transaction", IF(B77&lt;0, "Du no", "Da thanh toan"), IF(C77="Interests", "Lai", IF(C77="Misc", "Phi", IF(C77="Account Transfer", IF(OR(ISNUMBER(SEARCH("Trich lai tra gop the TD", D77)), ISNUMBER(SEARCH("Chuyen lai tra gop con lai sang du no thong thuong khi BadDebt", D77))), IF(B77&lt;0, "Lai tra gop", ""), "" )))))) &amp; " " &amp; IF(C77="Interests", TEXT(EDATE(IF(DAY(A77)&gt;=24, A77, EDATE(A77,-1)), -1),"yyyy-mm"), TEXT(IF(DAY(A77)&gt;=24, A77, EDATE(A77,-1)),"yyyy-mm"))</f>
        <v>Lai 2024-01</v>
      </c>
      <c r="F77" s="27">
        <f>IF(ISNUMBER(B77), ROUND(SUMIFS($B$2:$B$10000, $E$2:$E$10000, E77, $B$2:$B$10000, IF(B77&lt;0, "&lt;0", "&gt;0")), 0), "")</f>
        <v>-1337985</v>
      </c>
      <c r="G77" s="28" t="str">
        <f>IF(F77&gt;0, IF(C77="Transaction", "Da thanh toan", "Duong"), IF(F77&lt;0, IF(C77="Transaction", "Du no", IF(C77="Interests", "Lai phat sinh", IF(C77="Misc", "Phi", IF(C77="Account Transfer", "Lai tra gop", "Am")))), "Bang 0"))</f>
        <v>Lai phat sinh</v>
      </c>
    </row>
    <row r="78" spans="1:7" x14ac:dyDescent="0.3">
      <c r="A78" s="60">
        <v>45346</v>
      </c>
      <c r="B78" s="35">
        <v>-590802.52</v>
      </c>
      <c r="C78" t="s">
        <v>49</v>
      </c>
      <c r="D78" s="17"/>
      <c r="E78" s="26" t="str">
        <f>IF(OR(C78="Transaction",C78="Interests",C78="Misc",C78="Account Transfer"), IF(C78="Transaction", IF(B78&lt;0, "Du no", "Da thanh toan"), IF(C78="Interests", "Lai", IF(C78="Misc", "Phi", IF(C78="Account Transfer", IF(OR(ISNUMBER(SEARCH("Trich lai tra gop the TD", D78)), ISNUMBER(SEARCH("Chuyen lai tra gop con lai sang du no thong thuong khi BadDebt", D78))), IF(B78&lt;0, "Lai tra gop", ""), "" )))))) &amp; " " &amp; IF(C78="Interests", TEXT(EDATE(IF(DAY(A78)&gt;=24, A78, EDATE(A78,-1)), -1),"yyyy-mm"), TEXT(IF(DAY(A78)&gt;=24, A78, EDATE(A78,-1)),"yyyy-mm"))</f>
        <v>Lai 2024-01</v>
      </c>
      <c r="F78" s="27">
        <f>IF(ISNUMBER(B78), ROUND(SUMIFS($B$2:$B$10000, $E$2:$E$10000, E78, $B$2:$B$10000, IF(B78&lt;0, "&lt;0", "&gt;0")), 0), "")</f>
        <v>-1337985</v>
      </c>
      <c r="G78" s="28" t="str">
        <f>IF(F78&gt;0, IF(C78="Transaction", "Da thanh toan", "Duong"), IF(F78&lt;0, IF(C78="Transaction", "Du no", IF(C78="Interests", "Lai phat sinh", IF(C78="Misc", "Phi", IF(C78="Account Transfer", "Lai tra gop", "Am")))), "Bang 0"))</f>
        <v>Lai phat sinh</v>
      </c>
    </row>
    <row r="79" spans="1:7" x14ac:dyDescent="0.3">
      <c r="A79" s="60">
        <v>45346</v>
      </c>
      <c r="B79" s="35">
        <v>-13374.79</v>
      </c>
      <c r="C79" t="s">
        <v>49</v>
      </c>
      <c r="D79" s="17"/>
      <c r="E79" s="26" t="str">
        <f>IF(OR(C79="Transaction",C79="Interests",C79="Misc",C79="Account Transfer"), IF(C79="Transaction", IF(B79&lt;0, "Du no", "Da thanh toan"), IF(C79="Interests", "Lai", IF(C79="Misc", "Phi", IF(C79="Account Transfer", IF(OR(ISNUMBER(SEARCH("Trich lai tra gop the TD", D79)), ISNUMBER(SEARCH("Chuyen lai tra gop con lai sang du no thong thuong khi BadDebt", D79))), IF(B79&lt;0, "Lai tra gop", ""), "" )))))) &amp; " " &amp; IF(C79="Interests", TEXT(EDATE(IF(DAY(A79)&gt;=24, A79, EDATE(A79,-1)), -1),"yyyy-mm"), TEXT(IF(DAY(A79)&gt;=24, A79, EDATE(A79,-1)),"yyyy-mm"))</f>
        <v>Lai 2024-01</v>
      </c>
      <c r="F79" s="27">
        <f>IF(ISNUMBER(B79), ROUND(SUMIFS($B$2:$B$10000, $E$2:$E$10000, E79, $B$2:$B$10000, IF(B79&lt;0, "&lt;0", "&gt;0")), 0), "")</f>
        <v>-1337985</v>
      </c>
      <c r="G79" s="28" t="str">
        <f>IF(F79&gt;0, IF(C79="Transaction", "Da thanh toan", "Duong"), IF(F79&lt;0, IF(C79="Transaction", "Du no", IF(C79="Interests", "Lai phat sinh", IF(C79="Misc", "Phi", IF(C79="Account Transfer", "Lai tra gop", "Am")))), "Bang 0"))</f>
        <v>Lai phat sinh</v>
      </c>
    </row>
    <row r="80" spans="1:7" x14ac:dyDescent="0.3">
      <c r="A80" s="60">
        <v>45315</v>
      </c>
      <c r="B80" s="35">
        <v>-620694.74</v>
      </c>
      <c r="C80" t="s">
        <v>49</v>
      </c>
      <c r="D80" s="17"/>
      <c r="E80" s="26" t="str">
        <f>IF(OR(C80="Transaction",C80="Interests",C80="Misc",C80="Account Transfer"), IF(C80="Transaction", IF(B80&lt;0, "Du no", "Da thanh toan"), IF(C80="Interests", "Lai", IF(C80="Misc", "Phi", IF(C80="Account Transfer", IF(OR(ISNUMBER(SEARCH("Trich lai tra gop the TD", D80)), ISNUMBER(SEARCH("Chuyen lai tra gop con lai sang du no thong thuong khi BadDebt", D80))), IF(B80&lt;0, "Lai tra gop", ""), "" )))))) &amp; " " &amp; IF(C80="Interests", TEXT(EDATE(IF(DAY(A80)&gt;=24, A80, EDATE(A80,-1)), -1),"yyyy-mm"), TEXT(IF(DAY(A80)&gt;=24, A80, EDATE(A80,-1)),"yyyy-mm"))</f>
        <v>Lai 2023-12</v>
      </c>
      <c r="F80" s="27">
        <f>IF(ISNUMBER(B80), ROUND(SUMIFS($B$2:$B$10000, $E$2:$E$10000, E80, $B$2:$B$10000, IF(B80&lt;0, "&lt;0", "&gt;0")), 0), "")</f>
        <v>-1285701</v>
      </c>
      <c r="G80" s="28" t="str">
        <f>IF(F80&gt;0, IF(C80="Transaction", "Da thanh toan", "Duong"), IF(F80&lt;0, IF(C80="Transaction", "Du no", IF(C80="Interests", "Lai phat sinh", IF(C80="Misc", "Phi", IF(C80="Account Transfer", "Lai tra gop", "Am")))), "Bang 0"))</f>
        <v>Lai phat sinh</v>
      </c>
    </row>
    <row r="81" spans="1:7" x14ac:dyDescent="0.3">
      <c r="A81" s="60">
        <v>45315</v>
      </c>
      <c r="B81" s="35">
        <v>-113112.6</v>
      </c>
      <c r="C81" t="s">
        <v>49</v>
      </c>
      <c r="D81" s="17"/>
      <c r="E81" s="26" t="str">
        <f>IF(OR(C81="Transaction",C81="Interests",C81="Misc",C81="Account Transfer"), IF(C81="Transaction", IF(B81&lt;0, "Du no", "Da thanh toan"), IF(C81="Interests", "Lai", IF(C81="Misc", "Phi", IF(C81="Account Transfer", IF(OR(ISNUMBER(SEARCH("Trich lai tra gop the TD", D81)), ISNUMBER(SEARCH("Chuyen lai tra gop con lai sang du no thong thuong khi BadDebt", D81))), IF(B81&lt;0, "Lai tra gop", ""), "" )))))) &amp; " " &amp; IF(C81="Interests", TEXT(EDATE(IF(DAY(A81)&gt;=24, A81, EDATE(A81,-1)), -1),"yyyy-mm"), TEXT(IF(DAY(A81)&gt;=24, A81, EDATE(A81,-1)),"yyyy-mm"))</f>
        <v>Lai 2023-12</v>
      </c>
      <c r="F81" s="27">
        <f>IF(ISNUMBER(B81), ROUND(SUMIFS($B$2:$B$10000, $E$2:$E$10000, E81, $B$2:$B$10000, IF(B81&lt;0, "&lt;0", "&gt;0")), 0), "")</f>
        <v>-1285701</v>
      </c>
      <c r="G81" s="28" t="str">
        <f>IF(F81&gt;0, IF(C81="Transaction", "Da thanh toan", "Duong"), IF(F81&lt;0, IF(C81="Transaction", "Du no", IF(C81="Interests", "Lai phat sinh", IF(C81="Misc", "Phi", IF(C81="Account Transfer", "Lai tra gop", "Am")))), "Bang 0"))</f>
        <v>Lai phat sinh</v>
      </c>
    </row>
    <row r="82" spans="1:7" x14ac:dyDescent="0.3">
      <c r="A82" s="60">
        <v>45315</v>
      </c>
      <c r="B82" s="35">
        <v>-538519.21</v>
      </c>
      <c r="C82" t="s">
        <v>49</v>
      </c>
      <c r="D82" s="17"/>
      <c r="E82" s="26" t="str">
        <f>IF(OR(C82="Transaction",C82="Interests",C82="Misc",C82="Account Transfer"), IF(C82="Transaction", IF(B82&lt;0, "Du no", "Da thanh toan"), IF(C82="Interests", "Lai", IF(C82="Misc", "Phi", IF(C82="Account Transfer", IF(OR(ISNUMBER(SEARCH("Trich lai tra gop the TD", D82)), ISNUMBER(SEARCH("Chuyen lai tra gop con lai sang du no thong thuong khi BadDebt", D82))), IF(B82&lt;0, "Lai tra gop", ""), "" )))))) &amp; " " &amp; IF(C82="Interests", TEXT(EDATE(IF(DAY(A82)&gt;=24, A82, EDATE(A82,-1)), -1),"yyyy-mm"), TEXT(IF(DAY(A82)&gt;=24, A82, EDATE(A82,-1)),"yyyy-mm"))</f>
        <v>Lai 2023-12</v>
      </c>
      <c r="F82" s="27">
        <f>IF(ISNUMBER(B82), ROUND(SUMIFS($B$2:$B$10000, $E$2:$E$10000, E82, $B$2:$B$10000, IF(B82&lt;0, "&lt;0", "&gt;0")), 0), "")</f>
        <v>-1285701</v>
      </c>
      <c r="G82" s="28" t="str">
        <f>IF(F82&gt;0, IF(C82="Transaction", "Da thanh toan", "Duong"), IF(F82&lt;0, IF(C82="Transaction", "Du no", IF(C82="Interests", "Lai phat sinh", IF(C82="Misc", "Phi", IF(C82="Account Transfer", "Lai tra gop", "Am")))), "Bang 0"))</f>
        <v>Lai phat sinh</v>
      </c>
    </row>
    <row r="83" spans="1:7" x14ac:dyDescent="0.3">
      <c r="A83" s="60">
        <v>45315</v>
      </c>
      <c r="B83" s="35">
        <v>-13374.79</v>
      </c>
      <c r="C83" t="s">
        <v>49</v>
      </c>
      <c r="D83" s="17"/>
      <c r="E83" s="26" t="str">
        <f>IF(OR(C83="Transaction",C83="Interests",C83="Misc",C83="Account Transfer"), IF(C83="Transaction", IF(B83&lt;0, "Du no", "Da thanh toan"), IF(C83="Interests", "Lai", IF(C83="Misc", "Phi", IF(C83="Account Transfer", IF(OR(ISNUMBER(SEARCH("Trich lai tra gop the TD", D83)), ISNUMBER(SEARCH("Chuyen lai tra gop con lai sang du no thong thuong khi BadDebt", D83))), IF(B83&lt;0, "Lai tra gop", ""), "" )))))) &amp; " " &amp; IF(C83="Interests", TEXT(EDATE(IF(DAY(A83)&gt;=24, A83, EDATE(A83,-1)), -1),"yyyy-mm"), TEXT(IF(DAY(A83)&gt;=24, A83, EDATE(A83,-1)),"yyyy-mm"))</f>
        <v>Lai 2023-12</v>
      </c>
      <c r="F83" s="27">
        <f>IF(ISNUMBER(B83), ROUND(SUMIFS($B$2:$B$10000, $E$2:$E$10000, E83, $B$2:$B$10000, IF(B83&lt;0, "&lt;0", "&gt;0")), 0), "")</f>
        <v>-1285701</v>
      </c>
      <c r="G83" s="28" t="str">
        <f>IF(F83&gt;0, IF(C83="Transaction", "Da thanh toan", "Duong"), IF(F83&lt;0, IF(C83="Transaction", "Du no", IF(C83="Interests", "Lai phat sinh", IF(C83="Misc", "Phi", IF(C83="Account Transfer", "Lai tra gop", "Am")))), "Bang 0"))</f>
        <v>Lai phat sinh</v>
      </c>
    </row>
    <row r="84" spans="1:7" x14ac:dyDescent="0.3">
      <c r="A84" s="60">
        <v>45284</v>
      </c>
      <c r="B84" s="35">
        <v>-600672.32999999996</v>
      </c>
      <c r="C84" t="s">
        <v>49</v>
      </c>
      <c r="D84" s="17"/>
      <c r="E84" s="26" t="str">
        <f>IF(OR(C84="Transaction",C84="Interests",C84="Misc",C84="Account Transfer"), IF(C84="Transaction", IF(B84&lt;0, "Du no", "Da thanh toan"), IF(C84="Interests", "Lai", IF(C84="Misc", "Phi", IF(C84="Account Transfer", IF(OR(ISNUMBER(SEARCH("Trich lai tra gop the TD", D84)), ISNUMBER(SEARCH("Chuyen lai tra gop con lai sang du no thong thuong khi BadDebt", D84))), IF(B84&lt;0, "Lai tra gop", ""), "" )))))) &amp; " " &amp; IF(C84="Interests", TEXT(EDATE(IF(DAY(A84)&gt;=24, A84, EDATE(A84,-1)), -1),"yyyy-mm"), TEXT(IF(DAY(A84)&gt;=24, A84, EDATE(A84,-1)),"yyyy-mm"))</f>
        <v>Lai 2023-11</v>
      </c>
      <c r="F84" s="27">
        <f>IF(ISNUMBER(B84), ROUND(SUMIFS($B$2:$B$10000, $E$2:$E$10000, E84, $B$2:$B$10000, IF(B84&lt;0, "&lt;0", "&gt;0")), 0), "")</f>
        <v>-1197116</v>
      </c>
      <c r="G84" s="28" t="str">
        <f>IF(F84&gt;0, IF(C84="Transaction", "Da thanh toan", "Duong"), IF(F84&lt;0, IF(C84="Transaction", "Du no", IF(C84="Interests", "Lai phat sinh", IF(C84="Misc", "Phi", IF(C84="Account Transfer", "Lai tra gop", "Am")))), "Bang 0"))</f>
        <v>Lai phat sinh</v>
      </c>
    </row>
    <row r="85" spans="1:7" x14ac:dyDescent="0.3">
      <c r="A85" s="60">
        <v>45284</v>
      </c>
      <c r="B85" s="35">
        <v>-109463.8</v>
      </c>
      <c r="C85" t="s">
        <v>49</v>
      </c>
      <c r="D85" s="17"/>
      <c r="E85" s="26" t="str">
        <f>IF(OR(C85="Transaction",C85="Interests",C85="Misc",C85="Account Transfer"), IF(C85="Transaction", IF(B85&lt;0, "Du no", "Da thanh toan"), IF(C85="Interests", "Lai", IF(C85="Misc", "Phi", IF(C85="Account Transfer", IF(OR(ISNUMBER(SEARCH("Trich lai tra gop the TD", D85)), ISNUMBER(SEARCH("Chuyen lai tra gop con lai sang du no thong thuong khi BadDebt", D85))), IF(B85&lt;0, "Lai tra gop", ""), "" )))))) &amp; " " &amp; IF(C85="Interests", TEXT(EDATE(IF(DAY(A85)&gt;=24, A85, EDATE(A85,-1)), -1),"yyyy-mm"), TEXT(IF(DAY(A85)&gt;=24, A85, EDATE(A85,-1)),"yyyy-mm"))</f>
        <v>Lai 2023-11</v>
      </c>
      <c r="F85" s="27">
        <f>IF(ISNUMBER(B85), ROUND(SUMIFS($B$2:$B$10000, $E$2:$E$10000, E85, $B$2:$B$10000, IF(B85&lt;0, "&lt;0", "&gt;0")), 0), "")</f>
        <v>-1197116</v>
      </c>
      <c r="G85" s="28" t="str">
        <f>IF(F85&gt;0, IF(C85="Transaction", "Da thanh toan", "Duong"), IF(F85&lt;0, IF(C85="Transaction", "Du no", IF(C85="Interests", "Lai phat sinh", IF(C85="Misc", "Phi", IF(C85="Account Transfer", "Lai tra gop", "Am")))), "Bang 0"))</f>
        <v>Lai phat sinh</v>
      </c>
    </row>
    <row r="86" spans="1:7" x14ac:dyDescent="0.3">
      <c r="A86" s="60">
        <v>45284</v>
      </c>
      <c r="B86" s="35">
        <v>-474036.99</v>
      </c>
      <c r="C86" t="s">
        <v>49</v>
      </c>
      <c r="D86" s="25"/>
      <c r="E86" s="26" t="str">
        <f>IF(OR(C86="Transaction",C86="Interests",C86="Misc",C86="Account Transfer"), IF(C86="Transaction", IF(B86&lt;0, "Du no", "Da thanh toan"), IF(C86="Interests", "Lai", IF(C86="Misc", "Phi", IF(C86="Account Transfer", IF(OR(ISNUMBER(SEARCH("Trich lai tra gop the TD", D86)), ISNUMBER(SEARCH("Chuyen lai tra gop con lai sang du no thong thuong khi BadDebt", D86))), IF(B86&lt;0, "Lai tra gop", ""), "" )))))) &amp; " " &amp; IF(C86="Interests", TEXT(EDATE(IF(DAY(A86)&gt;=24, A86, EDATE(A86,-1)), -1),"yyyy-mm"), TEXT(IF(DAY(A86)&gt;=24, A86, EDATE(A86,-1)),"yyyy-mm"))</f>
        <v>Lai 2023-11</v>
      </c>
      <c r="F86" s="27">
        <f>IF(ISNUMBER(B86), ROUND(SUMIFS($B$2:$B$10000, $E$2:$E$10000, E86, $B$2:$B$10000, IF(B86&lt;0, "&lt;0", "&gt;0")), 0), "")</f>
        <v>-1197116</v>
      </c>
      <c r="G86" s="28" t="str">
        <f>IF(F86&gt;0, IF(C86="Transaction", "Da thanh toan", "Duong"), IF(F86&lt;0, IF(C86="Transaction", "Du no", IF(C86="Interests", "Lai phat sinh", IF(C86="Misc", "Phi", IF(C86="Account Transfer", "Lai tra gop", "Am")))), "Bang 0"))</f>
        <v>Lai phat sinh</v>
      </c>
    </row>
    <row r="87" spans="1:7" x14ac:dyDescent="0.3">
      <c r="A87" s="60">
        <v>45284</v>
      </c>
      <c r="B87" s="35">
        <v>-12943.34</v>
      </c>
      <c r="C87" t="s">
        <v>49</v>
      </c>
      <c r="D87" s="17"/>
      <c r="E87" s="26" t="str">
        <f>IF(OR(C87="Transaction",C87="Interests",C87="Misc",C87="Account Transfer"), IF(C87="Transaction", IF(B87&lt;0, "Du no", "Da thanh toan"), IF(C87="Interests", "Lai", IF(C87="Misc", "Phi", IF(C87="Account Transfer", IF(OR(ISNUMBER(SEARCH("Trich lai tra gop the TD", D87)), ISNUMBER(SEARCH("Chuyen lai tra gop con lai sang du no thong thuong khi BadDebt", D87))), IF(B87&lt;0, "Lai tra gop", ""), "" )))))) &amp; " " &amp; IF(C87="Interests", TEXT(EDATE(IF(DAY(A87)&gt;=24, A87, EDATE(A87,-1)), -1),"yyyy-mm"), TEXT(IF(DAY(A87)&gt;=24, A87, EDATE(A87,-1)),"yyyy-mm"))</f>
        <v>Lai 2023-11</v>
      </c>
      <c r="F87" s="27">
        <f>IF(ISNUMBER(B87), ROUND(SUMIFS($B$2:$B$10000, $E$2:$E$10000, E87, $B$2:$B$10000, IF(B87&lt;0, "&lt;0", "&gt;0")), 0), "")</f>
        <v>-1197116</v>
      </c>
      <c r="G87" s="28" t="str">
        <f>IF(F87&gt;0, IF(C87="Transaction", "Da thanh toan", "Duong"), IF(F87&lt;0, IF(C87="Transaction", "Du no", IF(C87="Interests", "Lai phat sinh", IF(C87="Misc", "Phi", IF(C87="Account Transfer", "Lai tra gop", "Am")))), "Bang 0"))</f>
        <v>Lai phat sinh</v>
      </c>
    </row>
    <row r="88" spans="1:7" x14ac:dyDescent="0.3">
      <c r="A88" s="60">
        <v>45254</v>
      </c>
      <c r="B88" s="35">
        <v>-620694.74</v>
      </c>
      <c r="C88" t="s">
        <v>49</v>
      </c>
      <c r="D88" s="17"/>
      <c r="E88" s="26" t="str">
        <f>IF(OR(C88="Transaction",C88="Interests",C88="Misc",C88="Account Transfer"), IF(C88="Transaction", IF(B88&lt;0, "Du no", "Da thanh toan"), IF(C88="Interests", "Lai", IF(C88="Misc", "Phi", IF(C88="Account Transfer", IF(OR(ISNUMBER(SEARCH("Trich lai tra gop the TD", D88)), ISNUMBER(SEARCH("Chuyen lai tra gop con lai sang du no thong thuong khi BadDebt", D88))), IF(B88&lt;0, "Lai tra gop", ""), "" )))))) &amp; " " &amp; IF(C88="Interests", TEXT(EDATE(IF(DAY(A88)&gt;=24, A88, EDATE(A88,-1)), -1),"yyyy-mm"), TEXT(IF(DAY(A88)&gt;=24, A88, EDATE(A88,-1)),"yyyy-mm"))</f>
        <v>Lai 2023-10</v>
      </c>
      <c r="F88" s="27">
        <f>IF(ISNUMBER(B88), ROUND(SUMIFS($B$2:$B$10000, $E$2:$E$10000, E88, $B$2:$B$10000, IF(B88&lt;0, "&lt;0", "&gt;0")), 0), "")</f>
        <v>-1188682</v>
      </c>
      <c r="G88" s="28" t="str">
        <f>IF(F88&gt;0, IF(C88="Transaction", "Da thanh toan", "Duong"), IF(F88&lt;0, IF(C88="Transaction", "Du no", IF(C88="Interests", "Lai phat sinh", IF(C88="Misc", "Phi", IF(C88="Account Transfer", "Lai tra gop", "Am")))), "Bang 0"))</f>
        <v>Lai phat sinh</v>
      </c>
    </row>
    <row r="89" spans="1:7" x14ac:dyDescent="0.3">
      <c r="A89" s="60">
        <v>45254</v>
      </c>
      <c r="B89" s="35">
        <v>-113112.6</v>
      </c>
      <c r="C89" t="s">
        <v>49</v>
      </c>
      <c r="D89" s="17"/>
      <c r="E89" s="26" t="str">
        <f>IF(OR(C89="Transaction",C89="Interests",C89="Misc",C89="Account Transfer"), IF(C89="Transaction", IF(B89&lt;0, "Du no", "Da thanh toan"), IF(C89="Interests", "Lai", IF(C89="Misc", "Phi", IF(C89="Account Transfer", IF(OR(ISNUMBER(SEARCH("Trich lai tra gop the TD", D89)), ISNUMBER(SEARCH("Chuyen lai tra gop con lai sang du no thong thuong khi BadDebt", D89))), IF(B89&lt;0, "Lai tra gop", ""), "" )))))) &amp; " " &amp; IF(C89="Interests", TEXT(EDATE(IF(DAY(A89)&gt;=24, A89, EDATE(A89,-1)), -1),"yyyy-mm"), TEXT(IF(DAY(A89)&gt;=24, A89, EDATE(A89,-1)),"yyyy-mm"))</f>
        <v>Lai 2023-10</v>
      </c>
      <c r="F89" s="27">
        <f>IF(ISNUMBER(B89), ROUND(SUMIFS($B$2:$B$10000, $E$2:$E$10000, E89, $B$2:$B$10000, IF(B89&lt;0, "&lt;0", "&gt;0")), 0), "")</f>
        <v>-1188682</v>
      </c>
      <c r="G89" s="28" t="str">
        <f>IF(F89&gt;0, IF(C89="Transaction", "Da thanh toan", "Duong"), IF(F89&lt;0, IF(C89="Transaction", "Du no", IF(C89="Interests", "Lai phat sinh", IF(C89="Misc", "Phi", IF(C89="Account Transfer", "Lai tra gop", "Am")))), "Bang 0"))</f>
        <v>Lai phat sinh</v>
      </c>
    </row>
    <row r="90" spans="1:7" x14ac:dyDescent="0.3">
      <c r="A90" s="60">
        <v>45254</v>
      </c>
      <c r="B90" s="35">
        <v>-441500.21</v>
      </c>
      <c r="C90" t="s">
        <v>49</v>
      </c>
      <c r="D90" s="17"/>
      <c r="E90" s="26" t="str">
        <f>IF(OR(C90="Transaction",C90="Interests",C90="Misc",C90="Account Transfer"), IF(C90="Transaction", IF(B90&lt;0, "Du no", "Da thanh toan"), IF(C90="Interests", "Lai", IF(C90="Misc", "Phi", IF(C90="Account Transfer", IF(OR(ISNUMBER(SEARCH("Trich lai tra gop the TD", D90)), ISNUMBER(SEARCH("Chuyen lai tra gop con lai sang du no thong thuong khi BadDebt", D90))), IF(B90&lt;0, "Lai tra gop", ""), "" )))))) &amp; " " &amp; IF(C90="Interests", TEXT(EDATE(IF(DAY(A90)&gt;=24, A90, EDATE(A90,-1)), -1),"yyyy-mm"), TEXT(IF(DAY(A90)&gt;=24, A90, EDATE(A90,-1)),"yyyy-mm"))</f>
        <v>Lai 2023-10</v>
      </c>
      <c r="F90" s="27">
        <f>IF(ISNUMBER(B90), ROUND(SUMIFS($B$2:$B$10000, $E$2:$E$10000, E90, $B$2:$B$10000, IF(B90&lt;0, "&lt;0", "&gt;0")), 0), "")</f>
        <v>-1188682</v>
      </c>
      <c r="G90" s="28" t="str">
        <f>IF(F90&gt;0, IF(C90="Transaction", "Da thanh toan", "Duong"), IF(F90&lt;0, IF(C90="Transaction", "Du no", IF(C90="Interests", "Lai phat sinh", IF(C90="Misc", "Phi", IF(C90="Account Transfer", "Lai tra gop", "Am")))), "Bang 0"))</f>
        <v>Lai phat sinh</v>
      </c>
    </row>
    <row r="91" spans="1:7" x14ac:dyDescent="0.3">
      <c r="A91" s="60">
        <v>45254</v>
      </c>
      <c r="B91" s="35">
        <v>-13374.79</v>
      </c>
      <c r="C91" t="s">
        <v>49</v>
      </c>
      <c r="D91" s="17"/>
      <c r="E91" s="26" t="str">
        <f>IF(OR(C91="Transaction",C91="Interests",C91="Misc",C91="Account Transfer"), IF(C91="Transaction", IF(B91&lt;0, "Du no", "Da thanh toan"), IF(C91="Interests", "Lai", IF(C91="Misc", "Phi", IF(C91="Account Transfer", IF(OR(ISNUMBER(SEARCH("Trich lai tra gop the TD", D91)), ISNUMBER(SEARCH("Chuyen lai tra gop con lai sang du no thong thuong khi BadDebt", D91))), IF(B91&lt;0, "Lai tra gop", ""), "" )))))) &amp; " " &amp; IF(C91="Interests", TEXT(EDATE(IF(DAY(A91)&gt;=24, A91, EDATE(A91,-1)), -1),"yyyy-mm"), TEXT(IF(DAY(A91)&gt;=24, A91, EDATE(A91,-1)),"yyyy-mm"))</f>
        <v>Lai 2023-10</v>
      </c>
      <c r="F91" s="27">
        <f>IF(ISNUMBER(B91), ROUND(SUMIFS($B$2:$B$10000, $E$2:$E$10000, E91, $B$2:$B$10000, IF(B91&lt;0, "&lt;0", "&gt;0")), 0), "")</f>
        <v>-1188682</v>
      </c>
      <c r="G91" s="28" t="str">
        <f>IF(F91&gt;0, IF(C91="Transaction", "Da thanh toan", "Duong"), IF(F91&lt;0, IF(C91="Transaction", "Du no", IF(C91="Interests", "Lai phat sinh", IF(C91="Misc", "Phi", IF(C91="Account Transfer", "Lai tra gop", "Am")))), "Bang 0"))</f>
        <v>Lai phat sinh</v>
      </c>
    </row>
    <row r="92" spans="1:7" x14ac:dyDescent="0.3">
      <c r="A92" s="60">
        <v>45223</v>
      </c>
      <c r="B92" s="35">
        <v>-600672.32999999996</v>
      </c>
      <c r="C92" t="s">
        <v>49</v>
      </c>
      <c r="D92" s="17"/>
      <c r="E92" s="26" t="str">
        <f>IF(OR(C92="Transaction",C92="Interests",C92="Misc",C92="Account Transfer"), IF(C92="Transaction", IF(B92&lt;0, "Du no", "Da thanh toan"), IF(C92="Interests", "Lai", IF(C92="Misc", "Phi", IF(C92="Account Transfer", IF(OR(ISNUMBER(SEARCH("Trich lai tra gop the TD", D92)), ISNUMBER(SEARCH("Chuyen lai tra gop con lai sang du no thong thuong khi BadDebt", D92))), IF(B92&lt;0, "Lai tra gop", ""), "" )))))) &amp; " " &amp; IF(C92="Interests", TEXT(EDATE(IF(DAY(A92)&gt;=24, A92, EDATE(A92,-1)), -1),"yyyy-mm"), TEXT(IF(DAY(A92)&gt;=24, A92, EDATE(A92,-1)),"yyyy-mm"))</f>
        <v>Lai 2023-09</v>
      </c>
      <c r="F92" s="27">
        <f>IF(ISNUMBER(B92), ROUND(SUMIFS($B$2:$B$10000, $E$2:$E$10000, E92, $B$2:$B$10000, IF(B92&lt;0, "&lt;0", "&gt;0")), 0), "")</f>
        <v>-1106782</v>
      </c>
      <c r="G92" s="28" t="str">
        <f>IF(F92&gt;0, IF(C92="Transaction", "Da thanh toan", "Duong"), IF(F92&lt;0, IF(C92="Transaction", "Du no", IF(C92="Interests", "Lai phat sinh", IF(C92="Misc", "Phi", IF(C92="Account Transfer", "Lai tra gop", "Am")))), "Bang 0"))</f>
        <v>Lai phat sinh</v>
      </c>
    </row>
    <row r="93" spans="1:7" x14ac:dyDescent="0.3">
      <c r="A93" s="60">
        <v>45223</v>
      </c>
      <c r="B93" s="35">
        <v>-109463.8</v>
      </c>
      <c r="C93" t="s">
        <v>49</v>
      </c>
      <c r="D93" s="17"/>
      <c r="E93" s="26" t="str">
        <f>IF(OR(C93="Transaction",C93="Interests",C93="Misc",C93="Account Transfer"), IF(C93="Transaction", IF(B93&lt;0, "Du no", "Da thanh toan"), IF(C93="Interests", "Lai", IF(C93="Misc", "Phi", IF(C93="Account Transfer", IF(OR(ISNUMBER(SEARCH("Trich lai tra gop the TD", D93)), ISNUMBER(SEARCH("Chuyen lai tra gop con lai sang du no thong thuong khi BadDebt", D93))), IF(B93&lt;0, "Lai tra gop", ""), "" )))))) &amp; " " &amp; IF(C93="Interests", TEXT(EDATE(IF(DAY(A93)&gt;=24, A93, EDATE(A93,-1)), -1),"yyyy-mm"), TEXT(IF(DAY(A93)&gt;=24, A93, EDATE(A93,-1)),"yyyy-mm"))</f>
        <v>Lai 2023-09</v>
      </c>
      <c r="F93" s="27">
        <f>IF(ISNUMBER(B93), ROUND(SUMIFS($B$2:$B$10000, $E$2:$E$10000, E93, $B$2:$B$10000, IF(B93&lt;0, "&lt;0", "&gt;0")), 0), "")</f>
        <v>-1106782</v>
      </c>
      <c r="G93" s="28" t="str">
        <f>IF(F93&gt;0, IF(C93="Transaction", "Da thanh toan", "Duong"), IF(F93&lt;0, IF(C93="Transaction", "Du no", IF(C93="Interests", "Lai phat sinh", IF(C93="Misc", "Phi", IF(C93="Account Transfer", "Lai tra gop", "Am")))), "Bang 0"))</f>
        <v>Lai phat sinh</v>
      </c>
    </row>
    <row r="94" spans="1:7" x14ac:dyDescent="0.3">
      <c r="A94" s="60">
        <v>45223</v>
      </c>
      <c r="B94" s="35">
        <v>-383702.6</v>
      </c>
      <c r="C94" t="s">
        <v>49</v>
      </c>
      <c r="D94" s="17"/>
      <c r="E94" s="26" t="str">
        <f>IF(OR(C94="Transaction",C94="Interests",C94="Misc",C94="Account Transfer"), IF(C94="Transaction", IF(B94&lt;0, "Du no", "Da thanh toan"), IF(C94="Interests", "Lai", IF(C94="Misc", "Phi", IF(C94="Account Transfer", IF(OR(ISNUMBER(SEARCH("Trich lai tra gop the TD", D94)), ISNUMBER(SEARCH("Chuyen lai tra gop con lai sang du no thong thuong khi BadDebt", D94))), IF(B94&lt;0, "Lai tra gop", ""), "" )))))) &amp; " " &amp; IF(C94="Interests", TEXT(EDATE(IF(DAY(A94)&gt;=24, A94, EDATE(A94,-1)), -1),"yyyy-mm"), TEXT(IF(DAY(A94)&gt;=24, A94, EDATE(A94,-1)),"yyyy-mm"))</f>
        <v>Lai 2023-09</v>
      </c>
      <c r="F94" s="27">
        <f>IF(ISNUMBER(B94), ROUND(SUMIFS($B$2:$B$10000, $E$2:$E$10000, E94, $B$2:$B$10000, IF(B94&lt;0, "&lt;0", "&gt;0")), 0), "")</f>
        <v>-1106782</v>
      </c>
      <c r="G94" s="28" t="str">
        <f>IF(F94&gt;0, IF(C94="Transaction", "Da thanh toan", "Duong"), IF(F94&lt;0, IF(C94="Transaction", "Du no", IF(C94="Interests", "Lai phat sinh", IF(C94="Misc", "Phi", IF(C94="Account Transfer", "Lai tra gop", "Am")))), "Bang 0"))</f>
        <v>Lai phat sinh</v>
      </c>
    </row>
    <row r="95" spans="1:7" x14ac:dyDescent="0.3">
      <c r="A95" s="60">
        <v>45223</v>
      </c>
      <c r="B95" s="35">
        <v>-12943.34</v>
      </c>
      <c r="C95" t="s">
        <v>49</v>
      </c>
      <c r="D95" s="17"/>
      <c r="E95" s="26" t="str">
        <f>IF(OR(C95="Transaction",C95="Interests",C95="Misc",C95="Account Transfer"), IF(C95="Transaction", IF(B95&lt;0, "Du no", "Da thanh toan"), IF(C95="Interests", "Lai", IF(C95="Misc", "Phi", IF(C95="Account Transfer", IF(OR(ISNUMBER(SEARCH("Trich lai tra gop the TD", D95)), ISNUMBER(SEARCH("Chuyen lai tra gop con lai sang du no thong thuong khi BadDebt", D95))), IF(B95&lt;0, "Lai tra gop", ""), "" )))))) &amp; " " &amp; IF(C95="Interests", TEXT(EDATE(IF(DAY(A95)&gt;=24, A95, EDATE(A95,-1)), -1),"yyyy-mm"), TEXT(IF(DAY(A95)&gt;=24, A95, EDATE(A95,-1)),"yyyy-mm"))</f>
        <v>Lai 2023-09</v>
      </c>
      <c r="F95" s="27">
        <f>IF(ISNUMBER(B95), ROUND(SUMIFS($B$2:$B$10000, $E$2:$E$10000, E95, $B$2:$B$10000, IF(B95&lt;0, "&lt;0", "&gt;0")), 0), "")</f>
        <v>-1106782</v>
      </c>
      <c r="G95" s="28" t="str">
        <f>IF(F95&gt;0, IF(C95="Transaction", "Da thanh toan", "Duong"), IF(F95&lt;0, IF(C95="Transaction", "Du no", IF(C95="Interests", "Lai phat sinh", IF(C95="Misc", "Phi", IF(C95="Account Transfer", "Lai tra gop", "Am")))), "Bang 0"))</f>
        <v>Lai phat sinh</v>
      </c>
    </row>
    <row r="96" spans="1:7" x14ac:dyDescent="0.3">
      <c r="A96" s="60">
        <v>45193</v>
      </c>
      <c r="B96" s="35">
        <v>-620694.74</v>
      </c>
      <c r="C96" t="s">
        <v>49</v>
      </c>
      <c r="D96" s="17"/>
      <c r="E96" s="26" t="str">
        <f>IF(OR(C96="Transaction",C96="Interests",C96="Misc",C96="Account Transfer"), IF(C96="Transaction", IF(B96&lt;0, "Du no", "Da thanh toan"), IF(C96="Interests", "Lai", IF(C96="Misc", "Phi", IF(C96="Account Transfer", IF(OR(ISNUMBER(SEARCH("Trich lai tra gop the TD", D96)), ISNUMBER(SEARCH("Chuyen lai tra gop con lai sang du no thong thuong khi BadDebt", D96))), IF(B96&lt;0, "Lai tra gop", ""), "" )))))) &amp; " " &amp; IF(C96="Interests", TEXT(EDATE(IF(DAY(A96)&gt;=24, A96, EDATE(A96,-1)), -1),"yyyy-mm"), TEXT(IF(DAY(A96)&gt;=24, A96, EDATE(A96,-1)),"yyyy-mm"))</f>
        <v>Lai 2023-08</v>
      </c>
      <c r="F96" s="27">
        <f>IF(ISNUMBER(B96), ROUND(SUMIFS($B$2:$B$10000, $E$2:$E$10000, E96, $B$2:$B$10000, IF(B96&lt;0, "&lt;0", "&gt;0")), 0), "")</f>
        <v>-1098984</v>
      </c>
      <c r="G96" s="28" t="str">
        <f>IF(F96&gt;0, IF(C96="Transaction", "Da thanh toan", "Duong"), IF(F96&lt;0, IF(C96="Transaction", "Du no", IF(C96="Interests", "Lai phat sinh", IF(C96="Misc", "Phi", IF(C96="Account Transfer", "Lai tra gop", "Am")))), "Bang 0"))</f>
        <v>Lai phat sinh</v>
      </c>
    </row>
    <row r="97" spans="1:7" x14ac:dyDescent="0.3">
      <c r="A97" s="60">
        <v>45193</v>
      </c>
      <c r="B97" s="35">
        <v>-113112.6</v>
      </c>
      <c r="C97" t="s">
        <v>49</v>
      </c>
      <c r="D97" s="17"/>
      <c r="E97" s="26" t="str">
        <f>IF(OR(C97="Transaction",C97="Interests",C97="Misc",C97="Account Transfer"), IF(C97="Transaction", IF(B97&lt;0, "Du no", "Da thanh toan"), IF(C97="Interests", "Lai", IF(C97="Misc", "Phi", IF(C97="Account Transfer", IF(OR(ISNUMBER(SEARCH("Trich lai tra gop the TD", D97)), ISNUMBER(SEARCH("Chuyen lai tra gop con lai sang du no thong thuong khi BadDebt", D97))), IF(B97&lt;0, "Lai tra gop", ""), "" )))))) &amp; " " &amp; IF(C97="Interests", TEXT(EDATE(IF(DAY(A97)&gt;=24, A97, EDATE(A97,-1)), -1),"yyyy-mm"), TEXT(IF(DAY(A97)&gt;=24, A97, EDATE(A97,-1)),"yyyy-mm"))</f>
        <v>Lai 2023-08</v>
      </c>
      <c r="F97" s="27">
        <f>IF(ISNUMBER(B97), ROUND(SUMIFS($B$2:$B$10000, $E$2:$E$10000, E97, $B$2:$B$10000, IF(B97&lt;0, "&lt;0", "&gt;0")), 0), "")</f>
        <v>-1098984</v>
      </c>
      <c r="G97" s="28" t="str">
        <f>IF(F97&gt;0, IF(C97="Transaction", "Da thanh toan", "Duong"), IF(F97&lt;0, IF(C97="Transaction", "Du no", IF(C97="Interests", "Lai phat sinh", IF(C97="Misc", "Phi", IF(C97="Account Transfer", "Lai tra gop", "Am")))), "Bang 0"))</f>
        <v>Lai phat sinh</v>
      </c>
    </row>
    <row r="98" spans="1:7" x14ac:dyDescent="0.3">
      <c r="A98" s="60">
        <v>45193</v>
      </c>
      <c r="B98" s="35">
        <v>-351802.26</v>
      </c>
      <c r="C98" t="s">
        <v>49</v>
      </c>
      <c r="D98" s="17"/>
      <c r="E98" s="26" t="str">
        <f>IF(OR(C98="Transaction",C98="Interests",C98="Misc",C98="Account Transfer"), IF(C98="Transaction", IF(B98&lt;0, "Du no", "Da thanh toan"), IF(C98="Interests", "Lai", IF(C98="Misc", "Phi", IF(C98="Account Transfer", IF(OR(ISNUMBER(SEARCH("Trich lai tra gop the TD", D98)), ISNUMBER(SEARCH("Chuyen lai tra gop con lai sang du no thong thuong khi BadDebt", D98))), IF(B98&lt;0, "Lai tra gop", ""), "" )))))) &amp; " " &amp; IF(C98="Interests", TEXT(EDATE(IF(DAY(A98)&gt;=24, A98, EDATE(A98,-1)), -1),"yyyy-mm"), TEXT(IF(DAY(A98)&gt;=24, A98, EDATE(A98,-1)),"yyyy-mm"))</f>
        <v>Lai 2023-08</v>
      </c>
      <c r="F98" s="27">
        <f>IF(ISNUMBER(B98), ROUND(SUMIFS($B$2:$B$10000, $E$2:$E$10000, E98, $B$2:$B$10000, IF(B98&lt;0, "&lt;0", "&gt;0")), 0), "")</f>
        <v>-1098984</v>
      </c>
      <c r="G98" s="28" t="str">
        <f>IF(F98&gt;0, IF(C98="Transaction", "Da thanh toan", "Duong"), IF(F98&lt;0, IF(C98="Transaction", "Du no", IF(C98="Interests", "Lai phat sinh", IF(C98="Misc", "Phi", IF(C98="Account Transfer", "Lai tra gop", "Am")))), "Bang 0"))</f>
        <v>Lai phat sinh</v>
      </c>
    </row>
    <row r="99" spans="1:7" x14ac:dyDescent="0.3">
      <c r="A99" s="60">
        <v>45193</v>
      </c>
      <c r="B99" s="35">
        <v>-13374.79</v>
      </c>
      <c r="C99" t="s">
        <v>49</v>
      </c>
      <c r="D99" s="17"/>
      <c r="E99" s="26" t="str">
        <f>IF(OR(C99="Transaction",C99="Interests",C99="Misc",C99="Account Transfer"), IF(C99="Transaction", IF(B99&lt;0, "Du no", "Da thanh toan"), IF(C99="Interests", "Lai", IF(C99="Misc", "Phi", IF(C99="Account Transfer", IF(OR(ISNUMBER(SEARCH("Trich lai tra gop the TD", D99)), ISNUMBER(SEARCH("Chuyen lai tra gop con lai sang du no thong thuong khi BadDebt", D99))), IF(B99&lt;0, "Lai tra gop", ""), "" )))))) &amp; " " &amp; IF(C99="Interests", TEXT(EDATE(IF(DAY(A99)&gt;=24, A99, EDATE(A99,-1)), -1),"yyyy-mm"), TEXT(IF(DAY(A99)&gt;=24, A99, EDATE(A99,-1)),"yyyy-mm"))</f>
        <v>Lai 2023-08</v>
      </c>
      <c r="F99" s="27">
        <f>IF(ISNUMBER(B99), ROUND(SUMIFS($B$2:$B$10000, $E$2:$E$10000, E99, $B$2:$B$10000, IF(B99&lt;0, "&lt;0", "&gt;0")), 0), "")</f>
        <v>-1098984</v>
      </c>
      <c r="G99" s="28" t="str">
        <f>IF(F99&gt;0, IF(C99="Transaction", "Da thanh toan", "Duong"), IF(F99&lt;0, IF(C99="Transaction", "Du no", IF(C99="Interests", "Lai phat sinh", IF(C99="Misc", "Phi", IF(C99="Account Transfer", "Lai tra gop", "Am")))), "Bang 0"))</f>
        <v>Lai phat sinh</v>
      </c>
    </row>
    <row r="100" spans="1:7" x14ac:dyDescent="0.3">
      <c r="A100" s="60">
        <v>45162</v>
      </c>
      <c r="B100" s="35">
        <v>-620694.74</v>
      </c>
      <c r="C100" t="s">
        <v>49</v>
      </c>
      <c r="D100" s="17"/>
      <c r="E100" s="26" t="str">
        <f>IF(OR(C100="Transaction",C100="Interests",C100="Misc",C100="Account Transfer"), IF(C100="Transaction", IF(B100&lt;0, "Du no", "Da thanh toan"), IF(C100="Interests", "Lai", IF(C100="Misc", "Phi", IF(C100="Account Transfer", IF(OR(ISNUMBER(SEARCH("Trich lai tra gop the TD", D100)), ISNUMBER(SEARCH("Chuyen lai tra gop con lai sang du no thong thuong khi BadDebt", D100))), IF(B100&lt;0, "Lai tra gop", ""), "" )))))) &amp; " " &amp; IF(C100="Interests", TEXT(EDATE(IF(DAY(A100)&gt;=24, A100, EDATE(A100,-1)), -1),"yyyy-mm"), TEXT(IF(DAY(A100)&gt;=24, A100, EDATE(A100,-1)),"yyyy-mm"))</f>
        <v>Lai 2023-07</v>
      </c>
      <c r="F100" s="27">
        <f>IF(ISNUMBER(B100), ROUND(SUMIFS($B$2:$B$10000, $E$2:$E$10000, E100, $B$2:$B$10000, IF(B100&lt;0, "&lt;0", "&gt;0")), 0), "")</f>
        <v>-1056040</v>
      </c>
      <c r="G100" s="28" t="str">
        <f>IF(F100&gt;0, IF(C100="Transaction", "Da thanh toan", "Duong"), IF(F100&lt;0, IF(C100="Transaction", "Du no", IF(C100="Interests", "Lai phat sinh", IF(C100="Misc", "Phi", IF(C100="Account Transfer", "Lai tra gop", "Am")))), "Bang 0"))</f>
        <v>Lai phat sinh</v>
      </c>
    </row>
    <row r="101" spans="1:7" x14ac:dyDescent="0.3">
      <c r="A101" s="60">
        <v>45162</v>
      </c>
      <c r="B101" s="35">
        <v>-113112.6</v>
      </c>
      <c r="C101" t="s">
        <v>49</v>
      </c>
      <c r="D101" s="25"/>
      <c r="E101" s="26" t="str">
        <f>IF(OR(C101="Transaction",C101="Interests",C101="Misc",C101="Account Transfer"), IF(C101="Transaction", IF(B101&lt;0, "Du no", "Da thanh toan"), IF(C101="Interests", "Lai", IF(C101="Misc", "Phi", IF(C101="Account Transfer", IF(OR(ISNUMBER(SEARCH("Trich lai tra gop the TD", D101)), ISNUMBER(SEARCH("Chuyen lai tra gop con lai sang du no thong thuong khi BadDebt", D101))), IF(B101&lt;0, "Lai tra gop", ""), "" )))))) &amp; " " &amp; IF(C101="Interests", TEXT(EDATE(IF(DAY(A101)&gt;=24, A101, EDATE(A101,-1)), -1),"yyyy-mm"), TEXT(IF(DAY(A101)&gt;=24, A101, EDATE(A101,-1)),"yyyy-mm"))</f>
        <v>Lai 2023-07</v>
      </c>
      <c r="F101" s="27">
        <f>IF(ISNUMBER(B101), ROUND(SUMIFS($B$2:$B$10000, $E$2:$E$10000, E101, $B$2:$B$10000, IF(B101&lt;0, "&lt;0", "&gt;0")), 0), "")</f>
        <v>-1056040</v>
      </c>
      <c r="G101" s="28" t="str">
        <f>IF(F101&gt;0, IF(C101="Transaction", "Da thanh toan", "Duong"), IF(F101&lt;0, IF(C101="Transaction", "Du no", IF(C101="Interests", "Lai phat sinh", IF(C101="Misc", "Phi", IF(C101="Account Transfer", "Lai tra gop", "Am")))), "Bang 0"))</f>
        <v>Lai phat sinh</v>
      </c>
    </row>
    <row r="102" spans="1:7" x14ac:dyDescent="0.3">
      <c r="A102" s="60">
        <v>45162</v>
      </c>
      <c r="B102" s="35">
        <v>-308858.17</v>
      </c>
      <c r="C102" t="s">
        <v>49</v>
      </c>
      <c r="D102" s="17"/>
      <c r="E102" s="26" t="str">
        <f>IF(OR(C102="Transaction",C102="Interests",C102="Misc",C102="Account Transfer"), IF(C102="Transaction", IF(B102&lt;0, "Du no", "Da thanh toan"), IF(C102="Interests", "Lai", IF(C102="Misc", "Phi", IF(C102="Account Transfer", IF(OR(ISNUMBER(SEARCH("Trich lai tra gop the TD", D102)), ISNUMBER(SEARCH("Chuyen lai tra gop con lai sang du no thong thuong khi BadDebt", D102))), IF(B102&lt;0, "Lai tra gop", ""), "" )))))) &amp; " " &amp; IF(C102="Interests", TEXT(EDATE(IF(DAY(A102)&gt;=24, A102, EDATE(A102,-1)), -1),"yyyy-mm"), TEXT(IF(DAY(A102)&gt;=24, A102, EDATE(A102,-1)),"yyyy-mm"))</f>
        <v>Lai 2023-07</v>
      </c>
      <c r="F102" s="27">
        <f>IF(ISNUMBER(B102), ROUND(SUMIFS($B$2:$B$10000, $E$2:$E$10000, E102, $B$2:$B$10000, IF(B102&lt;0, "&lt;0", "&gt;0")), 0), "")</f>
        <v>-1056040</v>
      </c>
      <c r="G102" s="28" t="str">
        <f>IF(F102&gt;0, IF(C102="Transaction", "Da thanh toan", "Duong"), IF(F102&lt;0, IF(C102="Transaction", "Du no", IF(C102="Interests", "Lai phat sinh", IF(C102="Misc", "Phi", IF(C102="Account Transfer", "Lai tra gop", "Am")))), "Bang 0"))</f>
        <v>Lai phat sinh</v>
      </c>
    </row>
    <row r="103" spans="1:7" x14ac:dyDescent="0.3">
      <c r="A103" s="60">
        <v>45162</v>
      </c>
      <c r="B103" s="35">
        <v>-13374.79</v>
      </c>
      <c r="C103" t="s">
        <v>49</v>
      </c>
      <c r="D103" s="17"/>
      <c r="E103" s="26" t="str">
        <f>IF(OR(C103="Transaction",C103="Interests",C103="Misc",C103="Account Transfer"), IF(C103="Transaction", IF(B103&lt;0, "Du no", "Da thanh toan"), IF(C103="Interests", "Lai", IF(C103="Misc", "Phi", IF(C103="Account Transfer", IF(OR(ISNUMBER(SEARCH("Trich lai tra gop the TD", D103)), ISNUMBER(SEARCH("Chuyen lai tra gop con lai sang du no thong thuong khi BadDebt", D103))), IF(B103&lt;0, "Lai tra gop", ""), "" )))))) &amp; " " &amp; IF(C103="Interests", TEXT(EDATE(IF(DAY(A103)&gt;=24, A103, EDATE(A103,-1)), -1),"yyyy-mm"), TEXT(IF(DAY(A103)&gt;=24, A103, EDATE(A103,-1)),"yyyy-mm"))</f>
        <v>Lai 2023-07</v>
      </c>
      <c r="F103" s="27">
        <f>IF(ISNUMBER(B103), ROUND(SUMIFS($B$2:$B$10000, $E$2:$E$10000, E103, $B$2:$B$10000, IF(B103&lt;0, "&lt;0", "&gt;0")), 0), "")</f>
        <v>-1056040</v>
      </c>
      <c r="G103" s="28" t="str">
        <f>IF(F103&gt;0, IF(C103="Transaction", "Da thanh toan", "Duong"), IF(F103&lt;0, IF(C103="Transaction", "Du no", IF(C103="Interests", "Lai phat sinh", IF(C103="Misc", "Phi", IF(C103="Account Transfer", "Lai tra gop", "Am")))), "Bang 0"))</f>
        <v>Lai phat sinh</v>
      </c>
    </row>
    <row r="104" spans="1:7" x14ac:dyDescent="0.3">
      <c r="A104" s="60">
        <v>45131</v>
      </c>
      <c r="B104" s="35">
        <v>-2933.47</v>
      </c>
      <c r="C104" t="s">
        <v>49</v>
      </c>
      <c r="D104" s="17"/>
      <c r="E104" s="26" t="str">
        <f>IF(OR(C104="Transaction",C104="Interests",C104="Misc",C104="Account Transfer"), IF(C104="Transaction", IF(B104&lt;0, "Du no", "Da thanh toan"), IF(C104="Interests", "Lai", IF(C104="Misc", "Phi", IF(C104="Account Transfer", IF(OR(ISNUMBER(SEARCH("Trich lai tra gop the TD", D104)), ISNUMBER(SEARCH("Chuyen lai tra gop con lai sang du no thong thuong khi BadDebt", D104))), IF(B104&lt;0, "Lai tra gop", ""), "" )))))) &amp; " " &amp; IF(C104="Interests", TEXT(EDATE(IF(DAY(A104)&gt;=24, A104, EDATE(A104,-1)), -1),"yyyy-mm"), TEXT(IF(DAY(A104)&gt;=24, A104, EDATE(A104,-1)),"yyyy-mm"))</f>
        <v>Lai 2023-06</v>
      </c>
      <c r="F104" s="27">
        <f>IF(ISNUMBER(B104), ROUND(SUMIFS($B$2:$B$10000, $E$2:$E$10000, E104, $B$2:$B$10000, IF(B104&lt;0, "&lt;0", "&gt;0")), 0), "")</f>
        <v>-594827</v>
      </c>
      <c r="G104" s="28" t="str">
        <f>IF(F104&gt;0, IF(C104="Transaction", "Da thanh toan", "Duong"), IF(F104&lt;0, IF(C104="Transaction", "Du no", IF(C104="Interests", "Lai phat sinh", IF(C104="Misc", "Phi", IF(C104="Account Transfer", "Lai tra gop", "Am")))), "Bang 0"))</f>
        <v>Lai phat sinh</v>
      </c>
    </row>
    <row r="105" spans="1:7" x14ac:dyDescent="0.3">
      <c r="A105" s="60">
        <v>45131</v>
      </c>
      <c r="B105" s="35">
        <v>-14160.45</v>
      </c>
      <c r="C105" t="s">
        <v>49</v>
      </c>
      <c r="D105" s="17"/>
      <c r="E105" s="26" t="str">
        <f>IF(OR(C105="Transaction",C105="Interests",C105="Misc",C105="Account Transfer"), IF(C105="Transaction", IF(B105&lt;0, "Du no", "Da thanh toan"), IF(C105="Interests", "Lai", IF(C105="Misc", "Phi", IF(C105="Account Transfer", IF(OR(ISNUMBER(SEARCH("Trich lai tra gop the TD", D105)), ISNUMBER(SEARCH("Chuyen lai tra gop con lai sang du no thong thuong khi BadDebt", D105))), IF(B105&lt;0, "Lai tra gop", ""), "" )))))) &amp; " " &amp; IF(C105="Interests", TEXT(EDATE(IF(DAY(A105)&gt;=24, A105, EDATE(A105,-1)), -1),"yyyy-mm"), TEXT(IF(DAY(A105)&gt;=24, A105, EDATE(A105,-1)),"yyyy-mm"))</f>
        <v>Lai 2023-06</v>
      </c>
      <c r="F105" s="27">
        <f>IF(ISNUMBER(B105), ROUND(SUMIFS($B$2:$B$10000, $E$2:$E$10000, E105, $B$2:$B$10000, IF(B105&lt;0, "&lt;0", "&gt;0")), 0), "")</f>
        <v>-594827</v>
      </c>
      <c r="G105" s="28" t="str">
        <f>IF(F105&gt;0, IF(C105="Transaction", "Da thanh toan", "Duong"), IF(F105&lt;0, IF(C105="Transaction", "Du no", IF(C105="Interests", "Lai phat sinh", IF(C105="Misc", "Phi", IF(C105="Account Transfer", "Lai tra gop", "Am")))), "Bang 0"))</f>
        <v>Lai phat sinh</v>
      </c>
    </row>
    <row r="106" spans="1:7" x14ac:dyDescent="0.3">
      <c r="A106" s="60">
        <v>45131</v>
      </c>
      <c r="B106" s="35">
        <v>-53881.18</v>
      </c>
      <c r="C106" t="s">
        <v>49</v>
      </c>
      <c r="D106" s="17"/>
      <c r="E106" s="26" t="str">
        <f>IF(OR(C106="Transaction",C106="Interests",C106="Misc",C106="Account Transfer"), IF(C106="Transaction", IF(B106&lt;0, "Du no", "Da thanh toan"), IF(C106="Interests", "Lai", IF(C106="Misc", "Phi", IF(C106="Account Transfer", IF(OR(ISNUMBER(SEARCH("Trich lai tra gop the TD", D106)), ISNUMBER(SEARCH("Chuyen lai tra gop con lai sang du no thong thuong khi BadDebt", D106))), IF(B106&lt;0, "Lai tra gop", ""), "" )))))) &amp; " " &amp; IF(C106="Interests", TEXT(EDATE(IF(DAY(A106)&gt;=24, A106, EDATE(A106,-1)), -1),"yyyy-mm"), TEXT(IF(DAY(A106)&gt;=24, A106, EDATE(A106,-1)),"yyyy-mm"))</f>
        <v>Lai 2023-06</v>
      </c>
      <c r="F106" s="27">
        <f>IF(ISNUMBER(B106), ROUND(SUMIFS($B$2:$B$10000, $E$2:$E$10000, E106, $B$2:$B$10000, IF(B106&lt;0, "&lt;0", "&gt;0")), 0), "")</f>
        <v>-594827</v>
      </c>
      <c r="G106" s="28" t="str">
        <f>IF(F106&gt;0, IF(C106="Transaction", "Da thanh toan", "Duong"), IF(F106&lt;0, IF(C106="Transaction", "Du no", IF(C106="Interests", "Lai phat sinh", IF(C106="Misc", "Phi", IF(C106="Account Transfer", "Lai tra gop", "Am")))), "Bang 0"))</f>
        <v>Lai phat sinh</v>
      </c>
    </row>
    <row r="107" spans="1:7" x14ac:dyDescent="0.3">
      <c r="A107" s="60">
        <v>45131</v>
      </c>
      <c r="B107" s="35">
        <v>-3672.46</v>
      </c>
      <c r="C107" t="s">
        <v>49</v>
      </c>
      <c r="D107" s="17"/>
      <c r="E107" s="26" t="str">
        <f>IF(OR(C107="Transaction",C107="Interests",C107="Misc",C107="Account Transfer"), IF(C107="Transaction", IF(B107&lt;0, "Du no", "Da thanh toan"), IF(C107="Interests", "Lai", IF(C107="Misc", "Phi", IF(C107="Account Transfer", IF(OR(ISNUMBER(SEARCH("Trich lai tra gop the TD", D107)), ISNUMBER(SEARCH("Chuyen lai tra gop con lai sang du no thong thuong khi BadDebt", D107))), IF(B107&lt;0, "Lai tra gop", ""), "" )))))) &amp; " " &amp; IF(C107="Interests", TEXT(EDATE(IF(DAY(A107)&gt;=24, A107, EDATE(A107,-1)), -1),"yyyy-mm"), TEXT(IF(DAY(A107)&gt;=24, A107, EDATE(A107,-1)),"yyyy-mm"))</f>
        <v>Lai 2023-06</v>
      </c>
      <c r="F107" s="27">
        <f>IF(ISNUMBER(B107), ROUND(SUMIFS($B$2:$B$10000, $E$2:$E$10000, E107, $B$2:$B$10000, IF(B107&lt;0, "&lt;0", "&gt;0")), 0), "")</f>
        <v>-594827</v>
      </c>
      <c r="G107" s="28" t="str">
        <f>IF(F107&gt;0, IF(C107="Transaction", "Da thanh toan", "Duong"), IF(F107&lt;0, IF(C107="Transaction", "Du no", IF(C107="Interests", "Lai phat sinh", IF(C107="Misc", "Phi", IF(C107="Account Transfer", "Lai tra gop", "Am")))), "Bang 0"))</f>
        <v>Lai phat sinh</v>
      </c>
    </row>
    <row r="108" spans="1:7" x14ac:dyDescent="0.3">
      <c r="A108" s="60">
        <v>45131</v>
      </c>
      <c r="B108" s="35">
        <v>-53339.22</v>
      </c>
      <c r="C108" t="s">
        <v>49</v>
      </c>
      <c r="D108" s="17"/>
      <c r="E108" s="26" t="str">
        <f>IF(OR(C108="Transaction",C108="Interests",C108="Misc",C108="Account Transfer"), IF(C108="Transaction", IF(B108&lt;0, "Du no", "Da thanh toan"), IF(C108="Interests", "Lai", IF(C108="Misc", "Phi", IF(C108="Account Transfer", IF(OR(ISNUMBER(SEARCH("Trich lai tra gop the TD", D108)), ISNUMBER(SEARCH("Chuyen lai tra gop con lai sang du no thong thuong khi BadDebt", D108))), IF(B108&lt;0, "Lai tra gop", ""), "" )))))) &amp; " " &amp; IF(C108="Interests", TEXT(EDATE(IF(DAY(A108)&gt;=24, A108, EDATE(A108,-1)), -1),"yyyy-mm"), TEXT(IF(DAY(A108)&gt;=24, A108, EDATE(A108,-1)),"yyyy-mm"))</f>
        <v>Lai 2023-06</v>
      </c>
      <c r="F108" s="27">
        <f>IF(ISNUMBER(B108), ROUND(SUMIFS($B$2:$B$10000, $E$2:$E$10000, E108, $B$2:$B$10000, IF(B108&lt;0, "&lt;0", "&gt;0")), 0), "")</f>
        <v>-594827</v>
      </c>
      <c r="G108" s="28" t="str">
        <f>IF(F108&gt;0, IF(C108="Transaction", "Da thanh toan", "Duong"), IF(F108&lt;0, IF(C108="Transaction", "Du no", IF(C108="Interests", "Lai phat sinh", IF(C108="Misc", "Phi", IF(C108="Account Transfer", "Lai tra gop", "Am")))), "Bang 0"))</f>
        <v>Lai phat sinh</v>
      </c>
    </row>
    <row r="109" spans="1:7" x14ac:dyDescent="0.3">
      <c r="A109" s="60">
        <v>45131</v>
      </c>
      <c r="B109" s="35">
        <v>-8870.3799999999992</v>
      </c>
      <c r="C109" t="s">
        <v>49</v>
      </c>
      <c r="D109" s="17"/>
      <c r="E109" s="26" t="str">
        <f>IF(OR(C109="Transaction",C109="Interests",C109="Misc",C109="Account Transfer"), IF(C109="Transaction", IF(B109&lt;0, "Du no", "Da thanh toan"), IF(C109="Interests", "Lai", IF(C109="Misc", "Phi", IF(C109="Account Transfer", IF(OR(ISNUMBER(SEARCH("Trich lai tra gop the TD", D109)), ISNUMBER(SEARCH("Chuyen lai tra gop con lai sang du no thong thuong khi BadDebt", D109))), IF(B109&lt;0, "Lai tra gop", ""), "" )))))) &amp; " " &amp; IF(C109="Interests", TEXT(EDATE(IF(DAY(A109)&gt;=24, A109, EDATE(A109,-1)), -1),"yyyy-mm"), TEXT(IF(DAY(A109)&gt;=24, A109, EDATE(A109,-1)),"yyyy-mm"))</f>
        <v>Lai 2023-06</v>
      </c>
      <c r="F109" s="27">
        <f>IF(ISNUMBER(B109), ROUND(SUMIFS($B$2:$B$10000, $E$2:$E$10000, E109, $B$2:$B$10000, IF(B109&lt;0, "&lt;0", "&gt;0")), 0), "")</f>
        <v>-594827</v>
      </c>
      <c r="G109" s="28" t="str">
        <f>IF(F109&gt;0, IF(C109="Transaction", "Da thanh toan", "Duong"), IF(F109&lt;0, IF(C109="Transaction", "Du no", IF(C109="Interests", "Lai phat sinh", IF(C109="Misc", "Phi", IF(C109="Account Transfer", "Lai tra gop", "Am")))), "Bang 0"))</f>
        <v>Lai phat sinh</v>
      </c>
    </row>
    <row r="110" spans="1:7" x14ac:dyDescent="0.3">
      <c r="A110" s="60">
        <v>45131</v>
      </c>
      <c r="B110" s="35">
        <v>-4992.32</v>
      </c>
      <c r="C110" t="s">
        <v>49</v>
      </c>
      <c r="D110" s="17"/>
      <c r="E110" s="26" t="str">
        <f>IF(OR(C110="Transaction",C110="Interests",C110="Misc",C110="Account Transfer"), IF(C110="Transaction", IF(B110&lt;0, "Du no", "Da thanh toan"), IF(C110="Interests", "Lai", IF(C110="Misc", "Phi", IF(C110="Account Transfer", IF(OR(ISNUMBER(SEARCH("Trich lai tra gop the TD", D110)), ISNUMBER(SEARCH("Chuyen lai tra gop con lai sang du no thong thuong khi BadDebt", D110))), IF(B110&lt;0, "Lai tra gop", ""), "" )))))) &amp; " " &amp; IF(C110="Interests", TEXT(EDATE(IF(DAY(A110)&gt;=24, A110, EDATE(A110,-1)), -1),"yyyy-mm"), TEXT(IF(DAY(A110)&gt;=24, A110, EDATE(A110,-1)),"yyyy-mm"))</f>
        <v>Lai 2023-06</v>
      </c>
      <c r="F110" s="27">
        <f>IF(ISNUMBER(B110), ROUND(SUMIFS($B$2:$B$10000, $E$2:$E$10000, E110, $B$2:$B$10000, IF(B110&lt;0, "&lt;0", "&gt;0")), 0), "")</f>
        <v>-594827</v>
      </c>
      <c r="G110" s="28" t="str">
        <f>IF(F110&gt;0, IF(C110="Transaction", "Da thanh toan", "Duong"), IF(F110&lt;0, IF(C110="Transaction", "Du no", IF(C110="Interests", "Lai phat sinh", IF(C110="Misc", "Phi", IF(C110="Account Transfer", "Lai tra gop", "Am")))), "Bang 0"))</f>
        <v>Lai phat sinh</v>
      </c>
    </row>
    <row r="111" spans="1:7" x14ac:dyDescent="0.3">
      <c r="A111" s="60">
        <v>45131</v>
      </c>
      <c r="B111" s="35">
        <v>-12931.48</v>
      </c>
      <c r="C111" t="s">
        <v>49</v>
      </c>
      <c r="D111" s="17"/>
      <c r="E111" s="26" t="str">
        <f>IF(OR(C111="Transaction",C111="Interests",C111="Misc",C111="Account Transfer"), IF(C111="Transaction", IF(B111&lt;0, "Du no", "Da thanh toan"), IF(C111="Interests", "Lai", IF(C111="Misc", "Phi", IF(C111="Account Transfer", IF(OR(ISNUMBER(SEARCH("Trich lai tra gop the TD", D111)), ISNUMBER(SEARCH("Chuyen lai tra gop con lai sang du no thong thuong khi BadDebt", D111))), IF(B111&lt;0, "Lai tra gop", ""), "" )))))) &amp; " " &amp; IF(C111="Interests", TEXT(EDATE(IF(DAY(A111)&gt;=24, A111, EDATE(A111,-1)), -1),"yyyy-mm"), TEXT(IF(DAY(A111)&gt;=24, A111, EDATE(A111,-1)),"yyyy-mm"))</f>
        <v>Lai 2023-06</v>
      </c>
      <c r="F111" s="27">
        <f>IF(ISNUMBER(B111), ROUND(SUMIFS($B$2:$B$10000, $E$2:$E$10000, E111, $B$2:$B$10000, IF(B111&lt;0, "&lt;0", "&gt;0")), 0), "")</f>
        <v>-594827</v>
      </c>
      <c r="G111" s="28" t="str">
        <f>IF(F111&gt;0, IF(C111="Transaction", "Da thanh toan", "Duong"), IF(F111&lt;0, IF(C111="Transaction", "Du no", IF(C111="Interests", "Lai phat sinh", IF(C111="Misc", "Phi", IF(C111="Account Transfer", "Lai tra gop", "Am")))), "Bang 0"))</f>
        <v>Lai phat sinh</v>
      </c>
    </row>
    <row r="112" spans="1:7" x14ac:dyDescent="0.3">
      <c r="A112" s="60">
        <v>45131</v>
      </c>
      <c r="B112" s="35">
        <v>-7334.56</v>
      </c>
      <c r="C112" t="s">
        <v>49</v>
      </c>
      <c r="D112" s="17"/>
      <c r="E112" s="26" t="str">
        <f>IF(OR(C112="Transaction",C112="Interests",C112="Misc",C112="Account Transfer"), IF(C112="Transaction", IF(B112&lt;0, "Du no", "Da thanh toan"), IF(C112="Interests", "Lai", IF(C112="Misc", "Phi", IF(C112="Account Transfer", IF(OR(ISNUMBER(SEARCH("Trich lai tra gop the TD", D112)), ISNUMBER(SEARCH("Chuyen lai tra gop con lai sang du no thong thuong khi BadDebt", D112))), IF(B112&lt;0, "Lai tra gop", ""), "" )))))) &amp; " " &amp; IF(C112="Interests", TEXT(EDATE(IF(DAY(A112)&gt;=24, A112, EDATE(A112,-1)), -1),"yyyy-mm"), TEXT(IF(DAY(A112)&gt;=24, A112, EDATE(A112,-1)),"yyyy-mm"))</f>
        <v>Lai 2023-06</v>
      </c>
      <c r="F112" s="27">
        <f>IF(ISNUMBER(B112), ROUND(SUMIFS($B$2:$B$10000, $E$2:$E$10000, E112, $B$2:$B$10000, IF(B112&lt;0, "&lt;0", "&gt;0")), 0), "")</f>
        <v>-594827</v>
      </c>
      <c r="G112" s="28" t="str">
        <f>IF(F112&gt;0, IF(C112="Transaction", "Da thanh toan", "Duong"), IF(F112&lt;0, IF(C112="Transaction", "Du no", IF(C112="Interests", "Lai phat sinh", IF(C112="Misc", "Phi", IF(C112="Account Transfer", "Lai tra gop", "Am")))), "Bang 0"))</f>
        <v>Lai phat sinh</v>
      </c>
    </row>
    <row r="113" spans="1:7" x14ac:dyDescent="0.3">
      <c r="A113" s="60">
        <v>45131</v>
      </c>
      <c r="B113" s="35">
        <v>-260291.34</v>
      </c>
      <c r="C113" t="s">
        <v>49</v>
      </c>
      <c r="D113" s="17"/>
      <c r="E113" s="26" t="str">
        <f>IF(OR(C113="Transaction",C113="Interests",C113="Misc",C113="Account Transfer"), IF(C113="Transaction", IF(B113&lt;0, "Du no", "Da thanh toan"), IF(C113="Interests", "Lai", IF(C113="Misc", "Phi", IF(C113="Account Transfer", IF(OR(ISNUMBER(SEARCH("Trich lai tra gop the TD", D113)), ISNUMBER(SEARCH("Chuyen lai tra gop con lai sang du no thong thuong khi BadDebt", D113))), IF(B113&lt;0, "Lai tra gop", ""), "" )))))) &amp; " " &amp; IF(C113="Interests", TEXT(EDATE(IF(DAY(A113)&gt;=24, A113, EDATE(A113,-1)), -1),"yyyy-mm"), TEXT(IF(DAY(A113)&gt;=24, A113, EDATE(A113,-1)),"yyyy-mm"))</f>
        <v>Lai 2023-06</v>
      </c>
      <c r="F113" s="27">
        <f>IF(ISNUMBER(B113), ROUND(SUMIFS($B$2:$B$10000, $E$2:$E$10000, E113, $B$2:$B$10000, IF(B113&lt;0, "&lt;0", "&gt;0")), 0), "")</f>
        <v>-594827</v>
      </c>
      <c r="G113" s="28" t="str">
        <f>IF(F113&gt;0, IF(C113="Transaction", "Da thanh toan", "Duong"), IF(F113&lt;0, IF(C113="Transaction", "Du no", IF(C113="Interests", "Lai phat sinh", IF(C113="Misc", "Phi", IF(C113="Account Transfer", "Lai tra gop", "Am")))), "Bang 0"))</f>
        <v>Lai phat sinh</v>
      </c>
    </row>
    <row r="114" spans="1:7" x14ac:dyDescent="0.3">
      <c r="A114" s="60">
        <v>45131</v>
      </c>
      <c r="B114" s="35">
        <v>-47434.31</v>
      </c>
      <c r="C114" t="s">
        <v>49</v>
      </c>
      <c r="D114" s="17"/>
      <c r="E114" s="26" t="str">
        <f>IF(OR(C114="Transaction",C114="Interests",C114="Misc",C114="Account Transfer"), IF(C114="Transaction", IF(B114&lt;0, "Du no", "Da thanh toan"), IF(C114="Interests", "Lai", IF(C114="Misc", "Phi", IF(C114="Account Transfer", IF(OR(ISNUMBER(SEARCH("Trich lai tra gop the TD", D114)), ISNUMBER(SEARCH("Chuyen lai tra gop con lai sang du no thong thuong khi BadDebt", D114))), IF(B114&lt;0, "Lai tra gop", ""), "" )))))) &amp; " " &amp; IF(C114="Interests", TEXT(EDATE(IF(DAY(A114)&gt;=24, A114, EDATE(A114,-1)), -1),"yyyy-mm"), TEXT(IF(DAY(A114)&gt;=24, A114, EDATE(A114,-1)),"yyyy-mm"))</f>
        <v>Lai 2023-06</v>
      </c>
      <c r="F114" s="27">
        <f>IF(ISNUMBER(B114), ROUND(SUMIFS($B$2:$B$10000, $E$2:$E$10000, E114, $B$2:$B$10000, IF(B114&lt;0, "&lt;0", "&gt;0")), 0), "")</f>
        <v>-594827</v>
      </c>
      <c r="G114" s="28" t="str">
        <f>IF(F114&gt;0, IF(C114="Transaction", "Da thanh toan", "Duong"), IF(F114&lt;0, IF(C114="Transaction", "Du no", IF(C114="Interests", "Lai phat sinh", IF(C114="Misc", "Phi", IF(C114="Account Transfer", "Lai tra gop", "Am")))), "Bang 0"))</f>
        <v>Lai phat sinh</v>
      </c>
    </row>
    <row r="115" spans="1:7" x14ac:dyDescent="0.3">
      <c r="A115" s="60">
        <v>45131</v>
      </c>
      <c r="B115" s="35">
        <v>-119377.49</v>
      </c>
      <c r="C115" t="s">
        <v>49</v>
      </c>
      <c r="D115" s="25"/>
      <c r="E115" s="26" t="str">
        <f>IF(OR(C115="Transaction",C115="Interests",C115="Misc",C115="Account Transfer"), IF(C115="Transaction", IF(B115&lt;0, "Du no", "Da thanh toan"), IF(C115="Interests", "Lai", IF(C115="Misc", "Phi", IF(C115="Account Transfer", IF(OR(ISNUMBER(SEARCH("Trich lai tra gop the TD", D115)), ISNUMBER(SEARCH("Chuyen lai tra gop con lai sang du no thong thuong khi BadDebt", D115))), IF(B115&lt;0, "Lai tra gop", ""), "" )))))) &amp; " " &amp; IF(C115="Interests", TEXT(EDATE(IF(DAY(A115)&gt;=24, A115, EDATE(A115,-1)), -1),"yyyy-mm"), TEXT(IF(DAY(A115)&gt;=24, A115, EDATE(A115,-1)),"yyyy-mm"))</f>
        <v>Lai 2023-06</v>
      </c>
      <c r="F115" s="27">
        <f>IF(ISNUMBER(B115), ROUND(SUMIFS($B$2:$B$10000, $E$2:$E$10000, E115, $B$2:$B$10000, IF(B115&lt;0, "&lt;0", "&gt;0")), 0), "")</f>
        <v>-594827</v>
      </c>
      <c r="G115" s="28" t="str">
        <f>IF(F115&gt;0, IF(C115="Transaction", "Da thanh toan", "Duong"), IF(F115&lt;0, IF(C115="Transaction", "Du no", IF(C115="Interests", "Lai phat sinh", IF(C115="Misc", "Phi", IF(C115="Account Transfer", "Lai tra gop", "Am")))), "Bang 0"))</f>
        <v>Lai phat sinh</v>
      </c>
    </row>
    <row r="116" spans="1:7" x14ac:dyDescent="0.3">
      <c r="A116" s="60">
        <v>45131</v>
      </c>
      <c r="B116" s="35">
        <v>-5608.78</v>
      </c>
      <c r="C116" t="s">
        <v>49</v>
      </c>
      <c r="D116" s="17"/>
      <c r="E116" s="26" t="str">
        <f>IF(OR(C116="Transaction",C116="Interests",C116="Misc",C116="Account Transfer"), IF(C116="Transaction", IF(B116&lt;0, "Du no", "Da thanh toan"), IF(C116="Interests", "Lai", IF(C116="Misc", "Phi", IF(C116="Account Transfer", IF(OR(ISNUMBER(SEARCH("Trich lai tra gop the TD", D116)), ISNUMBER(SEARCH("Chuyen lai tra gop con lai sang du no thong thuong khi BadDebt", D116))), IF(B116&lt;0, "Lai tra gop", ""), "" )))))) &amp; " " &amp; IF(C116="Interests", TEXT(EDATE(IF(DAY(A116)&gt;=24, A116, EDATE(A116,-1)), -1),"yyyy-mm"), TEXT(IF(DAY(A116)&gt;=24, A116, EDATE(A116,-1)),"yyyy-mm"))</f>
        <v>Lai 2023-06</v>
      </c>
      <c r="F116" s="27">
        <f>IF(ISNUMBER(B116), ROUND(SUMIFS($B$2:$B$10000, $E$2:$E$10000, E116, $B$2:$B$10000, IF(B116&lt;0, "&lt;0", "&gt;0")), 0), "")</f>
        <v>-594827</v>
      </c>
      <c r="G116" s="28" t="str">
        <f>IF(F116&gt;0, IF(C116="Transaction", "Da thanh toan", "Duong"), IF(F116&lt;0, IF(C116="Transaction", "Du no", IF(C116="Interests", "Lai phat sinh", IF(C116="Misc", "Phi", IF(C116="Account Transfer", "Lai tra gop", "Am")))), "Bang 0"))</f>
        <v>Lai phat sinh</v>
      </c>
    </row>
    <row r="117" spans="1:7" x14ac:dyDescent="0.3">
      <c r="A117" s="60">
        <v>45118</v>
      </c>
      <c r="B117" s="35">
        <v>11476791.65</v>
      </c>
      <c r="C117" t="s">
        <v>753</v>
      </c>
      <c r="D117" s="17" t="s">
        <v>754</v>
      </c>
      <c r="E117" s="26" t="str">
        <f>IF(OR(C117="Transaction",C117="Interests",C117="Misc",C117="Account Transfer"), IF(C117="Transaction", IF(B117&lt;0, "Du no", "Da thanh toan"), IF(C117="Interests", "Lai", IF(C117="Misc", "Phi", IF(C117="Account Transfer", IF(OR(ISNUMBER(SEARCH("Trich lai tra gop the TD", D117)), ISNUMBER(SEARCH("Chuyen lai tra gop con lai sang du no thong thuong khi BadDebt", D117))), IF(B117&lt;0, "Lai tra gop", ""), "" )))))) &amp; " " &amp; IF(C117="Interests", TEXT(EDATE(IF(DAY(A117)&gt;=24, A117, EDATE(A117,-1)), -1),"yyyy-mm"), TEXT(IF(DAY(A117)&gt;=24, A117, EDATE(A117,-1)),"yyyy-mm"))</f>
        <v xml:space="preserve"> 2023-06</v>
      </c>
      <c r="F117" s="27">
        <f>IF(ISNUMBER(B117), ROUND(SUMIFS($B$2:$B$10000, $E$2:$E$10000, E117, $B$2:$B$10000, IF(B117&lt;0, "&lt;0", "&gt;0")), 0), "")</f>
        <v>16895792</v>
      </c>
      <c r="G117" s="28" t="str">
        <f>IF(F117&gt;0, IF(C117="Transaction", "Da thanh toan", "Duong"), IF(F117&lt;0, IF(C117="Transaction", "Du no", IF(C117="Interests", "Lai phat sinh", IF(C117="Misc", "Phi", IF(C117="Account Transfer", "Lai tra gop", "Am")))), "Bang 0"))</f>
        <v>Duong</v>
      </c>
    </row>
    <row r="118" spans="1:7" x14ac:dyDescent="0.3">
      <c r="A118" s="60">
        <v>45118</v>
      </c>
      <c r="B118" s="35">
        <v>604041.67000000004</v>
      </c>
      <c r="C118" t="s">
        <v>753</v>
      </c>
      <c r="D118" s="17" t="s">
        <v>755</v>
      </c>
      <c r="E118" s="26" t="str">
        <f>IF(OR(C118="Transaction",C118="Interests",C118="Misc",C118="Account Transfer"), IF(C118="Transaction", IF(B118&lt;0, "Du no", "Da thanh toan"), IF(C118="Interests", "Lai", IF(C118="Misc", "Phi", IF(C118="Account Transfer", IF(OR(ISNUMBER(SEARCH("Trich lai tra gop the TD", D118)), ISNUMBER(SEARCH("Chuyen lai tra gop con lai sang du no thong thuong khi BadDebt", D118))), IF(B118&lt;0, "Lai tra gop", ""), "" )))))) &amp; " " &amp; IF(C118="Interests", TEXT(EDATE(IF(DAY(A118)&gt;=24, A118, EDATE(A118,-1)), -1),"yyyy-mm"), TEXT(IF(DAY(A118)&gt;=24, A118, EDATE(A118,-1)),"yyyy-mm"))</f>
        <v xml:space="preserve"> 2023-06</v>
      </c>
      <c r="F118" s="27">
        <f>IF(ISNUMBER(B118), ROUND(SUMIFS($B$2:$B$10000, $E$2:$E$10000, E118, $B$2:$B$10000, IF(B118&lt;0, "&lt;0", "&gt;0")), 0), "")</f>
        <v>16895792</v>
      </c>
      <c r="G118" s="28" t="str">
        <f>IF(F118&gt;0, IF(C118="Transaction", "Da thanh toan", "Duong"), IF(F118&lt;0, IF(C118="Transaction", "Du no", IF(C118="Interests", "Lai phat sinh", IF(C118="Misc", "Phi", IF(C118="Account Transfer", "Lai tra gop", "Am")))), "Bang 0"))</f>
        <v>Duong</v>
      </c>
    </row>
    <row r="119" spans="1:7" x14ac:dyDescent="0.3">
      <c r="A119" s="60">
        <v>45118</v>
      </c>
      <c r="B119" s="35">
        <v>289940</v>
      </c>
      <c r="C119" t="s">
        <v>753</v>
      </c>
      <c r="D119" s="17" t="s">
        <v>756</v>
      </c>
      <c r="E119" s="26" t="str">
        <f>IF(OR(C119="Transaction",C119="Interests",C119="Misc",C119="Account Transfer"), IF(C119="Transaction", IF(B119&lt;0, "Du no", "Da thanh toan"), IF(C119="Interests", "Lai", IF(C119="Misc", "Phi", IF(C119="Account Transfer", IF(OR(ISNUMBER(SEARCH("Trich lai tra gop the TD", D119)), ISNUMBER(SEARCH("Chuyen lai tra gop con lai sang du no thong thuong khi BadDebt", D119))), IF(B119&lt;0, "Lai tra gop", ""), "" )))))) &amp; " " &amp; IF(C119="Interests", TEXT(EDATE(IF(DAY(A119)&gt;=24, A119, EDATE(A119,-1)), -1),"yyyy-mm"), TEXT(IF(DAY(A119)&gt;=24, A119, EDATE(A119,-1)),"yyyy-mm"))</f>
        <v xml:space="preserve"> 2023-06</v>
      </c>
      <c r="F119" s="27">
        <f>IF(ISNUMBER(B119), ROUND(SUMIFS($B$2:$B$10000, $E$2:$E$10000, E119, $B$2:$B$10000, IF(B119&lt;0, "&lt;0", "&gt;0")), 0), "")</f>
        <v>16895792</v>
      </c>
      <c r="G119" s="28" t="str">
        <f>IF(F119&gt;0, IF(C119="Transaction", "Da thanh toan", "Duong"), IF(F119&lt;0, IF(C119="Transaction", "Du no", IF(C119="Interests", "Lai phat sinh", IF(C119="Misc", "Phi", IF(C119="Account Transfer", "Lai tra gop", "Am")))), "Bang 0"))</f>
        <v>Duong</v>
      </c>
    </row>
    <row r="120" spans="1:7" x14ac:dyDescent="0.3">
      <c r="A120" s="60">
        <v>45118</v>
      </c>
      <c r="B120" s="35">
        <v>-225011.19</v>
      </c>
      <c r="C120" t="s">
        <v>50</v>
      </c>
      <c r="D120" s="17"/>
      <c r="E120" s="26" t="str">
        <f>IF(OR(C120="Transaction",C120="Interests",C120="Misc",C120="Account Transfer"), IF(C120="Transaction", IF(B120&lt;0, "Du no", "Da thanh toan"), IF(C120="Interests", "Lai", IF(C120="Misc", "Phi", IF(C120="Account Transfer", IF(OR(ISNUMBER(SEARCH("Trich lai tra gop the TD", D120)), ISNUMBER(SEARCH("Chuyen lai tra gop con lai sang du no thong thuong khi BadDebt", D120))), IF(B120&lt;0, "Lai tra gop", ""), "" )))))) &amp; " " &amp; IF(C120="Interests", TEXT(EDATE(IF(DAY(A120)&gt;=24, A120, EDATE(A120,-1)), -1),"yyyy-mm"), TEXT(IF(DAY(A120)&gt;=24, A120, EDATE(A120,-1)),"yyyy-mm"))</f>
        <v>Phi 2023-06</v>
      </c>
      <c r="F120" s="27">
        <f>IF(ISNUMBER(B120), ROUND(SUMIFS($B$2:$B$10000, $E$2:$E$10000, E120, $B$2:$B$10000, IF(B120&lt;0, "&lt;0", "&gt;0")), 0), "")</f>
        <v>-225011</v>
      </c>
      <c r="G120" s="28" t="str">
        <f>IF(F120&gt;0, IF(C120="Transaction", "Da thanh toan", "Duong"), IF(F120&lt;0, IF(C120="Transaction", "Du no", IF(C120="Interests", "Lai phat sinh", IF(C120="Misc", "Phi", IF(C120="Account Transfer", "Lai tra gop", "Am")))), "Bang 0"))</f>
        <v>Phi</v>
      </c>
    </row>
    <row r="121" spans="1:7" x14ac:dyDescent="0.3">
      <c r="A121" s="60">
        <v>45118</v>
      </c>
      <c r="B121" s="35">
        <v>-634989.87</v>
      </c>
      <c r="C121" t="s">
        <v>753</v>
      </c>
      <c r="D121" s="17" t="s">
        <v>757</v>
      </c>
      <c r="E121" s="26" t="str">
        <f>IF(OR(C121="Transaction",C121="Interests",C121="Misc",C121="Account Transfer"), IF(C121="Transaction", IF(B121&lt;0, "Du no", "Da thanh toan"), IF(C121="Interests", "Lai", IF(C121="Misc", "Phi", IF(C121="Account Transfer", IF(OR(ISNUMBER(SEARCH("Trich lai tra gop the TD", D121)), ISNUMBER(SEARCH("Chuyen lai tra gop con lai sang du no thong thuong khi BadDebt", D121))), IF(B121&lt;0, "Lai tra gop", ""), "" )))))) &amp; " " &amp; IF(C121="Interests", TEXT(EDATE(IF(DAY(A121)&gt;=24, A121, EDATE(A121,-1)), -1),"yyyy-mm"), TEXT(IF(DAY(A121)&gt;=24, A121, EDATE(A121,-1)),"yyyy-mm"))</f>
        <v xml:space="preserve"> 2023-06</v>
      </c>
      <c r="F121" s="27">
        <f>IF(ISNUMBER(B121), ROUND(SUMIFS($B$2:$B$10000, $E$2:$E$10000, E121, $B$2:$B$10000, IF(B121&lt;0, "&lt;0", "&gt;0")), 0), "")</f>
        <v>-16895792</v>
      </c>
      <c r="G121" s="28" t="str">
        <f>IF(F121&gt;0, IF(C121="Transaction", "Da thanh toan", "Duong"), IF(F121&lt;0, IF(C121="Transaction", "Du no", IF(C121="Interests", "Lai phat sinh", IF(C121="Misc", "Phi", IF(C121="Account Transfer", "Lai tra gop", "Am")))), "Bang 0"))</f>
        <v>Lai tra gop</v>
      </c>
    </row>
    <row r="122" spans="1:7" x14ac:dyDescent="0.3">
      <c r="A122" s="60">
        <v>45118</v>
      </c>
      <c r="B122" s="35">
        <v>-3020208.35</v>
      </c>
      <c r="C122" t="s">
        <v>753</v>
      </c>
      <c r="D122" s="17" t="s">
        <v>758</v>
      </c>
      <c r="E122" s="26" t="str">
        <f>IF(OR(C122="Transaction",C122="Interests",C122="Misc",C122="Account Transfer"), IF(C122="Transaction", IF(B122&lt;0, "Du no", "Da thanh toan"), IF(C122="Interests", "Lai", IF(C122="Misc", "Phi", IF(C122="Account Transfer", IF(OR(ISNUMBER(SEARCH("Trich lai tra gop the TD", D122)), ISNUMBER(SEARCH("Chuyen lai tra gop con lai sang du no thong thuong khi BadDebt", D122))), IF(B122&lt;0, "Lai tra gop", ""), "" )))))) &amp; " " &amp; IF(C122="Interests", TEXT(EDATE(IF(DAY(A122)&gt;=24, A122, EDATE(A122,-1)), -1),"yyyy-mm"), TEXT(IF(DAY(A122)&gt;=24, A122, EDATE(A122,-1)),"yyyy-mm"))</f>
        <v xml:space="preserve"> 2023-06</v>
      </c>
      <c r="F122" s="27">
        <f>IF(ISNUMBER(B122), ROUND(SUMIFS($B$2:$B$10000, $E$2:$E$10000, E122, $B$2:$B$10000, IF(B122&lt;0, "&lt;0", "&gt;0")), 0), "")</f>
        <v>-16895792</v>
      </c>
      <c r="G122" s="28" t="str">
        <f>IF(F122&gt;0, IF(C122="Transaction", "Da thanh toan", "Duong"), IF(F122&lt;0, IF(C122="Transaction", "Du no", IF(C122="Interests", "Lai phat sinh", IF(C122="Misc", "Phi", IF(C122="Account Transfer", "Lai tra gop", "Am")))), "Bang 0"))</f>
        <v>Lai tra gop</v>
      </c>
    </row>
    <row r="123" spans="1:7" x14ac:dyDescent="0.3">
      <c r="A123" s="60">
        <v>45118</v>
      </c>
      <c r="B123" s="35">
        <v>-11476791.65</v>
      </c>
      <c r="C123" t="s">
        <v>753</v>
      </c>
      <c r="D123" s="17" t="s">
        <v>754</v>
      </c>
      <c r="E123" s="26" t="str">
        <f>IF(OR(C123="Transaction",C123="Interests",C123="Misc",C123="Account Transfer"), IF(C123="Transaction", IF(B123&lt;0, "Du no", "Da thanh toan"), IF(C123="Interests", "Lai", IF(C123="Misc", "Phi", IF(C123="Account Transfer", IF(OR(ISNUMBER(SEARCH("Trich lai tra gop the TD", D123)), ISNUMBER(SEARCH("Chuyen lai tra gop con lai sang du no thong thuong khi BadDebt", D123))), IF(B123&lt;0, "Lai tra gop", ""), "" )))))) &amp; " " &amp; IF(C123="Interests", TEXT(EDATE(IF(DAY(A123)&gt;=24, A123, EDATE(A123,-1)), -1),"yyyy-mm"), TEXT(IF(DAY(A123)&gt;=24, A123, EDATE(A123,-1)),"yyyy-mm"))</f>
        <v xml:space="preserve"> 2023-06</v>
      </c>
      <c r="F123" s="27">
        <f>IF(ISNUMBER(B123), ROUND(SUMIFS($B$2:$B$10000, $E$2:$E$10000, E123, $B$2:$B$10000, IF(B123&lt;0, "&lt;0", "&gt;0")), 0), "")</f>
        <v>-16895792</v>
      </c>
      <c r="G123" s="28" t="str">
        <f>IF(F123&gt;0, IF(C123="Transaction", "Da thanh toan", "Duong"), IF(F123&lt;0, IF(C123="Transaction", "Du no", IF(C123="Interests", "Lai phat sinh", IF(C123="Misc", "Phi", IF(C123="Account Transfer", "Lai tra gop", "Am")))), "Bang 0"))</f>
        <v>Lai tra gop</v>
      </c>
    </row>
    <row r="124" spans="1:7" x14ac:dyDescent="0.3">
      <c r="A124" s="60">
        <v>45118</v>
      </c>
      <c r="B124" s="35">
        <v>-5508860</v>
      </c>
      <c r="C124" t="s">
        <v>753</v>
      </c>
      <c r="D124" s="17" t="s">
        <v>759</v>
      </c>
      <c r="E124" s="26" t="str">
        <f>IF(OR(C124="Transaction",C124="Interests",C124="Misc",C124="Account Transfer"), IF(C124="Transaction", IF(B124&lt;0, "Du no", "Da thanh toan"), IF(C124="Interests", "Lai", IF(C124="Misc", "Phi", IF(C124="Account Transfer", IF(OR(ISNUMBER(SEARCH("Trich lai tra gop the TD", D124)), ISNUMBER(SEARCH("Chuyen lai tra gop con lai sang du no thong thuong khi BadDebt", D124))), IF(B124&lt;0, "Lai tra gop", ""), "" )))))) &amp; " " &amp; IF(C124="Interests", TEXT(EDATE(IF(DAY(A124)&gt;=24, A124, EDATE(A124,-1)), -1),"yyyy-mm"), TEXT(IF(DAY(A124)&gt;=24, A124, EDATE(A124,-1)),"yyyy-mm"))</f>
        <v>Lai tra gop 2023-06</v>
      </c>
      <c r="F124" s="27">
        <f>IF(ISNUMBER(B124), ROUND(SUMIFS($B$2:$B$10000, $E$2:$E$10000, E124, $B$2:$B$10000, IF(B124&lt;0, "&lt;0", "&gt;0")), 0), "")</f>
        <v>-5508860</v>
      </c>
      <c r="G124" s="28" t="str">
        <f>IF(F124&gt;0, IF(C124="Transaction", "Da thanh toan", "Duong"), IF(F124&lt;0, IF(C124="Transaction", "Du no", IF(C124="Interests", "Lai phat sinh", IF(C124="Misc", "Phi", IF(C124="Account Transfer", "Lai tra gop", "Am")))), "Bang 0"))</f>
        <v>Lai tra gop</v>
      </c>
    </row>
    <row r="125" spans="1:7" x14ac:dyDescent="0.3">
      <c r="A125" s="60">
        <v>45118</v>
      </c>
      <c r="B125" s="35">
        <v>-869820</v>
      </c>
      <c r="C125" t="s">
        <v>753</v>
      </c>
      <c r="D125" s="17" t="s">
        <v>760</v>
      </c>
      <c r="E125" s="26" t="str">
        <f>IF(OR(C125="Transaction",C125="Interests",C125="Misc",C125="Account Transfer"), IF(C125="Transaction", IF(B125&lt;0, "Du no", "Da thanh toan"), IF(C125="Interests", "Lai", IF(C125="Misc", "Phi", IF(C125="Account Transfer", IF(OR(ISNUMBER(SEARCH("Trich lai tra gop the TD", D125)), ISNUMBER(SEARCH("Chuyen lai tra gop con lai sang du no thong thuong khi BadDebt", D125))), IF(B125&lt;0, "Lai tra gop", ""), "" )))))) &amp; " " &amp; IF(C125="Interests", TEXT(EDATE(IF(DAY(A125)&gt;=24, A125, EDATE(A125,-1)), -1),"yyyy-mm"), TEXT(IF(DAY(A125)&gt;=24, A125, EDATE(A125,-1)),"yyyy-mm"))</f>
        <v xml:space="preserve"> 2023-06</v>
      </c>
      <c r="F125" s="27">
        <f>IF(ISNUMBER(B125), ROUND(SUMIFS($B$2:$B$10000, $E$2:$E$10000, E125, $B$2:$B$10000, IF(B125&lt;0, "&lt;0", "&gt;0")), 0), "")</f>
        <v>-16895792</v>
      </c>
      <c r="G125" s="28" t="str">
        <f>IF(F125&gt;0, IF(C125="Transaction", "Da thanh toan", "Duong"), IF(F125&lt;0, IF(C125="Transaction", "Du no", IF(C125="Interests", "Lai phat sinh", IF(C125="Misc", "Phi", IF(C125="Account Transfer", "Lai tra gop", "Am")))), "Bang 0"))</f>
        <v>Lai tra gop</v>
      </c>
    </row>
    <row r="126" spans="1:7" x14ac:dyDescent="0.3">
      <c r="A126" s="60">
        <v>45118</v>
      </c>
      <c r="B126" s="35">
        <v>634989.87</v>
      </c>
      <c r="C126" t="s">
        <v>753</v>
      </c>
      <c r="D126" s="17" t="s">
        <v>757</v>
      </c>
      <c r="E126" s="26" t="str">
        <f>IF(OR(C126="Transaction",C126="Interests",C126="Misc",C126="Account Transfer"), IF(C126="Transaction", IF(B126&lt;0, "Du no", "Da thanh toan"), IF(C126="Interests", "Lai", IF(C126="Misc", "Phi", IF(C126="Account Transfer", IF(OR(ISNUMBER(SEARCH("Trich lai tra gop the TD", D126)), ISNUMBER(SEARCH("Chuyen lai tra gop con lai sang du no thong thuong khi BadDebt", D126))), IF(B126&lt;0, "Lai tra gop", ""), "" )))))) &amp; " " &amp; IF(C126="Interests", TEXT(EDATE(IF(DAY(A126)&gt;=24, A126, EDATE(A126,-1)), -1),"yyyy-mm"), TEXT(IF(DAY(A126)&gt;=24, A126, EDATE(A126,-1)),"yyyy-mm"))</f>
        <v xml:space="preserve"> 2023-06</v>
      </c>
      <c r="F126" s="27">
        <f>IF(ISNUMBER(B126), ROUND(SUMIFS($B$2:$B$10000, $E$2:$E$10000, E126, $B$2:$B$10000, IF(B126&lt;0, "&lt;0", "&gt;0")), 0), "")</f>
        <v>16895792</v>
      </c>
      <c r="G126" s="28" t="str">
        <f>IF(F126&gt;0, IF(C126="Transaction", "Da thanh toan", "Duong"), IF(F126&lt;0, IF(C126="Transaction", "Du no", IF(C126="Interests", "Lai phat sinh", IF(C126="Misc", "Phi", IF(C126="Account Transfer", "Lai tra gop", "Am")))), "Bang 0"))</f>
        <v>Duong</v>
      </c>
    </row>
    <row r="127" spans="1:7" x14ac:dyDescent="0.3">
      <c r="A127" s="60">
        <v>45118</v>
      </c>
      <c r="B127" s="35">
        <v>-604041.67000000004</v>
      </c>
      <c r="C127" t="s">
        <v>753</v>
      </c>
      <c r="D127" s="17" t="s">
        <v>755</v>
      </c>
      <c r="E127" s="26" t="str">
        <f>IF(OR(C127="Transaction",C127="Interests",C127="Misc",C127="Account Transfer"), IF(C127="Transaction", IF(B127&lt;0, "Du no", "Da thanh toan"), IF(C127="Interests", "Lai", IF(C127="Misc", "Phi", IF(C127="Account Transfer", IF(OR(ISNUMBER(SEARCH("Trich lai tra gop the TD", D127)), ISNUMBER(SEARCH("Chuyen lai tra gop con lai sang du no thong thuong khi BadDebt", D127))), IF(B127&lt;0, "Lai tra gop", ""), "" )))))) &amp; " " &amp; IF(C127="Interests", TEXT(EDATE(IF(DAY(A127)&gt;=24, A127, EDATE(A127,-1)), -1),"yyyy-mm"), TEXT(IF(DAY(A127)&gt;=24, A127, EDATE(A127,-1)),"yyyy-mm"))</f>
        <v xml:space="preserve"> 2023-06</v>
      </c>
      <c r="F127" s="27">
        <f>IF(ISNUMBER(B127), ROUND(SUMIFS($B$2:$B$10000, $E$2:$E$10000, E127, $B$2:$B$10000, IF(B127&lt;0, "&lt;0", "&gt;0")), 0), "")</f>
        <v>-16895792</v>
      </c>
      <c r="G127" s="28" t="str">
        <f>IF(F127&gt;0, IF(C127="Transaction", "Da thanh toan", "Duong"), IF(F127&lt;0, IF(C127="Transaction", "Du no", IF(C127="Interests", "Lai phat sinh", IF(C127="Misc", "Phi", IF(C127="Account Transfer", "Lai tra gop", "Am")))), "Bang 0"))</f>
        <v>Lai tra gop</v>
      </c>
    </row>
    <row r="128" spans="1:7" x14ac:dyDescent="0.3">
      <c r="A128" s="60">
        <v>45118</v>
      </c>
      <c r="B128" s="35">
        <v>3020208.35</v>
      </c>
      <c r="C128" t="s">
        <v>753</v>
      </c>
      <c r="D128" s="17" t="s">
        <v>758</v>
      </c>
      <c r="E128" s="26" t="str">
        <f>IF(OR(C128="Transaction",C128="Interests",C128="Misc",C128="Account Transfer"), IF(C128="Transaction", IF(B128&lt;0, "Du no", "Da thanh toan"), IF(C128="Interests", "Lai", IF(C128="Misc", "Phi", IF(C128="Account Transfer", IF(OR(ISNUMBER(SEARCH("Trich lai tra gop the TD", D128)), ISNUMBER(SEARCH("Chuyen lai tra gop con lai sang du no thong thuong khi BadDebt", D128))), IF(B128&lt;0, "Lai tra gop", ""), "" )))))) &amp; " " &amp; IF(C128="Interests", TEXT(EDATE(IF(DAY(A128)&gt;=24, A128, EDATE(A128,-1)), -1),"yyyy-mm"), TEXT(IF(DAY(A128)&gt;=24, A128, EDATE(A128,-1)),"yyyy-mm"))</f>
        <v xml:space="preserve"> 2023-06</v>
      </c>
      <c r="F128" s="27">
        <f>IF(ISNUMBER(B128), ROUND(SUMIFS($B$2:$B$10000, $E$2:$E$10000, E128, $B$2:$B$10000, IF(B128&lt;0, "&lt;0", "&gt;0")), 0), "")</f>
        <v>16895792</v>
      </c>
      <c r="G128" s="28" t="str">
        <f>IF(F128&gt;0, IF(C128="Transaction", "Da thanh toan", "Duong"), IF(F128&lt;0, IF(C128="Transaction", "Du no", IF(C128="Interests", "Lai phat sinh", IF(C128="Misc", "Phi", IF(C128="Account Transfer", "Lai tra gop", "Am")))), "Bang 0"))</f>
        <v>Duong</v>
      </c>
    </row>
    <row r="129" spans="1:7" x14ac:dyDescent="0.3">
      <c r="A129" s="60">
        <v>45118</v>
      </c>
      <c r="B129" s="35">
        <v>-289940</v>
      </c>
      <c r="C129" t="s">
        <v>753</v>
      </c>
      <c r="D129" s="17" t="s">
        <v>756</v>
      </c>
      <c r="E129" s="26" t="str">
        <f>IF(OR(C129="Transaction",C129="Interests",C129="Misc",C129="Account Transfer"), IF(C129="Transaction", IF(B129&lt;0, "Du no", "Da thanh toan"), IF(C129="Interests", "Lai", IF(C129="Misc", "Phi", IF(C129="Account Transfer", IF(OR(ISNUMBER(SEARCH("Trich lai tra gop the TD", D129)), ISNUMBER(SEARCH("Chuyen lai tra gop con lai sang du no thong thuong khi BadDebt", D129))), IF(B129&lt;0, "Lai tra gop", ""), "" )))))) &amp; " " &amp; IF(C129="Interests", TEXT(EDATE(IF(DAY(A129)&gt;=24, A129, EDATE(A129,-1)), -1),"yyyy-mm"), TEXT(IF(DAY(A129)&gt;=24, A129, EDATE(A129,-1)),"yyyy-mm"))</f>
        <v xml:space="preserve"> 2023-06</v>
      </c>
      <c r="F129" s="27">
        <f>IF(ISNUMBER(B129), ROUND(SUMIFS($B$2:$B$10000, $E$2:$E$10000, E129, $B$2:$B$10000, IF(B129&lt;0, "&lt;0", "&gt;0")), 0), "")</f>
        <v>-16895792</v>
      </c>
      <c r="G129" s="28" t="str">
        <f>IF(F129&gt;0, IF(C129="Transaction", "Da thanh toan", "Duong"), IF(F129&lt;0, IF(C129="Transaction", "Du no", IF(C129="Interests", "Lai phat sinh", IF(C129="Misc", "Phi", IF(C129="Account Transfer", "Lai tra gop", "Am")))), "Bang 0"))</f>
        <v>Lai tra gop</v>
      </c>
    </row>
    <row r="130" spans="1:7" x14ac:dyDescent="0.3">
      <c r="A130" s="60">
        <v>45118</v>
      </c>
      <c r="B130" s="35">
        <v>869820</v>
      </c>
      <c r="C130" t="s">
        <v>753</v>
      </c>
      <c r="D130" s="17" t="s">
        <v>760</v>
      </c>
      <c r="E130" s="26" t="str">
        <f>IF(OR(C130="Transaction",C130="Interests",C130="Misc",C130="Account Transfer"), IF(C130="Transaction", IF(B130&lt;0, "Du no", "Da thanh toan"), IF(C130="Interests", "Lai", IF(C130="Misc", "Phi", IF(C130="Account Transfer", IF(OR(ISNUMBER(SEARCH("Trich lai tra gop the TD", D130)), ISNUMBER(SEARCH("Chuyen lai tra gop con lai sang du no thong thuong khi BadDebt", D130))), IF(B130&lt;0, "Lai tra gop", ""), "" )))))) &amp; " " &amp; IF(C130="Interests", TEXT(EDATE(IF(DAY(A130)&gt;=24, A130, EDATE(A130,-1)), -1),"yyyy-mm"), TEXT(IF(DAY(A130)&gt;=24, A130, EDATE(A130,-1)),"yyyy-mm"))</f>
        <v xml:space="preserve"> 2023-06</v>
      </c>
      <c r="F130" s="27">
        <f>IF(ISNUMBER(B130), ROUND(SUMIFS($B$2:$B$10000, $E$2:$E$10000, E130, $B$2:$B$10000, IF(B130&lt;0, "&lt;0", "&gt;0")), 0), "")</f>
        <v>16895792</v>
      </c>
      <c r="G130" s="28" t="str">
        <f>IF(F130&gt;0, IF(C130="Transaction", "Da thanh toan", "Duong"), IF(F130&lt;0, IF(C130="Transaction", "Du no", IF(C130="Interests", "Lai phat sinh", IF(C130="Misc", "Phi", IF(C130="Account Transfer", "Lai tra gop", "Am")))), "Bang 0"))</f>
        <v>Duong</v>
      </c>
    </row>
    <row r="131" spans="1:7" x14ac:dyDescent="0.3">
      <c r="A131" s="60">
        <v>45101</v>
      </c>
      <c r="B131" s="35">
        <v>-2736.37</v>
      </c>
      <c r="C131" t="s">
        <v>49</v>
      </c>
      <c r="D131" s="17"/>
      <c r="E131" s="26" t="str">
        <f>IF(OR(C131="Transaction",C131="Interests",C131="Misc",C131="Account Transfer"), IF(C131="Transaction", IF(B131&lt;0, "Du no", "Da thanh toan"), IF(C131="Interests", "Lai", IF(C131="Misc", "Phi", IF(C131="Account Transfer", IF(OR(ISNUMBER(SEARCH("Trich lai tra gop the TD", D131)), ISNUMBER(SEARCH("Chuyen lai tra gop con lai sang du no thong thuong khi BadDebt", D131))), IF(B131&lt;0, "Lai tra gop", ""), "" )))))) &amp; " " &amp; IF(C131="Interests", TEXT(EDATE(IF(DAY(A131)&gt;=24, A131, EDATE(A131,-1)), -1),"yyyy-mm"), TEXT(IF(DAY(A131)&gt;=24, A131, EDATE(A131,-1)),"yyyy-mm"))</f>
        <v>Lai 2023-05</v>
      </c>
      <c r="F131" s="27">
        <f>IF(ISNUMBER(B131), ROUND(SUMIFS($B$2:$B$10000, $E$2:$E$10000, E131, $B$2:$B$10000, IF(B131&lt;0, "&lt;0", "&gt;0")), 0), "")</f>
        <v>-250510</v>
      </c>
      <c r="G131" s="28" t="str">
        <f>IF(F131&gt;0, IF(C131="Transaction", "Da thanh toan", "Duong"), IF(F131&lt;0, IF(C131="Transaction", "Du no", IF(C131="Interests", "Lai phat sinh", IF(C131="Misc", "Phi", IF(C131="Account Transfer", "Lai tra gop", "Am")))), "Bang 0"))</f>
        <v>Lai phat sinh</v>
      </c>
    </row>
    <row r="132" spans="1:7" x14ac:dyDescent="0.3">
      <c r="A132" s="60">
        <v>45101</v>
      </c>
      <c r="B132" s="35">
        <v>-5349.26</v>
      </c>
      <c r="C132" t="s">
        <v>49</v>
      </c>
      <c r="D132" s="17"/>
      <c r="E132" s="26" t="str">
        <f>IF(OR(C132="Transaction",C132="Interests",C132="Misc",C132="Account Transfer"), IF(C132="Transaction", IF(B132&lt;0, "Du no", "Da thanh toan"), IF(C132="Interests", "Lai", IF(C132="Misc", "Phi", IF(C132="Account Transfer", IF(OR(ISNUMBER(SEARCH("Trich lai tra gop the TD", D132)), ISNUMBER(SEARCH("Chuyen lai tra gop con lai sang du no thong thuong khi BadDebt", D132))), IF(B132&lt;0, "Lai tra gop", ""), "" )))))) &amp; " " &amp; IF(C132="Interests", TEXT(EDATE(IF(DAY(A132)&gt;=24, A132, EDATE(A132,-1)), -1),"yyyy-mm"), TEXT(IF(DAY(A132)&gt;=24, A132, EDATE(A132,-1)),"yyyy-mm"))</f>
        <v>Lai 2023-05</v>
      </c>
      <c r="F132" s="27">
        <f>IF(ISNUMBER(B132), ROUND(SUMIFS($B$2:$B$10000, $E$2:$E$10000, E132, $B$2:$B$10000, IF(B132&lt;0, "&lt;0", "&gt;0")), 0), "")</f>
        <v>-250510</v>
      </c>
      <c r="G132" s="28" t="str">
        <f>IF(F132&gt;0, IF(C132="Transaction", "Da thanh toan", "Duong"), IF(F132&lt;0, IF(C132="Transaction", "Du no", IF(C132="Interests", "Lai phat sinh", IF(C132="Misc", "Phi", IF(C132="Account Transfer", "Lai tra gop", "Am")))), "Bang 0"))</f>
        <v>Lai phat sinh</v>
      </c>
    </row>
    <row r="133" spans="1:7" x14ac:dyDescent="0.3">
      <c r="A133" s="60">
        <v>45101</v>
      </c>
      <c r="B133" s="35">
        <v>-25821.99</v>
      </c>
      <c r="C133" t="s">
        <v>49</v>
      </c>
      <c r="D133" s="17"/>
      <c r="E133" s="26" t="str">
        <f>IF(OR(C133="Transaction",C133="Interests",C133="Misc",C133="Account Transfer"), IF(C133="Transaction", IF(B133&lt;0, "Du no", "Da thanh toan"), IF(C133="Interests", "Lai", IF(C133="Misc", "Phi", IF(C133="Account Transfer", IF(OR(ISNUMBER(SEARCH("Trich lai tra gop the TD", D133)), ISNUMBER(SEARCH("Chuyen lai tra gop con lai sang du no thong thuong khi BadDebt", D133))), IF(B133&lt;0, "Lai tra gop", ""), "" )))))) &amp; " " &amp; IF(C133="Interests", TEXT(EDATE(IF(DAY(A133)&gt;=24, A133, EDATE(A133,-1)), -1),"yyyy-mm"), TEXT(IF(DAY(A133)&gt;=24, A133, EDATE(A133,-1)),"yyyy-mm"))</f>
        <v>Lai 2023-05</v>
      </c>
      <c r="F133" s="27">
        <f>IF(ISNUMBER(B133), ROUND(SUMIFS($B$2:$B$10000, $E$2:$E$10000, E133, $B$2:$B$10000, IF(B133&lt;0, "&lt;0", "&gt;0")), 0), "")</f>
        <v>-250510</v>
      </c>
      <c r="G133" s="28" t="str">
        <f>IF(F133&gt;0, IF(C133="Transaction", "Da thanh toan", "Duong"), IF(F133&lt;0, IF(C133="Transaction", "Du no", IF(C133="Interests", "Lai phat sinh", IF(C133="Misc", "Phi", IF(C133="Account Transfer", "Lai tra gop", "Am")))), "Bang 0"))</f>
        <v>Lai phat sinh</v>
      </c>
    </row>
    <row r="134" spans="1:7" x14ac:dyDescent="0.3">
      <c r="A134" s="60">
        <v>45101</v>
      </c>
      <c r="B134" s="35">
        <v>-2931.83</v>
      </c>
      <c r="C134" t="s">
        <v>49</v>
      </c>
      <c r="D134" s="17"/>
      <c r="E134" s="26" t="str">
        <f>IF(OR(C134="Transaction",C134="Interests",C134="Misc",C134="Account Transfer"), IF(C134="Transaction", IF(B134&lt;0, "Du no", "Da thanh toan"), IF(C134="Interests", "Lai", IF(C134="Misc", "Phi", IF(C134="Account Transfer", IF(OR(ISNUMBER(SEARCH("Trich lai tra gop the TD", D134)), ISNUMBER(SEARCH("Chuyen lai tra gop con lai sang du no thong thuong khi BadDebt", D134))), IF(B134&lt;0, "Lai tra gop", ""), "" )))))) &amp; " " &amp; IF(C134="Interests", TEXT(EDATE(IF(DAY(A134)&gt;=24, A134, EDATE(A134,-1)), -1),"yyyy-mm"), TEXT(IF(DAY(A134)&gt;=24, A134, EDATE(A134,-1)),"yyyy-mm"))</f>
        <v>Lai 2023-05</v>
      </c>
      <c r="F134" s="27">
        <f>IF(ISNUMBER(B134), ROUND(SUMIFS($B$2:$B$10000, $E$2:$E$10000, E134, $B$2:$B$10000, IF(B134&lt;0, "&lt;0", "&gt;0")), 0), "")</f>
        <v>-250510</v>
      </c>
      <c r="G134" s="28" t="str">
        <f>IF(F134&gt;0, IF(C134="Transaction", "Da thanh toan", "Duong"), IF(F134&lt;0, IF(C134="Transaction", "Du no", IF(C134="Interests", "Lai phat sinh", IF(C134="Misc", "Phi", IF(C134="Account Transfer", "Lai tra gop", "Am")))), "Bang 0"))</f>
        <v>Lai phat sinh</v>
      </c>
    </row>
    <row r="135" spans="1:7" x14ac:dyDescent="0.3">
      <c r="A135" s="60">
        <v>45101</v>
      </c>
      <c r="B135" s="35">
        <v>-94333.8</v>
      </c>
      <c r="C135" t="s">
        <v>49</v>
      </c>
      <c r="D135" s="17"/>
      <c r="E135" s="26" t="str">
        <f>IF(OR(C135="Transaction",C135="Interests",C135="Misc",C135="Account Transfer"), IF(C135="Transaction", IF(B135&lt;0, "Du no", "Da thanh toan"), IF(C135="Interests", "Lai", IF(C135="Misc", "Phi", IF(C135="Account Transfer", IF(OR(ISNUMBER(SEARCH("Trich lai tra gop the TD", D135)), ISNUMBER(SEARCH("Chuyen lai tra gop con lai sang du no thong thuong khi BadDebt", D135))), IF(B135&lt;0, "Lai tra gop", ""), "" )))))) &amp; " " &amp; IF(C135="Interests", TEXT(EDATE(IF(DAY(A135)&gt;=24, A135, EDATE(A135,-1)), -1),"yyyy-mm"), TEXT(IF(DAY(A135)&gt;=24, A135, EDATE(A135,-1)),"yyyy-mm"))</f>
        <v>Lai 2023-05</v>
      </c>
      <c r="F135" s="27">
        <f>IF(ISNUMBER(B135), ROUND(SUMIFS($B$2:$B$10000, $E$2:$E$10000, E135, $B$2:$B$10000, IF(B135&lt;0, "&lt;0", "&gt;0")), 0), "")</f>
        <v>-250510</v>
      </c>
      <c r="G135" s="28" t="str">
        <f>IF(F135&gt;0, IF(C135="Transaction", "Da thanh toan", "Duong"), IF(F135&lt;0, IF(C135="Transaction", "Du no", IF(C135="Interests", "Lai phat sinh", IF(C135="Misc", "Phi", IF(C135="Account Transfer", "Lai tra gop", "Am")))), "Bang 0"))</f>
        <v>Lai phat sinh</v>
      </c>
    </row>
    <row r="136" spans="1:7" x14ac:dyDescent="0.3">
      <c r="A136" s="60">
        <v>45101</v>
      </c>
      <c r="B136" s="35">
        <v>-10417.59</v>
      </c>
      <c r="C136" t="s">
        <v>49</v>
      </c>
      <c r="D136" s="34"/>
      <c r="E136" s="26" t="str">
        <f>IF(OR(C136="Transaction",C136="Interests",C136="Misc",C136="Account Transfer"), IF(C136="Transaction", IF(B136&lt;0, "Du no", "Da thanh toan"), IF(C136="Interests", "Lai", IF(C136="Misc", "Phi", IF(C136="Account Transfer", IF(OR(ISNUMBER(SEARCH("Trich lai tra gop the TD", D136)), ISNUMBER(SEARCH("Chuyen lai tra gop con lai sang du no thong thuong khi BadDebt", D136))), IF(B136&lt;0, "Lai tra gop", ""), "" )))))) &amp; " " &amp; IF(C136="Interests", TEXT(EDATE(IF(DAY(A136)&gt;=24, A136, EDATE(A136,-1)), -1),"yyyy-mm"), TEXT(IF(DAY(A136)&gt;=24, A136, EDATE(A136,-1)),"yyyy-mm"))</f>
        <v>Lai 2023-05</v>
      </c>
      <c r="F136" s="27">
        <f>IF(ISNUMBER(B136), ROUND(SUMIFS($B$2:$B$10000, $E$2:$E$10000, E136, $B$2:$B$10000, IF(B136&lt;0, "&lt;0", "&gt;0")), 0), "")</f>
        <v>-250510</v>
      </c>
      <c r="G136" s="28" t="str">
        <f>IF(F136&gt;0, IF(C136="Transaction", "Da thanh toan", "Duong"), IF(F136&lt;0, IF(C136="Transaction", "Du no", IF(C136="Interests", "Lai phat sinh", IF(C136="Misc", "Phi", IF(C136="Account Transfer", "Lai tra gop", "Am")))), "Bang 0"))</f>
        <v>Lai phat sinh</v>
      </c>
    </row>
    <row r="137" spans="1:7" x14ac:dyDescent="0.3">
      <c r="A137" s="60">
        <v>45101</v>
      </c>
      <c r="B137" s="35">
        <v>-86368.36</v>
      </c>
      <c r="C137" t="s">
        <v>49</v>
      </c>
      <c r="D137" s="17"/>
      <c r="E137" s="26" t="str">
        <f>IF(OR(C137="Transaction",C137="Interests",C137="Misc",C137="Account Transfer"), IF(C137="Transaction", IF(B137&lt;0, "Du no", "Da thanh toan"), IF(C137="Interests", "Lai", IF(C137="Misc", "Phi", IF(C137="Account Transfer", IF(OR(ISNUMBER(SEARCH("Trich lai tra gop the TD", D137)), ISNUMBER(SEARCH("Chuyen lai tra gop con lai sang du no thong thuong khi BadDebt", D137))), IF(B137&lt;0, "Lai tra gop", ""), "" )))))) &amp; " " &amp; IF(C137="Interests", TEXT(EDATE(IF(DAY(A137)&gt;=24, A137, EDATE(A137,-1)), -1),"yyyy-mm"), TEXT(IF(DAY(A137)&gt;=24, A137, EDATE(A137,-1)),"yyyy-mm"))</f>
        <v>Lai 2023-05</v>
      </c>
      <c r="F137" s="27">
        <f>IF(ISNUMBER(B137), ROUND(SUMIFS($B$2:$B$10000, $E$2:$E$10000, E137, $B$2:$B$10000, IF(B137&lt;0, "&lt;0", "&gt;0")), 0), "")</f>
        <v>-250510</v>
      </c>
      <c r="G137" s="28" t="str">
        <f>IF(F137&gt;0, IF(C137="Transaction", "Da thanh toan", "Duong"), IF(F137&lt;0, IF(C137="Transaction", "Du no", IF(C137="Interests", "Lai phat sinh", IF(C137="Misc", "Phi", IF(C137="Account Transfer", "Lai tra gop", "Am")))), "Bang 0"))</f>
        <v>Lai phat sinh</v>
      </c>
    </row>
    <row r="138" spans="1:7" x14ac:dyDescent="0.3">
      <c r="A138" s="60">
        <v>45101</v>
      </c>
      <c r="B138" s="35">
        <v>-4674.45</v>
      </c>
      <c r="C138" t="s">
        <v>49</v>
      </c>
      <c r="D138" s="17"/>
      <c r="E138" s="26" t="str">
        <f>IF(OR(C138="Transaction",C138="Interests",C138="Misc",C138="Account Transfer"), IF(C138="Transaction", IF(B138&lt;0, "Du no", "Da thanh toan"), IF(C138="Interests", "Lai", IF(C138="Misc", "Phi", IF(C138="Account Transfer", IF(OR(ISNUMBER(SEARCH("Trich lai tra gop the TD", D138)), ISNUMBER(SEARCH("Chuyen lai tra gop con lai sang du no thong thuong khi BadDebt", D138))), IF(B138&lt;0, "Lai tra gop", ""), "" )))))) &amp; " " &amp; IF(C138="Interests", TEXT(EDATE(IF(DAY(A138)&gt;=24, A138, EDATE(A138,-1)), -1),"yyyy-mm"), TEXT(IF(DAY(A138)&gt;=24, A138, EDATE(A138,-1)),"yyyy-mm"))</f>
        <v>Lai 2023-05</v>
      </c>
      <c r="F138" s="27">
        <f>IF(ISNUMBER(B138), ROUND(SUMIFS($B$2:$B$10000, $E$2:$E$10000, E138, $B$2:$B$10000, IF(B138&lt;0, "&lt;0", "&gt;0")), 0), "")</f>
        <v>-250510</v>
      </c>
      <c r="G138" s="28" t="str">
        <f>IF(F138&gt;0, IF(C138="Transaction", "Da thanh toan", "Duong"), IF(F138&lt;0, IF(C138="Transaction", "Du no", IF(C138="Interests", "Lai phat sinh", IF(C138="Misc", "Phi", IF(C138="Account Transfer", "Lai tra gop", "Am")))), "Bang 0"))</f>
        <v>Lai phat sinh</v>
      </c>
    </row>
    <row r="139" spans="1:7" x14ac:dyDescent="0.3">
      <c r="A139" s="60">
        <v>45101</v>
      </c>
      <c r="B139" s="35">
        <v>-17875.87</v>
      </c>
      <c r="C139" t="s">
        <v>49</v>
      </c>
      <c r="D139" s="17"/>
      <c r="E139" s="26" t="str">
        <f>IF(OR(C139="Transaction",C139="Interests",C139="Misc",C139="Account Transfer"), IF(C139="Transaction", IF(B139&lt;0, "Du no", "Da thanh toan"), IF(C139="Interests", "Lai", IF(C139="Misc", "Phi", IF(C139="Account Transfer", IF(OR(ISNUMBER(SEARCH("Trich lai tra gop the TD", D139)), ISNUMBER(SEARCH("Chuyen lai tra gop con lai sang du no thong thuong khi BadDebt", D139))), IF(B139&lt;0, "Lai tra gop", ""), "" )))))) &amp; " " &amp; IF(C139="Interests", TEXT(EDATE(IF(DAY(A139)&gt;=24, A139, EDATE(A139,-1)), -1),"yyyy-mm"), TEXT(IF(DAY(A139)&gt;=24, A139, EDATE(A139,-1)),"yyyy-mm"))</f>
        <v>Lai 2023-05</v>
      </c>
      <c r="F139" s="27">
        <f>IF(ISNUMBER(B139), ROUND(SUMIFS($B$2:$B$10000, $E$2:$E$10000, E139, $B$2:$B$10000, IF(B139&lt;0, "&lt;0", "&gt;0")), 0), "")</f>
        <v>-250510</v>
      </c>
      <c r="G139" s="28" t="str">
        <f>IF(F139&gt;0, IF(C139="Transaction", "Da thanh toan", "Duong"), IF(F139&lt;0, IF(C139="Transaction", "Du no", IF(C139="Interests", "Lai phat sinh", IF(C139="Misc", "Phi", IF(C139="Account Transfer", "Lai tra gop", "Am")))), "Bang 0"))</f>
        <v>Lai phat sinh</v>
      </c>
    </row>
    <row r="140" spans="1:7" x14ac:dyDescent="0.3">
      <c r="A140" s="60">
        <v>45100</v>
      </c>
      <c r="B140" s="35">
        <v>604041.67000000004</v>
      </c>
      <c r="C140" t="s">
        <v>753</v>
      </c>
      <c r="D140" s="17" t="s">
        <v>761</v>
      </c>
      <c r="E140" s="26" t="str">
        <f>IF(OR(C140="Transaction",C140="Interests",C140="Misc",C140="Account Transfer"), IF(C140="Transaction", IF(B140&lt;0, "Du no", "Da thanh toan"), IF(C140="Interests", "Lai", IF(C140="Misc", "Phi", IF(C140="Account Transfer", IF(OR(ISNUMBER(SEARCH("Trich lai tra gop the TD", D140)), ISNUMBER(SEARCH("Chuyen lai tra gop con lai sang du no thong thuong khi BadDebt", D140))), IF(B140&lt;0, "Lai tra gop", ""), "" )))))) &amp; " " &amp; IF(C140="Interests", TEXT(EDATE(IF(DAY(A140)&gt;=24, A140, EDATE(A140,-1)), -1),"yyyy-mm"), TEXT(IF(DAY(A140)&gt;=24, A140, EDATE(A140,-1)),"yyyy-mm"))</f>
        <v xml:space="preserve"> 2023-05</v>
      </c>
      <c r="F140" s="27">
        <f>IF(ISNUMBER(B140), ROUND(SUMIFS($B$2:$B$10000, $E$2:$E$10000, E140, $B$2:$B$10000, IF(B140&lt;0, "&lt;0", "&gt;0")), 0), "")</f>
        <v>1498023</v>
      </c>
      <c r="G140" s="28" t="str">
        <f>IF(F140&gt;0, IF(C140="Transaction", "Da thanh toan", "Duong"), IF(F140&lt;0, IF(C140="Transaction", "Du no", IF(C140="Interests", "Lai phat sinh", IF(C140="Misc", "Phi", IF(C140="Account Transfer", "Lai tra gop", "Am")))), "Bang 0"))</f>
        <v>Duong</v>
      </c>
    </row>
    <row r="141" spans="1:7" x14ac:dyDescent="0.3">
      <c r="A141" s="60">
        <v>45100</v>
      </c>
      <c r="B141" s="35">
        <v>-604041.67000000004</v>
      </c>
      <c r="C141" t="s">
        <v>753</v>
      </c>
      <c r="D141" s="17" t="s">
        <v>761</v>
      </c>
      <c r="E141" s="26" t="str">
        <f>IF(OR(C141="Transaction",C141="Interests",C141="Misc",C141="Account Transfer"), IF(C141="Transaction", IF(B141&lt;0, "Du no", "Da thanh toan"), IF(C141="Interests", "Lai", IF(C141="Misc", "Phi", IF(C141="Account Transfer", IF(OR(ISNUMBER(SEARCH("Trich lai tra gop the TD", D141)), ISNUMBER(SEARCH("Chuyen lai tra gop con lai sang du no thong thuong khi BadDebt", D141))), IF(B141&lt;0, "Lai tra gop", ""), "" )))))) &amp; " " &amp; IF(C141="Interests", TEXT(EDATE(IF(DAY(A141)&gt;=24, A141, EDATE(A141,-1)), -1),"yyyy-mm"), TEXT(IF(DAY(A141)&gt;=24, A141, EDATE(A141,-1)),"yyyy-mm"))</f>
        <v xml:space="preserve"> 2023-05</v>
      </c>
      <c r="F141" s="27">
        <f>IF(ISNUMBER(B141), ROUND(SUMIFS($B$2:$B$10000, $E$2:$E$10000, E141, $B$2:$B$10000, IF(B141&lt;0, "&lt;0", "&gt;0")), 0), "")</f>
        <v>-1498023</v>
      </c>
      <c r="G141" s="28" t="str">
        <f>IF(F141&gt;0, IF(C141="Transaction", "Da thanh toan", "Duong"), IF(F141&lt;0, IF(C141="Transaction", "Du no", IF(C141="Interests", "Lai phat sinh", IF(C141="Misc", "Phi", IF(C141="Account Transfer", "Lai tra gop", "Am")))), "Bang 0"))</f>
        <v>Lai tra gop</v>
      </c>
    </row>
    <row r="142" spans="1:7" x14ac:dyDescent="0.3">
      <c r="A142" s="60">
        <v>45100</v>
      </c>
      <c r="B142" s="35">
        <v>-289940</v>
      </c>
      <c r="C142" t="s">
        <v>753</v>
      </c>
      <c r="D142" s="17" t="s">
        <v>762</v>
      </c>
      <c r="E142" s="26" t="str">
        <f>IF(OR(C142="Transaction",C142="Interests",C142="Misc",C142="Account Transfer"), IF(C142="Transaction", IF(B142&lt;0, "Du no", "Da thanh toan"), IF(C142="Interests", "Lai", IF(C142="Misc", "Phi", IF(C142="Account Transfer", IF(OR(ISNUMBER(SEARCH("Trich lai tra gop the TD", D142)), ISNUMBER(SEARCH("Chuyen lai tra gop con lai sang du no thong thuong khi BadDebt", D142))), IF(B142&lt;0, "Lai tra gop", ""), "" )))))) &amp; " " &amp; IF(C142="Interests", TEXT(EDATE(IF(DAY(A142)&gt;=24, A142, EDATE(A142,-1)), -1),"yyyy-mm"), TEXT(IF(DAY(A142)&gt;=24, A142, EDATE(A142,-1)),"yyyy-mm"))</f>
        <v>Lai tra gop 2023-05</v>
      </c>
      <c r="F142" s="27">
        <f>IF(ISNUMBER(B142), ROUND(SUMIFS($B$2:$B$10000, $E$2:$E$10000, E142, $B$2:$B$10000, IF(B142&lt;0, "&lt;0", "&gt;0")), 0), "")</f>
        <v>-289940</v>
      </c>
      <c r="G142" s="28" t="str">
        <f>IF(F142&gt;0, IF(C142="Transaction", "Da thanh toan", "Duong"), IF(F142&lt;0, IF(C142="Transaction", "Du no", IF(C142="Interests", "Lai phat sinh", IF(C142="Misc", "Phi", IF(C142="Account Transfer", "Lai tra gop", "Am")))), "Bang 0"))</f>
        <v>Lai tra gop</v>
      </c>
    </row>
    <row r="143" spans="1:7" x14ac:dyDescent="0.3">
      <c r="A143" s="60">
        <v>45086</v>
      </c>
      <c r="B143" s="35">
        <v>-164682.32999999999</v>
      </c>
      <c r="C143" t="s">
        <v>50</v>
      </c>
      <c r="D143" s="17"/>
      <c r="E143" s="26" t="str">
        <f>IF(OR(C143="Transaction",C143="Interests",C143="Misc",C143="Account Transfer"), IF(C143="Transaction", IF(B143&lt;0, "Du no", "Da thanh toan"), IF(C143="Interests", "Lai", IF(C143="Misc", "Phi", IF(C143="Account Transfer", IF(OR(ISNUMBER(SEARCH("Trich lai tra gop the TD", D143)), ISNUMBER(SEARCH("Chuyen lai tra gop con lai sang du no thong thuong khi BadDebt", D143))), IF(B143&lt;0, "Lai tra gop", ""), "" )))))) &amp; " " &amp; IF(C143="Interests", TEXT(EDATE(IF(DAY(A143)&gt;=24, A143, EDATE(A143,-1)), -1),"yyyy-mm"), TEXT(IF(DAY(A143)&gt;=24, A143, EDATE(A143,-1)),"yyyy-mm"))</f>
        <v>Phi 2023-05</v>
      </c>
      <c r="F143" s="27">
        <f>IF(ISNUMBER(B143), ROUND(SUMIFS($B$2:$B$10000, $E$2:$E$10000, E143, $B$2:$B$10000, IF(B143&lt;0, "&lt;0", "&gt;0")), 0), "")</f>
        <v>-493582</v>
      </c>
      <c r="G143" s="28" t="str">
        <f>IF(F143&gt;0, IF(C143="Transaction", "Da thanh toan", "Duong"), IF(F143&lt;0, IF(C143="Transaction", "Du no", IF(C143="Interests", "Lai phat sinh", IF(C143="Misc", "Phi", IF(C143="Account Transfer", "Lai tra gop", "Am")))), "Bang 0"))</f>
        <v>Phi</v>
      </c>
    </row>
    <row r="144" spans="1:7" x14ac:dyDescent="0.3">
      <c r="A144" s="60">
        <v>45085</v>
      </c>
      <c r="B144" s="35">
        <v>604041.67000000004</v>
      </c>
      <c r="C144" t="s">
        <v>753</v>
      </c>
      <c r="D144" s="17" t="s">
        <v>755</v>
      </c>
      <c r="E144" s="26" t="str">
        <f>IF(OR(C144="Transaction",C144="Interests",C144="Misc",C144="Account Transfer"), IF(C144="Transaction", IF(B144&lt;0, "Du no", "Da thanh toan"), IF(C144="Interests", "Lai", IF(C144="Misc", "Phi", IF(C144="Account Transfer", IF(OR(ISNUMBER(SEARCH("Trich lai tra gop the TD", D144)), ISNUMBER(SEARCH("Chuyen lai tra gop con lai sang du no thong thuong khi BadDebt", D144))), IF(B144&lt;0, "Lai tra gop", ""), "" )))))) &amp; " " &amp; IF(C144="Interests", TEXT(EDATE(IF(DAY(A144)&gt;=24, A144, EDATE(A144,-1)), -1),"yyyy-mm"), TEXT(IF(DAY(A144)&gt;=24, A144, EDATE(A144,-1)),"yyyy-mm"))</f>
        <v xml:space="preserve"> 2023-05</v>
      </c>
      <c r="F144" s="27">
        <f>IF(ISNUMBER(B144), ROUND(SUMIFS($B$2:$B$10000, $E$2:$E$10000, E144, $B$2:$B$10000, IF(B144&lt;0, "&lt;0", "&gt;0")), 0), "")</f>
        <v>1498023</v>
      </c>
      <c r="G144" s="28" t="str">
        <f>IF(F144&gt;0, IF(C144="Transaction", "Da thanh toan", "Duong"), IF(F144&lt;0, IF(C144="Transaction", "Du no", IF(C144="Interests", "Lai phat sinh", IF(C144="Misc", "Phi", IF(C144="Account Transfer", "Lai tra gop", "Am")))), "Bang 0"))</f>
        <v>Duong</v>
      </c>
    </row>
    <row r="145" spans="1:7" x14ac:dyDescent="0.3">
      <c r="A145" s="60">
        <v>45085</v>
      </c>
      <c r="B145" s="35">
        <v>289940</v>
      </c>
      <c r="C145" t="s">
        <v>753</v>
      </c>
      <c r="D145" s="17" t="s">
        <v>756</v>
      </c>
      <c r="E145" s="26" t="str">
        <f>IF(OR(C145="Transaction",C145="Interests",C145="Misc",C145="Account Transfer"), IF(C145="Transaction", IF(B145&lt;0, "Du no", "Da thanh toan"), IF(C145="Interests", "Lai", IF(C145="Misc", "Phi", IF(C145="Account Transfer", IF(OR(ISNUMBER(SEARCH("Trich lai tra gop the TD", D145)), ISNUMBER(SEARCH("Chuyen lai tra gop con lai sang du no thong thuong khi BadDebt", D145))), IF(B145&lt;0, "Lai tra gop", ""), "" )))))) &amp; " " &amp; IF(C145="Interests", TEXT(EDATE(IF(DAY(A145)&gt;=24, A145, EDATE(A145,-1)), -1),"yyyy-mm"), TEXT(IF(DAY(A145)&gt;=24, A145, EDATE(A145,-1)),"yyyy-mm"))</f>
        <v xml:space="preserve"> 2023-05</v>
      </c>
      <c r="F145" s="27">
        <f>IF(ISNUMBER(B145), ROUND(SUMIFS($B$2:$B$10000, $E$2:$E$10000, E145, $B$2:$B$10000, IF(B145&lt;0, "&lt;0", "&gt;0")), 0), "")</f>
        <v>1498023</v>
      </c>
      <c r="G145" s="28" t="str">
        <f>IF(F145&gt;0, IF(C145="Transaction", "Da thanh toan", "Duong"), IF(F145&lt;0, IF(C145="Transaction", "Du no", IF(C145="Interests", "Lai phat sinh", IF(C145="Misc", "Phi", IF(C145="Account Transfer", "Lai tra gop", "Am")))), "Bang 0"))</f>
        <v>Duong</v>
      </c>
    </row>
    <row r="146" spans="1:7" x14ac:dyDescent="0.3">
      <c r="A146" s="60">
        <v>45085</v>
      </c>
      <c r="B146" s="35">
        <v>-604041.67000000004</v>
      </c>
      <c r="C146" t="s">
        <v>753</v>
      </c>
      <c r="D146" s="17" t="s">
        <v>755</v>
      </c>
      <c r="E146" s="26" t="str">
        <f>IF(OR(C146="Transaction",C146="Interests",C146="Misc",C146="Account Transfer"), IF(C146="Transaction", IF(B146&lt;0, "Du no", "Da thanh toan"), IF(C146="Interests", "Lai", IF(C146="Misc", "Phi", IF(C146="Account Transfer", IF(OR(ISNUMBER(SEARCH("Trich lai tra gop the TD", D146)), ISNUMBER(SEARCH("Chuyen lai tra gop con lai sang du no thong thuong khi BadDebt", D146))), IF(B146&lt;0, "Lai tra gop", ""), "" )))))) &amp; " " &amp; IF(C146="Interests", TEXT(EDATE(IF(DAY(A146)&gt;=24, A146, EDATE(A146,-1)), -1),"yyyy-mm"), TEXT(IF(DAY(A146)&gt;=24, A146, EDATE(A146,-1)),"yyyy-mm"))</f>
        <v xml:space="preserve"> 2023-05</v>
      </c>
      <c r="F146" s="27">
        <f>IF(ISNUMBER(B146), ROUND(SUMIFS($B$2:$B$10000, $E$2:$E$10000, E146, $B$2:$B$10000, IF(B146&lt;0, "&lt;0", "&gt;0")), 0), "")</f>
        <v>-1498023</v>
      </c>
      <c r="G146" s="28" t="str">
        <f>IF(F146&gt;0, IF(C146="Transaction", "Da thanh toan", "Duong"), IF(F146&lt;0, IF(C146="Transaction", "Du no", IF(C146="Interests", "Lai phat sinh", IF(C146="Misc", "Phi", IF(C146="Account Transfer", "Lai tra gop", "Am")))), "Bang 0"))</f>
        <v>Lai tra gop</v>
      </c>
    </row>
    <row r="147" spans="1:7" x14ac:dyDescent="0.3">
      <c r="A147" s="60">
        <v>45085</v>
      </c>
      <c r="B147" s="35">
        <v>-289940</v>
      </c>
      <c r="C147" t="s">
        <v>753</v>
      </c>
      <c r="D147" s="17" t="s">
        <v>756</v>
      </c>
      <c r="E147" s="26" t="str">
        <f>IF(OR(C147="Transaction",C147="Interests",C147="Misc",C147="Account Transfer"), IF(C147="Transaction", IF(B147&lt;0, "Du no", "Da thanh toan"), IF(C147="Interests", "Lai", IF(C147="Misc", "Phi", IF(C147="Account Transfer", IF(OR(ISNUMBER(SEARCH("Trich lai tra gop the TD", D147)), ISNUMBER(SEARCH("Chuyen lai tra gop con lai sang du no thong thuong khi BadDebt", D147))), IF(B147&lt;0, "Lai tra gop", ""), "" )))))) &amp; " " &amp; IF(C147="Interests", TEXT(EDATE(IF(DAY(A147)&gt;=24, A147, EDATE(A147,-1)), -1),"yyyy-mm"), TEXT(IF(DAY(A147)&gt;=24, A147, EDATE(A147,-1)),"yyyy-mm"))</f>
        <v xml:space="preserve"> 2023-05</v>
      </c>
      <c r="F147" s="27">
        <f>IF(ISNUMBER(B147), ROUND(SUMIFS($B$2:$B$10000, $E$2:$E$10000, E147, $B$2:$B$10000, IF(B147&lt;0, "&lt;0", "&gt;0")), 0), "")</f>
        <v>-1498023</v>
      </c>
      <c r="G147" s="28" t="str">
        <f>IF(F147&gt;0, IF(C147="Transaction", "Da thanh toan", "Duong"), IF(F147&lt;0, IF(C147="Transaction", "Du no", IF(C147="Interests", "Lai phat sinh", IF(C147="Misc", "Phi", IF(C147="Account Transfer", "Lai tra gop", "Am")))), "Bang 0"))</f>
        <v>Lai tra gop</v>
      </c>
    </row>
    <row r="148" spans="1:7" x14ac:dyDescent="0.3">
      <c r="A148" s="60">
        <v>45080</v>
      </c>
      <c r="B148" s="35">
        <v>-299000</v>
      </c>
      <c r="C148" t="s">
        <v>50</v>
      </c>
      <c r="D148" s="17"/>
      <c r="E148" s="26" t="str">
        <f>IF(OR(C148="Transaction",C148="Interests",C148="Misc",C148="Account Transfer"), IF(C148="Transaction", IF(B148&lt;0, "Du no", "Da thanh toan"), IF(C148="Interests", "Lai", IF(C148="Misc", "Phi", IF(C148="Account Transfer", IF(OR(ISNUMBER(SEARCH("Trich lai tra gop the TD", D148)), ISNUMBER(SEARCH("Chuyen lai tra gop con lai sang du no thong thuong khi BadDebt", D148))), IF(B148&lt;0, "Lai tra gop", ""), "" )))))) &amp; " " &amp; IF(C148="Interests", TEXT(EDATE(IF(DAY(A148)&gt;=24, A148, EDATE(A148,-1)), -1),"yyyy-mm"), TEXT(IF(DAY(A148)&gt;=24, A148, EDATE(A148,-1)),"yyyy-mm"))</f>
        <v>Phi 2023-05</v>
      </c>
      <c r="F148" s="27">
        <f>IF(ISNUMBER(B148), ROUND(SUMIFS($B$2:$B$10000, $E$2:$E$10000, E148, $B$2:$B$10000, IF(B148&lt;0, "&lt;0", "&gt;0")), 0), "")</f>
        <v>-493582</v>
      </c>
      <c r="G148" s="28" t="str">
        <f>IF(F148&gt;0, IF(C148="Transaction", "Da thanh toan", "Duong"), IF(F148&lt;0, IF(C148="Transaction", "Du no", IF(C148="Interests", "Lai phat sinh", IF(C148="Misc", "Phi", IF(C148="Account Transfer", "Lai tra gop", "Am")))), "Bang 0"))</f>
        <v>Phi</v>
      </c>
    </row>
    <row r="149" spans="1:7" x14ac:dyDescent="0.3">
      <c r="A149" s="60">
        <v>45080</v>
      </c>
      <c r="B149" s="35">
        <v>-29900</v>
      </c>
      <c r="C149" t="s">
        <v>50</v>
      </c>
      <c r="D149" s="17"/>
      <c r="E149" s="26" t="str">
        <f>IF(OR(C149="Transaction",C149="Interests",C149="Misc",C149="Account Transfer"), IF(C149="Transaction", IF(B149&lt;0, "Du no", "Da thanh toan"), IF(C149="Interests", "Lai", IF(C149="Misc", "Phi", IF(C149="Account Transfer", IF(OR(ISNUMBER(SEARCH("Trich lai tra gop the TD", D149)), ISNUMBER(SEARCH("Chuyen lai tra gop con lai sang du no thong thuong khi BadDebt", D149))), IF(B149&lt;0, "Lai tra gop", ""), "" )))))) &amp; " " &amp; IF(C149="Interests", TEXT(EDATE(IF(DAY(A149)&gt;=24, A149, EDATE(A149,-1)), -1),"yyyy-mm"), TEXT(IF(DAY(A149)&gt;=24, A149, EDATE(A149,-1)),"yyyy-mm"))</f>
        <v>Phi 2023-05</v>
      </c>
      <c r="F149" s="27">
        <f>IF(ISNUMBER(B149), ROUND(SUMIFS($B$2:$B$10000, $E$2:$E$10000, E149, $B$2:$B$10000, IF(B149&lt;0, "&lt;0", "&gt;0")), 0), "")</f>
        <v>-493582</v>
      </c>
      <c r="G149" s="28" t="str">
        <f>IF(F149&gt;0, IF(C149="Transaction", "Da thanh toan", "Duong"), IF(F149&lt;0, IF(C149="Transaction", "Du no", IF(C149="Interests", "Lai phat sinh", IF(C149="Misc", "Phi", IF(C149="Account Transfer", "Lai tra gop", "Am")))), "Bang 0"))</f>
        <v>Phi</v>
      </c>
    </row>
    <row r="150" spans="1:7" x14ac:dyDescent="0.3">
      <c r="A150" s="60">
        <v>45070</v>
      </c>
      <c r="B150" s="35">
        <v>-2540.92</v>
      </c>
      <c r="C150" t="s">
        <v>49</v>
      </c>
      <c r="D150" s="17"/>
      <c r="E150" s="26" t="str">
        <f>IF(OR(C150="Transaction",C150="Interests",C150="Misc",C150="Account Transfer"), IF(C150="Transaction", IF(B150&lt;0, "Du no", "Da thanh toan"), IF(C150="Interests", "Lai", IF(C150="Misc", "Phi", IF(C150="Account Transfer", IF(OR(ISNUMBER(SEARCH("Trich lai tra gop the TD", D150)), ISNUMBER(SEARCH("Chuyen lai tra gop con lai sang du no thong thuong khi BadDebt", D150))), IF(B150&lt;0, "Lai tra gop", ""), "" )))))) &amp; " " &amp; IF(C150="Interests", TEXT(EDATE(IF(DAY(A150)&gt;=24, A150, EDATE(A150,-1)), -1),"yyyy-mm"), TEXT(IF(DAY(A150)&gt;=24, A150, EDATE(A150,-1)),"yyyy-mm"))</f>
        <v>Lai 2023-04</v>
      </c>
      <c r="F150" s="27">
        <f>IF(ISNUMBER(B150), ROUND(SUMIFS($B$2:$B$10000, $E$2:$E$10000, E150, $B$2:$B$10000, IF(B150&lt;0, "&lt;0", "&gt;0")), 0), "")</f>
        <v>-193110</v>
      </c>
      <c r="G150" s="28" t="str">
        <f>IF(F150&gt;0, IF(C150="Transaction", "Da thanh toan", "Duong"), IF(F150&lt;0, IF(C150="Transaction", "Du no", IF(C150="Interests", "Lai phat sinh", IF(C150="Misc", "Phi", IF(C150="Account Transfer", "Lai tra gop", "Am")))), "Bang 0"))</f>
        <v>Lai phat sinh</v>
      </c>
    </row>
    <row r="151" spans="1:7" x14ac:dyDescent="0.3">
      <c r="A151" s="60">
        <v>45070</v>
      </c>
      <c r="B151" s="35">
        <v>-5176.71</v>
      </c>
      <c r="C151" t="s">
        <v>49</v>
      </c>
      <c r="D151" s="17"/>
      <c r="E151" s="26" t="str">
        <f>IF(OR(C151="Transaction",C151="Interests",C151="Misc",C151="Account Transfer"), IF(C151="Transaction", IF(B151&lt;0, "Du no", "Da thanh toan"), IF(C151="Interests", "Lai", IF(C151="Misc", "Phi", IF(C151="Account Transfer", IF(OR(ISNUMBER(SEARCH("Trich lai tra gop the TD", D151)), ISNUMBER(SEARCH("Chuyen lai tra gop con lai sang du no thong thuong khi BadDebt", D151))), IF(B151&lt;0, "Lai tra gop", ""), "" )))))) &amp; " " &amp; IF(C151="Interests", TEXT(EDATE(IF(DAY(A151)&gt;=24, A151, EDATE(A151,-1)), -1),"yyyy-mm"), TEXT(IF(DAY(A151)&gt;=24, A151, EDATE(A151,-1)),"yyyy-mm"))</f>
        <v>Lai 2023-04</v>
      </c>
      <c r="F151" s="27">
        <f>IF(ISNUMBER(B151), ROUND(SUMIFS($B$2:$B$10000, $E$2:$E$10000, E151, $B$2:$B$10000, IF(B151&lt;0, "&lt;0", "&gt;0")), 0), "")</f>
        <v>-193110</v>
      </c>
      <c r="G151" s="28" t="str">
        <f>IF(F151&gt;0, IF(C151="Transaction", "Da thanh toan", "Duong"), IF(F151&lt;0, IF(C151="Transaction", "Du no", IF(C151="Interests", "Lai phat sinh", IF(C151="Misc", "Phi", IF(C151="Account Transfer", "Lai tra gop", "Am")))), "Bang 0"))</f>
        <v>Lai phat sinh</v>
      </c>
    </row>
    <row r="152" spans="1:7" x14ac:dyDescent="0.3">
      <c r="A152" s="60">
        <v>45070</v>
      </c>
      <c r="B152" s="35">
        <v>-24989.03</v>
      </c>
      <c r="C152" t="s">
        <v>49</v>
      </c>
      <c r="D152" s="17"/>
      <c r="E152" s="26" t="str">
        <f>IF(OR(C152="Transaction",C152="Interests",C152="Misc",C152="Account Transfer"), IF(C152="Transaction", IF(B152&lt;0, "Du no", "Da thanh toan"), IF(C152="Interests", "Lai", IF(C152="Misc", "Phi", IF(C152="Account Transfer", IF(OR(ISNUMBER(SEARCH("Trich lai tra gop the TD", D152)), ISNUMBER(SEARCH("Chuyen lai tra gop con lai sang du no thong thuong khi BadDebt", D152))), IF(B152&lt;0, "Lai tra gop", ""), "" )))))) &amp; " " &amp; IF(C152="Interests", TEXT(EDATE(IF(DAY(A152)&gt;=24, A152, EDATE(A152,-1)), -1),"yyyy-mm"), TEXT(IF(DAY(A152)&gt;=24, A152, EDATE(A152,-1)),"yyyy-mm"))</f>
        <v>Lai 2023-04</v>
      </c>
      <c r="F152" s="27">
        <f>IF(ISNUMBER(B152), ROUND(SUMIFS($B$2:$B$10000, $E$2:$E$10000, E152, $B$2:$B$10000, IF(B152&lt;0, "&lt;0", "&gt;0")), 0), "")</f>
        <v>-193110</v>
      </c>
      <c r="G152" s="28" t="str">
        <f>IF(F152&gt;0, IF(C152="Transaction", "Da thanh toan", "Duong"), IF(F152&lt;0, IF(C152="Transaction", "Du no", IF(C152="Interests", "Lai phat sinh", IF(C152="Misc", "Phi", IF(C152="Account Transfer", "Lai tra gop", "Am")))), "Bang 0"))</f>
        <v>Lai phat sinh</v>
      </c>
    </row>
    <row r="153" spans="1:7" x14ac:dyDescent="0.3">
      <c r="A153" s="60">
        <v>45070</v>
      </c>
      <c r="B153" s="35">
        <v>-2931.83</v>
      </c>
      <c r="C153" t="s">
        <v>49</v>
      </c>
      <c r="D153" s="17"/>
      <c r="E153" s="26" t="str">
        <f>IF(OR(C153="Transaction",C153="Interests",C153="Misc",C153="Account Transfer"), IF(C153="Transaction", IF(B153&lt;0, "Du no", "Da thanh toan"), IF(C153="Interests", "Lai", IF(C153="Misc", "Phi", IF(C153="Account Transfer", IF(OR(ISNUMBER(SEARCH("Trich lai tra gop the TD", D153)), ISNUMBER(SEARCH("Chuyen lai tra gop con lai sang du no thong thuong khi BadDebt", D153))), IF(B153&lt;0, "Lai tra gop", ""), "" )))))) &amp; " " &amp; IF(C153="Interests", TEXT(EDATE(IF(DAY(A153)&gt;=24, A153, EDATE(A153,-1)), -1),"yyyy-mm"), TEXT(IF(DAY(A153)&gt;=24, A153, EDATE(A153,-1)),"yyyy-mm"))</f>
        <v>Lai 2023-04</v>
      </c>
      <c r="F153" s="27">
        <f>IF(ISNUMBER(B153), ROUND(SUMIFS($B$2:$B$10000, $E$2:$E$10000, E153, $B$2:$B$10000, IF(B153&lt;0, "&lt;0", "&gt;0")), 0), "")</f>
        <v>-193110</v>
      </c>
      <c r="G153" s="28" t="str">
        <f>IF(F153&gt;0, IF(C153="Transaction", "Da thanh toan", "Duong"), IF(F153&lt;0, IF(C153="Transaction", "Du no", IF(C153="Interests", "Lai phat sinh", IF(C153="Misc", "Phi", IF(C153="Account Transfer", "Lai tra gop", "Am")))), "Bang 0"))</f>
        <v>Lai phat sinh</v>
      </c>
    </row>
    <row r="154" spans="1:7" x14ac:dyDescent="0.3">
      <c r="A154" s="60">
        <v>45070</v>
      </c>
      <c r="B154" s="35">
        <v>-85332.54</v>
      </c>
      <c r="C154" t="s">
        <v>49</v>
      </c>
      <c r="D154" s="17"/>
      <c r="E154" s="26" t="str">
        <f>IF(OR(C154="Transaction",C154="Interests",C154="Misc",C154="Account Transfer"), IF(C154="Transaction", IF(B154&lt;0, "Du no", "Da thanh toan"), IF(C154="Interests", "Lai", IF(C154="Misc", "Phi", IF(C154="Account Transfer", IF(OR(ISNUMBER(SEARCH("Trich lai tra gop the TD", D154)), ISNUMBER(SEARCH("Chuyen lai tra gop con lai sang du no thong thuong khi BadDebt", D154))), IF(B154&lt;0, "Lai tra gop", ""), "" )))))) &amp; " " &amp; IF(C154="Interests", TEXT(EDATE(IF(DAY(A154)&gt;=24, A154, EDATE(A154,-1)), -1),"yyyy-mm"), TEXT(IF(DAY(A154)&gt;=24, A154, EDATE(A154,-1)),"yyyy-mm"))</f>
        <v>Lai 2023-04</v>
      </c>
      <c r="F154" s="27">
        <f>IF(ISNUMBER(B154), ROUND(SUMIFS($B$2:$B$10000, $E$2:$E$10000, E154, $B$2:$B$10000, IF(B154&lt;0, "&lt;0", "&gt;0")), 0), "")</f>
        <v>-193110</v>
      </c>
      <c r="G154" s="28" t="str">
        <f>IF(F154&gt;0, IF(C154="Transaction", "Da thanh toan", "Duong"), IF(F154&lt;0, IF(C154="Transaction", "Du no", IF(C154="Interests", "Lai phat sinh", IF(C154="Misc", "Phi", IF(C154="Account Transfer", "Lai tra gop", "Am")))), "Bang 0"))</f>
        <v>Lai phat sinh</v>
      </c>
    </row>
    <row r="155" spans="1:7" x14ac:dyDescent="0.3">
      <c r="A155" s="60">
        <v>45070</v>
      </c>
      <c r="B155" s="35">
        <v>-5119.4399999999996</v>
      </c>
      <c r="C155" t="s">
        <v>49</v>
      </c>
      <c r="D155" s="17"/>
      <c r="E155" s="26" t="str">
        <f>IF(OR(C155="Transaction",C155="Interests",C155="Misc",C155="Account Transfer"), IF(C155="Transaction", IF(B155&lt;0, "Du no", "Da thanh toan"), IF(C155="Interests", "Lai", IF(C155="Misc", "Phi", IF(C155="Account Transfer", IF(OR(ISNUMBER(SEARCH("Trich lai tra gop the TD", D155)), ISNUMBER(SEARCH("Chuyen lai tra gop con lai sang du no thong thuong khi BadDebt", D155))), IF(B155&lt;0, "Lai tra gop", ""), "" )))))) &amp; " " &amp; IF(C155="Interests", TEXT(EDATE(IF(DAY(A155)&gt;=24, A155, EDATE(A155,-1)), -1),"yyyy-mm"), TEXT(IF(DAY(A155)&gt;=24, A155, EDATE(A155,-1)),"yyyy-mm"))</f>
        <v>Lai 2023-04</v>
      </c>
      <c r="F155" s="27">
        <f>IF(ISNUMBER(B155), ROUND(SUMIFS($B$2:$B$10000, $E$2:$E$10000, E155, $B$2:$B$10000, IF(B155&lt;0, "&lt;0", "&gt;0")), 0), "")</f>
        <v>-193110</v>
      </c>
      <c r="G155" s="28" t="str">
        <f>IF(F155&gt;0, IF(C155="Transaction", "Da thanh toan", "Duong"), IF(F155&lt;0, IF(C155="Transaction", "Du no", IF(C155="Interests", "Lai phat sinh", IF(C155="Misc", "Phi", IF(C155="Account Transfer", "Lai tra gop", "Am")))), "Bang 0"))</f>
        <v>Lai phat sinh</v>
      </c>
    </row>
    <row r="156" spans="1:7" x14ac:dyDescent="0.3">
      <c r="A156" s="60">
        <v>45070</v>
      </c>
      <c r="B156" s="35">
        <v>-59427.77</v>
      </c>
      <c r="C156" t="s">
        <v>49</v>
      </c>
      <c r="D156" s="17"/>
      <c r="E156" s="26" t="str">
        <f>IF(OR(C156="Transaction",C156="Interests",C156="Misc",C156="Account Transfer"), IF(C156="Transaction", IF(B156&lt;0, "Du no", "Da thanh toan"), IF(C156="Interests", "Lai", IF(C156="Misc", "Phi", IF(C156="Account Transfer", IF(OR(ISNUMBER(SEARCH("Trich lai tra gop the TD", D156)), ISNUMBER(SEARCH("Chuyen lai tra gop con lai sang du no thong thuong khi BadDebt", D156))), IF(B156&lt;0, "Lai tra gop", ""), "" )))))) &amp; " " &amp; IF(C156="Interests", TEXT(EDATE(IF(DAY(A156)&gt;=24, A156, EDATE(A156,-1)), -1),"yyyy-mm"), TEXT(IF(DAY(A156)&gt;=24, A156, EDATE(A156,-1)),"yyyy-mm"))</f>
        <v>Lai 2023-04</v>
      </c>
      <c r="F156" s="27">
        <f>IF(ISNUMBER(B156), ROUND(SUMIFS($B$2:$B$10000, $E$2:$E$10000, E156, $B$2:$B$10000, IF(B156&lt;0, "&lt;0", "&gt;0")), 0), "")</f>
        <v>-193110</v>
      </c>
      <c r="G156" s="28" t="str">
        <f>IF(F156&gt;0, IF(C156="Transaction", "Da thanh toan", "Duong"), IF(F156&lt;0, IF(C156="Transaction", "Du no", IF(C156="Interests", "Lai phat sinh", IF(C156="Misc", "Phi", IF(C156="Account Transfer", "Lai tra gop", "Am")))), "Bang 0"))</f>
        <v>Lai phat sinh</v>
      </c>
    </row>
    <row r="157" spans="1:7" x14ac:dyDescent="0.3">
      <c r="A157" s="60">
        <v>45070</v>
      </c>
      <c r="B157" s="35">
        <v>-1886.23</v>
      </c>
      <c r="C157" t="s">
        <v>49</v>
      </c>
      <c r="D157" s="17"/>
      <c r="E157" s="26" t="str">
        <f>IF(OR(C157="Transaction",C157="Interests",C157="Misc",C157="Account Transfer"), IF(C157="Transaction", IF(B157&lt;0, "Du no", "Da thanh toan"), IF(C157="Interests", "Lai", IF(C157="Misc", "Phi", IF(C157="Account Transfer", IF(OR(ISNUMBER(SEARCH("Trich lai tra gop the TD", D157)), ISNUMBER(SEARCH("Chuyen lai tra gop con lai sang du no thong thuong khi BadDebt", D157))), IF(B157&lt;0, "Lai tra gop", ""), "" )))))) &amp; " " &amp; IF(C157="Interests", TEXT(EDATE(IF(DAY(A157)&gt;=24, A157, EDATE(A157,-1)), -1),"yyyy-mm"), TEXT(IF(DAY(A157)&gt;=24, A157, EDATE(A157,-1)),"yyyy-mm"))</f>
        <v>Lai 2023-04</v>
      </c>
      <c r="F157" s="27">
        <f>IF(ISNUMBER(B157), ROUND(SUMIFS($B$2:$B$10000, $E$2:$E$10000, E157, $B$2:$B$10000, IF(B157&lt;0, "&lt;0", "&gt;0")), 0), "")</f>
        <v>-193110</v>
      </c>
      <c r="G157" s="28" t="str">
        <f>IF(F157&gt;0, IF(C157="Transaction", "Da thanh toan", "Duong"), IF(F157&lt;0, IF(C157="Transaction", "Du no", IF(C157="Interests", "Lai phat sinh", IF(C157="Misc", "Phi", IF(C157="Account Transfer", "Lai tra gop", "Am")))), "Bang 0"))</f>
        <v>Lai phat sinh</v>
      </c>
    </row>
    <row r="158" spans="1:7" x14ac:dyDescent="0.3">
      <c r="A158" s="60">
        <v>45070</v>
      </c>
      <c r="B158" s="35">
        <v>-5705.07</v>
      </c>
      <c r="C158" t="s">
        <v>49</v>
      </c>
      <c r="D158" s="17"/>
      <c r="E158" s="26" t="str">
        <f>IF(OR(C158="Transaction",C158="Interests",C158="Misc",C158="Account Transfer"), IF(C158="Transaction", IF(B158&lt;0, "Du no", "Da thanh toan"), IF(C158="Interests", "Lai", IF(C158="Misc", "Phi", IF(C158="Account Transfer", IF(OR(ISNUMBER(SEARCH("Trich lai tra gop the TD", D158)), ISNUMBER(SEARCH("Chuyen lai tra gop con lai sang du no thong thuong khi BadDebt", D158))), IF(B158&lt;0, "Lai tra gop", ""), "" )))))) &amp; " " &amp; IF(C158="Interests", TEXT(EDATE(IF(DAY(A158)&gt;=24, A158, EDATE(A158,-1)), -1),"yyyy-mm"), TEXT(IF(DAY(A158)&gt;=24, A158, EDATE(A158,-1)),"yyyy-mm"))</f>
        <v>Lai 2023-04</v>
      </c>
      <c r="F158" s="27">
        <f>IF(ISNUMBER(B158), ROUND(SUMIFS($B$2:$B$10000, $E$2:$E$10000, E158, $B$2:$B$10000, IF(B158&lt;0, "&lt;0", "&gt;0")), 0), "")</f>
        <v>-193110</v>
      </c>
      <c r="G158" s="28" t="str">
        <f>IF(F158&gt;0, IF(C158="Transaction", "Da thanh toan", "Duong"), IF(F158&lt;0, IF(C158="Transaction", "Du no", IF(C158="Interests", "Lai phat sinh", IF(C158="Misc", "Phi", IF(C158="Account Transfer", "Lai tra gop", "Am")))), "Bang 0"))</f>
        <v>Lai phat sinh</v>
      </c>
    </row>
    <row r="159" spans="1:7" x14ac:dyDescent="0.3">
      <c r="A159" s="60">
        <v>45069</v>
      </c>
      <c r="B159" s="35">
        <v>604041.67000000004</v>
      </c>
      <c r="C159" t="s">
        <v>753</v>
      </c>
      <c r="D159" s="17" t="s">
        <v>761</v>
      </c>
      <c r="E159" s="26" t="str">
        <f>IF(OR(C159="Transaction",C159="Interests",C159="Misc",C159="Account Transfer"), IF(C159="Transaction", IF(B159&lt;0, "Du no", "Da thanh toan"), IF(C159="Interests", "Lai", IF(C159="Misc", "Phi", IF(C159="Account Transfer", IF(OR(ISNUMBER(SEARCH("Trich lai tra gop the TD", D159)), ISNUMBER(SEARCH("Chuyen lai tra gop con lai sang du no thong thuong khi BadDebt", D159))), IF(B159&lt;0, "Lai tra gop", ""), "" )))))) &amp; " " &amp; IF(C159="Interests", TEXT(EDATE(IF(DAY(A159)&gt;=24, A159, EDATE(A159,-1)), -1),"yyyy-mm"), TEXT(IF(DAY(A159)&gt;=24, A159, EDATE(A159,-1)),"yyyy-mm"))</f>
        <v xml:space="preserve"> 2023-04</v>
      </c>
      <c r="F159" s="27">
        <f>IF(ISNUMBER(B159), ROUND(SUMIFS($B$2:$B$10000, $E$2:$E$10000, E159, $B$2:$B$10000, IF(B159&lt;0, "&lt;0", "&gt;0")), 0), "")</f>
        <v>2102065</v>
      </c>
      <c r="G159" s="28" t="str">
        <f>IF(F159&gt;0, IF(C159="Transaction", "Da thanh toan", "Duong"), IF(F159&lt;0, IF(C159="Transaction", "Du no", IF(C159="Interests", "Lai phat sinh", IF(C159="Misc", "Phi", IF(C159="Account Transfer", "Lai tra gop", "Am")))), "Bang 0"))</f>
        <v>Duong</v>
      </c>
    </row>
    <row r="160" spans="1:7" x14ac:dyDescent="0.3">
      <c r="A160" s="60">
        <v>45069</v>
      </c>
      <c r="B160" s="35">
        <v>-604041.67000000004</v>
      </c>
      <c r="C160" t="s">
        <v>753</v>
      </c>
      <c r="D160" s="17" t="s">
        <v>761</v>
      </c>
      <c r="E160" s="26" t="str">
        <f>IF(OR(C160="Transaction",C160="Interests",C160="Misc",C160="Account Transfer"), IF(C160="Transaction", IF(B160&lt;0, "Du no", "Da thanh toan"), IF(C160="Interests", "Lai", IF(C160="Misc", "Phi", IF(C160="Account Transfer", IF(OR(ISNUMBER(SEARCH("Trich lai tra gop the TD", D160)), ISNUMBER(SEARCH("Chuyen lai tra gop con lai sang du no thong thuong khi BadDebt", D160))), IF(B160&lt;0, "Lai tra gop", ""), "" )))))) &amp; " " &amp; IF(C160="Interests", TEXT(EDATE(IF(DAY(A160)&gt;=24, A160, EDATE(A160,-1)), -1),"yyyy-mm"), TEXT(IF(DAY(A160)&gt;=24, A160, EDATE(A160,-1)),"yyyy-mm"))</f>
        <v xml:space="preserve"> 2023-04</v>
      </c>
      <c r="F160" s="27">
        <f>IF(ISNUMBER(B160), ROUND(SUMIFS($B$2:$B$10000, $E$2:$E$10000, E160, $B$2:$B$10000, IF(B160&lt;0, "&lt;0", "&gt;0")), 0), "")</f>
        <v>-2102065</v>
      </c>
      <c r="G160" s="28" t="str">
        <f>IF(F160&gt;0, IF(C160="Transaction", "Da thanh toan", "Duong"), IF(F160&lt;0, IF(C160="Transaction", "Du no", IF(C160="Interests", "Lai phat sinh", IF(C160="Misc", "Phi", IF(C160="Account Transfer", "Lai tra gop", "Am")))), "Bang 0"))</f>
        <v>Lai tra gop</v>
      </c>
    </row>
    <row r="161" spans="1:7" x14ac:dyDescent="0.3">
      <c r="A161" s="60">
        <v>45069</v>
      </c>
      <c r="B161" s="35">
        <v>-289940</v>
      </c>
      <c r="C161" t="s">
        <v>753</v>
      </c>
      <c r="D161" s="17" t="s">
        <v>762</v>
      </c>
      <c r="E161" s="26" t="str">
        <f>IF(OR(C161="Transaction",C161="Interests",C161="Misc",C161="Account Transfer"), IF(C161="Transaction", IF(B161&lt;0, "Du no", "Da thanh toan"), IF(C161="Interests", "Lai", IF(C161="Misc", "Phi", IF(C161="Account Transfer", IF(OR(ISNUMBER(SEARCH("Trich lai tra gop the TD", D161)), ISNUMBER(SEARCH("Chuyen lai tra gop con lai sang du no thong thuong khi BadDebt", D161))), IF(B161&lt;0, "Lai tra gop", ""), "" )))))) &amp; " " &amp; IF(C161="Interests", TEXT(EDATE(IF(DAY(A161)&gt;=24, A161, EDATE(A161,-1)), -1),"yyyy-mm"), TEXT(IF(DAY(A161)&gt;=24, A161, EDATE(A161,-1)),"yyyy-mm"))</f>
        <v>Lai tra gop 2023-04</v>
      </c>
      <c r="F161" s="27">
        <f>IF(ISNUMBER(B161), ROUND(SUMIFS($B$2:$B$10000, $E$2:$E$10000, E161, $B$2:$B$10000, IF(B161&lt;0, "&lt;0", "&gt;0")), 0), "")</f>
        <v>-579880</v>
      </c>
      <c r="G161" s="28" t="str">
        <f>IF(F161&gt;0, IF(C161="Transaction", "Da thanh toan", "Duong"), IF(F161&lt;0, IF(C161="Transaction", "Du no", IF(C161="Interests", "Lai phat sinh", IF(C161="Misc", "Phi", IF(C161="Account Transfer", "Lai tra gop", "Am")))), "Bang 0"))</f>
        <v>Lai tra gop</v>
      </c>
    </row>
    <row r="162" spans="1:7" x14ac:dyDescent="0.3">
      <c r="A162" s="60">
        <v>45056</v>
      </c>
      <c r="B162" s="35">
        <v>-149000</v>
      </c>
      <c r="C162" t="s">
        <v>50</v>
      </c>
      <c r="D162" s="17"/>
      <c r="E162" s="26" t="str">
        <f>IF(OR(C162="Transaction",C162="Interests",C162="Misc",C162="Account Transfer"), IF(C162="Transaction", IF(B162&lt;0, "Du no", "Da thanh toan"), IF(C162="Interests", "Lai", IF(C162="Misc", "Phi", IF(C162="Account Transfer", IF(OR(ISNUMBER(SEARCH("Trich lai tra gop the TD", D162)), ISNUMBER(SEARCH("Chuyen lai tra gop con lai sang du no thong thuong khi BadDebt", D162))), IF(B162&lt;0, "Lai tra gop", ""), "" )))))) &amp; " " &amp; IF(C162="Interests", TEXT(EDATE(IF(DAY(A162)&gt;=24, A162, EDATE(A162,-1)), -1),"yyyy-mm"), TEXT(IF(DAY(A162)&gt;=24, A162, EDATE(A162,-1)),"yyyy-mm"))</f>
        <v>Phi 2023-04</v>
      </c>
      <c r="F162" s="27">
        <f>IF(ISNUMBER(B162), ROUND(SUMIFS($B$2:$B$10000, $E$2:$E$10000, E162, $B$2:$B$10000, IF(B162&lt;0, "&lt;0", "&gt;0")), 0), "")</f>
        <v>-149000</v>
      </c>
      <c r="G162" s="28" t="str">
        <f>IF(F162&gt;0, IF(C162="Transaction", "Da thanh toan", "Duong"), IF(F162&lt;0, IF(C162="Transaction", "Du no", IF(C162="Interests", "Lai phat sinh", IF(C162="Misc", "Phi", IF(C162="Account Transfer", "Lai tra gop", "Am")))), "Bang 0"))</f>
        <v>Phi</v>
      </c>
    </row>
    <row r="163" spans="1:7" x14ac:dyDescent="0.3">
      <c r="A163" s="60">
        <v>45055</v>
      </c>
      <c r="B163" s="35">
        <v>604041.67000000004</v>
      </c>
      <c r="C163" t="s">
        <v>753</v>
      </c>
      <c r="D163" s="17" t="s">
        <v>755</v>
      </c>
      <c r="E163" s="26" t="str">
        <f>IF(OR(C163="Transaction",C163="Interests",C163="Misc",C163="Account Transfer"), IF(C163="Transaction", IF(B163&lt;0, "Du no", "Da thanh toan"), IF(C163="Interests", "Lai", IF(C163="Misc", "Phi", IF(C163="Account Transfer", IF(OR(ISNUMBER(SEARCH("Trich lai tra gop the TD", D163)), ISNUMBER(SEARCH("Chuyen lai tra gop con lai sang du no thong thuong khi BadDebt", D163))), IF(B163&lt;0, "Lai tra gop", ""), "" )))))) &amp; " " &amp; IF(C163="Interests", TEXT(EDATE(IF(DAY(A163)&gt;=24, A163, EDATE(A163,-1)), -1),"yyyy-mm"), TEXT(IF(DAY(A163)&gt;=24, A163, EDATE(A163,-1)),"yyyy-mm"))</f>
        <v xml:space="preserve"> 2023-04</v>
      </c>
      <c r="F163" s="27">
        <f>IF(ISNUMBER(B163), ROUND(SUMIFS($B$2:$B$10000, $E$2:$E$10000, E163, $B$2:$B$10000, IF(B163&lt;0, "&lt;0", "&gt;0")), 0), "")</f>
        <v>2102065</v>
      </c>
      <c r="G163" s="28" t="str">
        <f>IF(F163&gt;0, IF(C163="Transaction", "Da thanh toan", "Duong"), IF(F163&lt;0, IF(C163="Transaction", "Du no", IF(C163="Interests", "Lai phat sinh", IF(C163="Misc", "Phi", IF(C163="Account Transfer", "Lai tra gop", "Am")))), "Bang 0"))</f>
        <v>Duong</v>
      </c>
    </row>
    <row r="164" spans="1:7" x14ac:dyDescent="0.3">
      <c r="A164" s="60">
        <v>45055</v>
      </c>
      <c r="B164" s="35">
        <v>289940</v>
      </c>
      <c r="C164" t="s">
        <v>753</v>
      </c>
      <c r="D164" s="17" t="s">
        <v>756</v>
      </c>
      <c r="E164" s="26" t="str">
        <f>IF(OR(C164="Transaction",C164="Interests",C164="Misc",C164="Account Transfer"), IF(C164="Transaction", IF(B164&lt;0, "Du no", "Da thanh toan"), IF(C164="Interests", "Lai", IF(C164="Misc", "Phi", IF(C164="Account Transfer", IF(OR(ISNUMBER(SEARCH("Trich lai tra gop the TD", D164)), ISNUMBER(SEARCH("Chuyen lai tra gop con lai sang du no thong thuong khi BadDebt", D164))), IF(B164&lt;0, "Lai tra gop", ""), "" )))))) &amp; " " &amp; IF(C164="Interests", TEXT(EDATE(IF(DAY(A164)&gt;=24, A164, EDATE(A164,-1)), -1),"yyyy-mm"), TEXT(IF(DAY(A164)&gt;=24, A164, EDATE(A164,-1)),"yyyy-mm"))</f>
        <v xml:space="preserve"> 2023-04</v>
      </c>
      <c r="F164" s="27">
        <f>IF(ISNUMBER(B164), ROUND(SUMIFS($B$2:$B$10000, $E$2:$E$10000, E164, $B$2:$B$10000, IF(B164&lt;0, "&lt;0", "&gt;0")), 0), "")</f>
        <v>2102065</v>
      </c>
      <c r="G164" s="28" t="str">
        <f>IF(F164&gt;0, IF(C164="Transaction", "Da thanh toan", "Duong"), IF(F164&lt;0, IF(C164="Transaction", "Du no", IF(C164="Interests", "Lai phat sinh", IF(C164="Misc", "Phi", IF(C164="Account Transfer", "Lai tra gop", "Am")))), "Bang 0"))</f>
        <v>Duong</v>
      </c>
    </row>
    <row r="165" spans="1:7" x14ac:dyDescent="0.3">
      <c r="A165" s="60">
        <v>45055</v>
      </c>
      <c r="B165" s="35">
        <v>-604041.67000000004</v>
      </c>
      <c r="C165" t="s">
        <v>753</v>
      </c>
      <c r="D165" s="17" t="s">
        <v>755</v>
      </c>
      <c r="E165" s="26" t="str">
        <f>IF(OR(C165="Transaction",C165="Interests",C165="Misc",C165="Account Transfer"), IF(C165="Transaction", IF(B165&lt;0, "Du no", "Da thanh toan"), IF(C165="Interests", "Lai", IF(C165="Misc", "Phi", IF(C165="Account Transfer", IF(OR(ISNUMBER(SEARCH("Trich lai tra gop the TD", D165)), ISNUMBER(SEARCH("Chuyen lai tra gop con lai sang du no thong thuong khi BadDebt", D165))), IF(B165&lt;0, "Lai tra gop", ""), "" )))))) &amp; " " &amp; IF(C165="Interests", TEXT(EDATE(IF(DAY(A165)&gt;=24, A165, EDATE(A165,-1)), -1),"yyyy-mm"), TEXT(IF(DAY(A165)&gt;=24, A165, EDATE(A165,-1)),"yyyy-mm"))</f>
        <v xml:space="preserve"> 2023-04</v>
      </c>
      <c r="F165" s="27">
        <f>IF(ISNUMBER(B165), ROUND(SUMIFS($B$2:$B$10000, $E$2:$E$10000, E165, $B$2:$B$10000, IF(B165&lt;0, "&lt;0", "&gt;0")), 0), "")</f>
        <v>-2102065</v>
      </c>
      <c r="G165" s="28" t="str">
        <f>IF(F165&gt;0, IF(C165="Transaction", "Da thanh toan", "Duong"), IF(F165&lt;0, IF(C165="Transaction", "Du no", IF(C165="Interests", "Lai phat sinh", IF(C165="Misc", "Phi", IF(C165="Account Transfer", "Lai tra gop", "Am")))), "Bang 0"))</f>
        <v>Lai tra gop</v>
      </c>
    </row>
    <row r="166" spans="1:7" x14ac:dyDescent="0.3">
      <c r="A166" s="60">
        <v>45055</v>
      </c>
      <c r="B166" s="35">
        <v>-289940</v>
      </c>
      <c r="C166" t="s">
        <v>753</v>
      </c>
      <c r="D166" s="17" t="s">
        <v>756</v>
      </c>
      <c r="E166" s="26" t="str">
        <f>IF(OR(C166="Transaction",C166="Interests",C166="Misc",C166="Account Transfer"), IF(C166="Transaction", IF(B166&lt;0, "Du no", "Da thanh toan"), IF(C166="Interests", "Lai", IF(C166="Misc", "Phi", IF(C166="Account Transfer", IF(OR(ISNUMBER(SEARCH("Trich lai tra gop the TD", D166)), ISNUMBER(SEARCH("Chuyen lai tra gop con lai sang du no thong thuong khi BadDebt", D166))), IF(B166&lt;0, "Lai tra gop", ""), "" )))))) &amp; " " &amp; IF(C166="Interests", TEXT(EDATE(IF(DAY(A166)&gt;=24, A166, EDATE(A166,-1)), -1),"yyyy-mm"), TEXT(IF(DAY(A166)&gt;=24, A166, EDATE(A166,-1)),"yyyy-mm"))</f>
        <v xml:space="preserve"> 2023-04</v>
      </c>
      <c r="F166" s="27">
        <f>IF(ISNUMBER(B166), ROUND(SUMIFS($B$2:$B$10000, $E$2:$E$10000, E166, $B$2:$B$10000, IF(B166&lt;0, "&lt;0", "&gt;0")), 0), "")</f>
        <v>-2102065</v>
      </c>
      <c r="G166" s="28" t="str">
        <f>IF(F166&gt;0, IF(C166="Transaction", "Da thanh toan", "Duong"), IF(F166&lt;0, IF(C166="Transaction", "Du no", IF(C166="Interests", "Lai phat sinh", IF(C166="Misc", "Phi", IF(C166="Account Transfer", "Lai tra gop", "Am")))), "Bang 0"))</f>
        <v>Lai tra gop</v>
      </c>
    </row>
    <row r="167" spans="1:7" x14ac:dyDescent="0.3">
      <c r="A167" s="60">
        <v>45040</v>
      </c>
      <c r="B167" s="35">
        <v>604041.67000000004</v>
      </c>
      <c r="C167" t="s">
        <v>753</v>
      </c>
      <c r="D167" s="17" t="s">
        <v>761</v>
      </c>
      <c r="E167" s="26" t="str">
        <f>IF(OR(C167="Transaction",C167="Interests",C167="Misc",C167="Account Transfer"), IF(C167="Transaction", IF(B167&lt;0, "Du no", "Da thanh toan"), IF(C167="Interests", "Lai", IF(C167="Misc", "Phi", IF(C167="Account Transfer", IF(OR(ISNUMBER(SEARCH("Trich lai tra gop the TD", D167)), ISNUMBER(SEARCH("Chuyen lai tra gop con lai sang du no thong thuong khi BadDebt", D167))), IF(B167&lt;0, "Lai tra gop", ""), "" )))))) &amp; " " &amp; IF(C167="Interests", TEXT(EDATE(IF(DAY(A167)&gt;=24, A167, EDATE(A167,-1)), -1),"yyyy-mm"), TEXT(IF(DAY(A167)&gt;=24, A167, EDATE(A167,-1)),"yyyy-mm"))</f>
        <v xml:space="preserve"> 2023-04</v>
      </c>
      <c r="F167" s="27">
        <f>IF(ISNUMBER(B167), ROUND(SUMIFS($B$2:$B$10000, $E$2:$E$10000, E167, $B$2:$B$10000, IF(B167&lt;0, "&lt;0", "&gt;0")), 0), "")</f>
        <v>2102065</v>
      </c>
      <c r="G167" s="28" t="str">
        <f>IF(F167&gt;0, IF(C167="Transaction", "Da thanh toan", "Duong"), IF(F167&lt;0, IF(C167="Transaction", "Du no", IF(C167="Interests", "Lai phat sinh", IF(C167="Misc", "Phi", IF(C167="Account Transfer", "Lai tra gop", "Am")))), "Bang 0"))</f>
        <v>Duong</v>
      </c>
    </row>
    <row r="168" spans="1:7" x14ac:dyDescent="0.3">
      <c r="A168" s="60">
        <v>45040</v>
      </c>
      <c r="B168" s="35">
        <v>-604041.67000000004</v>
      </c>
      <c r="C168" t="s">
        <v>753</v>
      </c>
      <c r="D168" s="17" t="s">
        <v>761</v>
      </c>
      <c r="E168" s="26" t="str">
        <f>IF(OR(C168="Transaction",C168="Interests",C168="Misc",C168="Account Transfer"), IF(C168="Transaction", IF(B168&lt;0, "Du no", "Da thanh toan"), IF(C168="Interests", "Lai", IF(C168="Misc", "Phi", IF(C168="Account Transfer", IF(OR(ISNUMBER(SEARCH("Trich lai tra gop the TD", D168)), ISNUMBER(SEARCH("Chuyen lai tra gop con lai sang du no thong thuong khi BadDebt", D168))), IF(B168&lt;0, "Lai tra gop", ""), "" )))))) &amp; " " &amp; IF(C168="Interests", TEXT(EDATE(IF(DAY(A168)&gt;=24, A168, EDATE(A168,-1)), -1),"yyyy-mm"), TEXT(IF(DAY(A168)&gt;=24, A168, EDATE(A168,-1)),"yyyy-mm"))</f>
        <v xml:space="preserve"> 2023-04</v>
      </c>
      <c r="F168" s="27">
        <f>IF(ISNUMBER(B168), ROUND(SUMIFS($B$2:$B$10000, $E$2:$E$10000, E168, $B$2:$B$10000, IF(B168&lt;0, "&lt;0", "&gt;0")), 0), "")</f>
        <v>-2102065</v>
      </c>
      <c r="G168" s="28" t="str">
        <f>IF(F168&gt;0, IF(C168="Transaction", "Da thanh toan", "Duong"), IF(F168&lt;0, IF(C168="Transaction", "Du no", IF(C168="Interests", "Lai phat sinh", IF(C168="Misc", "Phi", IF(C168="Account Transfer", "Lai tra gop", "Am")))), "Bang 0"))</f>
        <v>Lai tra gop</v>
      </c>
    </row>
    <row r="169" spans="1:7" x14ac:dyDescent="0.3">
      <c r="A169" s="60">
        <v>45040</v>
      </c>
      <c r="B169" s="35">
        <v>-289940</v>
      </c>
      <c r="C169" t="s">
        <v>753</v>
      </c>
      <c r="D169" s="17" t="s">
        <v>762</v>
      </c>
      <c r="E169" s="26" t="str">
        <f>IF(OR(C169="Transaction",C169="Interests",C169="Misc",C169="Account Transfer"), IF(C169="Transaction", IF(B169&lt;0, "Du no", "Da thanh toan"), IF(C169="Interests", "Lai", IF(C169="Misc", "Phi", IF(C169="Account Transfer", IF(OR(ISNUMBER(SEARCH("Trich lai tra gop the TD", D169)), ISNUMBER(SEARCH("Chuyen lai tra gop con lai sang du no thong thuong khi BadDebt", D169))), IF(B169&lt;0, "Lai tra gop", ""), "" )))))) &amp; " " &amp; IF(C169="Interests", TEXT(EDATE(IF(DAY(A169)&gt;=24, A169, EDATE(A169,-1)), -1),"yyyy-mm"), TEXT(IF(DAY(A169)&gt;=24, A169, EDATE(A169,-1)),"yyyy-mm"))</f>
        <v>Lai tra gop 2023-04</v>
      </c>
      <c r="F169" s="27">
        <f>IF(ISNUMBER(B169), ROUND(SUMIFS($B$2:$B$10000, $E$2:$E$10000, E169, $B$2:$B$10000, IF(B169&lt;0, "&lt;0", "&gt;0")), 0), "")</f>
        <v>-579880</v>
      </c>
      <c r="G169" s="28" t="str">
        <f>IF(F169&gt;0, IF(C169="Transaction", "Da thanh toan", "Duong"), IF(F169&lt;0, IF(C169="Transaction", "Du no", IF(C169="Interests", "Lai phat sinh", IF(C169="Misc", "Phi", IF(C169="Account Transfer", "Lai tra gop", "Am")))), "Bang 0"))</f>
        <v>Lai tra gop</v>
      </c>
    </row>
    <row r="170" spans="1:7" x14ac:dyDescent="0.3">
      <c r="A170" s="60">
        <v>45040</v>
      </c>
      <c r="B170" s="35">
        <v>-1954.55</v>
      </c>
      <c r="C170" t="s">
        <v>49</v>
      </c>
      <c r="D170" s="17"/>
      <c r="E170" s="26" t="str">
        <f>IF(OR(C170="Transaction",C170="Interests",C170="Misc",C170="Account Transfer"), IF(C170="Transaction", IF(B170&lt;0, "Du no", "Da thanh toan"), IF(C170="Interests", "Lai", IF(C170="Misc", "Phi", IF(C170="Account Transfer", IF(OR(ISNUMBER(SEARCH("Trich lai tra gop the TD", D170)), ISNUMBER(SEARCH("Chuyen lai tra gop con lai sang du no thong thuong khi BadDebt", D170))), IF(B170&lt;0, "Lai tra gop", ""), "" )))))) &amp; " " &amp; IF(C170="Interests", TEXT(EDATE(IF(DAY(A170)&gt;=24, A170, EDATE(A170,-1)), -1),"yyyy-mm"), TEXT(IF(DAY(A170)&gt;=24, A170, EDATE(A170,-1)),"yyyy-mm"))</f>
        <v>Lai 2023-03</v>
      </c>
      <c r="F170" s="27">
        <f>IF(ISNUMBER(B170), ROUND(SUMIFS($B$2:$B$10000, $E$2:$E$10000, E170, $B$2:$B$10000, IF(B170&lt;0, "&lt;0", "&gt;0")), 0), "")</f>
        <v>-178019</v>
      </c>
      <c r="G170" s="28" t="str">
        <f>IF(F170&gt;0, IF(C170="Transaction", "Da thanh toan", "Duong"), IF(F170&lt;0, IF(C170="Transaction", "Du no", IF(C170="Interests", "Lai phat sinh", IF(C170="Misc", "Phi", IF(C170="Account Transfer", "Lai tra gop", "Am")))), "Bang 0"))</f>
        <v>Lai phat sinh</v>
      </c>
    </row>
    <row r="171" spans="1:7" x14ac:dyDescent="0.3">
      <c r="A171" s="60">
        <v>45040</v>
      </c>
      <c r="B171" s="35">
        <v>-5349.26</v>
      </c>
      <c r="C171" t="s">
        <v>49</v>
      </c>
      <c r="D171" s="17"/>
      <c r="E171" s="26" t="str">
        <f>IF(OR(C171="Transaction",C171="Interests",C171="Misc",C171="Account Transfer"), IF(C171="Transaction", IF(B171&lt;0, "Du no", "Da thanh toan"), IF(C171="Interests", "Lai", IF(C171="Misc", "Phi", IF(C171="Account Transfer", IF(OR(ISNUMBER(SEARCH("Trich lai tra gop the TD", D171)), ISNUMBER(SEARCH("Chuyen lai tra gop con lai sang du no thong thuong khi BadDebt", D171))), IF(B171&lt;0, "Lai tra gop", ""), "" )))))) &amp; " " &amp; IF(C171="Interests", TEXT(EDATE(IF(DAY(A171)&gt;=24, A171, EDATE(A171,-1)), -1),"yyyy-mm"), TEXT(IF(DAY(A171)&gt;=24, A171, EDATE(A171,-1)),"yyyy-mm"))</f>
        <v>Lai 2023-03</v>
      </c>
      <c r="F171" s="27">
        <f>IF(ISNUMBER(B171), ROUND(SUMIFS($B$2:$B$10000, $E$2:$E$10000, E171, $B$2:$B$10000, IF(B171&lt;0, "&lt;0", "&gt;0")), 0), "")</f>
        <v>-178019</v>
      </c>
      <c r="G171" s="28" t="str">
        <f>IF(F171&gt;0, IF(C171="Transaction", "Da thanh toan", "Duong"), IF(F171&lt;0, IF(C171="Transaction", "Du no", IF(C171="Interests", "Lai phat sinh", IF(C171="Misc", "Phi", IF(C171="Account Transfer", "Lai tra gop", "Am")))), "Bang 0"))</f>
        <v>Lai phat sinh</v>
      </c>
    </row>
    <row r="172" spans="1:7" x14ac:dyDescent="0.3">
      <c r="A172" s="60">
        <v>45040</v>
      </c>
      <c r="B172" s="35">
        <v>-25821.99</v>
      </c>
      <c r="C172" t="s">
        <v>49</v>
      </c>
      <c r="D172" s="17"/>
      <c r="E172" s="26" t="str">
        <f>IF(OR(C172="Transaction",C172="Interests",C172="Misc",C172="Account Transfer"), IF(C172="Transaction", IF(B172&lt;0, "Du no", "Da thanh toan"), IF(C172="Interests", "Lai", IF(C172="Misc", "Phi", IF(C172="Account Transfer", IF(OR(ISNUMBER(SEARCH("Trich lai tra gop the TD", D172)), ISNUMBER(SEARCH("Chuyen lai tra gop con lai sang du no thong thuong khi BadDebt", D172))), IF(B172&lt;0, "Lai tra gop", ""), "" )))))) &amp; " " &amp; IF(C172="Interests", TEXT(EDATE(IF(DAY(A172)&gt;=24, A172, EDATE(A172,-1)), -1),"yyyy-mm"), TEXT(IF(DAY(A172)&gt;=24, A172, EDATE(A172,-1)),"yyyy-mm"))</f>
        <v>Lai 2023-03</v>
      </c>
      <c r="F172" s="27">
        <f>IF(ISNUMBER(B172), ROUND(SUMIFS($B$2:$B$10000, $E$2:$E$10000, E172, $B$2:$B$10000, IF(B172&lt;0, "&lt;0", "&gt;0")), 0), "")</f>
        <v>-178019</v>
      </c>
      <c r="G172" s="28" t="str">
        <f>IF(F172&gt;0, IF(C172="Transaction", "Da thanh toan", "Duong"), IF(F172&lt;0, IF(C172="Transaction", "Du no", IF(C172="Interests", "Lai phat sinh", IF(C172="Misc", "Phi", IF(C172="Account Transfer", "Lai tra gop", "Am")))), "Bang 0"))</f>
        <v>Lai phat sinh</v>
      </c>
    </row>
    <row r="173" spans="1:7" x14ac:dyDescent="0.3">
      <c r="A173" s="60">
        <v>45040</v>
      </c>
      <c r="B173" s="35">
        <v>-2931.83</v>
      </c>
      <c r="C173" t="s">
        <v>49</v>
      </c>
      <c r="D173" s="17"/>
      <c r="E173" s="26" t="str">
        <f>IF(OR(C173="Transaction",C173="Interests",C173="Misc",C173="Account Transfer"), IF(C173="Transaction", IF(B173&lt;0, "Du no", "Da thanh toan"), IF(C173="Interests", "Lai", IF(C173="Misc", "Phi", IF(C173="Account Transfer", IF(OR(ISNUMBER(SEARCH("Trich lai tra gop the TD", D173)), ISNUMBER(SEARCH("Chuyen lai tra gop con lai sang du no thong thuong khi BadDebt", D173))), IF(B173&lt;0, "Lai tra gop", ""), "" )))))) &amp; " " &amp; IF(C173="Interests", TEXT(EDATE(IF(DAY(A173)&gt;=24, A173, EDATE(A173,-1)), -1),"yyyy-mm"), TEXT(IF(DAY(A173)&gt;=24, A173, EDATE(A173,-1)),"yyyy-mm"))</f>
        <v>Lai 2023-03</v>
      </c>
      <c r="F173" s="27">
        <f>IF(ISNUMBER(B173), ROUND(SUMIFS($B$2:$B$10000, $E$2:$E$10000, E173, $B$2:$B$10000, IF(B173&lt;0, "&lt;0", "&gt;0")), 0), "")</f>
        <v>-178019</v>
      </c>
      <c r="G173" s="28" t="str">
        <f>IF(F173&gt;0, IF(C173="Transaction", "Da thanh toan", "Duong"), IF(F173&lt;0, IF(C173="Transaction", "Du no", IF(C173="Interests", "Lai phat sinh", IF(C173="Misc", "Phi", IF(C173="Account Transfer", "Lai tra gop", "Am")))), "Bang 0"))</f>
        <v>Lai phat sinh</v>
      </c>
    </row>
    <row r="174" spans="1:7" x14ac:dyDescent="0.3">
      <c r="A174" s="60">
        <v>45040</v>
      </c>
      <c r="B174" s="35">
        <v>-86382.98</v>
      </c>
      <c r="C174" t="s">
        <v>49</v>
      </c>
      <c r="D174" s="17"/>
      <c r="E174" s="26" t="str">
        <f>IF(OR(C174="Transaction",C174="Interests",C174="Misc",C174="Account Transfer"), IF(C174="Transaction", IF(B174&lt;0, "Du no", "Da thanh toan"), IF(C174="Interests", "Lai", IF(C174="Misc", "Phi", IF(C174="Account Transfer", IF(OR(ISNUMBER(SEARCH("Trich lai tra gop the TD", D174)), ISNUMBER(SEARCH("Chuyen lai tra gop con lai sang du no thong thuong khi BadDebt", D174))), IF(B174&lt;0, "Lai tra gop", ""), "" )))))) &amp; " " &amp; IF(C174="Interests", TEXT(EDATE(IF(DAY(A174)&gt;=24, A174, EDATE(A174,-1)), -1),"yyyy-mm"), TEXT(IF(DAY(A174)&gt;=24, A174, EDATE(A174,-1)),"yyyy-mm"))</f>
        <v>Lai 2023-03</v>
      </c>
      <c r="F174" s="27">
        <f>IF(ISNUMBER(B174), ROUND(SUMIFS($B$2:$B$10000, $E$2:$E$10000, E174, $B$2:$B$10000, IF(B174&lt;0, "&lt;0", "&gt;0")), 0), "")</f>
        <v>-178019</v>
      </c>
      <c r="G174" s="28" t="str">
        <f>IF(F174&gt;0, IF(C174="Transaction", "Da thanh toan", "Duong"), IF(F174&lt;0, IF(C174="Transaction", "Du no", IF(C174="Interests", "Lai phat sinh", IF(C174="Misc", "Phi", IF(C174="Account Transfer", "Lai tra gop", "Am")))), "Bang 0"))</f>
        <v>Lai phat sinh</v>
      </c>
    </row>
    <row r="175" spans="1:7" x14ac:dyDescent="0.3">
      <c r="A175" s="60">
        <v>45040</v>
      </c>
      <c r="B175" s="35">
        <v>-7648.29</v>
      </c>
      <c r="C175" t="s">
        <v>49</v>
      </c>
      <c r="D175" s="17"/>
      <c r="E175" s="26" t="str">
        <f>IF(OR(C175="Transaction",C175="Interests",C175="Misc",C175="Account Transfer"), IF(C175="Transaction", IF(B175&lt;0, "Du no", "Da thanh toan"), IF(C175="Interests", "Lai", IF(C175="Misc", "Phi", IF(C175="Account Transfer", IF(OR(ISNUMBER(SEARCH("Trich lai tra gop the TD", D175)), ISNUMBER(SEARCH("Chuyen lai tra gop con lai sang du no thong thuong khi BadDebt", D175))), IF(B175&lt;0, "Lai tra gop", ""), "" )))))) &amp; " " &amp; IF(C175="Interests", TEXT(EDATE(IF(DAY(A175)&gt;=24, A175, EDATE(A175,-1)), -1),"yyyy-mm"), TEXT(IF(DAY(A175)&gt;=24, A175, EDATE(A175,-1)),"yyyy-mm"))</f>
        <v>Lai 2023-03</v>
      </c>
      <c r="F175" s="27">
        <f>IF(ISNUMBER(B175), ROUND(SUMIFS($B$2:$B$10000, $E$2:$E$10000, E175, $B$2:$B$10000, IF(B175&lt;0, "&lt;0", "&gt;0")), 0), "")</f>
        <v>-178019</v>
      </c>
      <c r="G175" s="28" t="str">
        <f>IF(F175&gt;0, IF(C175="Transaction", "Da thanh toan", "Duong"), IF(F175&lt;0, IF(C175="Transaction", "Du no", IF(C175="Interests", "Lai phat sinh", IF(C175="Misc", "Phi", IF(C175="Account Transfer", "Lai tra gop", "Am")))), "Bang 0"))</f>
        <v>Lai phat sinh</v>
      </c>
    </row>
    <row r="176" spans="1:7" x14ac:dyDescent="0.3">
      <c r="A176" s="60">
        <v>45040</v>
      </c>
      <c r="B176" s="35">
        <v>-37241.4</v>
      </c>
      <c r="C176" t="s">
        <v>49</v>
      </c>
      <c r="D176" s="17"/>
      <c r="E176" s="26" t="str">
        <f>IF(OR(C176="Transaction",C176="Interests",C176="Misc",C176="Account Transfer"), IF(C176="Transaction", IF(B176&lt;0, "Du no", "Da thanh toan"), IF(C176="Interests", "Lai", IF(C176="Misc", "Phi", IF(C176="Account Transfer", IF(OR(ISNUMBER(SEARCH("Trich lai tra gop the TD", D176)), ISNUMBER(SEARCH("Chuyen lai tra gop con lai sang du no thong thuong khi BadDebt", D176))), IF(B176&lt;0, "Lai tra gop", ""), "" )))))) &amp; " " &amp; IF(C176="Interests", TEXT(EDATE(IF(DAY(A176)&gt;=24, A176, EDATE(A176,-1)), -1),"yyyy-mm"), TEXT(IF(DAY(A176)&gt;=24, A176, EDATE(A176,-1)),"yyyy-mm"))</f>
        <v>Lai 2023-03</v>
      </c>
      <c r="F176" s="27">
        <f>IF(ISNUMBER(B176), ROUND(SUMIFS($B$2:$B$10000, $E$2:$E$10000, E176, $B$2:$B$10000, IF(B176&lt;0, "&lt;0", "&gt;0")), 0), "")</f>
        <v>-178019</v>
      </c>
      <c r="G176" s="28" t="str">
        <f>IF(F176&gt;0, IF(C176="Transaction", "Da thanh toan", "Duong"), IF(F176&lt;0, IF(C176="Transaction", "Du no", IF(C176="Interests", "Lai phat sinh", IF(C176="Misc", "Phi", IF(C176="Account Transfer", "Lai tra gop", "Am")))), "Bang 0"))</f>
        <v>Lai phat sinh</v>
      </c>
    </row>
    <row r="177" spans="1:7" x14ac:dyDescent="0.3">
      <c r="A177" s="60">
        <v>45040</v>
      </c>
      <c r="B177" s="35">
        <v>-419.97</v>
      </c>
      <c r="C177" t="s">
        <v>49</v>
      </c>
      <c r="D177" s="17"/>
      <c r="E177" s="26" t="str">
        <f>IF(OR(C177="Transaction",C177="Interests",C177="Misc",C177="Account Transfer"), IF(C177="Transaction", IF(B177&lt;0, "Du no", "Da thanh toan"), IF(C177="Interests", "Lai", IF(C177="Misc", "Phi", IF(C177="Account Transfer", IF(OR(ISNUMBER(SEARCH("Trich lai tra gop the TD", D177)), ISNUMBER(SEARCH("Chuyen lai tra gop con lai sang du no thong thuong khi BadDebt", D177))), IF(B177&lt;0, "Lai tra gop", ""), "" )))))) &amp; " " &amp; IF(C177="Interests", TEXT(EDATE(IF(DAY(A177)&gt;=24, A177, EDATE(A177,-1)), -1),"yyyy-mm"), TEXT(IF(DAY(A177)&gt;=24, A177, EDATE(A177,-1)),"yyyy-mm"))</f>
        <v>Lai 2023-03</v>
      </c>
      <c r="F177" s="27">
        <f>IF(ISNUMBER(B177), ROUND(SUMIFS($B$2:$B$10000, $E$2:$E$10000, E177, $B$2:$B$10000, IF(B177&lt;0, "&lt;0", "&gt;0")), 0), "")</f>
        <v>-178019</v>
      </c>
      <c r="G177" s="28" t="str">
        <f>IF(F177&gt;0, IF(C177="Transaction", "Da thanh toan", "Duong"), IF(F177&lt;0, IF(C177="Transaction", "Du no", IF(C177="Interests", "Lai phat sinh", IF(C177="Misc", "Phi", IF(C177="Account Transfer", "Lai tra gop", "Am")))), "Bang 0"))</f>
        <v>Lai phat sinh</v>
      </c>
    </row>
    <row r="178" spans="1:7" x14ac:dyDescent="0.3">
      <c r="A178" s="60">
        <v>45040</v>
      </c>
      <c r="B178" s="35">
        <v>-10269.120000000001</v>
      </c>
      <c r="C178" t="s">
        <v>49</v>
      </c>
      <c r="D178" s="17"/>
      <c r="E178" s="26" t="str">
        <f>IF(OR(C178="Transaction",C178="Interests",C178="Misc",C178="Account Transfer"), IF(C178="Transaction", IF(B178&lt;0, "Du no", "Da thanh toan"), IF(C178="Interests", "Lai", IF(C178="Misc", "Phi", IF(C178="Account Transfer", IF(OR(ISNUMBER(SEARCH("Trich lai tra gop the TD", D178)), ISNUMBER(SEARCH("Chuyen lai tra gop con lai sang du no thong thuong khi BadDebt", D178))), IF(B178&lt;0, "Lai tra gop", ""), "" )))))) &amp; " " &amp; IF(C178="Interests", TEXT(EDATE(IF(DAY(A178)&gt;=24, A178, EDATE(A178,-1)), -1),"yyyy-mm"), TEXT(IF(DAY(A178)&gt;=24, A178, EDATE(A178,-1)),"yyyy-mm"))</f>
        <v>Lai 2023-03</v>
      </c>
      <c r="F178" s="27">
        <f>IF(ISNUMBER(B178), ROUND(SUMIFS($B$2:$B$10000, $E$2:$E$10000, E178, $B$2:$B$10000, IF(B178&lt;0, "&lt;0", "&gt;0")), 0), "")</f>
        <v>-178019</v>
      </c>
      <c r="G178" s="28" t="str">
        <f>IF(F178&gt;0, IF(C178="Transaction", "Da thanh toan", "Duong"), IF(F178&lt;0, IF(C178="Transaction", "Du no", IF(C178="Interests", "Lai phat sinh", IF(C178="Misc", "Phi", IF(C178="Account Transfer", "Lai tra gop", "Am")))), "Bang 0"))</f>
        <v>Lai phat sinh</v>
      </c>
    </row>
    <row r="179" spans="1:7" x14ac:dyDescent="0.3">
      <c r="A179" s="60">
        <v>45030</v>
      </c>
      <c r="B179" s="35">
        <v>1024048</v>
      </c>
      <c r="C179" t="s">
        <v>51</v>
      </c>
      <c r="D179" s="17" t="s">
        <v>763</v>
      </c>
      <c r="E179" s="26" t="str">
        <f>IF(OR(C179="Transaction",C179="Interests",C179="Misc",C179="Account Transfer"), IF(C179="Transaction", IF(B179&lt;0, "Du no", "Da thanh toan"), IF(C179="Interests", "Lai", IF(C179="Misc", "Phi", IF(C179="Account Transfer", IF(OR(ISNUMBER(SEARCH("Trich lai tra gop the TD", D179)), ISNUMBER(SEARCH("Chuyen lai tra gop con lai sang du no thong thuong khi BadDebt", D179))), IF(B179&lt;0, "Lai tra gop", ""), "" )))))) &amp; " " &amp; IF(C179="Interests", TEXT(EDATE(IF(DAY(A179)&gt;=24, A179, EDATE(A179,-1)), -1),"yyyy-mm"), TEXT(IF(DAY(A179)&gt;=24, A179, EDATE(A179,-1)),"yyyy-mm"))</f>
        <v>Da thanh toan 2023-03</v>
      </c>
      <c r="F179" s="27">
        <f>IF(ISNUMBER(B179), ROUND(SUMIFS($B$2:$B$10000, $E$2:$E$10000, E179, $B$2:$B$10000, IF(B179&lt;0, "&lt;0", "&gt;0")), 0), "")</f>
        <v>1024048</v>
      </c>
      <c r="G179" s="28" t="str">
        <f>IF(F179&gt;0, IF(C179="Transaction", "Da thanh toan", "Duong"), IF(F179&lt;0, IF(C179="Transaction", "Du no", IF(C179="Interests", "Lai phat sinh", IF(C179="Misc", "Phi", IF(C179="Account Transfer", "Lai tra gop", "Am")))), "Bang 0"))</f>
        <v>Da thanh toan</v>
      </c>
    </row>
    <row r="180" spans="1:7" x14ac:dyDescent="0.3">
      <c r="A180" s="60">
        <v>45027</v>
      </c>
      <c r="B180" s="35">
        <v>-149000</v>
      </c>
      <c r="C180" t="s">
        <v>50</v>
      </c>
      <c r="D180" s="17"/>
      <c r="E180" s="26" t="str">
        <f>IF(OR(C180="Transaction",C180="Interests",C180="Misc",C180="Account Transfer"), IF(C180="Transaction", IF(B180&lt;0, "Du no", "Da thanh toan"), IF(C180="Interests", "Lai", IF(C180="Misc", "Phi", IF(C180="Account Transfer", IF(OR(ISNUMBER(SEARCH("Trich lai tra gop the TD", D180)), ISNUMBER(SEARCH("Chuyen lai tra gop con lai sang du no thong thuong khi BadDebt", D180))), IF(B180&lt;0, "Lai tra gop", ""), "" )))))) &amp; " " &amp; IF(C180="Interests", TEXT(EDATE(IF(DAY(A180)&gt;=24, A180, EDATE(A180,-1)), -1),"yyyy-mm"), TEXT(IF(DAY(A180)&gt;=24, A180, EDATE(A180,-1)),"yyyy-mm"))</f>
        <v>Phi 2023-03</v>
      </c>
      <c r="F180" s="27">
        <f>IF(ISNUMBER(B180), ROUND(SUMIFS($B$2:$B$10000, $E$2:$E$10000, E180, $B$2:$B$10000, IF(B180&lt;0, "&lt;0", "&gt;0")), 0), "")</f>
        <v>-149000</v>
      </c>
      <c r="G180" s="28" t="str">
        <f>IF(F180&gt;0, IF(C180="Transaction", "Da thanh toan", "Duong"), IF(F180&lt;0, IF(C180="Transaction", "Du no", IF(C180="Interests", "Lai phat sinh", IF(C180="Misc", "Phi", IF(C180="Account Transfer", "Lai tra gop", "Am")))), "Bang 0"))</f>
        <v>Phi</v>
      </c>
    </row>
    <row r="181" spans="1:7" x14ac:dyDescent="0.3">
      <c r="A181" s="60">
        <v>45024</v>
      </c>
      <c r="B181" s="35">
        <v>604041.67000000004</v>
      </c>
      <c r="C181" t="s">
        <v>753</v>
      </c>
      <c r="D181" s="17" t="s">
        <v>755</v>
      </c>
      <c r="E181" s="26" t="str">
        <f>IF(OR(C181="Transaction",C181="Interests",C181="Misc",C181="Account Transfer"), IF(C181="Transaction", IF(B181&lt;0, "Du no", "Da thanh toan"), IF(C181="Interests", "Lai", IF(C181="Misc", "Phi", IF(C181="Account Transfer", IF(OR(ISNUMBER(SEARCH("Trich lai tra gop the TD", D181)), ISNUMBER(SEARCH("Chuyen lai tra gop con lai sang du no thong thuong khi BadDebt", D181))), IF(B181&lt;0, "Lai tra gop", ""), "" )))))) &amp; " " &amp; IF(C181="Interests", TEXT(EDATE(IF(DAY(A181)&gt;=24, A181, EDATE(A181,-1)), -1),"yyyy-mm"), TEXT(IF(DAY(A181)&gt;=24, A181, EDATE(A181,-1)),"yyyy-mm"))</f>
        <v xml:space="preserve"> 2023-03</v>
      </c>
      <c r="F181" s="27">
        <f>IF(ISNUMBER(B181), ROUND(SUMIFS($B$2:$B$10000, $E$2:$E$10000, E181, $B$2:$B$10000, IF(B181&lt;0, "&lt;0", "&gt;0")), 0), "")</f>
        <v>893982</v>
      </c>
      <c r="G181" s="28" t="str">
        <f>IF(F181&gt;0, IF(C181="Transaction", "Da thanh toan", "Duong"), IF(F181&lt;0, IF(C181="Transaction", "Du no", IF(C181="Interests", "Lai phat sinh", IF(C181="Misc", "Phi", IF(C181="Account Transfer", "Lai tra gop", "Am")))), "Bang 0"))</f>
        <v>Duong</v>
      </c>
    </row>
    <row r="182" spans="1:7" x14ac:dyDescent="0.3">
      <c r="A182" s="60">
        <v>45024</v>
      </c>
      <c r="B182" s="35">
        <v>289940</v>
      </c>
      <c r="C182" t="s">
        <v>753</v>
      </c>
      <c r="D182" s="17" t="s">
        <v>756</v>
      </c>
      <c r="E182" s="26" t="str">
        <f>IF(OR(C182="Transaction",C182="Interests",C182="Misc",C182="Account Transfer"), IF(C182="Transaction", IF(B182&lt;0, "Du no", "Da thanh toan"), IF(C182="Interests", "Lai", IF(C182="Misc", "Phi", IF(C182="Account Transfer", IF(OR(ISNUMBER(SEARCH("Trich lai tra gop the TD", D182)), ISNUMBER(SEARCH("Chuyen lai tra gop con lai sang du no thong thuong khi BadDebt", D182))), IF(B182&lt;0, "Lai tra gop", ""), "" )))))) &amp; " " &amp; IF(C182="Interests", TEXT(EDATE(IF(DAY(A182)&gt;=24, A182, EDATE(A182,-1)), -1),"yyyy-mm"), TEXT(IF(DAY(A182)&gt;=24, A182, EDATE(A182,-1)),"yyyy-mm"))</f>
        <v xml:space="preserve"> 2023-03</v>
      </c>
      <c r="F182" s="27">
        <f>IF(ISNUMBER(B182), ROUND(SUMIFS($B$2:$B$10000, $E$2:$E$10000, E182, $B$2:$B$10000, IF(B182&lt;0, "&lt;0", "&gt;0")), 0), "")</f>
        <v>893982</v>
      </c>
      <c r="G182" s="28" t="str">
        <f>IF(F182&gt;0, IF(C182="Transaction", "Da thanh toan", "Duong"), IF(F182&lt;0, IF(C182="Transaction", "Du no", IF(C182="Interests", "Lai phat sinh", IF(C182="Misc", "Phi", IF(C182="Account Transfer", "Lai tra gop", "Am")))), "Bang 0"))</f>
        <v>Duong</v>
      </c>
    </row>
    <row r="183" spans="1:7" x14ac:dyDescent="0.3">
      <c r="A183" s="60">
        <v>45024</v>
      </c>
      <c r="B183" s="35">
        <v>-604041.67000000004</v>
      </c>
      <c r="C183" t="s">
        <v>753</v>
      </c>
      <c r="D183" s="17" t="s">
        <v>755</v>
      </c>
      <c r="E183" s="26" t="str">
        <f>IF(OR(C183="Transaction",C183="Interests",C183="Misc",C183="Account Transfer"), IF(C183="Transaction", IF(B183&lt;0, "Du no", "Da thanh toan"), IF(C183="Interests", "Lai", IF(C183="Misc", "Phi", IF(C183="Account Transfer", IF(OR(ISNUMBER(SEARCH("Trich lai tra gop the TD", D183)), ISNUMBER(SEARCH("Chuyen lai tra gop con lai sang du no thong thuong khi BadDebt", D183))), IF(B183&lt;0, "Lai tra gop", ""), "" )))))) &amp; " " &amp; IF(C183="Interests", TEXT(EDATE(IF(DAY(A183)&gt;=24, A183, EDATE(A183,-1)), -1),"yyyy-mm"), TEXT(IF(DAY(A183)&gt;=24, A183, EDATE(A183,-1)),"yyyy-mm"))</f>
        <v xml:space="preserve"> 2023-03</v>
      </c>
      <c r="F183" s="27">
        <f>IF(ISNUMBER(B183), ROUND(SUMIFS($B$2:$B$10000, $E$2:$E$10000, E183, $B$2:$B$10000, IF(B183&lt;0, "&lt;0", "&gt;0")), 0), "")</f>
        <v>-893982</v>
      </c>
      <c r="G183" s="28" t="str">
        <f>IF(F183&gt;0, IF(C183="Transaction", "Da thanh toan", "Duong"), IF(F183&lt;0, IF(C183="Transaction", "Du no", IF(C183="Interests", "Lai phat sinh", IF(C183="Misc", "Phi", IF(C183="Account Transfer", "Lai tra gop", "Am")))), "Bang 0"))</f>
        <v>Lai tra gop</v>
      </c>
    </row>
    <row r="184" spans="1:7" x14ac:dyDescent="0.3">
      <c r="A184" s="60">
        <v>45024</v>
      </c>
      <c r="B184" s="35">
        <v>-289940</v>
      </c>
      <c r="C184" t="s">
        <v>753</v>
      </c>
      <c r="D184" s="17" t="s">
        <v>756</v>
      </c>
      <c r="E184" s="26" t="str">
        <f>IF(OR(C184="Transaction",C184="Interests",C184="Misc",C184="Account Transfer"), IF(C184="Transaction", IF(B184&lt;0, "Du no", "Da thanh toan"), IF(C184="Interests", "Lai", IF(C184="Misc", "Phi", IF(C184="Account Transfer", IF(OR(ISNUMBER(SEARCH("Trich lai tra gop the TD", D184)), ISNUMBER(SEARCH("Chuyen lai tra gop con lai sang du no thong thuong khi BadDebt", D184))), IF(B184&lt;0, "Lai tra gop", ""), "" )))))) &amp; " " &amp; IF(C184="Interests", TEXT(EDATE(IF(DAY(A184)&gt;=24, A184, EDATE(A184,-1)), -1),"yyyy-mm"), TEXT(IF(DAY(A184)&gt;=24, A184, EDATE(A184,-1)),"yyyy-mm"))</f>
        <v xml:space="preserve"> 2023-03</v>
      </c>
      <c r="F184" s="27">
        <f>IF(ISNUMBER(B184), ROUND(SUMIFS($B$2:$B$10000, $E$2:$E$10000, E184, $B$2:$B$10000, IF(B184&lt;0, "&lt;0", "&gt;0")), 0), "")</f>
        <v>-893982</v>
      </c>
      <c r="G184" s="28" t="str">
        <f>IF(F184&gt;0, IF(C184="Transaction", "Da thanh toan", "Duong"), IF(F184&lt;0, IF(C184="Transaction", "Du no", IF(C184="Interests", "Lai phat sinh", IF(C184="Misc", "Phi", IF(C184="Account Transfer", "Lai tra gop", "Am")))), "Bang 0"))</f>
        <v>Lai tra gop</v>
      </c>
    </row>
    <row r="185" spans="1:7" x14ac:dyDescent="0.3">
      <c r="A185" s="60">
        <v>45009</v>
      </c>
      <c r="B185" s="35">
        <v>-5953.79</v>
      </c>
      <c r="C185" t="s">
        <v>49</v>
      </c>
      <c r="D185" s="17"/>
      <c r="E185" s="26" t="str">
        <f>IF(OR(C185="Transaction",C185="Interests",C185="Misc",C185="Account Transfer"), IF(C185="Transaction", IF(B185&lt;0, "Du no", "Da thanh toan"), IF(C185="Interests", "Lai", IF(C185="Misc", "Phi", IF(C185="Account Transfer", IF(OR(ISNUMBER(SEARCH("Trich lai tra gop the TD", D185)), ISNUMBER(SEARCH("Chuyen lai tra gop con lai sang du no thong thuong khi BadDebt", D185))), IF(B185&lt;0, "Lai tra gop", ""), "" )))))) &amp; " " &amp; IF(C185="Interests", TEXT(EDATE(IF(DAY(A185)&gt;=24, A185, EDATE(A185,-1)), -1),"yyyy-mm"), TEXT(IF(DAY(A185)&gt;=24, A185, EDATE(A185,-1)),"yyyy-mm"))</f>
        <v>Lai 2023-02</v>
      </c>
      <c r="F185" s="27">
        <f>IF(ISNUMBER(B185), ROUND(SUMIFS($B$2:$B$10000, $E$2:$E$10000, E185, $B$2:$B$10000, IF(B185&lt;0, "&lt;0", "&gt;0")), 0), "")</f>
        <v>-130790</v>
      </c>
      <c r="G185" s="28" t="str">
        <f>IF(F185&gt;0, IF(C185="Transaction", "Da thanh toan", "Duong"), IF(F185&lt;0, IF(C185="Transaction", "Du no", IF(C185="Interests", "Lai phat sinh", IF(C185="Misc", "Phi", IF(C185="Account Transfer", "Lai tra gop", "Am")))), "Bang 0"))</f>
        <v>Lai phat sinh</v>
      </c>
    </row>
    <row r="186" spans="1:7" x14ac:dyDescent="0.3">
      <c r="A186" s="60">
        <v>45009</v>
      </c>
      <c r="B186" s="35">
        <v>-4444.8500000000004</v>
      </c>
      <c r="C186" t="s">
        <v>49</v>
      </c>
      <c r="D186" s="17"/>
      <c r="E186" s="26" t="str">
        <f>IF(OR(C186="Transaction",C186="Interests",C186="Misc",C186="Account Transfer"), IF(C186="Transaction", IF(B186&lt;0, "Du no", "Da thanh toan"), IF(C186="Interests", "Lai", IF(C186="Misc", "Phi", IF(C186="Account Transfer", IF(OR(ISNUMBER(SEARCH("Trich lai tra gop the TD", D186)), ISNUMBER(SEARCH("Chuyen lai tra gop con lai sang du no thong thuong khi BadDebt", D186))), IF(B186&lt;0, "Lai tra gop", ""), "" )))))) &amp; " " &amp; IF(C186="Interests", TEXT(EDATE(IF(DAY(A186)&gt;=24, A186, EDATE(A186,-1)), -1),"yyyy-mm"), TEXT(IF(DAY(A186)&gt;=24, A186, EDATE(A186,-1)),"yyyy-mm"))</f>
        <v>Lai 2023-02</v>
      </c>
      <c r="F186" s="27">
        <f>IF(ISNUMBER(B186), ROUND(SUMIFS($B$2:$B$10000, $E$2:$E$10000, E186, $B$2:$B$10000, IF(B186&lt;0, "&lt;0", "&gt;0")), 0), "")</f>
        <v>-130790</v>
      </c>
      <c r="G186" s="28" t="str">
        <f>IF(F186&gt;0, IF(C186="Transaction", "Da thanh toan", "Duong"), IF(F186&lt;0, IF(C186="Transaction", "Du no", IF(C186="Interests", "Lai phat sinh", IF(C186="Misc", "Phi", IF(C186="Account Transfer", "Lai tra gop", "Am")))), "Bang 0"))</f>
        <v>Lai phat sinh</v>
      </c>
    </row>
    <row r="187" spans="1:7" x14ac:dyDescent="0.3">
      <c r="A187" s="60">
        <v>45009</v>
      </c>
      <c r="B187" s="35">
        <v>-73755.95</v>
      </c>
      <c r="C187" t="s">
        <v>49</v>
      </c>
      <c r="D187" s="17"/>
      <c r="E187" s="26" t="str">
        <f>IF(OR(C187="Transaction",C187="Interests",C187="Misc",C187="Account Transfer"), IF(C187="Transaction", IF(B187&lt;0, "Du no", "Da thanh toan"), IF(C187="Interests", "Lai", IF(C187="Misc", "Phi", IF(C187="Account Transfer", IF(OR(ISNUMBER(SEARCH("Trich lai tra gop the TD", D187)), ISNUMBER(SEARCH("Chuyen lai tra gop con lai sang du no thong thuong khi BadDebt", D187))), IF(B187&lt;0, "Lai tra gop", ""), "" )))))) &amp; " " &amp; IF(C187="Interests", TEXT(EDATE(IF(DAY(A187)&gt;=24, A187, EDATE(A187,-1)), -1),"yyyy-mm"), TEXT(IF(DAY(A187)&gt;=24, A187, EDATE(A187,-1)),"yyyy-mm"))</f>
        <v>Lai 2023-02</v>
      </c>
      <c r="F187" s="27">
        <f>IF(ISNUMBER(B187), ROUND(SUMIFS($B$2:$B$10000, $E$2:$E$10000, E187, $B$2:$B$10000, IF(B187&lt;0, "&lt;0", "&gt;0")), 0), "")</f>
        <v>-130790</v>
      </c>
      <c r="G187" s="28" t="str">
        <f>IF(F187&gt;0, IF(C187="Transaction", "Da thanh toan", "Duong"), IF(F187&lt;0, IF(C187="Transaction", "Du no", IF(C187="Interests", "Lai phat sinh", IF(C187="Misc", "Phi", IF(C187="Account Transfer", "Lai tra gop", "Am")))), "Bang 0"))</f>
        <v>Lai phat sinh</v>
      </c>
    </row>
    <row r="188" spans="1:7" x14ac:dyDescent="0.3">
      <c r="A188" s="60">
        <v>45009</v>
      </c>
      <c r="B188" s="35">
        <v>-3235.19</v>
      </c>
      <c r="C188" t="s">
        <v>49</v>
      </c>
      <c r="D188" s="17"/>
      <c r="E188" s="26" t="str">
        <f>IF(OR(C188="Transaction",C188="Interests",C188="Misc",C188="Account Transfer"), IF(C188="Transaction", IF(B188&lt;0, "Du no", "Da thanh toan"), IF(C188="Interests", "Lai", IF(C188="Misc", "Phi", IF(C188="Account Transfer", IF(OR(ISNUMBER(SEARCH("Trich lai tra gop the TD", D188)), ISNUMBER(SEARCH("Chuyen lai tra gop con lai sang du no thong thuong khi BadDebt", D188))), IF(B188&lt;0, "Lai tra gop", ""), "" )))))) &amp; " " &amp; IF(C188="Interests", TEXT(EDATE(IF(DAY(A188)&gt;=24, A188, EDATE(A188,-1)), -1),"yyyy-mm"), TEXT(IF(DAY(A188)&gt;=24, A188, EDATE(A188,-1)),"yyyy-mm"))</f>
        <v>Lai 2023-02</v>
      </c>
      <c r="F188" s="27">
        <f>IF(ISNUMBER(B188), ROUND(SUMIFS($B$2:$B$10000, $E$2:$E$10000, E188, $B$2:$B$10000, IF(B188&lt;0, "&lt;0", "&gt;0")), 0), "")</f>
        <v>-130790</v>
      </c>
      <c r="G188" s="28" t="str">
        <f>IF(F188&gt;0, IF(C188="Transaction", "Da thanh toan", "Duong"), IF(F188&lt;0, IF(C188="Transaction", "Du no", IF(C188="Interests", "Lai phat sinh", IF(C188="Misc", "Phi", IF(C188="Account Transfer", "Lai tra gop", "Am")))), "Bang 0"))</f>
        <v>Lai phat sinh</v>
      </c>
    </row>
    <row r="189" spans="1:7" x14ac:dyDescent="0.3">
      <c r="A189" s="60">
        <v>45009</v>
      </c>
      <c r="B189" s="35">
        <v>-23323.09</v>
      </c>
      <c r="C189" t="s">
        <v>49</v>
      </c>
      <c r="D189" s="25"/>
      <c r="E189" s="26" t="str">
        <f>IF(OR(C189="Transaction",C189="Interests",C189="Misc",C189="Account Transfer"), IF(C189="Transaction", IF(B189&lt;0, "Du no", "Da thanh toan"), IF(C189="Interests", "Lai", IF(C189="Misc", "Phi", IF(C189="Account Transfer", IF(OR(ISNUMBER(SEARCH("Trich lai tra gop the TD", D189)), ISNUMBER(SEARCH("Chuyen lai tra gop con lai sang du no thong thuong khi BadDebt", D189))), IF(B189&lt;0, "Lai tra gop", ""), "" )))))) &amp; " " &amp; IF(C189="Interests", TEXT(EDATE(IF(DAY(A189)&gt;=24, A189, EDATE(A189,-1)), -1),"yyyy-mm"), TEXT(IF(DAY(A189)&gt;=24, A189, EDATE(A189,-1)),"yyyy-mm"))</f>
        <v>Lai 2023-02</v>
      </c>
      <c r="F189" s="27">
        <f>IF(ISNUMBER(B189), ROUND(SUMIFS($B$2:$B$10000, $E$2:$E$10000, E189, $B$2:$B$10000, IF(B189&lt;0, "&lt;0", "&gt;0")), 0), "")</f>
        <v>-130790</v>
      </c>
      <c r="G189" s="28" t="str">
        <f>IF(F189&gt;0, IF(C189="Transaction", "Da thanh toan", "Duong"), IF(F189&lt;0, IF(C189="Transaction", "Du no", IF(C189="Interests", "Lai phat sinh", IF(C189="Misc", "Phi", IF(C189="Account Transfer", "Lai tra gop", "Am")))), "Bang 0"))</f>
        <v>Lai phat sinh</v>
      </c>
    </row>
    <row r="190" spans="1:7" x14ac:dyDescent="0.3">
      <c r="A190" s="60">
        <v>45009</v>
      </c>
      <c r="B190" s="35">
        <v>-4831.59</v>
      </c>
      <c r="C190" t="s">
        <v>49</v>
      </c>
      <c r="D190" s="17"/>
      <c r="E190" s="26" t="str">
        <f>IF(OR(C190="Transaction",C190="Interests",C190="Misc",C190="Account Transfer"), IF(C190="Transaction", IF(B190&lt;0, "Du no", "Da thanh toan"), IF(C190="Interests", "Lai", IF(C190="Misc", "Phi", IF(C190="Account Transfer", IF(OR(ISNUMBER(SEARCH("Trich lai tra gop the TD", D190)), ISNUMBER(SEARCH("Chuyen lai tra gop con lai sang du no thong thuong khi BadDebt", D190))), IF(B190&lt;0, "Lai tra gop", ""), "" )))))) &amp; " " &amp; IF(C190="Interests", TEXT(EDATE(IF(DAY(A190)&gt;=24, A190, EDATE(A190,-1)), -1),"yyyy-mm"), TEXT(IF(DAY(A190)&gt;=24, A190, EDATE(A190,-1)),"yyyy-mm"))</f>
        <v>Lai 2023-02</v>
      </c>
      <c r="F190" s="27">
        <f>IF(ISNUMBER(B190), ROUND(SUMIFS($B$2:$B$10000, $E$2:$E$10000, E190, $B$2:$B$10000, IF(B190&lt;0, "&lt;0", "&gt;0")), 0), "")</f>
        <v>-130790</v>
      </c>
      <c r="G190" s="28" t="str">
        <f>IF(F190&gt;0, IF(C190="Transaction", "Da thanh toan", "Duong"), IF(F190&lt;0, IF(C190="Transaction", "Du no", IF(C190="Interests", "Lai phat sinh", IF(C190="Misc", "Phi", IF(C190="Account Transfer", "Lai tra gop", "Am")))), "Bang 0"))</f>
        <v>Lai phat sinh</v>
      </c>
    </row>
    <row r="191" spans="1:7" x14ac:dyDescent="0.3">
      <c r="A191" s="60">
        <v>45009</v>
      </c>
      <c r="B191" s="35">
        <v>-4944.3900000000003</v>
      </c>
      <c r="C191" t="s">
        <v>49</v>
      </c>
      <c r="D191" s="17"/>
      <c r="E191" s="26" t="str">
        <f>IF(OR(C191="Transaction",C191="Interests",C191="Misc",C191="Account Transfer"), IF(C191="Transaction", IF(B191&lt;0, "Du no", "Da thanh toan"), IF(C191="Interests", "Lai", IF(C191="Misc", "Phi", IF(C191="Account Transfer", IF(OR(ISNUMBER(SEARCH("Trich lai tra gop the TD", D191)), ISNUMBER(SEARCH("Chuyen lai tra gop con lai sang du no thong thuong khi BadDebt", D191))), IF(B191&lt;0, "Lai tra gop", ""), "" )))))) &amp; " " &amp; IF(C191="Interests", TEXT(EDATE(IF(DAY(A191)&gt;=24, A191, EDATE(A191,-1)), -1),"yyyy-mm"), TEXT(IF(DAY(A191)&gt;=24, A191, EDATE(A191,-1)),"yyyy-mm"))</f>
        <v>Lai 2023-02</v>
      </c>
      <c r="F191" s="27">
        <f>IF(ISNUMBER(B191), ROUND(SUMIFS($B$2:$B$10000, $E$2:$E$10000, E191, $B$2:$B$10000, IF(B191&lt;0, "&lt;0", "&gt;0")), 0), "")</f>
        <v>-130790</v>
      </c>
      <c r="G191" s="28" t="str">
        <f>IF(F191&gt;0, IF(C191="Transaction", "Da thanh toan", "Duong"), IF(F191&lt;0, IF(C191="Transaction", "Du no", IF(C191="Interests", "Lai phat sinh", IF(C191="Misc", "Phi", IF(C191="Account Transfer", "Lai tra gop", "Am")))), "Bang 0"))</f>
        <v>Lai phat sinh</v>
      </c>
    </row>
    <row r="192" spans="1:7" x14ac:dyDescent="0.3">
      <c r="A192" s="60">
        <v>45009</v>
      </c>
      <c r="B192" s="35">
        <v>-10300.81</v>
      </c>
      <c r="C192" t="s">
        <v>49</v>
      </c>
      <c r="D192" s="17"/>
      <c r="E192" s="26" t="str">
        <f>IF(OR(C192="Transaction",C192="Interests",C192="Misc",C192="Account Transfer"), IF(C192="Transaction", IF(B192&lt;0, "Du no", "Da thanh toan"), IF(C192="Interests", "Lai", IF(C192="Misc", "Phi", IF(C192="Account Transfer", IF(OR(ISNUMBER(SEARCH("Trich lai tra gop the TD", D192)), ISNUMBER(SEARCH("Chuyen lai tra gop con lai sang du no thong thuong khi BadDebt", D192))), IF(B192&lt;0, "Lai tra gop", ""), "" )))))) &amp; " " &amp; IF(C192="Interests", TEXT(EDATE(IF(DAY(A192)&gt;=24, A192, EDATE(A192,-1)), -1),"yyyy-mm"), TEXT(IF(DAY(A192)&gt;=24, A192, EDATE(A192,-1)),"yyyy-mm"))</f>
        <v>Lai 2023-02</v>
      </c>
      <c r="F192" s="27">
        <f>IF(ISNUMBER(B192), ROUND(SUMIFS($B$2:$B$10000, $E$2:$E$10000, E192, $B$2:$B$10000, IF(B192&lt;0, "&lt;0", "&gt;0")), 0), "")</f>
        <v>-130790</v>
      </c>
      <c r="G192" s="28" t="str">
        <f>IF(F192&gt;0, IF(C192="Transaction", "Da thanh toan", "Duong"), IF(F192&lt;0, IF(C192="Transaction", "Du no", IF(C192="Interests", "Lai phat sinh", IF(C192="Misc", "Phi", IF(C192="Account Transfer", "Lai tra gop", "Am")))), "Bang 0"))</f>
        <v>Lai phat sinh</v>
      </c>
    </row>
    <row r="193" spans="1:7" x14ac:dyDescent="0.3">
      <c r="A193" s="60">
        <v>45008</v>
      </c>
      <c r="B193" s="35">
        <v>604041.67000000004</v>
      </c>
      <c r="C193" t="s">
        <v>753</v>
      </c>
      <c r="D193" s="17" t="s">
        <v>761</v>
      </c>
      <c r="E193" s="26" t="str">
        <f>IF(OR(C193="Transaction",C193="Interests",C193="Misc",C193="Account Transfer"), IF(C193="Transaction", IF(B193&lt;0, "Du no", "Da thanh toan"), IF(C193="Interests", "Lai", IF(C193="Misc", "Phi", IF(C193="Account Transfer", IF(OR(ISNUMBER(SEARCH("Trich lai tra gop the TD", D193)), ISNUMBER(SEARCH("Chuyen lai tra gop con lai sang du no thong thuong khi BadDebt", D193))), IF(B193&lt;0, "Lai tra gop", ""), "" )))))) &amp; " " &amp; IF(C193="Interests", TEXT(EDATE(IF(DAY(A193)&gt;=24, A193, EDATE(A193,-1)), -1),"yyyy-mm"), TEXT(IF(DAY(A193)&gt;=24, A193, EDATE(A193,-1)),"yyyy-mm"))</f>
        <v xml:space="preserve"> 2023-02</v>
      </c>
      <c r="F193" s="27">
        <f>IF(ISNUMBER(B193), ROUND(SUMIFS($B$2:$B$10000, $E$2:$E$10000, E193, $B$2:$B$10000, IF(B193&lt;0, "&lt;0", "&gt;0")), 0), "")</f>
        <v>1498023</v>
      </c>
      <c r="G193" s="28" t="str">
        <f>IF(F193&gt;0, IF(C193="Transaction", "Da thanh toan", "Duong"), IF(F193&lt;0, IF(C193="Transaction", "Du no", IF(C193="Interests", "Lai phat sinh", IF(C193="Misc", "Phi", IF(C193="Account Transfer", "Lai tra gop", "Am")))), "Bang 0"))</f>
        <v>Duong</v>
      </c>
    </row>
    <row r="194" spans="1:7" x14ac:dyDescent="0.3">
      <c r="A194" s="60">
        <v>45008</v>
      </c>
      <c r="B194" s="33">
        <v>-604041.67000000004</v>
      </c>
      <c r="C194" t="s">
        <v>753</v>
      </c>
      <c r="D194" t="s">
        <v>761</v>
      </c>
      <c r="E194" t="str">
        <f>IF(OR(C194="Transaction",C194="Interests",C194="Misc",C194="Account Transfer"), IF(C194="Transaction", IF(B194&lt;0, "Du no", "Da thanh toan"), IF(C194="Interests", "Lai", IF(C194="Misc", "Phi", IF(C194="Account Transfer", IF(OR(ISNUMBER(SEARCH("Trich lai tra gop the TD", D194)), ISNUMBER(SEARCH("Chuyen lai tra gop con lai sang du no thong thuong khi BadDebt", D194))), IF(B194&lt;0, "Lai tra gop", ""), "" )))))) &amp; " " &amp; IF(C194="Interests", TEXT(EDATE(IF(DAY(A194)&gt;=24, A194, EDATE(A194,-1)), -1),"yyyy-mm"), TEXT(IF(DAY(A194)&gt;=24, A194, EDATE(A194,-1)),"yyyy-mm"))</f>
        <v xml:space="preserve"> 2023-02</v>
      </c>
      <c r="F194" s="7">
        <f>IF(ISNUMBER(B194), ROUND(SUMIFS($B$2:$B$10000, $E$2:$E$10000, E194, $B$2:$B$10000, IF(B194&lt;0, "&lt;0", "&gt;0")), 0), "")</f>
        <v>-1498023</v>
      </c>
      <c r="G194" s="8" t="str">
        <f>IF(F194&gt;0, IF(C194="Transaction", "Da thanh toan", "Duong"), IF(F194&lt;0, IF(C194="Transaction", "Du no", IF(C194="Interests", "Lai phat sinh", IF(C194="Misc", "Phi", IF(C194="Account Transfer", "Lai tra gop", "Am")))), "Bang 0"))</f>
        <v>Lai tra gop</v>
      </c>
    </row>
    <row r="195" spans="1:7" x14ac:dyDescent="0.3">
      <c r="A195" s="60">
        <v>45008</v>
      </c>
      <c r="B195" s="33">
        <v>-289940</v>
      </c>
      <c r="C195" t="s">
        <v>753</v>
      </c>
      <c r="D195" t="s">
        <v>762</v>
      </c>
      <c r="E195" t="str">
        <f>IF(OR(C195="Transaction",C195="Interests",C195="Misc",C195="Account Transfer"), IF(C195="Transaction", IF(B195&lt;0, "Du no", "Da thanh toan"), IF(C195="Interests", "Lai", IF(C195="Misc", "Phi", IF(C195="Account Transfer", IF(OR(ISNUMBER(SEARCH("Trich lai tra gop the TD", D195)), ISNUMBER(SEARCH("Chuyen lai tra gop con lai sang du no thong thuong khi BadDebt", D195))), IF(B195&lt;0, "Lai tra gop", ""), "" )))))) &amp; " " &amp; IF(C195="Interests", TEXT(EDATE(IF(DAY(A195)&gt;=24, A195, EDATE(A195,-1)), -1),"yyyy-mm"), TEXT(IF(DAY(A195)&gt;=24, A195, EDATE(A195,-1)),"yyyy-mm"))</f>
        <v>Lai tra gop 2023-02</v>
      </c>
      <c r="F195" s="7">
        <f>IF(ISNUMBER(B195), ROUND(SUMIFS($B$2:$B$10000, $E$2:$E$10000, E195, $B$2:$B$10000, IF(B195&lt;0, "&lt;0", "&gt;0")), 0), "")</f>
        <v>-289940</v>
      </c>
      <c r="G195" s="8" t="str">
        <f>IF(F195&gt;0, IF(C195="Transaction", "Da thanh toan", "Duong"), IF(F195&lt;0, IF(C195="Transaction", "Du no", IF(C195="Interests", "Lai phat sinh", IF(C195="Misc", "Phi", IF(C195="Account Transfer", "Lai tra gop", "Am")))), "Bang 0"))</f>
        <v>Lai tra gop</v>
      </c>
    </row>
    <row r="196" spans="1:7" x14ac:dyDescent="0.3">
      <c r="A196" s="60">
        <v>44999</v>
      </c>
      <c r="B196" s="33">
        <v>-149000</v>
      </c>
      <c r="C196" t="s">
        <v>50</v>
      </c>
      <c r="E196" t="str">
        <f>IF(OR(C196="Transaction",C196="Interests",C196="Misc",C196="Account Transfer"), IF(C196="Transaction", IF(B196&lt;0, "Du no", "Da thanh toan"), IF(C196="Interests", "Lai", IF(C196="Misc", "Phi", IF(C196="Account Transfer", IF(OR(ISNUMBER(SEARCH("Trich lai tra gop the TD", D196)), ISNUMBER(SEARCH("Chuyen lai tra gop con lai sang du no thong thuong khi BadDebt", D196))), IF(B196&lt;0, "Lai tra gop", ""), "" )))))) &amp; " " &amp; IF(C196="Interests", TEXT(EDATE(IF(DAY(A196)&gt;=24, A196, EDATE(A196,-1)), -1),"yyyy-mm"), TEXT(IF(DAY(A196)&gt;=24, A196, EDATE(A196,-1)),"yyyy-mm"))</f>
        <v>Phi 2023-02</v>
      </c>
      <c r="F196" s="7">
        <f>IF(ISNUMBER(B196), ROUND(SUMIFS($B$2:$B$10000, $E$2:$E$10000, E196, $B$2:$B$10000, IF(B196&lt;0, "&lt;0", "&gt;0")), 0), "")</f>
        <v>-149000</v>
      </c>
      <c r="G196" s="8" t="str">
        <f>IF(F196&gt;0, IF(C196="Transaction", "Da thanh toan", "Duong"), IF(F196&lt;0, IF(C196="Transaction", "Du no", IF(C196="Interests", "Lai phat sinh", IF(C196="Misc", "Phi", IF(C196="Account Transfer", "Lai tra gop", "Am")))), "Bang 0"))</f>
        <v>Phi</v>
      </c>
    </row>
    <row r="197" spans="1:7" x14ac:dyDescent="0.3">
      <c r="A197" s="60">
        <v>44996</v>
      </c>
      <c r="B197" s="33">
        <v>604041.67000000004</v>
      </c>
      <c r="C197" t="s">
        <v>753</v>
      </c>
      <c r="D197" t="s">
        <v>755</v>
      </c>
      <c r="E197" t="str">
        <f>IF(OR(C197="Transaction",C197="Interests",C197="Misc",C197="Account Transfer"), IF(C197="Transaction", IF(B197&lt;0, "Du no", "Da thanh toan"), IF(C197="Interests", "Lai", IF(C197="Misc", "Phi", IF(C197="Account Transfer", IF(OR(ISNUMBER(SEARCH("Trich lai tra gop the TD", D197)), ISNUMBER(SEARCH("Chuyen lai tra gop con lai sang du no thong thuong khi BadDebt", D197))), IF(B197&lt;0, "Lai tra gop", ""), "" )))))) &amp; " " &amp; IF(C197="Interests", TEXT(EDATE(IF(DAY(A197)&gt;=24, A197, EDATE(A197,-1)), -1),"yyyy-mm"), TEXT(IF(DAY(A197)&gt;=24, A197, EDATE(A197,-1)),"yyyy-mm"))</f>
        <v xml:space="preserve"> 2023-02</v>
      </c>
      <c r="F197" s="7">
        <f>IF(ISNUMBER(B197), ROUND(SUMIFS($B$2:$B$10000, $E$2:$E$10000, E197, $B$2:$B$10000, IF(B197&lt;0, "&lt;0", "&gt;0")), 0), "")</f>
        <v>1498023</v>
      </c>
      <c r="G197" s="8" t="str">
        <f>IF(F197&gt;0, IF(C197="Transaction", "Da thanh toan", "Duong"), IF(F197&lt;0, IF(C197="Transaction", "Du no", IF(C197="Interests", "Lai phat sinh", IF(C197="Misc", "Phi", IF(C197="Account Transfer", "Lai tra gop", "Am")))), "Bang 0"))</f>
        <v>Duong</v>
      </c>
    </row>
    <row r="198" spans="1:7" x14ac:dyDescent="0.3">
      <c r="A198" s="60">
        <v>44996</v>
      </c>
      <c r="B198" s="33">
        <v>289940</v>
      </c>
      <c r="C198" t="s">
        <v>753</v>
      </c>
      <c r="D198" t="s">
        <v>756</v>
      </c>
      <c r="E198" t="str">
        <f>IF(OR(C198="Transaction",C198="Interests",C198="Misc",C198="Account Transfer"), IF(C198="Transaction", IF(B198&lt;0, "Du no", "Da thanh toan"), IF(C198="Interests", "Lai", IF(C198="Misc", "Phi", IF(C198="Account Transfer", IF(OR(ISNUMBER(SEARCH("Trich lai tra gop the TD", D198)), ISNUMBER(SEARCH("Chuyen lai tra gop con lai sang du no thong thuong khi BadDebt", D198))), IF(B198&lt;0, "Lai tra gop", ""), "" )))))) &amp; " " &amp; IF(C198="Interests", TEXT(EDATE(IF(DAY(A198)&gt;=24, A198, EDATE(A198,-1)), -1),"yyyy-mm"), TEXT(IF(DAY(A198)&gt;=24, A198, EDATE(A198,-1)),"yyyy-mm"))</f>
        <v xml:space="preserve"> 2023-02</v>
      </c>
      <c r="F198" s="7">
        <f>IF(ISNUMBER(B198), ROUND(SUMIFS($B$2:$B$10000, $E$2:$E$10000, E198, $B$2:$B$10000, IF(B198&lt;0, "&lt;0", "&gt;0")), 0), "")</f>
        <v>1498023</v>
      </c>
      <c r="G198" s="8" t="str">
        <f>IF(F198&gt;0, IF(C198="Transaction", "Da thanh toan", "Duong"), IF(F198&lt;0, IF(C198="Transaction", "Du no", IF(C198="Interests", "Lai phat sinh", IF(C198="Misc", "Phi", IF(C198="Account Transfer", "Lai tra gop", "Am")))), "Bang 0"))</f>
        <v>Duong</v>
      </c>
    </row>
    <row r="199" spans="1:7" x14ac:dyDescent="0.3">
      <c r="A199" s="60">
        <v>44996</v>
      </c>
      <c r="B199" s="33">
        <v>-604041.67000000004</v>
      </c>
      <c r="C199" t="s">
        <v>753</v>
      </c>
      <c r="D199" t="s">
        <v>755</v>
      </c>
      <c r="E199" t="str">
        <f>IF(OR(C199="Transaction",C199="Interests",C199="Misc",C199="Account Transfer"), IF(C199="Transaction", IF(B199&lt;0, "Du no", "Da thanh toan"), IF(C199="Interests", "Lai", IF(C199="Misc", "Phi", IF(C199="Account Transfer", IF(OR(ISNUMBER(SEARCH("Trich lai tra gop the TD", D199)), ISNUMBER(SEARCH("Chuyen lai tra gop con lai sang du no thong thuong khi BadDebt", D199))), IF(B199&lt;0, "Lai tra gop", ""), "" )))))) &amp; " " &amp; IF(C199="Interests", TEXT(EDATE(IF(DAY(A199)&gt;=24, A199, EDATE(A199,-1)), -1),"yyyy-mm"), TEXT(IF(DAY(A199)&gt;=24, A199, EDATE(A199,-1)),"yyyy-mm"))</f>
        <v xml:space="preserve"> 2023-02</v>
      </c>
      <c r="F199" s="7">
        <f>IF(ISNUMBER(B199), ROUND(SUMIFS($B$2:$B$10000, $E$2:$E$10000, E199, $B$2:$B$10000, IF(B199&lt;0, "&lt;0", "&gt;0")), 0), "")</f>
        <v>-1498023</v>
      </c>
      <c r="G199" s="8" t="str">
        <f>IF(F199&gt;0, IF(C199="Transaction", "Da thanh toan", "Duong"), IF(F199&lt;0, IF(C199="Transaction", "Du no", IF(C199="Interests", "Lai phat sinh", IF(C199="Misc", "Phi", IF(C199="Account Transfer", "Lai tra gop", "Am")))), "Bang 0"))</f>
        <v>Lai tra gop</v>
      </c>
    </row>
    <row r="200" spans="1:7" x14ac:dyDescent="0.3">
      <c r="A200" s="60">
        <v>44996</v>
      </c>
      <c r="B200" s="33">
        <v>-289940</v>
      </c>
      <c r="C200" t="s">
        <v>753</v>
      </c>
      <c r="D200" t="s">
        <v>756</v>
      </c>
      <c r="E200" t="str">
        <f>IF(OR(C200="Transaction",C200="Interests",C200="Misc",C200="Account Transfer"), IF(C200="Transaction", IF(B200&lt;0, "Du no", "Da thanh toan"), IF(C200="Interests", "Lai", IF(C200="Misc", "Phi", IF(C200="Account Transfer", IF(OR(ISNUMBER(SEARCH("Trich lai tra gop the TD", D200)), ISNUMBER(SEARCH("Chuyen lai tra gop con lai sang du no thong thuong khi BadDebt", D200))), IF(B200&lt;0, "Lai tra gop", ""), "" )))))) &amp; " " &amp; IF(C200="Interests", TEXT(EDATE(IF(DAY(A200)&gt;=24, A200, EDATE(A200,-1)), -1),"yyyy-mm"), TEXT(IF(DAY(A200)&gt;=24, A200, EDATE(A200,-1)),"yyyy-mm"))</f>
        <v xml:space="preserve"> 2023-02</v>
      </c>
      <c r="F200" s="7">
        <f>IF(ISNUMBER(B200), ROUND(SUMIFS($B$2:$B$10000, $E$2:$E$10000, E200, $B$2:$B$10000, IF(B200&lt;0, "&lt;0", "&gt;0")), 0), "")</f>
        <v>-1498023</v>
      </c>
      <c r="G200" s="8" t="str">
        <f>IF(F200&gt;0, IF(C200="Transaction", "Da thanh toan", "Duong"), IF(F200&lt;0, IF(C200="Transaction", "Du no", IF(C200="Interests", "Lai phat sinh", IF(C200="Misc", "Phi", IF(C200="Account Transfer", "Lai tra gop", "Am")))), "Bang 0"))</f>
        <v>Lai tra gop</v>
      </c>
    </row>
    <row r="201" spans="1:7" x14ac:dyDescent="0.3">
      <c r="A201" s="60">
        <v>44981</v>
      </c>
      <c r="B201" s="33">
        <v>-4286.42</v>
      </c>
      <c r="C201" t="s">
        <v>49</v>
      </c>
      <c r="E201" t="str">
        <f>IF(OR(C201="Transaction",C201="Interests",C201="Misc",C201="Account Transfer"), IF(C201="Transaction", IF(B201&lt;0, "Du no", "Da thanh toan"), IF(C201="Interests", "Lai", IF(C201="Misc", "Phi", IF(C201="Account Transfer", IF(OR(ISNUMBER(SEARCH("Trich lai tra gop the TD", D201)), ISNUMBER(SEARCH("Chuyen lai tra gop con lai sang du no thong thuong khi BadDebt", D201))), IF(B201&lt;0, "Lai tra gop", ""), "" )))))) &amp; " " &amp; IF(C201="Interests", TEXT(EDATE(IF(DAY(A201)&gt;=24, A201, EDATE(A201,-1)), -1),"yyyy-mm"), TEXT(IF(DAY(A201)&gt;=24, A201, EDATE(A201,-1)),"yyyy-mm"))</f>
        <v>Lai 2023-01</v>
      </c>
      <c r="F201" s="7">
        <f>IF(ISNUMBER(B201), ROUND(SUMIFS($B$2:$B$10000, $E$2:$E$10000, E201, $B$2:$B$10000, IF(B201&lt;0, "&lt;0", "&gt;0")), 0), "")</f>
        <v>-117086</v>
      </c>
      <c r="G201" s="8" t="str">
        <f>IF(F201&gt;0, IF(C201="Transaction", "Da thanh toan", "Duong"), IF(F201&lt;0, IF(C201="Transaction", "Du no", IF(C201="Interests", "Lai phat sinh", IF(C201="Misc", "Phi", IF(C201="Account Transfer", "Lai tra gop", "Am")))), "Bang 0"))</f>
        <v>Lai phat sinh</v>
      </c>
    </row>
    <row r="202" spans="1:7" x14ac:dyDescent="0.3">
      <c r="A202" s="60">
        <v>44981</v>
      </c>
      <c r="B202" s="33">
        <v>-2892.21</v>
      </c>
      <c r="C202" t="s">
        <v>49</v>
      </c>
      <c r="E202" t="str">
        <f>IF(OR(C202="Transaction",C202="Interests",C202="Misc",C202="Account Transfer"), IF(C202="Transaction", IF(B202&lt;0, "Du no", "Da thanh toan"), IF(C202="Interests", "Lai", IF(C202="Misc", "Phi", IF(C202="Account Transfer", IF(OR(ISNUMBER(SEARCH("Trich lai tra gop the TD", D202)), ISNUMBER(SEARCH("Chuyen lai tra gop con lai sang du no thong thuong khi BadDebt", D202))), IF(B202&lt;0, "Lai tra gop", ""), "" )))))) &amp; " " &amp; IF(C202="Interests", TEXT(EDATE(IF(DAY(A202)&gt;=24, A202, EDATE(A202,-1)), -1),"yyyy-mm"), TEXT(IF(DAY(A202)&gt;=24, A202, EDATE(A202,-1)),"yyyy-mm"))</f>
        <v>Lai 2023-01</v>
      </c>
      <c r="F202" s="7">
        <f>IF(ISNUMBER(B202), ROUND(SUMIFS($B$2:$B$10000, $E$2:$E$10000, E202, $B$2:$B$10000, IF(B202&lt;0, "&lt;0", "&gt;0")), 0), "")</f>
        <v>-117086</v>
      </c>
      <c r="G202" s="8" t="str">
        <f>IF(F202&gt;0, IF(C202="Transaction", "Da thanh toan", "Duong"), IF(F202&lt;0, IF(C202="Transaction", "Du no", IF(C202="Interests", "Lai phat sinh", IF(C202="Misc", "Phi", IF(C202="Account Transfer", "Lai tra gop", "Am")))), "Bang 0"))</f>
        <v>Lai phat sinh</v>
      </c>
    </row>
    <row r="203" spans="1:7" x14ac:dyDescent="0.3">
      <c r="A203" s="60">
        <v>44981</v>
      </c>
      <c r="B203" s="33">
        <v>-75524.899999999994</v>
      </c>
      <c r="C203" t="s">
        <v>49</v>
      </c>
      <c r="E203" t="str">
        <f>IF(OR(C203="Transaction",C203="Interests",C203="Misc",C203="Account Transfer"), IF(C203="Transaction", IF(B203&lt;0, "Du no", "Da thanh toan"), IF(C203="Interests", "Lai", IF(C203="Misc", "Phi", IF(C203="Account Transfer", IF(OR(ISNUMBER(SEARCH("Trich lai tra gop the TD", D203)), ISNUMBER(SEARCH("Chuyen lai tra gop con lai sang du no thong thuong khi BadDebt", D203))), IF(B203&lt;0, "Lai tra gop", ""), "" )))))) &amp; " " &amp; IF(C203="Interests", TEXT(EDATE(IF(DAY(A203)&gt;=24, A203, EDATE(A203,-1)), -1),"yyyy-mm"), TEXT(IF(DAY(A203)&gt;=24, A203, EDATE(A203,-1)),"yyyy-mm"))</f>
        <v>Lai 2023-01</v>
      </c>
      <c r="F203" s="7">
        <f>IF(ISNUMBER(B203), ROUND(SUMIFS($B$2:$B$10000, $E$2:$E$10000, E203, $B$2:$B$10000, IF(B203&lt;0, "&lt;0", "&gt;0")), 0), "")</f>
        <v>-117086</v>
      </c>
      <c r="G203" s="8" t="str">
        <f>IF(F203&gt;0, IF(C203="Transaction", "Da thanh toan", "Duong"), IF(F203&lt;0, IF(C203="Transaction", "Du no", IF(C203="Interests", "Lai phat sinh", IF(C203="Misc", "Phi", IF(C203="Account Transfer", "Lai tra gop", "Am")))), "Bang 0"))</f>
        <v>Lai phat sinh</v>
      </c>
    </row>
    <row r="204" spans="1:7" x14ac:dyDescent="0.3">
      <c r="A204" s="60">
        <v>44981</v>
      </c>
      <c r="B204" s="33">
        <v>-3029.23</v>
      </c>
      <c r="C204" t="s">
        <v>49</v>
      </c>
      <c r="E204" t="str">
        <f>IF(OR(C204="Transaction",C204="Interests",C204="Misc",C204="Account Transfer"), IF(C204="Transaction", IF(B204&lt;0, "Du no", "Da thanh toan"), IF(C204="Interests", "Lai", IF(C204="Misc", "Phi", IF(C204="Account Transfer", IF(OR(ISNUMBER(SEARCH("Trich lai tra gop the TD", D204)), ISNUMBER(SEARCH("Chuyen lai tra gop con lai sang du no thong thuong khi BadDebt", D204))), IF(B204&lt;0, "Lai tra gop", ""), "" )))))) &amp; " " &amp; IF(C204="Interests", TEXT(EDATE(IF(DAY(A204)&gt;=24, A204, EDATE(A204,-1)), -1),"yyyy-mm"), TEXT(IF(DAY(A204)&gt;=24, A204, EDATE(A204,-1)),"yyyy-mm"))</f>
        <v>Lai 2023-01</v>
      </c>
      <c r="F204" s="7">
        <f>IF(ISNUMBER(B204), ROUND(SUMIFS($B$2:$B$10000, $E$2:$E$10000, E204, $B$2:$B$10000, IF(B204&lt;0, "&lt;0", "&gt;0")), 0), "")</f>
        <v>-117086</v>
      </c>
      <c r="G204" s="8" t="str">
        <f>IF(F204&gt;0, IF(C204="Transaction", "Da thanh toan", "Duong"), IF(F204&lt;0, IF(C204="Transaction", "Du no", IF(C204="Interests", "Lai phat sinh", IF(C204="Misc", "Phi", IF(C204="Account Transfer", "Lai tra gop", "Am")))), "Bang 0"))</f>
        <v>Lai phat sinh</v>
      </c>
    </row>
    <row r="205" spans="1:7" x14ac:dyDescent="0.3">
      <c r="A205" s="60">
        <v>44981</v>
      </c>
      <c r="B205" s="33">
        <v>-25821.99</v>
      </c>
      <c r="C205" t="s">
        <v>49</v>
      </c>
      <c r="E205" t="str">
        <f>IF(OR(C205="Transaction",C205="Interests",C205="Misc",C205="Account Transfer"), IF(C205="Transaction", IF(B205&lt;0, "Du no", "Da thanh toan"), IF(C205="Interests", "Lai", IF(C205="Misc", "Phi", IF(C205="Account Transfer", IF(OR(ISNUMBER(SEARCH("Trich lai tra gop the TD", D205)), ISNUMBER(SEARCH("Chuyen lai tra gop con lai sang du no thong thuong khi BadDebt", D205))), IF(B205&lt;0, "Lai tra gop", ""), "" )))))) &amp; " " &amp; IF(C205="Interests", TEXT(EDATE(IF(DAY(A205)&gt;=24, A205, EDATE(A205,-1)), -1),"yyyy-mm"), TEXT(IF(DAY(A205)&gt;=24, A205, EDATE(A205,-1)),"yyyy-mm"))</f>
        <v>Lai 2023-01</v>
      </c>
      <c r="F205" s="7">
        <f>IF(ISNUMBER(B205), ROUND(SUMIFS($B$2:$B$10000, $E$2:$E$10000, E205, $B$2:$B$10000, IF(B205&lt;0, "&lt;0", "&gt;0")), 0), "")</f>
        <v>-117086</v>
      </c>
      <c r="G205" s="8" t="str">
        <f>IF(F205&gt;0, IF(C205="Transaction", "Da thanh toan", "Duong"), IF(F205&lt;0, IF(C205="Transaction", "Du no", IF(C205="Interests", "Lai phat sinh", IF(C205="Misc", "Phi", IF(C205="Account Transfer", "Lai tra gop", "Am")))), "Bang 0"))</f>
        <v>Lai phat sinh</v>
      </c>
    </row>
    <row r="206" spans="1:7" x14ac:dyDescent="0.3">
      <c r="A206" s="60">
        <v>44981</v>
      </c>
      <c r="B206" s="33">
        <v>-182.14</v>
      </c>
      <c r="C206" t="s">
        <v>49</v>
      </c>
      <c r="E206" t="str">
        <f>IF(OR(C206="Transaction",C206="Interests",C206="Misc",C206="Account Transfer"), IF(C206="Transaction", IF(B206&lt;0, "Du no", "Da thanh toan"), IF(C206="Interests", "Lai", IF(C206="Misc", "Phi", IF(C206="Account Transfer", IF(OR(ISNUMBER(SEARCH("Trich lai tra gop the TD", D206)), ISNUMBER(SEARCH("Chuyen lai tra gop con lai sang du no thong thuong khi BadDebt", D206))), IF(B206&lt;0, "Lai tra gop", ""), "" )))))) &amp; " " &amp; IF(C206="Interests", TEXT(EDATE(IF(DAY(A206)&gt;=24, A206, EDATE(A206,-1)), -1),"yyyy-mm"), TEXT(IF(DAY(A206)&gt;=24, A206, EDATE(A206,-1)),"yyyy-mm"))</f>
        <v>Lai 2023-01</v>
      </c>
      <c r="F206" s="7">
        <f>IF(ISNUMBER(B206), ROUND(SUMIFS($B$2:$B$10000, $E$2:$E$10000, E206, $B$2:$B$10000, IF(B206&lt;0, "&lt;0", "&gt;0")), 0), "")</f>
        <v>-117086</v>
      </c>
      <c r="G206" s="8" t="str">
        <f>IF(F206&gt;0, IF(C206="Transaction", "Da thanh toan", "Duong"), IF(F206&lt;0, IF(C206="Transaction", "Du no", IF(C206="Interests", "Lai phat sinh", IF(C206="Misc", "Phi", IF(C206="Account Transfer", "Lai tra gop", "Am")))), "Bang 0"))</f>
        <v>Lai phat sinh</v>
      </c>
    </row>
    <row r="207" spans="1:7" x14ac:dyDescent="0.3">
      <c r="A207" s="60">
        <v>44981</v>
      </c>
      <c r="B207" s="33">
        <v>-5205.47</v>
      </c>
      <c r="C207" t="s">
        <v>49</v>
      </c>
      <c r="E207" t="str">
        <f>IF(OR(C207="Transaction",C207="Interests",C207="Misc",C207="Account Transfer"), IF(C207="Transaction", IF(B207&lt;0, "Du no", "Da thanh toan"), IF(C207="Interests", "Lai", IF(C207="Misc", "Phi", IF(C207="Account Transfer", IF(OR(ISNUMBER(SEARCH("Trich lai tra gop the TD", D207)), ISNUMBER(SEARCH("Chuyen lai tra gop con lai sang du no thong thuong khi BadDebt", D207))), IF(B207&lt;0, "Lai tra gop", ""), "" )))))) &amp; " " &amp; IF(C207="Interests", TEXT(EDATE(IF(DAY(A207)&gt;=24, A207, EDATE(A207,-1)), -1),"yyyy-mm"), TEXT(IF(DAY(A207)&gt;=24, A207, EDATE(A207,-1)),"yyyy-mm"))</f>
        <v>Lai 2023-01</v>
      </c>
      <c r="F207" s="7">
        <f>IF(ISNUMBER(B207), ROUND(SUMIFS($B$2:$B$10000, $E$2:$E$10000, E207, $B$2:$B$10000, IF(B207&lt;0, "&lt;0", "&gt;0")), 0), "")</f>
        <v>-117086</v>
      </c>
      <c r="G207" s="8" t="str">
        <f>IF(F207&gt;0, IF(C207="Transaction", "Da thanh toan", "Duong"), IF(F207&lt;0, IF(C207="Transaction", "Du no", IF(C207="Interests", "Lai phat sinh", IF(C207="Misc", "Phi", IF(C207="Account Transfer", "Lai tra gop", "Am")))), "Bang 0"))</f>
        <v>Lai phat sinh</v>
      </c>
    </row>
    <row r="208" spans="1:7" x14ac:dyDescent="0.3">
      <c r="A208" s="60">
        <v>44981</v>
      </c>
      <c r="B208" s="33">
        <v>-143.80000000000001</v>
      </c>
      <c r="C208" t="s">
        <v>49</v>
      </c>
      <c r="E208" t="str">
        <f>IF(OR(C208="Transaction",C208="Interests",C208="Misc",C208="Account Transfer"), IF(C208="Transaction", IF(B208&lt;0, "Du no", "Da thanh toan"), IF(C208="Interests", "Lai", IF(C208="Misc", "Phi", IF(C208="Account Transfer", IF(OR(ISNUMBER(SEARCH("Trich lai tra gop the TD", D208)), ISNUMBER(SEARCH("Chuyen lai tra gop con lai sang du no thong thuong khi BadDebt", D208))), IF(B208&lt;0, "Lai tra gop", ""), "" )))))) &amp; " " &amp; IF(C208="Interests", TEXT(EDATE(IF(DAY(A208)&gt;=24, A208, EDATE(A208,-1)), -1),"yyyy-mm"), TEXT(IF(DAY(A208)&gt;=24, A208, EDATE(A208,-1)),"yyyy-mm"))</f>
        <v>Lai 2023-01</v>
      </c>
      <c r="F208" s="7">
        <f>IF(ISNUMBER(B208), ROUND(SUMIFS($B$2:$B$10000, $E$2:$E$10000, E208, $B$2:$B$10000, IF(B208&lt;0, "&lt;0", "&gt;0")), 0), "")</f>
        <v>-117086</v>
      </c>
      <c r="G208" s="8" t="str">
        <f>IF(F208&gt;0, IF(C208="Transaction", "Da thanh toan", "Duong"), IF(F208&lt;0, IF(C208="Transaction", "Du no", IF(C208="Interests", "Lai phat sinh", IF(C208="Misc", "Phi", IF(C208="Account Transfer", "Lai tra gop", "Am")))), "Bang 0"))</f>
        <v>Lai phat sinh</v>
      </c>
    </row>
    <row r="209" spans="1:7" x14ac:dyDescent="0.3">
      <c r="A209" s="60">
        <v>44980</v>
      </c>
      <c r="B209" s="33">
        <v>604041.67000000004</v>
      </c>
      <c r="C209" t="s">
        <v>753</v>
      </c>
      <c r="D209" t="s">
        <v>761</v>
      </c>
      <c r="E209" t="str">
        <f>IF(OR(C209="Transaction",C209="Interests",C209="Misc",C209="Account Transfer"), IF(C209="Transaction", IF(B209&lt;0, "Du no", "Da thanh toan"), IF(C209="Interests", "Lai", IF(C209="Misc", "Phi", IF(C209="Account Transfer", IF(OR(ISNUMBER(SEARCH("Trich lai tra gop the TD", D209)), ISNUMBER(SEARCH("Chuyen lai tra gop con lai sang du no thong thuong khi BadDebt", D209))), IF(B209&lt;0, "Lai tra gop", ""), "" )))))) &amp; " " &amp; IF(C209="Interests", TEXT(EDATE(IF(DAY(A209)&gt;=24, A209, EDATE(A209,-1)), -1),"yyyy-mm"), TEXT(IF(DAY(A209)&gt;=24, A209, EDATE(A209,-1)),"yyyy-mm"))</f>
        <v xml:space="preserve"> 2023-01</v>
      </c>
      <c r="F209" s="7">
        <f>IF(ISNUMBER(B209), ROUND(SUMIFS($B$2:$B$10000, $E$2:$E$10000, E209, $B$2:$B$10000, IF(B209&lt;0, "&lt;0", "&gt;0")), 0), "")</f>
        <v>604042</v>
      </c>
      <c r="G209" s="8" t="str">
        <f>IF(F209&gt;0, IF(C209="Transaction", "Da thanh toan", "Duong"), IF(F209&lt;0, IF(C209="Transaction", "Du no", IF(C209="Interests", "Lai phat sinh", IF(C209="Misc", "Phi", IF(C209="Account Transfer", "Lai tra gop", "Am")))), "Bang 0"))</f>
        <v>Duong</v>
      </c>
    </row>
    <row r="210" spans="1:7" x14ac:dyDescent="0.3">
      <c r="A210" s="60">
        <v>44980</v>
      </c>
      <c r="B210" s="33">
        <v>-604041.67000000004</v>
      </c>
      <c r="C210" t="s">
        <v>753</v>
      </c>
      <c r="D210" t="s">
        <v>761</v>
      </c>
      <c r="E210" t="str">
        <f>IF(OR(C210="Transaction",C210="Interests",C210="Misc",C210="Account Transfer"), IF(C210="Transaction", IF(B210&lt;0, "Du no", "Da thanh toan"), IF(C210="Interests", "Lai", IF(C210="Misc", "Phi", IF(C210="Account Transfer", IF(OR(ISNUMBER(SEARCH("Trich lai tra gop the TD", D210)), ISNUMBER(SEARCH("Chuyen lai tra gop con lai sang du no thong thuong khi BadDebt", D210))), IF(B210&lt;0, "Lai tra gop", ""), "" )))))) &amp; " " &amp; IF(C210="Interests", TEXT(EDATE(IF(DAY(A210)&gt;=24, A210, EDATE(A210,-1)), -1),"yyyy-mm"), TEXT(IF(DAY(A210)&gt;=24, A210, EDATE(A210,-1)),"yyyy-mm"))</f>
        <v xml:space="preserve"> 2023-01</v>
      </c>
      <c r="F210" s="7">
        <f>IF(ISNUMBER(B210), ROUND(SUMIFS($B$2:$B$10000, $E$2:$E$10000, E210, $B$2:$B$10000, IF(B210&lt;0, "&lt;0", "&gt;0")), 0), "")</f>
        <v>-604042</v>
      </c>
      <c r="G210" s="8" t="str">
        <f>IF(F210&gt;0, IF(C210="Transaction", "Da thanh toan", "Duong"), IF(F210&lt;0, IF(C210="Transaction", "Du no", IF(C210="Interests", "Lai phat sinh", IF(C210="Misc", "Phi", IF(C210="Account Transfer", "Lai tra gop", "Am")))), "Bang 0"))</f>
        <v>Lai tra gop</v>
      </c>
    </row>
    <row r="211" spans="1:7" x14ac:dyDescent="0.3">
      <c r="A211" s="60">
        <v>44980</v>
      </c>
      <c r="B211" s="33">
        <v>-289940</v>
      </c>
      <c r="C211" t="s">
        <v>753</v>
      </c>
      <c r="D211" t="s">
        <v>762</v>
      </c>
      <c r="E211" t="str">
        <f>IF(OR(C211="Transaction",C211="Interests",C211="Misc",C211="Account Transfer"), IF(C211="Transaction", IF(B211&lt;0, "Du no", "Da thanh toan"), IF(C211="Interests", "Lai", IF(C211="Misc", "Phi", IF(C211="Account Transfer", IF(OR(ISNUMBER(SEARCH("Trich lai tra gop the TD", D211)), ISNUMBER(SEARCH("Chuyen lai tra gop con lai sang du no thong thuong khi BadDebt", D211))), IF(B211&lt;0, "Lai tra gop", ""), "" )))))) &amp; " " &amp; IF(C211="Interests", TEXT(EDATE(IF(DAY(A211)&gt;=24, A211, EDATE(A211,-1)), -1),"yyyy-mm"), TEXT(IF(DAY(A211)&gt;=24, A211, EDATE(A211,-1)),"yyyy-mm"))</f>
        <v>Lai tra gop 2023-01</v>
      </c>
      <c r="F211" s="7">
        <f>IF(ISNUMBER(B211), ROUND(SUMIFS($B$2:$B$10000, $E$2:$E$10000, E211, $B$2:$B$10000, IF(B211&lt;0, "&lt;0", "&gt;0")), 0), "")</f>
        <v>-289940</v>
      </c>
      <c r="G211" s="8" t="str">
        <f>IF(F211&gt;0, IF(C211="Transaction", "Da thanh toan", "Duong"), IF(F211&lt;0, IF(C211="Transaction", "Du no", IF(C211="Interests", "Lai phat sinh", IF(C211="Misc", "Phi", IF(C211="Account Transfer", "Lai tra gop", "Am")))), "Bang 0"))</f>
        <v>Lai tra gop</v>
      </c>
    </row>
    <row r="212" spans="1:7" x14ac:dyDescent="0.3">
      <c r="A212" s="60">
        <v>44973</v>
      </c>
      <c r="B212" s="33">
        <v>-450</v>
      </c>
      <c r="C212" t="s">
        <v>50</v>
      </c>
      <c r="E212" t="str">
        <f>IF(OR(C212="Transaction",C212="Interests",C212="Misc",C212="Account Transfer"), IF(C212="Transaction", IF(B212&lt;0, "Du no", "Da thanh toan"), IF(C212="Interests", "Lai", IF(C212="Misc", "Phi", IF(C212="Account Transfer", IF(OR(ISNUMBER(SEARCH("Trich lai tra gop the TD", D212)), ISNUMBER(SEARCH("Chuyen lai tra gop con lai sang du no thong thuong khi BadDebt", D212))), IF(B212&lt;0, "Lai tra gop", ""), "" )))))) &amp; " " &amp; IF(C212="Interests", TEXT(EDATE(IF(DAY(A212)&gt;=24, A212, EDATE(A212,-1)), -1),"yyyy-mm"), TEXT(IF(DAY(A212)&gt;=24, A212, EDATE(A212,-1)),"yyyy-mm"))</f>
        <v>Phi 2023-01</v>
      </c>
      <c r="F212" s="7">
        <f>IF(ISNUMBER(B212), ROUND(SUMIFS($B$2:$B$10000, $E$2:$E$10000, E212, $B$2:$B$10000, IF(B212&lt;0, "&lt;0", "&gt;0")), 0), "")</f>
        <v>-4950</v>
      </c>
      <c r="G212" s="8" t="str">
        <f>IF(F212&gt;0, IF(C212="Transaction", "Da thanh toan", "Duong"), IF(F212&lt;0, IF(C212="Transaction", "Du no", IF(C212="Interests", "Lai phat sinh", IF(C212="Misc", "Phi", IF(C212="Account Transfer", "Lai tra gop", "Am")))), "Bang 0"))</f>
        <v>Phi</v>
      </c>
    </row>
    <row r="213" spans="1:7" x14ac:dyDescent="0.3">
      <c r="A213" s="60">
        <v>44973</v>
      </c>
      <c r="B213" s="33">
        <v>-4500</v>
      </c>
      <c r="C213" t="s">
        <v>50</v>
      </c>
      <c r="E213" t="str">
        <f>IF(OR(C213="Transaction",C213="Interests",C213="Misc",C213="Account Transfer"), IF(C213="Transaction", IF(B213&lt;0, "Du no", "Da thanh toan"), IF(C213="Interests", "Lai", IF(C213="Misc", "Phi", IF(C213="Account Transfer", IF(OR(ISNUMBER(SEARCH("Trich lai tra gop the TD", D213)), ISNUMBER(SEARCH("Chuyen lai tra gop con lai sang du no thong thuong khi BadDebt", D213))), IF(B213&lt;0, "Lai tra gop", ""), "" )))))) &amp; " " &amp; IF(C213="Interests", TEXT(EDATE(IF(DAY(A213)&gt;=24, A213, EDATE(A213,-1)), -1),"yyyy-mm"), TEXT(IF(DAY(A213)&gt;=24, A213, EDATE(A213,-1)),"yyyy-mm"))</f>
        <v>Phi 2023-01</v>
      </c>
      <c r="F213" s="7">
        <f>IF(ISNUMBER(B213), ROUND(SUMIFS($B$2:$B$10000, $E$2:$E$10000, E213, $B$2:$B$10000, IF(B213&lt;0, "&lt;0", "&gt;0")), 0), "")</f>
        <v>-4950</v>
      </c>
      <c r="G213" s="8" t="str">
        <f>IF(F213&gt;0, IF(C213="Transaction", "Da thanh toan", "Duong"), IF(F213&lt;0, IF(C213="Transaction", "Du no", IF(C213="Interests", "Lai phat sinh", IF(C213="Misc", "Phi", IF(C213="Account Transfer", "Lai tra gop", "Am")))), "Bang 0"))</f>
        <v>Phi</v>
      </c>
    </row>
    <row r="214" spans="1:7" x14ac:dyDescent="0.3">
      <c r="A214" s="60">
        <v>44960</v>
      </c>
      <c r="B214" s="33">
        <v>0</v>
      </c>
      <c r="C214" t="s">
        <v>51</v>
      </c>
      <c r="D214" t="s">
        <v>764</v>
      </c>
      <c r="E214" t="str">
        <f>IF(OR(C214="Transaction",C214="Interests",C214="Misc",C214="Account Transfer"), IF(C214="Transaction", IF(B214&lt;0, "Du no", "Da thanh toan"), IF(C214="Interests", "Lai", IF(C214="Misc", "Phi", IF(C214="Account Transfer", IF(OR(ISNUMBER(SEARCH("Trich lai tra gop the TD", D214)), ISNUMBER(SEARCH("Chuyen lai tra gop con lai sang du no thong thuong khi BadDebt", D214))), IF(B214&lt;0, "Lai tra gop", ""), "" )))))) &amp; " " &amp; IF(C214="Interests", TEXT(EDATE(IF(DAY(A214)&gt;=24, A214, EDATE(A214,-1)), -1),"yyyy-mm"), TEXT(IF(DAY(A214)&gt;=24, A214, EDATE(A214,-1)),"yyyy-mm"))</f>
        <v>Da thanh toan 2023-01</v>
      </c>
      <c r="F214" s="7">
        <f>IF(ISNUMBER(B214), ROUND(SUMIFS($B$2:$B$10000, $E$2:$E$10000, E214, $B$2:$B$10000, IF(B214&lt;0, "&lt;0", "&gt;0")), 0), "")</f>
        <v>246044</v>
      </c>
      <c r="G214" s="8" t="str">
        <f>IF(F214&gt;0, IF(C214="Transaction", "Da thanh toan", "Duong"), IF(F214&lt;0, IF(C214="Transaction", "Du no", IF(C214="Interests", "Lai phat sinh", IF(C214="Misc", "Phi", IF(C214="Account Transfer", "Lai tra gop", "Am")))), "Bang 0"))</f>
        <v>Da thanh toan</v>
      </c>
    </row>
    <row r="215" spans="1:7" x14ac:dyDescent="0.3">
      <c r="A215" s="60">
        <v>44960</v>
      </c>
      <c r="B215" s="33">
        <v>50000</v>
      </c>
      <c r="C215" t="s">
        <v>51</v>
      </c>
      <c r="D215" t="s">
        <v>52</v>
      </c>
      <c r="E215" t="str">
        <f>IF(OR(C215="Transaction",C215="Interests",C215="Misc",C215="Account Transfer"), IF(C215="Transaction", IF(B215&lt;0, "Du no", "Da thanh toan"), IF(C215="Interests", "Lai", IF(C215="Misc", "Phi", IF(C215="Account Transfer", IF(OR(ISNUMBER(SEARCH("Trich lai tra gop the TD", D215)), ISNUMBER(SEARCH("Chuyen lai tra gop con lai sang du no thong thuong khi BadDebt", D215))), IF(B215&lt;0, "Lai tra gop", ""), "" )))))) &amp; " " &amp; IF(C215="Interests", TEXT(EDATE(IF(DAY(A215)&gt;=24, A215, EDATE(A215,-1)), -1),"yyyy-mm"), TEXT(IF(DAY(A215)&gt;=24, A215, EDATE(A215,-1)),"yyyy-mm"))</f>
        <v>Da thanh toan 2023-01</v>
      </c>
      <c r="F215" s="7">
        <f>IF(ISNUMBER(B215), ROUND(SUMIFS($B$2:$B$10000, $E$2:$E$10000, E215, $B$2:$B$10000, IF(B215&lt;0, "&lt;0", "&gt;0")), 0), "")</f>
        <v>246044</v>
      </c>
      <c r="G215" s="8" t="str">
        <f>IF(F215&gt;0, IF(C215="Transaction", "Da thanh toan", "Duong"), IF(F215&lt;0, IF(C215="Transaction", "Du no", IF(C215="Interests", "Lai phat sinh", IF(C215="Misc", "Phi", IF(C215="Account Transfer", "Lai tra gop", "Am")))), "Bang 0"))</f>
        <v>Da thanh toan</v>
      </c>
    </row>
    <row r="216" spans="1:7" x14ac:dyDescent="0.3">
      <c r="A216" s="60">
        <v>44960</v>
      </c>
      <c r="B216" s="33">
        <v>0</v>
      </c>
      <c r="C216" t="s">
        <v>51</v>
      </c>
      <c r="D216" t="s">
        <v>764</v>
      </c>
      <c r="E216" t="str">
        <f>IF(OR(C216="Transaction",C216="Interests",C216="Misc",C216="Account Transfer"), IF(C216="Transaction", IF(B216&lt;0, "Du no", "Da thanh toan"), IF(C216="Interests", "Lai", IF(C216="Misc", "Phi", IF(C216="Account Transfer", IF(OR(ISNUMBER(SEARCH("Trich lai tra gop the TD", D216)), ISNUMBER(SEARCH("Chuyen lai tra gop con lai sang du no thong thuong khi BadDebt", D216))), IF(B216&lt;0, "Lai tra gop", ""), "" )))))) &amp; " " &amp; IF(C216="Interests", TEXT(EDATE(IF(DAY(A216)&gt;=24, A216, EDATE(A216,-1)), -1),"yyyy-mm"), TEXT(IF(DAY(A216)&gt;=24, A216, EDATE(A216,-1)),"yyyy-mm"))</f>
        <v>Da thanh toan 2023-01</v>
      </c>
      <c r="F216" s="7">
        <f>IF(ISNUMBER(B216), ROUND(SUMIFS($B$2:$B$10000, $E$2:$E$10000, E216, $B$2:$B$10000, IF(B216&lt;0, "&lt;0", "&gt;0")), 0), "")</f>
        <v>246044</v>
      </c>
      <c r="G216" s="8" t="str">
        <f>IF(F216&gt;0, IF(C216="Transaction", "Da thanh toan", "Duong"), IF(F216&lt;0, IF(C216="Transaction", "Du no", IF(C216="Interests", "Lai phat sinh", IF(C216="Misc", "Phi", IF(C216="Account Transfer", "Lai tra gop", "Am")))), "Bang 0"))</f>
        <v>Da thanh toan</v>
      </c>
    </row>
    <row r="217" spans="1:7" x14ac:dyDescent="0.3">
      <c r="A217" s="60">
        <v>44960</v>
      </c>
      <c r="B217" s="33">
        <v>-14497000</v>
      </c>
      <c r="C217" t="s">
        <v>51</v>
      </c>
      <c r="D217" t="s">
        <v>765</v>
      </c>
      <c r="E217" t="str">
        <f>IF(OR(C217="Transaction",C217="Interests",C217="Misc",C217="Account Transfer"), IF(C217="Transaction", IF(B217&lt;0, "Du no", "Da thanh toan"), IF(C217="Interests", "Lai", IF(C217="Misc", "Phi", IF(C217="Account Transfer", IF(OR(ISNUMBER(SEARCH("Trich lai tra gop the TD", D217)), ISNUMBER(SEARCH("Chuyen lai tra gop con lai sang du no thong thuong khi BadDebt", D217))), IF(B217&lt;0, "Lai tra gop", ""), "" )))))) &amp; " " &amp; IF(C217="Interests", TEXT(EDATE(IF(DAY(A217)&gt;=24, A217, EDATE(A217,-1)), -1),"yyyy-mm"), TEXT(IF(DAY(A217)&gt;=24, A217, EDATE(A217,-1)),"yyyy-mm"))</f>
        <v>Du no 2023-01</v>
      </c>
      <c r="F217" s="7">
        <f>IF(ISNUMBER(B217), ROUND(SUMIFS($B$2:$B$10000, $E$2:$E$10000, E217, $B$2:$B$10000, IF(B217&lt;0, "&lt;0", "&gt;0")), 0), "")</f>
        <v>-14656467</v>
      </c>
      <c r="G217" s="8" t="str">
        <f>IF(F217&gt;0, IF(C217="Transaction", "Da thanh toan", "Duong"), IF(F217&lt;0, IF(C217="Transaction", "Du no", IF(C217="Interests", "Lai phat sinh", IF(C217="Misc", "Phi", IF(C217="Account Transfer", "Lai tra gop", "Am")))), "Bang 0"))</f>
        <v>Du no</v>
      </c>
    </row>
    <row r="218" spans="1:7" x14ac:dyDescent="0.3">
      <c r="A218" s="60">
        <v>44960</v>
      </c>
      <c r="B218" s="33">
        <v>-14497</v>
      </c>
      <c r="C218" t="s">
        <v>51</v>
      </c>
      <c r="D218" t="s">
        <v>765</v>
      </c>
      <c r="E218" t="str">
        <f>IF(OR(C218="Transaction",C218="Interests",C218="Misc",C218="Account Transfer"), IF(C218="Transaction", IF(B218&lt;0, "Du no", "Da thanh toan"), IF(C218="Interests", "Lai", IF(C218="Misc", "Phi", IF(C218="Account Transfer", IF(OR(ISNUMBER(SEARCH("Trich lai tra gop the TD", D218)), ISNUMBER(SEARCH("Chuyen lai tra gop con lai sang du no thong thuong khi BadDebt", D218))), IF(B218&lt;0, "Lai tra gop", ""), "" )))))) &amp; " " &amp; IF(C218="Interests", TEXT(EDATE(IF(DAY(A218)&gt;=24, A218, EDATE(A218,-1)), -1),"yyyy-mm"), TEXT(IF(DAY(A218)&gt;=24, A218, EDATE(A218,-1)),"yyyy-mm"))</f>
        <v>Du no 2023-01</v>
      </c>
      <c r="F218" s="7">
        <f>IF(ISNUMBER(B218), ROUND(SUMIFS($B$2:$B$10000, $E$2:$E$10000, E218, $B$2:$B$10000, IF(B218&lt;0, "&lt;0", "&gt;0")), 0), "")</f>
        <v>-14656467</v>
      </c>
      <c r="G218" s="8" t="str">
        <f>IF(F218&gt;0, IF(C218="Transaction", "Da thanh toan", "Duong"), IF(F218&lt;0, IF(C218="Transaction", "Du no", IF(C218="Interests", "Lai phat sinh", IF(C218="Misc", "Phi", IF(C218="Account Transfer", "Lai tra gop", "Am")))), "Bang 0"))</f>
        <v>Du no</v>
      </c>
    </row>
    <row r="219" spans="1:7" x14ac:dyDescent="0.3">
      <c r="A219" s="60">
        <v>44960</v>
      </c>
      <c r="B219" s="33">
        <v>-144970</v>
      </c>
      <c r="C219" t="s">
        <v>51</v>
      </c>
      <c r="D219" t="s">
        <v>765</v>
      </c>
      <c r="E219" t="str">
        <f>IF(OR(C219="Transaction",C219="Interests",C219="Misc",C219="Account Transfer"), IF(C219="Transaction", IF(B219&lt;0, "Du no", "Da thanh toan"), IF(C219="Interests", "Lai", IF(C219="Misc", "Phi", IF(C219="Account Transfer", IF(OR(ISNUMBER(SEARCH("Trich lai tra gop the TD", D219)), ISNUMBER(SEARCH("Chuyen lai tra gop con lai sang du no thong thuong khi BadDebt", D219))), IF(B219&lt;0, "Lai tra gop", ""), "" )))))) &amp; " " &amp; IF(C219="Interests", TEXT(EDATE(IF(DAY(A219)&gt;=24, A219, EDATE(A219,-1)), -1),"yyyy-mm"), TEXT(IF(DAY(A219)&gt;=24, A219, EDATE(A219,-1)),"yyyy-mm"))</f>
        <v>Du no 2023-01</v>
      </c>
      <c r="F219" s="7">
        <f>IF(ISNUMBER(B219), ROUND(SUMIFS($B$2:$B$10000, $E$2:$E$10000, E219, $B$2:$B$10000, IF(B219&lt;0, "&lt;0", "&gt;0")), 0), "")</f>
        <v>-14656467</v>
      </c>
      <c r="G219" s="8" t="str">
        <f>IF(F219&gt;0, IF(C219="Transaction", "Da thanh toan", "Duong"), IF(F219&lt;0, IF(C219="Transaction", "Du no", IF(C219="Interests", "Lai phat sinh", IF(C219="Misc", "Phi", IF(C219="Account Transfer", "Lai tra gop", "Am")))), "Bang 0"))</f>
        <v>Du no</v>
      </c>
    </row>
    <row r="220" spans="1:7" x14ac:dyDescent="0.3">
      <c r="A220" s="60">
        <v>44957</v>
      </c>
      <c r="B220" s="33">
        <v>100000</v>
      </c>
      <c r="C220" t="s">
        <v>51</v>
      </c>
      <c r="D220" t="s">
        <v>766</v>
      </c>
      <c r="E220" t="str">
        <f>IF(OR(C220="Transaction",C220="Interests",C220="Misc",C220="Account Transfer"), IF(C220="Transaction", IF(B220&lt;0, "Du no", "Da thanh toan"), IF(C220="Interests", "Lai", IF(C220="Misc", "Phi", IF(C220="Account Transfer", IF(OR(ISNUMBER(SEARCH("Trich lai tra gop the TD", D220)), ISNUMBER(SEARCH("Chuyen lai tra gop con lai sang du no thong thuong khi BadDebt", D220))), IF(B220&lt;0, "Lai tra gop", ""), "" )))))) &amp; " " &amp; IF(C220="Interests", TEXT(EDATE(IF(DAY(A220)&gt;=24, A220, EDATE(A220,-1)), -1),"yyyy-mm"), TEXT(IF(DAY(A220)&gt;=24, A220, EDATE(A220,-1)),"yyyy-mm"))</f>
        <v>Da thanh toan 2023-01</v>
      </c>
      <c r="F220" s="7">
        <f>IF(ISNUMBER(B220), ROUND(SUMIFS($B$2:$B$10000, $E$2:$E$10000, E220, $B$2:$B$10000, IF(B220&lt;0, "&lt;0", "&gt;0")), 0), "")</f>
        <v>246044</v>
      </c>
      <c r="G220" s="8" t="str">
        <f>IF(F220&gt;0, IF(C220="Transaction", "Da thanh toan", "Duong"), IF(F220&lt;0, IF(C220="Transaction", "Du no", IF(C220="Interests", "Lai phat sinh", IF(C220="Misc", "Phi", IF(C220="Account Transfer", "Lai tra gop", "Am")))), "Bang 0"))</f>
        <v>Da thanh toan</v>
      </c>
    </row>
    <row r="221" spans="1:7" x14ac:dyDescent="0.3">
      <c r="A221" s="60">
        <v>44957</v>
      </c>
      <c r="B221" s="33">
        <v>96044</v>
      </c>
      <c r="C221" t="s">
        <v>51</v>
      </c>
      <c r="D221" t="s">
        <v>767</v>
      </c>
      <c r="E221" t="str">
        <f>IF(OR(C221="Transaction",C221="Interests",C221="Misc",C221="Account Transfer"), IF(C221="Transaction", IF(B221&lt;0, "Du no", "Da thanh toan"), IF(C221="Interests", "Lai", IF(C221="Misc", "Phi", IF(C221="Account Transfer", IF(OR(ISNUMBER(SEARCH("Trich lai tra gop the TD", D221)), ISNUMBER(SEARCH("Chuyen lai tra gop con lai sang du no thong thuong khi BadDebt", D221))), IF(B221&lt;0, "Lai tra gop", ""), "" )))))) &amp; " " &amp; IF(C221="Interests", TEXT(EDATE(IF(DAY(A221)&gt;=24, A221, EDATE(A221,-1)), -1),"yyyy-mm"), TEXT(IF(DAY(A221)&gt;=24, A221, EDATE(A221,-1)),"yyyy-mm"))</f>
        <v>Da thanh toan 2023-01</v>
      </c>
      <c r="F221" s="7">
        <f>IF(ISNUMBER(B221), ROUND(SUMIFS($B$2:$B$10000, $E$2:$E$10000, E221, $B$2:$B$10000, IF(B221&lt;0, "&lt;0", "&gt;0")), 0), "")</f>
        <v>246044</v>
      </c>
      <c r="G221" s="8" t="str">
        <f>IF(F221&gt;0, IF(C221="Transaction", "Da thanh toan", "Duong"), IF(F221&lt;0, IF(C221="Transaction", "Du no", IF(C221="Interests", "Lai phat sinh", IF(C221="Misc", "Phi", IF(C221="Account Transfer", "Lai tra gop", "Am")))), "Bang 0"))</f>
        <v>Da thanh toan</v>
      </c>
    </row>
    <row r="222" spans="1:7" x14ac:dyDescent="0.3">
      <c r="A222" s="60">
        <v>44950</v>
      </c>
      <c r="B222" s="33">
        <v>-8221.7999999999993</v>
      </c>
      <c r="C222" t="s">
        <v>49</v>
      </c>
      <c r="E222" t="str">
        <f>IF(OR(C222="Transaction",C222="Interests",C222="Misc",C222="Account Transfer"), IF(C222="Transaction", IF(B222&lt;0, "Du no", "Da thanh toan"), IF(C222="Interests", "Lai", IF(C222="Misc", "Phi", IF(C222="Account Transfer", IF(OR(ISNUMBER(SEARCH("Trich lai tra gop the TD", D222)), ISNUMBER(SEARCH("Chuyen lai tra gop con lai sang du no thong thuong khi BadDebt", D222))), IF(B222&lt;0, "Lai tra gop", ""), "" )))))) &amp; " " &amp; IF(C222="Interests", TEXT(EDATE(IF(DAY(A222)&gt;=24, A222, EDATE(A222,-1)), -1),"yyyy-mm"), TEXT(IF(DAY(A222)&gt;=24, A222, EDATE(A222,-1)),"yyyy-mm"))</f>
        <v>Lai 2022-12</v>
      </c>
      <c r="F222" s="7">
        <f>IF(ISNUMBER(B222), ROUND(SUMIFS($B$2:$B$10000, $E$2:$E$10000, E222, $B$2:$B$10000, IF(B222&lt;0, "&lt;0", "&gt;0")), 0), "")</f>
        <v>-114444</v>
      </c>
      <c r="G222" s="8" t="str">
        <f>IF(F222&gt;0, IF(C222="Transaction", "Da thanh toan", "Duong"), IF(F222&lt;0, IF(C222="Transaction", "Du no", IF(C222="Interests", "Lai phat sinh", IF(C222="Misc", "Phi", IF(C222="Account Transfer", "Lai tra gop", "Am")))), "Bang 0"))</f>
        <v>Lai phat sinh</v>
      </c>
    </row>
    <row r="223" spans="1:7" x14ac:dyDescent="0.3">
      <c r="A223" s="60">
        <v>44950</v>
      </c>
      <c r="B223" s="33">
        <v>-2872.73</v>
      </c>
      <c r="C223" t="s">
        <v>49</v>
      </c>
      <c r="E223" t="str">
        <f>IF(OR(C223="Transaction",C223="Interests",C223="Misc",C223="Account Transfer"), IF(C223="Transaction", IF(B223&lt;0, "Du no", "Da thanh toan"), IF(C223="Interests", "Lai", IF(C223="Misc", "Phi", IF(C223="Account Transfer", IF(OR(ISNUMBER(SEARCH("Trich lai tra gop the TD", D223)), ISNUMBER(SEARCH("Chuyen lai tra gop con lai sang du no thong thuong khi BadDebt", D223))), IF(B223&lt;0, "Lai tra gop", ""), "" )))))) &amp; " " &amp; IF(C223="Interests", TEXT(EDATE(IF(DAY(A223)&gt;=24, A223, EDATE(A223,-1)), -1),"yyyy-mm"), TEXT(IF(DAY(A223)&gt;=24, A223, EDATE(A223,-1)),"yyyy-mm"))</f>
        <v>Lai 2022-12</v>
      </c>
      <c r="F223" s="7">
        <f>IF(ISNUMBER(B223), ROUND(SUMIFS($B$2:$B$10000, $E$2:$E$10000, E223, $B$2:$B$10000, IF(B223&lt;0, "&lt;0", "&gt;0")), 0), "")</f>
        <v>-114444</v>
      </c>
      <c r="G223" s="8" t="str">
        <f>IF(F223&gt;0, IF(C223="Transaction", "Da thanh toan", "Duong"), IF(F223&lt;0, IF(C223="Transaction", "Du no", IF(C223="Interests", "Lai phat sinh", IF(C223="Misc", "Phi", IF(C223="Account Transfer", "Lai tra gop", "Am")))), "Bang 0"))</f>
        <v>Lai phat sinh</v>
      </c>
    </row>
    <row r="224" spans="1:7" x14ac:dyDescent="0.3">
      <c r="A224" s="60">
        <v>44950</v>
      </c>
      <c r="B224" s="33">
        <v>-68860.600000000006</v>
      </c>
      <c r="C224" t="s">
        <v>49</v>
      </c>
      <c r="E224" t="str">
        <f>IF(OR(C224="Transaction",C224="Interests",C224="Misc",C224="Account Transfer"), IF(C224="Transaction", IF(B224&lt;0, "Du no", "Da thanh toan"), IF(C224="Interests", "Lai", IF(C224="Misc", "Phi", IF(C224="Account Transfer", IF(OR(ISNUMBER(SEARCH("Trich lai tra gop the TD", D224)), ISNUMBER(SEARCH("Chuyen lai tra gop con lai sang du no thong thuong khi BadDebt", D224))), IF(B224&lt;0, "Lai tra gop", ""), "" )))))) &amp; " " &amp; IF(C224="Interests", TEXT(EDATE(IF(DAY(A224)&gt;=24, A224, EDATE(A224,-1)), -1),"yyyy-mm"), TEXT(IF(DAY(A224)&gt;=24, A224, EDATE(A224,-1)),"yyyy-mm"))</f>
        <v>Lai 2022-12</v>
      </c>
      <c r="F224" s="7">
        <f>IF(ISNUMBER(B224), ROUND(SUMIFS($B$2:$B$10000, $E$2:$E$10000, E224, $B$2:$B$10000, IF(B224&lt;0, "&lt;0", "&gt;0")), 0), "")</f>
        <v>-114444</v>
      </c>
      <c r="G224" s="8" t="str">
        <f>IF(F224&gt;0, IF(C224="Transaction", "Da thanh toan", "Duong"), IF(F224&lt;0, IF(C224="Transaction", "Du no", IF(C224="Interests", "Lai phat sinh", IF(C224="Misc", "Phi", IF(C224="Account Transfer", "Lai tra gop", "Am")))), "Bang 0"))</f>
        <v>Lai phat sinh</v>
      </c>
    </row>
    <row r="225" spans="1:7" x14ac:dyDescent="0.3">
      <c r="A225" s="60">
        <v>44950</v>
      </c>
      <c r="B225" s="33">
        <v>-3433.13</v>
      </c>
      <c r="C225" t="s">
        <v>49</v>
      </c>
      <c r="E225" t="str">
        <f>IF(OR(C225="Transaction",C225="Interests",C225="Misc",C225="Account Transfer"), IF(C225="Transaction", IF(B225&lt;0, "Du no", "Da thanh toan"), IF(C225="Interests", "Lai", IF(C225="Misc", "Phi", IF(C225="Account Transfer", IF(OR(ISNUMBER(SEARCH("Trich lai tra gop the TD", D225)), ISNUMBER(SEARCH("Chuyen lai tra gop con lai sang du no thong thuong khi BadDebt", D225))), IF(B225&lt;0, "Lai tra gop", ""), "" )))))) &amp; " " &amp; IF(C225="Interests", TEXT(EDATE(IF(DAY(A225)&gt;=24, A225, EDATE(A225,-1)), -1),"yyyy-mm"), TEXT(IF(DAY(A225)&gt;=24, A225, EDATE(A225,-1)),"yyyy-mm"))</f>
        <v>Lai 2022-12</v>
      </c>
      <c r="F225" s="7">
        <f>IF(ISNUMBER(B225), ROUND(SUMIFS($B$2:$B$10000, $E$2:$E$10000, E225, $B$2:$B$10000, IF(B225&lt;0, "&lt;0", "&gt;0")), 0), "")</f>
        <v>-114444</v>
      </c>
      <c r="G225" s="8" t="str">
        <f>IF(F225&gt;0, IF(C225="Transaction", "Da thanh toan", "Duong"), IF(F225&lt;0, IF(C225="Transaction", "Du no", IF(C225="Interests", "Lai phat sinh", IF(C225="Misc", "Phi", IF(C225="Account Transfer", "Lai tra gop", "Am")))), "Bang 0"))</f>
        <v>Lai phat sinh</v>
      </c>
    </row>
    <row r="226" spans="1:7" x14ac:dyDescent="0.3">
      <c r="A226" s="60">
        <v>44950</v>
      </c>
      <c r="B226" s="33">
        <v>-25821.99</v>
      </c>
      <c r="C226" t="s">
        <v>49</v>
      </c>
      <c r="E226" t="str">
        <f>IF(OR(C226="Transaction",C226="Interests",C226="Misc",C226="Account Transfer"), IF(C226="Transaction", IF(B226&lt;0, "Du no", "Da thanh toan"), IF(C226="Interests", "Lai", IF(C226="Misc", "Phi", IF(C226="Account Transfer", IF(OR(ISNUMBER(SEARCH("Trich lai tra gop the TD", D226)), ISNUMBER(SEARCH("Chuyen lai tra gop con lai sang du no thong thuong khi BadDebt", D226))), IF(B226&lt;0, "Lai tra gop", ""), "" )))))) &amp; " " &amp; IF(C226="Interests", TEXT(EDATE(IF(DAY(A226)&gt;=24, A226, EDATE(A226,-1)), -1),"yyyy-mm"), TEXT(IF(DAY(A226)&gt;=24, A226, EDATE(A226,-1)),"yyyy-mm"))</f>
        <v>Lai 2022-12</v>
      </c>
      <c r="F226" s="7">
        <f>IF(ISNUMBER(B226), ROUND(SUMIFS($B$2:$B$10000, $E$2:$E$10000, E226, $B$2:$B$10000, IF(B226&lt;0, "&lt;0", "&gt;0")), 0), "")</f>
        <v>-114444</v>
      </c>
      <c r="G226" s="8" t="str">
        <f>IF(F226&gt;0, IF(C226="Transaction", "Da thanh toan", "Duong"), IF(F226&lt;0, IF(C226="Transaction", "Du no", IF(C226="Interests", "Lai phat sinh", IF(C226="Misc", "Phi", IF(C226="Account Transfer", "Lai tra gop", "Am")))), "Bang 0"))</f>
        <v>Lai phat sinh</v>
      </c>
    </row>
    <row r="227" spans="1:7" x14ac:dyDescent="0.3">
      <c r="A227" s="60">
        <v>44950</v>
      </c>
      <c r="B227" s="33">
        <v>-182.14</v>
      </c>
      <c r="C227" t="s">
        <v>49</v>
      </c>
      <c r="E227" t="str">
        <f>IF(OR(C227="Transaction",C227="Interests",C227="Misc",C227="Account Transfer"), IF(C227="Transaction", IF(B227&lt;0, "Du no", "Da thanh toan"), IF(C227="Interests", "Lai", IF(C227="Misc", "Phi", IF(C227="Account Transfer", IF(OR(ISNUMBER(SEARCH("Trich lai tra gop the TD", D227)), ISNUMBER(SEARCH("Chuyen lai tra gop con lai sang du no thong thuong khi BadDebt", D227))), IF(B227&lt;0, "Lai tra gop", ""), "" )))))) &amp; " " &amp; IF(C227="Interests", TEXT(EDATE(IF(DAY(A227)&gt;=24, A227, EDATE(A227,-1)), -1),"yyyy-mm"), TEXT(IF(DAY(A227)&gt;=24, A227, EDATE(A227,-1)),"yyyy-mm"))</f>
        <v>Lai 2022-12</v>
      </c>
      <c r="F227" s="7">
        <f>IF(ISNUMBER(B227), ROUND(SUMIFS($B$2:$B$10000, $E$2:$E$10000, E227, $B$2:$B$10000, IF(B227&lt;0, "&lt;0", "&gt;0")), 0), "")</f>
        <v>-114444</v>
      </c>
      <c r="G227" s="8" t="str">
        <f>IF(F227&gt;0, IF(C227="Transaction", "Da thanh toan", "Duong"), IF(F227&lt;0, IF(C227="Transaction", "Du no", IF(C227="Interests", "Lai phat sinh", IF(C227="Misc", "Phi", IF(C227="Account Transfer", "Lai tra gop", "Am")))), "Bang 0"))</f>
        <v>Lai phat sinh</v>
      </c>
    </row>
    <row r="228" spans="1:7" x14ac:dyDescent="0.3">
      <c r="A228" s="60">
        <v>44950</v>
      </c>
      <c r="B228" s="33">
        <v>-4889.1099999999997</v>
      </c>
      <c r="C228" t="s">
        <v>49</v>
      </c>
      <c r="E228" t="str">
        <f>IF(OR(C228="Transaction",C228="Interests",C228="Misc",C228="Account Transfer"), IF(C228="Transaction", IF(B228&lt;0, "Du no", "Da thanh toan"), IF(C228="Interests", "Lai", IF(C228="Misc", "Phi", IF(C228="Account Transfer", IF(OR(ISNUMBER(SEARCH("Trich lai tra gop the TD", D228)), ISNUMBER(SEARCH("Chuyen lai tra gop con lai sang du no thong thuong khi BadDebt", D228))), IF(B228&lt;0, "Lai tra gop", ""), "" )))))) &amp; " " &amp; IF(C228="Interests", TEXT(EDATE(IF(DAY(A228)&gt;=24, A228, EDATE(A228,-1)), -1),"yyyy-mm"), TEXT(IF(DAY(A228)&gt;=24, A228, EDATE(A228,-1)),"yyyy-mm"))</f>
        <v>Lai 2022-12</v>
      </c>
      <c r="F228" s="7">
        <f>IF(ISNUMBER(B228), ROUND(SUMIFS($B$2:$B$10000, $E$2:$E$10000, E228, $B$2:$B$10000, IF(B228&lt;0, "&lt;0", "&gt;0")), 0), "")</f>
        <v>-114444</v>
      </c>
      <c r="G228" s="8" t="str">
        <f>IF(F228&gt;0, IF(C228="Transaction", "Da thanh toan", "Duong"), IF(F228&lt;0, IF(C228="Transaction", "Du no", IF(C228="Interests", "Lai phat sinh", IF(C228="Misc", "Phi", IF(C228="Account Transfer", "Lai tra gop", "Am")))), "Bang 0"))</f>
        <v>Lai phat sinh</v>
      </c>
    </row>
    <row r="229" spans="1:7" x14ac:dyDescent="0.3">
      <c r="A229" s="60">
        <v>44950</v>
      </c>
      <c r="B229" s="33">
        <v>-162.97</v>
      </c>
      <c r="C229" t="s">
        <v>49</v>
      </c>
      <c r="E229" t="str">
        <f>IF(OR(C229="Transaction",C229="Interests",C229="Misc",C229="Account Transfer"), IF(C229="Transaction", IF(B229&lt;0, "Du no", "Da thanh toan"), IF(C229="Interests", "Lai", IF(C229="Misc", "Phi", IF(C229="Account Transfer", IF(OR(ISNUMBER(SEARCH("Trich lai tra gop the TD", D229)), ISNUMBER(SEARCH("Chuyen lai tra gop con lai sang du no thong thuong khi BadDebt", D229))), IF(B229&lt;0, "Lai tra gop", ""), "" )))))) &amp; " " &amp; IF(C229="Interests", TEXT(EDATE(IF(DAY(A229)&gt;=24, A229, EDATE(A229,-1)), -1),"yyyy-mm"), TEXT(IF(DAY(A229)&gt;=24, A229, EDATE(A229,-1)),"yyyy-mm"))</f>
        <v>Lai 2022-12</v>
      </c>
      <c r="F229" s="7">
        <f>IF(ISNUMBER(B229), ROUND(SUMIFS($B$2:$B$10000, $E$2:$E$10000, E229, $B$2:$B$10000, IF(B229&lt;0, "&lt;0", "&gt;0")), 0), "")</f>
        <v>-114444</v>
      </c>
      <c r="G229" s="8" t="str">
        <f>IF(F229&gt;0, IF(C229="Transaction", "Da thanh toan", "Duong"), IF(F229&lt;0, IF(C229="Transaction", "Du no", IF(C229="Interests", "Lai phat sinh", IF(C229="Misc", "Phi", IF(C229="Account Transfer", "Lai tra gop", "Am")))), "Bang 0"))</f>
        <v>Lai phat sinh</v>
      </c>
    </row>
    <row r="230" spans="1:7" x14ac:dyDescent="0.3">
      <c r="A230" s="60">
        <v>44938</v>
      </c>
      <c r="B230" s="33">
        <v>41724</v>
      </c>
      <c r="C230" t="s">
        <v>51</v>
      </c>
      <c r="D230" t="s">
        <v>53</v>
      </c>
      <c r="E230" t="str">
        <f>IF(OR(C230="Transaction",C230="Interests",C230="Misc",C230="Account Transfer"), IF(C230="Transaction", IF(B230&lt;0, "Du no", "Da thanh toan"), IF(C230="Interests", "Lai", IF(C230="Misc", "Phi", IF(C230="Account Transfer", IF(OR(ISNUMBER(SEARCH("Trich lai tra gop the TD", D230)), ISNUMBER(SEARCH("Chuyen lai tra gop con lai sang du no thong thuong khi BadDebt", D230))), IF(B230&lt;0, "Lai tra gop", ""), "" )))))) &amp; " " &amp; IF(C230="Interests", TEXT(EDATE(IF(DAY(A230)&gt;=24, A230, EDATE(A230,-1)), -1),"yyyy-mm"), TEXT(IF(DAY(A230)&gt;=24, A230, EDATE(A230,-1)),"yyyy-mm"))</f>
        <v>Da thanh toan 2022-12</v>
      </c>
      <c r="F230" s="7">
        <f>IF(ISNUMBER(B230), ROUND(SUMIFS($B$2:$B$10000, $E$2:$E$10000, E230, $B$2:$B$10000, IF(B230&lt;0, "&lt;0", "&gt;0")), 0), "")</f>
        <v>41724</v>
      </c>
      <c r="G230" s="8" t="str">
        <f>IF(F230&gt;0, IF(C230="Transaction", "Da thanh toan", "Duong"), IF(F230&lt;0, IF(C230="Transaction", "Du no", IF(C230="Interests", "Lai phat sinh", IF(C230="Misc", "Phi", IF(C230="Account Transfer", "Lai tra gop", "Am")))), "Bang 0"))</f>
        <v>Da thanh toan</v>
      </c>
    </row>
    <row r="231" spans="1:7" x14ac:dyDescent="0.3">
      <c r="A231" s="60">
        <v>44936</v>
      </c>
      <c r="B231" s="33">
        <v>-149000</v>
      </c>
      <c r="C231" t="s">
        <v>50</v>
      </c>
      <c r="E231" t="str">
        <f>IF(OR(C231="Transaction",C231="Interests",C231="Misc",C231="Account Transfer"), IF(C231="Transaction", IF(B231&lt;0, "Du no", "Da thanh toan"), IF(C231="Interests", "Lai", IF(C231="Misc", "Phi", IF(C231="Account Transfer", IF(OR(ISNUMBER(SEARCH("Trich lai tra gop the TD", D231)), ISNUMBER(SEARCH("Chuyen lai tra gop con lai sang du no thong thuong khi BadDebt", D231))), IF(B231&lt;0, "Lai tra gop", ""), "" )))))) &amp; " " &amp; IF(C231="Interests", TEXT(EDATE(IF(DAY(A231)&gt;=24, A231, EDATE(A231,-1)), -1),"yyyy-mm"), TEXT(IF(DAY(A231)&gt;=24, A231, EDATE(A231,-1)),"yyyy-mm"))</f>
        <v>Phi 2022-12</v>
      </c>
      <c r="F231" s="7">
        <f>IF(ISNUMBER(B231), ROUND(SUMIFS($B$2:$B$10000, $E$2:$E$10000, E231, $B$2:$B$10000, IF(B231&lt;0, "&lt;0", "&gt;0")), 0), "")</f>
        <v>-153950</v>
      </c>
      <c r="G231" s="8" t="str">
        <f>IF(F231&gt;0, IF(C231="Transaction", "Da thanh toan", "Duong"), IF(F231&lt;0, IF(C231="Transaction", "Du no", IF(C231="Interests", "Lai phat sinh", IF(C231="Misc", "Phi", IF(C231="Account Transfer", "Lai tra gop", "Am")))), "Bang 0"))</f>
        <v>Phi</v>
      </c>
    </row>
    <row r="232" spans="1:7" x14ac:dyDescent="0.3">
      <c r="A232" s="60">
        <v>44931</v>
      </c>
      <c r="B232" s="33">
        <v>-7308</v>
      </c>
      <c r="C232" t="s">
        <v>51</v>
      </c>
      <c r="D232" t="s">
        <v>768</v>
      </c>
      <c r="E232" t="str">
        <f>IF(OR(C232="Transaction",C232="Interests",C232="Misc",C232="Account Transfer"), IF(C232="Transaction", IF(B232&lt;0, "Du no", "Da thanh toan"), IF(C232="Interests", "Lai", IF(C232="Misc", "Phi", IF(C232="Account Transfer", IF(OR(ISNUMBER(SEARCH("Trich lai tra gop the TD", D232)), ISNUMBER(SEARCH("Chuyen lai tra gop con lai sang du no thong thuong khi BadDebt", D232))), IF(B232&lt;0, "Lai tra gop", ""), "" )))))) &amp; " " &amp; IF(C232="Interests", TEXT(EDATE(IF(DAY(A232)&gt;=24, A232, EDATE(A232,-1)), -1),"yyyy-mm"), TEXT(IF(DAY(A232)&gt;=24, A232, EDATE(A232,-1)),"yyyy-mm"))</f>
        <v>Du no 2022-12</v>
      </c>
      <c r="F232" s="7">
        <f>IF(ISNUMBER(B232), ROUND(SUMIFS($B$2:$B$10000, $E$2:$E$10000, E232, $B$2:$B$10000, IF(B232&lt;0, "&lt;0", "&gt;0")), 0), "")</f>
        <v>-7308</v>
      </c>
      <c r="G232" s="8" t="str">
        <f>IF(F232&gt;0, IF(C232="Transaction", "Da thanh toan", "Duong"), IF(F232&lt;0, IF(C232="Transaction", "Du no", IF(C232="Interests", "Lai phat sinh", IF(C232="Misc", "Phi", IF(C232="Account Transfer", "Lai tra gop", "Am")))), "Bang 0"))</f>
        <v>Du no</v>
      </c>
    </row>
    <row r="233" spans="1:7" x14ac:dyDescent="0.3">
      <c r="A233" s="60">
        <v>44926</v>
      </c>
      <c r="B233" s="33">
        <v>-450</v>
      </c>
      <c r="C233" t="s">
        <v>50</v>
      </c>
      <c r="E233" t="str">
        <f>IF(OR(C233="Transaction",C233="Interests",C233="Misc",C233="Account Transfer"), IF(C233="Transaction", IF(B233&lt;0, "Du no", "Da thanh toan"), IF(C233="Interests", "Lai", IF(C233="Misc", "Phi", IF(C233="Account Transfer", IF(OR(ISNUMBER(SEARCH("Trich lai tra gop the TD", D233)), ISNUMBER(SEARCH("Chuyen lai tra gop con lai sang du no thong thuong khi BadDebt", D233))), IF(B233&lt;0, "Lai tra gop", ""), "" )))))) &amp; " " &amp; IF(C233="Interests", TEXT(EDATE(IF(DAY(A233)&gt;=24, A233, EDATE(A233,-1)), -1),"yyyy-mm"), TEXT(IF(DAY(A233)&gt;=24, A233, EDATE(A233,-1)),"yyyy-mm"))</f>
        <v>Phi 2022-12</v>
      </c>
      <c r="F233" s="7">
        <f>IF(ISNUMBER(B233), ROUND(SUMIFS($B$2:$B$10000, $E$2:$E$10000, E233, $B$2:$B$10000, IF(B233&lt;0, "&lt;0", "&gt;0")), 0), "")</f>
        <v>-153950</v>
      </c>
      <c r="G233" s="8" t="str">
        <f>IF(F233&gt;0, IF(C233="Transaction", "Da thanh toan", "Duong"), IF(F233&lt;0, IF(C233="Transaction", "Du no", IF(C233="Interests", "Lai phat sinh", IF(C233="Misc", "Phi", IF(C233="Account Transfer", "Lai tra gop", "Am")))), "Bang 0"))</f>
        <v>Phi</v>
      </c>
    </row>
    <row r="234" spans="1:7" x14ac:dyDescent="0.3">
      <c r="A234" s="60">
        <v>44926</v>
      </c>
      <c r="B234" s="33">
        <v>-4500</v>
      </c>
      <c r="C234" t="s">
        <v>50</v>
      </c>
      <c r="E234" t="str">
        <f>IF(OR(C234="Transaction",C234="Interests",C234="Misc",C234="Account Transfer"), IF(C234="Transaction", IF(B234&lt;0, "Du no", "Da thanh toan"), IF(C234="Interests", "Lai", IF(C234="Misc", "Phi", IF(C234="Account Transfer", IF(OR(ISNUMBER(SEARCH("Trich lai tra gop the TD", D234)), ISNUMBER(SEARCH("Chuyen lai tra gop con lai sang du no thong thuong khi BadDebt", D234))), IF(B234&lt;0, "Lai tra gop", ""), "" )))))) &amp; " " &amp; IF(C234="Interests", TEXT(EDATE(IF(DAY(A234)&gt;=24, A234, EDATE(A234,-1)), -1),"yyyy-mm"), TEXT(IF(DAY(A234)&gt;=24, A234, EDATE(A234,-1)),"yyyy-mm"))</f>
        <v>Phi 2022-12</v>
      </c>
      <c r="F234" s="7">
        <f>IF(ISNUMBER(B234), ROUND(SUMIFS($B$2:$B$10000, $E$2:$E$10000, E234, $B$2:$B$10000, IF(B234&lt;0, "&lt;0", "&gt;0")), 0), "")</f>
        <v>-153950</v>
      </c>
      <c r="G234" s="8" t="str">
        <f>IF(F234&gt;0, IF(C234="Transaction", "Da thanh toan", "Duong"), IF(F234&lt;0, IF(C234="Transaction", "Du no", IF(C234="Interests", "Lai phat sinh", IF(C234="Misc", "Phi", IF(C234="Account Transfer", "Lai tra gop", "Am")))), "Bang 0"))</f>
        <v>Phi</v>
      </c>
    </row>
    <row r="235" spans="1:7" x14ac:dyDescent="0.3">
      <c r="A235" s="60">
        <v>44919</v>
      </c>
      <c r="B235" s="33">
        <v>-7820.32</v>
      </c>
      <c r="C235" t="s">
        <v>49</v>
      </c>
      <c r="E235" t="str">
        <f>IF(OR(C235="Transaction",C235="Interests",C235="Misc",C235="Account Transfer"), IF(C235="Transaction", IF(B235&lt;0, "Du no", "Da thanh toan"), IF(C235="Interests", "Lai", IF(C235="Misc", "Phi", IF(C235="Account Transfer", IF(OR(ISNUMBER(SEARCH("Trich lai tra gop the TD", D235)), ISNUMBER(SEARCH("Chuyen lai tra gop con lai sang du no thong thuong khi BadDebt", D235))), IF(B235&lt;0, "Lai tra gop", ""), "" )))))) &amp; " " &amp; IF(C235="Interests", TEXT(EDATE(IF(DAY(A235)&gt;=24, A235, EDATE(A235,-1)), -1),"yyyy-mm"), TEXT(IF(DAY(A235)&gt;=24, A235, EDATE(A235,-1)),"yyyy-mm"))</f>
        <v>Lai 2022-11</v>
      </c>
      <c r="F235">
        <f>IF(ISNUMBER(B235), ROUND(SUMIFS($B$2:$B$10000, $E$2:$E$10000, E235, $B$2:$B$10000, IF(B235&lt;0, "&lt;0", "&gt;0")), 0), "")</f>
        <v>-104597</v>
      </c>
      <c r="G235" t="str">
        <f>IF(F235&gt;0, IF(C235="Transaction", "Da thanh toan", "Duong"), IF(F235&lt;0, IF(C235="Transaction", "Du no", IF(C235="Interests", "Lai phat sinh", IF(C235="Misc", "Phi", IF(C235="Account Transfer", "Lai tra gop", "Am")))), "Bang 0"))</f>
        <v>Lai phat sinh</v>
      </c>
    </row>
    <row r="236" spans="1:7" x14ac:dyDescent="0.3">
      <c r="A236" s="60">
        <v>44919</v>
      </c>
      <c r="B236" s="33">
        <v>-3081.18</v>
      </c>
      <c r="C236" t="s">
        <v>49</v>
      </c>
      <c r="E236" t="str">
        <f>IF(OR(C236="Transaction",C236="Interests",C236="Misc",C236="Account Transfer"), IF(C236="Transaction", IF(B236&lt;0, "Du no", "Da thanh toan"), IF(C236="Interests", "Lai", IF(C236="Misc", "Phi", IF(C236="Account Transfer", IF(OR(ISNUMBER(SEARCH("Trich lai tra gop the TD", D236)), ISNUMBER(SEARCH("Chuyen lai tra gop con lai sang du no thong thuong khi BadDebt", D236))), IF(B236&lt;0, "Lai tra gop", ""), "" )))))) &amp; " " &amp; IF(C236="Interests", TEXT(EDATE(IF(DAY(A236)&gt;=24, A236, EDATE(A236,-1)), -1),"yyyy-mm"), TEXT(IF(DAY(A236)&gt;=24, A236, EDATE(A236,-1)),"yyyy-mm"))</f>
        <v>Lai 2022-11</v>
      </c>
      <c r="F236">
        <f>IF(ISNUMBER(B236), ROUND(SUMIFS($B$2:$B$10000, $E$2:$E$10000, E236, $B$2:$B$10000, IF(B236&lt;0, "&lt;0", "&gt;0")), 0), "")</f>
        <v>-104597</v>
      </c>
      <c r="G236" t="str">
        <f>IF(F236&gt;0, IF(C236="Transaction", "Da thanh toan", "Duong"), IF(F236&lt;0, IF(C236="Transaction", "Du no", IF(C236="Interests", "Lai phat sinh", IF(C236="Misc", "Phi", IF(C236="Account Transfer", "Lai tra gop", "Am")))), "Bang 0"))</f>
        <v>Lai phat sinh</v>
      </c>
    </row>
    <row r="237" spans="1:7" x14ac:dyDescent="0.3">
      <c r="A237" s="60">
        <v>44919</v>
      </c>
      <c r="B237" s="33">
        <v>-60873.98</v>
      </c>
      <c r="C237" t="s">
        <v>49</v>
      </c>
      <c r="E237" t="str">
        <f>IF(OR(C237="Transaction",C237="Interests",C237="Misc",C237="Account Transfer"), IF(C237="Transaction", IF(B237&lt;0, "Du no", "Da thanh toan"), IF(C237="Interests", "Lai", IF(C237="Misc", "Phi", IF(C237="Account Transfer", IF(OR(ISNUMBER(SEARCH("Trich lai tra gop the TD", D237)), ISNUMBER(SEARCH("Chuyen lai tra gop con lai sang du no thong thuong khi BadDebt", D237))), IF(B237&lt;0, "Lai tra gop", ""), "" )))))) &amp; " " &amp; IF(C237="Interests", TEXT(EDATE(IF(DAY(A237)&gt;=24, A237, EDATE(A237,-1)), -1),"yyyy-mm"), TEXT(IF(DAY(A237)&gt;=24, A237, EDATE(A237,-1)),"yyyy-mm"))</f>
        <v>Lai 2022-11</v>
      </c>
      <c r="F237">
        <f>IF(ISNUMBER(B237), ROUND(SUMIFS($B$2:$B$10000, $E$2:$E$10000, E237, $B$2:$B$10000, IF(B237&lt;0, "&lt;0", "&gt;0")), 0), "")</f>
        <v>-104597</v>
      </c>
      <c r="G237" t="str">
        <f>IF(F237&gt;0, IF(C237="Transaction", "Da thanh toan", "Duong"), IF(F237&lt;0, IF(C237="Transaction", "Du no", IF(C237="Interests", "Lai phat sinh", IF(C237="Misc", "Phi", IF(C237="Account Transfer", "Lai tra gop", "Am")))), "Bang 0"))</f>
        <v>Lai phat sinh</v>
      </c>
    </row>
    <row r="238" spans="1:7" x14ac:dyDescent="0.3">
      <c r="A238" s="60">
        <v>44919</v>
      </c>
      <c r="B238" s="33">
        <v>-3029.23</v>
      </c>
      <c r="C238" t="s">
        <v>49</v>
      </c>
      <c r="E238" t="str">
        <f>IF(OR(C238="Transaction",C238="Interests",C238="Misc",C238="Account Transfer"), IF(C238="Transaction", IF(B238&lt;0, "Du no", "Da thanh toan"), IF(C238="Interests", "Lai", IF(C238="Misc", "Phi", IF(C238="Account Transfer", IF(OR(ISNUMBER(SEARCH("Trich lai tra gop the TD", D238)), ISNUMBER(SEARCH("Chuyen lai tra gop con lai sang du no thong thuong khi BadDebt", D238))), IF(B238&lt;0, "Lai tra gop", ""), "" )))))) &amp; " " &amp; IF(C238="Interests", TEXT(EDATE(IF(DAY(A238)&gt;=24, A238, EDATE(A238,-1)), -1),"yyyy-mm"), TEXT(IF(DAY(A238)&gt;=24, A238, EDATE(A238,-1)),"yyyy-mm"))</f>
        <v>Lai 2022-11</v>
      </c>
      <c r="F238">
        <f>IF(ISNUMBER(B238), ROUND(SUMIFS($B$2:$B$10000, $E$2:$E$10000, E238, $B$2:$B$10000, IF(B238&lt;0, "&lt;0", "&gt;0")), 0), "")</f>
        <v>-104597</v>
      </c>
      <c r="G238" t="str">
        <f>IF(F238&gt;0, IF(C238="Transaction", "Da thanh toan", "Duong"), IF(F238&lt;0, IF(C238="Transaction", "Du no", IF(C238="Interests", "Lai phat sinh", IF(C238="Misc", "Phi", IF(C238="Account Transfer", "Lai tra gop", "Am")))), "Bang 0"))</f>
        <v>Lai phat sinh</v>
      </c>
    </row>
    <row r="239" spans="1:7" x14ac:dyDescent="0.3">
      <c r="A239" s="60">
        <v>44919</v>
      </c>
      <c r="B239" s="33">
        <v>-24989.03</v>
      </c>
      <c r="C239" t="s">
        <v>49</v>
      </c>
      <c r="E239" t="str">
        <f>IF(OR(C239="Transaction",C239="Interests",C239="Misc",C239="Account Transfer"), IF(C239="Transaction", IF(B239&lt;0, "Du no", "Da thanh toan"), IF(C239="Interests", "Lai", IF(C239="Misc", "Phi", IF(C239="Account Transfer", IF(OR(ISNUMBER(SEARCH("Trich lai tra gop the TD", D239)), ISNUMBER(SEARCH("Chuyen lai tra gop con lai sang du no thong thuong khi BadDebt", D239))), IF(B239&lt;0, "Lai tra gop", ""), "" )))))) &amp; " " &amp; IF(C239="Interests", TEXT(EDATE(IF(DAY(A239)&gt;=24, A239, EDATE(A239,-1)), -1),"yyyy-mm"), TEXT(IF(DAY(A239)&gt;=24, A239, EDATE(A239,-1)),"yyyy-mm"))</f>
        <v>Lai 2022-11</v>
      </c>
      <c r="F239">
        <f>IF(ISNUMBER(B239), ROUND(SUMIFS($B$2:$B$10000, $E$2:$E$10000, E239, $B$2:$B$10000, IF(B239&lt;0, "&lt;0", "&gt;0")), 0), "")</f>
        <v>-104597</v>
      </c>
      <c r="G239" t="str">
        <f>IF(F239&gt;0, IF(C239="Transaction", "Da thanh toan", "Duong"), IF(F239&lt;0, IF(C239="Transaction", "Du no", IF(C239="Interests", "Lai phat sinh", IF(C239="Misc", "Phi", IF(C239="Account Transfer", "Lai tra gop", "Am")))), "Bang 0"))</f>
        <v>Lai phat sinh</v>
      </c>
    </row>
    <row r="240" spans="1:7" x14ac:dyDescent="0.3">
      <c r="A240" s="60">
        <v>44919</v>
      </c>
      <c r="B240" s="33">
        <v>-201.32</v>
      </c>
      <c r="C240" t="s">
        <v>49</v>
      </c>
      <c r="E240" t="str">
        <f>IF(OR(C240="Transaction",C240="Interests",C240="Misc",C240="Account Transfer"), IF(C240="Transaction", IF(B240&lt;0, "Du no", "Da thanh toan"), IF(C240="Interests", "Lai", IF(C240="Misc", "Phi", IF(C240="Account Transfer", IF(OR(ISNUMBER(SEARCH("Trich lai tra gop the TD", D240)), ISNUMBER(SEARCH("Chuyen lai tra gop con lai sang du no thong thuong khi BadDebt", D240))), IF(B240&lt;0, "Lai tra gop", ""), "" )))))) &amp; " " &amp; IF(C240="Interests", TEXT(EDATE(IF(DAY(A240)&gt;=24, A240, EDATE(A240,-1)), -1),"yyyy-mm"), TEXT(IF(DAY(A240)&gt;=24, A240, EDATE(A240,-1)),"yyyy-mm"))</f>
        <v>Lai 2022-11</v>
      </c>
      <c r="F240">
        <f>IF(ISNUMBER(B240), ROUND(SUMIFS($B$2:$B$10000, $E$2:$E$10000, E240, $B$2:$B$10000, IF(B240&lt;0, "&lt;0", "&gt;0")), 0), "")</f>
        <v>-104597</v>
      </c>
      <c r="G240" t="str">
        <f>IF(F240&gt;0, IF(C240="Transaction", "Da thanh toan", "Duong"), IF(F240&lt;0, IF(C240="Transaction", "Du no", IF(C240="Interests", "Lai phat sinh", IF(C240="Misc", "Phi", IF(C240="Account Transfer", "Lai tra gop", "Am")))), "Bang 0"))</f>
        <v>Lai phat sinh</v>
      </c>
    </row>
    <row r="241" spans="1:7" x14ac:dyDescent="0.3">
      <c r="A241" s="60">
        <v>44919</v>
      </c>
      <c r="B241" s="33">
        <v>-4457.72</v>
      </c>
      <c r="C241" t="s">
        <v>49</v>
      </c>
      <c r="E241" t="str">
        <f>IF(OR(C241="Transaction",C241="Interests",C241="Misc",C241="Account Transfer"), IF(C241="Transaction", IF(B241&lt;0, "Du no", "Da thanh toan"), IF(C241="Interests", "Lai", IF(C241="Misc", "Phi", IF(C241="Account Transfer", IF(OR(ISNUMBER(SEARCH("Trich lai tra gop the TD", D241)), ISNUMBER(SEARCH("Chuyen lai tra gop con lai sang du no thong thuong khi BadDebt", D241))), IF(B241&lt;0, "Lai tra gop", ""), "" )))))) &amp; " " &amp; IF(C241="Interests", TEXT(EDATE(IF(DAY(A241)&gt;=24, A241, EDATE(A241,-1)), -1),"yyyy-mm"), TEXT(IF(DAY(A241)&gt;=24, A241, EDATE(A241,-1)),"yyyy-mm"))</f>
        <v>Lai 2022-11</v>
      </c>
      <c r="F241">
        <f>IF(ISNUMBER(B241), ROUND(SUMIFS($B$2:$B$10000, $E$2:$E$10000, E241, $B$2:$B$10000, IF(B241&lt;0, "&lt;0", "&gt;0")), 0), "")</f>
        <v>-104597</v>
      </c>
      <c r="G241" t="str">
        <f>IF(F241&gt;0, IF(C241="Transaction", "Da thanh toan", "Duong"), IF(F241&lt;0, IF(C241="Transaction", "Du no", IF(C241="Interests", "Lai phat sinh", IF(C241="Misc", "Phi", IF(C241="Account Transfer", "Lai tra gop", "Am")))), "Bang 0"))</f>
        <v>Lai phat sinh</v>
      </c>
    </row>
    <row r="242" spans="1:7" x14ac:dyDescent="0.3">
      <c r="A242" s="60">
        <v>44919</v>
      </c>
      <c r="B242" s="33">
        <v>-143.80000000000001</v>
      </c>
      <c r="C242" t="s">
        <v>49</v>
      </c>
      <c r="E242" t="str">
        <f>IF(OR(C242="Transaction",C242="Interests",C242="Misc",C242="Account Transfer"), IF(C242="Transaction", IF(B242&lt;0, "Du no", "Da thanh toan"), IF(C242="Interests", "Lai", IF(C242="Misc", "Phi", IF(C242="Account Transfer", IF(OR(ISNUMBER(SEARCH("Trich lai tra gop the TD", D242)), ISNUMBER(SEARCH("Chuyen lai tra gop con lai sang du no thong thuong khi BadDebt", D242))), IF(B242&lt;0, "Lai tra gop", ""), "" )))))) &amp; " " &amp; IF(C242="Interests", TEXT(EDATE(IF(DAY(A242)&gt;=24, A242, EDATE(A242,-1)), -1),"yyyy-mm"), TEXT(IF(DAY(A242)&gt;=24, A242, EDATE(A242,-1)),"yyyy-mm"))</f>
        <v>Lai 2022-11</v>
      </c>
      <c r="F242">
        <f>IF(ISNUMBER(B242), ROUND(SUMIFS($B$2:$B$10000, $E$2:$E$10000, E242, $B$2:$B$10000, IF(B242&lt;0, "&lt;0", "&gt;0")), 0), "")</f>
        <v>-104597</v>
      </c>
      <c r="G242" t="str">
        <f>IF(F242&gt;0, IF(C242="Transaction", "Da thanh toan", "Duong"), IF(F242&lt;0, IF(C242="Transaction", "Du no", IF(C242="Interests", "Lai phat sinh", IF(C242="Misc", "Phi", IF(C242="Account Transfer", "Lai tra gop", "Am")))), "Bang 0"))</f>
        <v>Lai phat sinh</v>
      </c>
    </row>
    <row r="243" spans="1:7" x14ac:dyDescent="0.3">
      <c r="A243" s="60">
        <v>44915</v>
      </c>
      <c r="B243" s="33">
        <v>23875</v>
      </c>
      <c r="C243" t="s">
        <v>51</v>
      </c>
      <c r="D243" t="s">
        <v>769</v>
      </c>
      <c r="E243" t="str">
        <f>IF(OR(C243="Transaction",C243="Interests",C243="Misc",C243="Account Transfer"), IF(C243="Transaction", IF(B243&lt;0, "Du no", "Da thanh toan"), IF(C243="Interests", "Lai", IF(C243="Misc", "Phi", IF(C243="Account Transfer", IF(OR(ISNUMBER(SEARCH("Trich lai tra gop the TD", D243)), ISNUMBER(SEARCH("Chuyen lai tra gop con lai sang du no thong thuong khi BadDebt", D243))), IF(B243&lt;0, "Lai tra gop", ""), "" )))))) &amp; " " &amp; IF(C243="Interests", TEXT(EDATE(IF(DAY(A243)&gt;=24, A243, EDATE(A243,-1)), -1),"yyyy-mm"), TEXT(IF(DAY(A243)&gt;=24, A243, EDATE(A243,-1)),"yyyy-mm"))</f>
        <v>Da thanh toan 2022-11</v>
      </c>
      <c r="F243">
        <f>IF(ISNUMBER(B243), ROUND(SUMIFS($B$2:$B$10000, $E$2:$E$10000, E243, $B$2:$B$10000, IF(B243&lt;0, "&lt;0", "&gt;0")), 0), "")</f>
        <v>131027</v>
      </c>
      <c r="G243" t="str">
        <f>IF(F243&gt;0, IF(C243="Transaction", "Da thanh toan", "Duong"), IF(F243&lt;0, IF(C243="Transaction", "Du no", IF(C243="Interests", "Lai phat sinh", IF(C243="Misc", "Phi", IF(C243="Account Transfer", "Lai tra gop", "Am")))), "Bang 0"))</f>
        <v>Da thanh toan</v>
      </c>
    </row>
    <row r="244" spans="1:7" x14ac:dyDescent="0.3">
      <c r="A244" s="60">
        <v>44907</v>
      </c>
      <c r="B244" s="33">
        <v>107152</v>
      </c>
      <c r="C244" t="s">
        <v>51</v>
      </c>
      <c r="D244" t="s">
        <v>53</v>
      </c>
      <c r="E244" t="str">
        <f>IF(OR(C244="Transaction",C244="Interests",C244="Misc",C244="Account Transfer"), IF(C244="Transaction", IF(B244&lt;0, "Du no", "Da thanh toan"), IF(C244="Interests", "Lai", IF(C244="Misc", "Phi", IF(C244="Account Transfer", IF(OR(ISNUMBER(SEARCH("Trich lai tra gop the TD", D244)), ISNUMBER(SEARCH("Chuyen lai tra gop con lai sang du no thong thuong khi BadDebt", D244))), IF(B244&lt;0, "Lai tra gop", ""), "" )))))) &amp; " " &amp; IF(C244="Interests", TEXT(EDATE(IF(DAY(A244)&gt;=24, A244, EDATE(A244,-1)), -1),"yyyy-mm"), TEXT(IF(DAY(A244)&gt;=24, A244, EDATE(A244,-1)),"yyyy-mm"))</f>
        <v>Da thanh toan 2022-11</v>
      </c>
      <c r="F244">
        <f>IF(ISNUMBER(B244), ROUND(SUMIFS($B$2:$B$10000, $E$2:$E$10000, E244, $B$2:$B$10000, IF(B244&lt;0, "&lt;0", "&gt;0")), 0), "")</f>
        <v>131027</v>
      </c>
      <c r="G244" t="str">
        <f>IF(F244&gt;0, IF(C244="Transaction", "Da thanh toan", "Duong"), IF(F244&lt;0, IF(C244="Transaction", "Du no", IF(C244="Interests", "Lai phat sinh", IF(C244="Misc", "Phi", IF(C244="Account Transfer", "Lai tra gop", "Am")))), "Bang 0"))</f>
        <v>Da thanh toan</v>
      </c>
    </row>
    <row r="245" spans="1:7" x14ac:dyDescent="0.3">
      <c r="A245" s="60">
        <v>44905</v>
      </c>
      <c r="B245" s="33">
        <v>-149000</v>
      </c>
      <c r="C245" t="s">
        <v>50</v>
      </c>
      <c r="E245" t="str">
        <f>IF(OR(C245="Transaction",C245="Interests",C245="Misc",C245="Account Transfer"), IF(C245="Transaction", IF(B245&lt;0, "Du no", "Da thanh toan"), IF(C245="Interests", "Lai", IF(C245="Misc", "Phi", IF(C245="Account Transfer", IF(OR(ISNUMBER(SEARCH("Trich lai tra gop the TD", D245)), ISNUMBER(SEARCH("Chuyen lai tra gop con lai sang du no thong thuong khi BadDebt", D245))), IF(B245&lt;0, "Lai tra gop", ""), "" )))))) &amp; " " &amp; IF(C245="Interests", TEXT(EDATE(IF(DAY(A245)&gt;=24, A245, EDATE(A245,-1)), -1),"yyyy-mm"), TEXT(IF(DAY(A245)&gt;=24, A245, EDATE(A245,-1)),"yyyy-mm"))</f>
        <v>Phi 2022-11</v>
      </c>
      <c r="F245">
        <f>IF(ISNUMBER(B245), ROUND(SUMIFS($B$2:$B$10000, $E$2:$E$10000, E245, $B$2:$B$10000, IF(B245&lt;0, "&lt;0", "&gt;0")), 0), "")</f>
        <v>-153950</v>
      </c>
      <c r="G245" t="str">
        <f>IF(F245&gt;0, IF(C245="Transaction", "Da thanh toan", "Duong"), IF(F245&lt;0, IF(C245="Transaction", "Du no", IF(C245="Interests", "Lai phat sinh", IF(C245="Misc", "Phi", IF(C245="Account Transfer", "Lai tra gop", "Am")))), "Bang 0"))</f>
        <v>Phi</v>
      </c>
    </row>
    <row r="246" spans="1:7" x14ac:dyDescent="0.3">
      <c r="A246" s="60">
        <v>44900</v>
      </c>
      <c r="B246" s="33">
        <v>-7308</v>
      </c>
      <c r="C246" t="s">
        <v>51</v>
      </c>
      <c r="D246" t="s">
        <v>770</v>
      </c>
      <c r="E246" t="str">
        <f>IF(OR(C246="Transaction",C246="Interests",C246="Misc",C246="Account Transfer"), IF(C246="Transaction", IF(B246&lt;0, "Du no", "Da thanh toan"), IF(C246="Interests", "Lai", IF(C246="Misc", "Phi", IF(C246="Account Transfer", IF(OR(ISNUMBER(SEARCH("Trich lai tra gop the TD", D246)), ISNUMBER(SEARCH("Chuyen lai tra gop con lai sang du no thong thuong khi BadDebt", D246))), IF(B246&lt;0, "Lai tra gop", ""), "" )))))) &amp; " " &amp; IF(C246="Interests", TEXT(EDATE(IF(DAY(A246)&gt;=24, A246, EDATE(A246,-1)), -1),"yyyy-mm"), TEXT(IF(DAY(A246)&gt;=24, A246, EDATE(A246,-1)),"yyyy-mm"))</f>
        <v>Du no 2022-11</v>
      </c>
      <c r="F246">
        <f>IF(ISNUMBER(B246), ROUND(SUMIFS($B$2:$B$10000, $E$2:$E$10000, E246, $B$2:$B$10000, IF(B246&lt;0, "&lt;0", "&gt;0")), 0), "")</f>
        <v>-7308</v>
      </c>
      <c r="G246" t="str">
        <f>IF(F246&gt;0, IF(C246="Transaction", "Da thanh toan", "Duong"), IF(F246&lt;0, IF(C246="Transaction", "Du no", IF(C246="Interests", "Lai phat sinh", IF(C246="Misc", "Phi", IF(C246="Account Transfer", "Lai tra gop", "Am")))), "Bang 0"))</f>
        <v>Du no</v>
      </c>
    </row>
    <row r="247" spans="1:7" x14ac:dyDescent="0.3">
      <c r="A247" s="60">
        <v>44898</v>
      </c>
      <c r="B247" s="33">
        <v>-450</v>
      </c>
      <c r="C247" t="s">
        <v>50</v>
      </c>
      <c r="E247" t="str">
        <f>IF(OR(C247="Transaction",C247="Interests",C247="Misc",C247="Account Transfer"), IF(C247="Transaction", IF(B247&lt;0, "Du no", "Da thanh toan"), IF(C247="Interests", "Lai", IF(C247="Misc", "Phi", IF(C247="Account Transfer", IF(OR(ISNUMBER(SEARCH("Trich lai tra gop the TD", D247)), ISNUMBER(SEARCH("Chuyen lai tra gop con lai sang du no thong thuong khi BadDebt", D247))), IF(B247&lt;0, "Lai tra gop", ""), "" )))))) &amp; " " &amp; IF(C247="Interests", TEXT(EDATE(IF(DAY(A247)&gt;=24, A247, EDATE(A247,-1)), -1),"yyyy-mm"), TEXT(IF(DAY(A247)&gt;=24, A247, EDATE(A247,-1)),"yyyy-mm"))</f>
        <v>Phi 2022-11</v>
      </c>
      <c r="F247">
        <f>IF(ISNUMBER(B247), ROUND(SUMIFS($B$2:$B$10000, $E$2:$E$10000, E247, $B$2:$B$10000, IF(B247&lt;0, "&lt;0", "&gt;0")), 0), "")</f>
        <v>-153950</v>
      </c>
      <c r="G247" t="str">
        <f>IF(F247&gt;0, IF(C247="Transaction", "Da thanh toan", "Duong"), IF(F247&lt;0, IF(C247="Transaction", "Du no", IF(C247="Interests", "Lai phat sinh", IF(C247="Misc", "Phi", IF(C247="Account Transfer", "Lai tra gop", "Am")))), "Bang 0"))</f>
        <v>Phi</v>
      </c>
    </row>
    <row r="248" spans="1:7" x14ac:dyDescent="0.3">
      <c r="A248" s="60">
        <v>44898</v>
      </c>
      <c r="B248" s="33">
        <v>-4500</v>
      </c>
      <c r="C248" t="s">
        <v>50</v>
      </c>
      <c r="E248" t="str">
        <f>IF(OR(C248="Transaction",C248="Interests",C248="Misc",C248="Account Transfer"), IF(C248="Transaction", IF(B248&lt;0, "Du no", "Da thanh toan"), IF(C248="Interests", "Lai", IF(C248="Misc", "Phi", IF(C248="Account Transfer", IF(OR(ISNUMBER(SEARCH("Trich lai tra gop the TD", D248)), ISNUMBER(SEARCH("Chuyen lai tra gop con lai sang du no thong thuong khi BadDebt", D248))), IF(B248&lt;0, "Lai tra gop", ""), "" )))))) &amp; " " &amp; IF(C248="Interests", TEXT(EDATE(IF(DAY(A248)&gt;=24, A248, EDATE(A248,-1)), -1),"yyyy-mm"), TEXT(IF(DAY(A248)&gt;=24, A248, EDATE(A248,-1)),"yyyy-mm"))</f>
        <v>Phi 2022-11</v>
      </c>
      <c r="F248">
        <f>IF(ISNUMBER(B248), ROUND(SUMIFS($B$2:$B$10000, $E$2:$E$10000, E248, $B$2:$B$10000, IF(B248&lt;0, "&lt;0", "&gt;0")), 0), "")</f>
        <v>-153950</v>
      </c>
      <c r="G248" t="str">
        <f>IF(F248&gt;0, IF(C248="Transaction", "Da thanh toan", "Duong"), IF(F248&lt;0, IF(C248="Transaction", "Du no", IF(C248="Interests", "Lai phat sinh", IF(C248="Misc", "Phi", IF(C248="Account Transfer", "Lai tra gop", "Am")))), "Bang 0"))</f>
        <v>Phi</v>
      </c>
    </row>
    <row r="249" spans="1:7" x14ac:dyDescent="0.3">
      <c r="A249" s="60">
        <v>44889</v>
      </c>
      <c r="B249" s="33">
        <v>-141.38999999999999</v>
      </c>
      <c r="C249" t="s">
        <v>49</v>
      </c>
      <c r="E249" t="str">
        <f>IF(OR(C249="Transaction",C249="Interests",C249="Misc",C249="Account Transfer"), IF(C249="Transaction", IF(B249&lt;0, "Du no", "Da thanh toan"), IF(C249="Interests", "Lai", IF(C249="Misc", "Phi", IF(C249="Account Transfer", IF(OR(ISNUMBER(SEARCH("Trich lai tra gop the TD", D249)), ISNUMBER(SEARCH("Chuyen lai tra gop con lai sang du no thong thuong khi BadDebt", D249))), IF(B249&lt;0, "Lai tra gop", ""), "" )))))) &amp; " " &amp; IF(C249="Interests", TEXT(EDATE(IF(DAY(A249)&gt;=24, A249, EDATE(A249,-1)), -1),"yyyy-mm"), TEXT(IF(DAY(A249)&gt;=24, A249, EDATE(A249,-1)),"yyyy-mm"))</f>
        <v>Lai 2022-10</v>
      </c>
      <c r="F249">
        <f>IF(ISNUMBER(B249), ROUND(SUMIFS($B$2:$B$10000, $E$2:$E$10000, E249, $B$2:$B$10000, IF(B249&lt;0, "&lt;0", "&gt;0")), 0), "")</f>
        <v>-100468</v>
      </c>
      <c r="G249" t="str">
        <f>IF(F249&gt;0, IF(C249="Transaction", "Da thanh toan", "Duong"), IF(F249&lt;0, IF(C249="Transaction", "Du no", IF(C249="Interests", "Lai phat sinh", IF(C249="Misc", "Phi", IF(C249="Account Transfer", "Lai tra gop", "Am")))), "Bang 0"))</f>
        <v>Lai phat sinh</v>
      </c>
    </row>
    <row r="250" spans="1:7" x14ac:dyDescent="0.3">
      <c r="A250" s="60">
        <v>44889</v>
      </c>
      <c r="B250" s="33">
        <v>-2978.62</v>
      </c>
      <c r="C250" t="s">
        <v>49</v>
      </c>
      <c r="E250" t="str">
        <f>IF(OR(C250="Transaction",C250="Interests",C250="Misc",C250="Account Transfer"), IF(C250="Transaction", IF(B250&lt;0, "Du no", "Da thanh toan"), IF(C250="Interests", "Lai", IF(C250="Misc", "Phi", IF(C250="Account Transfer", IF(OR(ISNUMBER(SEARCH("Trich lai tra gop the TD", D250)), ISNUMBER(SEARCH("Chuyen lai tra gop con lai sang du no thong thuong khi BadDebt", D250))), IF(B250&lt;0, "Lai tra gop", ""), "" )))))) &amp; " " &amp; IF(C250="Interests", TEXT(EDATE(IF(DAY(A250)&gt;=24, A250, EDATE(A250,-1)), -1),"yyyy-mm"), TEXT(IF(DAY(A250)&gt;=24, A250, EDATE(A250,-1)),"yyyy-mm"))</f>
        <v>Lai 2022-10</v>
      </c>
      <c r="F250">
        <f>IF(ISNUMBER(B250), ROUND(SUMIFS($B$2:$B$10000, $E$2:$E$10000, E250, $B$2:$B$10000, IF(B250&lt;0, "&lt;0", "&gt;0")), 0), "")</f>
        <v>-100468</v>
      </c>
      <c r="G250" t="str">
        <f>IF(F250&gt;0, IF(C250="Transaction", "Da thanh toan", "Duong"), IF(F250&lt;0, IF(C250="Transaction", "Du no", IF(C250="Interests", "Lai phat sinh", IF(C250="Misc", "Phi", IF(C250="Account Transfer", "Lai tra gop", "Am")))), "Bang 0"))</f>
        <v>Lai phat sinh</v>
      </c>
    </row>
    <row r="251" spans="1:7" x14ac:dyDescent="0.3">
      <c r="A251" s="60">
        <v>44889</v>
      </c>
      <c r="B251" s="33">
        <v>-159.32</v>
      </c>
      <c r="C251" t="s">
        <v>49</v>
      </c>
      <c r="E251" t="str">
        <f>IF(OR(C251="Transaction",C251="Interests",C251="Misc",C251="Account Transfer"), IF(C251="Transaction", IF(B251&lt;0, "Du no", "Da thanh toan"), IF(C251="Interests", "Lai", IF(C251="Misc", "Phi", IF(C251="Account Transfer", IF(OR(ISNUMBER(SEARCH("Trich lai tra gop the TD", D251)), ISNUMBER(SEARCH("Chuyen lai tra gop con lai sang du no thong thuong khi BadDebt", D251))), IF(B251&lt;0, "Lai tra gop", ""), "" )))))) &amp; " " &amp; IF(C251="Interests", TEXT(EDATE(IF(DAY(A251)&gt;=24, A251, EDATE(A251,-1)), -1),"yyyy-mm"), TEXT(IF(DAY(A251)&gt;=24, A251, EDATE(A251,-1)),"yyyy-mm"))</f>
        <v>Lai 2022-10</v>
      </c>
      <c r="F251">
        <f>IF(ISNUMBER(B251), ROUND(SUMIFS($B$2:$B$10000, $E$2:$E$10000, E251, $B$2:$B$10000, IF(B251&lt;0, "&lt;0", "&gt;0")), 0), "")</f>
        <v>-100468</v>
      </c>
      <c r="G251" t="str">
        <f>IF(F251&gt;0, IF(C251="Transaction", "Da thanh toan", "Duong"), IF(F251&lt;0, IF(C251="Transaction", "Du no", IF(C251="Interests", "Lai phat sinh", IF(C251="Misc", "Phi", IF(C251="Account Transfer", "Lai tra gop", "Am")))), "Bang 0"))</f>
        <v>Lai phat sinh</v>
      </c>
    </row>
    <row r="252" spans="1:7" x14ac:dyDescent="0.3">
      <c r="A252" s="60">
        <v>44889</v>
      </c>
      <c r="B252" s="33">
        <v>-2358.8200000000002</v>
      </c>
      <c r="C252" t="s">
        <v>49</v>
      </c>
      <c r="E252" t="str">
        <f>IF(OR(C252="Transaction",C252="Interests",C252="Misc",C252="Account Transfer"), IF(C252="Transaction", IF(B252&lt;0, "Du no", "Da thanh toan"), IF(C252="Interests", "Lai", IF(C252="Misc", "Phi", IF(C252="Account Transfer", IF(OR(ISNUMBER(SEARCH("Trich lai tra gop the TD", D252)), ISNUMBER(SEARCH("Chuyen lai tra gop con lai sang du no thong thuong khi BadDebt", D252))), IF(B252&lt;0, "Lai tra gop", ""), "" )))))) &amp; " " &amp; IF(C252="Interests", TEXT(EDATE(IF(DAY(A252)&gt;=24, A252, EDATE(A252,-1)), -1),"yyyy-mm"), TEXT(IF(DAY(A252)&gt;=24, A252, EDATE(A252,-1)),"yyyy-mm"))</f>
        <v>Lai 2022-10</v>
      </c>
      <c r="F252">
        <f>IF(ISNUMBER(B252), ROUND(SUMIFS($B$2:$B$10000, $E$2:$E$10000, E252, $B$2:$B$10000, IF(B252&lt;0, "&lt;0", "&gt;0")), 0), "")</f>
        <v>-100468</v>
      </c>
      <c r="G252" t="str">
        <f>IF(F252&gt;0, IF(C252="Transaction", "Da thanh toan", "Duong"), IF(F252&lt;0, IF(C252="Transaction", "Du no", IF(C252="Interests", "Lai phat sinh", IF(C252="Misc", "Phi", IF(C252="Account Transfer", "Lai tra gop", "Am")))), "Bang 0"))</f>
        <v>Lai phat sinh</v>
      </c>
    </row>
    <row r="253" spans="1:7" x14ac:dyDescent="0.3">
      <c r="A253" s="60">
        <v>44889</v>
      </c>
      <c r="B253" s="33">
        <v>-4280.29</v>
      </c>
      <c r="C253" t="s">
        <v>49</v>
      </c>
      <c r="E253" t="str">
        <f>IF(OR(C253="Transaction",C253="Interests",C253="Misc",C253="Account Transfer"), IF(C253="Transaction", IF(B253&lt;0, "Du no", "Da thanh toan"), IF(C253="Interests", "Lai", IF(C253="Misc", "Phi", IF(C253="Account Transfer", IF(OR(ISNUMBER(SEARCH("Trich lai tra gop the TD", D253)), ISNUMBER(SEARCH("Chuyen lai tra gop con lai sang du no thong thuong khi BadDebt", D253))), IF(B253&lt;0, "Lai tra gop", ""), "" )))))) &amp; " " &amp; IF(C253="Interests", TEXT(EDATE(IF(DAY(A253)&gt;=24, A253, EDATE(A253,-1)), -1),"yyyy-mm"), TEXT(IF(DAY(A253)&gt;=24, A253, EDATE(A253,-1)),"yyyy-mm"))</f>
        <v>Lai 2022-10</v>
      </c>
      <c r="F253">
        <f>IF(ISNUMBER(B253), ROUND(SUMIFS($B$2:$B$10000, $E$2:$E$10000, E253, $B$2:$B$10000, IF(B253&lt;0, "&lt;0", "&gt;0")), 0), "")</f>
        <v>-100468</v>
      </c>
      <c r="G253" t="str">
        <f>IF(F253&gt;0, IF(C253="Transaction", "Da thanh toan", "Duong"), IF(F253&lt;0, IF(C253="Transaction", "Du no", IF(C253="Interests", "Lai phat sinh", IF(C253="Misc", "Phi", IF(C253="Account Transfer", "Lai tra gop", "Am")))), "Bang 0"))</f>
        <v>Lai phat sinh</v>
      </c>
    </row>
    <row r="254" spans="1:7" x14ac:dyDescent="0.3">
      <c r="A254" s="60">
        <v>44889</v>
      </c>
      <c r="B254" s="33">
        <v>-25613.23</v>
      </c>
      <c r="C254" t="s">
        <v>49</v>
      </c>
      <c r="E254" t="str">
        <f>IF(OR(C254="Transaction",C254="Interests",C254="Misc",C254="Account Transfer"), IF(C254="Transaction", IF(B254&lt;0, "Du no", "Da thanh toan"), IF(C254="Interests", "Lai", IF(C254="Misc", "Phi", IF(C254="Account Transfer", IF(OR(ISNUMBER(SEARCH("Trich lai tra gop the TD", D254)), ISNUMBER(SEARCH("Chuyen lai tra gop con lai sang du no thong thuong khi BadDebt", D254))), IF(B254&lt;0, "Lai tra gop", ""), "" )))))) &amp; " " &amp; IF(C254="Interests", TEXT(EDATE(IF(DAY(A254)&gt;=24, A254, EDATE(A254,-1)), -1),"yyyy-mm"), TEXT(IF(DAY(A254)&gt;=24, A254, EDATE(A254,-1)),"yyyy-mm"))</f>
        <v>Lai 2022-10</v>
      </c>
      <c r="F254">
        <f>IF(ISNUMBER(B254), ROUND(SUMIFS($B$2:$B$10000, $E$2:$E$10000, E254, $B$2:$B$10000, IF(B254&lt;0, "&lt;0", "&gt;0")), 0), "")</f>
        <v>-100468</v>
      </c>
      <c r="G254" t="str">
        <f>IF(F254&gt;0, IF(C254="Transaction", "Da thanh toan", "Duong"), IF(F254&lt;0, IF(C254="Transaction", "Du no", IF(C254="Interests", "Lai phat sinh", IF(C254="Misc", "Phi", IF(C254="Account Transfer", "Lai tra gop", "Am")))), "Bang 0"))</f>
        <v>Lai phat sinh</v>
      </c>
    </row>
    <row r="255" spans="1:7" x14ac:dyDescent="0.3">
      <c r="A255" s="60">
        <v>44889</v>
      </c>
      <c r="B255" s="33">
        <v>-56311.040000000001</v>
      </c>
      <c r="C255" t="s">
        <v>49</v>
      </c>
      <c r="E255" t="str">
        <f>IF(OR(C255="Transaction",C255="Interests",C255="Misc",C255="Account Transfer"), IF(C255="Transaction", IF(B255&lt;0, "Du no", "Da thanh toan"), IF(C255="Interests", "Lai", IF(C255="Misc", "Phi", IF(C255="Account Transfer", IF(OR(ISNUMBER(SEARCH("Trich lai tra gop the TD", D255)), ISNUMBER(SEARCH("Chuyen lai tra gop con lai sang du no thong thuong khi BadDebt", D255))), IF(B255&lt;0, "Lai tra gop", ""), "" )))))) &amp; " " &amp; IF(C255="Interests", TEXT(EDATE(IF(DAY(A255)&gt;=24, A255, EDATE(A255,-1)), -1),"yyyy-mm"), TEXT(IF(DAY(A255)&gt;=24, A255, EDATE(A255,-1)),"yyyy-mm"))</f>
        <v>Lai 2022-10</v>
      </c>
      <c r="F255">
        <f>IF(ISNUMBER(B255), ROUND(SUMIFS($B$2:$B$10000, $E$2:$E$10000, E255, $B$2:$B$10000, IF(B255&lt;0, "&lt;0", "&gt;0")), 0), "")</f>
        <v>-100468</v>
      </c>
      <c r="G255" t="str">
        <f>IF(F255&gt;0, IF(C255="Transaction", "Da thanh toan", "Duong"), IF(F255&lt;0, IF(C255="Transaction", "Du no", IF(C255="Interests", "Lai phat sinh", IF(C255="Misc", "Phi", IF(C255="Account Transfer", "Lai tra gop", "Am")))), "Bang 0"))</f>
        <v>Lai phat sinh</v>
      </c>
    </row>
    <row r="256" spans="1:7" x14ac:dyDescent="0.3">
      <c r="A256" s="60">
        <v>44889</v>
      </c>
      <c r="B256" s="33">
        <v>-8625.2099999999991</v>
      </c>
      <c r="C256" t="s">
        <v>49</v>
      </c>
      <c r="E256" t="str">
        <f>IF(OR(C256="Transaction",C256="Interests",C256="Misc",C256="Account Transfer"), IF(C256="Transaction", IF(B256&lt;0, "Du no", "Da thanh toan"), IF(C256="Interests", "Lai", IF(C256="Misc", "Phi", IF(C256="Account Transfer", IF(OR(ISNUMBER(SEARCH("Trich lai tra gop the TD", D256)), ISNUMBER(SEARCH("Chuyen lai tra gop con lai sang du no thong thuong khi BadDebt", D256))), IF(B256&lt;0, "Lai tra gop", ""), "" )))))) &amp; " " &amp; IF(C256="Interests", TEXT(EDATE(IF(DAY(A256)&gt;=24, A256, EDATE(A256,-1)), -1),"yyyy-mm"), TEXT(IF(DAY(A256)&gt;=24, A256, EDATE(A256,-1)),"yyyy-mm"))</f>
        <v>Lai 2022-10</v>
      </c>
      <c r="F256">
        <f>IF(ISNUMBER(B256), ROUND(SUMIFS($B$2:$B$10000, $E$2:$E$10000, E256, $B$2:$B$10000, IF(B256&lt;0, "&lt;0", "&gt;0")), 0), "")</f>
        <v>-100468</v>
      </c>
      <c r="G256" t="str">
        <f>IF(F256&gt;0, IF(C256="Transaction", "Da thanh toan", "Duong"), IF(F256&lt;0, IF(C256="Transaction", "Du no", IF(C256="Interests", "Lai phat sinh", IF(C256="Misc", "Phi", IF(C256="Account Transfer", "Lai tra gop", "Am")))), "Bang 0"))</f>
        <v>Lai phat sinh</v>
      </c>
    </row>
    <row r="257" spans="1:7" x14ac:dyDescent="0.3">
      <c r="A257" s="60">
        <v>44881</v>
      </c>
      <c r="B257" s="33">
        <v>26130</v>
      </c>
      <c r="C257" t="s">
        <v>51</v>
      </c>
      <c r="D257" t="s">
        <v>771</v>
      </c>
      <c r="E257" t="str">
        <f>IF(OR(C257="Transaction",C257="Interests",C257="Misc",C257="Account Transfer"), IF(C257="Transaction", IF(B257&lt;0, "Du no", "Da thanh toan"), IF(C257="Interests", "Lai", IF(C257="Misc", "Phi", IF(C257="Account Transfer", IF(OR(ISNUMBER(SEARCH("Trich lai tra gop the TD", D257)), ISNUMBER(SEARCH("Chuyen lai tra gop con lai sang du no thong thuong khi BadDebt", D257))), IF(B257&lt;0, "Lai tra gop", ""), "" )))))) &amp; " " &amp; IF(C257="Interests", TEXT(EDATE(IF(DAY(A257)&gt;=24, A257, EDATE(A257,-1)), -1),"yyyy-mm"), TEXT(IF(DAY(A257)&gt;=24, A257, EDATE(A257,-1)),"yyyy-mm"))</f>
        <v>Da thanh toan 2022-10</v>
      </c>
      <c r="F257">
        <f>IF(ISNUMBER(B257), ROUND(SUMIFS($B$2:$B$10000, $E$2:$E$10000, E257, $B$2:$B$10000, IF(B257&lt;0, "&lt;0", "&gt;0")), 0), "")</f>
        <v>124148</v>
      </c>
      <c r="G257" t="str">
        <f>IF(F257&gt;0, IF(C257="Transaction", "Da thanh toan", "Duong"), IF(F257&lt;0, IF(C257="Transaction", "Du no", IF(C257="Interests", "Lai phat sinh", IF(C257="Misc", "Phi", IF(C257="Account Transfer", "Lai tra gop", "Am")))), "Bang 0"))</f>
        <v>Da thanh toan</v>
      </c>
    </row>
    <row r="258" spans="1:7" x14ac:dyDescent="0.3">
      <c r="A258" s="60">
        <v>44874</v>
      </c>
      <c r="B258" s="33">
        <v>98018</v>
      </c>
      <c r="C258" t="s">
        <v>51</v>
      </c>
      <c r="D258" t="s">
        <v>53</v>
      </c>
      <c r="E258" t="str">
        <f>IF(OR(C258="Transaction",C258="Interests",C258="Misc",C258="Account Transfer"), IF(C258="Transaction", IF(B258&lt;0, "Du no", "Da thanh toan"), IF(C258="Interests", "Lai", IF(C258="Misc", "Phi", IF(C258="Account Transfer", IF(OR(ISNUMBER(SEARCH("Trich lai tra gop the TD", D258)), ISNUMBER(SEARCH("Chuyen lai tra gop con lai sang du no thong thuong khi BadDebt", D258))), IF(B258&lt;0, "Lai tra gop", ""), "" )))))) &amp; " " &amp; IF(C258="Interests", TEXT(EDATE(IF(DAY(A258)&gt;=24, A258, EDATE(A258,-1)), -1),"yyyy-mm"), TEXT(IF(DAY(A258)&gt;=24, A258, EDATE(A258,-1)),"yyyy-mm"))</f>
        <v>Da thanh toan 2022-10</v>
      </c>
      <c r="F258">
        <f>IF(ISNUMBER(B258), ROUND(SUMIFS($B$2:$B$10000, $E$2:$E$10000, E258, $B$2:$B$10000, IF(B258&lt;0, "&lt;0", "&gt;0")), 0), "")</f>
        <v>124148</v>
      </c>
      <c r="G258" t="str">
        <f>IF(F258&gt;0, IF(C258="Transaction", "Da thanh toan", "Duong"), IF(F258&lt;0, IF(C258="Transaction", "Du no", IF(C258="Interests", "Lai phat sinh", IF(C258="Misc", "Phi", IF(C258="Account Transfer", "Lai tra gop", "Am")))), "Bang 0"))</f>
        <v>Da thanh toan</v>
      </c>
    </row>
    <row r="259" spans="1:7" x14ac:dyDescent="0.3">
      <c r="A259" s="60">
        <v>44874</v>
      </c>
      <c r="B259" s="33">
        <v>-149000</v>
      </c>
      <c r="C259" t="s">
        <v>50</v>
      </c>
      <c r="E259" t="str">
        <f>IF(OR(C259="Transaction",C259="Interests",C259="Misc",C259="Account Transfer"), IF(C259="Transaction", IF(B259&lt;0, "Du no", "Da thanh toan"), IF(C259="Interests", "Lai", IF(C259="Misc", "Phi", IF(C259="Account Transfer", IF(OR(ISNUMBER(SEARCH("Trich lai tra gop the TD", D259)), ISNUMBER(SEARCH("Chuyen lai tra gop con lai sang du no thong thuong khi BadDebt", D259))), IF(B259&lt;0, "Lai tra gop", ""), "" )))))) &amp; " " &amp; IF(C259="Interests", TEXT(EDATE(IF(DAY(A259)&gt;=24, A259, EDATE(A259,-1)), -1),"yyyy-mm"), TEXT(IF(DAY(A259)&gt;=24, A259, EDATE(A259,-1)),"yyyy-mm"))</f>
        <v>Phi 2022-10</v>
      </c>
      <c r="F259">
        <f>IF(ISNUMBER(B259), ROUND(SUMIFS($B$2:$B$10000, $E$2:$E$10000, E259, $B$2:$B$10000, IF(B259&lt;0, "&lt;0", "&gt;0")), 0), "")</f>
        <v>-153950</v>
      </c>
      <c r="G259" t="str">
        <f>IF(F259&gt;0, IF(C259="Transaction", "Da thanh toan", "Duong"), IF(F259&lt;0, IF(C259="Transaction", "Du no", IF(C259="Interests", "Lai phat sinh", IF(C259="Misc", "Phi", IF(C259="Account Transfer", "Lai tra gop", "Am")))), "Bang 0"))</f>
        <v>Phi</v>
      </c>
    </row>
    <row r="260" spans="1:7" x14ac:dyDescent="0.3">
      <c r="A260" s="60">
        <v>44868</v>
      </c>
      <c r="B260" s="33">
        <v>-7308</v>
      </c>
      <c r="C260" t="s">
        <v>51</v>
      </c>
      <c r="D260" t="s">
        <v>772</v>
      </c>
      <c r="E260" t="str">
        <f>IF(OR(C260="Transaction",C260="Interests",C260="Misc",C260="Account Transfer"), IF(C260="Transaction", IF(B260&lt;0, "Du no", "Da thanh toan"), IF(C260="Interests", "Lai", IF(C260="Misc", "Phi", IF(C260="Account Transfer", IF(OR(ISNUMBER(SEARCH("Trich lai tra gop the TD", D260)), ISNUMBER(SEARCH("Chuyen lai tra gop con lai sang du no thong thuong khi BadDebt", D260))), IF(B260&lt;0, "Lai tra gop", ""), "" )))))) &amp; " " &amp; IF(C260="Interests", TEXT(EDATE(IF(DAY(A260)&gt;=24, A260, EDATE(A260,-1)), -1),"yyyy-mm"), TEXT(IF(DAY(A260)&gt;=24, A260, EDATE(A260,-1)),"yyyy-mm"))</f>
        <v>Du no 2022-10</v>
      </c>
      <c r="F260">
        <f>IF(ISNUMBER(B260), ROUND(SUMIFS($B$2:$B$10000, $E$2:$E$10000, E260, $B$2:$B$10000, IF(B260&lt;0, "&lt;0", "&gt;0")), 0), "")</f>
        <v>-7308</v>
      </c>
      <c r="G260" t="str">
        <f>IF(F260&gt;0, IF(C260="Transaction", "Da thanh toan", "Duong"), IF(F260&lt;0, IF(C260="Transaction", "Du no", IF(C260="Interests", "Lai phat sinh", IF(C260="Misc", "Phi", IF(C260="Account Transfer", "Lai tra gop", "Am")))), "Bang 0"))</f>
        <v>Du no</v>
      </c>
    </row>
    <row r="261" spans="1:7" x14ac:dyDescent="0.3">
      <c r="A261" s="60">
        <v>44866</v>
      </c>
      <c r="B261" s="33">
        <v>-450</v>
      </c>
      <c r="C261" t="s">
        <v>50</v>
      </c>
      <c r="E261" t="str">
        <f>IF(OR(C261="Transaction",C261="Interests",C261="Misc",C261="Account Transfer"), IF(C261="Transaction", IF(B261&lt;0, "Du no", "Da thanh toan"), IF(C261="Interests", "Lai", IF(C261="Misc", "Phi", IF(C261="Account Transfer", IF(OR(ISNUMBER(SEARCH("Trich lai tra gop the TD", D261)), ISNUMBER(SEARCH("Chuyen lai tra gop con lai sang du no thong thuong khi BadDebt", D261))), IF(B261&lt;0, "Lai tra gop", ""), "" )))))) &amp; " " &amp; IF(C261="Interests", TEXT(EDATE(IF(DAY(A261)&gt;=24, A261, EDATE(A261,-1)), -1),"yyyy-mm"), TEXT(IF(DAY(A261)&gt;=24, A261, EDATE(A261,-1)),"yyyy-mm"))</f>
        <v>Phi 2022-10</v>
      </c>
      <c r="F261">
        <f>IF(ISNUMBER(B261), ROUND(SUMIFS($B$2:$B$10000, $E$2:$E$10000, E261, $B$2:$B$10000, IF(B261&lt;0, "&lt;0", "&gt;0")), 0), "")</f>
        <v>-153950</v>
      </c>
      <c r="G261" t="str">
        <f>IF(F261&gt;0, IF(C261="Transaction", "Da thanh toan", "Duong"), IF(F261&lt;0, IF(C261="Transaction", "Du no", IF(C261="Interests", "Lai phat sinh", IF(C261="Misc", "Phi", IF(C261="Account Transfer", "Lai tra gop", "Am")))), "Bang 0"))</f>
        <v>Phi</v>
      </c>
    </row>
    <row r="262" spans="1:7" x14ac:dyDescent="0.3">
      <c r="A262" s="60">
        <v>44866</v>
      </c>
      <c r="B262" s="33">
        <v>-4500</v>
      </c>
      <c r="C262" t="s">
        <v>50</v>
      </c>
      <c r="E262" t="str">
        <f>IF(OR(C262="Transaction",C262="Interests",C262="Misc",C262="Account Transfer"), IF(C262="Transaction", IF(B262&lt;0, "Du no", "Da thanh toan"), IF(C262="Interests", "Lai", IF(C262="Misc", "Phi", IF(C262="Account Transfer", IF(OR(ISNUMBER(SEARCH("Trich lai tra gop the TD", D262)), ISNUMBER(SEARCH("Chuyen lai tra gop con lai sang du no thong thuong khi BadDebt", D262))), IF(B262&lt;0, "Lai tra gop", ""), "" )))))) &amp; " " &amp; IF(C262="Interests", TEXT(EDATE(IF(DAY(A262)&gt;=24, A262, EDATE(A262,-1)), -1),"yyyy-mm"), TEXT(IF(DAY(A262)&gt;=24, A262, EDATE(A262,-1)),"yyyy-mm"))</f>
        <v>Phi 2022-10</v>
      </c>
      <c r="F262">
        <f>IF(ISNUMBER(B262), ROUND(SUMIFS($B$2:$B$10000, $E$2:$E$10000, E262, $B$2:$B$10000, IF(B262&lt;0, "&lt;0", "&gt;0")), 0), "")</f>
        <v>-153950</v>
      </c>
      <c r="G262" t="str">
        <f>IF(F262&gt;0, IF(C262="Transaction", "Da thanh toan", "Duong"), IF(F262&lt;0, IF(C262="Transaction", "Du no", IF(C262="Interests", "Lai phat sinh", IF(C262="Misc", "Phi", IF(C262="Account Transfer", "Lai tra gop", "Am")))), "Bang 0"))</f>
        <v>Phi</v>
      </c>
    </row>
    <row r="263" spans="1:7" x14ac:dyDescent="0.3">
      <c r="A263" s="60">
        <v>44858</v>
      </c>
      <c r="B263" s="33">
        <v>-404.06</v>
      </c>
      <c r="C263" t="s">
        <v>49</v>
      </c>
      <c r="E263" t="str">
        <f>IF(OR(C263="Transaction",C263="Interests",C263="Misc",C263="Account Transfer"), IF(C263="Transaction", IF(B263&lt;0, "Du no", "Da thanh toan"), IF(C263="Interests", "Lai", IF(C263="Misc", "Phi", IF(C263="Account Transfer", IF(OR(ISNUMBER(SEARCH("Trich lai tra gop the TD", D263)), ISNUMBER(SEARCH("Chuyen lai tra gop con lai sang du no thong thuong khi BadDebt", D263))), IF(B263&lt;0, "Lai tra gop", ""), "" )))))) &amp; " " &amp; IF(C263="Interests", TEXT(EDATE(IF(DAY(A263)&gt;=24, A263, EDATE(A263,-1)), -1),"yyyy-mm"), TEXT(IF(DAY(A263)&gt;=24, A263, EDATE(A263,-1)),"yyyy-mm"))</f>
        <v>Lai 2022-09</v>
      </c>
      <c r="F263">
        <f>IF(ISNUMBER(B263), ROUND(SUMIFS($B$2:$B$10000, $E$2:$E$10000, E263, $B$2:$B$10000, IF(B263&lt;0, "&lt;0", "&gt;0")), 0), "")</f>
        <v>-82993</v>
      </c>
      <c r="G263" t="str">
        <f>IF(F263&gt;0, IF(C263="Transaction", "Da thanh toan", "Duong"), IF(F263&lt;0, IF(C263="Transaction", "Du no", IF(C263="Interests", "Lai phat sinh", IF(C263="Misc", "Phi", IF(C263="Account Transfer", "Lai tra gop", "Am")))), "Bang 0"))</f>
        <v>Lai phat sinh</v>
      </c>
    </row>
    <row r="264" spans="1:7" x14ac:dyDescent="0.3">
      <c r="A264" s="60">
        <v>44858</v>
      </c>
      <c r="B264" s="33">
        <v>-9089.0300000000007</v>
      </c>
      <c r="C264" t="s">
        <v>49</v>
      </c>
      <c r="E264" t="str">
        <f>IF(OR(C264="Transaction",C264="Interests",C264="Misc",C264="Account Transfer"), IF(C264="Transaction", IF(B264&lt;0, "Du no", "Da thanh toan"), IF(C264="Interests", "Lai", IF(C264="Misc", "Phi", IF(C264="Account Transfer", IF(OR(ISNUMBER(SEARCH("Trich lai tra gop the TD", D264)), ISNUMBER(SEARCH("Chuyen lai tra gop con lai sang du no thong thuong khi BadDebt", D264))), IF(B264&lt;0, "Lai tra gop", ""), "" )))))) &amp; " " &amp; IF(C264="Interests", TEXT(EDATE(IF(DAY(A264)&gt;=24, A264, EDATE(A264,-1)), -1),"yyyy-mm"), TEXT(IF(DAY(A264)&gt;=24, A264, EDATE(A264,-1)),"yyyy-mm"))</f>
        <v>Lai 2022-09</v>
      </c>
      <c r="F264">
        <f>IF(ISNUMBER(B264), ROUND(SUMIFS($B$2:$B$10000, $E$2:$E$10000, E264, $B$2:$B$10000, IF(B264&lt;0, "&lt;0", "&gt;0")), 0), "")</f>
        <v>-82993</v>
      </c>
      <c r="G264" t="str">
        <f>IF(F264&gt;0, IF(C264="Transaction", "Da thanh toan", "Duong"), IF(F264&lt;0, IF(C264="Transaction", "Du no", IF(C264="Interests", "Lai phat sinh", IF(C264="Misc", "Phi", IF(C264="Account Transfer", "Lai tra gop", "Am")))), "Bang 0"))</f>
        <v>Lai phat sinh</v>
      </c>
    </row>
    <row r="265" spans="1:7" x14ac:dyDescent="0.3">
      <c r="A265" s="60">
        <v>44858</v>
      </c>
      <c r="B265" s="33">
        <v>-2672.35</v>
      </c>
      <c r="C265" t="s">
        <v>49</v>
      </c>
      <c r="E265" t="str">
        <f>IF(OR(C265="Transaction",C265="Interests",C265="Misc",C265="Account Transfer"), IF(C265="Transaction", IF(B265&lt;0, "Du no", "Da thanh toan"), IF(C265="Interests", "Lai", IF(C265="Misc", "Phi", IF(C265="Account Transfer", IF(OR(ISNUMBER(SEARCH("Trich lai tra gop the TD", D265)), ISNUMBER(SEARCH("Chuyen lai tra gop con lai sang du no thong thuong khi BadDebt", D265))), IF(B265&lt;0, "Lai tra gop", ""), "" )))))) &amp; " " &amp; IF(C265="Interests", TEXT(EDATE(IF(DAY(A265)&gt;=24, A265, EDATE(A265,-1)), -1),"yyyy-mm"), TEXT(IF(DAY(A265)&gt;=24, A265, EDATE(A265,-1)),"yyyy-mm"))</f>
        <v>Lai 2022-09</v>
      </c>
      <c r="F265">
        <f>IF(ISNUMBER(B265), ROUND(SUMIFS($B$2:$B$10000, $E$2:$E$10000, E265, $B$2:$B$10000, IF(B265&lt;0, "&lt;0", "&gt;0")), 0), "")</f>
        <v>-82993</v>
      </c>
      <c r="G265" t="str">
        <f>IF(F265&gt;0, IF(C265="Transaction", "Da thanh toan", "Duong"), IF(F265&lt;0, IF(C265="Transaction", "Du no", IF(C265="Interests", "Lai phat sinh", IF(C265="Misc", "Phi", IF(C265="Account Transfer", "Lai tra gop", "Am")))), "Bang 0"))</f>
        <v>Lai phat sinh</v>
      </c>
    </row>
    <row r="266" spans="1:7" x14ac:dyDescent="0.3">
      <c r="A266" s="60">
        <v>44858</v>
      </c>
      <c r="B266" s="33">
        <v>-42293.87</v>
      </c>
      <c r="C266" t="s">
        <v>49</v>
      </c>
      <c r="E266" t="str">
        <f>IF(OR(C266="Transaction",C266="Interests",C266="Misc",C266="Account Transfer"), IF(C266="Transaction", IF(B266&lt;0, "Du no", "Da thanh toan"), IF(C266="Interests", "Lai", IF(C266="Misc", "Phi", IF(C266="Account Transfer", IF(OR(ISNUMBER(SEARCH("Trich lai tra gop the TD", D266)), ISNUMBER(SEARCH("Chuyen lai tra gop con lai sang du no thong thuong khi BadDebt", D266))), IF(B266&lt;0, "Lai tra gop", ""), "" )))))) &amp; " " &amp; IF(C266="Interests", TEXT(EDATE(IF(DAY(A266)&gt;=24, A266, EDATE(A266,-1)), -1),"yyyy-mm"), TEXT(IF(DAY(A266)&gt;=24, A266, EDATE(A266,-1)),"yyyy-mm"))</f>
        <v>Lai 2022-09</v>
      </c>
      <c r="F266">
        <f>IF(ISNUMBER(B266), ROUND(SUMIFS($B$2:$B$10000, $E$2:$E$10000, E266, $B$2:$B$10000, IF(B266&lt;0, "&lt;0", "&gt;0")), 0), "")</f>
        <v>-82993</v>
      </c>
      <c r="G266" t="str">
        <f>IF(F266&gt;0, IF(C266="Transaction", "Da thanh toan", "Duong"), IF(F266&lt;0, IF(C266="Transaction", "Du no", IF(C266="Interests", "Lai phat sinh", IF(C266="Misc", "Phi", IF(C266="Account Transfer", "Lai tra gop", "Am")))), "Bang 0"))</f>
        <v>Lai phat sinh</v>
      </c>
    </row>
    <row r="267" spans="1:7" x14ac:dyDescent="0.3">
      <c r="A267" s="60">
        <v>44858</v>
      </c>
      <c r="B267" s="33">
        <v>-3002.91</v>
      </c>
      <c r="C267" t="s">
        <v>49</v>
      </c>
      <c r="E267" t="str">
        <f>IF(OR(C267="Transaction",C267="Interests",C267="Misc",C267="Account Transfer"), IF(C267="Transaction", IF(B267&lt;0, "Du no", "Da thanh toan"), IF(C267="Interests", "Lai", IF(C267="Misc", "Phi", IF(C267="Account Transfer", IF(OR(ISNUMBER(SEARCH("Trich lai tra gop the TD", D267)), ISNUMBER(SEARCH("Chuyen lai tra gop con lai sang du no thong thuong khi BadDebt", D267))), IF(B267&lt;0, "Lai tra gop", ""), "" )))))) &amp; " " &amp; IF(C267="Interests", TEXT(EDATE(IF(DAY(A267)&gt;=24, A267, EDATE(A267,-1)), -1),"yyyy-mm"), TEXT(IF(DAY(A267)&gt;=24, A267, EDATE(A267,-1)),"yyyy-mm"))</f>
        <v>Lai 2022-09</v>
      </c>
      <c r="F267">
        <f>IF(ISNUMBER(B267), ROUND(SUMIFS($B$2:$B$10000, $E$2:$E$10000, E267, $B$2:$B$10000, IF(B267&lt;0, "&lt;0", "&gt;0")), 0), "")</f>
        <v>-82993</v>
      </c>
      <c r="G267" t="str">
        <f>IF(F267&gt;0, IF(C267="Transaction", "Da thanh toan", "Duong"), IF(F267&lt;0, IF(C267="Transaction", "Du no", IF(C267="Interests", "Lai phat sinh", IF(C267="Misc", "Phi", IF(C267="Account Transfer", "Lai tra gop", "Am")))), "Bang 0"))</f>
        <v>Lai phat sinh</v>
      </c>
    </row>
    <row r="268" spans="1:7" x14ac:dyDescent="0.3">
      <c r="A268" s="60">
        <v>44858</v>
      </c>
      <c r="B268" s="33">
        <v>-21857.57</v>
      </c>
      <c r="C268" t="s">
        <v>49</v>
      </c>
      <c r="E268" t="str">
        <f>IF(OR(C268="Transaction",C268="Interests",C268="Misc",C268="Account Transfer"), IF(C268="Transaction", IF(B268&lt;0, "Du no", "Da thanh toan"), IF(C268="Interests", "Lai", IF(C268="Misc", "Phi", IF(C268="Account Transfer", IF(OR(ISNUMBER(SEARCH("Trich lai tra gop the TD", D268)), ISNUMBER(SEARCH("Chuyen lai tra gop con lai sang du no thong thuong khi BadDebt", D268))), IF(B268&lt;0, "Lai tra gop", ""), "" )))))) &amp; " " &amp; IF(C268="Interests", TEXT(EDATE(IF(DAY(A268)&gt;=24, A268, EDATE(A268,-1)), -1),"yyyy-mm"), TEXT(IF(DAY(A268)&gt;=24, A268, EDATE(A268,-1)),"yyyy-mm"))</f>
        <v>Lai 2022-09</v>
      </c>
      <c r="F268">
        <f>IF(ISNUMBER(B268), ROUND(SUMIFS($B$2:$B$10000, $E$2:$E$10000, E268, $B$2:$B$10000, IF(B268&lt;0, "&lt;0", "&gt;0")), 0), "")</f>
        <v>-82993</v>
      </c>
      <c r="G268" t="str">
        <f>IF(F268&gt;0, IF(C268="Transaction", "Da thanh toan", "Duong"), IF(F268&lt;0, IF(C268="Transaction", "Du no", IF(C268="Interests", "Lai phat sinh", IF(C268="Misc", "Phi", IF(C268="Account Transfer", "Lai tra gop", "Am")))), "Bang 0"))</f>
        <v>Lai phat sinh</v>
      </c>
    </row>
    <row r="269" spans="1:7" x14ac:dyDescent="0.3">
      <c r="A269" s="60">
        <v>44858</v>
      </c>
      <c r="B269" s="33">
        <v>-150.93</v>
      </c>
      <c r="C269" t="s">
        <v>49</v>
      </c>
      <c r="E269" t="str">
        <f>IF(OR(C269="Transaction",C269="Interests",C269="Misc",C269="Account Transfer"), IF(C269="Transaction", IF(B269&lt;0, "Du no", "Da thanh toan"), IF(C269="Interests", "Lai", IF(C269="Misc", "Phi", IF(C269="Account Transfer", IF(OR(ISNUMBER(SEARCH("Trich lai tra gop the TD", D269)), ISNUMBER(SEARCH("Chuyen lai tra gop con lai sang du no thong thuong khi BadDebt", D269))), IF(B269&lt;0, "Lai tra gop", ""), "" )))))) &amp; " " &amp; IF(C269="Interests", TEXT(EDATE(IF(DAY(A269)&gt;=24, A269, EDATE(A269,-1)), -1),"yyyy-mm"), TEXT(IF(DAY(A269)&gt;=24, A269, EDATE(A269,-1)),"yyyy-mm"))</f>
        <v>Lai 2022-09</v>
      </c>
      <c r="F269">
        <f>IF(ISNUMBER(B269), ROUND(SUMIFS($B$2:$B$10000, $E$2:$E$10000, E269, $B$2:$B$10000, IF(B269&lt;0, "&lt;0", "&gt;0")), 0), "")</f>
        <v>-82993</v>
      </c>
      <c r="G269" t="str">
        <f>IF(F269&gt;0, IF(C269="Transaction", "Da thanh toan", "Duong"), IF(F269&lt;0, IF(C269="Transaction", "Du no", IF(C269="Interests", "Lai phat sinh", IF(C269="Misc", "Phi", IF(C269="Account Transfer", "Lai tra gop", "Am")))), "Bang 0"))</f>
        <v>Lai phat sinh</v>
      </c>
    </row>
    <row r="270" spans="1:7" x14ac:dyDescent="0.3">
      <c r="A270" s="60">
        <v>44858</v>
      </c>
      <c r="B270" s="33">
        <v>-3379.23</v>
      </c>
      <c r="C270" t="s">
        <v>49</v>
      </c>
      <c r="E270" t="str">
        <f>IF(OR(C270="Transaction",C270="Interests",C270="Misc",C270="Account Transfer"), IF(C270="Transaction", IF(B270&lt;0, "Du no", "Da thanh toan"), IF(C270="Interests", "Lai", IF(C270="Misc", "Phi", IF(C270="Account Transfer", IF(OR(ISNUMBER(SEARCH("Trich lai tra gop the TD", D270)), ISNUMBER(SEARCH("Chuyen lai tra gop con lai sang du no thong thuong khi BadDebt", D270))), IF(B270&lt;0, "Lai tra gop", ""), "" )))))) &amp; " " &amp; IF(C270="Interests", TEXT(EDATE(IF(DAY(A270)&gt;=24, A270, EDATE(A270,-1)), -1),"yyyy-mm"), TEXT(IF(DAY(A270)&gt;=24, A270, EDATE(A270,-1)),"yyyy-mm"))</f>
        <v>Lai 2022-09</v>
      </c>
      <c r="F270">
        <f>IF(ISNUMBER(B270), ROUND(SUMIFS($B$2:$B$10000, $E$2:$E$10000, E270, $B$2:$B$10000, IF(B270&lt;0, "&lt;0", "&gt;0")), 0), "")</f>
        <v>-82993</v>
      </c>
      <c r="G270" t="str">
        <f>IF(F270&gt;0, IF(C270="Transaction", "Da thanh toan", "Duong"), IF(F270&lt;0, IF(C270="Transaction", "Du no", IF(C270="Interests", "Lai phat sinh", IF(C270="Misc", "Phi", IF(C270="Account Transfer", "Lai tra gop", "Am")))), "Bang 0"))</f>
        <v>Lai phat sinh</v>
      </c>
    </row>
    <row r="271" spans="1:7" x14ac:dyDescent="0.3">
      <c r="A271" s="60">
        <v>44858</v>
      </c>
      <c r="B271" s="33">
        <v>-142.55000000000001</v>
      </c>
      <c r="C271" t="s">
        <v>49</v>
      </c>
      <c r="E271" t="str">
        <f>IF(OR(C271="Transaction",C271="Interests",C271="Misc",C271="Account Transfer"), IF(C271="Transaction", IF(B271&lt;0, "Du no", "Da thanh toan"), IF(C271="Interests", "Lai", IF(C271="Misc", "Phi", IF(C271="Account Transfer", IF(OR(ISNUMBER(SEARCH("Trich lai tra gop the TD", D271)), ISNUMBER(SEARCH("Chuyen lai tra gop con lai sang du no thong thuong khi BadDebt", D271))), IF(B271&lt;0, "Lai tra gop", ""), "" )))))) &amp; " " &amp; IF(C271="Interests", TEXT(EDATE(IF(DAY(A271)&gt;=24, A271, EDATE(A271,-1)), -1),"yyyy-mm"), TEXT(IF(DAY(A271)&gt;=24, A271, EDATE(A271,-1)),"yyyy-mm"))</f>
        <v>Lai 2022-09</v>
      </c>
      <c r="F271">
        <f>IF(ISNUMBER(B271), ROUND(SUMIFS($B$2:$B$10000, $E$2:$E$10000, E271, $B$2:$B$10000, IF(B271&lt;0, "&lt;0", "&gt;0")), 0), "")</f>
        <v>-82993</v>
      </c>
      <c r="G271" t="str">
        <f>IF(F271&gt;0, IF(C271="Transaction", "Da thanh toan", "Duong"), IF(F271&lt;0, IF(C271="Transaction", "Du no", IF(C271="Interests", "Lai phat sinh", IF(C271="Misc", "Phi", IF(C271="Account Transfer", "Lai tra gop", "Am")))), "Bang 0"))</f>
        <v>Lai phat sinh</v>
      </c>
    </row>
    <row r="272" spans="1:7" x14ac:dyDescent="0.3">
      <c r="A272" s="60">
        <v>44851</v>
      </c>
      <c r="B272" s="33">
        <v>117827</v>
      </c>
      <c r="C272" t="s">
        <v>51</v>
      </c>
      <c r="D272" t="s">
        <v>773</v>
      </c>
      <c r="E272" t="str">
        <f>IF(OR(C272="Transaction",C272="Interests",C272="Misc",C272="Account Transfer"), IF(C272="Transaction", IF(B272&lt;0, "Du no", "Da thanh toan"), IF(C272="Interests", "Lai", IF(C272="Misc", "Phi", IF(C272="Account Transfer", IF(OR(ISNUMBER(SEARCH("Trich lai tra gop the TD", D272)), ISNUMBER(SEARCH("Chuyen lai tra gop con lai sang du no thong thuong khi BadDebt", D272))), IF(B272&lt;0, "Lai tra gop", ""), "" )))))) &amp; " " &amp; IF(C272="Interests", TEXT(EDATE(IF(DAY(A272)&gt;=24, A272, EDATE(A272,-1)), -1),"yyyy-mm"), TEXT(IF(DAY(A272)&gt;=24, A272, EDATE(A272,-1)),"yyyy-mm"))</f>
        <v>Da thanh toan 2022-09</v>
      </c>
      <c r="F272">
        <f>IF(ISNUMBER(B272), ROUND(SUMIFS($B$2:$B$10000, $E$2:$E$10000, E272, $B$2:$B$10000, IF(B272&lt;0, "&lt;0", "&gt;0")), 0), "")</f>
        <v>117827</v>
      </c>
      <c r="G272" t="str">
        <f>IF(F272&gt;0, IF(C272="Transaction", "Da thanh toan", "Duong"), IF(F272&lt;0, IF(C272="Transaction", "Du no", IF(C272="Interests", "Lai phat sinh", IF(C272="Misc", "Phi", IF(C272="Account Transfer", "Lai tra gop", "Am")))), "Bang 0"))</f>
        <v>Da thanh toan</v>
      </c>
    </row>
    <row r="273" spans="1:7" x14ac:dyDescent="0.3">
      <c r="A273" s="60">
        <v>44845</v>
      </c>
      <c r="B273" s="33">
        <v>-149000</v>
      </c>
      <c r="C273" t="s">
        <v>50</v>
      </c>
      <c r="E273" t="str">
        <f>IF(OR(C273="Transaction",C273="Interests",C273="Misc",C273="Account Transfer"), IF(C273="Transaction", IF(B273&lt;0, "Du no", "Da thanh toan"), IF(C273="Interests", "Lai", IF(C273="Misc", "Phi", IF(C273="Account Transfer", IF(OR(ISNUMBER(SEARCH("Trich lai tra gop the TD", D273)), ISNUMBER(SEARCH("Chuyen lai tra gop con lai sang du no thong thuong khi BadDebt", D273))), IF(B273&lt;0, "Lai tra gop", ""), "" )))))) &amp; " " &amp; IF(C273="Interests", TEXT(EDATE(IF(DAY(A273)&gt;=24, A273, EDATE(A273,-1)), -1),"yyyy-mm"), TEXT(IF(DAY(A273)&gt;=24, A273, EDATE(A273,-1)),"yyyy-mm"))</f>
        <v>Phi 2022-09</v>
      </c>
      <c r="F273">
        <f>IF(ISNUMBER(B273), ROUND(SUMIFS($B$2:$B$10000, $E$2:$E$10000, E273, $B$2:$B$10000, IF(B273&lt;0, "&lt;0", "&gt;0")), 0), "")</f>
        <v>-153950</v>
      </c>
      <c r="G273" t="str">
        <f>IF(F273&gt;0, IF(C273="Transaction", "Da thanh toan", "Duong"), IF(F273&lt;0, IF(C273="Transaction", "Du no", IF(C273="Interests", "Lai phat sinh", IF(C273="Misc", "Phi", IF(C273="Account Transfer", "Lai tra gop", "Am")))), "Bang 0"))</f>
        <v>Phi</v>
      </c>
    </row>
    <row r="274" spans="1:7" x14ac:dyDescent="0.3">
      <c r="A274" s="60">
        <v>44839</v>
      </c>
      <c r="B274" s="33">
        <v>-7308</v>
      </c>
      <c r="C274" t="s">
        <v>51</v>
      </c>
      <c r="D274" t="s">
        <v>774</v>
      </c>
      <c r="E274" t="str">
        <f>IF(OR(C274="Transaction",C274="Interests",C274="Misc",C274="Account Transfer"), IF(C274="Transaction", IF(B274&lt;0, "Du no", "Da thanh toan"), IF(C274="Interests", "Lai", IF(C274="Misc", "Phi", IF(C274="Account Transfer", IF(OR(ISNUMBER(SEARCH("Trich lai tra gop the TD", D274)), ISNUMBER(SEARCH("Chuyen lai tra gop con lai sang du no thong thuong khi BadDebt", D274))), IF(B274&lt;0, "Lai tra gop", ""), "" )))))) &amp; " " &amp; IF(C274="Interests", TEXT(EDATE(IF(DAY(A274)&gt;=24, A274, EDATE(A274,-1)), -1),"yyyy-mm"), TEXT(IF(DAY(A274)&gt;=24, A274, EDATE(A274,-1)),"yyyy-mm"))</f>
        <v>Du no 2022-09</v>
      </c>
      <c r="F274">
        <f>IF(ISNUMBER(B274), ROUND(SUMIFS($B$2:$B$10000, $E$2:$E$10000, E274, $B$2:$B$10000, IF(B274&lt;0, "&lt;0", "&gt;0")), 0), "")</f>
        <v>-7308</v>
      </c>
      <c r="G274" t="str">
        <f>IF(F274&gt;0, IF(C274="Transaction", "Da thanh toan", "Duong"), IF(F274&lt;0, IF(C274="Transaction", "Du no", IF(C274="Interests", "Lai phat sinh", IF(C274="Misc", "Phi", IF(C274="Account Transfer", "Lai tra gop", "Am")))), "Bang 0"))</f>
        <v>Du no</v>
      </c>
    </row>
    <row r="275" spans="1:7" x14ac:dyDescent="0.3">
      <c r="A275" s="60">
        <v>44834</v>
      </c>
      <c r="B275" s="33">
        <v>-450</v>
      </c>
      <c r="C275" t="s">
        <v>50</v>
      </c>
      <c r="E275" t="str">
        <f>IF(OR(C275="Transaction",C275="Interests",C275="Misc",C275="Account Transfer"), IF(C275="Transaction", IF(B275&lt;0, "Du no", "Da thanh toan"), IF(C275="Interests", "Lai", IF(C275="Misc", "Phi", IF(C275="Account Transfer", IF(OR(ISNUMBER(SEARCH("Trich lai tra gop the TD", D275)), ISNUMBER(SEARCH("Chuyen lai tra gop con lai sang du no thong thuong khi BadDebt", D275))), IF(B275&lt;0, "Lai tra gop", ""), "" )))))) &amp; " " &amp; IF(C275="Interests", TEXT(EDATE(IF(DAY(A275)&gt;=24, A275, EDATE(A275,-1)), -1),"yyyy-mm"), TEXT(IF(DAY(A275)&gt;=24, A275, EDATE(A275,-1)),"yyyy-mm"))</f>
        <v>Phi 2022-09</v>
      </c>
      <c r="F275">
        <f>IF(ISNUMBER(B275), ROUND(SUMIFS($B$2:$B$10000, $E$2:$E$10000, E275, $B$2:$B$10000, IF(B275&lt;0, "&lt;0", "&gt;0")), 0), "")</f>
        <v>-153950</v>
      </c>
      <c r="G275" t="str">
        <f>IF(F275&gt;0, IF(C275="Transaction", "Da thanh toan", "Duong"), IF(F275&lt;0, IF(C275="Transaction", "Du no", IF(C275="Interests", "Lai phat sinh", IF(C275="Misc", "Phi", IF(C275="Account Transfer", "Lai tra gop", "Am")))), "Bang 0"))</f>
        <v>Phi</v>
      </c>
    </row>
    <row r="276" spans="1:7" x14ac:dyDescent="0.3">
      <c r="A276" s="60">
        <v>44834</v>
      </c>
      <c r="B276" s="33">
        <v>-4500</v>
      </c>
      <c r="C276" t="s">
        <v>50</v>
      </c>
      <c r="E276" t="str">
        <f>IF(OR(C276="Transaction",C276="Interests",C276="Misc",C276="Account Transfer"), IF(C276="Transaction", IF(B276&lt;0, "Du no", "Da thanh toan"), IF(C276="Interests", "Lai", IF(C276="Misc", "Phi", IF(C276="Account Transfer", IF(OR(ISNUMBER(SEARCH("Trich lai tra gop the TD", D276)), ISNUMBER(SEARCH("Chuyen lai tra gop con lai sang du no thong thuong khi BadDebt", D276))), IF(B276&lt;0, "Lai tra gop", ""), "" )))))) &amp; " " &amp; IF(C276="Interests", TEXT(EDATE(IF(DAY(A276)&gt;=24, A276, EDATE(A276,-1)), -1),"yyyy-mm"), TEXT(IF(DAY(A276)&gt;=24, A276, EDATE(A276,-1)),"yyyy-mm"))</f>
        <v>Phi 2022-09</v>
      </c>
      <c r="F276">
        <f>IF(ISNUMBER(B276), ROUND(SUMIFS($B$2:$B$10000, $E$2:$E$10000, E276, $B$2:$B$10000, IF(B276&lt;0, "&lt;0", "&gt;0")), 0), "")</f>
        <v>-153950</v>
      </c>
      <c r="G276" t="str">
        <f>IF(F276&gt;0, IF(C276="Transaction", "Da thanh toan", "Duong"), IF(F276&lt;0, IF(C276="Transaction", "Du no", IF(C276="Interests", "Lai phat sinh", IF(C276="Misc", "Phi", IF(C276="Account Transfer", "Lai tra gop", "Am")))), "Bang 0"))</f>
        <v>Phi</v>
      </c>
    </row>
    <row r="277" spans="1:7" x14ac:dyDescent="0.3">
      <c r="A277" s="60">
        <v>44828</v>
      </c>
      <c r="B277" s="33">
        <v>-3661.43</v>
      </c>
      <c r="C277" t="s">
        <v>49</v>
      </c>
      <c r="E277" t="str">
        <f>IF(OR(C277="Transaction",C277="Interests",C277="Misc",C277="Account Transfer"), IF(C277="Transaction", IF(B277&lt;0, "Du no", "Da thanh toan"), IF(C277="Interests", "Lai", IF(C277="Misc", "Phi", IF(C277="Account Transfer", IF(OR(ISNUMBER(SEARCH("Trich lai tra gop the TD", D277)), ISNUMBER(SEARCH("Chuyen lai tra gop con lai sang du no thong thuong khi BadDebt", D277))), IF(B277&lt;0, "Lai tra gop", ""), "" )))))) &amp; " " &amp; IF(C277="Interests", TEXT(EDATE(IF(DAY(A277)&gt;=24, A277, EDATE(A277,-1)), -1),"yyyy-mm"), TEXT(IF(DAY(A277)&gt;=24, A277, EDATE(A277,-1)),"yyyy-mm"))</f>
        <v>Lai 2022-08</v>
      </c>
      <c r="F277">
        <f>IF(ISNUMBER(B277), ROUND(SUMIFS($B$2:$B$10000, $E$2:$E$10000, E277, $B$2:$B$10000, IF(B277&lt;0, "&lt;0", "&gt;0")), 0), "")</f>
        <v>-81195</v>
      </c>
      <c r="G277" t="str">
        <f>IF(F277&gt;0, IF(C277="Transaction", "Da thanh toan", "Duong"), IF(F277&lt;0, IF(C277="Transaction", "Du no", IF(C277="Interests", "Lai phat sinh", IF(C277="Misc", "Phi", IF(C277="Account Transfer", "Lai tra gop", "Am")))), "Bang 0"))</f>
        <v>Lai phat sinh</v>
      </c>
    </row>
    <row r="278" spans="1:7" x14ac:dyDescent="0.3">
      <c r="A278" s="60">
        <v>44828</v>
      </c>
      <c r="B278" s="33">
        <v>-7354.78</v>
      </c>
      <c r="C278" t="s">
        <v>49</v>
      </c>
      <c r="E278" t="str">
        <f>IF(OR(C278="Transaction",C278="Interests",C278="Misc",C278="Account Transfer"), IF(C278="Transaction", IF(B278&lt;0, "Du no", "Da thanh toan"), IF(C278="Interests", "Lai", IF(C278="Misc", "Phi", IF(C278="Account Transfer", IF(OR(ISNUMBER(SEARCH("Trich lai tra gop the TD", D278)), ISNUMBER(SEARCH("Chuyen lai tra gop con lai sang du no thong thuong khi BadDebt", D278))), IF(B278&lt;0, "Lai tra gop", ""), "" )))))) &amp; " " &amp; IF(C278="Interests", TEXT(EDATE(IF(DAY(A278)&gt;=24, A278, EDATE(A278,-1)), -1),"yyyy-mm"), TEXT(IF(DAY(A278)&gt;=24, A278, EDATE(A278,-1)),"yyyy-mm"))</f>
        <v>Lai 2022-08</v>
      </c>
      <c r="F278">
        <f>IF(ISNUMBER(B278), ROUND(SUMIFS($B$2:$B$10000, $E$2:$E$10000, E278, $B$2:$B$10000, IF(B278&lt;0, "&lt;0", "&gt;0")), 0), "")</f>
        <v>-81195</v>
      </c>
      <c r="G278" t="str">
        <f>IF(F278&gt;0, IF(C278="Transaction", "Da thanh toan", "Duong"), IF(F278&lt;0, IF(C278="Transaction", "Du no", IF(C278="Interests", "Lai phat sinh", IF(C278="Misc", "Phi", IF(C278="Account Transfer", "Lai tra gop", "Am")))), "Bang 0"))</f>
        <v>Lai phat sinh</v>
      </c>
    </row>
    <row r="279" spans="1:7" x14ac:dyDescent="0.3">
      <c r="A279" s="60">
        <v>44828</v>
      </c>
      <c r="B279" s="33">
        <v>-2706.42</v>
      </c>
      <c r="C279" t="s">
        <v>49</v>
      </c>
      <c r="E279" t="str">
        <f>IF(OR(C279="Transaction",C279="Interests",C279="Misc",C279="Account Transfer"), IF(C279="Transaction", IF(B279&lt;0, "Du no", "Da thanh toan"), IF(C279="Interests", "Lai", IF(C279="Misc", "Phi", IF(C279="Account Transfer", IF(OR(ISNUMBER(SEARCH("Trich lai tra gop the TD", D279)), ISNUMBER(SEARCH("Chuyen lai tra gop con lai sang du no thong thuong khi BadDebt", D279))), IF(B279&lt;0, "Lai tra gop", ""), "" )))))) &amp; " " &amp; IF(C279="Interests", TEXT(EDATE(IF(DAY(A279)&gt;=24, A279, EDATE(A279,-1)), -1),"yyyy-mm"), TEXT(IF(DAY(A279)&gt;=24, A279, EDATE(A279,-1)),"yyyy-mm"))</f>
        <v>Lai 2022-08</v>
      </c>
      <c r="F279">
        <f>IF(ISNUMBER(B279), ROUND(SUMIFS($B$2:$B$10000, $E$2:$E$10000, E279, $B$2:$B$10000, IF(B279&lt;0, "&lt;0", "&gt;0")), 0), "")</f>
        <v>-81195</v>
      </c>
      <c r="G279" t="str">
        <f>IF(F279&gt;0, IF(C279="Transaction", "Da thanh toan", "Duong"), IF(F279&lt;0, IF(C279="Transaction", "Du no", IF(C279="Interests", "Lai phat sinh", IF(C279="Misc", "Phi", IF(C279="Account Transfer", "Lai tra gop", "Am")))), "Bang 0"))</f>
        <v>Lai phat sinh</v>
      </c>
    </row>
    <row r="280" spans="1:7" x14ac:dyDescent="0.3">
      <c r="A280" s="60">
        <v>44828</v>
      </c>
      <c r="B280" s="33">
        <v>-38681.15</v>
      </c>
      <c r="C280" t="s">
        <v>49</v>
      </c>
      <c r="E280" t="str">
        <f>IF(OR(C280="Transaction",C280="Interests",C280="Misc",C280="Account Transfer"), IF(C280="Transaction", IF(B280&lt;0, "Du no", "Da thanh toan"), IF(C280="Interests", "Lai", IF(C280="Misc", "Phi", IF(C280="Account Transfer", IF(OR(ISNUMBER(SEARCH("Trich lai tra gop the TD", D280)), ISNUMBER(SEARCH("Chuyen lai tra gop con lai sang du no thong thuong khi BadDebt", D280))), IF(B280&lt;0, "Lai tra gop", ""), "" )))))) &amp; " " &amp; IF(C280="Interests", TEXT(EDATE(IF(DAY(A280)&gt;=24, A280, EDATE(A280,-1)), -1),"yyyy-mm"), TEXT(IF(DAY(A280)&gt;=24, A280, EDATE(A280,-1)),"yyyy-mm"))</f>
        <v>Lai 2022-08</v>
      </c>
      <c r="F280">
        <f>IF(ISNUMBER(B280), ROUND(SUMIFS($B$2:$B$10000, $E$2:$E$10000, E280, $B$2:$B$10000, IF(B280&lt;0, "&lt;0", "&gt;0")), 0), "")</f>
        <v>-81195</v>
      </c>
      <c r="G280" t="str">
        <f>IF(F280&gt;0, IF(C280="Transaction", "Da thanh toan", "Duong"), IF(F280&lt;0, IF(C280="Transaction", "Du no", IF(C280="Interests", "Lai phat sinh", IF(C280="Misc", "Phi", IF(C280="Account Transfer", "Lai tra gop", "Am")))), "Bang 0"))</f>
        <v>Lai phat sinh</v>
      </c>
    </row>
    <row r="281" spans="1:7" x14ac:dyDescent="0.3">
      <c r="A281" s="60">
        <v>44828</v>
      </c>
      <c r="B281" s="33">
        <v>-2649.63</v>
      </c>
      <c r="C281" t="s">
        <v>49</v>
      </c>
      <c r="E281" t="str">
        <f>IF(OR(C281="Transaction",C281="Interests",C281="Misc",C281="Account Transfer"), IF(C281="Transaction", IF(B281&lt;0, "Du no", "Da thanh toan"), IF(C281="Interests", "Lai", IF(C281="Misc", "Phi", IF(C281="Account Transfer", IF(OR(ISNUMBER(SEARCH("Trich lai tra gop the TD", D281)), ISNUMBER(SEARCH("Chuyen lai tra gop con lai sang du no thong thuong khi BadDebt", D281))), IF(B281&lt;0, "Lai tra gop", ""), "" )))))) &amp; " " &amp; IF(C281="Interests", TEXT(EDATE(IF(DAY(A281)&gt;=24, A281, EDATE(A281,-1)), -1),"yyyy-mm"), TEXT(IF(DAY(A281)&gt;=24, A281, EDATE(A281,-1)),"yyyy-mm"))</f>
        <v>Lai 2022-08</v>
      </c>
      <c r="F281">
        <f>IF(ISNUMBER(B281), ROUND(SUMIFS($B$2:$B$10000, $E$2:$E$10000, E281, $B$2:$B$10000, IF(B281&lt;0, "&lt;0", "&gt;0")), 0), "")</f>
        <v>-81195</v>
      </c>
      <c r="G281" t="str">
        <f>IF(F281&gt;0, IF(C281="Transaction", "Da thanh toan", "Duong"), IF(F281&lt;0, IF(C281="Transaction", "Du no", IF(C281="Interests", "Lai phat sinh", IF(C281="Misc", "Phi", IF(C281="Account Transfer", "Lai tra gop", "Am")))), "Bang 0"))</f>
        <v>Lai phat sinh</v>
      </c>
    </row>
    <row r="282" spans="1:7" x14ac:dyDescent="0.3">
      <c r="A282" s="60">
        <v>44828</v>
      </c>
      <c r="B282" s="33">
        <v>-22586.15</v>
      </c>
      <c r="C282" t="s">
        <v>49</v>
      </c>
      <c r="E282" t="str">
        <f>IF(OR(C282="Transaction",C282="Interests",C282="Misc",C282="Account Transfer"), IF(C282="Transaction", IF(B282&lt;0, "Du no", "Da thanh toan"), IF(C282="Interests", "Lai", IF(C282="Misc", "Phi", IF(C282="Account Transfer", IF(OR(ISNUMBER(SEARCH("Trich lai tra gop the TD", D282)), ISNUMBER(SEARCH("Chuyen lai tra gop con lai sang du no thong thuong khi BadDebt", D282))), IF(B282&lt;0, "Lai tra gop", ""), "" )))))) &amp; " " &amp; IF(C282="Interests", TEXT(EDATE(IF(DAY(A282)&gt;=24, A282, EDATE(A282,-1)), -1),"yyyy-mm"), TEXT(IF(DAY(A282)&gt;=24, A282, EDATE(A282,-1)),"yyyy-mm"))</f>
        <v>Lai 2022-08</v>
      </c>
      <c r="F282">
        <f>IF(ISNUMBER(B282), ROUND(SUMIFS($B$2:$B$10000, $E$2:$E$10000, E282, $B$2:$B$10000, IF(B282&lt;0, "&lt;0", "&gt;0")), 0), "")</f>
        <v>-81195</v>
      </c>
      <c r="G282" t="str">
        <f>IF(F282&gt;0, IF(C282="Transaction", "Da thanh toan", "Duong"), IF(F282&lt;0, IF(C282="Transaction", "Du no", IF(C282="Interests", "Lai phat sinh", IF(C282="Misc", "Phi", IF(C282="Account Transfer", "Lai tra gop", "Am")))), "Bang 0"))</f>
        <v>Lai phat sinh</v>
      </c>
    </row>
    <row r="283" spans="1:7" x14ac:dyDescent="0.3">
      <c r="A283" s="60">
        <v>44828</v>
      </c>
      <c r="B283" s="33">
        <v>-176.09</v>
      </c>
      <c r="C283" t="s">
        <v>49</v>
      </c>
      <c r="E283" t="str">
        <f>IF(OR(C283="Transaction",C283="Interests",C283="Misc",C283="Account Transfer"), IF(C283="Transaction", IF(B283&lt;0, "Du no", "Da thanh toan"), IF(C283="Interests", "Lai", IF(C283="Misc", "Phi", IF(C283="Account Transfer", IF(OR(ISNUMBER(SEARCH("Trich lai tra gop the TD", D283)), ISNUMBER(SEARCH("Chuyen lai tra gop con lai sang du no thong thuong khi BadDebt", D283))), IF(B283&lt;0, "Lai tra gop", ""), "" )))))) &amp; " " &amp; IF(C283="Interests", TEXT(EDATE(IF(DAY(A283)&gt;=24, A283, EDATE(A283,-1)), -1),"yyyy-mm"), TEXT(IF(DAY(A283)&gt;=24, A283, EDATE(A283,-1)),"yyyy-mm"))</f>
        <v>Lai 2022-08</v>
      </c>
      <c r="F283">
        <f>IF(ISNUMBER(B283), ROUND(SUMIFS($B$2:$B$10000, $E$2:$E$10000, E283, $B$2:$B$10000, IF(B283&lt;0, "&lt;0", "&gt;0")), 0), "")</f>
        <v>-81195</v>
      </c>
      <c r="G283" t="str">
        <f>IF(F283&gt;0, IF(C283="Transaction", "Da thanh toan", "Duong"), IF(F283&lt;0, IF(C283="Transaction", "Du no", IF(C283="Interests", "Lai phat sinh", IF(C283="Misc", "Phi", IF(C283="Account Transfer", "Lai tra gop", "Am")))), "Bang 0"))</f>
        <v>Lai phat sinh</v>
      </c>
    </row>
    <row r="284" spans="1:7" x14ac:dyDescent="0.3">
      <c r="A284" s="60">
        <v>44828</v>
      </c>
      <c r="B284" s="33">
        <v>-3253.45</v>
      </c>
      <c r="C284" t="s">
        <v>49</v>
      </c>
      <c r="E284" t="str">
        <f>IF(OR(C284="Transaction",C284="Interests",C284="Misc",C284="Account Transfer"), IF(C284="Transaction", IF(B284&lt;0, "Du no", "Da thanh toan"), IF(C284="Interests", "Lai", IF(C284="Misc", "Phi", IF(C284="Account Transfer", IF(OR(ISNUMBER(SEARCH("Trich lai tra gop the TD", D284)), ISNUMBER(SEARCH("Chuyen lai tra gop con lai sang du no thong thuong khi BadDebt", D284))), IF(B284&lt;0, "Lai tra gop", ""), "" )))))) &amp; " " &amp; IF(C284="Interests", TEXT(EDATE(IF(DAY(A284)&gt;=24, A284, EDATE(A284,-1)), -1),"yyyy-mm"), TEXT(IF(DAY(A284)&gt;=24, A284, EDATE(A284,-1)),"yyyy-mm"))</f>
        <v>Lai 2022-08</v>
      </c>
      <c r="F284">
        <f>IF(ISNUMBER(B284), ROUND(SUMIFS($B$2:$B$10000, $E$2:$E$10000, E284, $B$2:$B$10000, IF(B284&lt;0, "&lt;0", "&gt;0")), 0), "")</f>
        <v>-81195</v>
      </c>
      <c r="G284" t="str">
        <f>IF(F284&gt;0, IF(C284="Transaction", "Da thanh toan", "Duong"), IF(F284&lt;0, IF(C284="Transaction", "Du no", IF(C284="Interests", "Lai phat sinh", IF(C284="Misc", "Phi", IF(C284="Account Transfer", "Lai tra gop", "Am")))), "Bang 0"))</f>
        <v>Lai phat sinh</v>
      </c>
    </row>
    <row r="285" spans="1:7" x14ac:dyDescent="0.3">
      <c r="A285" s="60">
        <v>44828</v>
      </c>
      <c r="B285" s="33">
        <v>-125.78</v>
      </c>
      <c r="C285" t="s">
        <v>49</v>
      </c>
      <c r="E285" t="str">
        <f>IF(OR(C285="Transaction",C285="Interests",C285="Misc",C285="Account Transfer"), IF(C285="Transaction", IF(B285&lt;0, "Du no", "Da thanh toan"), IF(C285="Interests", "Lai", IF(C285="Misc", "Phi", IF(C285="Account Transfer", IF(OR(ISNUMBER(SEARCH("Trich lai tra gop the TD", D285)), ISNUMBER(SEARCH("Chuyen lai tra gop con lai sang du no thong thuong khi BadDebt", D285))), IF(B285&lt;0, "Lai tra gop", ""), "" )))))) &amp; " " &amp; IF(C285="Interests", TEXT(EDATE(IF(DAY(A285)&gt;=24, A285, EDATE(A285,-1)), -1),"yyyy-mm"), TEXT(IF(DAY(A285)&gt;=24, A285, EDATE(A285,-1)),"yyyy-mm"))</f>
        <v>Lai 2022-08</v>
      </c>
      <c r="F285">
        <f>IF(ISNUMBER(B285), ROUND(SUMIFS($B$2:$B$10000, $E$2:$E$10000, E285, $B$2:$B$10000, IF(B285&lt;0, "&lt;0", "&gt;0")), 0), "")</f>
        <v>-81195</v>
      </c>
      <c r="G285" t="str">
        <f>IF(F285&gt;0, IF(C285="Transaction", "Da thanh toan", "Duong"), IF(F285&lt;0, IF(C285="Transaction", "Du no", IF(C285="Interests", "Lai phat sinh", IF(C285="Misc", "Phi", IF(C285="Account Transfer", "Lai tra gop", "Am")))), "Bang 0"))</f>
        <v>Lai phat sinh</v>
      </c>
    </row>
    <row r="286" spans="1:7" x14ac:dyDescent="0.3">
      <c r="A286" s="60">
        <v>44823</v>
      </c>
      <c r="B286" s="33">
        <v>81849</v>
      </c>
      <c r="C286" t="s">
        <v>51</v>
      </c>
      <c r="D286" t="s">
        <v>53</v>
      </c>
      <c r="E286" t="str">
        <f>IF(OR(C286="Transaction",C286="Interests",C286="Misc",C286="Account Transfer"), IF(C286="Transaction", IF(B286&lt;0, "Du no", "Da thanh toan"), IF(C286="Interests", "Lai", IF(C286="Misc", "Phi", IF(C286="Account Transfer", IF(OR(ISNUMBER(SEARCH("Trich lai tra gop the TD", D286)), ISNUMBER(SEARCH("Chuyen lai tra gop con lai sang du no thong thuong khi BadDebt", D286))), IF(B286&lt;0, "Lai tra gop", ""), "" )))))) &amp; " " &amp; IF(C286="Interests", TEXT(EDATE(IF(DAY(A286)&gt;=24, A286, EDATE(A286,-1)), -1),"yyyy-mm"), TEXT(IF(DAY(A286)&gt;=24, A286, EDATE(A286,-1)),"yyyy-mm"))</f>
        <v>Da thanh toan 2022-08</v>
      </c>
      <c r="F286">
        <f>IF(ISNUMBER(B286), ROUND(SUMIFS($B$2:$B$10000, $E$2:$E$10000, E286, $B$2:$B$10000, IF(B286&lt;0, "&lt;0", "&gt;0")), 0), "")</f>
        <v>111267</v>
      </c>
      <c r="G286" t="str">
        <f>IF(F286&gt;0, IF(C286="Transaction", "Da thanh toan", "Duong"), IF(F286&lt;0, IF(C286="Transaction", "Du no", IF(C286="Interests", "Lai phat sinh", IF(C286="Misc", "Phi", IF(C286="Account Transfer", "Lai tra gop", "Am")))), "Bang 0"))</f>
        <v>Da thanh toan</v>
      </c>
    </row>
    <row r="287" spans="1:7" x14ac:dyDescent="0.3">
      <c r="A287" s="60">
        <v>44817</v>
      </c>
      <c r="B287" s="33">
        <v>29418</v>
      </c>
      <c r="C287" t="s">
        <v>51</v>
      </c>
      <c r="D287" t="s">
        <v>53</v>
      </c>
      <c r="E287" t="str">
        <f>IF(OR(C287="Transaction",C287="Interests",C287="Misc",C287="Account Transfer"), IF(C287="Transaction", IF(B287&lt;0, "Du no", "Da thanh toan"), IF(C287="Interests", "Lai", IF(C287="Misc", "Phi", IF(C287="Account Transfer", IF(OR(ISNUMBER(SEARCH("Trich lai tra gop the TD", D287)), ISNUMBER(SEARCH("Chuyen lai tra gop con lai sang du no thong thuong khi BadDebt", D287))), IF(B287&lt;0, "Lai tra gop", ""), "" )))))) &amp; " " &amp; IF(C287="Interests", TEXT(EDATE(IF(DAY(A287)&gt;=24, A287, EDATE(A287,-1)), -1),"yyyy-mm"), TEXT(IF(DAY(A287)&gt;=24, A287, EDATE(A287,-1)),"yyyy-mm"))</f>
        <v>Da thanh toan 2022-08</v>
      </c>
      <c r="F287">
        <f>IF(ISNUMBER(B287), ROUND(SUMIFS($B$2:$B$10000, $E$2:$E$10000, E287, $B$2:$B$10000, IF(B287&lt;0, "&lt;0", "&gt;0")), 0), "")</f>
        <v>111267</v>
      </c>
      <c r="G287" t="str">
        <f>IF(F287&gt;0, IF(C287="Transaction", "Da thanh toan", "Duong"), IF(F287&lt;0, IF(C287="Transaction", "Du no", IF(C287="Interests", "Lai phat sinh", IF(C287="Misc", "Phi", IF(C287="Account Transfer", "Lai tra gop", "Am")))), "Bang 0"))</f>
        <v>Da thanh toan</v>
      </c>
    </row>
    <row r="288" spans="1:7" x14ac:dyDescent="0.3">
      <c r="A288" s="60">
        <v>44813</v>
      </c>
      <c r="B288" s="33">
        <v>-149000</v>
      </c>
      <c r="C288" t="s">
        <v>50</v>
      </c>
      <c r="E288" t="str">
        <f>IF(OR(C288="Transaction",C288="Interests",C288="Misc",C288="Account Transfer"), IF(C288="Transaction", IF(B288&lt;0, "Du no", "Da thanh toan"), IF(C288="Interests", "Lai", IF(C288="Misc", "Phi", IF(C288="Account Transfer", IF(OR(ISNUMBER(SEARCH("Trich lai tra gop the TD", D288)), ISNUMBER(SEARCH("Chuyen lai tra gop con lai sang du no thong thuong khi BadDebt", D288))), IF(B288&lt;0, "Lai tra gop", ""), "" )))))) &amp; " " &amp; IF(C288="Interests", TEXT(EDATE(IF(DAY(A288)&gt;=24, A288, EDATE(A288,-1)), -1),"yyyy-mm"), TEXT(IF(DAY(A288)&gt;=24, A288, EDATE(A288,-1)),"yyyy-mm"))</f>
        <v>Phi 2022-08</v>
      </c>
      <c r="F288">
        <f>IF(ISNUMBER(B288), ROUND(SUMIFS($B$2:$B$10000, $E$2:$E$10000, E288, $B$2:$B$10000, IF(B288&lt;0, "&lt;0", "&gt;0")), 0), "")</f>
        <v>-153950</v>
      </c>
      <c r="G288" t="str">
        <f>IF(F288&gt;0, IF(C288="Transaction", "Da thanh toan", "Duong"), IF(F288&lt;0, IF(C288="Transaction", "Du no", IF(C288="Interests", "Lai phat sinh", IF(C288="Misc", "Phi", IF(C288="Account Transfer", "Lai tra gop", "Am")))), "Bang 0"))</f>
        <v>Phi</v>
      </c>
    </row>
    <row r="289" spans="1:7" x14ac:dyDescent="0.3">
      <c r="A289" s="60">
        <v>44810</v>
      </c>
      <c r="B289" s="33">
        <v>-7308</v>
      </c>
      <c r="C289" t="s">
        <v>51</v>
      </c>
      <c r="D289" t="s">
        <v>775</v>
      </c>
      <c r="E289" t="str">
        <f>IF(OR(C289="Transaction",C289="Interests",C289="Misc",C289="Account Transfer"), IF(C289="Transaction", IF(B289&lt;0, "Du no", "Da thanh toan"), IF(C289="Interests", "Lai", IF(C289="Misc", "Phi", IF(C289="Account Transfer", IF(OR(ISNUMBER(SEARCH("Trich lai tra gop the TD", D289)), ISNUMBER(SEARCH("Chuyen lai tra gop con lai sang du no thong thuong khi BadDebt", D289))), IF(B289&lt;0, "Lai tra gop", ""), "" )))))) &amp; " " &amp; IF(C289="Interests", TEXT(EDATE(IF(DAY(A289)&gt;=24, A289, EDATE(A289,-1)), -1),"yyyy-mm"), TEXT(IF(DAY(A289)&gt;=24, A289, EDATE(A289,-1)),"yyyy-mm"))</f>
        <v>Du no 2022-08</v>
      </c>
      <c r="F289">
        <f>IF(ISNUMBER(B289), ROUND(SUMIFS($B$2:$B$10000, $E$2:$E$10000, E289, $B$2:$B$10000, IF(B289&lt;0, "&lt;0", "&gt;0")), 0), "")</f>
        <v>-7308</v>
      </c>
      <c r="G289" t="str">
        <f>IF(F289&gt;0, IF(C289="Transaction", "Da thanh toan", "Duong"), IF(F289&lt;0, IF(C289="Transaction", "Du no", IF(C289="Interests", "Lai phat sinh", IF(C289="Misc", "Phi", IF(C289="Account Transfer", "Lai tra gop", "Am")))), "Bang 0"))</f>
        <v>Du no</v>
      </c>
    </row>
    <row r="290" spans="1:7" x14ac:dyDescent="0.3">
      <c r="A290" s="60">
        <v>44809</v>
      </c>
      <c r="B290" s="33">
        <v>-450</v>
      </c>
      <c r="C290" t="s">
        <v>50</v>
      </c>
      <c r="E290" t="str">
        <f>IF(OR(C290="Transaction",C290="Interests",C290="Misc",C290="Account Transfer"), IF(C290="Transaction", IF(B290&lt;0, "Du no", "Da thanh toan"), IF(C290="Interests", "Lai", IF(C290="Misc", "Phi", IF(C290="Account Transfer", IF(OR(ISNUMBER(SEARCH("Trich lai tra gop the TD", D290)), ISNUMBER(SEARCH("Chuyen lai tra gop con lai sang du no thong thuong khi BadDebt", D290))), IF(B290&lt;0, "Lai tra gop", ""), "" )))))) &amp; " " &amp; IF(C290="Interests", TEXT(EDATE(IF(DAY(A290)&gt;=24, A290, EDATE(A290,-1)), -1),"yyyy-mm"), TEXT(IF(DAY(A290)&gt;=24, A290, EDATE(A290,-1)),"yyyy-mm"))</f>
        <v>Phi 2022-08</v>
      </c>
      <c r="F290">
        <f>IF(ISNUMBER(B290), ROUND(SUMIFS($B$2:$B$10000, $E$2:$E$10000, E290, $B$2:$B$10000, IF(B290&lt;0, "&lt;0", "&gt;0")), 0), "")</f>
        <v>-153950</v>
      </c>
      <c r="G290" t="str">
        <f>IF(F290&gt;0, IF(C290="Transaction", "Da thanh toan", "Duong"), IF(F290&lt;0, IF(C290="Transaction", "Du no", IF(C290="Interests", "Lai phat sinh", IF(C290="Misc", "Phi", IF(C290="Account Transfer", "Lai tra gop", "Am")))), "Bang 0"))</f>
        <v>Phi</v>
      </c>
    </row>
    <row r="291" spans="1:7" x14ac:dyDescent="0.3">
      <c r="A291" s="60">
        <v>44809</v>
      </c>
      <c r="B291" s="33">
        <v>-4500</v>
      </c>
      <c r="C291" t="s">
        <v>50</v>
      </c>
      <c r="E291" t="str">
        <f>IF(OR(C291="Transaction",C291="Interests",C291="Misc",C291="Account Transfer"), IF(C291="Transaction", IF(B291&lt;0, "Du no", "Da thanh toan"), IF(C291="Interests", "Lai", IF(C291="Misc", "Phi", IF(C291="Account Transfer", IF(OR(ISNUMBER(SEARCH("Trich lai tra gop the TD", D291)), ISNUMBER(SEARCH("Chuyen lai tra gop con lai sang du no thong thuong khi BadDebt", D291))), IF(B291&lt;0, "Lai tra gop", ""), "" )))))) &amp; " " &amp; IF(C291="Interests", TEXT(EDATE(IF(DAY(A291)&gt;=24, A291, EDATE(A291,-1)), -1),"yyyy-mm"), TEXT(IF(DAY(A291)&gt;=24, A291, EDATE(A291,-1)),"yyyy-mm"))</f>
        <v>Phi 2022-08</v>
      </c>
      <c r="F291">
        <f>IF(ISNUMBER(B291), ROUND(SUMIFS($B$2:$B$10000, $E$2:$E$10000, E291, $B$2:$B$10000, IF(B291&lt;0, "&lt;0", "&gt;0")), 0), "")</f>
        <v>-153950</v>
      </c>
      <c r="G291" t="str">
        <f>IF(F291&gt;0, IF(C291="Transaction", "Da thanh toan", "Duong"), IF(F291&lt;0, IF(C291="Transaction", "Du no", IF(C291="Interests", "Lai phat sinh", IF(C291="Misc", "Phi", IF(C291="Account Transfer", "Lai tra gop", "Am")))), "Bang 0"))</f>
        <v>Phi</v>
      </c>
    </row>
    <row r="292" spans="1:7" x14ac:dyDescent="0.3">
      <c r="A292" s="60">
        <v>44797</v>
      </c>
      <c r="B292" s="33">
        <v>-2543.0500000000002</v>
      </c>
      <c r="C292" t="s">
        <v>49</v>
      </c>
      <c r="E292" t="str">
        <f>IF(OR(C292="Transaction",C292="Interests",C292="Misc",C292="Account Transfer"), IF(C292="Transaction", IF(B292&lt;0, "Du no", "Da thanh toan"), IF(C292="Interests", "Lai", IF(C292="Misc", "Phi", IF(C292="Account Transfer", IF(OR(ISNUMBER(SEARCH("Trich lai tra gop the TD", D292)), ISNUMBER(SEARCH("Chuyen lai tra gop con lai sang du no thong thuong khi BadDebt", D292))), IF(B292&lt;0, "Lai tra gop", ""), "" )))))) &amp; " " &amp; IF(C292="Interests", TEXT(EDATE(IF(DAY(A292)&gt;=24, A292, EDATE(A292,-1)), -1),"yyyy-mm"), TEXT(IF(DAY(A292)&gt;=24, A292, EDATE(A292,-1)),"yyyy-mm"))</f>
        <v>Lai 2022-07</v>
      </c>
      <c r="F292">
        <f>IF(ISNUMBER(B292), ROUND(SUMIFS($B$2:$B$10000, $E$2:$E$10000, E292, $B$2:$B$10000, IF(B292&lt;0, "&lt;0", "&gt;0")), 0), "")</f>
        <v>-75400</v>
      </c>
      <c r="G292" t="str">
        <f>IF(F292&gt;0, IF(C292="Transaction", "Da thanh toan", "Duong"), IF(F292&lt;0, IF(C292="Transaction", "Du no", IF(C292="Interests", "Lai phat sinh", IF(C292="Misc", "Phi", IF(C292="Account Transfer", "Lai tra gop", "Am")))), "Bang 0"))</f>
        <v>Lai phat sinh</v>
      </c>
    </row>
    <row r="293" spans="1:7" x14ac:dyDescent="0.3">
      <c r="A293" s="60">
        <v>44797</v>
      </c>
      <c r="B293" s="33">
        <v>-4245.28</v>
      </c>
      <c r="C293" t="s">
        <v>49</v>
      </c>
      <c r="E293" t="str">
        <f>IF(OR(C293="Transaction",C293="Interests",C293="Misc",C293="Account Transfer"), IF(C293="Transaction", IF(B293&lt;0, "Du no", "Da thanh toan"), IF(C293="Interests", "Lai", IF(C293="Misc", "Phi", IF(C293="Account Transfer", IF(OR(ISNUMBER(SEARCH("Trich lai tra gop the TD", D293)), ISNUMBER(SEARCH("Chuyen lai tra gop con lai sang du no thong thuong khi BadDebt", D293))), IF(B293&lt;0, "Lai tra gop", ""), "" )))))) &amp; " " &amp; IF(C293="Interests", TEXT(EDATE(IF(DAY(A293)&gt;=24, A293, EDATE(A293,-1)), -1),"yyyy-mm"), TEXT(IF(DAY(A293)&gt;=24, A293, EDATE(A293,-1)),"yyyy-mm"))</f>
        <v>Lai 2022-07</v>
      </c>
      <c r="F293">
        <f>IF(ISNUMBER(B293), ROUND(SUMIFS($B$2:$B$10000, $E$2:$E$10000, E293, $B$2:$B$10000, IF(B293&lt;0, "&lt;0", "&gt;0")), 0), "")</f>
        <v>-75400</v>
      </c>
      <c r="G293" t="str">
        <f>IF(F293&gt;0, IF(C293="Transaction", "Da thanh toan", "Duong"), IF(F293&lt;0, IF(C293="Transaction", "Du no", IF(C293="Interests", "Lai phat sinh", IF(C293="Misc", "Phi", IF(C293="Account Transfer", "Lai tra gop", "Am")))), "Bang 0"))</f>
        <v>Lai phat sinh</v>
      </c>
    </row>
    <row r="294" spans="1:7" x14ac:dyDescent="0.3">
      <c r="A294" s="60">
        <v>44797</v>
      </c>
      <c r="B294" s="33">
        <v>-4672.87</v>
      </c>
      <c r="C294" t="s">
        <v>49</v>
      </c>
      <c r="E294" t="str">
        <f>IF(OR(C294="Transaction",C294="Interests",C294="Misc",C294="Account Transfer"), IF(C294="Transaction", IF(B294&lt;0, "Du no", "Da thanh toan"), IF(C294="Interests", "Lai", IF(C294="Misc", "Phi", IF(C294="Account Transfer", IF(OR(ISNUMBER(SEARCH("Trich lai tra gop the TD", D294)), ISNUMBER(SEARCH("Chuyen lai tra gop con lai sang du no thong thuong khi BadDebt", D294))), IF(B294&lt;0, "Lai tra gop", ""), "" )))))) &amp; " " &amp; IF(C294="Interests", TEXT(EDATE(IF(DAY(A294)&gt;=24, A294, EDATE(A294,-1)), -1),"yyyy-mm"), TEXT(IF(DAY(A294)&gt;=24, A294, EDATE(A294,-1)),"yyyy-mm"))</f>
        <v>Lai 2022-07</v>
      </c>
      <c r="F294">
        <f>IF(ISNUMBER(B294), ROUND(SUMIFS($B$2:$B$10000, $E$2:$E$10000, E294, $B$2:$B$10000, IF(B294&lt;0, "&lt;0", "&gt;0")), 0), "")</f>
        <v>-75400</v>
      </c>
      <c r="G294" t="str">
        <f>IF(F294&gt;0, IF(C294="Transaction", "Da thanh toan", "Duong"), IF(F294&lt;0, IF(C294="Transaction", "Du no", IF(C294="Interests", "Lai phat sinh", IF(C294="Misc", "Phi", IF(C294="Account Transfer", "Lai tra gop", "Am")))), "Bang 0"))</f>
        <v>Lai phat sinh</v>
      </c>
    </row>
    <row r="295" spans="1:7" x14ac:dyDescent="0.3">
      <c r="A295" s="60">
        <v>44797</v>
      </c>
      <c r="B295" s="33">
        <v>-2193.54</v>
      </c>
      <c r="C295" t="s">
        <v>49</v>
      </c>
      <c r="E295" t="str">
        <f>IF(OR(C295="Transaction",C295="Interests",C295="Misc",C295="Account Transfer"), IF(C295="Transaction", IF(B295&lt;0, "Du no", "Da thanh toan"), IF(C295="Interests", "Lai", IF(C295="Misc", "Phi", IF(C295="Account Transfer", IF(OR(ISNUMBER(SEARCH("Trich lai tra gop the TD", D295)), ISNUMBER(SEARCH("Chuyen lai tra gop con lai sang du no thong thuong khi BadDebt", D295))), IF(B295&lt;0, "Lai tra gop", ""), "" )))))) &amp; " " &amp; IF(C295="Interests", TEXT(EDATE(IF(DAY(A295)&gt;=24, A295, EDATE(A295,-1)), -1),"yyyy-mm"), TEXT(IF(DAY(A295)&gt;=24, A295, EDATE(A295,-1)),"yyyy-mm"))</f>
        <v>Lai 2022-07</v>
      </c>
      <c r="F295">
        <f>IF(ISNUMBER(B295), ROUND(SUMIFS($B$2:$B$10000, $E$2:$E$10000, E295, $B$2:$B$10000, IF(B295&lt;0, "&lt;0", "&gt;0")), 0), "")</f>
        <v>-75400</v>
      </c>
      <c r="G295" t="str">
        <f>IF(F295&gt;0, IF(C295="Transaction", "Da thanh toan", "Duong"), IF(F295&lt;0, IF(C295="Transaction", "Du no", IF(C295="Interests", "Lai phat sinh", IF(C295="Misc", "Phi", IF(C295="Account Transfer", "Lai tra gop", "Am")))), "Bang 0"))</f>
        <v>Lai phat sinh</v>
      </c>
    </row>
    <row r="296" spans="1:7" x14ac:dyDescent="0.3">
      <c r="A296" s="60">
        <v>44797</v>
      </c>
      <c r="B296" s="33">
        <v>-33028.61</v>
      </c>
      <c r="C296" t="s">
        <v>49</v>
      </c>
      <c r="E296" t="str">
        <f>IF(OR(C296="Transaction",C296="Interests",C296="Misc",C296="Account Transfer"), IF(C296="Transaction", IF(B296&lt;0, "Du no", "Da thanh toan"), IF(C296="Interests", "Lai", IF(C296="Misc", "Phi", IF(C296="Account Transfer", IF(OR(ISNUMBER(SEARCH("Trich lai tra gop the TD", D296)), ISNUMBER(SEARCH("Chuyen lai tra gop con lai sang du no thong thuong khi BadDebt", D296))), IF(B296&lt;0, "Lai tra gop", ""), "" )))))) &amp; " " &amp; IF(C296="Interests", TEXT(EDATE(IF(DAY(A296)&gt;=24, A296, EDATE(A296,-1)), -1),"yyyy-mm"), TEXT(IF(DAY(A296)&gt;=24, A296, EDATE(A296,-1)),"yyyy-mm"))</f>
        <v>Lai 2022-07</v>
      </c>
      <c r="F296">
        <f>IF(ISNUMBER(B296), ROUND(SUMIFS($B$2:$B$10000, $E$2:$E$10000, E296, $B$2:$B$10000, IF(B296&lt;0, "&lt;0", "&gt;0")), 0), "")</f>
        <v>-75400</v>
      </c>
      <c r="G296" t="str">
        <f>IF(F296&gt;0, IF(C296="Transaction", "Da thanh toan", "Duong"), IF(F296&lt;0, IF(C296="Transaction", "Du no", IF(C296="Interests", "Lai phat sinh", IF(C296="Misc", "Phi", IF(C296="Account Transfer", "Lai tra gop", "Am")))), "Bang 0"))</f>
        <v>Lai phat sinh</v>
      </c>
    </row>
    <row r="297" spans="1:7" x14ac:dyDescent="0.3">
      <c r="A297" s="60">
        <v>44797</v>
      </c>
      <c r="B297" s="33">
        <v>-2826.27</v>
      </c>
      <c r="C297" t="s">
        <v>49</v>
      </c>
      <c r="E297" t="str">
        <f>IF(OR(C297="Transaction",C297="Interests",C297="Misc",C297="Account Transfer"), IF(C297="Transaction", IF(B297&lt;0, "Du no", "Da thanh toan"), IF(C297="Interests", "Lai", IF(C297="Misc", "Phi", IF(C297="Account Transfer", IF(OR(ISNUMBER(SEARCH("Trich lai tra gop the TD", D297)), ISNUMBER(SEARCH("Chuyen lai tra gop con lai sang du no thong thuong khi BadDebt", D297))), IF(B297&lt;0, "Lai tra gop", ""), "" )))))) &amp; " " &amp; IF(C297="Interests", TEXT(EDATE(IF(DAY(A297)&gt;=24, A297, EDATE(A297,-1)), -1),"yyyy-mm"), TEXT(IF(DAY(A297)&gt;=24, A297, EDATE(A297,-1)),"yyyy-mm"))</f>
        <v>Lai 2022-07</v>
      </c>
      <c r="F297">
        <f>IF(ISNUMBER(B297), ROUND(SUMIFS($B$2:$B$10000, $E$2:$E$10000, E297, $B$2:$B$10000, IF(B297&lt;0, "&lt;0", "&gt;0")), 0), "")</f>
        <v>-75400</v>
      </c>
      <c r="G297" t="str">
        <f>IF(F297&gt;0, IF(C297="Transaction", "Da thanh toan", "Duong"), IF(F297&lt;0, IF(C297="Transaction", "Du no", IF(C297="Interests", "Lai phat sinh", IF(C297="Misc", "Phi", IF(C297="Account Transfer", "Lai tra gop", "Am")))), "Bang 0"))</f>
        <v>Lai phat sinh</v>
      </c>
    </row>
    <row r="298" spans="1:7" x14ac:dyDescent="0.3">
      <c r="A298" s="60">
        <v>44797</v>
      </c>
      <c r="B298" s="33">
        <v>-22586.15</v>
      </c>
      <c r="C298" t="s">
        <v>49</v>
      </c>
      <c r="E298" t="str">
        <f>IF(OR(C298="Transaction",C298="Interests",C298="Misc",C298="Account Transfer"), IF(C298="Transaction", IF(B298&lt;0, "Du no", "Da thanh toan"), IF(C298="Interests", "Lai", IF(C298="Misc", "Phi", IF(C298="Account Transfer", IF(OR(ISNUMBER(SEARCH("Trich lai tra gop the TD", D298)), ISNUMBER(SEARCH("Chuyen lai tra gop con lai sang du no thong thuong khi BadDebt", D298))), IF(B298&lt;0, "Lai tra gop", ""), "" )))))) &amp; " " &amp; IF(C298="Interests", TEXT(EDATE(IF(DAY(A298)&gt;=24, A298, EDATE(A298,-1)), -1),"yyyy-mm"), TEXT(IF(DAY(A298)&gt;=24, A298, EDATE(A298,-1)),"yyyy-mm"))</f>
        <v>Lai 2022-07</v>
      </c>
      <c r="F298">
        <f>IF(ISNUMBER(B298), ROUND(SUMIFS($B$2:$B$10000, $E$2:$E$10000, E298, $B$2:$B$10000, IF(B298&lt;0, "&lt;0", "&gt;0")), 0), "")</f>
        <v>-75400</v>
      </c>
      <c r="G298" t="str">
        <f>IF(F298&gt;0, IF(C298="Transaction", "Da thanh toan", "Duong"), IF(F298&lt;0, IF(C298="Transaction", "Du no", IF(C298="Interests", "Lai phat sinh", IF(C298="Misc", "Phi", IF(C298="Account Transfer", "Lai tra gop", "Am")))), "Bang 0"))</f>
        <v>Lai phat sinh</v>
      </c>
    </row>
    <row r="299" spans="1:7" x14ac:dyDescent="0.3">
      <c r="A299" s="60">
        <v>44797</v>
      </c>
      <c r="B299" s="33">
        <v>-184.47</v>
      </c>
      <c r="C299" t="s">
        <v>49</v>
      </c>
      <c r="E299" t="str">
        <f>IF(OR(C299="Transaction",C299="Interests",C299="Misc",C299="Account Transfer"), IF(C299="Transaction", IF(B299&lt;0, "Du no", "Da thanh toan"), IF(C299="Interests", "Lai", IF(C299="Misc", "Phi", IF(C299="Account Transfer", IF(OR(ISNUMBER(SEARCH("Trich lai tra gop the TD", D299)), ISNUMBER(SEARCH("Chuyen lai tra gop con lai sang du no thong thuong khi BadDebt", D299))), IF(B299&lt;0, "Lai tra gop", ""), "" )))))) &amp; " " &amp; IF(C299="Interests", TEXT(EDATE(IF(DAY(A299)&gt;=24, A299, EDATE(A299,-1)), -1),"yyyy-mm"), TEXT(IF(DAY(A299)&gt;=24, A299, EDATE(A299,-1)),"yyyy-mm"))</f>
        <v>Lai 2022-07</v>
      </c>
      <c r="F299">
        <f>IF(ISNUMBER(B299), ROUND(SUMIFS($B$2:$B$10000, $E$2:$E$10000, E299, $B$2:$B$10000, IF(B299&lt;0, "&lt;0", "&gt;0")), 0), "")</f>
        <v>-75400</v>
      </c>
      <c r="G299" t="str">
        <f>IF(F299&gt;0, IF(C299="Transaction", "Da thanh toan", "Duong"), IF(F299&lt;0, IF(C299="Transaction", "Du no", IF(C299="Interests", "Lai phat sinh", IF(C299="Misc", "Phi", IF(C299="Account Transfer", "Lai tra gop", "Am")))), "Bang 0"))</f>
        <v>Lai phat sinh</v>
      </c>
    </row>
    <row r="300" spans="1:7" x14ac:dyDescent="0.3">
      <c r="A300" s="60">
        <v>44797</v>
      </c>
      <c r="B300" s="33">
        <v>-2985.12</v>
      </c>
      <c r="C300" t="s">
        <v>49</v>
      </c>
      <c r="E300" t="str">
        <f>IF(OR(C300="Transaction",C300="Interests",C300="Misc",C300="Account Transfer"), IF(C300="Transaction", IF(B300&lt;0, "Du no", "Da thanh toan"), IF(C300="Interests", "Lai", IF(C300="Misc", "Phi", IF(C300="Account Transfer", IF(OR(ISNUMBER(SEARCH("Trich lai tra gop the TD", D300)), ISNUMBER(SEARCH("Chuyen lai tra gop con lai sang du no thong thuong khi BadDebt", D300))), IF(B300&lt;0, "Lai tra gop", ""), "" )))))) &amp; " " &amp; IF(C300="Interests", TEXT(EDATE(IF(DAY(A300)&gt;=24, A300, EDATE(A300,-1)), -1),"yyyy-mm"), TEXT(IF(DAY(A300)&gt;=24, A300, EDATE(A300,-1)),"yyyy-mm"))</f>
        <v>Lai 2022-07</v>
      </c>
      <c r="F300">
        <f>IF(ISNUMBER(B300), ROUND(SUMIFS($B$2:$B$10000, $E$2:$E$10000, E300, $B$2:$B$10000, IF(B300&lt;0, "&lt;0", "&gt;0")), 0), "")</f>
        <v>-75400</v>
      </c>
      <c r="G300" t="str">
        <f>IF(F300&gt;0, IF(C300="Transaction", "Da thanh toan", "Duong"), IF(F300&lt;0, IF(C300="Transaction", "Du no", IF(C300="Interests", "Lai phat sinh", IF(C300="Misc", "Phi", IF(C300="Account Transfer", "Lai tra gop", "Am")))), "Bang 0"))</f>
        <v>Lai phat sinh</v>
      </c>
    </row>
    <row r="301" spans="1:7" x14ac:dyDescent="0.3">
      <c r="A301" s="60">
        <v>44797</v>
      </c>
      <c r="B301" s="33">
        <v>-134.16</v>
      </c>
      <c r="C301" t="s">
        <v>49</v>
      </c>
      <c r="E301" t="str">
        <f>IF(OR(C301="Transaction",C301="Interests",C301="Misc",C301="Account Transfer"), IF(C301="Transaction", IF(B301&lt;0, "Du no", "Da thanh toan"), IF(C301="Interests", "Lai", IF(C301="Misc", "Phi", IF(C301="Account Transfer", IF(OR(ISNUMBER(SEARCH("Trich lai tra gop the TD", D301)), ISNUMBER(SEARCH("Chuyen lai tra gop con lai sang du no thong thuong khi BadDebt", D301))), IF(B301&lt;0, "Lai tra gop", ""), "" )))))) &amp; " " &amp; IF(C301="Interests", TEXT(EDATE(IF(DAY(A301)&gt;=24, A301, EDATE(A301,-1)), -1),"yyyy-mm"), TEXT(IF(DAY(A301)&gt;=24, A301, EDATE(A301,-1)),"yyyy-mm"))</f>
        <v>Lai 2022-07</v>
      </c>
      <c r="F301">
        <f>IF(ISNUMBER(B301), ROUND(SUMIFS($B$2:$B$10000, $E$2:$E$10000, E301, $B$2:$B$10000, IF(B301&lt;0, "&lt;0", "&gt;0")), 0), "")</f>
        <v>-75400</v>
      </c>
      <c r="G301" t="str">
        <f>IF(F301&gt;0, IF(C301="Transaction", "Da thanh toan", "Duong"), IF(F301&lt;0, IF(C301="Transaction", "Du no", IF(C301="Interests", "Lai phat sinh", IF(C301="Misc", "Phi", IF(C301="Account Transfer", "Lai tra gop", "Am")))), "Bang 0"))</f>
        <v>Lai phat sinh</v>
      </c>
    </row>
    <row r="302" spans="1:7" x14ac:dyDescent="0.3">
      <c r="A302" s="60">
        <v>44790</v>
      </c>
      <c r="B302" s="33">
        <v>18060</v>
      </c>
      <c r="C302" t="s">
        <v>51</v>
      </c>
      <c r="D302" t="s">
        <v>53</v>
      </c>
      <c r="E302" t="str">
        <f>IF(OR(C302="Transaction",C302="Interests",C302="Misc",C302="Account Transfer"), IF(C302="Transaction", IF(B302&lt;0, "Du no", "Da thanh toan"), IF(C302="Interests", "Lai", IF(C302="Misc", "Phi", IF(C302="Account Transfer", IF(OR(ISNUMBER(SEARCH("Trich lai tra gop the TD", D302)), ISNUMBER(SEARCH("Chuyen lai tra gop con lai sang du no thong thuong khi BadDebt", D302))), IF(B302&lt;0, "Lai tra gop", ""), "" )))))) &amp; " " &amp; IF(C302="Interests", TEXT(EDATE(IF(DAY(A302)&gt;=24, A302, EDATE(A302,-1)), -1),"yyyy-mm"), TEXT(IF(DAY(A302)&gt;=24, A302, EDATE(A302,-1)),"yyyy-mm"))</f>
        <v>Da thanh toan 2022-07</v>
      </c>
      <c r="F302">
        <f>IF(ISNUMBER(B302), ROUND(SUMIFS($B$2:$B$10000, $E$2:$E$10000, E302, $B$2:$B$10000, IF(B302&lt;0, "&lt;0", "&gt;0")), 0), "")</f>
        <v>104667</v>
      </c>
      <c r="G302" t="str">
        <f>IF(F302&gt;0, IF(C302="Transaction", "Da thanh toan", "Duong"), IF(F302&lt;0, IF(C302="Transaction", "Du no", IF(C302="Interests", "Lai phat sinh", IF(C302="Misc", "Phi", IF(C302="Account Transfer", "Lai tra gop", "Am")))), "Bang 0"))</f>
        <v>Da thanh toan</v>
      </c>
    </row>
    <row r="303" spans="1:7" x14ac:dyDescent="0.3">
      <c r="A303" s="60">
        <v>44784</v>
      </c>
      <c r="B303" s="33">
        <v>86607</v>
      </c>
      <c r="C303" t="s">
        <v>51</v>
      </c>
      <c r="D303" t="s">
        <v>53</v>
      </c>
      <c r="E303" t="str">
        <f>IF(OR(C303="Transaction",C303="Interests",C303="Misc",C303="Account Transfer"), IF(C303="Transaction", IF(B303&lt;0, "Du no", "Da thanh toan"), IF(C303="Interests", "Lai", IF(C303="Misc", "Phi", IF(C303="Account Transfer", IF(OR(ISNUMBER(SEARCH("Trich lai tra gop the TD", D303)), ISNUMBER(SEARCH("Chuyen lai tra gop con lai sang du no thong thuong khi BadDebt", D303))), IF(B303&lt;0, "Lai tra gop", ""), "" )))))) &amp; " " &amp; IF(C303="Interests", TEXT(EDATE(IF(DAY(A303)&gt;=24, A303, EDATE(A303,-1)), -1),"yyyy-mm"), TEXT(IF(DAY(A303)&gt;=24, A303, EDATE(A303,-1)),"yyyy-mm"))</f>
        <v>Da thanh toan 2022-07</v>
      </c>
      <c r="F303">
        <f>IF(ISNUMBER(B303), ROUND(SUMIFS($B$2:$B$10000, $E$2:$E$10000, E303, $B$2:$B$10000, IF(B303&lt;0, "&lt;0", "&gt;0")), 0), "")</f>
        <v>104667</v>
      </c>
      <c r="G303" t="str">
        <f>IF(F303&gt;0, IF(C303="Transaction", "Da thanh toan", "Duong"), IF(F303&lt;0, IF(C303="Transaction", "Du no", IF(C303="Interests", "Lai phat sinh", IF(C303="Misc", "Phi", IF(C303="Account Transfer", "Lai tra gop", "Am")))), "Bang 0"))</f>
        <v>Da thanh toan</v>
      </c>
    </row>
    <row r="304" spans="1:7" x14ac:dyDescent="0.3">
      <c r="A304" s="60">
        <v>44782</v>
      </c>
      <c r="B304" s="33">
        <v>-149000</v>
      </c>
      <c r="C304" t="s">
        <v>50</v>
      </c>
      <c r="E304" t="str">
        <f>IF(OR(C304="Transaction",C304="Interests",C304="Misc",C304="Account Transfer"), IF(C304="Transaction", IF(B304&lt;0, "Du no", "Da thanh toan"), IF(C304="Interests", "Lai", IF(C304="Misc", "Phi", IF(C304="Account Transfer", IF(OR(ISNUMBER(SEARCH("Trich lai tra gop the TD", D304)), ISNUMBER(SEARCH("Chuyen lai tra gop con lai sang du no thong thuong khi BadDebt", D304))), IF(B304&lt;0, "Lai tra gop", ""), "" )))))) &amp; " " &amp; IF(C304="Interests", TEXT(EDATE(IF(DAY(A304)&gt;=24, A304, EDATE(A304,-1)), -1),"yyyy-mm"), TEXT(IF(DAY(A304)&gt;=24, A304, EDATE(A304,-1)),"yyyy-mm"))</f>
        <v>Phi 2022-07</v>
      </c>
      <c r="F304">
        <f>IF(ISNUMBER(B304), ROUND(SUMIFS($B$2:$B$10000, $E$2:$E$10000, E304, $B$2:$B$10000, IF(B304&lt;0, "&lt;0", "&gt;0")), 0), "")</f>
        <v>-153950</v>
      </c>
      <c r="G304" t="str">
        <f>IF(F304&gt;0, IF(C304="Transaction", "Da thanh toan", "Duong"), IF(F304&lt;0, IF(C304="Transaction", "Du no", IF(C304="Interests", "Lai phat sinh", IF(C304="Misc", "Phi", IF(C304="Account Transfer", "Lai tra gop", "Am")))), "Bang 0"))</f>
        <v>Phi</v>
      </c>
    </row>
    <row r="305" spans="1:7" x14ac:dyDescent="0.3">
      <c r="A305" s="60">
        <v>44776</v>
      </c>
      <c r="B305" s="33">
        <v>-7308</v>
      </c>
      <c r="C305" t="s">
        <v>51</v>
      </c>
      <c r="D305" t="s">
        <v>776</v>
      </c>
      <c r="E305" t="str">
        <f>IF(OR(C305="Transaction",C305="Interests",C305="Misc",C305="Account Transfer"), IF(C305="Transaction", IF(B305&lt;0, "Du no", "Da thanh toan"), IF(C305="Interests", "Lai", IF(C305="Misc", "Phi", IF(C305="Account Transfer", IF(OR(ISNUMBER(SEARCH("Trich lai tra gop the TD", D305)), ISNUMBER(SEARCH("Chuyen lai tra gop con lai sang du no thong thuong khi BadDebt", D305))), IF(B305&lt;0, "Lai tra gop", ""), "" )))))) &amp; " " &amp; IF(C305="Interests", TEXT(EDATE(IF(DAY(A305)&gt;=24, A305, EDATE(A305,-1)), -1),"yyyy-mm"), TEXT(IF(DAY(A305)&gt;=24, A305, EDATE(A305,-1)),"yyyy-mm"))</f>
        <v>Du no 2022-07</v>
      </c>
      <c r="F305">
        <f>IF(ISNUMBER(B305), ROUND(SUMIFS($B$2:$B$10000, $E$2:$E$10000, E305, $B$2:$B$10000, IF(B305&lt;0, "&lt;0", "&gt;0")), 0), "")</f>
        <v>-7308</v>
      </c>
      <c r="G305" t="str">
        <f>IF(F305&gt;0, IF(C305="Transaction", "Da thanh toan", "Duong"), IF(F305&lt;0, IF(C305="Transaction", "Du no", IF(C305="Interests", "Lai phat sinh", IF(C305="Misc", "Phi", IF(C305="Account Transfer", "Lai tra gop", "Am")))), "Bang 0"))</f>
        <v>Du no</v>
      </c>
    </row>
    <row r="306" spans="1:7" x14ac:dyDescent="0.3">
      <c r="A306" s="60">
        <v>44772</v>
      </c>
      <c r="B306" s="33">
        <v>-450</v>
      </c>
      <c r="C306" t="s">
        <v>50</v>
      </c>
      <c r="E306" t="str">
        <f>IF(OR(C306="Transaction",C306="Interests",C306="Misc",C306="Account Transfer"), IF(C306="Transaction", IF(B306&lt;0, "Du no", "Da thanh toan"), IF(C306="Interests", "Lai", IF(C306="Misc", "Phi", IF(C306="Account Transfer", IF(OR(ISNUMBER(SEARCH("Trich lai tra gop the TD", D306)), ISNUMBER(SEARCH("Chuyen lai tra gop con lai sang du no thong thuong khi BadDebt", D306))), IF(B306&lt;0, "Lai tra gop", ""), "" )))))) &amp; " " &amp; IF(C306="Interests", TEXT(EDATE(IF(DAY(A306)&gt;=24, A306, EDATE(A306,-1)), -1),"yyyy-mm"), TEXT(IF(DAY(A306)&gt;=24, A306, EDATE(A306,-1)),"yyyy-mm"))</f>
        <v>Phi 2022-07</v>
      </c>
      <c r="F306">
        <f>IF(ISNUMBER(B306), ROUND(SUMIFS($B$2:$B$10000, $E$2:$E$10000, E306, $B$2:$B$10000, IF(B306&lt;0, "&lt;0", "&gt;0")), 0), "")</f>
        <v>-153950</v>
      </c>
      <c r="G306" t="str">
        <f>IF(F306&gt;0, IF(C306="Transaction", "Da thanh toan", "Duong"), IF(F306&lt;0, IF(C306="Transaction", "Du no", IF(C306="Interests", "Lai phat sinh", IF(C306="Misc", "Phi", IF(C306="Account Transfer", "Lai tra gop", "Am")))), "Bang 0"))</f>
        <v>Phi</v>
      </c>
    </row>
    <row r="307" spans="1:7" x14ac:dyDescent="0.3">
      <c r="A307" s="60">
        <v>44772</v>
      </c>
      <c r="B307" s="33">
        <v>-4500</v>
      </c>
      <c r="C307" t="s">
        <v>50</v>
      </c>
      <c r="E307" t="str">
        <f>IF(OR(C307="Transaction",C307="Interests",C307="Misc",C307="Account Transfer"), IF(C307="Transaction", IF(B307&lt;0, "Du no", "Da thanh toan"), IF(C307="Interests", "Lai", IF(C307="Misc", "Phi", IF(C307="Account Transfer", IF(OR(ISNUMBER(SEARCH("Trich lai tra gop the TD", D307)), ISNUMBER(SEARCH("Chuyen lai tra gop con lai sang du no thong thuong khi BadDebt", D307))), IF(B307&lt;0, "Lai tra gop", ""), "" )))))) &amp; " " &amp; IF(C307="Interests", TEXT(EDATE(IF(DAY(A307)&gt;=24, A307, EDATE(A307,-1)), -1),"yyyy-mm"), TEXT(IF(DAY(A307)&gt;=24, A307, EDATE(A307,-1)),"yyyy-mm"))</f>
        <v>Phi 2022-07</v>
      </c>
      <c r="F307">
        <f>IF(ISNUMBER(B307), ROUND(SUMIFS($B$2:$B$10000, $E$2:$E$10000, E307, $B$2:$B$10000, IF(B307&lt;0, "&lt;0", "&gt;0")), 0), "")</f>
        <v>-153950</v>
      </c>
      <c r="G307" t="str">
        <f>IF(F307&gt;0, IF(C307="Transaction", "Da thanh toan", "Duong"), IF(F307&lt;0, IF(C307="Transaction", "Du no", IF(C307="Interests", "Lai phat sinh", IF(C307="Misc", "Phi", IF(C307="Account Transfer", "Lai tra gop", "Am")))), "Bang 0"))</f>
        <v>Phi</v>
      </c>
    </row>
    <row r="308" spans="1:7" x14ac:dyDescent="0.3">
      <c r="A308" s="60">
        <v>44766</v>
      </c>
      <c r="B308" s="33">
        <v>-7924.96</v>
      </c>
      <c r="C308" t="s">
        <v>49</v>
      </c>
      <c r="E308" t="str">
        <f>IF(OR(C308="Transaction",C308="Interests",C308="Misc",C308="Account Transfer"), IF(C308="Transaction", IF(B308&lt;0, "Du no", "Da thanh toan"), IF(C308="Interests", "Lai", IF(C308="Misc", "Phi", IF(C308="Account Transfer", IF(OR(ISNUMBER(SEARCH("Trich lai tra gop the TD", D308)), ISNUMBER(SEARCH("Chuyen lai tra gop con lai sang du no thong thuong khi BadDebt", D308))), IF(B308&lt;0, "Lai tra gop", ""), "" )))))) &amp; " " &amp; IF(C308="Interests", TEXT(EDATE(IF(DAY(A308)&gt;=24, A308, EDATE(A308,-1)), -1),"yyyy-mm"), TEXT(IF(DAY(A308)&gt;=24, A308, EDATE(A308,-1)),"yyyy-mm"))</f>
        <v>Lai 2022-06</v>
      </c>
      <c r="F308">
        <f>IF(ISNUMBER(B308), ROUND(SUMIFS($B$2:$B$10000, $E$2:$E$10000, E308, $B$2:$B$10000, IF(B308&lt;0, "&lt;0", "&gt;0")), 0), "")</f>
        <v>-76643</v>
      </c>
      <c r="G308" t="str">
        <f>IF(F308&gt;0, IF(C308="Transaction", "Da thanh toan", "Duong"), IF(F308&lt;0, IF(C308="Transaction", "Du no", IF(C308="Interests", "Lai phat sinh", IF(C308="Misc", "Phi", IF(C308="Account Transfer", "Lai tra gop", "Am")))), "Bang 0"))</f>
        <v>Lai phat sinh</v>
      </c>
    </row>
    <row r="309" spans="1:7" x14ac:dyDescent="0.3">
      <c r="A309" s="60">
        <v>44766</v>
      </c>
      <c r="B309" s="33">
        <v>-9902.09</v>
      </c>
      <c r="C309" t="s">
        <v>49</v>
      </c>
      <c r="E309" t="str">
        <f>IF(OR(C309="Transaction",C309="Interests",C309="Misc",C309="Account Transfer"), IF(C309="Transaction", IF(B309&lt;0, "Du no", "Da thanh toan"), IF(C309="Interests", "Lai", IF(C309="Misc", "Phi", IF(C309="Account Transfer", IF(OR(ISNUMBER(SEARCH("Trich lai tra gop the TD", D309)), ISNUMBER(SEARCH("Chuyen lai tra gop con lai sang du no thong thuong khi BadDebt", D309))), IF(B309&lt;0, "Lai tra gop", ""), "" )))))) &amp; " " &amp; IF(C309="Interests", TEXT(EDATE(IF(DAY(A309)&gt;=24, A309, EDATE(A309,-1)), -1),"yyyy-mm"), TEXT(IF(DAY(A309)&gt;=24, A309, EDATE(A309,-1)),"yyyy-mm"))</f>
        <v>Lai 2022-06</v>
      </c>
      <c r="F309">
        <f>IF(ISNUMBER(B309), ROUND(SUMIFS($B$2:$B$10000, $E$2:$E$10000, E309, $B$2:$B$10000, IF(B309&lt;0, "&lt;0", "&gt;0")), 0), "")</f>
        <v>-76643</v>
      </c>
      <c r="G309" t="str">
        <f>IF(F309&gt;0, IF(C309="Transaction", "Da thanh toan", "Duong"), IF(F309&lt;0, IF(C309="Transaction", "Du no", IF(C309="Interests", "Lai phat sinh", IF(C309="Misc", "Phi", IF(C309="Account Transfer", "Lai tra gop", "Am")))), "Bang 0"))</f>
        <v>Lai phat sinh</v>
      </c>
    </row>
    <row r="310" spans="1:7" x14ac:dyDescent="0.3">
      <c r="A310" s="60">
        <v>44766</v>
      </c>
      <c r="B310" s="33">
        <v>-1883.95</v>
      </c>
      <c r="C310" t="s">
        <v>49</v>
      </c>
      <c r="E310" t="str">
        <f>IF(OR(C310="Transaction",C310="Interests",C310="Misc",C310="Account Transfer"), IF(C310="Transaction", IF(B310&lt;0, "Du no", "Da thanh toan"), IF(C310="Interests", "Lai", IF(C310="Misc", "Phi", IF(C310="Account Transfer", IF(OR(ISNUMBER(SEARCH("Trich lai tra gop the TD", D310)), ISNUMBER(SEARCH("Chuyen lai tra gop con lai sang du no thong thuong khi BadDebt", D310))), IF(B310&lt;0, "Lai tra gop", ""), "" )))))) &amp; " " &amp; IF(C310="Interests", TEXT(EDATE(IF(DAY(A310)&gt;=24, A310, EDATE(A310,-1)), -1),"yyyy-mm"), TEXT(IF(DAY(A310)&gt;=24, A310, EDATE(A310,-1)),"yyyy-mm"))</f>
        <v>Lai 2022-06</v>
      </c>
      <c r="F310">
        <f>IF(ISNUMBER(B310), ROUND(SUMIFS($B$2:$B$10000, $E$2:$E$10000, E310, $B$2:$B$10000, IF(B310&lt;0, "&lt;0", "&gt;0")), 0), "")</f>
        <v>-76643</v>
      </c>
      <c r="G310" t="str">
        <f>IF(F310&gt;0, IF(C310="Transaction", "Da thanh toan", "Duong"), IF(F310&lt;0, IF(C310="Transaction", "Du no", IF(C310="Interests", "Lai phat sinh", IF(C310="Misc", "Phi", IF(C310="Account Transfer", "Lai tra gop", "Am")))), "Bang 0"))</f>
        <v>Lai phat sinh</v>
      </c>
    </row>
    <row r="311" spans="1:7" x14ac:dyDescent="0.3">
      <c r="A311" s="60">
        <v>44766</v>
      </c>
      <c r="B311" s="33">
        <v>-2723.46</v>
      </c>
      <c r="C311" t="s">
        <v>49</v>
      </c>
      <c r="E311" t="str">
        <f>IF(OR(C311="Transaction",C311="Interests",C311="Misc",C311="Account Transfer"), IF(C311="Transaction", IF(B311&lt;0, "Du no", "Da thanh toan"), IF(C311="Interests", "Lai", IF(C311="Misc", "Phi", IF(C311="Account Transfer", IF(OR(ISNUMBER(SEARCH("Trich lai tra gop the TD", D311)), ISNUMBER(SEARCH("Chuyen lai tra gop con lai sang du no thong thuong khi BadDebt", D311))), IF(B311&lt;0, "Lai tra gop", ""), "" )))))) &amp; " " &amp; IF(C311="Interests", TEXT(EDATE(IF(DAY(A311)&gt;=24, A311, EDATE(A311,-1)), -1),"yyyy-mm"), TEXT(IF(DAY(A311)&gt;=24, A311, EDATE(A311,-1)),"yyyy-mm"))</f>
        <v>Lai 2022-06</v>
      </c>
      <c r="F311">
        <f>IF(ISNUMBER(B311), ROUND(SUMIFS($B$2:$B$10000, $E$2:$E$10000, E311, $B$2:$B$10000, IF(B311&lt;0, "&lt;0", "&gt;0")), 0), "")</f>
        <v>-76643</v>
      </c>
      <c r="G311" t="str">
        <f>IF(F311&gt;0, IF(C311="Transaction", "Da thanh toan", "Duong"), IF(F311&lt;0, IF(C311="Transaction", "Du no", IF(C311="Interests", "Lai phat sinh", IF(C311="Misc", "Phi", IF(C311="Account Transfer", "Lai tra gop", "Am")))), "Bang 0"))</f>
        <v>Lai phat sinh</v>
      </c>
    </row>
    <row r="312" spans="1:7" x14ac:dyDescent="0.3">
      <c r="A312" s="60">
        <v>44766</v>
      </c>
      <c r="B312" s="33">
        <v>-26749.39</v>
      </c>
      <c r="C312" t="s">
        <v>49</v>
      </c>
      <c r="E312" t="str">
        <f>IF(OR(C312="Transaction",C312="Interests",C312="Misc",C312="Account Transfer"), IF(C312="Transaction", IF(B312&lt;0, "Du no", "Da thanh toan"), IF(C312="Interests", "Lai", IF(C312="Misc", "Phi", IF(C312="Account Transfer", IF(OR(ISNUMBER(SEARCH("Trich lai tra gop the TD", D312)), ISNUMBER(SEARCH("Chuyen lai tra gop con lai sang du no thong thuong khi BadDebt", D312))), IF(B312&lt;0, "Lai tra gop", ""), "" )))))) &amp; " " &amp; IF(C312="Interests", TEXT(EDATE(IF(DAY(A312)&gt;=24, A312, EDATE(A312,-1)), -1),"yyyy-mm"), TEXT(IF(DAY(A312)&gt;=24, A312, EDATE(A312,-1)),"yyyy-mm"))</f>
        <v>Lai 2022-06</v>
      </c>
      <c r="F312">
        <f>IF(ISNUMBER(B312), ROUND(SUMIFS($B$2:$B$10000, $E$2:$E$10000, E312, $B$2:$B$10000, IF(B312&lt;0, "&lt;0", "&gt;0")), 0), "")</f>
        <v>-76643</v>
      </c>
      <c r="G312" t="str">
        <f>IF(F312&gt;0, IF(C312="Transaction", "Da thanh toan", "Duong"), IF(F312&lt;0, IF(C312="Transaction", "Du no", IF(C312="Interests", "Lai phat sinh", IF(C312="Misc", "Phi", IF(C312="Account Transfer", "Lai tra gop", "Am")))), "Bang 0"))</f>
        <v>Lai phat sinh</v>
      </c>
    </row>
    <row r="313" spans="1:7" x14ac:dyDescent="0.3">
      <c r="A313" s="60">
        <v>44766</v>
      </c>
      <c r="B313" s="33">
        <v>-2649.63</v>
      </c>
      <c r="C313" t="s">
        <v>49</v>
      </c>
      <c r="E313" t="str">
        <f>IF(OR(C313="Transaction",C313="Interests",C313="Misc",C313="Account Transfer"), IF(C313="Transaction", IF(B313&lt;0, "Du no", "Da thanh toan"), IF(C313="Interests", "Lai", IF(C313="Misc", "Phi", IF(C313="Account Transfer", IF(OR(ISNUMBER(SEARCH("Trich lai tra gop the TD", D313)), ISNUMBER(SEARCH("Chuyen lai tra gop con lai sang du no thong thuong khi BadDebt", D313))), IF(B313&lt;0, "Lai tra gop", ""), "" )))))) &amp; " " &amp; IF(C313="Interests", TEXT(EDATE(IF(DAY(A313)&gt;=24, A313, EDATE(A313,-1)), -1),"yyyy-mm"), TEXT(IF(DAY(A313)&gt;=24, A313, EDATE(A313,-1)),"yyyy-mm"))</f>
        <v>Lai 2022-06</v>
      </c>
      <c r="F313">
        <f>IF(ISNUMBER(B313), ROUND(SUMIFS($B$2:$B$10000, $E$2:$E$10000, E313, $B$2:$B$10000, IF(B313&lt;0, "&lt;0", "&gt;0")), 0), "")</f>
        <v>-76643</v>
      </c>
      <c r="G313" t="str">
        <f>IF(F313&gt;0, IF(C313="Transaction", "Da thanh toan", "Duong"), IF(F313&lt;0, IF(C313="Transaction", "Du no", IF(C313="Interests", "Lai phat sinh", IF(C313="Misc", "Phi", IF(C313="Account Transfer", "Lai tra gop", "Am")))), "Bang 0"))</f>
        <v>Lai phat sinh</v>
      </c>
    </row>
    <row r="314" spans="1:7" x14ac:dyDescent="0.3">
      <c r="A314" s="60">
        <v>44766</v>
      </c>
      <c r="B314" s="33">
        <v>-21857.57</v>
      </c>
      <c r="C314" t="s">
        <v>49</v>
      </c>
      <c r="E314" t="str">
        <f>IF(OR(C314="Transaction",C314="Interests",C314="Misc",C314="Account Transfer"), IF(C314="Transaction", IF(B314&lt;0, "Du no", "Da thanh toan"), IF(C314="Interests", "Lai", IF(C314="Misc", "Phi", IF(C314="Account Transfer", IF(OR(ISNUMBER(SEARCH("Trich lai tra gop the TD", D314)), ISNUMBER(SEARCH("Chuyen lai tra gop con lai sang du no thong thuong khi BadDebt", D314))), IF(B314&lt;0, "Lai tra gop", ""), "" )))))) &amp; " " &amp; IF(C314="Interests", TEXT(EDATE(IF(DAY(A314)&gt;=24, A314, EDATE(A314,-1)), -1),"yyyy-mm"), TEXT(IF(DAY(A314)&gt;=24, A314, EDATE(A314,-1)),"yyyy-mm"))</f>
        <v>Lai 2022-06</v>
      </c>
      <c r="F314">
        <f>IF(ISNUMBER(B314), ROUND(SUMIFS($B$2:$B$10000, $E$2:$E$10000, E314, $B$2:$B$10000, IF(B314&lt;0, "&lt;0", "&gt;0")), 0), "")</f>
        <v>-76643</v>
      </c>
      <c r="G314" t="str">
        <f>IF(F314&gt;0, IF(C314="Transaction", "Da thanh toan", "Duong"), IF(F314&lt;0, IF(C314="Transaction", "Du no", IF(C314="Interests", "Lai phat sinh", IF(C314="Misc", "Phi", IF(C314="Account Transfer", "Lai tra gop", "Am")))), "Bang 0"))</f>
        <v>Lai phat sinh</v>
      </c>
    </row>
    <row r="315" spans="1:7" x14ac:dyDescent="0.3">
      <c r="A315" s="60">
        <v>44766</v>
      </c>
      <c r="B315" s="33">
        <v>-184.47</v>
      </c>
      <c r="C315" t="s">
        <v>49</v>
      </c>
      <c r="E315" t="str">
        <f>IF(OR(C315="Transaction",C315="Interests",C315="Misc",C315="Account Transfer"), IF(C315="Transaction", IF(B315&lt;0, "Du no", "Da thanh toan"), IF(C315="Interests", "Lai", IF(C315="Misc", "Phi", IF(C315="Account Transfer", IF(OR(ISNUMBER(SEARCH("Trich lai tra gop the TD", D315)), ISNUMBER(SEARCH("Chuyen lai tra gop con lai sang du no thong thuong khi BadDebt", D315))), IF(B315&lt;0, "Lai tra gop", ""), "" )))))) &amp; " " &amp; IF(C315="Interests", TEXT(EDATE(IF(DAY(A315)&gt;=24, A315, EDATE(A315,-1)), -1),"yyyy-mm"), TEXT(IF(DAY(A315)&gt;=24, A315, EDATE(A315,-1)),"yyyy-mm"))</f>
        <v>Lai 2022-06</v>
      </c>
      <c r="F315">
        <f>IF(ISNUMBER(B315), ROUND(SUMIFS($B$2:$B$10000, $E$2:$E$10000, E315, $B$2:$B$10000, IF(B315&lt;0, "&lt;0", "&gt;0")), 0), "")</f>
        <v>-76643</v>
      </c>
      <c r="G315" t="str">
        <f>IF(F315&gt;0, IF(C315="Transaction", "Da thanh toan", "Duong"), IF(F315&lt;0, IF(C315="Transaction", "Du no", IF(C315="Interests", "Lai phat sinh", IF(C315="Misc", "Phi", IF(C315="Account Transfer", "Lai tra gop", "Am")))), "Bang 0"))</f>
        <v>Lai phat sinh</v>
      </c>
    </row>
    <row r="316" spans="1:7" x14ac:dyDescent="0.3">
      <c r="A316" s="60">
        <v>44766</v>
      </c>
      <c r="B316" s="33">
        <v>-2641.33</v>
      </c>
      <c r="C316" t="s">
        <v>49</v>
      </c>
      <c r="E316" t="str">
        <f>IF(OR(C316="Transaction",C316="Interests",C316="Misc",C316="Account Transfer"), IF(C316="Transaction", IF(B316&lt;0, "Du no", "Da thanh toan"), IF(C316="Interests", "Lai", IF(C316="Misc", "Phi", IF(C316="Account Transfer", IF(OR(ISNUMBER(SEARCH("Trich lai tra gop the TD", D316)), ISNUMBER(SEARCH("Chuyen lai tra gop con lai sang du no thong thuong khi BadDebt", D316))), IF(B316&lt;0, "Lai tra gop", ""), "" )))))) &amp; " " &amp; IF(C316="Interests", TEXT(EDATE(IF(DAY(A316)&gt;=24, A316, EDATE(A316,-1)), -1),"yyyy-mm"), TEXT(IF(DAY(A316)&gt;=24, A316, EDATE(A316,-1)),"yyyy-mm"))</f>
        <v>Lai 2022-06</v>
      </c>
      <c r="F316">
        <f>IF(ISNUMBER(B316), ROUND(SUMIFS($B$2:$B$10000, $E$2:$E$10000, E316, $B$2:$B$10000, IF(B316&lt;0, "&lt;0", "&gt;0")), 0), "")</f>
        <v>-76643</v>
      </c>
      <c r="G316" t="str">
        <f>IF(F316&gt;0, IF(C316="Transaction", "Da thanh toan", "Duong"), IF(F316&lt;0, IF(C316="Transaction", "Du no", IF(C316="Interests", "Lai phat sinh", IF(C316="Misc", "Phi", IF(C316="Account Transfer", "Lai tra gop", "Am")))), "Bang 0"))</f>
        <v>Lai phat sinh</v>
      </c>
    </row>
    <row r="317" spans="1:7" x14ac:dyDescent="0.3">
      <c r="A317" s="60">
        <v>44766</v>
      </c>
      <c r="B317" s="33">
        <v>-125.78</v>
      </c>
      <c r="C317" t="s">
        <v>49</v>
      </c>
      <c r="E317" t="str">
        <f>IF(OR(C317="Transaction",C317="Interests",C317="Misc",C317="Account Transfer"), IF(C317="Transaction", IF(B317&lt;0, "Du no", "Da thanh toan"), IF(C317="Interests", "Lai", IF(C317="Misc", "Phi", IF(C317="Account Transfer", IF(OR(ISNUMBER(SEARCH("Trich lai tra gop the TD", D317)), ISNUMBER(SEARCH("Chuyen lai tra gop con lai sang du no thong thuong khi BadDebt", D317))), IF(B317&lt;0, "Lai tra gop", ""), "" )))))) &amp; " " &amp; IF(C317="Interests", TEXT(EDATE(IF(DAY(A317)&gt;=24, A317, EDATE(A317,-1)), -1),"yyyy-mm"), TEXT(IF(DAY(A317)&gt;=24, A317, EDATE(A317,-1)),"yyyy-mm"))</f>
        <v>Lai 2022-06</v>
      </c>
      <c r="F317">
        <f>IF(ISNUMBER(B317), ROUND(SUMIFS($B$2:$B$10000, $E$2:$E$10000, E317, $B$2:$B$10000, IF(B317&lt;0, "&lt;0", "&gt;0")), 0), "")</f>
        <v>-76643</v>
      </c>
      <c r="G317" t="str">
        <f>IF(F317&gt;0, IF(C317="Transaction", "Da thanh toan", "Duong"), IF(F317&lt;0, IF(C317="Transaction", "Du no", IF(C317="Interests", "Lai phat sinh", IF(C317="Misc", "Phi", IF(C317="Account Transfer", "Lai tra gop", "Am")))), "Bang 0"))</f>
        <v>Lai phat sinh</v>
      </c>
    </row>
    <row r="318" spans="1:7" x14ac:dyDescent="0.3">
      <c r="A318" s="60">
        <v>44760</v>
      </c>
      <c r="B318" s="33">
        <v>4652</v>
      </c>
      <c r="C318" t="s">
        <v>51</v>
      </c>
      <c r="D318" t="s">
        <v>53</v>
      </c>
      <c r="E318" t="str">
        <f>IF(OR(C318="Transaction",C318="Interests",C318="Misc",C318="Account Transfer"), IF(C318="Transaction", IF(B318&lt;0, "Du no", "Da thanh toan"), IF(C318="Interests", "Lai", IF(C318="Misc", "Phi", IF(C318="Account Transfer", IF(OR(ISNUMBER(SEARCH("Trich lai tra gop the TD", D318)), ISNUMBER(SEARCH("Chuyen lai tra gop con lai sang du no thong thuong khi BadDebt", D318))), IF(B318&lt;0, "Lai tra gop", ""), "" )))))) &amp; " " &amp; IF(C318="Interests", TEXT(EDATE(IF(DAY(A318)&gt;=24, A318, EDATE(A318,-1)), -1),"yyyy-mm"), TEXT(IF(DAY(A318)&gt;=24, A318, EDATE(A318,-1)),"yyyy-mm"))</f>
        <v>Da thanh toan 2022-06</v>
      </c>
      <c r="F318">
        <f>IF(ISNUMBER(B318), ROUND(SUMIFS($B$2:$B$10000, $E$2:$E$10000, E318, $B$2:$B$10000, IF(B318&lt;0, "&lt;0", "&gt;0")), 0), "")</f>
        <v>97655</v>
      </c>
      <c r="G318" t="str">
        <f>IF(F318&gt;0, IF(C318="Transaction", "Da thanh toan", "Duong"), IF(F318&lt;0, IF(C318="Transaction", "Du no", IF(C318="Interests", "Lai phat sinh", IF(C318="Misc", "Phi", IF(C318="Account Transfer", "Lai tra gop", "Am")))), "Bang 0"))</f>
        <v>Da thanh toan</v>
      </c>
    </row>
    <row r="319" spans="1:7" x14ac:dyDescent="0.3">
      <c r="A319" s="60">
        <v>44754</v>
      </c>
      <c r="B319" s="33">
        <v>-149000</v>
      </c>
      <c r="C319" t="s">
        <v>50</v>
      </c>
      <c r="E319" t="str">
        <f>IF(OR(C319="Transaction",C319="Interests",C319="Misc",C319="Account Transfer"), IF(C319="Transaction", IF(B319&lt;0, "Du no", "Da thanh toan"), IF(C319="Interests", "Lai", IF(C319="Misc", "Phi", IF(C319="Account Transfer", IF(OR(ISNUMBER(SEARCH("Trich lai tra gop the TD", D319)), ISNUMBER(SEARCH("Chuyen lai tra gop con lai sang du no thong thuong khi BadDebt", D319))), IF(B319&lt;0, "Lai tra gop", ""), "" )))))) &amp; " " &amp; IF(C319="Interests", TEXT(EDATE(IF(DAY(A319)&gt;=24, A319, EDATE(A319,-1)), -1),"yyyy-mm"), TEXT(IF(DAY(A319)&gt;=24, A319, EDATE(A319,-1)),"yyyy-mm"))</f>
        <v>Phi 2022-06</v>
      </c>
      <c r="F319">
        <f>IF(ISNUMBER(B319), ROUND(SUMIFS($B$2:$B$10000, $E$2:$E$10000, E319, $B$2:$B$10000, IF(B319&lt;0, "&lt;0", "&gt;0")), 0), "")</f>
        <v>-153950</v>
      </c>
      <c r="G319" t="str">
        <f>IF(F319&gt;0, IF(C319="Transaction", "Da thanh toan", "Duong"), IF(F319&lt;0, IF(C319="Transaction", "Du no", IF(C319="Interests", "Lai phat sinh", IF(C319="Misc", "Phi", IF(C319="Account Transfer", "Lai tra gop", "Am")))), "Bang 0"))</f>
        <v>Phi</v>
      </c>
    </row>
    <row r="320" spans="1:7" x14ac:dyDescent="0.3">
      <c r="A320" s="60">
        <v>44753</v>
      </c>
      <c r="B320" s="33">
        <v>93003</v>
      </c>
      <c r="C320" t="s">
        <v>51</v>
      </c>
      <c r="D320" t="s">
        <v>53</v>
      </c>
      <c r="E320" t="str">
        <f>IF(OR(C320="Transaction",C320="Interests",C320="Misc",C320="Account Transfer"), IF(C320="Transaction", IF(B320&lt;0, "Du no", "Da thanh toan"), IF(C320="Interests", "Lai", IF(C320="Misc", "Phi", IF(C320="Account Transfer", IF(OR(ISNUMBER(SEARCH("Trich lai tra gop the TD", D320)), ISNUMBER(SEARCH("Chuyen lai tra gop con lai sang du no thong thuong khi BadDebt", D320))), IF(B320&lt;0, "Lai tra gop", ""), "" )))))) &amp; " " &amp; IF(C320="Interests", TEXT(EDATE(IF(DAY(A320)&gt;=24, A320, EDATE(A320,-1)), -1),"yyyy-mm"), TEXT(IF(DAY(A320)&gt;=24, A320, EDATE(A320,-1)),"yyyy-mm"))</f>
        <v>Da thanh toan 2022-06</v>
      </c>
      <c r="F320">
        <f>IF(ISNUMBER(B320), ROUND(SUMIFS($B$2:$B$10000, $E$2:$E$10000, E320, $B$2:$B$10000, IF(B320&lt;0, "&lt;0", "&gt;0")), 0), "")</f>
        <v>97655</v>
      </c>
      <c r="G320" t="str">
        <f>IF(F320&gt;0, IF(C320="Transaction", "Da thanh toan", "Duong"), IF(F320&lt;0, IF(C320="Transaction", "Du no", IF(C320="Interests", "Lai phat sinh", IF(C320="Misc", "Phi", IF(C320="Account Transfer", "Lai tra gop", "Am")))), "Bang 0"))</f>
        <v>Da thanh toan</v>
      </c>
    </row>
    <row r="321" spans="1:7" x14ac:dyDescent="0.3">
      <c r="A321" s="60">
        <v>44744</v>
      </c>
      <c r="B321" s="33">
        <v>-7308</v>
      </c>
      <c r="C321" t="s">
        <v>51</v>
      </c>
      <c r="D321" t="s">
        <v>777</v>
      </c>
      <c r="E321" t="str">
        <f>IF(OR(C321="Transaction",C321="Interests",C321="Misc",C321="Account Transfer"), IF(C321="Transaction", IF(B321&lt;0, "Du no", "Da thanh toan"), IF(C321="Interests", "Lai", IF(C321="Misc", "Phi", IF(C321="Account Transfer", IF(OR(ISNUMBER(SEARCH("Trich lai tra gop the TD", D321)), ISNUMBER(SEARCH("Chuyen lai tra gop con lai sang du no thong thuong khi BadDebt", D321))), IF(B321&lt;0, "Lai tra gop", ""), "" )))))) &amp; " " &amp; IF(C321="Interests", TEXT(EDATE(IF(DAY(A321)&gt;=24, A321, EDATE(A321,-1)), -1),"yyyy-mm"), TEXT(IF(DAY(A321)&gt;=24, A321, EDATE(A321,-1)),"yyyy-mm"))</f>
        <v>Du no 2022-06</v>
      </c>
      <c r="F321">
        <f>IF(ISNUMBER(B321), ROUND(SUMIFS($B$2:$B$10000, $E$2:$E$10000, E321, $B$2:$B$10000, IF(B321&lt;0, "&lt;0", "&gt;0")), 0), "")</f>
        <v>-7308</v>
      </c>
      <c r="G321" t="str">
        <f>IF(F321&gt;0, IF(C321="Transaction", "Da thanh toan", "Duong"), IF(F321&lt;0, IF(C321="Transaction", "Du no", IF(C321="Interests", "Lai phat sinh", IF(C321="Misc", "Phi", IF(C321="Account Transfer", "Lai tra gop", "Am")))), "Bang 0"))</f>
        <v>Du no</v>
      </c>
    </row>
    <row r="322" spans="1:7" x14ac:dyDescent="0.3">
      <c r="A322" s="60">
        <v>44741</v>
      </c>
      <c r="B322" s="33">
        <v>-450</v>
      </c>
      <c r="C322" t="s">
        <v>50</v>
      </c>
      <c r="E322" t="str">
        <f>IF(OR(C322="Transaction",C322="Interests",C322="Misc",C322="Account Transfer"), IF(C322="Transaction", IF(B322&lt;0, "Du no", "Da thanh toan"), IF(C322="Interests", "Lai", IF(C322="Misc", "Phi", IF(C322="Account Transfer", IF(OR(ISNUMBER(SEARCH("Trich lai tra gop the TD", D322)), ISNUMBER(SEARCH("Chuyen lai tra gop con lai sang du no thong thuong khi BadDebt", D322))), IF(B322&lt;0, "Lai tra gop", ""), "" )))))) &amp; " " &amp; IF(C322="Interests", TEXT(EDATE(IF(DAY(A322)&gt;=24, A322, EDATE(A322,-1)), -1),"yyyy-mm"), TEXT(IF(DAY(A322)&gt;=24, A322, EDATE(A322,-1)),"yyyy-mm"))</f>
        <v>Phi 2022-06</v>
      </c>
      <c r="F322">
        <f>IF(ISNUMBER(B322), ROUND(SUMIFS($B$2:$B$10000, $E$2:$E$10000, E322, $B$2:$B$10000, IF(B322&lt;0, "&lt;0", "&gt;0")), 0), "")</f>
        <v>-153950</v>
      </c>
      <c r="G322" t="str">
        <f>IF(F322&gt;0, IF(C322="Transaction", "Da thanh toan", "Duong"), IF(F322&lt;0, IF(C322="Transaction", "Du no", IF(C322="Interests", "Lai phat sinh", IF(C322="Misc", "Phi", IF(C322="Account Transfer", "Lai tra gop", "Am")))), "Bang 0"))</f>
        <v>Phi</v>
      </c>
    </row>
    <row r="323" spans="1:7" x14ac:dyDescent="0.3">
      <c r="A323" s="60">
        <v>44741</v>
      </c>
      <c r="B323" s="33">
        <v>-4500</v>
      </c>
      <c r="C323" t="s">
        <v>50</v>
      </c>
      <c r="E323" t="str">
        <f>IF(OR(C323="Transaction",C323="Interests",C323="Misc",C323="Account Transfer"), IF(C323="Transaction", IF(B323&lt;0, "Du no", "Da thanh toan"), IF(C323="Interests", "Lai", IF(C323="Misc", "Phi", IF(C323="Account Transfer", IF(OR(ISNUMBER(SEARCH("Trich lai tra gop the TD", D323)), ISNUMBER(SEARCH("Chuyen lai tra gop con lai sang du no thong thuong khi BadDebt", D323))), IF(B323&lt;0, "Lai tra gop", ""), "" )))))) &amp; " " &amp; IF(C323="Interests", TEXT(EDATE(IF(DAY(A323)&gt;=24, A323, EDATE(A323,-1)), -1),"yyyy-mm"), TEXT(IF(DAY(A323)&gt;=24, A323, EDATE(A323,-1)),"yyyy-mm"))</f>
        <v>Phi 2022-06</v>
      </c>
      <c r="F323">
        <f>IF(ISNUMBER(B323), ROUND(SUMIFS($B$2:$B$10000, $E$2:$E$10000, E323, $B$2:$B$10000, IF(B323&lt;0, "&lt;0", "&gt;0")), 0), "")</f>
        <v>-153950</v>
      </c>
      <c r="G323" t="str">
        <f>IF(F323&gt;0, IF(C323="Transaction", "Da thanh toan", "Duong"), IF(F323&lt;0, IF(C323="Transaction", "Du no", IF(C323="Interests", "Lai phat sinh", IF(C323="Misc", "Phi", IF(C323="Account Transfer", "Lai tra gop", "Am")))), "Bang 0"))</f>
        <v>Phi</v>
      </c>
    </row>
    <row r="324" spans="1:7" x14ac:dyDescent="0.3">
      <c r="A324" s="60">
        <v>44736</v>
      </c>
      <c r="B324" s="33">
        <v>-1259.21</v>
      </c>
      <c r="C324" t="s">
        <v>49</v>
      </c>
      <c r="E324" t="str">
        <f>IF(OR(C324="Transaction",C324="Interests",C324="Misc",C324="Account Transfer"), IF(C324="Transaction", IF(B324&lt;0, "Du no", "Da thanh toan"), IF(C324="Interests", "Lai", IF(C324="Misc", "Phi", IF(C324="Account Transfer", IF(OR(ISNUMBER(SEARCH("Trich lai tra gop the TD", D324)), ISNUMBER(SEARCH("Chuyen lai tra gop con lai sang du no thong thuong khi BadDebt", D324))), IF(B324&lt;0, "Lai tra gop", ""), "" )))))) &amp; " " &amp; IF(C324="Interests", TEXT(EDATE(IF(DAY(A324)&gt;=24, A324, EDATE(A324,-1)), -1),"yyyy-mm"), TEXT(IF(DAY(A324)&gt;=24, A324, EDATE(A324,-1)),"yyyy-mm"))</f>
        <v>Lai 2022-05</v>
      </c>
      <c r="F324">
        <f>IF(ISNUMBER(B324), ROUND(SUMIFS($B$2:$B$10000, $E$2:$E$10000, E324, $B$2:$B$10000, IF(B324&lt;0, "&lt;0", "&gt;0")), 0), "")</f>
        <v>-54731</v>
      </c>
      <c r="G324" t="str">
        <f>IF(F324&gt;0, IF(C324="Transaction", "Da thanh toan", "Duong"), IF(F324&lt;0, IF(C324="Transaction", "Du no", IF(C324="Interests", "Lai phat sinh", IF(C324="Misc", "Phi", IF(C324="Account Transfer", "Lai tra gop", "Am")))), "Bang 0"))</f>
        <v>Lai phat sinh</v>
      </c>
    </row>
    <row r="325" spans="1:7" x14ac:dyDescent="0.3">
      <c r="A325" s="60">
        <v>44736</v>
      </c>
      <c r="B325" s="33">
        <v>-2535.46</v>
      </c>
      <c r="C325" t="s">
        <v>49</v>
      </c>
      <c r="E325" t="str">
        <f>IF(OR(C325="Transaction",C325="Interests",C325="Misc",C325="Account Transfer"), IF(C325="Transaction", IF(B325&lt;0, "Du no", "Da thanh toan"), IF(C325="Interests", "Lai", IF(C325="Misc", "Phi", IF(C325="Account Transfer", IF(OR(ISNUMBER(SEARCH("Trich lai tra gop the TD", D325)), ISNUMBER(SEARCH("Chuyen lai tra gop con lai sang du no thong thuong khi BadDebt", D325))), IF(B325&lt;0, "Lai tra gop", ""), "" )))))) &amp; " " &amp; IF(C325="Interests", TEXT(EDATE(IF(DAY(A325)&gt;=24, A325, EDATE(A325,-1)), -1),"yyyy-mm"), TEXT(IF(DAY(A325)&gt;=24, A325, EDATE(A325,-1)),"yyyy-mm"))</f>
        <v>Lai 2022-05</v>
      </c>
      <c r="F325">
        <f>IF(ISNUMBER(B325), ROUND(SUMIFS($B$2:$B$10000, $E$2:$E$10000, E325, $B$2:$B$10000, IF(B325&lt;0, "&lt;0", "&gt;0")), 0), "")</f>
        <v>-54731</v>
      </c>
      <c r="G325" t="str">
        <f>IF(F325&gt;0, IF(C325="Transaction", "Da thanh toan", "Duong"), IF(F325&lt;0, IF(C325="Transaction", "Du no", IF(C325="Interests", "Lai phat sinh", IF(C325="Misc", "Phi", IF(C325="Account Transfer", "Lai tra gop", "Am")))), "Bang 0"))</f>
        <v>Lai phat sinh</v>
      </c>
    </row>
    <row r="326" spans="1:7" x14ac:dyDescent="0.3">
      <c r="A326" s="60">
        <v>44736</v>
      </c>
      <c r="B326" s="33">
        <v>-22950.19</v>
      </c>
      <c r="C326" t="s">
        <v>49</v>
      </c>
      <c r="E326" t="str">
        <f>IF(OR(C326="Transaction",C326="Interests",C326="Misc",C326="Account Transfer"), IF(C326="Transaction", IF(B326&lt;0, "Du no", "Da thanh toan"), IF(C326="Interests", "Lai", IF(C326="Misc", "Phi", IF(C326="Account Transfer", IF(OR(ISNUMBER(SEARCH("Trich lai tra gop the TD", D326)), ISNUMBER(SEARCH("Chuyen lai tra gop con lai sang du no thong thuong khi BadDebt", D326))), IF(B326&lt;0, "Lai tra gop", ""), "" )))))) &amp; " " &amp; IF(C326="Interests", TEXT(EDATE(IF(DAY(A326)&gt;=24, A326, EDATE(A326,-1)), -1),"yyyy-mm"), TEXT(IF(DAY(A326)&gt;=24, A326, EDATE(A326,-1)),"yyyy-mm"))</f>
        <v>Lai 2022-05</v>
      </c>
      <c r="F326">
        <f>IF(ISNUMBER(B326), ROUND(SUMIFS($B$2:$B$10000, $E$2:$E$10000, E326, $B$2:$B$10000, IF(B326&lt;0, "&lt;0", "&gt;0")), 0), "")</f>
        <v>-54731</v>
      </c>
      <c r="G326" t="str">
        <f>IF(F326&gt;0, IF(C326="Transaction", "Da thanh toan", "Duong"), IF(F326&lt;0, IF(C326="Transaction", "Du no", IF(C326="Interests", "Lai phat sinh", IF(C326="Misc", "Phi", IF(C326="Account Transfer", "Lai tra gop", "Am")))), "Bang 0"))</f>
        <v>Lai phat sinh</v>
      </c>
    </row>
    <row r="327" spans="1:7" x14ac:dyDescent="0.3">
      <c r="A327" s="60">
        <v>44736</v>
      </c>
      <c r="B327" s="33">
        <v>-2649.63</v>
      </c>
      <c r="C327" t="s">
        <v>49</v>
      </c>
      <c r="E327" t="str">
        <f>IF(OR(C327="Transaction",C327="Interests",C327="Misc",C327="Account Transfer"), IF(C327="Transaction", IF(B327&lt;0, "Du no", "Da thanh toan"), IF(C327="Interests", "Lai", IF(C327="Misc", "Phi", IF(C327="Account Transfer", IF(OR(ISNUMBER(SEARCH("Trich lai tra gop the TD", D327)), ISNUMBER(SEARCH("Chuyen lai tra gop con lai sang du no thong thuong khi BadDebt", D327))), IF(B327&lt;0, "Lai tra gop", ""), "" )))))) &amp; " " &amp; IF(C327="Interests", TEXT(EDATE(IF(DAY(A327)&gt;=24, A327, EDATE(A327,-1)), -1),"yyyy-mm"), TEXT(IF(DAY(A327)&gt;=24, A327, EDATE(A327,-1)),"yyyy-mm"))</f>
        <v>Lai 2022-05</v>
      </c>
      <c r="F327">
        <f>IF(ISNUMBER(B327), ROUND(SUMIFS($B$2:$B$10000, $E$2:$E$10000, E327, $B$2:$B$10000, IF(B327&lt;0, "&lt;0", "&gt;0")), 0), "")</f>
        <v>-54731</v>
      </c>
      <c r="G327" t="str">
        <f>IF(F327&gt;0, IF(C327="Transaction", "Da thanh toan", "Duong"), IF(F327&lt;0, IF(C327="Transaction", "Du no", IF(C327="Interests", "Lai phat sinh", IF(C327="Misc", "Phi", IF(C327="Account Transfer", "Lai tra gop", "Am")))), "Bang 0"))</f>
        <v>Lai phat sinh</v>
      </c>
    </row>
    <row r="328" spans="1:7" x14ac:dyDescent="0.3">
      <c r="A328" s="60">
        <v>44736</v>
      </c>
      <c r="B328" s="33">
        <v>-22586.15</v>
      </c>
      <c r="C328" t="s">
        <v>49</v>
      </c>
      <c r="E328" t="str">
        <f>IF(OR(C328="Transaction",C328="Interests",C328="Misc",C328="Account Transfer"), IF(C328="Transaction", IF(B328&lt;0, "Du no", "Da thanh toan"), IF(C328="Interests", "Lai", IF(C328="Misc", "Phi", IF(C328="Account Transfer", IF(OR(ISNUMBER(SEARCH("Trich lai tra gop the TD", D328)), ISNUMBER(SEARCH("Chuyen lai tra gop con lai sang du no thong thuong khi BadDebt", D328))), IF(B328&lt;0, "Lai tra gop", ""), "" )))))) &amp; " " &amp; IF(C328="Interests", TEXT(EDATE(IF(DAY(A328)&gt;=24, A328, EDATE(A328,-1)), -1),"yyyy-mm"), TEXT(IF(DAY(A328)&gt;=24, A328, EDATE(A328,-1)),"yyyy-mm"))</f>
        <v>Lai 2022-05</v>
      </c>
      <c r="F328">
        <f>IF(ISNUMBER(B328), ROUND(SUMIFS($B$2:$B$10000, $E$2:$E$10000, E328, $B$2:$B$10000, IF(B328&lt;0, "&lt;0", "&gt;0")), 0), "")</f>
        <v>-54731</v>
      </c>
      <c r="G328" t="str">
        <f>IF(F328&gt;0, IF(C328="Transaction", "Da thanh toan", "Duong"), IF(F328&lt;0, IF(C328="Transaction", "Du no", IF(C328="Interests", "Lai phat sinh", IF(C328="Misc", "Phi", IF(C328="Account Transfer", "Lai tra gop", "Am")))), "Bang 0"))</f>
        <v>Lai phat sinh</v>
      </c>
    </row>
    <row r="329" spans="1:7" x14ac:dyDescent="0.3">
      <c r="A329" s="60">
        <v>44736</v>
      </c>
      <c r="B329" s="33">
        <v>-150.93</v>
      </c>
      <c r="C329" t="s">
        <v>49</v>
      </c>
      <c r="E329" t="str">
        <f>IF(OR(C329="Transaction",C329="Interests",C329="Misc",C329="Account Transfer"), IF(C329="Transaction", IF(B329&lt;0, "Du no", "Da thanh toan"), IF(C329="Interests", "Lai", IF(C329="Misc", "Phi", IF(C329="Account Transfer", IF(OR(ISNUMBER(SEARCH("Trich lai tra gop the TD", D329)), ISNUMBER(SEARCH("Chuyen lai tra gop con lai sang du no thong thuong khi BadDebt", D329))), IF(B329&lt;0, "Lai tra gop", ""), "" )))))) &amp; " " &amp; IF(C329="Interests", TEXT(EDATE(IF(DAY(A329)&gt;=24, A329, EDATE(A329,-1)), -1),"yyyy-mm"), TEXT(IF(DAY(A329)&gt;=24, A329, EDATE(A329,-1)),"yyyy-mm"))</f>
        <v>Lai 2022-05</v>
      </c>
      <c r="F329">
        <f>IF(ISNUMBER(B329), ROUND(SUMIFS($B$2:$B$10000, $E$2:$E$10000, E329, $B$2:$B$10000, IF(B329&lt;0, "&lt;0", "&gt;0")), 0), "")</f>
        <v>-54731</v>
      </c>
      <c r="G329" t="str">
        <f>IF(F329&gt;0, IF(C329="Transaction", "Da thanh toan", "Duong"), IF(F329&lt;0, IF(C329="Transaction", "Du no", IF(C329="Interests", "Lai phat sinh", IF(C329="Misc", "Phi", IF(C329="Account Transfer", "Lai tra gop", "Am")))), "Bang 0"))</f>
        <v>Lai phat sinh</v>
      </c>
    </row>
    <row r="330" spans="1:7" x14ac:dyDescent="0.3">
      <c r="A330" s="60">
        <v>44736</v>
      </c>
      <c r="B330" s="33">
        <v>-2473.63</v>
      </c>
      <c r="C330" t="s">
        <v>49</v>
      </c>
      <c r="E330" t="str">
        <f>IF(OR(C330="Transaction",C330="Interests",C330="Misc",C330="Account Transfer"), IF(C330="Transaction", IF(B330&lt;0, "Du no", "Da thanh toan"), IF(C330="Interests", "Lai", IF(C330="Misc", "Phi", IF(C330="Account Transfer", IF(OR(ISNUMBER(SEARCH("Trich lai tra gop the TD", D330)), ISNUMBER(SEARCH("Chuyen lai tra gop con lai sang du no thong thuong khi BadDebt", D330))), IF(B330&lt;0, "Lai tra gop", ""), "" )))))) &amp; " " &amp; IF(C330="Interests", TEXT(EDATE(IF(DAY(A330)&gt;=24, A330, EDATE(A330,-1)), -1),"yyyy-mm"), TEXT(IF(DAY(A330)&gt;=24, A330, EDATE(A330,-1)),"yyyy-mm"))</f>
        <v>Lai 2022-05</v>
      </c>
      <c r="F330">
        <f>IF(ISNUMBER(B330), ROUND(SUMIFS($B$2:$B$10000, $E$2:$E$10000, E330, $B$2:$B$10000, IF(B330&lt;0, "&lt;0", "&gt;0")), 0), "")</f>
        <v>-54731</v>
      </c>
      <c r="G330" t="str">
        <f>IF(F330&gt;0, IF(C330="Transaction", "Da thanh toan", "Duong"), IF(F330&lt;0, IF(C330="Transaction", "Du no", IF(C330="Interests", "Lai phat sinh", IF(C330="Misc", "Phi", IF(C330="Account Transfer", "Lai tra gop", "Am")))), "Bang 0"))</f>
        <v>Lai phat sinh</v>
      </c>
    </row>
    <row r="331" spans="1:7" x14ac:dyDescent="0.3">
      <c r="A331" s="60">
        <v>44736</v>
      </c>
      <c r="B331" s="33">
        <v>-125.78</v>
      </c>
      <c r="C331" t="s">
        <v>49</v>
      </c>
      <c r="E331" t="str">
        <f>IF(OR(C331="Transaction",C331="Interests",C331="Misc",C331="Account Transfer"), IF(C331="Transaction", IF(B331&lt;0, "Du no", "Da thanh toan"), IF(C331="Interests", "Lai", IF(C331="Misc", "Phi", IF(C331="Account Transfer", IF(OR(ISNUMBER(SEARCH("Trich lai tra gop the TD", D331)), ISNUMBER(SEARCH("Chuyen lai tra gop con lai sang du no thong thuong khi BadDebt", D331))), IF(B331&lt;0, "Lai tra gop", ""), "" )))))) &amp; " " &amp; IF(C331="Interests", TEXT(EDATE(IF(DAY(A331)&gt;=24, A331, EDATE(A331,-1)), -1),"yyyy-mm"), TEXT(IF(DAY(A331)&gt;=24, A331, EDATE(A331,-1)),"yyyy-mm"))</f>
        <v>Lai 2022-05</v>
      </c>
      <c r="F331">
        <f>IF(ISNUMBER(B331), ROUND(SUMIFS($B$2:$B$10000, $E$2:$E$10000, E331, $B$2:$B$10000, IF(B331&lt;0, "&lt;0", "&gt;0")), 0), "")</f>
        <v>-54731</v>
      </c>
      <c r="G331" t="str">
        <f>IF(F331&gt;0, IF(C331="Transaction", "Da thanh toan", "Duong"), IF(F331&lt;0, IF(C331="Transaction", "Du no", IF(C331="Interests", "Lai phat sinh", IF(C331="Misc", "Phi", IF(C331="Account Transfer", "Lai tra gop", "Am")))), "Bang 0"))</f>
        <v>Lai phat sinh</v>
      </c>
    </row>
    <row r="332" spans="1:7" x14ac:dyDescent="0.3">
      <c r="A332" s="60">
        <v>44728</v>
      </c>
      <c r="B332" s="33">
        <v>74116</v>
      </c>
      <c r="C332" t="s">
        <v>51</v>
      </c>
      <c r="D332" t="s">
        <v>53</v>
      </c>
      <c r="E332" t="str">
        <f>IF(OR(C332="Transaction",C332="Interests",C332="Misc",C332="Account Transfer"), IF(C332="Transaction", IF(B332&lt;0, "Du no", "Da thanh toan"), IF(C332="Interests", "Lai", IF(C332="Misc", "Phi", IF(C332="Account Transfer", IF(OR(ISNUMBER(SEARCH("Trich lai tra gop the TD", D332)), ISNUMBER(SEARCH("Chuyen lai tra gop con lai sang du no thong thuong khi BadDebt", D332))), IF(B332&lt;0, "Lai tra gop", ""), "" )))))) &amp; " " &amp; IF(C332="Interests", TEXT(EDATE(IF(DAY(A332)&gt;=24, A332, EDATE(A332,-1)), -1),"yyyy-mm"), TEXT(IF(DAY(A332)&gt;=24, A332, EDATE(A332,-1)),"yyyy-mm"))</f>
        <v>Da thanh toan 2022-05</v>
      </c>
      <c r="F332">
        <f>IF(ISNUMBER(B332), ROUND(SUMIFS($B$2:$B$10000, $E$2:$E$10000, E332, $B$2:$B$10000, IF(B332&lt;0, "&lt;0", "&gt;0")), 0), "")</f>
        <v>74116</v>
      </c>
      <c r="G332" t="str">
        <f>IF(F332&gt;0, IF(C332="Transaction", "Da thanh toan", "Duong"), IF(F332&lt;0, IF(C332="Transaction", "Du no", IF(C332="Interests", "Lai phat sinh", IF(C332="Misc", "Phi", IF(C332="Account Transfer", "Lai tra gop", "Am")))), "Bang 0"))</f>
        <v>Da thanh toan</v>
      </c>
    </row>
    <row r="333" spans="1:7" x14ac:dyDescent="0.3">
      <c r="A333" s="60">
        <v>44721</v>
      </c>
      <c r="B333" s="33">
        <v>-149000</v>
      </c>
      <c r="C333" t="s">
        <v>50</v>
      </c>
      <c r="E333" t="str">
        <f>IF(OR(C333="Transaction",C333="Interests",C333="Misc",C333="Account Transfer"), IF(C333="Transaction", IF(B333&lt;0, "Du no", "Da thanh toan"), IF(C333="Interests", "Lai", IF(C333="Misc", "Phi", IF(C333="Account Transfer", IF(OR(ISNUMBER(SEARCH("Trich lai tra gop the TD", D333)), ISNUMBER(SEARCH("Chuyen lai tra gop con lai sang du no thong thuong khi BadDebt", D333))), IF(B333&lt;0, "Lai tra gop", ""), "" )))))) &amp; " " &amp; IF(C333="Interests", TEXT(EDATE(IF(DAY(A333)&gt;=24, A333, EDATE(A333,-1)), -1),"yyyy-mm"), TEXT(IF(DAY(A333)&gt;=24, A333, EDATE(A333,-1)),"yyyy-mm"))</f>
        <v>Phi 2022-05</v>
      </c>
      <c r="F333">
        <f>IF(ISNUMBER(B333), ROUND(SUMIFS($B$2:$B$10000, $E$2:$E$10000, E333, $B$2:$B$10000, IF(B333&lt;0, "&lt;0", "&gt;0")), 0), "")</f>
        <v>-482850</v>
      </c>
      <c r="G333" t="str">
        <f>IF(F333&gt;0, IF(C333="Transaction", "Da thanh toan", "Duong"), IF(F333&lt;0, IF(C333="Transaction", "Du no", IF(C333="Interests", "Lai phat sinh", IF(C333="Misc", "Phi", IF(C333="Account Transfer", "Lai tra gop", "Am")))), "Bang 0"))</f>
        <v>Phi</v>
      </c>
    </row>
    <row r="334" spans="1:7" x14ac:dyDescent="0.3">
      <c r="A334" s="60">
        <v>44715</v>
      </c>
      <c r="B334" s="33">
        <v>-299000</v>
      </c>
      <c r="C334" t="s">
        <v>50</v>
      </c>
      <c r="E334" t="str">
        <f>IF(OR(C334="Transaction",C334="Interests",C334="Misc",C334="Account Transfer"), IF(C334="Transaction", IF(B334&lt;0, "Du no", "Da thanh toan"), IF(C334="Interests", "Lai", IF(C334="Misc", "Phi", IF(C334="Account Transfer", IF(OR(ISNUMBER(SEARCH("Trich lai tra gop the TD", D334)), ISNUMBER(SEARCH("Chuyen lai tra gop con lai sang du no thong thuong khi BadDebt", D334))), IF(B334&lt;0, "Lai tra gop", ""), "" )))))) &amp; " " &amp; IF(C334="Interests", TEXT(EDATE(IF(DAY(A334)&gt;=24, A334, EDATE(A334,-1)), -1),"yyyy-mm"), TEXT(IF(DAY(A334)&gt;=24, A334, EDATE(A334,-1)),"yyyy-mm"))</f>
        <v>Phi 2022-05</v>
      </c>
      <c r="F334">
        <f>IF(ISNUMBER(B334), ROUND(SUMIFS($B$2:$B$10000, $E$2:$E$10000, E334, $B$2:$B$10000, IF(B334&lt;0, "&lt;0", "&gt;0")), 0), "")</f>
        <v>-482850</v>
      </c>
      <c r="G334" t="str">
        <f>IF(F334&gt;0, IF(C334="Transaction", "Da thanh toan", "Duong"), IF(F334&lt;0, IF(C334="Transaction", "Du no", IF(C334="Interests", "Lai phat sinh", IF(C334="Misc", "Phi", IF(C334="Account Transfer", "Lai tra gop", "Am")))), "Bang 0"))</f>
        <v>Phi</v>
      </c>
    </row>
    <row r="335" spans="1:7" x14ac:dyDescent="0.3">
      <c r="A335" s="60">
        <v>44715</v>
      </c>
      <c r="B335" s="33">
        <v>-29900</v>
      </c>
      <c r="C335" t="s">
        <v>50</v>
      </c>
      <c r="E335" t="str">
        <f>IF(OR(C335="Transaction",C335="Interests",C335="Misc",C335="Account Transfer"), IF(C335="Transaction", IF(B335&lt;0, "Du no", "Da thanh toan"), IF(C335="Interests", "Lai", IF(C335="Misc", "Phi", IF(C335="Account Transfer", IF(OR(ISNUMBER(SEARCH("Trich lai tra gop the TD", D335)), ISNUMBER(SEARCH("Chuyen lai tra gop con lai sang du no thong thuong khi BadDebt", D335))), IF(B335&lt;0, "Lai tra gop", ""), "" )))))) &amp; " " &amp; IF(C335="Interests", TEXT(EDATE(IF(DAY(A335)&gt;=24, A335, EDATE(A335,-1)), -1),"yyyy-mm"), TEXT(IF(DAY(A335)&gt;=24, A335, EDATE(A335,-1)),"yyyy-mm"))</f>
        <v>Phi 2022-05</v>
      </c>
      <c r="F335">
        <f>IF(ISNUMBER(B335), ROUND(SUMIFS($B$2:$B$10000, $E$2:$E$10000, E335, $B$2:$B$10000, IF(B335&lt;0, "&lt;0", "&gt;0")), 0), "")</f>
        <v>-482850</v>
      </c>
      <c r="G335" t="str">
        <f>IF(F335&gt;0, IF(C335="Transaction", "Da thanh toan", "Duong"), IF(F335&lt;0, IF(C335="Transaction", "Du no", IF(C335="Interests", "Lai phat sinh", IF(C335="Misc", "Phi", IF(C335="Account Transfer", "Lai tra gop", "Am")))), "Bang 0"))</f>
        <v>Phi</v>
      </c>
    </row>
    <row r="336" spans="1:7" x14ac:dyDescent="0.3">
      <c r="A336" s="60">
        <v>44714</v>
      </c>
      <c r="B336" s="33">
        <v>-7308</v>
      </c>
      <c r="C336" t="s">
        <v>51</v>
      </c>
      <c r="D336" t="s">
        <v>778</v>
      </c>
      <c r="E336" t="str">
        <f>IF(OR(C336="Transaction",C336="Interests",C336="Misc",C336="Account Transfer"), IF(C336="Transaction", IF(B336&lt;0, "Du no", "Da thanh toan"), IF(C336="Interests", "Lai", IF(C336="Misc", "Phi", IF(C336="Account Transfer", IF(OR(ISNUMBER(SEARCH("Trich lai tra gop the TD", D336)), ISNUMBER(SEARCH("Chuyen lai tra gop con lai sang du no thong thuong khi BadDebt", D336))), IF(B336&lt;0, "Lai tra gop", ""), "" )))))) &amp; " " &amp; IF(C336="Interests", TEXT(EDATE(IF(DAY(A336)&gt;=24, A336, EDATE(A336,-1)), -1),"yyyy-mm"), TEXT(IF(DAY(A336)&gt;=24, A336, EDATE(A336,-1)),"yyyy-mm"))</f>
        <v>Du no 2022-05</v>
      </c>
      <c r="F336">
        <f>IF(ISNUMBER(B336), ROUND(SUMIFS($B$2:$B$10000, $E$2:$E$10000, E336, $B$2:$B$10000, IF(B336&lt;0, "&lt;0", "&gt;0")), 0), "")</f>
        <v>-7308</v>
      </c>
      <c r="G336" t="str">
        <f>IF(F336&gt;0, IF(C336="Transaction", "Da thanh toan", "Duong"), IF(F336&lt;0, IF(C336="Transaction", "Du no", IF(C336="Interests", "Lai phat sinh", IF(C336="Misc", "Phi", IF(C336="Account Transfer", "Lai tra gop", "Am")))), "Bang 0"))</f>
        <v>Du no</v>
      </c>
    </row>
    <row r="337" spans="1:7" x14ac:dyDescent="0.3">
      <c r="A337" s="60">
        <v>44708</v>
      </c>
      <c r="B337" s="33">
        <v>-450</v>
      </c>
      <c r="C337" t="s">
        <v>50</v>
      </c>
      <c r="E337" t="str">
        <f>IF(OR(C337="Transaction",C337="Interests",C337="Misc",C337="Account Transfer"), IF(C337="Transaction", IF(B337&lt;0, "Du no", "Da thanh toan"), IF(C337="Interests", "Lai", IF(C337="Misc", "Phi", IF(C337="Account Transfer", IF(OR(ISNUMBER(SEARCH("Trich lai tra gop the TD", D337)), ISNUMBER(SEARCH("Chuyen lai tra gop con lai sang du no thong thuong khi BadDebt", D337))), IF(B337&lt;0, "Lai tra gop", ""), "" )))))) &amp; " " &amp; IF(C337="Interests", TEXT(EDATE(IF(DAY(A337)&gt;=24, A337, EDATE(A337,-1)), -1),"yyyy-mm"), TEXT(IF(DAY(A337)&gt;=24, A337, EDATE(A337,-1)),"yyyy-mm"))</f>
        <v>Phi 2022-05</v>
      </c>
      <c r="F337">
        <f>IF(ISNUMBER(B337), ROUND(SUMIFS($B$2:$B$10000, $E$2:$E$10000, E337, $B$2:$B$10000, IF(B337&lt;0, "&lt;0", "&gt;0")), 0), "")</f>
        <v>-482850</v>
      </c>
      <c r="G337" t="str">
        <f>IF(F337&gt;0, IF(C337="Transaction", "Da thanh toan", "Duong"), IF(F337&lt;0, IF(C337="Transaction", "Du no", IF(C337="Interests", "Lai phat sinh", IF(C337="Misc", "Phi", IF(C337="Account Transfer", "Lai tra gop", "Am")))), "Bang 0"))</f>
        <v>Phi</v>
      </c>
    </row>
    <row r="338" spans="1:7" x14ac:dyDescent="0.3">
      <c r="A338" s="60">
        <v>44708</v>
      </c>
      <c r="B338" s="33">
        <v>-4500</v>
      </c>
      <c r="C338" t="s">
        <v>50</v>
      </c>
      <c r="E338" t="str">
        <f>IF(OR(C338="Transaction",C338="Interests",C338="Misc",C338="Account Transfer"), IF(C338="Transaction", IF(B338&lt;0, "Du no", "Da thanh toan"), IF(C338="Interests", "Lai", IF(C338="Misc", "Phi", IF(C338="Account Transfer", IF(OR(ISNUMBER(SEARCH("Trich lai tra gop the TD", D338)), ISNUMBER(SEARCH("Chuyen lai tra gop con lai sang du no thong thuong khi BadDebt", D338))), IF(B338&lt;0, "Lai tra gop", ""), "" )))))) &amp; " " &amp; IF(C338="Interests", TEXT(EDATE(IF(DAY(A338)&gt;=24, A338, EDATE(A338,-1)), -1),"yyyy-mm"), TEXT(IF(DAY(A338)&gt;=24, A338, EDATE(A338,-1)),"yyyy-mm"))</f>
        <v>Phi 2022-05</v>
      </c>
      <c r="F338">
        <f>IF(ISNUMBER(B338), ROUND(SUMIFS($B$2:$B$10000, $E$2:$E$10000, E338, $B$2:$B$10000, IF(B338&lt;0, "&lt;0", "&gt;0")), 0), "")</f>
        <v>-482850</v>
      </c>
      <c r="G338" t="str">
        <f>IF(F338&gt;0, IF(C338="Transaction", "Da thanh toan", "Duong"), IF(F338&lt;0, IF(C338="Transaction", "Du no", IF(C338="Interests", "Lai phat sinh", IF(C338="Misc", "Phi", IF(C338="Account Transfer", "Lai tra gop", "Am")))), "Bang 0"))</f>
        <v>Phi</v>
      </c>
    </row>
    <row r="339" spans="1:7" x14ac:dyDescent="0.3">
      <c r="A339" s="60">
        <v>44705</v>
      </c>
      <c r="B339" s="33">
        <v>-1100.23</v>
      </c>
      <c r="C339" t="s">
        <v>49</v>
      </c>
      <c r="E339" t="str">
        <f>IF(OR(C339="Transaction",C339="Interests",C339="Misc",C339="Account Transfer"), IF(C339="Transaction", IF(B339&lt;0, "Du no", "Da thanh toan"), IF(C339="Interests", "Lai", IF(C339="Misc", "Phi", IF(C339="Account Transfer", IF(OR(ISNUMBER(SEARCH("Trich lai tra gop the TD", D339)), ISNUMBER(SEARCH("Chuyen lai tra gop con lai sang du no thong thuong khi BadDebt", D339))), IF(B339&lt;0, "Lai tra gop", ""), "" )))))) &amp; " " &amp; IF(C339="Interests", TEXT(EDATE(IF(DAY(A339)&gt;=24, A339, EDATE(A339,-1)), -1),"yyyy-mm"), TEXT(IF(DAY(A339)&gt;=24, A339, EDATE(A339,-1)),"yyyy-mm"))</f>
        <v>Lai 2022-04</v>
      </c>
      <c r="F339">
        <f>IF(ISNUMBER(B339), ROUND(SUMIFS($B$2:$B$10000, $E$2:$E$10000, E339, $B$2:$B$10000, IF(B339&lt;0, "&lt;0", "&gt;0")), 0), "")</f>
        <v>-47715</v>
      </c>
      <c r="G339" t="str">
        <f>IF(F339&gt;0, IF(C339="Transaction", "Da thanh toan", "Duong"), IF(F339&lt;0, IF(C339="Transaction", "Du no", IF(C339="Interests", "Lai phat sinh", IF(C339="Misc", "Phi", IF(C339="Account Transfer", "Lai tra gop", "Am")))), "Bang 0"))</f>
        <v>Lai phat sinh</v>
      </c>
    </row>
    <row r="340" spans="1:7" x14ac:dyDescent="0.3">
      <c r="A340" s="60">
        <v>44705</v>
      </c>
      <c r="B340" s="33">
        <v>-2045.29</v>
      </c>
      <c r="C340" t="s">
        <v>49</v>
      </c>
      <c r="E340" t="str">
        <f>IF(OR(C340="Transaction",C340="Interests",C340="Misc",C340="Account Transfer"), IF(C340="Transaction", IF(B340&lt;0, "Du no", "Da thanh toan"), IF(C340="Interests", "Lai", IF(C340="Misc", "Phi", IF(C340="Account Transfer", IF(OR(ISNUMBER(SEARCH("Trich lai tra gop the TD", D340)), ISNUMBER(SEARCH("Chuyen lai tra gop con lai sang du no thong thuong khi BadDebt", D340))), IF(B340&lt;0, "Lai tra gop", ""), "" )))))) &amp; " " &amp; IF(C340="Interests", TEXT(EDATE(IF(DAY(A340)&gt;=24, A340, EDATE(A340,-1)), -1),"yyyy-mm"), TEXT(IF(DAY(A340)&gt;=24, A340, EDATE(A340,-1)),"yyyy-mm"))</f>
        <v>Lai 2022-04</v>
      </c>
      <c r="F340">
        <f>IF(ISNUMBER(B340), ROUND(SUMIFS($B$2:$B$10000, $E$2:$E$10000, E340, $B$2:$B$10000, IF(B340&lt;0, "&lt;0", "&gt;0")), 0), "")</f>
        <v>-47715</v>
      </c>
      <c r="G340" t="str">
        <f>IF(F340&gt;0, IF(C340="Transaction", "Da thanh toan", "Duong"), IF(F340&lt;0, IF(C340="Transaction", "Du no", IF(C340="Interests", "Lai phat sinh", IF(C340="Misc", "Phi", IF(C340="Account Transfer", "Lai tra gop", "Am")))), "Bang 0"))</f>
        <v>Lai phat sinh</v>
      </c>
    </row>
    <row r="341" spans="1:7" x14ac:dyDescent="0.3">
      <c r="A341" s="60">
        <v>44705</v>
      </c>
      <c r="B341" s="33">
        <v>-17462.32</v>
      </c>
      <c r="C341" t="s">
        <v>49</v>
      </c>
      <c r="E341" t="str">
        <f>IF(OR(C341="Transaction",C341="Interests",C341="Misc",C341="Account Transfer"), IF(C341="Transaction", IF(B341&lt;0, "Du no", "Da thanh toan"), IF(C341="Interests", "Lai", IF(C341="Misc", "Phi", IF(C341="Account Transfer", IF(OR(ISNUMBER(SEARCH("Trich lai tra gop the TD", D341)), ISNUMBER(SEARCH("Chuyen lai tra gop con lai sang du no thong thuong khi BadDebt", D341))), IF(B341&lt;0, "Lai tra gop", ""), "" )))))) &amp; " " &amp; IF(C341="Interests", TEXT(EDATE(IF(DAY(A341)&gt;=24, A341, EDATE(A341,-1)), -1),"yyyy-mm"), TEXT(IF(DAY(A341)&gt;=24, A341, EDATE(A341,-1)),"yyyy-mm"))</f>
        <v>Lai 2022-04</v>
      </c>
      <c r="F341">
        <f>IF(ISNUMBER(B341), ROUND(SUMIFS($B$2:$B$10000, $E$2:$E$10000, E341, $B$2:$B$10000, IF(B341&lt;0, "&lt;0", "&gt;0")), 0), "")</f>
        <v>-47715</v>
      </c>
      <c r="G341" t="str">
        <f>IF(F341&gt;0, IF(C341="Transaction", "Da thanh toan", "Duong"), IF(F341&lt;0, IF(C341="Transaction", "Du no", IF(C341="Interests", "Lai phat sinh", IF(C341="Misc", "Phi", IF(C341="Account Transfer", "Lai tra gop", "Am")))), "Bang 0"))</f>
        <v>Lai phat sinh</v>
      </c>
    </row>
    <row r="342" spans="1:7" x14ac:dyDescent="0.3">
      <c r="A342" s="60">
        <v>44705</v>
      </c>
      <c r="B342" s="33">
        <v>-2826.27</v>
      </c>
      <c r="C342" t="s">
        <v>49</v>
      </c>
      <c r="E342" t="str">
        <f>IF(OR(C342="Transaction",C342="Interests",C342="Misc",C342="Account Transfer"), IF(C342="Transaction", IF(B342&lt;0, "Du no", "Da thanh toan"), IF(C342="Interests", "Lai", IF(C342="Misc", "Phi", IF(C342="Account Transfer", IF(OR(ISNUMBER(SEARCH("Trich lai tra gop the TD", D342)), ISNUMBER(SEARCH("Chuyen lai tra gop con lai sang du no thong thuong khi BadDebt", D342))), IF(B342&lt;0, "Lai tra gop", ""), "" )))))) &amp; " " &amp; IF(C342="Interests", TEXT(EDATE(IF(DAY(A342)&gt;=24, A342, EDATE(A342,-1)), -1),"yyyy-mm"), TEXT(IF(DAY(A342)&gt;=24, A342, EDATE(A342,-1)),"yyyy-mm"))</f>
        <v>Lai 2022-04</v>
      </c>
      <c r="F342">
        <f>IF(ISNUMBER(B342), ROUND(SUMIFS($B$2:$B$10000, $E$2:$E$10000, E342, $B$2:$B$10000, IF(B342&lt;0, "&lt;0", "&gt;0")), 0), "")</f>
        <v>-47715</v>
      </c>
      <c r="G342" t="str">
        <f>IF(F342&gt;0, IF(C342="Transaction", "Da thanh toan", "Duong"), IF(F342&lt;0, IF(C342="Transaction", "Du no", IF(C342="Interests", "Lai phat sinh", IF(C342="Misc", "Phi", IF(C342="Account Transfer", "Lai tra gop", "Am")))), "Bang 0"))</f>
        <v>Lai phat sinh</v>
      </c>
    </row>
    <row r="343" spans="1:7" x14ac:dyDescent="0.3">
      <c r="A343" s="60">
        <v>44705</v>
      </c>
      <c r="B343" s="33">
        <v>-21857.57</v>
      </c>
      <c r="C343" t="s">
        <v>49</v>
      </c>
      <c r="E343" t="str">
        <f>IF(OR(C343="Transaction",C343="Interests",C343="Misc",C343="Account Transfer"), IF(C343="Transaction", IF(B343&lt;0, "Du no", "Da thanh toan"), IF(C343="Interests", "Lai", IF(C343="Misc", "Phi", IF(C343="Account Transfer", IF(OR(ISNUMBER(SEARCH("Trich lai tra gop the TD", D343)), ISNUMBER(SEARCH("Chuyen lai tra gop con lai sang du no thong thuong khi BadDebt", D343))), IF(B343&lt;0, "Lai tra gop", ""), "" )))))) &amp; " " &amp; IF(C343="Interests", TEXT(EDATE(IF(DAY(A343)&gt;=24, A343, EDATE(A343,-1)), -1),"yyyy-mm"), TEXT(IF(DAY(A343)&gt;=24, A343, EDATE(A343,-1)),"yyyy-mm"))</f>
        <v>Lai 2022-04</v>
      </c>
      <c r="F343">
        <f>IF(ISNUMBER(B343), ROUND(SUMIFS($B$2:$B$10000, $E$2:$E$10000, E343, $B$2:$B$10000, IF(B343&lt;0, "&lt;0", "&gt;0")), 0), "")</f>
        <v>-47715</v>
      </c>
      <c r="G343" t="str">
        <f>IF(F343&gt;0, IF(C343="Transaction", "Da thanh toan", "Duong"), IF(F343&lt;0, IF(C343="Transaction", "Du no", IF(C343="Interests", "Lai phat sinh", IF(C343="Misc", "Phi", IF(C343="Account Transfer", "Lai tra gop", "Am")))), "Bang 0"))</f>
        <v>Lai phat sinh</v>
      </c>
    </row>
    <row r="344" spans="1:7" x14ac:dyDescent="0.3">
      <c r="A344" s="60">
        <v>44705</v>
      </c>
      <c r="B344" s="33">
        <v>-159.32</v>
      </c>
      <c r="C344" t="s">
        <v>49</v>
      </c>
      <c r="E344" t="str">
        <f>IF(OR(C344="Transaction",C344="Interests",C344="Misc",C344="Account Transfer"), IF(C344="Transaction", IF(B344&lt;0, "Du no", "Da thanh toan"), IF(C344="Interests", "Lai", IF(C344="Misc", "Phi", IF(C344="Account Transfer", IF(OR(ISNUMBER(SEARCH("Trich lai tra gop the TD", D344)), ISNUMBER(SEARCH("Chuyen lai tra gop con lai sang du no thong thuong khi BadDebt", D344))), IF(B344&lt;0, "Lai tra gop", ""), "" )))))) &amp; " " &amp; IF(C344="Interests", TEXT(EDATE(IF(DAY(A344)&gt;=24, A344, EDATE(A344,-1)), -1),"yyyy-mm"), TEXT(IF(DAY(A344)&gt;=24, A344, EDATE(A344,-1)),"yyyy-mm"))</f>
        <v>Lai 2022-04</v>
      </c>
      <c r="F344">
        <f>IF(ISNUMBER(B344), ROUND(SUMIFS($B$2:$B$10000, $E$2:$E$10000, E344, $B$2:$B$10000, IF(B344&lt;0, "&lt;0", "&gt;0")), 0), "")</f>
        <v>-47715</v>
      </c>
      <c r="G344" t="str">
        <f>IF(F344&gt;0, IF(C344="Transaction", "Da thanh toan", "Duong"), IF(F344&lt;0, IF(C344="Transaction", "Du no", IF(C344="Interests", "Lai phat sinh", IF(C344="Misc", "Phi", IF(C344="Account Transfer", "Lai tra gop", "Am")))), "Bang 0"))</f>
        <v>Lai phat sinh</v>
      </c>
    </row>
    <row r="345" spans="1:7" x14ac:dyDescent="0.3">
      <c r="A345" s="60">
        <v>44705</v>
      </c>
      <c r="B345" s="33">
        <v>-2129.84</v>
      </c>
      <c r="C345" t="s">
        <v>49</v>
      </c>
      <c r="E345" t="str">
        <f>IF(OR(C345="Transaction",C345="Interests",C345="Misc",C345="Account Transfer"), IF(C345="Transaction", IF(B345&lt;0, "Du no", "Da thanh toan"), IF(C345="Interests", "Lai", IF(C345="Misc", "Phi", IF(C345="Account Transfer", IF(OR(ISNUMBER(SEARCH("Trich lai tra gop the TD", D345)), ISNUMBER(SEARCH("Chuyen lai tra gop con lai sang du no thong thuong khi BadDebt", D345))), IF(B345&lt;0, "Lai tra gop", ""), "" )))))) &amp; " " &amp; IF(C345="Interests", TEXT(EDATE(IF(DAY(A345)&gt;=24, A345, EDATE(A345,-1)), -1),"yyyy-mm"), TEXT(IF(DAY(A345)&gt;=24, A345, EDATE(A345,-1)),"yyyy-mm"))</f>
        <v>Lai 2022-04</v>
      </c>
      <c r="F345">
        <f>IF(ISNUMBER(B345), ROUND(SUMIFS($B$2:$B$10000, $E$2:$E$10000, E345, $B$2:$B$10000, IF(B345&lt;0, "&lt;0", "&gt;0")), 0), "")</f>
        <v>-47715</v>
      </c>
      <c r="G345" t="str">
        <f>IF(F345&gt;0, IF(C345="Transaction", "Da thanh toan", "Duong"), IF(F345&lt;0, IF(C345="Transaction", "Du no", IF(C345="Interests", "Lai phat sinh", IF(C345="Misc", "Phi", IF(C345="Account Transfer", "Lai tra gop", "Am")))), "Bang 0"))</f>
        <v>Lai phat sinh</v>
      </c>
    </row>
    <row r="346" spans="1:7" x14ac:dyDescent="0.3">
      <c r="A346" s="60">
        <v>44705</v>
      </c>
      <c r="B346" s="33">
        <v>-134.16</v>
      </c>
      <c r="C346" t="s">
        <v>49</v>
      </c>
      <c r="E346" t="str">
        <f>IF(OR(C346="Transaction",C346="Interests",C346="Misc",C346="Account Transfer"), IF(C346="Transaction", IF(B346&lt;0, "Du no", "Da thanh toan"), IF(C346="Interests", "Lai", IF(C346="Misc", "Phi", IF(C346="Account Transfer", IF(OR(ISNUMBER(SEARCH("Trich lai tra gop the TD", D346)), ISNUMBER(SEARCH("Chuyen lai tra gop con lai sang du no thong thuong khi BadDebt", D346))), IF(B346&lt;0, "Lai tra gop", ""), "" )))))) &amp; " " &amp; IF(C346="Interests", TEXT(EDATE(IF(DAY(A346)&gt;=24, A346, EDATE(A346,-1)), -1),"yyyy-mm"), TEXT(IF(DAY(A346)&gt;=24, A346, EDATE(A346,-1)),"yyyy-mm"))</f>
        <v>Lai 2022-04</v>
      </c>
      <c r="F346">
        <f>IF(ISNUMBER(B346), ROUND(SUMIFS($B$2:$B$10000, $E$2:$E$10000, E346, $B$2:$B$10000, IF(B346&lt;0, "&lt;0", "&gt;0")), 0), "")</f>
        <v>-47715</v>
      </c>
      <c r="G346" t="str">
        <f>IF(F346&gt;0, IF(C346="Transaction", "Da thanh toan", "Duong"), IF(F346&lt;0, IF(C346="Transaction", "Du no", IF(C346="Interests", "Lai phat sinh", IF(C346="Misc", "Phi", IF(C346="Account Transfer", "Lai tra gop", "Am")))), "Bang 0"))</f>
        <v>Lai phat sinh</v>
      </c>
    </row>
    <row r="347" spans="1:7" x14ac:dyDescent="0.3">
      <c r="A347" s="60">
        <v>44697</v>
      </c>
      <c r="B347" s="33">
        <v>64891</v>
      </c>
      <c r="C347" t="s">
        <v>51</v>
      </c>
      <c r="D347" t="s">
        <v>53</v>
      </c>
      <c r="E347" t="str">
        <f>IF(OR(C347="Transaction",C347="Interests",C347="Misc",C347="Account Transfer"), IF(C347="Transaction", IF(B347&lt;0, "Du no", "Da thanh toan"), IF(C347="Interests", "Lai", IF(C347="Misc", "Phi", IF(C347="Account Transfer", IF(OR(ISNUMBER(SEARCH("Trich lai tra gop the TD", D347)), ISNUMBER(SEARCH("Chuyen lai tra gop con lai sang du no thong thuong khi BadDebt", D347))), IF(B347&lt;0, "Lai tra gop", ""), "" )))))) &amp; " " &amp; IF(C347="Interests", TEXT(EDATE(IF(DAY(A347)&gt;=24, A347, EDATE(A347,-1)), -1),"yyyy-mm"), TEXT(IF(DAY(A347)&gt;=24, A347, EDATE(A347,-1)),"yyyy-mm"))</f>
        <v>Da thanh toan 2022-04</v>
      </c>
      <c r="F347">
        <f>IF(ISNUMBER(B347), ROUND(SUMIFS($B$2:$B$10000, $E$2:$E$10000, E347, $B$2:$B$10000, IF(B347&lt;0, "&lt;0", "&gt;0")), 0), "")</f>
        <v>67019</v>
      </c>
      <c r="G347" t="str">
        <f>IF(F347&gt;0, IF(C347="Transaction", "Da thanh toan", "Duong"), IF(F347&lt;0, IF(C347="Transaction", "Du no", IF(C347="Interests", "Lai phat sinh", IF(C347="Misc", "Phi", IF(C347="Account Transfer", "Lai tra gop", "Am")))), "Bang 0"))</f>
        <v>Da thanh toan</v>
      </c>
    </row>
    <row r="348" spans="1:7" x14ac:dyDescent="0.3">
      <c r="A348" s="60">
        <v>44692</v>
      </c>
      <c r="B348" s="33">
        <v>2128</v>
      </c>
      <c r="C348" t="s">
        <v>51</v>
      </c>
      <c r="D348" t="s">
        <v>53</v>
      </c>
      <c r="E348" t="str">
        <f>IF(OR(C348="Transaction",C348="Interests",C348="Misc",C348="Account Transfer"), IF(C348="Transaction", IF(B348&lt;0, "Du no", "Da thanh toan"), IF(C348="Interests", "Lai", IF(C348="Misc", "Phi", IF(C348="Account Transfer", IF(OR(ISNUMBER(SEARCH("Trich lai tra gop the TD", D348)), ISNUMBER(SEARCH("Chuyen lai tra gop con lai sang du no thong thuong khi BadDebt", D348))), IF(B348&lt;0, "Lai tra gop", ""), "" )))))) &amp; " " &amp; IF(C348="Interests", TEXT(EDATE(IF(DAY(A348)&gt;=24, A348, EDATE(A348,-1)), -1),"yyyy-mm"), TEXT(IF(DAY(A348)&gt;=24, A348, EDATE(A348,-1)),"yyyy-mm"))</f>
        <v>Da thanh toan 2022-04</v>
      </c>
      <c r="F348">
        <f>IF(ISNUMBER(B348), ROUND(SUMIFS($B$2:$B$10000, $E$2:$E$10000, E348, $B$2:$B$10000, IF(B348&lt;0, "&lt;0", "&gt;0")), 0), "")</f>
        <v>67019</v>
      </c>
      <c r="G348" t="str">
        <f>IF(F348&gt;0, IF(C348="Transaction", "Da thanh toan", "Duong"), IF(F348&lt;0, IF(C348="Transaction", "Du no", IF(C348="Interests", "Lai phat sinh", IF(C348="Misc", "Phi", IF(C348="Account Transfer", "Lai tra gop", "Am")))), "Bang 0"))</f>
        <v>Da thanh toan</v>
      </c>
    </row>
    <row r="349" spans="1:7" x14ac:dyDescent="0.3">
      <c r="A349" s="60">
        <v>44691</v>
      </c>
      <c r="B349" s="33">
        <v>-149000</v>
      </c>
      <c r="C349" t="s">
        <v>50</v>
      </c>
      <c r="E349" t="str">
        <f>IF(OR(C349="Transaction",C349="Interests",C349="Misc",C349="Account Transfer"), IF(C349="Transaction", IF(B349&lt;0, "Du no", "Da thanh toan"), IF(C349="Interests", "Lai", IF(C349="Misc", "Phi", IF(C349="Account Transfer", IF(OR(ISNUMBER(SEARCH("Trich lai tra gop the TD", D349)), ISNUMBER(SEARCH("Chuyen lai tra gop con lai sang du no thong thuong khi BadDebt", D349))), IF(B349&lt;0, "Lai tra gop", ""), "" )))))) &amp; " " &amp; IF(C349="Interests", TEXT(EDATE(IF(DAY(A349)&gt;=24, A349, EDATE(A349,-1)), -1),"yyyy-mm"), TEXT(IF(DAY(A349)&gt;=24, A349, EDATE(A349,-1)),"yyyy-mm"))</f>
        <v>Phi 2022-04</v>
      </c>
      <c r="F349">
        <f>IF(ISNUMBER(B349), ROUND(SUMIFS($B$2:$B$10000, $E$2:$E$10000, E349, $B$2:$B$10000, IF(B349&lt;0, "&lt;0", "&gt;0")), 0), "")</f>
        <v>-153950</v>
      </c>
      <c r="G349" t="str">
        <f>IF(F349&gt;0, IF(C349="Transaction", "Da thanh toan", "Duong"), IF(F349&lt;0, IF(C349="Transaction", "Du no", IF(C349="Interests", "Lai phat sinh", IF(C349="Misc", "Phi", IF(C349="Account Transfer", "Lai tra gop", "Am")))), "Bang 0"))</f>
        <v>Phi</v>
      </c>
    </row>
    <row r="350" spans="1:7" x14ac:dyDescent="0.3">
      <c r="A350" s="60">
        <v>44687</v>
      </c>
      <c r="B350" s="33">
        <v>-7308</v>
      </c>
      <c r="C350" t="s">
        <v>51</v>
      </c>
      <c r="D350" t="s">
        <v>779</v>
      </c>
      <c r="E350" t="str">
        <f>IF(OR(C350="Transaction",C350="Interests",C350="Misc",C350="Account Transfer"), IF(C350="Transaction", IF(B350&lt;0, "Du no", "Da thanh toan"), IF(C350="Interests", "Lai", IF(C350="Misc", "Phi", IF(C350="Account Transfer", IF(OR(ISNUMBER(SEARCH("Trich lai tra gop the TD", D350)), ISNUMBER(SEARCH("Chuyen lai tra gop con lai sang du no thong thuong khi BadDebt", D350))), IF(B350&lt;0, "Lai tra gop", ""), "" )))))) &amp; " " &amp; IF(C350="Interests", TEXT(EDATE(IF(DAY(A350)&gt;=24, A350, EDATE(A350,-1)), -1),"yyyy-mm"), TEXT(IF(DAY(A350)&gt;=24, A350, EDATE(A350,-1)),"yyyy-mm"))</f>
        <v>Du no 2022-04</v>
      </c>
      <c r="F350">
        <f>IF(ISNUMBER(B350), ROUND(SUMIFS($B$2:$B$10000, $E$2:$E$10000, E350, $B$2:$B$10000, IF(B350&lt;0, "&lt;0", "&gt;0")), 0), "")</f>
        <v>-7308</v>
      </c>
      <c r="G350" t="str">
        <f>IF(F350&gt;0, IF(C350="Transaction", "Da thanh toan", "Duong"), IF(F350&lt;0, IF(C350="Transaction", "Du no", IF(C350="Interests", "Lai phat sinh", IF(C350="Misc", "Phi", IF(C350="Account Transfer", "Lai tra gop", "Am")))), "Bang 0"))</f>
        <v>Du no</v>
      </c>
    </row>
    <row r="351" spans="1:7" x14ac:dyDescent="0.3">
      <c r="A351" s="60">
        <v>44680</v>
      </c>
      <c r="B351" s="33">
        <v>-450</v>
      </c>
      <c r="C351" t="s">
        <v>50</v>
      </c>
      <c r="E351" t="str">
        <f>IF(OR(C351="Transaction",C351="Interests",C351="Misc",C351="Account Transfer"), IF(C351="Transaction", IF(B351&lt;0, "Du no", "Da thanh toan"), IF(C351="Interests", "Lai", IF(C351="Misc", "Phi", IF(C351="Account Transfer", IF(OR(ISNUMBER(SEARCH("Trich lai tra gop the TD", D351)), ISNUMBER(SEARCH("Chuyen lai tra gop con lai sang du no thong thuong khi BadDebt", D351))), IF(B351&lt;0, "Lai tra gop", ""), "" )))))) &amp; " " &amp; IF(C351="Interests", TEXT(EDATE(IF(DAY(A351)&gt;=24, A351, EDATE(A351,-1)), -1),"yyyy-mm"), TEXT(IF(DAY(A351)&gt;=24, A351, EDATE(A351,-1)),"yyyy-mm"))</f>
        <v>Phi 2022-04</v>
      </c>
      <c r="F351">
        <f>IF(ISNUMBER(B351), ROUND(SUMIFS($B$2:$B$10000, $E$2:$E$10000, E351, $B$2:$B$10000, IF(B351&lt;0, "&lt;0", "&gt;0")), 0), "")</f>
        <v>-153950</v>
      </c>
      <c r="G351" t="str">
        <f>IF(F351&gt;0, IF(C351="Transaction", "Da thanh toan", "Duong"), IF(F351&lt;0, IF(C351="Transaction", "Du no", IF(C351="Interests", "Lai phat sinh", IF(C351="Misc", "Phi", IF(C351="Account Transfer", "Lai tra gop", "Am")))), "Bang 0"))</f>
        <v>Phi</v>
      </c>
    </row>
    <row r="352" spans="1:7" x14ac:dyDescent="0.3">
      <c r="A352" s="60">
        <v>44680</v>
      </c>
      <c r="B352" s="33">
        <v>-4500</v>
      </c>
      <c r="C352" t="s">
        <v>50</v>
      </c>
      <c r="E352" t="str">
        <f>IF(OR(C352="Transaction",C352="Interests",C352="Misc",C352="Account Transfer"), IF(C352="Transaction", IF(B352&lt;0, "Du no", "Da thanh toan"), IF(C352="Interests", "Lai", IF(C352="Misc", "Phi", IF(C352="Account Transfer", IF(OR(ISNUMBER(SEARCH("Trich lai tra gop the TD", D352)), ISNUMBER(SEARCH("Chuyen lai tra gop con lai sang du no thong thuong khi BadDebt", D352))), IF(B352&lt;0, "Lai tra gop", ""), "" )))))) &amp; " " &amp; IF(C352="Interests", TEXT(EDATE(IF(DAY(A352)&gt;=24, A352, EDATE(A352,-1)), -1),"yyyy-mm"), TEXT(IF(DAY(A352)&gt;=24, A352, EDATE(A352,-1)),"yyyy-mm"))</f>
        <v>Phi 2022-04</v>
      </c>
      <c r="F352">
        <f>IF(ISNUMBER(B352), ROUND(SUMIFS($B$2:$B$10000, $E$2:$E$10000, E352, $B$2:$B$10000, IF(B352&lt;0, "&lt;0", "&gt;0")), 0), "")</f>
        <v>-153950</v>
      </c>
      <c r="G352" t="str">
        <f>IF(F352&gt;0, IF(C352="Transaction", "Da thanh toan", "Duong"), IF(F352&lt;0, IF(C352="Transaction", "Du no", IF(C352="Interests", "Lai phat sinh", IF(C352="Misc", "Phi", IF(C352="Account Transfer", "Lai tra gop", "Am")))), "Bang 0"))</f>
        <v>Phi</v>
      </c>
    </row>
    <row r="353" spans="1:7" x14ac:dyDescent="0.3">
      <c r="A353" s="60">
        <v>44675</v>
      </c>
      <c r="B353" s="33">
        <v>-882.23</v>
      </c>
      <c r="C353" t="s">
        <v>49</v>
      </c>
      <c r="E353" t="str">
        <f>IF(OR(C353="Transaction",C353="Interests",C353="Misc",C353="Account Transfer"), IF(C353="Transaction", IF(B353&lt;0, "Du no", "Da thanh toan"), IF(C353="Interests", "Lai", IF(C353="Misc", "Phi", IF(C353="Account Transfer", IF(OR(ISNUMBER(SEARCH("Trich lai tra gop the TD", D353)), ISNUMBER(SEARCH("Chuyen lai tra gop con lai sang du no thong thuong khi BadDebt", D353))), IF(B353&lt;0, "Lai tra gop", ""), "" )))))) &amp; " " &amp; IF(C353="Interests", TEXT(EDATE(IF(DAY(A353)&gt;=24, A353, EDATE(A353,-1)), -1),"yyyy-mm"), TEXT(IF(DAY(A353)&gt;=24, A353, EDATE(A353,-1)),"yyyy-mm"))</f>
        <v>Lai 2022-03</v>
      </c>
      <c r="F353">
        <f>IF(ISNUMBER(B353), ROUND(SUMIFS($B$2:$B$10000, $E$2:$E$10000, E353, $B$2:$B$10000, IF(B353&lt;0, "&lt;0", "&gt;0")), 0), "")</f>
        <v>-44070</v>
      </c>
      <c r="G353" t="str">
        <f>IF(F353&gt;0, IF(C353="Transaction", "Da thanh toan", "Duong"), IF(F353&lt;0, IF(C353="Transaction", "Du no", IF(C353="Interests", "Lai phat sinh", IF(C353="Misc", "Phi", IF(C353="Account Transfer", "Lai tra gop", "Am")))), "Bang 0"))</f>
        <v>Lai phat sinh</v>
      </c>
    </row>
    <row r="354" spans="1:7" x14ac:dyDescent="0.3">
      <c r="A354" s="60">
        <v>44675</v>
      </c>
      <c r="B354" s="33">
        <v>-2182.1799999999998</v>
      </c>
      <c r="C354" t="s">
        <v>49</v>
      </c>
      <c r="E354" t="str">
        <f>IF(OR(C354="Transaction",C354="Interests",C354="Misc",C354="Account Transfer"), IF(C354="Transaction", IF(B354&lt;0, "Du no", "Da thanh toan"), IF(C354="Interests", "Lai", IF(C354="Misc", "Phi", IF(C354="Account Transfer", IF(OR(ISNUMBER(SEARCH("Trich lai tra gop the TD", D354)), ISNUMBER(SEARCH("Chuyen lai tra gop con lai sang du no thong thuong khi BadDebt", D354))), IF(B354&lt;0, "Lai tra gop", ""), "" )))))) &amp; " " &amp; IF(C354="Interests", TEXT(EDATE(IF(DAY(A354)&gt;=24, A354, EDATE(A354,-1)), -1),"yyyy-mm"), TEXT(IF(DAY(A354)&gt;=24, A354, EDATE(A354,-1)),"yyyy-mm"))</f>
        <v>Lai 2022-03</v>
      </c>
      <c r="F354">
        <f>IF(ISNUMBER(B354), ROUND(SUMIFS($B$2:$B$10000, $E$2:$E$10000, E354, $B$2:$B$10000, IF(B354&lt;0, "&lt;0", "&gt;0")), 0), "")</f>
        <v>-44070</v>
      </c>
      <c r="G354" t="str">
        <f>IF(F354&gt;0, IF(C354="Transaction", "Da thanh toan", "Duong"), IF(F354&lt;0, IF(C354="Transaction", "Du no", IF(C354="Interests", "Lai phat sinh", IF(C354="Misc", "Phi", IF(C354="Account Transfer", "Lai tra gop", "Am")))), "Bang 0"))</f>
        <v>Lai phat sinh</v>
      </c>
    </row>
    <row r="355" spans="1:7" x14ac:dyDescent="0.3">
      <c r="A355" s="60">
        <v>44675</v>
      </c>
      <c r="B355" s="33">
        <v>-13522.21</v>
      </c>
      <c r="C355" t="s">
        <v>49</v>
      </c>
      <c r="E355" t="str">
        <f>IF(OR(C355="Transaction",C355="Interests",C355="Misc",C355="Account Transfer"), IF(C355="Transaction", IF(B355&lt;0, "Du no", "Da thanh toan"), IF(C355="Interests", "Lai", IF(C355="Misc", "Phi", IF(C355="Account Transfer", IF(OR(ISNUMBER(SEARCH("Trich lai tra gop the TD", D355)), ISNUMBER(SEARCH("Chuyen lai tra gop con lai sang du no thong thuong khi BadDebt", D355))), IF(B355&lt;0, "Lai tra gop", ""), "" )))))) &amp; " " &amp; IF(C355="Interests", TEXT(EDATE(IF(DAY(A355)&gt;=24, A355, EDATE(A355,-1)), -1),"yyyy-mm"), TEXT(IF(DAY(A355)&gt;=24, A355, EDATE(A355,-1)),"yyyy-mm"))</f>
        <v>Lai 2022-03</v>
      </c>
      <c r="F355">
        <f>IF(ISNUMBER(B355), ROUND(SUMIFS($B$2:$B$10000, $E$2:$E$10000, E355, $B$2:$B$10000, IF(B355&lt;0, "&lt;0", "&gt;0")), 0), "")</f>
        <v>-44070</v>
      </c>
      <c r="G355" t="str">
        <f>IF(F355&gt;0, IF(C355="Transaction", "Da thanh toan", "Duong"), IF(F355&lt;0, IF(C355="Transaction", "Du no", IF(C355="Interests", "Lai phat sinh", IF(C355="Misc", "Phi", IF(C355="Account Transfer", "Lai tra gop", "Am")))), "Bang 0"))</f>
        <v>Lai phat sinh</v>
      </c>
    </row>
    <row r="356" spans="1:7" x14ac:dyDescent="0.3">
      <c r="A356" s="60">
        <v>44675</v>
      </c>
      <c r="B356" s="33">
        <v>-2649.63</v>
      </c>
      <c r="C356" t="s">
        <v>49</v>
      </c>
      <c r="E356" t="str">
        <f>IF(OR(C356="Transaction",C356="Interests",C356="Misc",C356="Account Transfer"), IF(C356="Transaction", IF(B356&lt;0, "Du no", "Da thanh toan"), IF(C356="Interests", "Lai", IF(C356="Misc", "Phi", IF(C356="Account Transfer", IF(OR(ISNUMBER(SEARCH("Trich lai tra gop the TD", D356)), ISNUMBER(SEARCH("Chuyen lai tra gop con lai sang du no thong thuong khi BadDebt", D356))), IF(B356&lt;0, "Lai tra gop", ""), "" )))))) &amp; " " &amp; IF(C356="Interests", TEXT(EDATE(IF(DAY(A356)&gt;=24, A356, EDATE(A356,-1)), -1),"yyyy-mm"), TEXT(IF(DAY(A356)&gt;=24, A356, EDATE(A356,-1)),"yyyy-mm"))</f>
        <v>Lai 2022-03</v>
      </c>
      <c r="F356">
        <f>IF(ISNUMBER(B356), ROUND(SUMIFS($B$2:$B$10000, $E$2:$E$10000, E356, $B$2:$B$10000, IF(B356&lt;0, "&lt;0", "&gt;0")), 0), "")</f>
        <v>-44070</v>
      </c>
      <c r="G356" t="str">
        <f>IF(F356&gt;0, IF(C356="Transaction", "Da thanh toan", "Duong"), IF(F356&lt;0, IF(C356="Transaction", "Du no", IF(C356="Interests", "Lai phat sinh", IF(C356="Misc", "Phi", IF(C356="Account Transfer", "Lai tra gop", "Am")))), "Bang 0"))</f>
        <v>Lai phat sinh</v>
      </c>
    </row>
    <row r="357" spans="1:7" x14ac:dyDescent="0.3">
      <c r="A357" s="60">
        <v>44675</v>
      </c>
      <c r="B357" s="33">
        <v>-22586.15</v>
      </c>
      <c r="C357" t="s">
        <v>49</v>
      </c>
      <c r="E357" t="str">
        <f>IF(OR(C357="Transaction",C357="Interests",C357="Misc",C357="Account Transfer"), IF(C357="Transaction", IF(B357&lt;0, "Du no", "Da thanh toan"), IF(C357="Interests", "Lai", IF(C357="Misc", "Phi", IF(C357="Account Transfer", IF(OR(ISNUMBER(SEARCH("Trich lai tra gop the TD", D357)), ISNUMBER(SEARCH("Chuyen lai tra gop con lai sang du no thong thuong khi BadDebt", D357))), IF(B357&lt;0, "Lai tra gop", ""), "" )))))) &amp; " " &amp; IF(C357="Interests", TEXT(EDATE(IF(DAY(A357)&gt;=24, A357, EDATE(A357,-1)), -1),"yyyy-mm"), TEXT(IF(DAY(A357)&gt;=24, A357, EDATE(A357,-1)),"yyyy-mm"))</f>
        <v>Lai 2022-03</v>
      </c>
      <c r="F357">
        <f>IF(ISNUMBER(B357), ROUND(SUMIFS($B$2:$B$10000, $E$2:$E$10000, E357, $B$2:$B$10000, IF(B357&lt;0, "&lt;0", "&gt;0")), 0), "")</f>
        <v>-44070</v>
      </c>
      <c r="G357" t="str">
        <f>IF(F357&gt;0, IF(C357="Transaction", "Da thanh toan", "Duong"), IF(F357&lt;0, IF(C357="Transaction", "Du no", IF(C357="Interests", "Lai phat sinh", IF(C357="Misc", "Phi", IF(C357="Account Transfer", "Lai tra gop", "Am")))), "Bang 0"))</f>
        <v>Lai phat sinh</v>
      </c>
    </row>
    <row r="358" spans="1:7" x14ac:dyDescent="0.3">
      <c r="A358" s="60">
        <v>44675</v>
      </c>
      <c r="B358" s="33">
        <v>-167.7</v>
      </c>
      <c r="C358" t="s">
        <v>49</v>
      </c>
      <c r="E358" t="str">
        <f>IF(OR(C358="Transaction",C358="Interests",C358="Misc",C358="Account Transfer"), IF(C358="Transaction", IF(B358&lt;0, "Du no", "Da thanh toan"), IF(C358="Interests", "Lai", IF(C358="Misc", "Phi", IF(C358="Account Transfer", IF(OR(ISNUMBER(SEARCH("Trich lai tra gop the TD", D358)), ISNUMBER(SEARCH("Chuyen lai tra gop con lai sang du no thong thuong khi BadDebt", D358))), IF(B358&lt;0, "Lai tra gop", ""), "" )))))) &amp; " " &amp; IF(C358="Interests", TEXT(EDATE(IF(DAY(A358)&gt;=24, A358, EDATE(A358,-1)), -1),"yyyy-mm"), TEXT(IF(DAY(A358)&gt;=24, A358, EDATE(A358,-1)),"yyyy-mm"))</f>
        <v>Lai 2022-03</v>
      </c>
      <c r="F358">
        <f>IF(ISNUMBER(B358), ROUND(SUMIFS($B$2:$B$10000, $E$2:$E$10000, E358, $B$2:$B$10000, IF(B358&lt;0, "&lt;0", "&gt;0")), 0), "")</f>
        <v>-44070</v>
      </c>
      <c r="G358" t="str">
        <f>IF(F358&gt;0, IF(C358="Transaction", "Da thanh toan", "Duong"), IF(F358&lt;0, IF(C358="Transaction", "Du no", IF(C358="Interests", "Lai phat sinh", IF(C358="Misc", "Phi", IF(C358="Account Transfer", "Lai tra gop", "Am")))), "Bang 0"))</f>
        <v>Lai phat sinh</v>
      </c>
    </row>
    <row r="359" spans="1:7" x14ac:dyDescent="0.3">
      <c r="A359" s="60">
        <v>44675</v>
      </c>
      <c r="B359" s="33">
        <v>-1953.75</v>
      </c>
      <c r="C359" t="s">
        <v>49</v>
      </c>
      <c r="E359" t="str">
        <f>IF(OR(C359="Transaction",C359="Interests",C359="Misc",C359="Account Transfer"), IF(C359="Transaction", IF(B359&lt;0, "Du no", "Da thanh toan"), IF(C359="Interests", "Lai", IF(C359="Misc", "Phi", IF(C359="Account Transfer", IF(OR(ISNUMBER(SEARCH("Trich lai tra gop the TD", D359)), ISNUMBER(SEARCH("Chuyen lai tra gop con lai sang du no thong thuong khi BadDebt", D359))), IF(B359&lt;0, "Lai tra gop", ""), "" )))))) &amp; " " &amp; IF(C359="Interests", TEXT(EDATE(IF(DAY(A359)&gt;=24, A359, EDATE(A359,-1)), -1),"yyyy-mm"), TEXT(IF(DAY(A359)&gt;=24, A359, EDATE(A359,-1)),"yyyy-mm"))</f>
        <v>Lai 2022-03</v>
      </c>
      <c r="F359">
        <f>IF(ISNUMBER(B359), ROUND(SUMIFS($B$2:$B$10000, $E$2:$E$10000, E359, $B$2:$B$10000, IF(B359&lt;0, "&lt;0", "&gt;0")), 0), "")</f>
        <v>-44070</v>
      </c>
      <c r="G359" t="str">
        <f>IF(F359&gt;0, IF(C359="Transaction", "Da thanh toan", "Duong"), IF(F359&lt;0, IF(C359="Transaction", "Du no", IF(C359="Interests", "Lai phat sinh", IF(C359="Misc", "Phi", IF(C359="Account Transfer", "Lai tra gop", "Am")))), "Bang 0"))</f>
        <v>Lai phat sinh</v>
      </c>
    </row>
    <row r="360" spans="1:7" x14ac:dyDescent="0.3">
      <c r="A360" s="60">
        <v>44675</v>
      </c>
      <c r="B360" s="33">
        <v>-125.78</v>
      </c>
      <c r="C360" t="s">
        <v>49</v>
      </c>
      <c r="E360" t="str">
        <f>IF(OR(C360="Transaction",C360="Interests",C360="Misc",C360="Account Transfer"), IF(C360="Transaction", IF(B360&lt;0, "Du no", "Da thanh toan"), IF(C360="Interests", "Lai", IF(C360="Misc", "Phi", IF(C360="Account Transfer", IF(OR(ISNUMBER(SEARCH("Trich lai tra gop the TD", D360)), ISNUMBER(SEARCH("Chuyen lai tra gop con lai sang du no thong thuong khi BadDebt", D360))), IF(B360&lt;0, "Lai tra gop", ""), "" )))))) &amp; " " &amp; IF(C360="Interests", TEXT(EDATE(IF(DAY(A360)&gt;=24, A360, EDATE(A360,-1)), -1),"yyyy-mm"), TEXT(IF(DAY(A360)&gt;=24, A360, EDATE(A360,-1)),"yyyy-mm"))</f>
        <v>Lai 2022-03</v>
      </c>
      <c r="F360">
        <f>IF(ISNUMBER(B360), ROUND(SUMIFS($B$2:$B$10000, $E$2:$E$10000, E360, $B$2:$B$10000, IF(B360&lt;0, "&lt;0", "&gt;0")), 0), "")</f>
        <v>-44070</v>
      </c>
      <c r="G360" t="str">
        <f>IF(F360&gt;0, IF(C360="Transaction", "Da thanh toan", "Duong"), IF(F360&lt;0, IF(C360="Transaction", "Du no", IF(C360="Interests", "Lai phat sinh", IF(C360="Misc", "Phi", IF(C360="Account Transfer", "Lai tra gop", "Am")))), "Bang 0"))</f>
        <v>Lai phat sinh</v>
      </c>
    </row>
    <row r="361" spans="1:7" x14ac:dyDescent="0.3">
      <c r="A361" s="60">
        <v>44664</v>
      </c>
      <c r="B361" s="33">
        <v>39276</v>
      </c>
      <c r="C361" t="s">
        <v>51</v>
      </c>
      <c r="D361" t="s">
        <v>53</v>
      </c>
      <c r="E361" t="str">
        <f>IF(OR(C361="Transaction",C361="Interests",C361="Misc",C361="Account Transfer"), IF(C361="Transaction", IF(B361&lt;0, "Du no", "Da thanh toan"), IF(C361="Interests", "Lai", IF(C361="Misc", "Phi", IF(C361="Account Transfer", IF(OR(ISNUMBER(SEARCH("Trich lai tra gop the TD", D361)), ISNUMBER(SEARCH("Chuyen lai tra gop con lai sang du no thong thuong khi BadDebt", D361))), IF(B361&lt;0, "Lai tra gop", ""), "" )))))) &amp; " " &amp; IF(C361="Interests", TEXT(EDATE(IF(DAY(A361)&gt;=24, A361, EDATE(A361,-1)), -1),"yyyy-mm"), TEXT(IF(DAY(A361)&gt;=24, A361, EDATE(A361,-1)),"yyyy-mm"))</f>
        <v>Da thanh toan 2022-03</v>
      </c>
      <c r="F361">
        <f>IF(ISNUMBER(B361), ROUND(SUMIFS($B$2:$B$10000, $E$2:$E$10000, E361, $B$2:$B$10000, IF(B361&lt;0, "&lt;0", "&gt;0")), 0), "")</f>
        <v>59739</v>
      </c>
      <c r="G361" t="str">
        <f>IF(F361&gt;0, IF(C361="Transaction", "Da thanh toan", "Duong"), IF(F361&lt;0, IF(C361="Transaction", "Du no", IF(C361="Interests", "Lai phat sinh", IF(C361="Misc", "Phi", IF(C361="Account Transfer", "Lai tra gop", "Am")))), "Bang 0"))</f>
        <v>Da thanh toan</v>
      </c>
    </row>
    <row r="362" spans="1:7" x14ac:dyDescent="0.3">
      <c r="A362" s="60">
        <v>44664</v>
      </c>
      <c r="B362" s="33">
        <v>-149000</v>
      </c>
      <c r="C362" t="s">
        <v>50</v>
      </c>
      <c r="E362" t="str">
        <f>IF(OR(C362="Transaction",C362="Interests",C362="Misc",C362="Account Transfer"), IF(C362="Transaction", IF(B362&lt;0, "Du no", "Da thanh toan"), IF(C362="Interests", "Lai", IF(C362="Misc", "Phi", IF(C362="Account Transfer", IF(OR(ISNUMBER(SEARCH("Trich lai tra gop the TD", D362)), ISNUMBER(SEARCH("Chuyen lai tra gop con lai sang du no thong thuong khi BadDebt", D362))), IF(B362&lt;0, "Lai tra gop", ""), "" )))))) &amp; " " &amp; IF(C362="Interests", TEXT(EDATE(IF(DAY(A362)&gt;=24, A362, EDATE(A362,-1)), -1),"yyyy-mm"), TEXT(IF(DAY(A362)&gt;=24, A362, EDATE(A362,-1)),"yyyy-mm"))</f>
        <v>Phi 2022-03</v>
      </c>
      <c r="F362">
        <f>IF(ISNUMBER(B362), ROUND(SUMIFS($B$2:$B$10000, $E$2:$E$10000, E362, $B$2:$B$10000, IF(B362&lt;0, "&lt;0", "&gt;0")), 0), "")</f>
        <v>-153950</v>
      </c>
      <c r="G362" t="str">
        <f>IF(F362&gt;0, IF(C362="Transaction", "Da thanh toan", "Duong"), IF(F362&lt;0, IF(C362="Transaction", "Du no", IF(C362="Interests", "Lai phat sinh", IF(C362="Misc", "Phi", IF(C362="Account Transfer", "Lai tra gop", "Am")))), "Bang 0"))</f>
        <v>Phi</v>
      </c>
    </row>
    <row r="363" spans="1:7" x14ac:dyDescent="0.3">
      <c r="A363" s="60">
        <v>44663</v>
      </c>
      <c r="B363" s="33">
        <v>20463</v>
      </c>
      <c r="C363" t="s">
        <v>51</v>
      </c>
      <c r="D363" t="s">
        <v>53</v>
      </c>
      <c r="E363" t="str">
        <f>IF(OR(C363="Transaction",C363="Interests",C363="Misc",C363="Account Transfer"), IF(C363="Transaction", IF(B363&lt;0, "Du no", "Da thanh toan"), IF(C363="Interests", "Lai", IF(C363="Misc", "Phi", IF(C363="Account Transfer", IF(OR(ISNUMBER(SEARCH("Trich lai tra gop the TD", D363)), ISNUMBER(SEARCH("Chuyen lai tra gop con lai sang du no thong thuong khi BadDebt", D363))), IF(B363&lt;0, "Lai tra gop", ""), "" )))))) &amp; " " &amp; IF(C363="Interests", TEXT(EDATE(IF(DAY(A363)&gt;=24, A363, EDATE(A363,-1)), -1),"yyyy-mm"), TEXT(IF(DAY(A363)&gt;=24, A363, EDATE(A363,-1)),"yyyy-mm"))</f>
        <v>Da thanh toan 2022-03</v>
      </c>
      <c r="F363">
        <f>IF(ISNUMBER(B363), ROUND(SUMIFS($B$2:$B$10000, $E$2:$E$10000, E363, $B$2:$B$10000, IF(B363&lt;0, "&lt;0", "&gt;0")), 0), "")</f>
        <v>59739</v>
      </c>
      <c r="G363" t="str">
        <f>IF(F363&gt;0, IF(C363="Transaction", "Da thanh toan", "Duong"), IF(F363&lt;0, IF(C363="Transaction", "Du no", IF(C363="Interests", "Lai phat sinh", IF(C363="Misc", "Phi", IF(C363="Account Transfer", "Lai tra gop", "Am")))), "Bang 0"))</f>
        <v>Da thanh toan</v>
      </c>
    </row>
    <row r="364" spans="1:7" x14ac:dyDescent="0.3">
      <c r="A364" s="60">
        <v>44656</v>
      </c>
      <c r="B364" s="33">
        <v>-7308</v>
      </c>
      <c r="C364" t="s">
        <v>51</v>
      </c>
      <c r="D364" t="s">
        <v>780</v>
      </c>
      <c r="E364" t="str">
        <f>IF(OR(C364="Transaction",C364="Interests",C364="Misc",C364="Account Transfer"), IF(C364="Transaction", IF(B364&lt;0, "Du no", "Da thanh toan"), IF(C364="Interests", "Lai", IF(C364="Misc", "Phi", IF(C364="Account Transfer", IF(OR(ISNUMBER(SEARCH("Trich lai tra gop the TD", D364)), ISNUMBER(SEARCH("Chuyen lai tra gop con lai sang du no thong thuong khi BadDebt", D364))), IF(B364&lt;0, "Lai tra gop", ""), "" )))))) &amp; " " &amp; IF(C364="Interests", TEXT(EDATE(IF(DAY(A364)&gt;=24, A364, EDATE(A364,-1)), -1),"yyyy-mm"), TEXT(IF(DAY(A364)&gt;=24, A364, EDATE(A364,-1)),"yyyy-mm"))</f>
        <v>Du no 2022-03</v>
      </c>
      <c r="F364">
        <f>IF(ISNUMBER(B364), ROUND(SUMIFS($B$2:$B$10000, $E$2:$E$10000, E364, $B$2:$B$10000, IF(B364&lt;0, "&lt;0", "&gt;0")), 0), "")</f>
        <v>-7308</v>
      </c>
      <c r="G364" t="str">
        <f>IF(F364&gt;0, IF(C364="Transaction", "Da thanh toan", "Duong"), IF(F364&lt;0, IF(C364="Transaction", "Du no", IF(C364="Interests", "Lai phat sinh", IF(C364="Misc", "Phi", IF(C364="Account Transfer", "Lai tra gop", "Am")))), "Bang 0"))</f>
        <v>Du no</v>
      </c>
    </row>
    <row r="365" spans="1:7" x14ac:dyDescent="0.3">
      <c r="A365" s="60">
        <v>44646</v>
      </c>
      <c r="B365" s="33">
        <v>-450</v>
      </c>
      <c r="C365" t="s">
        <v>50</v>
      </c>
      <c r="E365" t="str">
        <f>IF(OR(C365="Transaction",C365="Interests",C365="Misc",C365="Account Transfer"), IF(C365="Transaction", IF(B365&lt;0, "Du no", "Da thanh toan"), IF(C365="Interests", "Lai", IF(C365="Misc", "Phi", IF(C365="Account Transfer", IF(OR(ISNUMBER(SEARCH("Trich lai tra gop the TD", D365)), ISNUMBER(SEARCH("Chuyen lai tra gop con lai sang du no thong thuong khi BadDebt", D365))), IF(B365&lt;0, "Lai tra gop", ""), "" )))))) &amp; " " &amp; IF(C365="Interests", TEXT(EDATE(IF(DAY(A365)&gt;=24, A365, EDATE(A365,-1)), -1),"yyyy-mm"), TEXT(IF(DAY(A365)&gt;=24, A365, EDATE(A365,-1)),"yyyy-mm"))</f>
        <v>Phi 2022-03</v>
      </c>
      <c r="F365">
        <f>IF(ISNUMBER(B365), ROUND(SUMIFS($B$2:$B$10000, $E$2:$E$10000, E365, $B$2:$B$10000, IF(B365&lt;0, "&lt;0", "&gt;0")), 0), "")</f>
        <v>-153950</v>
      </c>
      <c r="G365" t="str">
        <f>IF(F365&gt;0, IF(C365="Transaction", "Da thanh toan", "Duong"), IF(F365&lt;0, IF(C365="Transaction", "Du no", IF(C365="Interests", "Lai phat sinh", IF(C365="Misc", "Phi", IF(C365="Account Transfer", "Lai tra gop", "Am")))), "Bang 0"))</f>
        <v>Phi</v>
      </c>
    </row>
    <row r="366" spans="1:7" x14ac:dyDescent="0.3">
      <c r="A366" s="60">
        <v>44646</v>
      </c>
      <c r="B366" s="33">
        <v>-4500</v>
      </c>
      <c r="C366" t="s">
        <v>50</v>
      </c>
      <c r="E366" t="str">
        <f>IF(OR(C366="Transaction",C366="Interests",C366="Misc",C366="Account Transfer"), IF(C366="Transaction", IF(B366&lt;0, "Du no", "Da thanh toan"), IF(C366="Interests", "Lai", IF(C366="Misc", "Phi", IF(C366="Account Transfer", IF(OR(ISNUMBER(SEARCH("Trich lai tra gop the TD", D366)), ISNUMBER(SEARCH("Chuyen lai tra gop con lai sang du no thong thuong khi BadDebt", D366))), IF(B366&lt;0, "Lai tra gop", ""), "" )))))) &amp; " " &amp; IF(C366="Interests", TEXT(EDATE(IF(DAY(A366)&gt;=24, A366, EDATE(A366,-1)), -1),"yyyy-mm"), TEXT(IF(DAY(A366)&gt;=24, A366, EDATE(A366,-1)),"yyyy-mm"))</f>
        <v>Phi 2022-03</v>
      </c>
      <c r="F366">
        <f>IF(ISNUMBER(B366), ROUND(SUMIFS($B$2:$B$10000, $E$2:$E$10000, E366, $B$2:$B$10000, IF(B366&lt;0, "&lt;0", "&gt;0")), 0), "")</f>
        <v>-153950</v>
      </c>
      <c r="G366" t="str">
        <f>IF(F366&gt;0, IF(C366="Transaction", "Da thanh toan", "Duong"), IF(F366&lt;0, IF(C366="Transaction", "Du no", IF(C366="Interests", "Lai phat sinh", IF(C366="Misc", "Phi", IF(C366="Account Transfer", "Lai tra gop", "Am")))), "Bang 0"))</f>
        <v>Phi</v>
      </c>
    </row>
    <row r="367" spans="1:7" x14ac:dyDescent="0.3">
      <c r="A367" s="60">
        <v>44644</v>
      </c>
      <c r="B367" s="33">
        <v>-1407.33</v>
      </c>
      <c r="C367" t="s">
        <v>49</v>
      </c>
      <c r="E367" t="str">
        <f>IF(OR(C367="Transaction",C367="Interests",C367="Misc",C367="Account Transfer"), IF(C367="Transaction", IF(B367&lt;0, "Du no", "Da thanh toan"), IF(C367="Interests", "Lai", IF(C367="Misc", "Phi", IF(C367="Account Transfer", IF(OR(ISNUMBER(SEARCH("Trich lai tra gop the TD", D367)), ISNUMBER(SEARCH("Chuyen lai tra gop con lai sang du no thong thuong khi BadDebt", D367))), IF(B367&lt;0, "Lai tra gop", ""), "" )))))) &amp; " " &amp; IF(C367="Interests", TEXT(EDATE(IF(DAY(A367)&gt;=24, A367, EDATE(A367,-1)), -1),"yyyy-mm"), TEXT(IF(DAY(A367)&gt;=24, A367, EDATE(A367,-1)),"yyyy-mm"))</f>
        <v>Lai 2022-02</v>
      </c>
      <c r="F367">
        <f>IF(ISNUMBER(B367), ROUND(SUMIFS($B$2:$B$10000, $E$2:$E$10000, E367, $B$2:$B$10000, IF(B367&lt;0, "&lt;0", "&gt;0")), 0), "")</f>
        <v>-36184</v>
      </c>
      <c r="G367" t="str">
        <f>IF(F367&gt;0, IF(C367="Transaction", "Da thanh toan", "Duong"), IF(F367&lt;0, IF(C367="Transaction", "Du no", IF(C367="Interests", "Lai phat sinh", IF(C367="Misc", "Phi", IF(C367="Account Transfer", "Lai tra gop", "Am")))), "Bang 0"))</f>
        <v>Lai phat sinh</v>
      </c>
    </row>
    <row r="368" spans="1:7" x14ac:dyDescent="0.3">
      <c r="A368" s="60">
        <v>44644</v>
      </c>
      <c r="B368" s="33">
        <v>-2723.46</v>
      </c>
      <c r="C368" t="s">
        <v>49</v>
      </c>
      <c r="E368" t="str">
        <f>IF(OR(C368="Transaction",C368="Interests",C368="Misc",C368="Account Transfer"), IF(C368="Transaction", IF(B368&lt;0, "Du no", "Da thanh toan"), IF(C368="Interests", "Lai", IF(C368="Misc", "Phi", IF(C368="Account Transfer", IF(OR(ISNUMBER(SEARCH("Trich lai tra gop the TD", D368)), ISNUMBER(SEARCH("Chuyen lai tra gop con lai sang du no thong thuong khi BadDebt", D368))), IF(B368&lt;0, "Lai tra gop", ""), "" )))))) &amp; " " &amp; IF(C368="Interests", TEXT(EDATE(IF(DAY(A368)&gt;=24, A368, EDATE(A368,-1)), -1),"yyyy-mm"), TEXT(IF(DAY(A368)&gt;=24, A368, EDATE(A368,-1)),"yyyy-mm"))</f>
        <v>Lai 2022-02</v>
      </c>
      <c r="F368">
        <f>IF(ISNUMBER(B368), ROUND(SUMIFS($B$2:$B$10000, $E$2:$E$10000, E368, $B$2:$B$10000, IF(B368&lt;0, "&lt;0", "&gt;0")), 0), "")</f>
        <v>-36184</v>
      </c>
      <c r="G368" t="str">
        <f>IF(F368&gt;0, IF(C368="Transaction", "Da thanh toan", "Duong"), IF(F368&lt;0, IF(C368="Transaction", "Du no", IF(C368="Interests", "Lai phat sinh", IF(C368="Misc", "Phi", IF(C368="Account Transfer", "Lai tra gop", "Am")))), "Bang 0"))</f>
        <v>Lai phat sinh</v>
      </c>
    </row>
    <row r="369" spans="1:7" x14ac:dyDescent="0.3">
      <c r="A369" s="60">
        <v>44644</v>
      </c>
      <c r="B369" s="33">
        <v>-7242.31</v>
      </c>
      <c r="C369" t="s">
        <v>49</v>
      </c>
      <c r="E369" t="str">
        <f>IF(OR(C369="Transaction",C369="Interests",C369="Misc",C369="Account Transfer"), IF(C369="Transaction", IF(B369&lt;0, "Du no", "Da thanh toan"), IF(C369="Interests", "Lai", IF(C369="Misc", "Phi", IF(C369="Account Transfer", IF(OR(ISNUMBER(SEARCH("Trich lai tra gop the TD", D369)), ISNUMBER(SEARCH("Chuyen lai tra gop con lai sang du no thong thuong khi BadDebt", D369))), IF(B369&lt;0, "Lai tra gop", ""), "" )))))) &amp; " " &amp; IF(C369="Interests", TEXT(EDATE(IF(DAY(A369)&gt;=24, A369, EDATE(A369,-1)), -1),"yyyy-mm"), TEXT(IF(DAY(A369)&gt;=24, A369, EDATE(A369,-1)),"yyyy-mm"))</f>
        <v>Lai 2022-02</v>
      </c>
      <c r="F369">
        <f>IF(ISNUMBER(B369), ROUND(SUMIFS($B$2:$B$10000, $E$2:$E$10000, E369, $B$2:$B$10000, IF(B369&lt;0, "&lt;0", "&gt;0")), 0), "")</f>
        <v>-36184</v>
      </c>
      <c r="G369" t="str">
        <f>IF(F369&gt;0, IF(C369="Transaction", "Da thanh toan", "Duong"), IF(F369&lt;0, IF(C369="Transaction", "Du no", IF(C369="Interests", "Lai phat sinh", IF(C369="Misc", "Phi", IF(C369="Account Transfer", "Lai tra gop", "Am")))), "Bang 0"))</f>
        <v>Lai phat sinh</v>
      </c>
    </row>
    <row r="370" spans="1:7" x14ac:dyDescent="0.3">
      <c r="A370" s="60">
        <v>44644</v>
      </c>
      <c r="B370" s="33">
        <v>-2649.63</v>
      </c>
      <c r="C370" t="s">
        <v>49</v>
      </c>
      <c r="E370" t="str">
        <f>IF(OR(C370="Transaction",C370="Interests",C370="Misc",C370="Account Transfer"), IF(C370="Transaction", IF(B370&lt;0, "Du no", "Da thanh toan"), IF(C370="Interests", "Lai", IF(C370="Misc", "Phi", IF(C370="Account Transfer", IF(OR(ISNUMBER(SEARCH("Trich lai tra gop the TD", D370)), ISNUMBER(SEARCH("Chuyen lai tra gop con lai sang du no thong thuong khi BadDebt", D370))), IF(B370&lt;0, "Lai tra gop", ""), "" )))))) &amp; " " &amp; IF(C370="Interests", TEXT(EDATE(IF(DAY(A370)&gt;=24, A370, EDATE(A370,-1)), -1),"yyyy-mm"), TEXT(IF(DAY(A370)&gt;=24, A370, EDATE(A370,-1)),"yyyy-mm"))</f>
        <v>Lai 2022-02</v>
      </c>
      <c r="F370">
        <f>IF(ISNUMBER(B370), ROUND(SUMIFS($B$2:$B$10000, $E$2:$E$10000, E370, $B$2:$B$10000, IF(B370&lt;0, "&lt;0", "&gt;0")), 0), "")</f>
        <v>-36184</v>
      </c>
      <c r="G370" t="str">
        <f>IF(F370&gt;0, IF(C370="Transaction", "Da thanh toan", "Duong"), IF(F370&lt;0, IF(C370="Transaction", "Du no", IF(C370="Interests", "Lai phat sinh", IF(C370="Misc", "Phi", IF(C370="Account Transfer", "Lai tra gop", "Am")))), "Bang 0"))</f>
        <v>Lai phat sinh</v>
      </c>
    </row>
    <row r="371" spans="1:7" x14ac:dyDescent="0.3">
      <c r="A371" s="60">
        <v>44644</v>
      </c>
      <c r="B371" s="33">
        <v>-20400.400000000001</v>
      </c>
      <c r="C371" t="s">
        <v>49</v>
      </c>
      <c r="E371" t="str">
        <f>IF(OR(C371="Transaction",C371="Interests",C371="Misc",C371="Account Transfer"), IF(C371="Transaction", IF(B371&lt;0, "Du no", "Da thanh toan"), IF(C371="Interests", "Lai", IF(C371="Misc", "Phi", IF(C371="Account Transfer", IF(OR(ISNUMBER(SEARCH("Trich lai tra gop the TD", D371)), ISNUMBER(SEARCH("Chuyen lai tra gop con lai sang du no thong thuong khi BadDebt", D371))), IF(B371&lt;0, "Lai tra gop", ""), "" )))))) &amp; " " &amp; IF(C371="Interests", TEXT(EDATE(IF(DAY(A371)&gt;=24, A371, EDATE(A371,-1)), -1),"yyyy-mm"), TEXT(IF(DAY(A371)&gt;=24, A371, EDATE(A371,-1)),"yyyy-mm"))</f>
        <v>Lai 2022-02</v>
      </c>
      <c r="F371">
        <f>IF(ISNUMBER(B371), ROUND(SUMIFS($B$2:$B$10000, $E$2:$E$10000, E371, $B$2:$B$10000, IF(B371&lt;0, "&lt;0", "&gt;0")), 0), "")</f>
        <v>-36184</v>
      </c>
      <c r="G371" t="str">
        <f>IF(F371&gt;0, IF(C371="Transaction", "Da thanh toan", "Duong"), IF(F371&lt;0, IF(C371="Transaction", "Du no", IF(C371="Interests", "Lai phat sinh", IF(C371="Misc", "Phi", IF(C371="Account Transfer", "Lai tra gop", "Am")))), "Bang 0"))</f>
        <v>Lai phat sinh</v>
      </c>
    </row>
    <row r="372" spans="1:7" x14ac:dyDescent="0.3">
      <c r="A372" s="60">
        <v>44644</v>
      </c>
      <c r="B372" s="33">
        <v>-117.39</v>
      </c>
      <c r="C372" t="s">
        <v>49</v>
      </c>
      <c r="E372" t="str">
        <f>IF(OR(C372="Transaction",C372="Interests",C372="Misc",C372="Account Transfer"), IF(C372="Transaction", IF(B372&lt;0, "Du no", "Da thanh toan"), IF(C372="Interests", "Lai", IF(C372="Misc", "Phi", IF(C372="Account Transfer", IF(OR(ISNUMBER(SEARCH("Trich lai tra gop the TD", D372)), ISNUMBER(SEARCH("Chuyen lai tra gop con lai sang du no thong thuong khi BadDebt", D372))), IF(B372&lt;0, "Lai tra gop", ""), "" )))))) &amp; " " &amp; IF(C372="Interests", TEXT(EDATE(IF(DAY(A372)&gt;=24, A372, EDATE(A372,-1)), -1),"yyyy-mm"), TEXT(IF(DAY(A372)&gt;=24, A372, EDATE(A372,-1)),"yyyy-mm"))</f>
        <v>Lai 2022-02</v>
      </c>
      <c r="F372">
        <f>IF(ISNUMBER(B372), ROUND(SUMIFS($B$2:$B$10000, $E$2:$E$10000, E372, $B$2:$B$10000, IF(B372&lt;0, "&lt;0", "&gt;0")), 0), "")</f>
        <v>-36184</v>
      </c>
      <c r="G372" t="str">
        <f>IF(F372&gt;0, IF(C372="Transaction", "Da thanh toan", "Duong"), IF(F372&lt;0, IF(C372="Transaction", "Du no", IF(C372="Interests", "Lai phat sinh", IF(C372="Misc", "Phi", IF(C372="Account Transfer", "Lai tra gop", "Am")))), "Bang 0"))</f>
        <v>Lai phat sinh</v>
      </c>
    </row>
    <row r="373" spans="1:7" x14ac:dyDescent="0.3">
      <c r="A373" s="60">
        <v>44644</v>
      </c>
      <c r="B373" s="33">
        <v>-1517.72</v>
      </c>
      <c r="C373" t="s">
        <v>49</v>
      </c>
      <c r="E373" t="str">
        <f>IF(OR(C373="Transaction",C373="Interests",C373="Misc",C373="Account Transfer"), IF(C373="Transaction", IF(B373&lt;0, "Du no", "Da thanh toan"), IF(C373="Interests", "Lai", IF(C373="Misc", "Phi", IF(C373="Account Transfer", IF(OR(ISNUMBER(SEARCH("Trich lai tra gop the TD", D373)), ISNUMBER(SEARCH("Chuyen lai tra gop con lai sang du no thong thuong khi BadDebt", D373))), IF(B373&lt;0, "Lai tra gop", ""), "" )))))) &amp; " " &amp; IF(C373="Interests", TEXT(EDATE(IF(DAY(A373)&gt;=24, A373, EDATE(A373,-1)), -1),"yyyy-mm"), TEXT(IF(DAY(A373)&gt;=24, A373, EDATE(A373,-1)),"yyyy-mm"))</f>
        <v>Lai 2022-02</v>
      </c>
      <c r="F373">
        <f>IF(ISNUMBER(B373), ROUND(SUMIFS($B$2:$B$10000, $E$2:$E$10000, E373, $B$2:$B$10000, IF(B373&lt;0, "&lt;0", "&gt;0")), 0), "")</f>
        <v>-36184</v>
      </c>
      <c r="G373" t="str">
        <f>IF(F373&gt;0, IF(C373="Transaction", "Da thanh toan", "Duong"), IF(F373&lt;0, IF(C373="Transaction", "Du no", IF(C373="Interests", "Lai phat sinh", IF(C373="Misc", "Phi", IF(C373="Account Transfer", "Lai tra gop", "Am")))), "Bang 0"))</f>
        <v>Lai phat sinh</v>
      </c>
    </row>
    <row r="374" spans="1:7" x14ac:dyDescent="0.3">
      <c r="A374" s="60">
        <v>44644</v>
      </c>
      <c r="B374" s="33">
        <v>-125.78</v>
      </c>
      <c r="C374" t="s">
        <v>49</v>
      </c>
      <c r="E374" t="str">
        <f>IF(OR(C374="Transaction",C374="Interests",C374="Misc",C374="Account Transfer"), IF(C374="Transaction", IF(B374&lt;0, "Du no", "Da thanh toan"), IF(C374="Interests", "Lai", IF(C374="Misc", "Phi", IF(C374="Account Transfer", IF(OR(ISNUMBER(SEARCH("Trich lai tra gop the TD", D374)), ISNUMBER(SEARCH("Chuyen lai tra gop con lai sang du no thong thuong khi BadDebt", D374))), IF(B374&lt;0, "Lai tra gop", ""), "" )))))) &amp; " " &amp; IF(C374="Interests", TEXT(EDATE(IF(DAY(A374)&gt;=24, A374, EDATE(A374,-1)), -1),"yyyy-mm"), TEXT(IF(DAY(A374)&gt;=24, A374, EDATE(A374,-1)),"yyyy-mm"))</f>
        <v>Lai 2022-02</v>
      </c>
      <c r="F374">
        <f>IF(ISNUMBER(B374), ROUND(SUMIFS($B$2:$B$10000, $E$2:$E$10000, E374, $B$2:$B$10000, IF(B374&lt;0, "&lt;0", "&gt;0")), 0), "")</f>
        <v>-36184</v>
      </c>
      <c r="G374" t="str">
        <f>IF(F374&gt;0, IF(C374="Transaction", "Da thanh toan", "Duong"), IF(F374&lt;0, IF(C374="Transaction", "Du no", IF(C374="Interests", "Lai phat sinh", IF(C374="Misc", "Phi", IF(C374="Account Transfer", "Lai tra gop", "Am")))), "Bang 0"))</f>
        <v>Lai phat sinh</v>
      </c>
    </row>
    <row r="375" spans="1:7" x14ac:dyDescent="0.3">
      <c r="A375" s="60">
        <v>44641</v>
      </c>
      <c r="B375" s="33">
        <v>27106</v>
      </c>
      <c r="C375" t="s">
        <v>51</v>
      </c>
      <c r="D375" t="s">
        <v>53</v>
      </c>
      <c r="E375" t="str">
        <f>IF(OR(C375="Transaction",C375="Interests",C375="Misc",C375="Account Transfer"), IF(C375="Transaction", IF(B375&lt;0, "Du no", "Da thanh toan"), IF(C375="Interests", "Lai", IF(C375="Misc", "Phi", IF(C375="Account Transfer", IF(OR(ISNUMBER(SEARCH("Trich lai tra gop the TD", D375)), ISNUMBER(SEARCH("Chuyen lai tra gop con lai sang du no thong thuong khi BadDebt", D375))), IF(B375&lt;0, "Lai tra gop", ""), "" )))))) &amp; " " &amp; IF(C375="Interests", TEXT(EDATE(IF(DAY(A375)&gt;=24, A375, EDATE(A375,-1)), -1),"yyyy-mm"), TEXT(IF(DAY(A375)&gt;=24, A375, EDATE(A375,-1)),"yyyy-mm"))</f>
        <v>Da thanh toan 2022-02</v>
      </c>
      <c r="F375">
        <f>IF(ISNUMBER(B375), ROUND(SUMIFS($B$2:$B$10000, $E$2:$E$10000, E375, $B$2:$B$10000, IF(B375&lt;0, "&lt;0", "&gt;0")), 0), "")</f>
        <v>52492</v>
      </c>
      <c r="G375" t="str">
        <f>IF(F375&gt;0, IF(C375="Transaction", "Da thanh toan", "Duong"), IF(F375&lt;0, IF(C375="Transaction", "Du no", IF(C375="Interests", "Lai phat sinh", IF(C375="Misc", "Phi", IF(C375="Account Transfer", "Lai tra gop", "Am")))), "Bang 0"))</f>
        <v>Da thanh toan</v>
      </c>
    </row>
    <row r="376" spans="1:7" x14ac:dyDescent="0.3">
      <c r="A376" s="60">
        <v>44634</v>
      </c>
      <c r="B376" s="33">
        <v>25386</v>
      </c>
      <c r="C376" t="s">
        <v>51</v>
      </c>
      <c r="D376" t="s">
        <v>53</v>
      </c>
      <c r="E376" t="str">
        <f>IF(OR(C376="Transaction",C376="Interests",C376="Misc",C376="Account Transfer"), IF(C376="Transaction", IF(B376&lt;0, "Du no", "Da thanh toan"), IF(C376="Interests", "Lai", IF(C376="Misc", "Phi", IF(C376="Account Transfer", IF(OR(ISNUMBER(SEARCH("Trich lai tra gop the TD", D376)), ISNUMBER(SEARCH("Chuyen lai tra gop con lai sang du no thong thuong khi BadDebt", D376))), IF(B376&lt;0, "Lai tra gop", ""), "" )))))) &amp; " " &amp; IF(C376="Interests", TEXT(EDATE(IF(DAY(A376)&gt;=24, A376, EDATE(A376,-1)), -1),"yyyy-mm"), TEXT(IF(DAY(A376)&gt;=24, A376, EDATE(A376,-1)),"yyyy-mm"))</f>
        <v>Da thanh toan 2022-02</v>
      </c>
      <c r="F376">
        <f>IF(ISNUMBER(B376), ROUND(SUMIFS($B$2:$B$10000, $E$2:$E$10000, E376, $B$2:$B$10000, IF(B376&lt;0, "&lt;0", "&gt;0")), 0), "")</f>
        <v>52492</v>
      </c>
      <c r="G376" t="str">
        <f>IF(F376&gt;0, IF(C376="Transaction", "Da thanh toan", "Duong"), IF(F376&lt;0, IF(C376="Transaction", "Du no", IF(C376="Interests", "Lai phat sinh", IF(C376="Misc", "Phi", IF(C376="Account Transfer", "Lai tra gop", "Am")))), "Bang 0"))</f>
        <v>Da thanh toan</v>
      </c>
    </row>
    <row r="377" spans="1:7" x14ac:dyDescent="0.3">
      <c r="A377" s="60">
        <v>44632</v>
      </c>
      <c r="B377" s="33">
        <v>-149000</v>
      </c>
      <c r="C377" t="s">
        <v>50</v>
      </c>
      <c r="E377" t="str">
        <f>IF(OR(C377="Transaction",C377="Interests",C377="Misc",C377="Account Transfer"), IF(C377="Transaction", IF(B377&lt;0, "Du no", "Da thanh toan"), IF(C377="Interests", "Lai", IF(C377="Misc", "Phi", IF(C377="Account Transfer", IF(OR(ISNUMBER(SEARCH("Trich lai tra gop the TD", D377)), ISNUMBER(SEARCH("Chuyen lai tra gop con lai sang du no thong thuong khi BadDebt", D377))), IF(B377&lt;0, "Lai tra gop", ""), "" )))))) &amp; " " &amp; IF(C377="Interests", TEXT(EDATE(IF(DAY(A377)&gt;=24, A377, EDATE(A377,-1)), -1),"yyyy-mm"), TEXT(IF(DAY(A377)&gt;=24, A377, EDATE(A377,-1)),"yyyy-mm"))</f>
        <v>Phi 2022-02</v>
      </c>
      <c r="F377">
        <f>IF(ISNUMBER(B377), ROUND(SUMIFS($B$2:$B$10000, $E$2:$E$10000, E377, $B$2:$B$10000, IF(B377&lt;0, "&lt;0", "&gt;0")), 0), "")</f>
        <v>-153950</v>
      </c>
      <c r="G377" t="str">
        <f>IF(F377&gt;0, IF(C377="Transaction", "Da thanh toan", "Duong"), IF(F377&lt;0, IF(C377="Transaction", "Du no", IF(C377="Interests", "Lai phat sinh", IF(C377="Misc", "Phi", IF(C377="Account Transfer", "Lai tra gop", "Am")))), "Bang 0"))</f>
        <v>Phi</v>
      </c>
    </row>
    <row r="378" spans="1:7" x14ac:dyDescent="0.3">
      <c r="A378" s="60">
        <v>44624</v>
      </c>
      <c r="B378" s="33">
        <v>-7308</v>
      </c>
      <c r="C378" t="s">
        <v>51</v>
      </c>
      <c r="D378" t="s">
        <v>781</v>
      </c>
      <c r="E378" t="str">
        <f>IF(OR(C378="Transaction",C378="Interests",C378="Misc",C378="Account Transfer"), IF(C378="Transaction", IF(B378&lt;0, "Du no", "Da thanh toan"), IF(C378="Interests", "Lai", IF(C378="Misc", "Phi", IF(C378="Account Transfer", IF(OR(ISNUMBER(SEARCH("Trich lai tra gop the TD", D378)), ISNUMBER(SEARCH("Chuyen lai tra gop con lai sang du no thong thuong khi BadDebt", D378))), IF(B378&lt;0, "Lai tra gop", ""), "" )))))) &amp; " " &amp; IF(C378="Interests", TEXT(EDATE(IF(DAY(A378)&gt;=24, A378, EDATE(A378,-1)), -1),"yyyy-mm"), TEXT(IF(DAY(A378)&gt;=24, A378, EDATE(A378,-1)),"yyyy-mm"))</f>
        <v>Du no 2022-02</v>
      </c>
      <c r="F378">
        <f>IF(ISNUMBER(B378), ROUND(SUMIFS($B$2:$B$10000, $E$2:$E$10000, E378, $B$2:$B$10000, IF(B378&lt;0, "&lt;0", "&gt;0")), 0), "")</f>
        <v>-7308</v>
      </c>
      <c r="G378" t="str">
        <f>IF(F378&gt;0, IF(C378="Transaction", "Da thanh toan", "Duong"), IF(F378&lt;0, IF(C378="Transaction", "Du no", IF(C378="Interests", "Lai phat sinh", IF(C378="Misc", "Phi", IF(C378="Account Transfer", "Lai tra gop", "Am")))), "Bang 0"))</f>
        <v>Du no</v>
      </c>
    </row>
    <row r="379" spans="1:7" x14ac:dyDescent="0.3">
      <c r="A379" s="60">
        <v>44621</v>
      </c>
      <c r="B379" s="33">
        <v>-450</v>
      </c>
      <c r="C379" t="s">
        <v>50</v>
      </c>
      <c r="E379" t="str">
        <f>IF(OR(C379="Transaction",C379="Interests",C379="Misc",C379="Account Transfer"), IF(C379="Transaction", IF(B379&lt;0, "Du no", "Da thanh toan"), IF(C379="Interests", "Lai", IF(C379="Misc", "Phi", IF(C379="Account Transfer", IF(OR(ISNUMBER(SEARCH("Trich lai tra gop the TD", D379)), ISNUMBER(SEARCH("Chuyen lai tra gop con lai sang du no thong thuong khi BadDebt", D379))), IF(B379&lt;0, "Lai tra gop", ""), "" )))))) &amp; " " &amp; IF(C379="Interests", TEXT(EDATE(IF(DAY(A379)&gt;=24, A379, EDATE(A379,-1)), -1),"yyyy-mm"), TEXT(IF(DAY(A379)&gt;=24, A379, EDATE(A379,-1)),"yyyy-mm"))</f>
        <v>Phi 2022-02</v>
      </c>
      <c r="F379">
        <f>IF(ISNUMBER(B379), ROUND(SUMIFS($B$2:$B$10000, $E$2:$E$10000, E379, $B$2:$B$10000, IF(B379&lt;0, "&lt;0", "&gt;0")), 0), "")</f>
        <v>-153950</v>
      </c>
      <c r="G379" t="str">
        <f>IF(F379&gt;0, IF(C379="Transaction", "Da thanh toan", "Duong"), IF(F379&lt;0, IF(C379="Transaction", "Du no", IF(C379="Interests", "Lai phat sinh", IF(C379="Misc", "Phi", IF(C379="Account Transfer", "Lai tra gop", "Am")))), "Bang 0"))</f>
        <v>Phi</v>
      </c>
    </row>
    <row r="380" spans="1:7" x14ac:dyDescent="0.3">
      <c r="A380" s="60">
        <v>44621</v>
      </c>
      <c r="B380" s="33">
        <v>-4500</v>
      </c>
      <c r="C380" t="s">
        <v>50</v>
      </c>
      <c r="E380" t="str">
        <f>IF(OR(C380="Transaction",C380="Interests",C380="Misc",C380="Account Transfer"), IF(C380="Transaction", IF(B380&lt;0, "Du no", "Da thanh toan"), IF(C380="Interests", "Lai", IF(C380="Misc", "Phi", IF(C380="Account Transfer", IF(OR(ISNUMBER(SEARCH("Trich lai tra gop the TD", D380)), ISNUMBER(SEARCH("Chuyen lai tra gop con lai sang du no thong thuong khi BadDebt", D380))), IF(B380&lt;0, "Lai tra gop", ""), "" )))))) &amp; " " &amp; IF(C380="Interests", TEXT(EDATE(IF(DAY(A380)&gt;=24, A380, EDATE(A380,-1)), -1),"yyyy-mm"), TEXT(IF(DAY(A380)&gt;=24, A380, EDATE(A380,-1)),"yyyy-mm"))</f>
        <v>Phi 2022-02</v>
      </c>
      <c r="F380">
        <f>IF(ISNUMBER(B380), ROUND(SUMIFS($B$2:$B$10000, $E$2:$E$10000, E380, $B$2:$B$10000, IF(B380&lt;0, "&lt;0", "&gt;0")), 0), "")</f>
        <v>-153950</v>
      </c>
      <c r="G380" t="str">
        <f>IF(F380&gt;0, IF(C380="Transaction", "Da thanh toan", "Duong"), IF(F380&lt;0, IF(C380="Transaction", "Du no", IF(C380="Interests", "Lai phat sinh", IF(C380="Misc", "Phi", IF(C380="Account Transfer", "Lai tra gop", "Am")))), "Bang 0"))</f>
        <v>Phi</v>
      </c>
    </row>
    <row r="381" spans="1:7" x14ac:dyDescent="0.3">
      <c r="A381" s="60">
        <v>44616</v>
      </c>
      <c r="B381" s="33">
        <v>-1692.86</v>
      </c>
      <c r="C381" t="s">
        <v>49</v>
      </c>
      <c r="E381" t="str">
        <f>IF(OR(C381="Transaction",C381="Interests",C381="Misc",C381="Account Transfer"), IF(C381="Transaction", IF(B381&lt;0, "Du no", "Da thanh toan"), IF(C381="Interests", "Lai", IF(C381="Misc", "Phi", IF(C381="Account Transfer", IF(OR(ISNUMBER(SEARCH("Trich lai tra gop the TD", D381)), ISNUMBER(SEARCH("Chuyen lai tra gop con lai sang du no thong thuong khi BadDebt", D381))), IF(B381&lt;0, "Lai tra gop", ""), "" )))))) &amp; " " &amp; IF(C381="Interests", TEXT(EDATE(IF(DAY(A381)&gt;=24, A381, EDATE(A381,-1)), -1),"yyyy-mm"), TEXT(IF(DAY(A381)&gt;=24, A381, EDATE(A381,-1)),"yyyy-mm"))</f>
        <v>Lai 2022-01</v>
      </c>
      <c r="F381">
        <f>IF(ISNUMBER(B381), ROUND(SUMIFS($B$2:$B$10000, $E$2:$E$10000, E381, $B$2:$B$10000, IF(B381&lt;0, "&lt;0", "&gt;0")), 0), "")</f>
        <v>-31465</v>
      </c>
      <c r="G381" t="str">
        <f>IF(F381&gt;0, IF(C381="Transaction", "Da thanh toan", "Duong"), IF(F381&lt;0, IF(C381="Transaction", "Du no", IF(C381="Interests", "Lai phat sinh", IF(C381="Misc", "Phi", IF(C381="Account Transfer", "Lai tra gop", "Am")))), "Bang 0"))</f>
        <v>Lai phat sinh</v>
      </c>
    </row>
    <row r="382" spans="1:7" x14ac:dyDescent="0.3">
      <c r="A382" s="60">
        <v>44616</v>
      </c>
      <c r="B382" s="33">
        <v>-5475.9</v>
      </c>
      <c r="C382" t="s">
        <v>49</v>
      </c>
      <c r="E382" t="str">
        <f>IF(OR(C382="Transaction",C382="Interests",C382="Misc",C382="Account Transfer"), IF(C382="Transaction", IF(B382&lt;0, "Du no", "Da thanh toan"), IF(C382="Interests", "Lai", IF(C382="Misc", "Phi", IF(C382="Account Transfer", IF(OR(ISNUMBER(SEARCH("Trich lai tra gop the TD", D382)), ISNUMBER(SEARCH("Chuyen lai tra gop con lai sang du no thong thuong khi BadDebt", D382))), IF(B382&lt;0, "Lai tra gop", ""), "" )))))) &amp; " " &amp; IF(C382="Interests", TEXT(EDATE(IF(DAY(A382)&gt;=24, A382, EDATE(A382,-1)), -1),"yyyy-mm"), TEXT(IF(DAY(A382)&gt;=24, A382, EDATE(A382,-1)),"yyyy-mm"))</f>
        <v>Lai 2022-01</v>
      </c>
      <c r="F382">
        <f>IF(ISNUMBER(B382), ROUND(SUMIFS($B$2:$B$10000, $E$2:$E$10000, E382, $B$2:$B$10000, IF(B382&lt;0, "&lt;0", "&gt;0")), 0), "")</f>
        <v>-31465</v>
      </c>
      <c r="G382" t="str">
        <f>IF(F382&gt;0, IF(C382="Transaction", "Da thanh toan", "Duong"), IF(F382&lt;0, IF(C382="Transaction", "Du no", IF(C382="Interests", "Lai phat sinh", IF(C382="Misc", "Phi", IF(C382="Account Transfer", "Lai tra gop", "Am")))), "Bang 0"))</f>
        <v>Lai phat sinh</v>
      </c>
    </row>
    <row r="383" spans="1:7" x14ac:dyDescent="0.3">
      <c r="A383" s="60">
        <v>44616</v>
      </c>
      <c r="B383" s="33">
        <v>-22586.15</v>
      </c>
      <c r="C383" t="s">
        <v>49</v>
      </c>
      <c r="E383" t="str">
        <f>IF(OR(C383="Transaction",C383="Interests",C383="Misc",C383="Account Transfer"), IF(C383="Transaction", IF(B383&lt;0, "Du no", "Da thanh toan"), IF(C383="Interests", "Lai", IF(C383="Misc", "Phi", IF(C383="Account Transfer", IF(OR(ISNUMBER(SEARCH("Trich lai tra gop the TD", D383)), ISNUMBER(SEARCH("Chuyen lai tra gop con lai sang du no thong thuong khi BadDebt", D383))), IF(B383&lt;0, "Lai tra gop", ""), "" )))))) &amp; " " &amp; IF(C383="Interests", TEXT(EDATE(IF(DAY(A383)&gt;=24, A383, EDATE(A383,-1)), -1),"yyyy-mm"), TEXT(IF(DAY(A383)&gt;=24, A383, EDATE(A383,-1)),"yyyy-mm"))</f>
        <v>Lai 2022-01</v>
      </c>
      <c r="F383">
        <f>IF(ISNUMBER(B383), ROUND(SUMIFS($B$2:$B$10000, $E$2:$E$10000, E383, $B$2:$B$10000, IF(B383&lt;0, "&lt;0", "&gt;0")), 0), "")</f>
        <v>-31465</v>
      </c>
      <c r="G383" t="str">
        <f>IF(F383&gt;0, IF(C383="Transaction", "Da thanh toan", "Duong"), IF(F383&lt;0, IF(C383="Transaction", "Du no", IF(C383="Interests", "Lai phat sinh", IF(C383="Misc", "Phi", IF(C383="Account Transfer", "Lai tra gop", "Am")))), "Bang 0"))</f>
        <v>Lai phat sinh</v>
      </c>
    </row>
    <row r="384" spans="1:7" x14ac:dyDescent="0.3">
      <c r="A384" s="60">
        <v>44616</v>
      </c>
      <c r="B384" s="33">
        <v>-150.93</v>
      </c>
      <c r="C384" t="s">
        <v>49</v>
      </c>
      <c r="E384" t="str">
        <f>IF(OR(C384="Transaction",C384="Interests",C384="Misc",C384="Account Transfer"), IF(C384="Transaction", IF(B384&lt;0, "Du no", "Da thanh toan"), IF(C384="Interests", "Lai", IF(C384="Misc", "Phi", IF(C384="Account Transfer", IF(OR(ISNUMBER(SEARCH("Trich lai tra gop the TD", D384)), ISNUMBER(SEARCH("Chuyen lai tra gop con lai sang du no thong thuong khi BadDebt", D384))), IF(B384&lt;0, "Lai tra gop", ""), "" )))))) &amp; " " &amp; IF(C384="Interests", TEXT(EDATE(IF(DAY(A384)&gt;=24, A384, EDATE(A384,-1)), -1),"yyyy-mm"), TEXT(IF(DAY(A384)&gt;=24, A384, EDATE(A384,-1)),"yyyy-mm"))</f>
        <v>Lai 2022-01</v>
      </c>
      <c r="F384">
        <f>IF(ISNUMBER(B384), ROUND(SUMIFS($B$2:$B$10000, $E$2:$E$10000, E384, $B$2:$B$10000, IF(B384&lt;0, "&lt;0", "&gt;0")), 0), "")</f>
        <v>-31465</v>
      </c>
      <c r="G384" t="str">
        <f>IF(F384&gt;0, IF(C384="Transaction", "Da thanh toan", "Duong"), IF(F384&lt;0, IF(C384="Transaction", "Du no", IF(C384="Interests", "Lai phat sinh", IF(C384="Misc", "Phi", IF(C384="Account Transfer", "Lai tra gop", "Am")))), "Bang 0"))</f>
        <v>Lai phat sinh</v>
      </c>
    </row>
    <row r="385" spans="1:7" x14ac:dyDescent="0.3">
      <c r="A385" s="60">
        <v>44616</v>
      </c>
      <c r="B385" s="33">
        <v>-1433.87</v>
      </c>
      <c r="C385" t="s">
        <v>49</v>
      </c>
      <c r="E385" t="str">
        <f>IF(OR(C385="Transaction",C385="Interests",C385="Misc",C385="Account Transfer"), IF(C385="Transaction", IF(B385&lt;0, "Du no", "Da thanh toan"), IF(C385="Interests", "Lai", IF(C385="Misc", "Phi", IF(C385="Account Transfer", IF(OR(ISNUMBER(SEARCH("Trich lai tra gop the TD", D385)), ISNUMBER(SEARCH("Chuyen lai tra gop con lai sang du no thong thuong khi BadDebt", D385))), IF(B385&lt;0, "Lai tra gop", ""), "" )))))) &amp; " " &amp; IF(C385="Interests", TEXT(EDATE(IF(DAY(A385)&gt;=24, A385, EDATE(A385,-1)), -1),"yyyy-mm"), TEXT(IF(DAY(A385)&gt;=24, A385, EDATE(A385,-1)),"yyyy-mm"))</f>
        <v>Lai 2022-01</v>
      </c>
      <c r="F385">
        <f>IF(ISNUMBER(B385), ROUND(SUMIFS($B$2:$B$10000, $E$2:$E$10000, E385, $B$2:$B$10000, IF(B385&lt;0, "&lt;0", "&gt;0")), 0), "")</f>
        <v>-31465</v>
      </c>
      <c r="G385" t="str">
        <f>IF(F385&gt;0, IF(C385="Transaction", "Da thanh toan", "Duong"), IF(F385&lt;0, IF(C385="Transaction", "Du no", IF(C385="Interests", "Lai phat sinh", IF(C385="Misc", "Phi", IF(C385="Account Transfer", "Lai tra gop", "Am")))), "Bang 0"))</f>
        <v>Lai phat sinh</v>
      </c>
    </row>
    <row r="386" spans="1:7" x14ac:dyDescent="0.3">
      <c r="A386" s="60">
        <v>44616</v>
      </c>
      <c r="B386" s="33">
        <v>-125.78</v>
      </c>
      <c r="C386" t="s">
        <v>49</v>
      </c>
      <c r="E386" t="str">
        <f>IF(OR(C386="Transaction",C386="Interests",C386="Misc",C386="Account Transfer"), IF(C386="Transaction", IF(B386&lt;0, "Du no", "Da thanh toan"), IF(C386="Interests", "Lai", IF(C386="Misc", "Phi", IF(C386="Account Transfer", IF(OR(ISNUMBER(SEARCH("Trich lai tra gop the TD", D386)), ISNUMBER(SEARCH("Chuyen lai tra gop con lai sang du no thong thuong khi BadDebt", D386))), IF(B386&lt;0, "Lai tra gop", ""), "" )))))) &amp; " " &amp; IF(C386="Interests", TEXT(EDATE(IF(DAY(A386)&gt;=24, A386, EDATE(A386,-1)), -1),"yyyy-mm"), TEXT(IF(DAY(A386)&gt;=24, A386, EDATE(A386,-1)),"yyyy-mm"))</f>
        <v>Lai 2022-01</v>
      </c>
      <c r="F386">
        <f>IF(ISNUMBER(B386), ROUND(SUMIFS($B$2:$B$10000, $E$2:$E$10000, E386, $B$2:$B$10000, IF(B386&lt;0, "&lt;0", "&gt;0")), 0), "")</f>
        <v>-31465</v>
      </c>
      <c r="G386" t="str">
        <f>IF(F386&gt;0, IF(C386="Transaction", "Da thanh toan", "Duong"), IF(F386&lt;0, IF(C386="Transaction", "Du no", IF(C386="Interests", "Lai phat sinh", IF(C386="Misc", "Phi", IF(C386="Account Transfer", "Lai tra gop", "Am")))), "Bang 0"))</f>
        <v>Lai phat sinh</v>
      </c>
    </row>
    <row r="387" spans="1:7" x14ac:dyDescent="0.3">
      <c r="A387" s="60">
        <v>44602</v>
      </c>
      <c r="B387" s="33">
        <v>-7308</v>
      </c>
      <c r="C387" t="s">
        <v>51</v>
      </c>
      <c r="D387" t="s">
        <v>782</v>
      </c>
      <c r="E387" t="str">
        <f>IF(OR(C387="Transaction",C387="Interests",C387="Misc",C387="Account Transfer"), IF(C387="Transaction", IF(B387&lt;0, "Du no", "Da thanh toan"), IF(C387="Interests", "Lai", IF(C387="Misc", "Phi", IF(C387="Account Transfer", IF(OR(ISNUMBER(SEARCH("Trich lai tra gop the TD", D387)), ISNUMBER(SEARCH("Chuyen lai tra gop con lai sang du no thong thuong khi BadDebt", D387))), IF(B387&lt;0, "Lai tra gop", ""), "" )))))) &amp; " " &amp; IF(C387="Interests", TEXT(EDATE(IF(DAY(A387)&gt;=24, A387, EDATE(A387,-1)), -1),"yyyy-mm"), TEXT(IF(DAY(A387)&gt;=24, A387, EDATE(A387,-1)),"yyyy-mm"))</f>
        <v>Du no 2022-01</v>
      </c>
      <c r="F387">
        <f>IF(ISNUMBER(B387), ROUND(SUMIFS($B$2:$B$10000, $E$2:$E$10000, E387, $B$2:$B$10000, IF(B387&lt;0, "&lt;0", "&gt;0")), 0), "")</f>
        <v>-7308</v>
      </c>
      <c r="G387" t="str">
        <f>IF(F387&gt;0, IF(C387="Transaction", "Da thanh toan", "Duong"), IF(F387&lt;0, IF(C387="Transaction", "Du no", IF(C387="Interests", "Lai phat sinh", IF(C387="Misc", "Phi", IF(C387="Account Transfer", "Lai tra gop", "Am")))), "Bang 0"))</f>
        <v>Du no</v>
      </c>
    </row>
    <row r="388" spans="1:7" x14ac:dyDescent="0.3">
      <c r="A388" s="60">
        <v>44601</v>
      </c>
      <c r="B388" s="33">
        <v>45111</v>
      </c>
      <c r="C388" t="s">
        <v>51</v>
      </c>
      <c r="D388" t="s">
        <v>53</v>
      </c>
      <c r="E388" t="str">
        <f>IF(OR(C388="Transaction",C388="Interests",C388="Misc",C388="Account Transfer"), IF(C388="Transaction", IF(B388&lt;0, "Du no", "Da thanh toan"), IF(C388="Interests", "Lai", IF(C388="Misc", "Phi", IF(C388="Account Transfer", IF(OR(ISNUMBER(SEARCH("Trich lai tra gop the TD", D388)), ISNUMBER(SEARCH("Chuyen lai tra gop con lai sang du no thong thuong khi BadDebt", D388))), IF(B388&lt;0, "Lai tra gop", ""), "" )))))) &amp; " " &amp; IF(C388="Interests", TEXT(EDATE(IF(DAY(A388)&gt;=24, A388, EDATE(A388,-1)), -1),"yyyy-mm"), TEXT(IF(DAY(A388)&gt;=24, A388, EDATE(A388,-1)),"yyyy-mm"))</f>
        <v>Da thanh toan 2022-01</v>
      </c>
      <c r="F388">
        <f>IF(ISNUMBER(B388), ROUND(SUMIFS($B$2:$B$10000, $E$2:$E$10000, E388, $B$2:$B$10000, IF(B388&lt;0, "&lt;0", "&gt;0")), 0), "")</f>
        <v>45111</v>
      </c>
      <c r="G388" t="str">
        <f>IF(F388&gt;0, IF(C388="Transaction", "Da thanh toan", "Duong"), IF(F388&lt;0, IF(C388="Transaction", "Du no", IF(C388="Interests", "Lai phat sinh", IF(C388="Misc", "Phi", IF(C388="Account Transfer", "Lai tra gop", "Am")))), "Bang 0"))</f>
        <v>Da thanh toan</v>
      </c>
    </row>
    <row r="389" spans="1:7" x14ac:dyDescent="0.3">
      <c r="A389" s="60">
        <v>44601</v>
      </c>
      <c r="B389" s="33">
        <v>-149000</v>
      </c>
      <c r="C389" t="s">
        <v>50</v>
      </c>
      <c r="E389" t="str">
        <f>IF(OR(C389="Transaction",C389="Interests",C389="Misc",C389="Account Transfer"), IF(C389="Transaction", IF(B389&lt;0, "Du no", "Da thanh toan"), IF(C389="Interests", "Lai", IF(C389="Misc", "Phi", IF(C389="Account Transfer", IF(OR(ISNUMBER(SEARCH("Trich lai tra gop the TD", D389)), ISNUMBER(SEARCH("Chuyen lai tra gop con lai sang du no thong thuong khi BadDebt", D389))), IF(B389&lt;0, "Lai tra gop", ""), "" )))))) &amp; " " &amp; IF(C389="Interests", TEXT(EDATE(IF(DAY(A389)&gt;=24, A389, EDATE(A389,-1)), -1),"yyyy-mm"), TEXT(IF(DAY(A389)&gt;=24, A389, EDATE(A389,-1)),"yyyy-mm"))</f>
        <v>Phi 2022-01</v>
      </c>
      <c r="F389">
        <f>IF(ISNUMBER(B389), ROUND(SUMIFS($B$2:$B$10000, $E$2:$E$10000, E389, $B$2:$B$10000, IF(B389&lt;0, "&lt;0", "&gt;0")), 0), "")</f>
        <v>-153950</v>
      </c>
      <c r="G389" t="str">
        <f>IF(F389&gt;0, IF(C389="Transaction", "Da thanh toan", "Duong"), IF(F389&lt;0, IF(C389="Transaction", "Du no", IF(C389="Interests", "Lai phat sinh", IF(C389="Misc", "Phi", IF(C389="Account Transfer", "Lai tra gop", "Am")))), "Bang 0"))</f>
        <v>Phi</v>
      </c>
    </row>
    <row r="390" spans="1:7" x14ac:dyDescent="0.3">
      <c r="A390" s="60">
        <v>44588</v>
      </c>
      <c r="B390" s="33">
        <v>-450</v>
      </c>
      <c r="C390" t="s">
        <v>50</v>
      </c>
      <c r="E390" t="str">
        <f>IF(OR(C390="Transaction",C390="Interests",C390="Misc",C390="Account Transfer"), IF(C390="Transaction", IF(B390&lt;0, "Du no", "Da thanh toan"), IF(C390="Interests", "Lai", IF(C390="Misc", "Phi", IF(C390="Account Transfer", IF(OR(ISNUMBER(SEARCH("Trich lai tra gop the TD", D390)), ISNUMBER(SEARCH("Chuyen lai tra gop con lai sang du no thong thuong khi BadDebt", D390))), IF(B390&lt;0, "Lai tra gop", ""), "" )))))) &amp; " " &amp; IF(C390="Interests", TEXT(EDATE(IF(DAY(A390)&gt;=24, A390, EDATE(A390,-1)), -1),"yyyy-mm"), TEXT(IF(DAY(A390)&gt;=24, A390, EDATE(A390,-1)),"yyyy-mm"))</f>
        <v>Phi 2022-01</v>
      </c>
      <c r="F390">
        <f>IF(ISNUMBER(B390), ROUND(SUMIFS($B$2:$B$10000, $E$2:$E$10000, E390, $B$2:$B$10000, IF(B390&lt;0, "&lt;0", "&gt;0")), 0), "")</f>
        <v>-153950</v>
      </c>
      <c r="G390" t="str">
        <f>IF(F390&gt;0, IF(C390="Transaction", "Da thanh toan", "Duong"), IF(F390&lt;0, IF(C390="Transaction", "Du no", IF(C390="Interests", "Lai phat sinh", IF(C390="Misc", "Phi", IF(C390="Account Transfer", "Lai tra gop", "Am")))), "Bang 0"))</f>
        <v>Phi</v>
      </c>
    </row>
    <row r="391" spans="1:7" x14ac:dyDescent="0.3">
      <c r="A391" s="60">
        <v>44588</v>
      </c>
      <c r="B391" s="33">
        <v>-4500</v>
      </c>
      <c r="C391" t="s">
        <v>50</v>
      </c>
      <c r="E391" t="str">
        <f>IF(OR(C391="Transaction",C391="Interests",C391="Misc",C391="Account Transfer"), IF(C391="Transaction", IF(B391&lt;0, "Du no", "Da thanh toan"), IF(C391="Interests", "Lai", IF(C391="Misc", "Phi", IF(C391="Account Transfer", IF(OR(ISNUMBER(SEARCH("Trich lai tra gop the TD", D391)), ISNUMBER(SEARCH("Chuyen lai tra gop con lai sang du no thong thuong khi BadDebt", D391))), IF(B391&lt;0, "Lai tra gop", ""), "" )))))) &amp; " " &amp; IF(C391="Interests", TEXT(EDATE(IF(DAY(A391)&gt;=24, A391, EDATE(A391,-1)), -1),"yyyy-mm"), TEXT(IF(DAY(A391)&gt;=24, A391, EDATE(A391,-1)),"yyyy-mm"))</f>
        <v>Phi 2022-01</v>
      </c>
      <c r="F391">
        <f>IF(ISNUMBER(B391), ROUND(SUMIFS($B$2:$B$10000, $E$2:$E$10000, E391, $B$2:$B$10000, IF(B391&lt;0, "&lt;0", "&gt;0")), 0), "")</f>
        <v>-153950</v>
      </c>
      <c r="G391" t="str">
        <f>IF(F391&gt;0, IF(C391="Transaction", "Da thanh toan", "Duong"), IF(F391&lt;0, IF(C391="Transaction", "Du no", IF(C391="Interests", "Lai phat sinh", IF(C391="Misc", "Phi", IF(C391="Account Transfer", "Lai tra gop", "Am")))), "Bang 0"))</f>
        <v>Phi</v>
      </c>
    </row>
    <row r="392" spans="1:7" x14ac:dyDescent="0.3">
      <c r="A392" s="60">
        <v>44585</v>
      </c>
      <c r="B392" s="33">
        <v>-1790.96</v>
      </c>
      <c r="C392" t="s">
        <v>49</v>
      </c>
      <c r="E392" t="str">
        <f>IF(OR(C392="Transaction",C392="Interests",C392="Misc",C392="Account Transfer"), IF(C392="Transaction", IF(B392&lt;0, "Du no", "Da thanh toan"), IF(C392="Interests", "Lai", IF(C392="Misc", "Phi", IF(C392="Account Transfer", IF(OR(ISNUMBER(SEARCH("Trich lai tra gop the TD", D392)), ISNUMBER(SEARCH("Chuyen lai tra gop con lai sang du no thong thuong khi BadDebt", D392))), IF(B392&lt;0, "Lai tra gop", ""), "" )))))) &amp; " " &amp; IF(C392="Interests", TEXT(EDATE(IF(DAY(A392)&gt;=24, A392, EDATE(A392,-1)), -1),"yyyy-mm"), TEXT(IF(DAY(A392)&gt;=24, A392, EDATE(A392,-1)),"yyyy-mm"))</f>
        <v>Lai 2021-12</v>
      </c>
      <c r="F392">
        <f>IF(ISNUMBER(B392), ROUND(SUMIFS($B$2:$B$10000, $E$2:$E$10000, E392, $B$2:$B$10000, IF(B392&lt;0, "&lt;0", "&gt;0")), 0), "")</f>
        <v>-33677</v>
      </c>
      <c r="G392" t="str">
        <f>IF(F392&gt;0, IF(C392="Transaction", "Da thanh toan", "Duong"), IF(F392&lt;0, IF(C392="Transaction", "Du no", IF(C392="Interests", "Lai phat sinh", IF(C392="Misc", "Phi", IF(C392="Account Transfer", "Lai tra gop", "Am")))), "Bang 0"))</f>
        <v>Lai phat sinh</v>
      </c>
    </row>
    <row r="393" spans="1:7" x14ac:dyDescent="0.3">
      <c r="A393" s="60">
        <v>44585</v>
      </c>
      <c r="B393" s="33">
        <v>-2524.1</v>
      </c>
      <c r="C393" t="s">
        <v>49</v>
      </c>
      <c r="E393" t="str">
        <f>IF(OR(C393="Transaction",C393="Interests",C393="Misc",C393="Account Transfer"), IF(C393="Transaction", IF(B393&lt;0, "Du no", "Da thanh toan"), IF(C393="Interests", "Lai", IF(C393="Misc", "Phi", IF(C393="Account Transfer", IF(OR(ISNUMBER(SEARCH("Trich lai tra gop the TD", D393)), ISNUMBER(SEARCH("Chuyen lai tra gop con lai sang du no thong thuong khi BadDebt", D393))), IF(B393&lt;0, "Lai tra gop", ""), "" )))))) &amp; " " &amp; IF(C393="Interests", TEXT(EDATE(IF(DAY(A393)&gt;=24, A393, EDATE(A393,-1)), -1),"yyyy-mm"), TEXT(IF(DAY(A393)&gt;=24, A393, EDATE(A393,-1)),"yyyy-mm"))</f>
        <v>Lai 2021-12</v>
      </c>
      <c r="F393">
        <f>IF(ISNUMBER(B393), ROUND(SUMIFS($B$2:$B$10000, $E$2:$E$10000, E393, $B$2:$B$10000, IF(B393&lt;0, "&lt;0", "&gt;0")), 0), "")</f>
        <v>-33677</v>
      </c>
      <c r="G393" t="str">
        <f>IF(F393&gt;0, IF(C393="Transaction", "Da thanh toan", "Duong"), IF(F393&lt;0, IF(C393="Transaction", "Du no", IF(C393="Interests", "Lai phat sinh", IF(C393="Misc", "Phi", IF(C393="Account Transfer", "Lai tra gop", "Am")))), "Bang 0"))</f>
        <v>Lai phat sinh</v>
      </c>
    </row>
    <row r="394" spans="1:7" x14ac:dyDescent="0.3">
      <c r="A394" s="60">
        <v>44585</v>
      </c>
      <c r="B394" s="33">
        <v>-2826.27</v>
      </c>
      <c r="C394" t="s">
        <v>49</v>
      </c>
      <c r="E394" t="str">
        <f>IF(OR(C394="Transaction",C394="Interests",C394="Misc",C394="Account Transfer"), IF(C394="Transaction", IF(B394&lt;0, "Du no", "Da thanh toan"), IF(C394="Interests", "Lai", IF(C394="Misc", "Phi", IF(C394="Account Transfer", IF(OR(ISNUMBER(SEARCH("Trich lai tra gop the TD", D394)), ISNUMBER(SEARCH("Chuyen lai tra gop con lai sang du no thong thuong khi BadDebt", D394))), IF(B394&lt;0, "Lai tra gop", ""), "" )))))) &amp; " " &amp; IF(C394="Interests", TEXT(EDATE(IF(DAY(A394)&gt;=24, A394, EDATE(A394,-1)), -1),"yyyy-mm"), TEXT(IF(DAY(A394)&gt;=24, A394, EDATE(A394,-1)),"yyyy-mm"))</f>
        <v>Lai 2021-12</v>
      </c>
      <c r="F394">
        <f>IF(ISNUMBER(B394), ROUND(SUMIFS($B$2:$B$10000, $E$2:$E$10000, E394, $B$2:$B$10000, IF(B394&lt;0, "&lt;0", "&gt;0")), 0), "")</f>
        <v>-33677</v>
      </c>
      <c r="G394" t="str">
        <f>IF(F394&gt;0, IF(C394="Transaction", "Da thanh toan", "Duong"), IF(F394&lt;0, IF(C394="Transaction", "Du no", IF(C394="Interests", "Lai phat sinh", IF(C394="Misc", "Phi", IF(C394="Account Transfer", "Lai tra gop", "Am")))), "Bang 0"))</f>
        <v>Lai phat sinh</v>
      </c>
    </row>
    <row r="395" spans="1:7" x14ac:dyDescent="0.3">
      <c r="A395" s="60">
        <v>44585</v>
      </c>
      <c r="B395" s="33">
        <v>-2649.63</v>
      </c>
      <c r="C395" t="s">
        <v>49</v>
      </c>
      <c r="E395" t="str">
        <f>IF(OR(C395="Transaction",C395="Interests",C395="Misc",C395="Account Transfer"), IF(C395="Transaction", IF(B395&lt;0, "Du no", "Da thanh toan"), IF(C395="Interests", "Lai", IF(C395="Misc", "Phi", IF(C395="Account Transfer", IF(OR(ISNUMBER(SEARCH("Trich lai tra gop the TD", D395)), ISNUMBER(SEARCH("Chuyen lai tra gop con lai sang du no thong thuong khi BadDebt", D395))), IF(B395&lt;0, "Lai tra gop", ""), "" )))))) &amp; " " &amp; IF(C395="Interests", TEXT(EDATE(IF(DAY(A395)&gt;=24, A395, EDATE(A395,-1)), -1),"yyyy-mm"), TEXT(IF(DAY(A395)&gt;=24, A395, EDATE(A395,-1)),"yyyy-mm"))</f>
        <v>Lai 2021-12</v>
      </c>
      <c r="F395">
        <f>IF(ISNUMBER(B395), ROUND(SUMIFS($B$2:$B$10000, $E$2:$E$10000, E395, $B$2:$B$10000, IF(B395&lt;0, "&lt;0", "&gt;0")), 0), "")</f>
        <v>-33677</v>
      </c>
      <c r="G395" t="str">
        <f>IF(F395&gt;0, IF(C395="Transaction", "Da thanh toan", "Duong"), IF(F395&lt;0, IF(C395="Transaction", "Du no", IF(C395="Interests", "Lai phat sinh", IF(C395="Misc", "Phi", IF(C395="Account Transfer", "Lai tra gop", "Am")))), "Bang 0"))</f>
        <v>Lai phat sinh</v>
      </c>
    </row>
    <row r="396" spans="1:7" x14ac:dyDescent="0.3">
      <c r="A396" s="60">
        <v>44585</v>
      </c>
      <c r="B396" s="33">
        <v>-22586.15</v>
      </c>
      <c r="C396" t="s">
        <v>49</v>
      </c>
      <c r="E396" t="str">
        <f>IF(OR(C396="Transaction",C396="Interests",C396="Misc",C396="Account Transfer"), IF(C396="Transaction", IF(B396&lt;0, "Du no", "Da thanh toan"), IF(C396="Interests", "Lai", IF(C396="Misc", "Phi", IF(C396="Account Transfer", IF(OR(ISNUMBER(SEARCH("Trich lai tra gop the TD", D396)), ISNUMBER(SEARCH("Chuyen lai tra gop con lai sang du no thong thuong khi BadDebt", D396))), IF(B396&lt;0, "Lai tra gop", ""), "" )))))) &amp; " " &amp; IF(C396="Interests", TEXT(EDATE(IF(DAY(A396)&gt;=24, A396, EDATE(A396,-1)), -1),"yyyy-mm"), TEXT(IF(DAY(A396)&gt;=24, A396, EDATE(A396,-1)),"yyyy-mm"))</f>
        <v>Lai 2021-12</v>
      </c>
      <c r="F396">
        <f>IF(ISNUMBER(B396), ROUND(SUMIFS($B$2:$B$10000, $E$2:$E$10000, E396, $B$2:$B$10000, IF(B396&lt;0, "&lt;0", "&gt;0")), 0), "")</f>
        <v>-33677</v>
      </c>
      <c r="G396" t="str">
        <f>IF(F396&gt;0, IF(C396="Transaction", "Da thanh toan", "Duong"), IF(F396&lt;0, IF(C396="Transaction", "Du no", IF(C396="Interests", "Lai phat sinh", IF(C396="Misc", "Phi", IF(C396="Account Transfer", "Lai tra gop", "Am")))), "Bang 0"))</f>
        <v>Lai phat sinh</v>
      </c>
    </row>
    <row r="397" spans="1:7" x14ac:dyDescent="0.3">
      <c r="A397" s="60">
        <v>44585</v>
      </c>
      <c r="B397" s="33">
        <v>-1299.7</v>
      </c>
      <c r="C397" t="s">
        <v>49</v>
      </c>
      <c r="E397" t="str">
        <f>IF(OR(C397="Transaction",C397="Interests",C397="Misc",C397="Account Transfer"), IF(C397="Transaction", IF(B397&lt;0, "Du no", "Da thanh toan"), IF(C397="Interests", "Lai", IF(C397="Misc", "Phi", IF(C397="Account Transfer", IF(OR(ISNUMBER(SEARCH("Trich lai tra gop the TD", D397)), ISNUMBER(SEARCH("Chuyen lai tra gop con lai sang du no thong thuong khi BadDebt", D397))), IF(B397&lt;0, "Lai tra gop", ""), "" )))))) &amp; " " &amp; IF(C397="Interests", TEXT(EDATE(IF(DAY(A397)&gt;=24, A397, EDATE(A397,-1)), -1),"yyyy-mm"), TEXT(IF(DAY(A397)&gt;=24, A397, EDATE(A397,-1)),"yyyy-mm"))</f>
        <v>Lai 2021-12</v>
      </c>
      <c r="F397">
        <f>IF(ISNUMBER(B397), ROUND(SUMIFS($B$2:$B$10000, $E$2:$E$10000, E397, $B$2:$B$10000, IF(B397&lt;0, "&lt;0", "&gt;0")), 0), "")</f>
        <v>-33677</v>
      </c>
      <c r="G397" t="str">
        <f>IF(F397&gt;0, IF(C397="Transaction", "Da thanh toan", "Duong"), IF(F397&lt;0, IF(C397="Transaction", "Du no", IF(C397="Interests", "Lai phat sinh", IF(C397="Misc", "Phi", IF(C397="Account Transfer", "Lai tra gop", "Am")))), "Bang 0"))</f>
        <v>Lai phat sinh</v>
      </c>
    </row>
    <row r="398" spans="1:7" x14ac:dyDescent="0.3">
      <c r="A398" s="60">
        <v>44571</v>
      </c>
      <c r="B398" s="33">
        <v>26636</v>
      </c>
      <c r="C398" t="s">
        <v>51</v>
      </c>
      <c r="D398" t="s">
        <v>53</v>
      </c>
      <c r="E398" t="str">
        <f>IF(OR(C398="Transaction",C398="Interests",C398="Misc",C398="Account Transfer"), IF(C398="Transaction", IF(B398&lt;0, "Du no", "Da thanh toan"), IF(C398="Interests", "Lai", IF(C398="Misc", "Phi", IF(C398="Account Transfer", IF(OR(ISNUMBER(SEARCH("Trich lai tra gop the TD", D398)), ISNUMBER(SEARCH("Chuyen lai tra gop con lai sang du no thong thuong khi BadDebt", D398))), IF(B398&lt;0, "Lai tra gop", ""), "" )))))) &amp; " " &amp; IF(C398="Interests", TEXT(EDATE(IF(DAY(A398)&gt;=24, A398, EDATE(A398,-1)), -1),"yyyy-mm"), TEXT(IF(DAY(A398)&gt;=24, A398, EDATE(A398,-1)),"yyyy-mm"))</f>
        <v>Da thanh toan 2021-12</v>
      </c>
      <c r="F398">
        <f>IF(ISNUMBER(B398), ROUND(SUMIFS($B$2:$B$10000, $E$2:$E$10000, E398, $B$2:$B$10000, IF(B398&lt;0, "&lt;0", "&gt;0")), 0), "")</f>
        <v>26636</v>
      </c>
      <c r="G398" t="str">
        <f>IF(F398&gt;0, IF(C398="Transaction", "Da thanh toan", "Duong"), IF(F398&lt;0, IF(C398="Transaction", "Du no", IF(C398="Interests", "Lai phat sinh", IF(C398="Misc", "Phi", IF(C398="Account Transfer", "Lai tra gop", "Am")))), "Bang 0"))</f>
        <v>Da thanh toan</v>
      </c>
    </row>
    <row r="399" spans="1:7" x14ac:dyDescent="0.3">
      <c r="A399" s="60">
        <v>44567</v>
      </c>
      <c r="B399" s="33">
        <v>-7308</v>
      </c>
      <c r="C399" t="s">
        <v>51</v>
      </c>
      <c r="D399" t="s">
        <v>783</v>
      </c>
      <c r="E399" t="str">
        <f>IF(OR(C399="Transaction",C399="Interests",C399="Misc",C399="Account Transfer"), IF(C399="Transaction", IF(B399&lt;0, "Du no", "Da thanh toan"), IF(C399="Interests", "Lai", IF(C399="Misc", "Phi", IF(C399="Account Transfer", IF(OR(ISNUMBER(SEARCH("Trich lai tra gop the TD", D399)), ISNUMBER(SEARCH("Chuyen lai tra gop con lai sang du no thong thuong khi BadDebt", D399))), IF(B399&lt;0, "Lai tra gop", ""), "" )))))) &amp; " " &amp; IF(C399="Interests", TEXT(EDATE(IF(DAY(A399)&gt;=24, A399, EDATE(A399,-1)), -1),"yyyy-mm"), TEXT(IF(DAY(A399)&gt;=24, A399, EDATE(A399,-1)),"yyyy-mm"))</f>
        <v>Du no 2021-12</v>
      </c>
      <c r="F399">
        <f>IF(ISNUMBER(B399), ROUND(SUMIFS($B$2:$B$10000, $E$2:$E$10000, E399, $B$2:$B$10000, IF(B399&lt;0, "&lt;0", "&gt;0")), 0), "")</f>
        <v>-7308</v>
      </c>
      <c r="G399" t="str">
        <f>IF(F399&gt;0, IF(C399="Transaction", "Da thanh toan", "Duong"), IF(F399&lt;0, IF(C399="Transaction", "Du no", IF(C399="Interests", "Lai phat sinh", IF(C399="Misc", "Phi", IF(C399="Account Transfer", "Lai tra gop", "Am")))), "Bang 0"))</f>
        <v>Du no</v>
      </c>
    </row>
    <row r="400" spans="1:7" x14ac:dyDescent="0.3">
      <c r="A400" s="60">
        <v>44554</v>
      </c>
      <c r="B400" s="33">
        <v>-1104.52</v>
      </c>
      <c r="C400" t="s">
        <v>49</v>
      </c>
      <c r="E400" t="str">
        <f>IF(OR(C400="Transaction",C400="Interests",C400="Misc",C400="Account Transfer"), IF(C400="Transaction", IF(B400&lt;0, "Du no", "Da thanh toan"), IF(C400="Interests", "Lai", IF(C400="Misc", "Phi", IF(C400="Account Transfer", IF(OR(ISNUMBER(SEARCH("Trich lai tra gop the TD", D400)), ISNUMBER(SEARCH("Chuyen lai tra gop con lai sang du no thong thuong khi BadDebt", D400))), IF(B400&lt;0, "Lai tra gop", ""), "" )))))) &amp; " " &amp; IF(C400="Interests", TEXT(EDATE(IF(DAY(A400)&gt;=24, A400, EDATE(A400,-1)), -1),"yyyy-mm"), TEXT(IF(DAY(A400)&gt;=24, A400, EDATE(A400,-1)),"yyyy-mm"))</f>
        <v>Lai 2021-11</v>
      </c>
      <c r="F400">
        <f>IF(ISNUMBER(B400), ROUND(SUMIFS($B$2:$B$10000, $E$2:$E$10000, E400, $B$2:$B$10000, IF(B400&lt;0, "&lt;0", "&gt;0")), 0), "")</f>
        <v>-62380</v>
      </c>
      <c r="G400" t="str">
        <f>IF(F400&gt;0, IF(C400="Transaction", "Da thanh toan", "Duong"), IF(F400&lt;0, IF(C400="Transaction", "Du no", IF(C400="Interests", "Lai phat sinh", IF(C400="Misc", "Phi", IF(C400="Account Transfer", "Lai tra gop", "Am")))), "Bang 0"))</f>
        <v>Lai phat sinh</v>
      </c>
    </row>
    <row r="401" spans="1:7" x14ac:dyDescent="0.3">
      <c r="A401" s="60">
        <v>44554</v>
      </c>
      <c r="B401" s="33">
        <v>-2712.1</v>
      </c>
      <c r="C401" t="s">
        <v>49</v>
      </c>
      <c r="E401" t="str">
        <f>IF(OR(C401="Transaction",C401="Interests",C401="Misc",C401="Account Transfer"), IF(C401="Transaction", IF(B401&lt;0, "Du no", "Da thanh toan"), IF(C401="Interests", "Lai", IF(C401="Misc", "Phi", IF(C401="Account Transfer", IF(OR(ISNUMBER(SEARCH("Trich lai tra gop the TD", D401)), ISNUMBER(SEARCH("Chuyen lai tra gop con lai sang du no thong thuong khi BadDebt", D401))), IF(B401&lt;0, "Lai tra gop", ""), "" )))))) &amp; " " &amp; IF(C401="Interests", TEXT(EDATE(IF(DAY(A401)&gt;=24, A401, EDATE(A401,-1)), -1),"yyyy-mm"), TEXT(IF(DAY(A401)&gt;=24, A401, EDATE(A401,-1)),"yyyy-mm"))</f>
        <v>Lai 2021-11</v>
      </c>
      <c r="F401">
        <f>IF(ISNUMBER(B401), ROUND(SUMIFS($B$2:$B$10000, $E$2:$E$10000, E401, $B$2:$B$10000, IF(B401&lt;0, "&lt;0", "&gt;0")), 0), "")</f>
        <v>-62380</v>
      </c>
      <c r="G401" t="str">
        <f>IF(F401&gt;0, IF(C401="Transaction", "Da thanh toan", "Duong"), IF(F401&lt;0, IF(C401="Transaction", "Du no", IF(C401="Interests", "Lai phat sinh", IF(C401="Misc", "Phi", IF(C401="Account Transfer", "Lai tra gop", "Am")))), "Bang 0"))</f>
        <v>Lai phat sinh</v>
      </c>
    </row>
    <row r="402" spans="1:7" x14ac:dyDescent="0.3">
      <c r="A402" s="60">
        <v>44554</v>
      </c>
      <c r="B402" s="33">
        <v>-706.57</v>
      </c>
      <c r="C402" t="s">
        <v>49</v>
      </c>
      <c r="E402" t="str">
        <f>IF(OR(C402="Transaction",C402="Interests",C402="Misc",C402="Account Transfer"), IF(C402="Transaction", IF(B402&lt;0, "Du no", "Da thanh toan"), IF(C402="Interests", "Lai", IF(C402="Misc", "Phi", IF(C402="Account Transfer", IF(OR(ISNUMBER(SEARCH("Trich lai tra gop the TD", D402)), ISNUMBER(SEARCH("Chuyen lai tra gop con lai sang du no thong thuong khi BadDebt", D402))), IF(B402&lt;0, "Lai tra gop", ""), "" )))))) &amp; " " &amp; IF(C402="Interests", TEXT(EDATE(IF(DAY(A402)&gt;=24, A402, EDATE(A402,-1)), -1),"yyyy-mm"), TEXT(IF(DAY(A402)&gt;=24, A402, EDATE(A402,-1)),"yyyy-mm"))</f>
        <v>Lai 2021-11</v>
      </c>
      <c r="F402">
        <f>IF(ISNUMBER(B402), ROUND(SUMIFS($B$2:$B$10000, $E$2:$E$10000, E402, $B$2:$B$10000, IF(B402&lt;0, "&lt;0", "&gt;0")), 0), "")</f>
        <v>-62380</v>
      </c>
      <c r="G402" t="str">
        <f>IF(F402&gt;0, IF(C402="Transaction", "Da thanh toan", "Duong"), IF(F402&lt;0, IF(C402="Transaction", "Du no", IF(C402="Interests", "Lai phat sinh", IF(C402="Misc", "Phi", IF(C402="Account Transfer", "Lai tra gop", "Am")))), "Bang 0"))</f>
        <v>Lai phat sinh</v>
      </c>
    </row>
    <row r="403" spans="1:7" x14ac:dyDescent="0.3">
      <c r="A403" s="60">
        <v>44554</v>
      </c>
      <c r="B403" s="33">
        <v>-2649.63</v>
      </c>
      <c r="C403" t="s">
        <v>49</v>
      </c>
      <c r="E403" t="str">
        <f>IF(OR(C403="Transaction",C403="Interests",C403="Misc",C403="Account Transfer"), IF(C403="Transaction", IF(B403&lt;0, "Du no", "Da thanh toan"), IF(C403="Interests", "Lai", IF(C403="Misc", "Phi", IF(C403="Account Transfer", IF(OR(ISNUMBER(SEARCH("Trich lai tra gop the TD", D403)), ISNUMBER(SEARCH("Chuyen lai tra gop con lai sang du no thong thuong khi BadDebt", D403))), IF(B403&lt;0, "Lai tra gop", ""), "" )))))) &amp; " " &amp; IF(C403="Interests", TEXT(EDATE(IF(DAY(A403)&gt;=24, A403, EDATE(A403,-1)), -1),"yyyy-mm"), TEXT(IF(DAY(A403)&gt;=24, A403, EDATE(A403,-1)),"yyyy-mm"))</f>
        <v>Lai 2021-11</v>
      </c>
      <c r="F403">
        <f>IF(ISNUMBER(B403), ROUND(SUMIFS($B$2:$B$10000, $E$2:$E$10000, E403, $B$2:$B$10000, IF(B403&lt;0, "&lt;0", "&gt;0")), 0), "")</f>
        <v>-62380</v>
      </c>
      <c r="G403" t="str">
        <f>IF(F403&gt;0, IF(C403="Transaction", "Da thanh toan", "Duong"), IF(F403&lt;0, IF(C403="Transaction", "Du no", IF(C403="Interests", "Lai phat sinh", IF(C403="Misc", "Phi", IF(C403="Account Transfer", "Lai tra gop", "Am")))), "Bang 0"))</f>
        <v>Lai phat sinh</v>
      </c>
    </row>
    <row r="404" spans="1:7" x14ac:dyDescent="0.3">
      <c r="A404" s="60">
        <v>44554</v>
      </c>
      <c r="B404" s="33">
        <v>-53765.39</v>
      </c>
      <c r="C404" t="s">
        <v>49</v>
      </c>
      <c r="E404" t="str">
        <f>IF(OR(C404="Transaction",C404="Interests",C404="Misc",C404="Account Transfer"), IF(C404="Transaction", IF(B404&lt;0, "Du no", "Da thanh toan"), IF(C404="Interests", "Lai", IF(C404="Misc", "Phi", IF(C404="Account Transfer", IF(OR(ISNUMBER(SEARCH("Trich lai tra gop the TD", D404)), ISNUMBER(SEARCH("Chuyen lai tra gop con lai sang du no thong thuong khi BadDebt", D404))), IF(B404&lt;0, "Lai tra gop", ""), "" )))))) &amp; " " &amp; IF(C404="Interests", TEXT(EDATE(IF(DAY(A404)&gt;=24, A404, EDATE(A404,-1)), -1),"yyyy-mm"), TEXT(IF(DAY(A404)&gt;=24, A404, EDATE(A404,-1)),"yyyy-mm"))</f>
        <v>Lai 2021-11</v>
      </c>
      <c r="F404">
        <f>IF(ISNUMBER(B404), ROUND(SUMIFS($B$2:$B$10000, $E$2:$E$10000, E404, $B$2:$B$10000, IF(B404&lt;0, "&lt;0", "&gt;0")), 0), "")</f>
        <v>-62380</v>
      </c>
      <c r="G404" t="str">
        <f>IF(F404&gt;0, IF(C404="Transaction", "Da thanh toan", "Duong"), IF(F404&lt;0, IF(C404="Transaction", "Du no", IF(C404="Interests", "Lai phat sinh", IF(C404="Misc", "Phi", IF(C404="Account Transfer", "Lai tra gop", "Am")))), "Bang 0"))</f>
        <v>Lai phat sinh</v>
      </c>
    </row>
    <row r="405" spans="1:7" x14ac:dyDescent="0.3">
      <c r="A405" s="60">
        <v>44554</v>
      </c>
      <c r="B405" s="33">
        <v>-184.47</v>
      </c>
      <c r="C405" t="s">
        <v>49</v>
      </c>
      <c r="E405" t="str">
        <f>IF(OR(C405="Transaction",C405="Interests",C405="Misc",C405="Account Transfer"), IF(C405="Transaction", IF(B405&lt;0, "Du no", "Da thanh toan"), IF(C405="Interests", "Lai", IF(C405="Misc", "Phi", IF(C405="Account Transfer", IF(OR(ISNUMBER(SEARCH("Trich lai tra gop the TD", D405)), ISNUMBER(SEARCH("Chuyen lai tra gop con lai sang du no thong thuong khi BadDebt", D405))), IF(B405&lt;0, "Lai tra gop", ""), "" )))))) &amp; " " &amp; IF(C405="Interests", TEXT(EDATE(IF(DAY(A405)&gt;=24, A405, EDATE(A405,-1)), -1),"yyyy-mm"), TEXT(IF(DAY(A405)&gt;=24, A405, EDATE(A405,-1)),"yyyy-mm"))</f>
        <v>Lai 2021-11</v>
      </c>
      <c r="F405">
        <f>IF(ISNUMBER(B405), ROUND(SUMIFS($B$2:$B$10000, $E$2:$E$10000, E405, $B$2:$B$10000, IF(B405&lt;0, "&lt;0", "&gt;0")), 0), "")</f>
        <v>-62380</v>
      </c>
      <c r="G405" t="str">
        <f>IF(F405&gt;0, IF(C405="Transaction", "Da thanh toan", "Duong"), IF(F405&lt;0, IF(C405="Transaction", "Du no", IF(C405="Interests", "Lai phat sinh", IF(C405="Misc", "Phi", IF(C405="Account Transfer", "Lai tra gop", "Am")))), "Bang 0"))</f>
        <v>Lai phat sinh</v>
      </c>
    </row>
    <row r="406" spans="1:7" x14ac:dyDescent="0.3">
      <c r="A406" s="60">
        <v>44554</v>
      </c>
      <c r="B406" s="33">
        <v>-1132</v>
      </c>
      <c r="C406" t="s">
        <v>49</v>
      </c>
      <c r="E406" t="str">
        <f>IF(OR(C406="Transaction",C406="Interests",C406="Misc",C406="Account Transfer"), IF(C406="Transaction", IF(B406&lt;0, "Du no", "Da thanh toan"), IF(C406="Interests", "Lai", IF(C406="Misc", "Phi", IF(C406="Account Transfer", IF(OR(ISNUMBER(SEARCH("Trich lai tra gop the TD", D406)), ISNUMBER(SEARCH("Chuyen lai tra gop con lai sang du no thong thuong khi BadDebt", D406))), IF(B406&lt;0, "Lai tra gop", ""), "" )))))) &amp; " " &amp; IF(C406="Interests", TEXT(EDATE(IF(DAY(A406)&gt;=24, A406, EDATE(A406,-1)), -1),"yyyy-mm"), TEXT(IF(DAY(A406)&gt;=24, A406, EDATE(A406,-1)),"yyyy-mm"))</f>
        <v>Lai 2021-11</v>
      </c>
      <c r="F406">
        <f>IF(ISNUMBER(B406), ROUND(SUMIFS($B$2:$B$10000, $E$2:$E$10000, E406, $B$2:$B$10000, IF(B406&lt;0, "&lt;0", "&gt;0")), 0), "")</f>
        <v>-62380</v>
      </c>
      <c r="G406" t="str">
        <f>IF(F406&gt;0, IF(C406="Transaction", "Da thanh toan", "Duong"), IF(F406&lt;0, IF(C406="Transaction", "Du no", IF(C406="Interests", "Lai phat sinh", IF(C406="Misc", "Phi", IF(C406="Account Transfer", "Lai tra gop", "Am")))), "Bang 0"))</f>
        <v>Lai phat sinh</v>
      </c>
    </row>
    <row r="407" spans="1:7" x14ac:dyDescent="0.3">
      <c r="A407" s="60">
        <v>44554</v>
      </c>
      <c r="B407" s="33">
        <v>-125.78</v>
      </c>
      <c r="C407" t="s">
        <v>49</v>
      </c>
      <c r="E407" t="str">
        <f>IF(OR(C407="Transaction",C407="Interests",C407="Misc",C407="Account Transfer"), IF(C407="Transaction", IF(B407&lt;0, "Du no", "Da thanh toan"), IF(C407="Interests", "Lai", IF(C407="Misc", "Phi", IF(C407="Account Transfer", IF(OR(ISNUMBER(SEARCH("Trich lai tra gop the TD", D407)), ISNUMBER(SEARCH("Chuyen lai tra gop con lai sang du no thong thuong khi BadDebt", D407))), IF(B407&lt;0, "Lai tra gop", ""), "" )))))) &amp; " " &amp; IF(C407="Interests", TEXT(EDATE(IF(DAY(A407)&gt;=24, A407, EDATE(A407,-1)), -1),"yyyy-mm"), TEXT(IF(DAY(A407)&gt;=24, A407, EDATE(A407,-1)),"yyyy-mm"))</f>
        <v>Lai 2021-11</v>
      </c>
      <c r="F407">
        <f>IF(ISNUMBER(B407), ROUND(SUMIFS($B$2:$B$10000, $E$2:$E$10000, E407, $B$2:$B$10000, IF(B407&lt;0, "&lt;0", "&gt;0")), 0), "")</f>
        <v>-62380</v>
      </c>
      <c r="G407" t="str">
        <f>IF(F407&gt;0, IF(C407="Transaction", "Da thanh toan", "Duong"), IF(F407&lt;0, IF(C407="Transaction", "Du no", IF(C407="Interests", "Lai phat sinh", IF(C407="Misc", "Phi", IF(C407="Account Transfer", "Lai tra gop", "Am")))), "Bang 0"))</f>
        <v>Lai phat sinh</v>
      </c>
    </row>
    <row r="408" spans="1:7" x14ac:dyDescent="0.3">
      <c r="A408" s="60">
        <v>44543</v>
      </c>
      <c r="B408" s="33">
        <v>1668231</v>
      </c>
      <c r="C408" t="s">
        <v>51</v>
      </c>
      <c r="D408" t="s">
        <v>53</v>
      </c>
      <c r="E408" t="str">
        <f>IF(OR(C408="Transaction",C408="Interests",C408="Misc",C408="Account Transfer"), IF(C408="Transaction", IF(B408&lt;0, "Du no", "Da thanh toan"), IF(C408="Interests", "Lai", IF(C408="Misc", "Phi", IF(C408="Account Transfer", IF(OR(ISNUMBER(SEARCH("Trich lai tra gop the TD", D408)), ISNUMBER(SEARCH("Chuyen lai tra gop con lai sang du no thong thuong khi BadDebt", D408))), IF(B408&lt;0, "Lai tra gop", ""), "" )))))) &amp; " " &amp; IF(C408="Interests", TEXT(EDATE(IF(DAY(A408)&gt;=24, A408, EDATE(A408,-1)), -1),"yyyy-mm"), TEXT(IF(DAY(A408)&gt;=24, A408, EDATE(A408,-1)),"yyyy-mm"))</f>
        <v>Da thanh toan 2021-11</v>
      </c>
      <c r="F408">
        <f>IF(ISNUMBER(B408), ROUND(SUMIFS($B$2:$B$10000, $E$2:$E$10000, E408, $B$2:$B$10000, IF(B408&lt;0, "&lt;0", "&gt;0")), 0), "")</f>
        <v>1668253</v>
      </c>
      <c r="G408" t="str">
        <f>IF(F408&gt;0, IF(C408="Transaction", "Da thanh toan", "Duong"), IF(F408&lt;0, IF(C408="Transaction", "Du no", IF(C408="Interests", "Lai phat sinh", IF(C408="Misc", "Phi", IF(C408="Account Transfer", "Lai tra gop", "Am")))), "Bang 0"))</f>
        <v>Da thanh toan</v>
      </c>
    </row>
    <row r="409" spans="1:7" x14ac:dyDescent="0.3">
      <c r="A409" s="60">
        <v>44540</v>
      </c>
      <c r="B409" s="33">
        <v>-149000</v>
      </c>
      <c r="C409" t="s">
        <v>50</v>
      </c>
      <c r="E409" t="str">
        <f>IF(OR(C409="Transaction",C409="Interests",C409="Misc",C409="Account Transfer"), IF(C409="Transaction", IF(B409&lt;0, "Du no", "Da thanh toan"), IF(C409="Interests", "Lai", IF(C409="Misc", "Phi", IF(C409="Account Transfer", IF(OR(ISNUMBER(SEARCH("Trich lai tra gop the TD", D409)), ISNUMBER(SEARCH("Chuyen lai tra gop con lai sang du no thong thuong khi BadDebt", D409))), IF(B409&lt;0, "Lai tra gop", ""), "" )))))) &amp; " " &amp; IF(C409="Interests", TEXT(EDATE(IF(DAY(A409)&gt;=24, A409, EDATE(A409,-1)), -1),"yyyy-mm"), TEXT(IF(DAY(A409)&gt;=24, A409, EDATE(A409,-1)),"yyyy-mm"))</f>
        <v>Phi 2021-11</v>
      </c>
      <c r="F409">
        <f>IF(ISNUMBER(B409), ROUND(SUMIFS($B$2:$B$10000, $E$2:$E$10000, E409, $B$2:$B$10000, IF(B409&lt;0, "&lt;0", "&gt;0")), 0), "")</f>
        <v>-153950</v>
      </c>
      <c r="G409" t="str">
        <f>IF(F409&gt;0, IF(C409="Transaction", "Da thanh toan", "Duong"), IF(F409&lt;0, IF(C409="Transaction", "Du no", IF(C409="Interests", "Lai phat sinh", IF(C409="Misc", "Phi", IF(C409="Account Transfer", "Lai tra gop", "Am")))), "Bang 0"))</f>
        <v>Phi</v>
      </c>
    </row>
    <row r="410" spans="1:7" x14ac:dyDescent="0.3">
      <c r="A410" s="60">
        <v>44531</v>
      </c>
      <c r="B410" s="33">
        <v>22</v>
      </c>
      <c r="C410" t="s">
        <v>51</v>
      </c>
      <c r="D410" t="s">
        <v>53</v>
      </c>
      <c r="E410" t="str">
        <f>IF(OR(C410="Transaction",C410="Interests",C410="Misc",C410="Account Transfer"), IF(C410="Transaction", IF(B410&lt;0, "Du no", "Da thanh toan"), IF(C410="Interests", "Lai", IF(C410="Misc", "Phi", IF(C410="Account Transfer", IF(OR(ISNUMBER(SEARCH("Trich lai tra gop the TD", D410)), ISNUMBER(SEARCH("Chuyen lai tra gop con lai sang du no thong thuong khi BadDebt", D410))), IF(B410&lt;0, "Lai tra gop", ""), "" )))))) &amp; " " &amp; IF(C410="Interests", TEXT(EDATE(IF(DAY(A410)&gt;=24, A410, EDATE(A410,-1)), -1),"yyyy-mm"), TEXT(IF(DAY(A410)&gt;=24, A410, EDATE(A410,-1)),"yyyy-mm"))</f>
        <v>Da thanh toan 2021-11</v>
      </c>
      <c r="F410">
        <f>IF(ISNUMBER(B410), ROUND(SUMIFS($B$2:$B$10000, $E$2:$E$10000, E410, $B$2:$B$10000, IF(B410&lt;0, "&lt;0", "&gt;0")), 0), "")</f>
        <v>1668253</v>
      </c>
      <c r="G410" t="str">
        <f>IF(F410&gt;0, IF(C410="Transaction", "Da thanh toan", "Duong"), IF(F410&lt;0, IF(C410="Transaction", "Du no", IF(C410="Interests", "Lai phat sinh", IF(C410="Misc", "Phi", IF(C410="Account Transfer", "Lai tra gop", "Am")))), "Bang 0"))</f>
        <v>Da thanh toan</v>
      </c>
    </row>
    <row r="411" spans="1:7" x14ac:dyDescent="0.3">
      <c r="A411" s="60">
        <v>44531</v>
      </c>
      <c r="B411" s="33">
        <v>-450</v>
      </c>
      <c r="C411" t="s">
        <v>50</v>
      </c>
      <c r="E411" t="str">
        <f>IF(OR(C411="Transaction",C411="Interests",C411="Misc",C411="Account Transfer"), IF(C411="Transaction", IF(B411&lt;0, "Du no", "Da thanh toan"), IF(C411="Interests", "Lai", IF(C411="Misc", "Phi", IF(C411="Account Transfer", IF(OR(ISNUMBER(SEARCH("Trich lai tra gop the TD", D411)), ISNUMBER(SEARCH("Chuyen lai tra gop con lai sang du no thong thuong khi BadDebt", D411))), IF(B411&lt;0, "Lai tra gop", ""), "" )))))) &amp; " " &amp; IF(C411="Interests", TEXT(EDATE(IF(DAY(A411)&gt;=24, A411, EDATE(A411,-1)), -1),"yyyy-mm"), TEXT(IF(DAY(A411)&gt;=24, A411, EDATE(A411,-1)),"yyyy-mm"))</f>
        <v>Phi 2021-11</v>
      </c>
      <c r="F411">
        <f>IF(ISNUMBER(B411), ROUND(SUMIFS($B$2:$B$10000, $E$2:$E$10000, E411, $B$2:$B$10000, IF(B411&lt;0, "&lt;0", "&gt;0")), 0), "")</f>
        <v>-153950</v>
      </c>
      <c r="G411" t="str">
        <f>IF(F411&gt;0, IF(C411="Transaction", "Da thanh toan", "Duong"), IF(F411&lt;0, IF(C411="Transaction", "Du no", IF(C411="Interests", "Lai phat sinh", IF(C411="Misc", "Phi", IF(C411="Account Transfer", "Lai tra gop", "Am")))), "Bang 0"))</f>
        <v>Phi</v>
      </c>
    </row>
    <row r="412" spans="1:7" x14ac:dyDescent="0.3">
      <c r="A412" s="60">
        <v>44531</v>
      </c>
      <c r="B412" s="33">
        <v>-4500</v>
      </c>
      <c r="C412" t="s">
        <v>50</v>
      </c>
      <c r="E412" t="str">
        <f>IF(OR(C412="Transaction",C412="Interests",C412="Misc",C412="Account Transfer"), IF(C412="Transaction", IF(B412&lt;0, "Du no", "Da thanh toan"), IF(C412="Interests", "Lai", IF(C412="Misc", "Phi", IF(C412="Account Transfer", IF(OR(ISNUMBER(SEARCH("Trich lai tra gop the TD", D412)), ISNUMBER(SEARCH("Chuyen lai tra gop con lai sang du no thong thuong khi BadDebt", D412))), IF(B412&lt;0, "Lai tra gop", ""), "" )))))) &amp; " " &amp; IF(C412="Interests", TEXT(EDATE(IF(DAY(A412)&gt;=24, A412, EDATE(A412,-1)), -1),"yyyy-mm"), TEXT(IF(DAY(A412)&gt;=24, A412, EDATE(A412,-1)),"yyyy-mm"))</f>
        <v>Phi 2021-11</v>
      </c>
      <c r="F412">
        <f>IF(ISNUMBER(B412), ROUND(SUMIFS($B$2:$B$10000, $E$2:$E$10000, E412, $B$2:$B$10000, IF(B412&lt;0, "&lt;0", "&gt;0")), 0), "")</f>
        <v>-153950</v>
      </c>
      <c r="G412" t="str">
        <f>IF(F412&gt;0, IF(C412="Transaction", "Da thanh toan", "Duong"), IF(F412&lt;0, IF(C412="Transaction", "Du no", IF(C412="Interests", "Lai phat sinh", IF(C412="Misc", "Phi", IF(C412="Account Transfer", "Lai tra gop", "Am")))), "Bang 0"))</f>
        <v>Phi</v>
      </c>
    </row>
    <row r="413" spans="1:7" x14ac:dyDescent="0.3">
      <c r="A413" s="60">
        <v>44524</v>
      </c>
      <c r="B413" s="33">
        <v>-519.47</v>
      </c>
      <c r="C413" t="s">
        <v>49</v>
      </c>
      <c r="E413" t="str">
        <f>IF(OR(C413="Transaction",C413="Interests",C413="Misc",C413="Account Transfer"), IF(C413="Transaction", IF(B413&lt;0, "Du no", "Da thanh toan"), IF(C413="Interests", "Lai", IF(C413="Misc", "Phi", IF(C413="Account Transfer", IF(OR(ISNUMBER(SEARCH("Trich lai tra gop the TD", D413)), ISNUMBER(SEARCH("Chuyen lai tra gop con lai sang du no thong thuong khi BadDebt", D413))), IF(B413&lt;0, "Lai tra gop", ""), "" )))))) &amp; " " &amp; IF(C413="Interests", TEXT(EDATE(IF(DAY(A413)&gt;=24, A413, EDATE(A413,-1)), -1),"yyyy-mm"), TEXT(IF(DAY(A413)&gt;=24, A413, EDATE(A413,-1)),"yyyy-mm"))</f>
        <v>Lai 2021-10</v>
      </c>
      <c r="F413">
        <f>IF(ISNUMBER(B413), ROUND(SUMIFS($B$2:$B$10000, $E$2:$E$10000, E413, $B$2:$B$10000, IF(B413&lt;0, "&lt;0", "&gt;0")), 0), "")</f>
        <v>-50678</v>
      </c>
      <c r="G413" t="str">
        <f>IF(F413&gt;0, IF(C413="Transaction", "Da thanh toan", "Duong"), IF(F413&lt;0, IF(C413="Transaction", "Du no", IF(C413="Interests", "Lai phat sinh", IF(C413="Misc", "Phi", IF(C413="Account Transfer", "Lai tra gop", "Am")))), "Bang 0"))</f>
        <v>Lai phat sinh</v>
      </c>
    </row>
    <row r="414" spans="1:7" x14ac:dyDescent="0.3">
      <c r="A414" s="60">
        <v>44524</v>
      </c>
      <c r="B414" s="33">
        <v>-147.66999999999999</v>
      </c>
      <c r="C414" t="s">
        <v>49</v>
      </c>
      <c r="E414" t="str">
        <f>IF(OR(C414="Transaction",C414="Interests",C414="Misc",C414="Account Transfer"), IF(C414="Transaction", IF(B414&lt;0, "Du no", "Da thanh toan"), IF(C414="Interests", "Lai", IF(C414="Misc", "Phi", IF(C414="Account Transfer", IF(OR(ISNUMBER(SEARCH("Trich lai tra gop the TD", D414)), ISNUMBER(SEARCH("Chuyen lai tra gop con lai sang du no thong thuong khi BadDebt", D414))), IF(B414&lt;0, "Lai tra gop", ""), "" )))))) &amp; " " &amp; IF(C414="Interests", TEXT(EDATE(IF(DAY(A414)&gt;=24, A414, EDATE(A414,-1)), -1),"yyyy-mm"), TEXT(IF(DAY(A414)&gt;=24, A414, EDATE(A414,-1)),"yyyy-mm"))</f>
        <v>Lai 2021-10</v>
      </c>
      <c r="F414">
        <f>IF(ISNUMBER(B414), ROUND(SUMIFS($B$2:$B$10000, $E$2:$E$10000, E414, $B$2:$B$10000, IF(B414&lt;0, "&lt;0", "&gt;0")), 0), "")</f>
        <v>-50678</v>
      </c>
      <c r="G414" t="str">
        <f>IF(F414&gt;0, IF(C414="Transaction", "Da thanh toan", "Duong"), IF(F414&lt;0, IF(C414="Transaction", "Du no", IF(C414="Interests", "Lai phat sinh", IF(C414="Misc", "Phi", IF(C414="Account Transfer", "Lai tra gop", "Am")))), "Bang 0"))</f>
        <v>Lai phat sinh</v>
      </c>
    </row>
    <row r="415" spans="1:7" x14ac:dyDescent="0.3">
      <c r="A415" s="60">
        <v>44524</v>
      </c>
      <c r="B415" s="33">
        <v>-5.68</v>
      </c>
      <c r="C415" t="s">
        <v>49</v>
      </c>
      <c r="E415" t="str">
        <f>IF(OR(C415="Transaction",C415="Interests",C415="Misc",C415="Account Transfer"), IF(C415="Transaction", IF(B415&lt;0, "Du no", "Da thanh toan"), IF(C415="Interests", "Lai", IF(C415="Misc", "Phi", IF(C415="Account Transfer", IF(OR(ISNUMBER(SEARCH("Trich lai tra gop the TD", D415)), ISNUMBER(SEARCH("Chuyen lai tra gop con lai sang du no thong thuong khi BadDebt", D415))), IF(B415&lt;0, "Lai tra gop", ""), "" )))))) &amp; " " &amp; IF(C415="Interests", TEXT(EDATE(IF(DAY(A415)&gt;=24, A415, EDATE(A415,-1)), -1),"yyyy-mm"), TEXT(IF(DAY(A415)&gt;=24, A415, EDATE(A415,-1)),"yyyy-mm"))</f>
        <v>Lai 2021-10</v>
      </c>
      <c r="F415">
        <f>IF(ISNUMBER(B415), ROUND(SUMIFS($B$2:$B$10000, $E$2:$E$10000, E415, $B$2:$B$10000, IF(B415&lt;0, "&lt;0", "&gt;0")), 0), "")</f>
        <v>-50678</v>
      </c>
      <c r="G415" t="str">
        <f>IF(F415&gt;0, IF(C415="Transaction", "Da thanh toan", "Duong"), IF(F415&lt;0, IF(C415="Transaction", "Du no", IF(C415="Interests", "Lai phat sinh", IF(C415="Misc", "Phi", IF(C415="Account Transfer", "Lai tra gop", "Am")))), "Bang 0"))</f>
        <v>Lai phat sinh</v>
      </c>
    </row>
    <row r="416" spans="1:7" x14ac:dyDescent="0.3">
      <c r="A416" s="60">
        <v>44524</v>
      </c>
      <c r="B416" s="33">
        <v>-90.87</v>
      </c>
      <c r="C416" t="s">
        <v>49</v>
      </c>
      <c r="E416" t="str">
        <f>IF(OR(C416="Transaction",C416="Interests",C416="Misc",C416="Account Transfer"), IF(C416="Transaction", IF(B416&lt;0, "Du no", "Da thanh toan"), IF(C416="Interests", "Lai", IF(C416="Misc", "Phi", IF(C416="Account Transfer", IF(OR(ISNUMBER(SEARCH("Trich lai tra gop the TD", D416)), ISNUMBER(SEARCH("Chuyen lai tra gop con lai sang du no thong thuong khi BadDebt", D416))), IF(B416&lt;0, "Lai tra gop", ""), "" )))))) &amp; " " &amp; IF(C416="Interests", TEXT(EDATE(IF(DAY(A416)&gt;=24, A416, EDATE(A416,-1)), -1),"yyyy-mm"), TEXT(IF(DAY(A416)&gt;=24, A416, EDATE(A416,-1)),"yyyy-mm"))</f>
        <v>Lai 2021-10</v>
      </c>
      <c r="F416">
        <f>IF(ISNUMBER(B416), ROUND(SUMIFS($B$2:$B$10000, $E$2:$E$10000, E416, $B$2:$B$10000, IF(B416&lt;0, "&lt;0", "&gt;0")), 0), "")</f>
        <v>-50678</v>
      </c>
      <c r="G416" t="str">
        <f>IF(F416&gt;0, IF(C416="Transaction", "Da thanh toan", "Duong"), IF(F416&lt;0, IF(C416="Transaction", "Du no", IF(C416="Interests", "Lai phat sinh", IF(C416="Misc", "Phi", IF(C416="Account Transfer", "Lai tra gop", "Am")))), "Bang 0"))</f>
        <v>Lai phat sinh</v>
      </c>
    </row>
    <row r="417" spans="1:7" x14ac:dyDescent="0.3">
      <c r="A417" s="60">
        <v>44524</v>
      </c>
      <c r="B417" s="33">
        <v>-48707.31</v>
      </c>
      <c r="C417" t="s">
        <v>49</v>
      </c>
      <c r="E417" t="str">
        <f>IF(OR(C417="Transaction",C417="Interests",C417="Misc",C417="Account Transfer"), IF(C417="Transaction", IF(B417&lt;0, "Du no", "Da thanh toan"), IF(C417="Interests", "Lai", IF(C417="Misc", "Phi", IF(C417="Account Transfer", IF(OR(ISNUMBER(SEARCH("Trich lai tra gop the TD", D417)), ISNUMBER(SEARCH("Chuyen lai tra gop con lai sang du no thong thuong khi BadDebt", D417))), IF(B417&lt;0, "Lai tra gop", ""), "" )))))) &amp; " " &amp; IF(C417="Interests", TEXT(EDATE(IF(DAY(A417)&gt;=24, A417, EDATE(A417,-1)), -1),"yyyy-mm"), TEXT(IF(DAY(A417)&gt;=24, A417, EDATE(A417,-1)),"yyyy-mm"))</f>
        <v>Lai 2021-10</v>
      </c>
      <c r="F417">
        <f>IF(ISNUMBER(B417), ROUND(SUMIFS($B$2:$B$10000, $E$2:$E$10000, E417, $B$2:$B$10000, IF(B417&lt;0, "&lt;0", "&gt;0")), 0), "")</f>
        <v>-50678</v>
      </c>
      <c r="G417" t="str">
        <f>IF(F417&gt;0, IF(C417="Transaction", "Da thanh toan", "Duong"), IF(F417&lt;0, IF(C417="Transaction", "Du no", IF(C417="Interests", "Lai phat sinh", IF(C417="Misc", "Phi", IF(C417="Account Transfer", "Lai tra gop", "Am")))), "Bang 0"))</f>
        <v>Lai phat sinh</v>
      </c>
    </row>
    <row r="418" spans="1:7" x14ac:dyDescent="0.3">
      <c r="A418" s="60">
        <v>44524</v>
      </c>
      <c r="B418" s="33">
        <v>-167.7</v>
      </c>
      <c r="C418" t="s">
        <v>49</v>
      </c>
      <c r="E418" t="str">
        <f>IF(OR(C418="Transaction",C418="Interests",C418="Misc",C418="Account Transfer"), IF(C418="Transaction", IF(B418&lt;0, "Du no", "Da thanh toan"), IF(C418="Interests", "Lai", IF(C418="Misc", "Phi", IF(C418="Account Transfer", IF(OR(ISNUMBER(SEARCH("Trich lai tra gop the TD", D418)), ISNUMBER(SEARCH("Chuyen lai tra gop con lai sang du no thong thuong khi BadDebt", D418))), IF(B418&lt;0, "Lai tra gop", ""), "" )))))) &amp; " " &amp; IF(C418="Interests", TEXT(EDATE(IF(DAY(A418)&gt;=24, A418, EDATE(A418,-1)), -1),"yyyy-mm"), TEXT(IF(DAY(A418)&gt;=24, A418, EDATE(A418,-1)),"yyyy-mm"))</f>
        <v>Lai 2021-10</v>
      </c>
      <c r="F418">
        <f>IF(ISNUMBER(B418), ROUND(SUMIFS($B$2:$B$10000, $E$2:$E$10000, E418, $B$2:$B$10000, IF(B418&lt;0, "&lt;0", "&gt;0")), 0), "")</f>
        <v>-50678</v>
      </c>
      <c r="G418" t="str">
        <f>IF(F418&gt;0, IF(C418="Transaction", "Da thanh toan", "Duong"), IF(F418&lt;0, IF(C418="Transaction", "Du no", IF(C418="Interests", "Lai phat sinh", IF(C418="Misc", "Phi", IF(C418="Account Transfer", "Lai tra gop", "Am")))), "Bang 0"))</f>
        <v>Lai phat sinh</v>
      </c>
    </row>
    <row r="419" spans="1:7" x14ac:dyDescent="0.3">
      <c r="A419" s="60">
        <v>44524</v>
      </c>
      <c r="B419" s="33">
        <v>-905.6</v>
      </c>
      <c r="C419" t="s">
        <v>49</v>
      </c>
      <c r="E419" t="str">
        <f>IF(OR(C419="Transaction",C419="Interests",C419="Misc",C419="Account Transfer"), IF(C419="Transaction", IF(B419&lt;0, "Du no", "Da thanh toan"), IF(C419="Interests", "Lai", IF(C419="Misc", "Phi", IF(C419="Account Transfer", IF(OR(ISNUMBER(SEARCH("Trich lai tra gop the TD", D419)), ISNUMBER(SEARCH("Chuyen lai tra gop con lai sang du no thong thuong khi BadDebt", D419))), IF(B419&lt;0, "Lai tra gop", ""), "" )))))) &amp; " " &amp; IF(C419="Interests", TEXT(EDATE(IF(DAY(A419)&gt;=24, A419, EDATE(A419,-1)), -1),"yyyy-mm"), TEXT(IF(DAY(A419)&gt;=24, A419, EDATE(A419,-1)),"yyyy-mm"))</f>
        <v>Lai 2021-10</v>
      </c>
      <c r="F419">
        <f>IF(ISNUMBER(B419), ROUND(SUMIFS($B$2:$B$10000, $E$2:$E$10000, E419, $B$2:$B$10000, IF(B419&lt;0, "&lt;0", "&gt;0")), 0), "")</f>
        <v>-50678</v>
      </c>
      <c r="G419" t="str">
        <f>IF(F419&gt;0, IF(C419="Transaction", "Da thanh toan", "Duong"), IF(F419&lt;0, IF(C419="Transaction", "Du no", IF(C419="Interests", "Lai phat sinh", IF(C419="Misc", "Phi", IF(C419="Account Transfer", "Lai tra gop", "Am")))), "Bang 0"))</f>
        <v>Lai phat sinh</v>
      </c>
    </row>
    <row r="420" spans="1:7" x14ac:dyDescent="0.3">
      <c r="A420" s="60">
        <v>44524</v>
      </c>
      <c r="B420" s="33">
        <v>-134.16</v>
      </c>
      <c r="C420" t="s">
        <v>49</v>
      </c>
      <c r="E420" t="str">
        <f>IF(OR(C420="Transaction",C420="Interests",C420="Misc",C420="Account Transfer"), IF(C420="Transaction", IF(B420&lt;0, "Du no", "Da thanh toan"), IF(C420="Interests", "Lai", IF(C420="Misc", "Phi", IF(C420="Account Transfer", IF(OR(ISNUMBER(SEARCH("Trich lai tra gop the TD", D420)), ISNUMBER(SEARCH("Chuyen lai tra gop con lai sang du no thong thuong khi BadDebt", D420))), IF(B420&lt;0, "Lai tra gop", ""), "" )))))) &amp; " " &amp; IF(C420="Interests", TEXT(EDATE(IF(DAY(A420)&gt;=24, A420, EDATE(A420,-1)), -1),"yyyy-mm"), TEXT(IF(DAY(A420)&gt;=24, A420, EDATE(A420,-1)),"yyyy-mm"))</f>
        <v>Lai 2021-10</v>
      </c>
      <c r="F420">
        <f>IF(ISNUMBER(B420), ROUND(SUMIFS($B$2:$B$10000, $E$2:$E$10000, E420, $B$2:$B$10000, IF(B420&lt;0, "&lt;0", "&gt;0")), 0), "")</f>
        <v>-50678</v>
      </c>
      <c r="G420" t="str">
        <f>IF(F420&gt;0, IF(C420="Transaction", "Da thanh toan", "Duong"), IF(F420&lt;0, IF(C420="Transaction", "Du no", IF(C420="Interests", "Lai phat sinh", IF(C420="Misc", "Phi", IF(C420="Account Transfer", "Lai tra gop", "Am")))), "Bang 0"))</f>
        <v>Lai phat sinh</v>
      </c>
    </row>
    <row r="421" spans="1:7" x14ac:dyDescent="0.3">
      <c r="A421" s="60">
        <v>44518</v>
      </c>
      <c r="B421" s="33">
        <v>263586</v>
      </c>
      <c r="C421" t="s">
        <v>51</v>
      </c>
      <c r="D421" t="s">
        <v>53</v>
      </c>
      <c r="E421" t="str">
        <f>IF(OR(C421="Transaction",C421="Interests",C421="Misc",C421="Account Transfer"), IF(C421="Transaction", IF(B421&lt;0, "Du no", "Da thanh toan"), IF(C421="Interests", "Lai", IF(C421="Misc", "Phi", IF(C421="Account Transfer", IF(OR(ISNUMBER(SEARCH("Trich lai tra gop the TD", D421)), ISNUMBER(SEARCH("Chuyen lai tra gop con lai sang du no thong thuong khi BadDebt", D421))), IF(B421&lt;0, "Lai tra gop", ""), "" )))))) &amp; " " &amp; IF(C421="Interests", TEXT(EDATE(IF(DAY(A421)&gt;=24, A421, EDATE(A421,-1)), -1),"yyyy-mm"), TEXT(IF(DAY(A421)&gt;=24, A421, EDATE(A421,-1)),"yyyy-mm"))</f>
        <v>Da thanh toan 2021-10</v>
      </c>
      <c r="F421">
        <f>IF(ISNUMBER(B421), ROUND(SUMIFS($B$2:$B$10000, $E$2:$E$10000, E421, $B$2:$B$10000, IF(B421&lt;0, "&lt;0", "&gt;0")), 0), "")</f>
        <v>1128199</v>
      </c>
      <c r="G421" t="str">
        <f>IF(F421&gt;0, IF(C421="Transaction", "Da thanh toan", "Duong"), IF(F421&lt;0, IF(C421="Transaction", "Du no", IF(C421="Interests", "Lai phat sinh", IF(C421="Misc", "Phi", IF(C421="Account Transfer", "Lai tra gop", "Am")))), "Bang 0"))</f>
        <v>Da thanh toan</v>
      </c>
    </row>
    <row r="422" spans="1:7" x14ac:dyDescent="0.3">
      <c r="A422" s="60">
        <v>44510</v>
      </c>
      <c r="B422" s="33">
        <v>864613</v>
      </c>
      <c r="C422" t="s">
        <v>51</v>
      </c>
      <c r="D422" t="s">
        <v>53</v>
      </c>
      <c r="E422" t="str">
        <f>IF(OR(C422="Transaction",C422="Interests",C422="Misc",C422="Account Transfer"), IF(C422="Transaction", IF(B422&lt;0, "Du no", "Da thanh toan"), IF(C422="Interests", "Lai", IF(C422="Misc", "Phi", IF(C422="Account Transfer", IF(OR(ISNUMBER(SEARCH("Trich lai tra gop the TD", D422)), ISNUMBER(SEARCH("Chuyen lai tra gop con lai sang du no thong thuong khi BadDebt", D422))), IF(B422&lt;0, "Lai tra gop", ""), "" )))))) &amp; " " &amp; IF(C422="Interests", TEXT(EDATE(IF(DAY(A422)&gt;=24, A422, EDATE(A422,-1)), -1),"yyyy-mm"), TEXT(IF(DAY(A422)&gt;=24, A422, EDATE(A422,-1)),"yyyy-mm"))</f>
        <v>Da thanh toan 2021-10</v>
      </c>
      <c r="F422">
        <f>IF(ISNUMBER(B422), ROUND(SUMIFS($B$2:$B$10000, $E$2:$E$10000, E422, $B$2:$B$10000, IF(B422&lt;0, "&lt;0", "&gt;0")), 0), "")</f>
        <v>1128199</v>
      </c>
      <c r="G422" t="str">
        <f>IF(F422&gt;0, IF(C422="Transaction", "Da thanh toan", "Duong"), IF(F422&lt;0, IF(C422="Transaction", "Du no", IF(C422="Interests", "Lai phat sinh", IF(C422="Misc", "Phi", IF(C422="Account Transfer", "Lai tra gop", "Am")))), "Bang 0"))</f>
        <v>Da thanh toan</v>
      </c>
    </row>
    <row r="423" spans="1:7" x14ac:dyDescent="0.3">
      <c r="A423" s="60">
        <v>44509</v>
      </c>
      <c r="B423" s="33">
        <v>2709873</v>
      </c>
      <c r="C423" t="s">
        <v>753</v>
      </c>
      <c r="D423" t="s">
        <v>784</v>
      </c>
      <c r="E423" t="str">
        <f>IF(OR(C423="Transaction",C423="Interests",C423="Misc",C423="Account Transfer"), IF(C423="Transaction", IF(B423&lt;0, "Du no", "Da thanh toan"), IF(C423="Interests", "Lai", IF(C423="Misc", "Phi", IF(C423="Account Transfer", IF(OR(ISNUMBER(SEARCH("Trich lai tra gop the TD", D423)), ISNUMBER(SEARCH("Chuyen lai tra gop con lai sang du no thong thuong khi BadDebt", D423))), IF(B423&lt;0, "Lai tra gop", ""), "" )))))) &amp; " " &amp; IF(C423="Interests", TEXT(EDATE(IF(DAY(A423)&gt;=24, A423, EDATE(A423,-1)), -1),"yyyy-mm"), TEXT(IF(DAY(A423)&gt;=24, A423, EDATE(A423,-1)),"yyyy-mm"))</f>
        <v xml:space="preserve"> 2021-10</v>
      </c>
      <c r="F423">
        <f>IF(ISNUMBER(B423), ROUND(SUMIFS($B$2:$B$10000, $E$2:$E$10000, E423, $B$2:$B$10000, IF(B423&lt;0, "&lt;0", "&gt;0")), 0), "")</f>
        <v>2709873</v>
      </c>
      <c r="G423" t="str">
        <f>IF(F423&gt;0, IF(C423="Transaction", "Da thanh toan", "Duong"), IF(F423&lt;0, IF(C423="Transaction", "Du no", IF(C423="Interests", "Lai phat sinh", IF(C423="Misc", "Phi", IF(C423="Account Transfer", "Lai tra gop", "Am")))), "Bang 0"))</f>
        <v>Duong</v>
      </c>
    </row>
    <row r="424" spans="1:7" x14ac:dyDescent="0.3">
      <c r="A424" s="60">
        <v>44509</v>
      </c>
      <c r="B424" s="33">
        <v>-149000</v>
      </c>
      <c r="C424" t="s">
        <v>50</v>
      </c>
      <c r="E424" t="str">
        <f>IF(OR(C424="Transaction",C424="Interests",C424="Misc",C424="Account Transfer"), IF(C424="Transaction", IF(B424&lt;0, "Du no", "Da thanh toan"), IF(C424="Interests", "Lai", IF(C424="Misc", "Phi", IF(C424="Account Transfer", IF(OR(ISNUMBER(SEARCH("Trich lai tra gop the TD", D424)), ISNUMBER(SEARCH("Chuyen lai tra gop con lai sang du no thong thuong khi BadDebt", D424))), IF(B424&lt;0, "Lai tra gop", ""), "" )))))) &amp; " " &amp; IF(C424="Interests", TEXT(EDATE(IF(DAY(A424)&gt;=24, A424, EDATE(A424,-1)), -1),"yyyy-mm"), TEXT(IF(DAY(A424)&gt;=24, A424, EDATE(A424,-1)),"yyyy-mm"))</f>
        <v>Phi 2021-10</v>
      </c>
      <c r="F424">
        <f>IF(ISNUMBER(B424), ROUND(SUMIFS($B$2:$B$10000, $E$2:$E$10000, E424, $B$2:$B$10000, IF(B424&lt;0, "&lt;0", "&gt;0")), 0), "")</f>
        <v>-153950</v>
      </c>
      <c r="G424" t="str">
        <f>IF(F424&gt;0, IF(C424="Transaction", "Da thanh toan", "Duong"), IF(F424&lt;0, IF(C424="Transaction", "Du no", IF(C424="Interests", "Lai phat sinh", IF(C424="Misc", "Phi", IF(C424="Account Transfer", "Lai tra gop", "Am")))), "Bang 0"))</f>
        <v>Phi</v>
      </c>
    </row>
    <row r="425" spans="1:7" x14ac:dyDescent="0.3">
      <c r="A425" s="60">
        <v>44509</v>
      </c>
      <c r="B425" s="33">
        <v>-2709873</v>
      </c>
      <c r="C425" t="s">
        <v>753</v>
      </c>
      <c r="D425" t="s">
        <v>784</v>
      </c>
      <c r="E425" t="str">
        <f>IF(OR(C425="Transaction",C425="Interests",C425="Misc",C425="Account Transfer"), IF(C425="Transaction", IF(B425&lt;0, "Du no", "Da thanh toan"), IF(C425="Interests", "Lai", IF(C425="Misc", "Phi", IF(C425="Account Transfer", IF(OR(ISNUMBER(SEARCH("Trich lai tra gop the TD", D425)), ISNUMBER(SEARCH("Chuyen lai tra gop con lai sang du no thong thuong khi BadDebt", D425))), IF(B425&lt;0, "Lai tra gop", ""), "" )))))) &amp; " " &amp; IF(C425="Interests", TEXT(EDATE(IF(DAY(A425)&gt;=24, A425, EDATE(A425,-1)), -1),"yyyy-mm"), TEXT(IF(DAY(A425)&gt;=24, A425, EDATE(A425,-1)),"yyyy-mm"))</f>
        <v xml:space="preserve"> 2021-10</v>
      </c>
      <c r="F425">
        <f>IF(ISNUMBER(B425), ROUND(SUMIFS($B$2:$B$10000, $E$2:$E$10000, E425, $B$2:$B$10000, IF(B425&lt;0, "&lt;0", "&gt;0")), 0), "")</f>
        <v>-2709873</v>
      </c>
      <c r="G425" t="str">
        <f>IF(F425&gt;0, IF(C425="Transaction", "Da thanh toan", "Duong"), IF(F425&lt;0, IF(C425="Transaction", "Du no", IF(C425="Interests", "Lai phat sinh", IF(C425="Misc", "Phi", IF(C425="Account Transfer", "Lai tra gop", "Am")))), "Bang 0"))</f>
        <v>Lai tra gop</v>
      </c>
    </row>
    <row r="426" spans="1:7" x14ac:dyDescent="0.3">
      <c r="A426" s="60">
        <v>44502</v>
      </c>
      <c r="B426" s="33">
        <v>-7308</v>
      </c>
      <c r="C426" t="s">
        <v>51</v>
      </c>
      <c r="D426" t="s">
        <v>785</v>
      </c>
      <c r="E426" t="str">
        <f>IF(OR(C426="Transaction",C426="Interests",C426="Misc",C426="Account Transfer"), IF(C426="Transaction", IF(B426&lt;0, "Du no", "Da thanh toan"), IF(C426="Interests", "Lai", IF(C426="Misc", "Phi", IF(C426="Account Transfer", IF(OR(ISNUMBER(SEARCH("Trich lai tra gop the TD", D426)), ISNUMBER(SEARCH("Chuyen lai tra gop con lai sang du no thong thuong khi BadDebt", D426))), IF(B426&lt;0, "Lai tra gop", ""), "" )))))) &amp; " " &amp; IF(C426="Interests", TEXT(EDATE(IF(DAY(A426)&gt;=24, A426, EDATE(A426,-1)), -1),"yyyy-mm"), TEXT(IF(DAY(A426)&gt;=24, A426, EDATE(A426,-1)),"yyyy-mm"))</f>
        <v>Du no 2021-10</v>
      </c>
      <c r="F426">
        <f>IF(ISNUMBER(B426), ROUND(SUMIFS($B$2:$B$10000, $E$2:$E$10000, E426, $B$2:$B$10000, IF(B426&lt;0, "&lt;0", "&gt;0")), 0), "")</f>
        <v>-7308</v>
      </c>
      <c r="G426" t="str">
        <f>IF(F426&gt;0, IF(C426="Transaction", "Da thanh toan", "Duong"), IF(F426&lt;0, IF(C426="Transaction", "Du no", IF(C426="Interests", "Lai phat sinh", IF(C426="Misc", "Phi", IF(C426="Account Transfer", "Lai tra gop", "Am")))), "Bang 0"))</f>
        <v>Du no</v>
      </c>
    </row>
    <row r="427" spans="1:7" x14ac:dyDescent="0.3">
      <c r="A427" s="60">
        <v>44498</v>
      </c>
      <c r="B427" s="33">
        <v>-450</v>
      </c>
      <c r="C427" t="s">
        <v>50</v>
      </c>
      <c r="E427" t="str">
        <f>IF(OR(C427="Transaction",C427="Interests",C427="Misc",C427="Account Transfer"), IF(C427="Transaction", IF(B427&lt;0, "Du no", "Da thanh toan"), IF(C427="Interests", "Lai", IF(C427="Misc", "Phi", IF(C427="Account Transfer", IF(OR(ISNUMBER(SEARCH("Trich lai tra gop the TD", D427)), ISNUMBER(SEARCH("Chuyen lai tra gop con lai sang du no thong thuong khi BadDebt", D427))), IF(B427&lt;0, "Lai tra gop", ""), "" )))))) &amp; " " &amp; IF(C427="Interests", TEXT(EDATE(IF(DAY(A427)&gt;=24, A427, EDATE(A427,-1)), -1),"yyyy-mm"), TEXT(IF(DAY(A427)&gt;=24, A427, EDATE(A427,-1)),"yyyy-mm"))</f>
        <v>Phi 2021-10</v>
      </c>
      <c r="F427">
        <f>IF(ISNUMBER(B427), ROUND(SUMIFS($B$2:$B$10000, $E$2:$E$10000, E427, $B$2:$B$10000, IF(B427&lt;0, "&lt;0", "&gt;0")), 0), "")</f>
        <v>-153950</v>
      </c>
      <c r="G427" t="str">
        <f>IF(F427&gt;0, IF(C427="Transaction", "Da thanh toan", "Duong"), IF(F427&lt;0, IF(C427="Transaction", "Du no", IF(C427="Interests", "Lai phat sinh", IF(C427="Misc", "Phi", IF(C427="Account Transfer", "Lai tra gop", "Am")))), "Bang 0"))</f>
        <v>Phi</v>
      </c>
    </row>
    <row r="428" spans="1:7" x14ac:dyDescent="0.3">
      <c r="A428" s="60">
        <v>44498</v>
      </c>
      <c r="B428" s="33">
        <v>-4500</v>
      </c>
      <c r="C428" t="s">
        <v>50</v>
      </c>
      <c r="E428" t="str">
        <f>IF(OR(C428="Transaction",C428="Interests",C428="Misc",C428="Account Transfer"), IF(C428="Transaction", IF(B428&lt;0, "Du no", "Da thanh toan"), IF(C428="Interests", "Lai", IF(C428="Misc", "Phi", IF(C428="Account Transfer", IF(OR(ISNUMBER(SEARCH("Trich lai tra gop the TD", D428)), ISNUMBER(SEARCH("Chuyen lai tra gop con lai sang du no thong thuong khi BadDebt", D428))), IF(B428&lt;0, "Lai tra gop", ""), "" )))))) &amp; " " &amp; IF(C428="Interests", TEXT(EDATE(IF(DAY(A428)&gt;=24, A428, EDATE(A428,-1)), -1),"yyyy-mm"), TEXT(IF(DAY(A428)&gt;=24, A428, EDATE(A428,-1)),"yyyy-mm"))</f>
        <v>Phi 2021-10</v>
      </c>
      <c r="F428">
        <f>IF(ISNUMBER(B428), ROUND(SUMIFS($B$2:$B$10000, $E$2:$E$10000, E428, $B$2:$B$10000, IF(B428&lt;0, "&lt;0", "&gt;0")), 0), "")</f>
        <v>-153950</v>
      </c>
      <c r="G428" t="str">
        <f>IF(F428&gt;0, IF(C428="Transaction", "Da thanh toan", "Duong"), IF(F428&lt;0, IF(C428="Transaction", "Du no", IF(C428="Interests", "Lai phat sinh", IF(C428="Misc", "Phi", IF(C428="Account Transfer", "Lai tra gop", "Am")))), "Bang 0"))</f>
        <v>Phi</v>
      </c>
    </row>
    <row r="429" spans="1:7" x14ac:dyDescent="0.3">
      <c r="A429" s="60">
        <v>44493</v>
      </c>
      <c r="B429" s="33">
        <v>-346.17</v>
      </c>
      <c r="C429" t="s">
        <v>49</v>
      </c>
      <c r="E429" t="str">
        <f>IF(OR(C429="Transaction",C429="Interests",C429="Misc",C429="Account Transfer"), IF(C429="Transaction", IF(B429&lt;0, "Du no", "Da thanh toan"), IF(C429="Interests", "Lai", IF(C429="Misc", "Phi", IF(C429="Account Transfer", IF(OR(ISNUMBER(SEARCH("Trich lai tra gop the TD", D429)), ISNUMBER(SEARCH("Chuyen lai tra gop con lai sang du no thong thuong khi BadDebt", D429))), IF(B429&lt;0, "Lai tra gop", ""), "" )))))) &amp; " " &amp; IF(C429="Interests", TEXT(EDATE(IF(DAY(A429)&gt;=24, A429, EDATE(A429,-1)), -1),"yyyy-mm"), TEXT(IF(DAY(A429)&gt;=24, A429, EDATE(A429,-1)),"yyyy-mm"))</f>
        <v>Lai 2021-09</v>
      </c>
      <c r="F429">
        <f>IF(ISNUMBER(B429), ROUND(SUMIFS($B$2:$B$10000, $E$2:$E$10000, E429, $B$2:$B$10000, IF(B429&lt;0, "&lt;0", "&gt;0")), 0), "")</f>
        <v>-26632</v>
      </c>
      <c r="G429" t="str">
        <f>IF(F429&gt;0, IF(C429="Transaction", "Da thanh toan", "Duong"), IF(F429&lt;0, IF(C429="Transaction", "Du no", IF(C429="Interests", "Lai phat sinh", IF(C429="Misc", "Phi", IF(C429="Account Transfer", "Lai tra gop", "Am")))), "Bang 0"))</f>
        <v>Lai phat sinh</v>
      </c>
    </row>
    <row r="430" spans="1:7" x14ac:dyDescent="0.3">
      <c r="A430" s="60">
        <v>44493</v>
      </c>
      <c r="B430" s="33">
        <v>-2700.74</v>
      </c>
      <c r="C430" t="s">
        <v>49</v>
      </c>
      <c r="E430" t="str">
        <f>IF(OR(C430="Transaction",C430="Interests",C430="Misc",C430="Account Transfer"), IF(C430="Transaction", IF(B430&lt;0, "Du no", "Da thanh toan"), IF(C430="Interests", "Lai", IF(C430="Misc", "Phi", IF(C430="Account Transfer", IF(OR(ISNUMBER(SEARCH("Trich lai tra gop the TD", D430)), ISNUMBER(SEARCH("Chuyen lai tra gop con lai sang du no thong thuong khi BadDebt", D430))), IF(B430&lt;0, "Lai tra gop", ""), "" )))))) &amp; " " &amp; IF(C430="Interests", TEXT(EDATE(IF(DAY(A430)&gt;=24, A430, EDATE(A430,-1)), -1),"yyyy-mm"), TEXT(IF(DAY(A430)&gt;=24, A430, EDATE(A430,-1)),"yyyy-mm"))</f>
        <v>Lai 2021-09</v>
      </c>
      <c r="F430">
        <f>IF(ISNUMBER(B430), ROUND(SUMIFS($B$2:$B$10000, $E$2:$E$10000, E430, $B$2:$B$10000, IF(B430&lt;0, "&lt;0", "&gt;0")), 0), "")</f>
        <v>-26632</v>
      </c>
      <c r="G430" t="str">
        <f>IF(F430&gt;0, IF(C430="Transaction", "Da thanh toan", "Duong"), IF(F430&lt;0, IF(C430="Transaction", "Du no", IF(C430="Interests", "Lai phat sinh", IF(C430="Misc", "Phi", IF(C430="Account Transfer", "Lai tra gop", "Am")))), "Bang 0"))</f>
        <v>Lai phat sinh</v>
      </c>
    </row>
    <row r="431" spans="1:7" x14ac:dyDescent="0.3">
      <c r="A431" s="60">
        <v>44493</v>
      </c>
      <c r="B431" s="33">
        <v>-353.28</v>
      </c>
      <c r="C431" t="s">
        <v>49</v>
      </c>
      <c r="E431" t="str">
        <f>IF(OR(C431="Transaction",C431="Interests",C431="Misc",C431="Account Transfer"), IF(C431="Transaction", IF(B431&lt;0, "Du no", "Da thanh toan"), IF(C431="Interests", "Lai", IF(C431="Misc", "Phi", IF(C431="Account Transfer", IF(OR(ISNUMBER(SEARCH("Trich lai tra gop the TD", D431)), ISNUMBER(SEARCH("Chuyen lai tra gop con lai sang du no thong thuong khi BadDebt", D431))), IF(B431&lt;0, "Lai tra gop", ""), "" )))))) &amp; " " &amp; IF(C431="Interests", TEXT(EDATE(IF(DAY(A431)&gt;=24, A431, EDATE(A431,-1)), -1),"yyyy-mm"), TEXT(IF(DAY(A431)&gt;=24, A431, EDATE(A431,-1)),"yyyy-mm"))</f>
        <v>Lai 2021-09</v>
      </c>
      <c r="F431">
        <f>IF(ISNUMBER(B431), ROUND(SUMIFS($B$2:$B$10000, $E$2:$E$10000, E431, $B$2:$B$10000, IF(B431&lt;0, "&lt;0", "&gt;0")), 0), "")</f>
        <v>-26632</v>
      </c>
      <c r="G431" t="str">
        <f>IF(F431&gt;0, IF(C431="Transaction", "Da thanh toan", "Duong"), IF(F431&lt;0, IF(C431="Transaction", "Du no", IF(C431="Interests", "Lai phat sinh", IF(C431="Misc", "Phi", IF(C431="Account Transfer", "Lai tra gop", "Am")))), "Bang 0"))</f>
        <v>Lai phat sinh</v>
      </c>
    </row>
    <row r="432" spans="1:7" x14ac:dyDescent="0.3">
      <c r="A432" s="60">
        <v>44493</v>
      </c>
      <c r="B432" s="33">
        <v>-2649.63</v>
      </c>
      <c r="C432" t="s">
        <v>49</v>
      </c>
      <c r="E432" t="str">
        <f>IF(OR(C432="Transaction",C432="Interests",C432="Misc",C432="Account Transfer"), IF(C432="Transaction", IF(B432&lt;0, "Du no", "Da thanh toan"), IF(C432="Interests", "Lai", IF(C432="Misc", "Phi", IF(C432="Account Transfer", IF(OR(ISNUMBER(SEARCH("Trich lai tra gop the TD", D432)), ISNUMBER(SEARCH("Chuyen lai tra gop con lai sang du no thong thuong khi BadDebt", D432))), IF(B432&lt;0, "Lai tra gop", ""), "" )))))) &amp; " " &amp; IF(C432="Interests", TEXT(EDATE(IF(DAY(A432)&gt;=24, A432, EDATE(A432,-1)), -1),"yyyy-mm"), TEXT(IF(DAY(A432)&gt;=24, A432, EDATE(A432,-1)),"yyyy-mm"))</f>
        <v>Lai 2021-09</v>
      </c>
      <c r="F432">
        <f>IF(ISNUMBER(B432), ROUND(SUMIFS($B$2:$B$10000, $E$2:$E$10000, E432, $B$2:$B$10000, IF(B432&lt;0, "&lt;0", "&gt;0")), 0), "")</f>
        <v>-26632</v>
      </c>
      <c r="G432" t="str">
        <f>IF(F432&gt;0, IF(C432="Transaction", "Da thanh toan", "Duong"), IF(F432&lt;0, IF(C432="Transaction", "Du no", IF(C432="Interests", "Lai phat sinh", IF(C432="Misc", "Phi", IF(C432="Account Transfer", "Lai tra gop", "Am")))), "Bang 0"))</f>
        <v>Lai phat sinh</v>
      </c>
    </row>
    <row r="433" spans="1:7" x14ac:dyDescent="0.3">
      <c r="A433" s="60">
        <v>44493</v>
      </c>
      <c r="B433" s="33">
        <v>-19676.46</v>
      </c>
      <c r="C433" t="s">
        <v>49</v>
      </c>
      <c r="E433" t="str">
        <f>IF(OR(C433="Transaction",C433="Interests",C433="Misc",C433="Account Transfer"), IF(C433="Transaction", IF(B433&lt;0, "Du no", "Da thanh toan"), IF(C433="Interests", "Lai", IF(C433="Misc", "Phi", IF(C433="Account Transfer", IF(OR(ISNUMBER(SEARCH("Trich lai tra gop the TD", D433)), ISNUMBER(SEARCH("Chuyen lai tra gop con lai sang du no thong thuong khi BadDebt", D433))), IF(B433&lt;0, "Lai tra gop", ""), "" )))))) &amp; " " &amp; IF(C433="Interests", TEXT(EDATE(IF(DAY(A433)&gt;=24, A433, EDATE(A433,-1)), -1),"yyyy-mm"), TEXT(IF(DAY(A433)&gt;=24, A433, EDATE(A433,-1)),"yyyy-mm"))</f>
        <v>Lai 2021-09</v>
      </c>
      <c r="F433">
        <f>IF(ISNUMBER(B433), ROUND(SUMIFS($B$2:$B$10000, $E$2:$E$10000, E433, $B$2:$B$10000, IF(B433&lt;0, "&lt;0", "&gt;0")), 0), "")</f>
        <v>-26632</v>
      </c>
      <c r="G433" t="str">
        <f>IF(F433&gt;0, IF(C433="Transaction", "Da thanh toan", "Duong"), IF(F433&lt;0, IF(C433="Transaction", "Du no", IF(C433="Interests", "Lai phat sinh", IF(C433="Misc", "Phi", IF(C433="Account Transfer", "Lai tra gop", "Am")))), "Bang 0"))</f>
        <v>Lai phat sinh</v>
      </c>
    </row>
    <row r="434" spans="1:7" x14ac:dyDescent="0.3">
      <c r="A434" s="60">
        <v>44493</v>
      </c>
      <c r="B434" s="33">
        <v>-150.93</v>
      </c>
      <c r="C434" t="s">
        <v>49</v>
      </c>
      <c r="E434" t="str">
        <f>IF(OR(C434="Transaction",C434="Interests",C434="Misc",C434="Account Transfer"), IF(C434="Transaction", IF(B434&lt;0, "Du no", "Da thanh toan"), IF(C434="Interests", "Lai", IF(C434="Misc", "Phi", IF(C434="Account Transfer", IF(OR(ISNUMBER(SEARCH("Trich lai tra gop the TD", D434)), ISNUMBER(SEARCH("Chuyen lai tra gop con lai sang du no thong thuong khi BadDebt", D434))), IF(B434&lt;0, "Lai tra gop", ""), "" )))))) &amp; " " &amp; IF(C434="Interests", TEXT(EDATE(IF(DAY(A434)&gt;=24, A434, EDATE(A434,-1)), -1),"yyyy-mm"), TEXT(IF(DAY(A434)&gt;=24, A434, EDATE(A434,-1)),"yyyy-mm"))</f>
        <v>Lai 2021-09</v>
      </c>
      <c r="F434">
        <f>IF(ISNUMBER(B434), ROUND(SUMIFS($B$2:$B$10000, $E$2:$E$10000, E434, $B$2:$B$10000, IF(B434&lt;0, "&lt;0", "&gt;0")), 0), "")</f>
        <v>-26632</v>
      </c>
      <c r="G434" t="str">
        <f>IF(F434&gt;0, IF(C434="Transaction", "Da thanh toan", "Duong"), IF(F434&lt;0, IF(C434="Transaction", "Du no", IF(C434="Interests", "Lai phat sinh", IF(C434="Misc", "Phi", IF(C434="Account Transfer", "Lai tra gop", "Am")))), "Bang 0"))</f>
        <v>Lai phat sinh</v>
      </c>
    </row>
    <row r="435" spans="1:7" x14ac:dyDescent="0.3">
      <c r="A435" s="60">
        <v>44493</v>
      </c>
      <c r="B435" s="33">
        <v>-628.89</v>
      </c>
      <c r="C435" t="s">
        <v>49</v>
      </c>
      <c r="E435" t="str">
        <f>IF(OR(C435="Transaction",C435="Interests",C435="Misc",C435="Account Transfer"), IF(C435="Transaction", IF(B435&lt;0, "Du no", "Da thanh toan"), IF(C435="Interests", "Lai", IF(C435="Misc", "Phi", IF(C435="Account Transfer", IF(OR(ISNUMBER(SEARCH("Trich lai tra gop the TD", D435)), ISNUMBER(SEARCH("Chuyen lai tra gop con lai sang du no thong thuong khi BadDebt", D435))), IF(B435&lt;0, "Lai tra gop", ""), "" )))))) &amp; " " &amp; IF(C435="Interests", TEXT(EDATE(IF(DAY(A435)&gt;=24, A435, EDATE(A435,-1)), -1),"yyyy-mm"), TEXT(IF(DAY(A435)&gt;=24, A435, EDATE(A435,-1)),"yyyy-mm"))</f>
        <v>Lai 2021-09</v>
      </c>
      <c r="F435">
        <f>IF(ISNUMBER(B435), ROUND(SUMIFS($B$2:$B$10000, $E$2:$E$10000, E435, $B$2:$B$10000, IF(B435&lt;0, "&lt;0", "&gt;0")), 0), "")</f>
        <v>-26632</v>
      </c>
      <c r="G435" t="str">
        <f>IF(F435&gt;0, IF(C435="Transaction", "Da thanh toan", "Duong"), IF(F435&lt;0, IF(C435="Transaction", "Du no", IF(C435="Interests", "Lai phat sinh", IF(C435="Misc", "Phi", IF(C435="Account Transfer", "Lai tra gop", "Am")))), "Bang 0"))</f>
        <v>Lai phat sinh</v>
      </c>
    </row>
    <row r="436" spans="1:7" x14ac:dyDescent="0.3">
      <c r="A436" s="60">
        <v>44493</v>
      </c>
      <c r="B436" s="33">
        <v>-125.78</v>
      </c>
      <c r="C436" t="s">
        <v>49</v>
      </c>
      <c r="E436" t="str">
        <f>IF(OR(C436="Transaction",C436="Interests",C436="Misc",C436="Account Transfer"), IF(C436="Transaction", IF(B436&lt;0, "Du no", "Da thanh toan"), IF(C436="Interests", "Lai", IF(C436="Misc", "Phi", IF(C436="Account Transfer", IF(OR(ISNUMBER(SEARCH("Trich lai tra gop the TD", D436)), ISNUMBER(SEARCH("Chuyen lai tra gop con lai sang du no thong thuong khi BadDebt", D436))), IF(B436&lt;0, "Lai tra gop", ""), "" )))))) &amp; " " &amp; IF(C436="Interests", TEXT(EDATE(IF(DAY(A436)&gt;=24, A436, EDATE(A436,-1)), -1),"yyyy-mm"), TEXT(IF(DAY(A436)&gt;=24, A436, EDATE(A436,-1)),"yyyy-mm"))</f>
        <v>Lai 2021-09</v>
      </c>
      <c r="F436">
        <f>IF(ISNUMBER(B436), ROUND(SUMIFS($B$2:$B$10000, $E$2:$E$10000, E436, $B$2:$B$10000, IF(B436&lt;0, "&lt;0", "&gt;0")), 0), "")</f>
        <v>-26632</v>
      </c>
      <c r="G436" t="str">
        <f>IF(F436&gt;0, IF(C436="Transaction", "Da thanh toan", "Duong"), IF(F436&lt;0, IF(C436="Transaction", "Du no", IF(C436="Interests", "Lai phat sinh", IF(C436="Misc", "Phi", IF(C436="Account Transfer", "Lai tra gop", "Am")))), "Bang 0"))</f>
        <v>Lai phat sinh</v>
      </c>
    </row>
    <row r="437" spans="1:7" x14ac:dyDescent="0.3">
      <c r="A437" s="60">
        <v>44492</v>
      </c>
      <c r="B437" s="33">
        <v>2709873</v>
      </c>
      <c r="C437" t="s">
        <v>753</v>
      </c>
      <c r="D437" t="s">
        <v>786</v>
      </c>
      <c r="E437" t="str">
        <f>IF(OR(C437="Transaction",C437="Interests",C437="Misc",C437="Account Transfer"), IF(C437="Transaction", IF(B437&lt;0, "Du no", "Da thanh toan"), IF(C437="Interests", "Lai", IF(C437="Misc", "Phi", IF(C437="Account Transfer", IF(OR(ISNUMBER(SEARCH("Trich lai tra gop the TD", D437)), ISNUMBER(SEARCH("Chuyen lai tra gop con lai sang du no thong thuong khi BadDebt", D437))), IF(B437&lt;0, "Lai tra gop", ""), "" )))))) &amp; " " &amp; IF(C437="Interests", TEXT(EDATE(IF(DAY(A437)&gt;=24, A437, EDATE(A437,-1)), -1),"yyyy-mm"), TEXT(IF(DAY(A437)&gt;=24, A437, EDATE(A437,-1)),"yyyy-mm"))</f>
        <v xml:space="preserve"> 2021-09</v>
      </c>
      <c r="F437">
        <f>IF(ISNUMBER(B437), ROUND(SUMIFS($B$2:$B$10000, $E$2:$E$10000, E437, $B$2:$B$10000, IF(B437&lt;0, "&lt;0", "&gt;0")), 0), "")</f>
        <v>5419746</v>
      </c>
      <c r="G437" t="str">
        <f>IF(F437&gt;0, IF(C437="Transaction", "Da thanh toan", "Duong"), IF(F437&lt;0, IF(C437="Transaction", "Du no", IF(C437="Interests", "Lai phat sinh", IF(C437="Misc", "Phi", IF(C437="Account Transfer", "Lai tra gop", "Am")))), "Bang 0"))</f>
        <v>Duong</v>
      </c>
    </row>
    <row r="438" spans="1:7" x14ac:dyDescent="0.3">
      <c r="A438" s="60">
        <v>44492</v>
      </c>
      <c r="B438" s="33">
        <v>-2709873</v>
      </c>
      <c r="C438" t="s">
        <v>753</v>
      </c>
      <c r="D438" t="s">
        <v>786</v>
      </c>
      <c r="E438" t="str">
        <f>IF(OR(C438="Transaction",C438="Interests",C438="Misc",C438="Account Transfer"), IF(C438="Transaction", IF(B438&lt;0, "Du no", "Da thanh toan"), IF(C438="Interests", "Lai", IF(C438="Misc", "Phi", IF(C438="Account Transfer", IF(OR(ISNUMBER(SEARCH("Trich lai tra gop the TD", D438)), ISNUMBER(SEARCH("Chuyen lai tra gop con lai sang du no thong thuong khi BadDebt", D438))), IF(B438&lt;0, "Lai tra gop", ""), "" )))))) &amp; " " &amp; IF(C438="Interests", TEXT(EDATE(IF(DAY(A438)&gt;=24, A438, EDATE(A438,-1)), -1),"yyyy-mm"), TEXT(IF(DAY(A438)&gt;=24, A438, EDATE(A438,-1)),"yyyy-mm"))</f>
        <v xml:space="preserve"> 2021-09</v>
      </c>
      <c r="F438">
        <f>IF(ISNUMBER(B438), ROUND(SUMIFS($B$2:$B$10000, $E$2:$E$10000, E438, $B$2:$B$10000, IF(B438&lt;0, "&lt;0", "&gt;0")), 0), "")</f>
        <v>-5419746</v>
      </c>
      <c r="G438" t="str">
        <f>IF(F438&gt;0, IF(C438="Transaction", "Da thanh toan", "Duong"), IF(F438&lt;0, IF(C438="Transaction", "Du no", IF(C438="Interests", "Lai phat sinh", IF(C438="Misc", "Phi", IF(C438="Account Transfer", "Lai tra gop", "Am")))), "Bang 0"))</f>
        <v>Lai tra gop</v>
      </c>
    </row>
    <row r="439" spans="1:7" x14ac:dyDescent="0.3">
      <c r="A439" s="60">
        <v>44480</v>
      </c>
      <c r="B439" s="33">
        <v>2714998</v>
      </c>
      <c r="C439" t="s">
        <v>51</v>
      </c>
      <c r="D439" t="s">
        <v>53</v>
      </c>
      <c r="E439" t="str">
        <f>IF(OR(C439="Transaction",C439="Interests",C439="Misc",C439="Account Transfer"), IF(C439="Transaction", IF(B439&lt;0, "Du no", "Da thanh toan"), IF(C439="Interests", "Lai", IF(C439="Misc", "Phi", IF(C439="Account Transfer", IF(OR(ISNUMBER(SEARCH("Trich lai tra gop the TD", D439)), ISNUMBER(SEARCH("Chuyen lai tra gop con lai sang du no thong thuong khi BadDebt", D439))), IF(B439&lt;0, "Lai tra gop", ""), "" )))))) &amp; " " &amp; IF(C439="Interests", TEXT(EDATE(IF(DAY(A439)&gt;=24, A439, EDATE(A439,-1)), -1),"yyyy-mm"), TEXT(IF(DAY(A439)&gt;=24, A439, EDATE(A439,-1)),"yyyy-mm"))</f>
        <v>Da thanh toan 2021-09</v>
      </c>
      <c r="F439">
        <f>IF(ISNUMBER(B439), ROUND(SUMIFS($B$2:$B$10000, $E$2:$E$10000, E439, $B$2:$B$10000, IF(B439&lt;0, "&lt;0", "&gt;0")), 0), "")</f>
        <v>2714998</v>
      </c>
      <c r="G439" t="str">
        <f>IF(F439&gt;0, IF(C439="Transaction", "Da thanh toan", "Duong"), IF(F439&lt;0, IF(C439="Transaction", "Du no", IF(C439="Interests", "Lai phat sinh", IF(C439="Misc", "Phi", IF(C439="Account Transfer", "Lai tra gop", "Am")))), "Bang 0"))</f>
        <v>Da thanh toan</v>
      </c>
    </row>
    <row r="440" spans="1:7" x14ac:dyDescent="0.3">
      <c r="A440" s="60">
        <v>44478</v>
      </c>
      <c r="B440" s="33">
        <v>2709873</v>
      </c>
      <c r="C440" t="s">
        <v>753</v>
      </c>
      <c r="D440" t="s">
        <v>784</v>
      </c>
      <c r="E440" t="str">
        <f>IF(OR(C440="Transaction",C440="Interests",C440="Misc",C440="Account Transfer"), IF(C440="Transaction", IF(B440&lt;0, "Du no", "Da thanh toan"), IF(C440="Interests", "Lai", IF(C440="Misc", "Phi", IF(C440="Account Transfer", IF(OR(ISNUMBER(SEARCH("Trich lai tra gop the TD", D440)), ISNUMBER(SEARCH("Chuyen lai tra gop con lai sang du no thong thuong khi BadDebt", D440))), IF(B440&lt;0, "Lai tra gop", ""), "" )))))) &amp; " " &amp; IF(C440="Interests", TEXT(EDATE(IF(DAY(A440)&gt;=24, A440, EDATE(A440,-1)), -1),"yyyy-mm"), TEXT(IF(DAY(A440)&gt;=24, A440, EDATE(A440,-1)),"yyyy-mm"))</f>
        <v xml:space="preserve"> 2021-09</v>
      </c>
      <c r="F440">
        <f>IF(ISNUMBER(B440), ROUND(SUMIFS($B$2:$B$10000, $E$2:$E$10000, E440, $B$2:$B$10000, IF(B440&lt;0, "&lt;0", "&gt;0")), 0), "")</f>
        <v>5419746</v>
      </c>
      <c r="G440" t="str">
        <f>IF(F440&gt;0, IF(C440="Transaction", "Da thanh toan", "Duong"), IF(F440&lt;0, IF(C440="Transaction", "Du no", IF(C440="Interests", "Lai phat sinh", IF(C440="Misc", "Phi", IF(C440="Account Transfer", "Lai tra gop", "Am")))), "Bang 0"))</f>
        <v>Duong</v>
      </c>
    </row>
    <row r="441" spans="1:7" x14ac:dyDescent="0.3">
      <c r="A441" s="60">
        <v>44478</v>
      </c>
      <c r="B441" s="33">
        <v>-2709873</v>
      </c>
      <c r="C441" t="s">
        <v>753</v>
      </c>
      <c r="D441" t="s">
        <v>784</v>
      </c>
      <c r="E441" t="str">
        <f>IF(OR(C441="Transaction",C441="Interests",C441="Misc",C441="Account Transfer"), IF(C441="Transaction", IF(B441&lt;0, "Du no", "Da thanh toan"), IF(C441="Interests", "Lai", IF(C441="Misc", "Phi", IF(C441="Account Transfer", IF(OR(ISNUMBER(SEARCH("Trich lai tra gop the TD", D441)), ISNUMBER(SEARCH("Chuyen lai tra gop con lai sang du no thong thuong khi BadDebt", D441))), IF(B441&lt;0, "Lai tra gop", ""), "" )))))) &amp; " " &amp; IF(C441="Interests", TEXT(EDATE(IF(DAY(A441)&gt;=24, A441, EDATE(A441,-1)), -1),"yyyy-mm"), TEXT(IF(DAY(A441)&gt;=24, A441, EDATE(A441,-1)),"yyyy-mm"))</f>
        <v xml:space="preserve"> 2021-09</v>
      </c>
      <c r="F441">
        <f>IF(ISNUMBER(B441), ROUND(SUMIFS($B$2:$B$10000, $E$2:$E$10000, E441, $B$2:$B$10000, IF(B441&lt;0, "&lt;0", "&gt;0")), 0), "")</f>
        <v>-5419746</v>
      </c>
      <c r="G441" t="str">
        <f>IF(F441&gt;0, IF(C441="Transaction", "Da thanh toan", "Duong"), IF(F441&lt;0, IF(C441="Transaction", "Du no", IF(C441="Interests", "Lai phat sinh", IF(C441="Misc", "Phi", IF(C441="Account Transfer", "Lai tra gop", "Am")))), "Bang 0"))</f>
        <v>Lai tra gop</v>
      </c>
    </row>
    <row r="442" spans="1:7" x14ac:dyDescent="0.3">
      <c r="A442" s="60">
        <v>44473</v>
      </c>
      <c r="B442" s="33">
        <v>-7308</v>
      </c>
      <c r="C442" t="s">
        <v>51</v>
      </c>
      <c r="D442" t="s">
        <v>787</v>
      </c>
      <c r="E442" t="str">
        <f>IF(OR(C442="Transaction",C442="Interests",C442="Misc",C442="Account Transfer"), IF(C442="Transaction", IF(B442&lt;0, "Du no", "Da thanh toan"), IF(C442="Interests", "Lai", IF(C442="Misc", "Phi", IF(C442="Account Transfer", IF(OR(ISNUMBER(SEARCH("Trich lai tra gop the TD", D442)), ISNUMBER(SEARCH("Chuyen lai tra gop con lai sang du no thong thuong khi BadDebt", D442))), IF(B442&lt;0, "Lai tra gop", ""), "" )))))) &amp; " " &amp; IF(C442="Interests", TEXT(EDATE(IF(DAY(A442)&gt;=24, A442, EDATE(A442,-1)), -1),"yyyy-mm"), TEXT(IF(DAY(A442)&gt;=24, A442, EDATE(A442,-1)),"yyyy-mm"))</f>
        <v>Du no 2021-09</v>
      </c>
      <c r="F442">
        <f>IF(ISNUMBER(B442), ROUND(SUMIFS($B$2:$B$10000, $E$2:$E$10000, E442, $B$2:$B$10000, IF(B442&lt;0, "&lt;0", "&gt;0")), 0), "")</f>
        <v>-7308</v>
      </c>
      <c r="G442" t="str">
        <f>IF(F442&gt;0, IF(C442="Transaction", "Da thanh toan", "Duong"), IF(F442&lt;0, IF(C442="Transaction", "Du no", IF(C442="Interests", "Lai phat sinh", IF(C442="Misc", "Phi", IF(C442="Account Transfer", "Lai tra gop", "Am")))), "Bang 0"))</f>
        <v>Du no</v>
      </c>
    </row>
    <row r="443" spans="1:7" x14ac:dyDescent="0.3">
      <c r="A443" s="60">
        <v>44467</v>
      </c>
      <c r="B443" s="33">
        <v>-450</v>
      </c>
      <c r="C443" t="s">
        <v>50</v>
      </c>
      <c r="E443" t="str">
        <f>IF(OR(C443="Transaction",C443="Interests",C443="Misc",C443="Account Transfer"), IF(C443="Transaction", IF(B443&lt;0, "Du no", "Da thanh toan"), IF(C443="Interests", "Lai", IF(C443="Misc", "Phi", IF(C443="Account Transfer", IF(OR(ISNUMBER(SEARCH("Trich lai tra gop the TD", D443)), ISNUMBER(SEARCH("Chuyen lai tra gop con lai sang du no thong thuong khi BadDebt", D443))), IF(B443&lt;0, "Lai tra gop", ""), "" )))))) &amp; " " &amp; IF(C443="Interests", TEXT(EDATE(IF(DAY(A443)&gt;=24, A443, EDATE(A443,-1)), -1),"yyyy-mm"), TEXT(IF(DAY(A443)&gt;=24, A443, EDATE(A443,-1)),"yyyy-mm"))</f>
        <v>Phi 2021-09</v>
      </c>
      <c r="F443">
        <f>IF(ISNUMBER(B443), ROUND(SUMIFS($B$2:$B$10000, $E$2:$E$10000, E443, $B$2:$B$10000, IF(B443&lt;0, "&lt;0", "&gt;0")), 0), "")</f>
        <v>-4950</v>
      </c>
      <c r="G443" t="str">
        <f>IF(F443&gt;0, IF(C443="Transaction", "Da thanh toan", "Duong"), IF(F443&lt;0, IF(C443="Transaction", "Du no", IF(C443="Interests", "Lai phat sinh", IF(C443="Misc", "Phi", IF(C443="Account Transfer", "Lai tra gop", "Am")))), "Bang 0"))</f>
        <v>Phi</v>
      </c>
    </row>
    <row r="444" spans="1:7" x14ac:dyDescent="0.3">
      <c r="A444" s="60">
        <v>44467</v>
      </c>
      <c r="B444" s="33">
        <v>-4500</v>
      </c>
      <c r="C444" t="s">
        <v>50</v>
      </c>
      <c r="E444" t="str">
        <f>IF(OR(C444="Transaction",C444="Interests",C444="Misc",C444="Account Transfer"), IF(C444="Transaction", IF(B444&lt;0, "Du no", "Da thanh toan"), IF(C444="Interests", "Lai", IF(C444="Misc", "Phi", IF(C444="Account Transfer", IF(OR(ISNUMBER(SEARCH("Trich lai tra gop the TD", D444)), ISNUMBER(SEARCH("Chuyen lai tra gop con lai sang du no thong thuong khi BadDebt", D444))), IF(B444&lt;0, "Lai tra gop", ""), "" )))))) &amp; " " &amp; IF(C444="Interests", TEXT(EDATE(IF(DAY(A444)&gt;=24, A444, EDATE(A444,-1)), -1),"yyyy-mm"), TEXT(IF(DAY(A444)&gt;=24, A444, EDATE(A444,-1)),"yyyy-mm"))</f>
        <v>Phi 2021-09</v>
      </c>
      <c r="F444">
        <f>IF(ISNUMBER(B444), ROUND(SUMIFS($B$2:$B$10000, $E$2:$E$10000, E444, $B$2:$B$10000, IF(B444&lt;0, "&lt;0", "&gt;0")), 0), "")</f>
        <v>-4950</v>
      </c>
      <c r="G444" t="str">
        <f>IF(F444&gt;0, IF(C444="Transaction", "Da thanh toan", "Duong"), IF(F444&lt;0, IF(C444="Transaction", "Du no", IF(C444="Interests", "Lai phat sinh", IF(C444="Misc", "Phi", IF(C444="Account Transfer", "Lai tra gop", "Am")))), "Bang 0"))</f>
        <v>Phi</v>
      </c>
    </row>
    <row r="445" spans="1:7" x14ac:dyDescent="0.3">
      <c r="A445" s="60">
        <v>44463</v>
      </c>
      <c r="B445" s="33">
        <v>-214.72</v>
      </c>
      <c r="C445" t="s">
        <v>49</v>
      </c>
      <c r="E445" t="str">
        <f>IF(OR(C445="Transaction",C445="Interests",C445="Misc",C445="Account Transfer"), IF(C445="Transaction", IF(B445&lt;0, "Du no", "Da thanh toan"), IF(C445="Interests", "Lai", IF(C445="Misc", "Phi", IF(C445="Account Transfer", IF(OR(ISNUMBER(SEARCH("Trich lai tra gop the TD", D445)), ISNUMBER(SEARCH("Chuyen lai tra gop con lai sang du no thong thuong khi BadDebt", D445))), IF(B445&lt;0, "Lai tra gop", ""), "" )))))) &amp; " " &amp; IF(C445="Interests", TEXT(EDATE(IF(DAY(A445)&gt;=24, A445, EDATE(A445,-1)), -1),"yyyy-mm"), TEXT(IF(DAY(A445)&gt;=24, A445, EDATE(A445,-1)),"yyyy-mm"))</f>
        <v>Lai 2021-08</v>
      </c>
      <c r="F445">
        <f>IF(ISNUMBER(B445), ROUND(SUMIFS($B$2:$B$10000, $E$2:$E$10000, E445, $B$2:$B$10000, IF(B445&lt;0, "&lt;0", "&gt;0")), 0), "")</f>
        <v>-17747</v>
      </c>
      <c r="G445" t="str">
        <f>IF(F445&gt;0, IF(C445="Transaction", "Da thanh toan", "Duong"), IF(F445&lt;0, IF(C445="Transaction", "Du no", IF(C445="Interests", "Lai phat sinh", IF(C445="Misc", "Phi", IF(C445="Account Transfer", "Lai tra gop", "Am")))), "Bang 0"))</f>
        <v>Lai phat sinh</v>
      </c>
    </row>
    <row r="446" spans="1:7" x14ac:dyDescent="0.3">
      <c r="A446" s="60">
        <v>44463</v>
      </c>
      <c r="B446" s="33">
        <v>-2541.14</v>
      </c>
      <c r="C446" t="s">
        <v>49</v>
      </c>
      <c r="E446" t="str">
        <f>IF(OR(C446="Transaction",C446="Interests",C446="Misc",C446="Account Transfer"), IF(C446="Transaction", IF(B446&lt;0, "Du no", "Da thanh toan"), IF(C446="Interests", "Lai", IF(C446="Misc", "Phi", IF(C446="Account Transfer", IF(OR(ISNUMBER(SEARCH("Trich lai tra gop the TD", D446)), ISNUMBER(SEARCH("Chuyen lai tra gop con lai sang du no thong thuong khi BadDebt", D446))), IF(B446&lt;0, "Lai tra gop", ""), "" )))))) &amp; " " &amp; IF(C446="Interests", TEXT(EDATE(IF(DAY(A446)&gt;=24, A446, EDATE(A446,-1)), -1),"yyyy-mm"), TEXT(IF(DAY(A446)&gt;=24, A446, EDATE(A446,-1)),"yyyy-mm"))</f>
        <v>Lai 2021-08</v>
      </c>
      <c r="F446">
        <f>IF(ISNUMBER(B446), ROUND(SUMIFS($B$2:$B$10000, $E$2:$E$10000, E446, $B$2:$B$10000, IF(B446&lt;0, "&lt;0", "&gt;0")), 0), "")</f>
        <v>-17747</v>
      </c>
      <c r="G446" t="str">
        <f>IF(F446&gt;0, IF(C446="Transaction", "Da thanh toan", "Duong"), IF(F446&lt;0, IF(C446="Transaction", "Du no", IF(C446="Interests", "Lai phat sinh", IF(C446="Misc", "Phi", IF(C446="Account Transfer", "Lai tra gop", "Am")))), "Bang 0"))</f>
        <v>Lai phat sinh</v>
      </c>
    </row>
    <row r="447" spans="1:7" x14ac:dyDescent="0.3">
      <c r="A447" s="60">
        <v>44463</v>
      </c>
      <c r="B447" s="33">
        <v>-176.64</v>
      </c>
      <c r="C447" t="s">
        <v>49</v>
      </c>
      <c r="E447" t="str">
        <f>IF(OR(C447="Transaction",C447="Interests",C447="Misc",C447="Account Transfer"), IF(C447="Transaction", IF(B447&lt;0, "Du no", "Da thanh toan"), IF(C447="Interests", "Lai", IF(C447="Misc", "Phi", IF(C447="Account Transfer", IF(OR(ISNUMBER(SEARCH("Trich lai tra gop the TD", D447)), ISNUMBER(SEARCH("Chuyen lai tra gop con lai sang du no thong thuong khi BadDebt", D447))), IF(B447&lt;0, "Lai tra gop", ""), "" )))))) &amp; " " &amp; IF(C447="Interests", TEXT(EDATE(IF(DAY(A447)&gt;=24, A447, EDATE(A447,-1)), -1),"yyyy-mm"), TEXT(IF(DAY(A447)&gt;=24, A447, EDATE(A447,-1)),"yyyy-mm"))</f>
        <v>Lai 2021-08</v>
      </c>
      <c r="F447">
        <f>IF(ISNUMBER(B447), ROUND(SUMIFS($B$2:$B$10000, $E$2:$E$10000, E447, $B$2:$B$10000, IF(B447&lt;0, "&lt;0", "&gt;0")), 0), "")</f>
        <v>-17747</v>
      </c>
      <c r="G447" t="str">
        <f>IF(F447&gt;0, IF(C447="Transaction", "Da thanh toan", "Duong"), IF(F447&lt;0, IF(C447="Transaction", "Du no", IF(C447="Interests", "Lai phat sinh", IF(C447="Misc", "Phi", IF(C447="Account Transfer", "Lai tra gop", "Am")))), "Bang 0"))</f>
        <v>Lai phat sinh</v>
      </c>
    </row>
    <row r="448" spans="1:7" x14ac:dyDescent="0.3">
      <c r="A448" s="60">
        <v>44463</v>
      </c>
      <c r="B448" s="33">
        <v>-2649.63</v>
      </c>
      <c r="C448" t="s">
        <v>49</v>
      </c>
      <c r="E448" t="str">
        <f>IF(OR(C448="Transaction",C448="Interests",C448="Misc",C448="Account Transfer"), IF(C448="Transaction", IF(B448&lt;0, "Du no", "Da thanh toan"), IF(C448="Interests", "Lai", IF(C448="Misc", "Phi", IF(C448="Account Transfer", IF(OR(ISNUMBER(SEARCH("Trich lai tra gop the TD", D448)), ISNUMBER(SEARCH("Chuyen lai tra gop con lai sang du no thong thuong khi BadDebt", D448))), IF(B448&lt;0, "Lai tra gop", ""), "" )))))) &amp; " " &amp; IF(C448="Interests", TEXT(EDATE(IF(DAY(A448)&gt;=24, A448, EDATE(A448,-1)), -1),"yyyy-mm"), TEXT(IF(DAY(A448)&gt;=24, A448, EDATE(A448,-1)),"yyyy-mm"))</f>
        <v>Lai 2021-08</v>
      </c>
      <c r="F448">
        <f>IF(ISNUMBER(B448), ROUND(SUMIFS($B$2:$B$10000, $E$2:$E$10000, E448, $B$2:$B$10000, IF(B448&lt;0, "&lt;0", "&gt;0")), 0), "")</f>
        <v>-17747</v>
      </c>
      <c r="G448" t="str">
        <f>IF(F448&gt;0, IF(C448="Transaction", "Da thanh toan", "Duong"), IF(F448&lt;0, IF(C448="Transaction", "Du no", IF(C448="Interests", "Lai phat sinh", IF(C448="Misc", "Phi", IF(C448="Account Transfer", "Lai tra gop", "Am")))), "Bang 0"))</f>
        <v>Lai phat sinh</v>
      </c>
    </row>
    <row r="449" spans="1:7" x14ac:dyDescent="0.3">
      <c r="A449" s="60">
        <v>44463</v>
      </c>
      <c r="B449" s="33">
        <v>-11469.15</v>
      </c>
      <c r="C449" t="s">
        <v>49</v>
      </c>
      <c r="E449" t="str">
        <f>IF(OR(C449="Transaction",C449="Interests",C449="Misc",C449="Account Transfer"), IF(C449="Transaction", IF(B449&lt;0, "Du no", "Da thanh toan"), IF(C449="Interests", "Lai", IF(C449="Misc", "Phi", IF(C449="Account Transfer", IF(OR(ISNUMBER(SEARCH("Trich lai tra gop the TD", D449)), ISNUMBER(SEARCH("Chuyen lai tra gop con lai sang du no thong thuong khi BadDebt", D449))), IF(B449&lt;0, "Lai tra gop", ""), "" )))))) &amp; " " &amp; IF(C449="Interests", TEXT(EDATE(IF(DAY(A449)&gt;=24, A449, EDATE(A449,-1)), -1),"yyyy-mm"), TEXT(IF(DAY(A449)&gt;=24, A449, EDATE(A449,-1)),"yyyy-mm"))</f>
        <v>Lai 2021-08</v>
      </c>
      <c r="F449">
        <f>IF(ISNUMBER(B449), ROUND(SUMIFS($B$2:$B$10000, $E$2:$E$10000, E449, $B$2:$B$10000, IF(B449&lt;0, "&lt;0", "&gt;0")), 0), "")</f>
        <v>-17747</v>
      </c>
      <c r="G449" t="str">
        <f>IF(F449&gt;0, IF(C449="Transaction", "Da thanh toan", "Duong"), IF(F449&lt;0, IF(C449="Transaction", "Du no", IF(C449="Interests", "Lai phat sinh", IF(C449="Misc", "Phi", IF(C449="Account Transfer", "Lai tra gop", "Am")))), "Bang 0"))</f>
        <v>Lai phat sinh</v>
      </c>
    </row>
    <row r="450" spans="1:7" x14ac:dyDescent="0.3">
      <c r="A450" s="60">
        <v>44463</v>
      </c>
      <c r="B450" s="33">
        <v>-176.09</v>
      </c>
      <c r="C450" t="s">
        <v>49</v>
      </c>
      <c r="E450" t="str">
        <f>IF(OR(C450="Transaction",C450="Interests",C450="Misc",C450="Account Transfer"), IF(C450="Transaction", IF(B450&lt;0, "Du no", "Da thanh toan"), IF(C450="Interests", "Lai", IF(C450="Misc", "Phi", IF(C450="Account Transfer", IF(OR(ISNUMBER(SEARCH("Trich lai tra gop the TD", D450)), ISNUMBER(SEARCH("Chuyen lai tra gop con lai sang du no thong thuong khi BadDebt", D450))), IF(B450&lt;0, "Lai tra gop", ""), "" )))))) &amp; " " &amp; IF(C450="Interests", TEXT(EDATE(IF(DAY(A450)&gt;=24, A450, EDATE(A450,-1)), -1),"yyyy-mm"), TEXT(IF(DAY(A450)&gt;=24, A450, EDATE(A450,-1)),"yyyy-mm"))</f>
        <v>Lai 2021-08</v>
      </c>
      <c r="F450">
        <f>IF(ISNUMBER(B450), ROUND(SUMIFS($B$2:$B$10000, $E$2:$E$10000, E450, $B$2:$B$10000, IF(B450&lt;0, "&lt;0", "&gt;0")), 0), "")</f>
        <v>-17747</v>
      </c>
      <c r="G450" t="str">
        <f>IF(F450&gt;0, IF(C450="Transaction", "Da thanh toan", "Duong"), IF(F450&lt;0, IF(C450="Transaction", "Du no", IF(C450="Interests", "Lai phat sinh", IF(C450="Misc", "Phi", IF(C450="Account Transfer", "Lai tra gop", "Am")))), "Bang 0"))</f>
        <v>Lai phat sinh</v>
      </c>
    </row>
    <row r="451" spans="1:7" x14ac:dyDescent="0.3">
      <c r="A451" s="60">
        <v>44463</v>
      </c>
      <c r="B451" s="33">
        <v>-394.1</v>
      </c>
      <c r="C451" t="s">
        <v>49</v>
      </c>
      <c r="E451" t="str">
        <f>IF(OR(C451="Transaction",C451="Interests",C451="Misc",C451="Account Transfer"), IF(C451="Transaction", IF(B451&lt;0, "Du no", "Da thanh toan"), IF(C451="Interests", "Lai", IF(C451="Misc", "Phi", IF(C451="Account Transfer", IF(OR(ISNUMBER(SEARCH("Trich lai tra gop the TD", D451)), ISNUMBER(SEARCH("Chuyen lai tra gop con lai sang du no thong thuong khi BadDebt", D451))), IF(B451&lt;0, "Lai tra gop", ""), "" )))))) &amp; " " &amp; IF(C451="Interests", TEXT(EDATE(IF(DAY(A451)&gt;=24, A451, EDATE(A451,-1)), -1),"yyyy-mm"), TEXT(IF(DAY(A451)&gt;=24, A451, EDATE(A451,-1)),"yyyy-mm"))</f>
        <v>Lai 2021-08</v>
      </c>
      <c r="F451">
        <f>IF(ISNUMBER(B451), ROUND(SUMIFS($B$2:$B$10000, $E$2:$E$10000, E451, $B$2:$B$10000, IF(B451&lt;0, "&lt;0", "&gt;0")), 0), "")</f>
        <v>-17747</v>
      </c>
      <c r="G451" t="str">
        <f>IF(F451&gt;0, IF(C451="Transaction", "Da thanh toan", "Duong"), IF(F451&lt;0, IF(C451="Transaction", "Du no", IF(C451="Interests", "Lai phat sinh", IF(C451="Misc", "Phi", IF(C451="Account Transfer", "Lai tra gop", "Am")))), "Bang 0"))</f>
        <v>Lai phat sinh</v>
      </c>
    </row>
    <row r="452" spans="1:7" x14ac:dyDescent="0.3">
      <c r="A452" s="60">
        <v>44463</v>
      </c>
      <c r="B452" s="33">
        <v>-125.78</v>
      </c>
      <c r="C452" t="s">
        <v>49</v>
      </c>
      <c r="E452" t="str">
        <f>IF(OR(C452="Transaction",C452="Interests",C452="Misc",C452="Account Transfer"), IF(C452="Transaction", IF(B452&lt;0, "Du no", "Da thanh toan"), IF(C452="Interests", "Lai", IF(C452="Misc", "Phi", IF(C452="Account Transfer", IF(OR(ISNUMBER(SEARCH("Trich lai tra gop the TD", D452)), ISNUMBER(SEARCH("Chuyen lai tra gop con lai sang du no thong thuong khi BadDebt", D452))), IF(B452&lt;0, "Lai tra gop", ""), "" )))))) &amp; " " &amp; IF(C452="Interests", TEXT(EDATE(IF(DAY(A452)&gt;=24, A452, EDATE(A452,-1)), -1),"yyyy-mm"), TEXT(IF(DAY(A452)&gt;=24, A452, EDATE(A452,-1)),"yyyy-mm"))</f>
        <v>Lai 2021-08</v>
      </c>
      <c r="F452">
        <f>IF(ISNUMBER(B452), ROUND(SUMIFS($B$2:$B$10000, $E$2:$E$10000, E452, $B$2:$B$10000, IF(B452&lt;0, "&lt;0", "&gt;0")), 0), "")</f>
        <v>-17747</v>
      </c>
      <c r="G452" t="str">
        <f>IF(F452&gt;0, IF(C452="Transaction", "Da thanh toan", "Duong"), IF(F452&lt;0, IF(C452="Transaction", "Du no", IF(C452="Interests", "Lai phat sinh", IF(C452="Misc", "Phi", IF(C452="Account Transfer", "Lai tra gop", "Am")))), "Bang 0"))</f>
        <v>Lai phat sinh</v>
      </c>
    </row>
    <row r="453" spans="1:7" x14ac:dyDescent="0.3">
      <c r="A453" s="60">
        <v>44462</v>
      </c>
      <c r="B453" s="33">
        <v>2709873</v>
      </c>
      <c r="C453" t="s">
        <v>753</v>
      </c>
      <c r="D453" t="s">
        <v>786</v>
      </c>
      <c r="E453" t="str">
        <f>IF(OR(C453="Transaction",C453="Interests",C453="Misc",C453="Account Transfer"), IF(C453="Transaction", IF(B453&lt;0, "Du no", "Da thanh toan"), IF(C453="Interests", "Lai", IF(C453="Misc", "Phi", IF(C453="Account Transfer", IF(OR(ISNUMBER(SEARCH("Trich lai tra gop the TD", D453)), ISNUMBER(SEARCH("Chuyen lai tra gop con lai sang du no thong thuong khi BadDebt", D453))), IF(B453&lt;0, "Lai tra gop", ""), "" )))))) &amp; " " &amp; IF(C453="Interests", TEXT(EDATE(IF(DAY(A453)&gt;=24, A453, EDATE(A453,-1)), -1),"yyyy-mm"), TEXT(IF(DAY(A453)&gt;=24, A453, EDATE(A453,-1)),"yyyy-mm"))</f>
        <v xml:space="preserve"> 2021-08</v>
      </c>
      <c r="F453">
        <f>IF(ISNUMBER(B453), ROUND(SUMIFS($B$2:$B$10000, $E$2:$E$10000, E453, $B$2:$B$10000, IF(B453&lt;0, "&lt;0", "&gt;0")), 0), "")</f>
        <v>5419746</v>
      </c>
      <c r="G453" t="str">
        <f>IF(F453&gt;0, IF(C453="Transaction", "Da thanh toan", "Duong"), IF(F453&lt;0, IF(C453="Transaction", "Du no", IF(C453="Interests", "Lai phat sinh", IF(C453="Misc", "Phi", IF(C453="Account Transfer", "Lai tra gop", "Am")))), "Bang 0"))</f>
        <v>Duong</v>
      </c>
    </row>
    <row r="454" spans="1:7" x14ac:dyDescent="0.3">
      <c r="A454" s="60">
        <v>44462</v>
      </c>
      <c r="B454" s="33">
        <v>-2709873</v>
      </c>
      <c r="C454" t="s">
        <v>753</v>
      </c>
      <c r="D454" t="s">
        <v>786</v>
      </c>
      <c r="E454" t="str">
        <f>IF(OR(C454="Transaction",C454="Interests",C454="Misc",C454="Account Transfer"), IF(C454="Transaction", IF(B454&lt;0, "Du no", "Da thanh toan"), IF(C454="Interests", "Lai", IF(C454="Misc", "Phi", IF(C454="Account Transfer", IF(OR(ISNUMBER(SEARCH("Trich lai tra gop the TD", D454)), ISNUMBER(SEARCH("Chuyen lai tra gop con lai sang du no thong thuong khi BadDebt", D454))), IF(B454&lt;0, "Lai tra gop", ""), "" )))))) &amp; " " &amp; IF(C454="Interests", TEXT(EDATE(IF(DAY(A454)&gt;=24, A454, EDATE(A454,-1)), -1),"yyyy-mm"), TEXT(IF(DAY(A454)&gt;=24, A454, EDATE(A454,-1)),"yyyy-mm"))</f>
        <v xml:space="preserve"> 2021-08</v>
      </c>
      <c r="F454">
        <f>IF(ISNUMBER(B454), ROUND(SUMIFS($B$2:$B$10000, $E$2:$E$10000, E454, $B$2:$B$10000, IF(B454&lt;0, "&lt;0", "&gt;0")), 0), "")</f>
        <v>-5419746</v>
      </c>
      <c r="G454" t="str">
        <f>IF(F454&gt;0, IF(C454="Transaction", "Da thanh toan", "Duong"), IF(F454&lt;0, IF(C454="Transaction", "Du no", IF(C454="Interests", "Lai phat sinh", IF(C454="Misc", "Phi", IF(C454="Account Transfer", "Lai tra gop", "Am")))), "Bang 0"))</f>
        <v>Lai tra gop</v>
      </c>
    </row>
    <row r="455" spans="1:7" x14ac:dyDescent="0.3">
      <c r="A455" s="60">
        <v>44448</v>
      </c>
      <c r="B455" s="33">
        <v>2713241</v>
      </c>
      <c r="C455" t="s">
        <v>51</v>
      </c>
      <c r="D455" t="s">
        <v>53</v>
      </c>
      <c r="E455" t="str">
        <f>IF(OR(C455="Transaction",C455="Interests",C455="Misc",C455="Account Transfer"), IF(C455="Transaction", IF(B455&lt;0, "Du no", "Da thanh toan"), IF(C455="Interests", "Lai", IF(C455="Misc", "Phi", IF(C455="Account Transfer", IF(OR(ISNUMBER(SEARCH("Trich lai tra gop the TD", D455)), ISNUMBER(SEARCH("Chuyen lai tra gop con lai sang du no thong thuong khi BadDebt", D455))), IF(B455&lt;0, "Lai tra gop", ""), "" )))))) &amp; " " &amp; IF(C455="Interests", TEXT(EDATE(IF(DAY(A455)&gt;=24, A455, EDATE(A455,-1)), -1),"yyyy-mm"), TEXT(IF(DAY(A455)&gt;=24, A455, EDATE(A455,-1)),"yyyy-mm"))</f>
        <v>Da thanh toan 2021-08</v>
      </c>
      <c r="F455">
        <f>IF(ISNUMBER(B455), ROUND(SUMIFS($B$2:$B$10000, $E$2:$E$10000, E455, $B$2:$B$10000, IF(B455&lt;0, "&lt;0", "&gt;0")), 0), "")</f>
        <v>2713241</v>
      </c>
      <c r="G455" t="str">
        <f>IF(F455&gt;0, IF(C455="Transaction", "Da thanh toan", "Duong"), IF(F455&lt;0, IF(C455="Transaction", "Du no", IF(C455="Interests", "Lai phat sinh", IF(C455="Misc", "Phi", IF(C455="Account Transfer", "Lai tra gop", "Am")))), "Bang 0"))</f>
        <v>Da thanh toan</v>
      </c>
    </row>
    <row r="456" spans="1:7" x14ac:dyDescent="0.3">
      <c r="A456" s="60">
        <v>44448</v>
      </c>
      <c r="B456" s="33">
        <v>-149000</v>
      </c>
      <c r="C456" t="s">
        <v>50</v>
      </c>
      <c r="E456" t="str">
        <f>IF(OR(C456="Transaction",C456="Interests",C456="Misc",C456="Account Transfer"), IF(C456="Transaction", IF(B456&lt;0, "Du no", "Da thanh toan"), IF(C456="Interests", "Lai", IF(C456="Misc", "Phi", IF(C456="Account Transfer", IF(OR(ISNUMBER(SEARCH("Trich lai tra gop the TD", D456)), ISNUMBER(SEARCH("Chuyen lai tra gop con lai sang du no thong thuong khi BadDebt", D456))), IF(B456&lt;0, "Lai tra gop", ""), "" )))))) &amp; " " &amp; IF(C456="Interests", TEXT(EDATE(IF(DAY(A456)&gt;=24, A456, EDATE(A456,-1)), -1),"yyyy-mm"), TEXT(IF(DAY(A456)&gt;=24, A456, EDATE(A456,-1)),"yyyy-mm"))</f>
        <v>Phi 2021-08</v>
      </c>
      <c r="F456">
        <f>IF(ISNUMBER(B456), ROUND(SUMIFS($B$2:$B$10000, $E$2:$E$10000, E456, $B$2:$B$10000, IF(B456&lt;0, "&lt;0", "&gt;0")), 0), "")</f>
        <v>-153950</v>
      </c>
      <c r="G456" t="str">
        <f>IF(F456&gt;0, IF(C456="Transaction", "Da thanh toan", "Duong"), IF(F456&lt;0, IF(C456="Transaction", "Du no", IF(C456="Interests", "Lai phat sinh", IF(C456="Misc", "Phi", IF(C456="Account Transfer", "Lai tra gop", "Am")))), "Bang 0"))</f>
        <v>Phi</v>
      </c>
    </row>
    <row r="457" spans="1:7" x14ac:dyDescent="0.3">
      <c r="A457" s="60">
        <v>44447</v>
      </c>
      <c r="B457" s="33">
        <v>2709873</v>
      </c>
      <c r="C457" t="s">
        <v>753</v>
      </c>
      <c r="D457" t="s">
        <v>784</v>
      </c>
      <c r="E457" t="str">
        <f>IF(OR(C457="Transaction",C457="Interests",C457="Misc",C457="Account Transfer"), IF(C457="Transaction", IF(B457&lt;0, "Du no", "Da thanh toan"), IF(C457="Interests", "Lai", IF(C457="Misc", "Phi", IF(C457="Account Transfer", IF(OR(ISNUMBER(SEARCH("Trich lai tra gop the TD", D457)), ISNUMBER(SEARCH("Chuyen lai tra gop con lai sang du no thong thuong khi BadDebt", D457))), IF(B457&lt;0, "Lai tra gop", ""), "" )))))) &amp; " " &amp; IF(C457="Interests", TEXT(EDATE(IF(DAY(A457)&gt;=24, A457, EDATE(A457,-1)), -1),"yyyy-mm"), TEXT(IF(DAY(A457)&gt;=24, A457, EDATE(A457,-1)),"yyyy-mm"))</f>
        <v xml:space="preserve"> 2021-08</v>
      </c>
      <c r="F457">
        <f>IF(ISNUMBER(B457), ROUND(SUMIFS($B$2:$B$10000, $E$2:$E$10000, E457, $B$2:$B$10000, IF(B457&lt;0, "&lt;0", "&gt;0")), 0), "")</f>
        <v>5419746</v>
      </c>
      <c r="G457" t="str">
        <f>IF(F457&gt;0, IF(C457="Transaction", "Da thanh toan", "Duong"), IF(F457&lt;0, IF(C457="Transaction", "Du no", IF(C457="Interests", "Lai phat sinh", IF(C457="Misc", "Phi", IF(C457="Account Transfer", "Lai tra gop", "Am")))), "Bang 0"))</f>
        <v>Duong</v>
      </c>
    </row>
    <row r="458" spans="1:7" x14ac:dyDescent="0.3">
      <c r="A458" s="60">
        <v>44447</v>
      </c>
      <c r="B458" s="33">
        <v>-2709873</v>
      </c>
      <c r="C458" t="s">
        <v>753</v>
      </c>
      <c r="D458" t="s">
        <v>784</v>
      </c>
      <c r="E458" t="str">
        <f>IF(OR(C458="Transaction",C458="Interests",C458="Misc",C458="Account Transfer"), IF(C458="Transaction", IF(B458&lt;0, "Du no", "Da thanh toan"), IF(C458="Interests", "Lai", IF(C458="Misc", "Phi", IF(C458="Account Transfer", IF(OR(ISNUMBER(SEARCH("Trich lai tra gop the TD", D458)), ISNUMBER(SEARCH("Chuyen lai tra gop con lai sang du no thong thuong khi BadDebt", D458))), IF(B458&lt;0, "Lai tra gop", ""), "" )))))) &amp; " " &amp; IF(C458="Interests", TEXT(EDATE(IF(DAY(A458)&gt;=24, A458, EDATE(A458,-1)), -1),"yyyy-mm"), TEXT(IF(DAY(A458)&gt;=24, A458, EDATE(A458,-1)),"yyyy-mm"))</f>
        <v xml:space="preserve"> 2021-08</v>
      </c>
      <c r="F458">
        <f>IF(ISNUMBER(B458), ROUND(SUMIFS($B$2:$B$10000, $E$2:$E$10000, E458, $B$2:$B$10000, IF(B458&lt;0, "&lt;0", "&gt;0")), 0), "")</f>
        <v>-5419746</v>
      </c>
      <c r="G458" t="str">
        <f>IF(F458&gt;0, IF(C458="Transaction", "Da thanh toan", "Duong"), IF(F458&lt;0, IF(C458="Transaction", "Du no", IF(C458="Interests", "Lai phat sinh", IF(C458="Misc", "Phi", IF(C458="Account Transfer", "Lai tra gop", "Am")))), "Bang 0"))</f>
        <v>Lai tra gop</v>
      </c>
    </row>
    <row r="459" spans="1:7" x14ac:dyDescent="0.3">
      <c r="A459" s="60">
        <v>44445</v>
      </c>
      <c r="B459" s="33">
        <v>-7308</v>
      </c>
      <c r="C459" t="s">
        <v>51</v>
      </c>
      <c r="D459" t="s">
        <v>788</v>
      </c>
      <c r="E459" t="str">
        <f>IF(OR(C459="Transaction",C459="Interests",C459="Misc",C459="Account Transfer"), IF(C459="Transaction", IF(B459&lt;0, "Du no", "Da thanh toan"), IF(C459="Interests", "Lai", IF(C459="Misc", "Phi", IF(C459="Account Transfer", IF(OR(ISNUMBER(SEARCH("Trich lai tra gop the TD", D459)), ISNUMBER(SEARCH("Chuyen lai tra gop con lai sang du no thong thuong khi BadDebt", D459))), IF(B459&lt;0, "Lai tra gop", ""), "" )))))) &amp; " " &amp; IF(C459="Interests", TEXT(EDATE(IF(DAY(A459)&gt;=24, A459, EDATE(A459,-1)), -1),"yyyy-mm"), TEXT(IF(DAY(A459)&gt;=24, A459, EDATE(A459,-1)),"yyyy-mm"))</f>
        <v>Du no 2021-08</v>
      </c>
      <c r="F459">
        <f>IF(ISNUMBER(B459), ROUND(SUMIFS($B$2:$B$10000, $E$2:$E$10000, E459, $B$2:$B$10000, IF(B459&lt;0, "&lt;0", "&gt;0")), 0), "")</f>
        <v>-7308</v>
      </c>
      <c r="G459" t="str">
        <f>IF(F459&gt;0, IF(C459="Transaction", "Da thanh toan", "Duong"), IF(F459&lt;0, IF(C459="Transaction", "Du no", IF(C459="Interests", "Lai phat sinh", IF(C459="Misc", "Phi", IF(C459="Account Transfer", "Lai tra gop", "Am")))), "Bang 0"))</f>
        <v>Du no</v>
      </c>
    </row>
    <row r="460" spans="1:7" x14ac:dyDescent="0.3">
      <c r="A460" s="60">
        <v>44439</v>
      </c>
      <c r="B460" s="33">
        <v>-450</v>
      </c>
      <c r="C460" t="s">
        <v>50</v>
      </c>
      <c r="E460" t="str">
        <f>IF(OR(C460="Transaction",C460="Interests",C460="Misc",C460="Account Transfer"), IF(C460="Transaction", IF(B460&lt;0, "Du no", "Da thanh toan"), IF(C460="Interests", "Lai", IF(C460="Misc", "Phi", IF(C460="Account Transfer", IF(OR(ISNUMBER(SEARCH("Trich lai tra gop the TD", D460)), ISNUMBER(SEARCH("Chuyen lai tra gop con lai sang du no thong thuong khi BadDebt", D460))), IF(B460&lt;0, "Lai tra gop", ""), "" )))))) &amp; " " &amp; IF(C460="Interests", TEXT(EDATE(IF(DAY(A460)&gt;=24, A460, EDATE(A460,-1)), -1),"yyyy-mm"), TEXT(IF(DAY(A460)&gt;=24, A460, EDATE(A460,-1)),"yyyy-mm"))</f>
        <v>Phi 2021-08</v>
      </c>
      <c r="F460">
        <f>IF(ISNUMBER(B460), ROUND(SUMIFS($B$2:$B$10000, $E$2:$E$10000, E460, $B$2:$B$10000, IF(B460&lt;0, "&lt;0", "&gt;0")), 0), "")</f>
        <v>-153950</v>
      </c>
      <c r="G460" t="str">
        <f>IF(F460&gt;0, IF(C460="Transaction", "Da thanh toan", "Duong"), IF(F460&lt;0, IF(C460="Transaction", "Du no", IF(C460="Interests", "Lai phat sinh", IF(C460="Misc", "Phi", IF(C460="Account Transfer", "Lai tra gop", "Am")))), "Bang 0"))</f>
        <v>Phi</v>
      </c>
    </row>
    <row r="461" spans="1:7" x14ac:dyDescent="0.3">
      <c r="A461" s="60">
        <v>44439</v>
      </c>
      <c r="B461" s="33">
        <v>-4500</v>
      </c>
      <c r="C461" t="s">
        <v>50</v>
      </c>
      <c r="E461" t="str">
        <f>IF(OR(C461="Transaction",C461="Interests",C461="Misc",C461="Account Transfer"), IF(C461="Transaction", IF(B461&lt;0, "Du no", "Da thanh toan"), IF(C461="Interests", "Lai", IF(C461="Misc", "Phi", IF(C461="Account Transfer", IF(OR(ISNUMBER(SEARCH("Trich lai tra gop the TD", D461)), ISNUMBER(SEARCH("Chuyen lai tra gop con lai sang du no thong thuong khi BadDebt", D461))), IF(B461&lt;0, "Lai tra gop", ""), "" )))))) &amp; " " &amp; IF(C461="Interests", TEXT(EDATE(IF(DAY(A461)&gt;=24, A461, EDATE(A461,-1)), -1),"yyyy-mm"), TEXT(IF(DAY(A461)&gt;=24, A461, EDATE(A461,-1)),"yyyy-mm"))</f>
        <v>Phi 2021-08</v>
      </c>
      <c r="F461">
        <f>IF(ISNUMBER(B461), ROUND(SUMIFS($B$2:$B$10000, $E$2:$E$10000, E461, $B$2:$B$10000, IF(B461&lt;0, "&lt;0", "&gt;0")), 0), "")</f>
        <v>-153950</v>
      </c>
      <c r="G461" t="str">
        <f>IF(F461&gt;0, IF(C461="Transaction", "Da thanh toan", "Duong"), IF(F461&lt;0, IF(C461="Transaction", "Du no", IF(C461="Interests", "Lai phat sinh", IF(C461="Misc", "Phi", IF(C461="Account Transfer", "Lai tra gop", "Am")))), "Bang 0"))</f>
        <v>Phi</v>
      </c>
    </row>
    <row r="462" spans="1:7" x14ac:dyDescent="0.3">
      <c r="A462" s="60">
        <v>44432</v>
      </c>
      <c r="B462" s="33">
        <v>-45.85</v>
      </c>
      <c r="C462" t="s">
        <v>49</v>
      </c>
      <c r="E462" t="str">
        <f>IF(OR(C462="Transaction",C462="Interests",C462="Misc",C462="Account Transfer"), IF(C462="Transaction", IF(B462&lt;0, "Du no", "Da thanh toan"), IF(C462="Interests", "Lai", IF(C462="Misc", "Phi", IF(C462="Account Transfer", IF(OR(ISNUMBER(SEARCH("Trich lai tra gop the TD", D462)), ISNUMBER(SEARCH("Chuyen lai tra gop con lai sang du no thong thuong khi BadDebt", D462))), IF(B462&lt;0, "Lai tra gop", ""), "" )))))) &amp; " " &amp; IF(C462="Interests", TEXT(EDATE(IF(DAY(A462)&gt;=24, A462, EDATE(A462,-1)), -1),"yyyy-mm"), TEXT(IF(DAY(A462)&gt;=24, A462, EDATE(A462,-1)),"yyyy-mm"))</f>
        <v>Lai 2021-07</v>
      </c>
      <c r="F462">
        <f>IF(ISNUMBER(B462), ROUND(SUMIFS($B$2:$B$10000, $E$2:$E$10000, E462, $B$2:$B$10000, IF(B462&lt;0, "&lt;0", "&gt;0")), 0), "")</f>
        <v>-11696</v>
      </c>
      <c r="G462" t="str">
        <f>IF(F462&gt;0, IF(C462="Transaction", "Da thanh toan", "Duong"), IF(F462&lt;0, IF(C462="Transaction", "Du no", IF(C462="Interests", "Lai phat sinh", IF(C462="Misc", "Phi", IF(C462="Account Transfer", "Lai tra gop", "Am")))), "Bang 0"))</f>
        <v>Lai phat sinh</v>
      </c>
    </row>
    <row r="463" spans="1:7" x14ac:dyDescent="0.3">
      <c r="A463" s="60">
        <v>44432</v>
      </c>
      <c r="B463" s="33">
        <v>-2541.14</v>
      </c>
      <c r="C463" t="s">
        <v>49</v>
      </c>
      <c r="E463" t="str">
        <f>IF(OR(C463="Transaction",C463="Interests",C463="Misc",C463="Account Transfer"), IF(C463="Transaction", IF(B463&lt;0, "Du no", "Da thanh toan"), IF(C463="Interests", "Lai", IF(C463="Misc", "Phi", IF(C463="Account Transfer", IF(OR(ISNUMBER(SEARCH("Trich lai tra gop the TD", D463)), ISNUMBER(SEARCH("Chuyen lai tra gop con lai sang du no thong thuong khi BadDebt", D463))), IF(B463&lt;0, "Lai tra gop", ""), "" )))))) &amp; " " &amp; IF(C463="Interests", TEXT(EDATE(IF(DAY(A463)&gt;=24, A463, EDATE(A463,-1)), -1),"yyyy-mm"), TEXT(IF(DAY(A463)&gt;=24, A463, EDATE(A463,-1)),"yyyy-mm"))</f>
        <v>Lai 2021-07</v>
      </c>
      <c r="F463">
        <f>IF(ISNUMBER(B463), ROUND(SUMIFS($B$2:$B$10000, $E$2:$E$10000, E463, $B$2:$B$10000, IF(B463&lt;0, "&lt;0", "&gt;0")), 0), "")</f>
        <v>-11696</v>
      </c>
      <c r="G463" t="str">
        <f>IF(F463&gt;0, IF(C463="Transaction", "Da thanh toan", "Duong"), IF(F463&lt;0, IF(C463="Transaction", "Du no", IF(C463="Interests", "Lai phat sinh", IF(C463="Misc", "Phi", IF(C463="Account Transfer", "Lai tra gop", "Am")))), "Bang 0"))</f>
        <v>Lai phat sinh</v>
      </c>
    </row>
    <row r="464" spans="1:7" x14ac:dyDescent="0.3">
      <c r="A464" s="60">
        <v>44432</v>
      </c>
      <c r="B464" s="33">
        <v>-176.64</v>
      </c>
      <c r="C464" t="s">
        <v>49</v>
      </c>
      <c r="E464" t="str">
        <f>IF(OR(C464="Transaction",C464="Interests",C464="Misc",C464="Account Transfer"), IF(C464="Transaction", IF(B464&lt;0, "Du no", "Da thanh toan"), IF(C464="Interests", "Lai", IF(C464="Misc", "Phi", IF(C464="Account Transfer", IF(OR(ISNUMBER(SEARCH("Trich lai tra gop the TD", D464)), ISNUMBER(SEARCH("Chuyen lai tra gop con lai sang du no thong thuong khi BadDebt", D464))), IF(B464&lt;0, "Lai tra gop", ""), "" )))))) &amp; " " &amp; IF(C464="Interests", TEXT(EDATE(IF(DAY(A464)&gt;=24, A464, EDATE(A464,-1)), -1),"yyyy-mm"), TEXT(IF(DAY(A464)&gt;=24, A464, EDATE(A464,-1)),"yyyy-mm"))</f>
        <v>Lai 2021-07</v>
      </c>
      <c r="F464">
        <f>IF(ISNUMBER(B464), ROUND(SUMIFS($B$2:$B$10000, $E$2:$E$10000, E464, $B$2:$B$10000, IF(B464&lt;0, "&lt;0", "&gt;0")), 0), "")</f>
        <v>-11696</v>
      </c>
      <c r="G464" t="str">
        <f>IF(F464&gt;0, IF(C464="Transaction", "Da thanh toan", "Duong"), IF(F464&lt;0, IF(C464="Transaction", "Du no", IF(C464="Interests", "Lai phat sinh", IF(C464="Misc", "Phi", IF(C464="Account Transfer", "Lai tra gop", "Am")))), "Bang 0"))</f>
        <v>Lai phat sinh</v>
      </c>
    </row>
    <row r="465" spans="1:7" x14ac:dyDescent="0.3">
      <c r="A465" s="60">
        <v>44432</v>
      </c>
      <c r="B465" s="33">
        <v>-3002.91</v>
      </c>
      <c r="C465" t="s">
        <v>49</v>
      </c>
      <c r="E465" t="str">
        <f>IF(OR(C465="Transaction",C465="Interests",C465="Misc",C465="Account Transfer"), IF(C465="Transaction", IF(B465&lt;0, "Du no", "Da thanh toan"), IF(C465="Interests", "Lai", IF(C465="Misc", "Phi", IF(C465="Account Transfer", IF(OR(ISNUMBER(SEARCH("Trich lai tra gop the TD", D465)), ISNUMBER(SEARCH("Chuyen lai tra gop con lai sang du no thong thuong khi BadDebt", D465))), IF(B465&lt;0, "Lai tra gop", ""), "" )))))) &amp; " " &amp; IF(C465="Interests", TEXT(EDATE(IF(DAY(A465)&gt;=24, A465, EDATE(A465,-1)), -1),"yyyy-mm"), TEXT(IF(DAY(A465)&gt;=24, A465, EDATE(A465,-1)),"yyyy-mm"))</f>
        <v>Lai 2021-07</v>
      </c>
      <c r="F465">
        <f>IF(ISNUMBER(B465), ROUND(SUMIFS($B$2:$B$10000, $E$2:$E$10000, E465, $B$2:$B$10000, IF(B465&lt;0, "&lt;0", "&gt;0")), 0), "")</f>
        <v>-11696</v>
      </c>
      <c r="G465" t="str">
        <f>IF(F465&gt;0, IF(C465="Transaction", "Da thanh toan", "Duong"), IF(F465&lt;0, IF(C465="Transaction", "Du no", IF(C465="Interests", "Lai phat sinh", IF(C465="Misc", "Phi", IF(C465="Account Transfer", "Lai tra gop", "Am")))), "Bang 0"))</f>
        <v>Lai phat sinh</v>
      </c>
    </row>
    <row r="466" spans="1:7" x14ac:dyDescent="0.3">
      <c r="A466" s="60">
        <v>44432</v>
      </c>
      <c r="B466" s="33">
        <v>-5484.97</v>
      </c>
      <c r="C466" t="s">
        <v>49</v>
      </c>
      <c r="E466" t="str">
        <f>IF(OR(C466="Transaction",C466="Interests",C466="Misc",C466="Account Transfer"), IF(C466="Transaction", IF(B466&lt;0, "Du no", "Da thanh toan"), IF(C466="Interests", "Lai", IF(C466="Misc", "Phi", IF(C466="Account Transfer", IF(OR(ISNUMBER(SEARCH("Trich lai tra gop the TD", D466)), ISNUMBER(SEARCH("Chuyen lai tra gop con lai sang du no thong thuong khi BadDebt", D466))), IF(B466&lt;0, "Lai tra gop", ""), "" )))))) &amp; " " &amp; IF(C466="Interests", TEXT(EDATE(IF(DAY(A466)&gt;=24, A466, EDATE(A466,-1)), -1),"yyyy-mm"), TEXT(IF(DAY(A466)&gt;=24, A466, EDATE(A466,-1)),"yyyy-mm"))</f>
        <v>Lai 2021-07</v>
      </c>
      <c r="F466">
        <f>IF(ISNUMBER(B466), ROUND(SUMIFS($B$2:$B$10000, $E$2:$E$10000, E466, $B$2:$B$10000, IF(B466&lt;0, "&lt;0", "&gt;0")), 0), "")</f>
        <v>-11696</v>
      </c>
      <c r="G466" t="str">
        <f>IF(F466&gt;0, IF(C466="Transaction", "Da thanh toan", "Duong"), IF(F466&lt;0, IF(C466="Transaction", "Du no", IF(C466="Interests", "Lai phat sinh", IF(C466="Misc", "Phi", IF(C466="Account Transfer", "Lai tra gop", "Am")))), "Bang 0"))</f>
        <v>Lai phat sinh</v>
      </c>
    </row>
    <row r="467" spans="1:7" x14ac:dyDescent="0.3">
      <c r="A467" s="60">
        <v>44432</v>
      </c>
      <c r="B467" s="33">
        <v>-184.47</v>
      </c>
      <c r="C467" t="s">
        <v>49</v>
      </c>
      <c r="E467" t="str">
        <f>IF(OR(C467="Transaction",C467="Interests",C467="Misc",C467="Account Transfer"), IF(C467="Transaction", IF(B467&lt;0, "Du no", "Da thanh toan"), IF(C467="Interests", "Lai", IF(C467="Misc", "Phi", IF(C467="Account Transfer", IF(OR(ISNUMBER(SEARCH("Trich lai tra gop the TD", D467)), ISNUMBER(SEARCH("Chuyen lai tra gop con lai sang du no thong thuong khi BadDebt", D467))), IF(B467&lt;0, "Lai tra gop", ""), "" )))))) &amp; " " &amp; IF(C467="Interests", TEXT(EDATE(IF(DAY(A467)&gt;=24, A467, EDATE(A467,-1)), -1),"yyyy-mm"), TEXT(IF(DAY(A467)&gt;=24, A467, EDATE(A467,-1)),"yyyy-mm"))</f>
        <v>Lai 2021-07</v>
      </c>
      <c r="F467">
        <f>IF(ISNUMBER(B467), ROUND(SUMIFS($B$2:$B$10000, $E$2:$E$10000, E467, $B$2:$B$10000, IF(B467&lt;0, "&lt;0", "&gt;0")), 0), "")</f>
        <v>-11696</v>
      </c>
      <c r="G467" t="str">
        <f>IF(F467&gt;0, IF(C467="Transaction", "Da thanh toan", "Duong"), IF(F467&lt;0, IF(C467="Transaction", "Du no", IF(C467="Interests", "Lai phat sinh", IF(C467="Misc", "Phi", IF(C467="Account Transfer", "Lai tra gop", "Am")))), "Bang 0"))</f>
        <v>Lai phat sinh</v>
      </c>
    </row>
    <row r="468" spans="1:7" x14ac:dyDescent="0.3">
      <c r="A468" s="60">
        <v>44432</v>
      </c>
      <c r="B468" s="33">
        <v>-117.39</v>
      </c>
      <c r="C468" t="s">
        <v>49</v>
      </c>
      <c r="E468" t="str">
        <f>IF(OR(C468="Transaction",C468="Interests",C468="Misc",C468="Account Transfer"), IF(C468="Transaction", IF(B468&lt;0, "Du no", "Da thanh toan"), IF(C468="Interests", "Lai", IF(C468="Misc", "Phi", IF(C468="Account Transfer", IF(OR(ISNUMBER(SEARCH("Trich lai tra gop the TD", D468)), ISNUMBER(SEARCH("Chuyen lai tra gop con lai sang du no thong thuong khi BadDebt", D468))), IF(B468&lt;0, "Lai tra gop", ""), "" )))))) &amp; " " &amp; IF(C468="Interests", TEXT(EDATE(IF(DAY(A468)&gt;=24, A468, EDATE(A468,-1)), -1),"yyyy-mm"), TEXT(IF(DAY(A468)&gt;=24, A468, EDATE(A468,-1)),"yyyy-mm"))</f>
        <v>Lai 2021-07</v>
      </c>
      <c r="F468">
        <f>IF(ISNUMBER(B468), ROUND(SUMIFS($B$2:$B$10000, $E$2:$E$10000, E468, $B$2:$B$10000, IF(B468&lt;0, "&lt;0", "&gt;0")), 0), "")</f>
        <v>-11696</v>
      </c>
      <c r="G468" t="str">
        <f>IF(F468&gt;0, IF(C468="Transaction", "Da thanh toan", "Duong"), IF(F468&lt;0, IF(C468="Transaction", "Du no", IF(C468="Interests", "Lai phat sinh", IF(C468="Misc", "Phi", IF(C468="Account Transfer", "Lai tra gop", "Am")))), "Bang 0"))</f>
        <v>Lai phat sinh</v>
      </c>
    </row>
    <row r="469" spans="1:7" x14ac:dyDescent="0.3">
      <c r="A469" s="60">
        <v>44432</v>
      </c>
      <c r="B469" s="33">
        <v>-142.55000000000001</v>
      </c>
      <c r="C469" t="s">
        <v>49</v>
      </c>
      <c r="E469" t="str">
        <f>IF(OR(C469="Transaction",C469="Interests",C469="Misc",C469="Account Transfer"), IF(C469="Transaction", IF(B469&lt;0, "Du no", "Da thanh toan"), IF(C469="Interests", "Lai", IF(C469="Misc", "Phi", IF(C469="Account Transfer", IF(OR(ISNUMBER(SEARCH("Trich lai tra gop the TD", D469)), ISNUMBER(SEARCH("Chuyen lai tra gop con lai sang du no thong thuong khi BadDebt", D469))), IF(B469&lt;0, "Lai tra gop", ""), "" )))))) &amp; " " &amp; IF(C469="Interests", TEXT(EDATE(IF(DAY(A469)&gt;=24, A469, EDATE(A469,-1)), -1),"yyyy-mm"), TEXT(IF(DAY(A469)&gt;=24, A469, EDATE(A469,-1)),"yyyy-mm"))</f>
        <v>Lai 2021-07</v>
      </c>
      <c r="F469">
        <f>IF(ISNUMBER(B469), ROUND(SUMIFS($B$2:$B$10000, $E$2:$E$10000, E469, $B$2:$B$10000, IF(B469&lt;0, "&lt;0", "&gt;0")), 0), "")</f>
        <v>-11696</v>
      </c>
      <c r="G469" t="str">
        <f>IF(F469&gt;0, IF(C469="Transaction", "Da thanh toan", "Duong"), IF(F469&lt;0, IF(C469="Transaction", "Du no", IF(C469="Interests", "Lai phat sinh", IF(C469="Misc", "Phi", IF(C469="Account Transfer", "Lai tra gop", "Am")))), "Bang 0"))</f>
        <v>Lai phat sinh</v>
      </c>
    </row>
    <row r="470" spans="1:7" x14ac:dyDescent="0.3">
      <c r="A470" s="60">
        <v>44431</v>
      </c>
      <c r="B470" s="33">
        <v>2709873</v>
      </c>
      <c r="C470" t="s">
        <v>753</v>
      </c>
      <c r="D470" t="s">
        <v>786</v>
      </c>
      <c r="E470" t="str">
        <f>IF(OR(C470="Transaction",C470="Interests",C470="Misc",C470="Account Transfer"), IF(C470="Transaction", IF(B470&lt;0, "Du no", "Da thanh toan"), IF(C470="Interests", "Lai", IF(C470="Misc", "Phi", IF(C470="Account Transfer", IF(OR(ISNUMBER(SEARCH("Trich lai tra gop the TD", D470)), ISNUMBER(SEARCH("Chuyen lai tra gop con lai sang du no thong thuong khi BadDebt", D470))), IF(B470&lt;0, "Lai tra gop", ""), "" )))))) &amp; " " &amp; IF(C470="Interests", TEXT(EDATE(IF(DAY(A470)&gt;=24, A470, EDATE(A470,-1)), -1),"yyyy-mm"), TEXT(IF(DAY(A470)&gt;=24, A470, EDATE(A470,-1)),"yyyy-mm"))</f>
        <v xml:space="preserve"> 2021-07</v>
      </c>
      <c r="F470">
        <f>IF(ISNUMBER(B470), ROUND(SUMIFS($B$2:$B$10000, $E$2:$E$10000, E470, $B$2:$B$10000, IF(B470&lt;0, "&lt;0", "&gt;0")), 0), "")</f>
        <v>5419746</v>
      </c>
      <c r="G470" t="str">
        <f>IF(F470&gt;0, IF(C470="Transaction", "Da thanh toan", "Duong"), IF(F470&lt;0, IF(C470="Transaction", "Du no", IF(C470="Interests", "Lai phat sinh", IF(C470="Misc", "Phi", IF(C470="Account Transfer", "Lai tra gop", "Am")))), "Bang 0"))</f>
        <v>Duong</v>
      </c>
    </row>
    <row r="471" spans="1:7" x14ac:dyDescent="0.3">
      <c r="A471" s="60">
        <v>44431</v>
      </c>
      <c r="B471" s="33">
        <v>-2709873</v>
      </c>
      <c r="C471" t="s">
        <v>753</v>
      </c>
      <c r="D471" t="s">
        <v>786</v>
      </c>
      <c r="E471" t="str">
        <f>IF(OR(C471="Transaction",C471="Interests",C471="Misc",C471="Account Transfer"), IF(C471="Transaction", IF(B471&lt;0, "Du no", "Da thanh toan"), IF(C471="Interests", "Lai", IF(C471="Misc", "Phi", IF(C471="Account Transfer", IF(OR(ISNUMBER(SEARCH("Trich lai tra gop the TD", D471)), ISNUMBER(SEARCH("Chuyen lai tra gop con lai sang du no thong thuong khi BadDebt", D471))), IF(B471&lt;0, "Lai tra gop", ""), "" )))))) &amp; " " &amp; IF(C471="Interests", TEXT(EDATE(IF(DAY(A471)&gt;=24, A471, EDATE(A471,-1)), -1),"yyyy-mm"), TEXT(IF(DAY(A471)&gt;=24, A471, EDATE(A471,-1)),"yyyy-mm"))</f>
        <v xml:space="preserve"> 2021-07</v>
      </c>
      <c r="F471">
        <f>IF(ISNUMBER(B471), ROUND(SUMIFS($B$2:$B$10000, $E$2:$E$10000, E471, $B$2:$B$10000, IF(B471&lt;0, "&lt;0", "&gt;0")), 0), "")</f>
        <v>-5419746</v>
      </c>
      <c r="G471" t="str">
        <f>IF(F471&gt;0, IF(C471="Transaction", "Da thanh toan", "Duong"), IF(F471&lt;0, IF(C471="Transaction", "Du no", IF(C471="Interests", "Lai phat sinh", IF(C471="Misc", "Phi", IF(C471="Account Transfer", "Lai tra gop", "Am")))), "Bang 0"))</f>
        <v>Lai tra gop</v>
      </c>
    </row>
    <row r="472" spans="1:7" x14ac:dyDescent="0.3">
      <c r="A472" s="60">
        <v>44419</v>
      </c>
      <c r="B472" s="33">
        <v>2711528</v>
      </c>
      <c r="C472" t="s">
        <v>51</v>
      </c>
      <c r="D472" t="s">
        <v>53</v>
      </c>
      <c r="E472" t="str">
        <f>IF(OR(C472="Transaction",C472="Interests",C472="Misc",C472="Account Transfer"), IF(C472="Transaction", IF(B472&lt;0, "Du no", "Da thanh toan"), IF(C472="Interests", "Lai", IF(C472="Misc", "Phi", IF(C472="Account Transfer", IF(OR(ISNUMBER(SEARCH("Trich lai tra gop the TD", D472)), ISNUMBER(SEARCH("Chuyen lai tra gop con lai sang du no thong thuong khi BadDebt", D472))), IF(B472&lt;0, "Lai tra gop", ""), "" )))))) &amp; " " &amp; IF(C472="Interests", TEXT(EDATE(IF(DAY(A472)&gt;=24, A472, EDATE(A472,-1)), -1),"yyyy-mm"), TEXT(IF(DAY(A472)&gt;=24, A472, EDATE(A472,-1)),"yyyy-mm"))</f>
        <v>Da thanh toan 2021-07</v>
      </c>
      <c r="F472">
        <f>IF(ISNUMBER(B472), ROUND(SUMIFS($B$2:$B$10000, $E$2:$E$10000, E472, $B$2:$B$10000, IF(B472&lt;0, "&lt;0", "&gt;0")), 0), "")</f>
        <v>2711528</v>
      </c>
      <c r="G472" t="str">
        <f>IF(F472&gt;0, IF(C472="Transaction", "Da thanh toan", "Duong"), IF(F472&lt;0, IF(C472="Transaction", "Du no", IF(C472="Interests", "Lai phat sinh", IF(C472="Misc", "Phi", IF(C472="Account Transfer", "Lai tra gop", "Am")))), "Bang 0"))</f>
        <v>Da thanh toan</v>
      </c>
    </row>
    <row r="473" spans="1:7" x14ac:dyDescent="0.3">
      <c r="A473" s="60">
        <v>44418</v>
      </c>
      <c r="B473" s="33">
        <v>2709873</v>
      </c>
      <c r="C473" t="s">
        <v>753</v>
      </c>
      <c r="D473" t="s">
        <v>784</v>
      </c>
      <c r="E473" t="str">
        <f>IF(OR(C473="Transaction",C473="Interests",C473="Misc",C473="Account Transfer"), IF(C473="Transaction", IF(B473&lt;0, "Du no", "Da thanh toan"), IF(C473="Interests", "Lai", IF(C473="Misc", "Phi", IF(C473="Account Transfer", IF(OR(ISNUMBER(SEARCH("Trich lai tra gop the TD", D473)), ISNUMBER(SEARCH("Chuyen lai tra gop con lai sang du no thong thuong khi BadDebt", D473))), IF(B473&lt;0, "Lai tra gop", ""), "" )))))) &amp; " " &amp; IF(C473="Interests", TEXT(EDATE(IF(DAY(A473)&gt;=24, A473, EDATE(A473,-1)), -1),"yyyy-mm"), TEXT(IF(DAY(A473)&gt;=24, A473, EDATE(A473,-1)),"yyyy-mm"))</f>
        <v xml:space="preserve"> 2021-07</v>
      </c>
      <c r="F473">
        <f>IF(ISNUMBER(B473), ROUND(SUMIFS($B$2:$B$10000, $E$2:$E$10000, E473, $B$2:$B$10000, IF(B473&lt;0, "&lt;0", "&gt;0")), 0), "")</f>
        <v>5419746</v>
      </c>
      <c r="G473" t="str">
        <f>IF(F473&gt;0, IF(C473="Transaction", "Da thanh toan", "Duong"), IF(F473&lt;0, IF(C473="Transaction", "Du no", IF(C473="Interests", "Lai phat sinh", IF(C473="Misc", "Phi", IF(C473="Account Transfer", "Lai tra gop", "Am")))), "Bang 0"))</f>
        <v>Duong</v>
      </c>
    </row>
    <row r="474" spans="1:7" x14ac:dyDescent="0.3">
      <c r="A474" s="60">
        <v>44418</v>
      </c>
      <c r="B474" s="33">
        <v>-149000</v>
      </c>
      <c r="C474" t="s">
        <v>50</v>
      </c>
      <c r="E474" t="str">
        <f>IF(OR(C474="Transaction",C474="Interests",C474="Misc",C474="Account Transfer"), IF(C474="Transaction", IF(B474&lt;0, "Du no", "Da thanh toan"), IF(C474="Interests", "Lai", IF(C474="Misc", "Phi", IF(C474="Account Transfer", IF(OR(ISNUMBER(SEARCH("Trich lai tra gop the TD", D474)), ISNUMBER(SEARCH("Chuyen lai tra gop con lai sang du no thong thuong khi BadDebt", D474))), IF(B474&lt;0, "Lai tra gop", ""), "" )))))) &amp; " " &amp; IF(C474="Interests", TEXT(EDATE(IF(DAY(A474)&gt;=24, A474, EDATE(A474,-1)), -1),"yyyy-mm"), TEXT(IF(DAY(A474)&gt;=24, A474, EDATE(A474,-1)),"yyyy-mm"))</f>
        <v>Phi 2021-07</v>
      </c>
      <c r="F474">
        <f>IF(ISNUMBER(B474), ROUND(SUMIFS($B$2:$B$10000, $E$2:$E$10000, E474, $B$2:$B$10000, IF(B474&lt;0, "&lt;0", "&gt;0")), 0), "")</f>
        <v>-153950</v>
      </c>
      <c r="G474" t="str">
        <f>IF(F474&gt;0, IF(C474="Transaction", "Da thanh toan", "Duong"), IF(F474&lt;0, IF(C474="Transaction", "Du no", IF(C474="Interests", "Lai phat sinh", IF(C474="Misc", "Phi", IF(C474="Account Transfer", "Lai tra gop", "Am")))), "Bang 0"))</f>
        <v>Phi</v>
      </c>
    </row>
    <row r="475" spans="1:7" x14ac:dyDescent="0.3">
      <c r="A475" s="60">
        <v>44418</v>
      </c>
      <c r="B475" s="33">
        <v>-2709873</v>
      </c>
      <c r="C475" t="s">
        <v>753</v>
      </c>
      <c r="D475" t="s">
        <v>784</v>
      </c>
      <c r="E475" t="str">
        <f>IF(OR(C475="Transaction",C475="Interests",C475="Misc",C475="Account Transfer"), IF(C475="Transaction", IF(B475&lt;0, "Du no", "Da thanh toan"), IF(C475="Interests", "Lai", IF(C475="Misc", "Phi", IF(C475="Account Transfer", IF(OR(ISNUMBER(SEARCH("Trich lai tra gop the TD", D475)), ISNUMBER(SEARCH("Chuyen lai tra gop con lai sang du no thong thuong khi BadDebt", D475))), IF(B475&lt;0, "Lai tra gop", ""), "" )))))) &amp; " " &amp; IF(C475="Interests", TEXT(EDATE(IF(DAY(A475)&gt;=24, A475, EDATE(A475,-1)), -1),"yyyy-mm"), TEXT(IF(DAY(A475)&gt;=24, A475, EDATE(A475,-1)),"yyyy-mm"))</f>
        <v xml:space="preserve"> 2021-07</v>
      </c>
      <c r="F475">
        <f>IF(ISNUMBER(B475), ROUND(SUMIFS($B$2:$B$10000, $E$2:$E$10000, E475, $B$2:$B$10000, IF(B475&lt;0, "&lt;0", "&gt;0")), 0), "")</f>
        <v>-5419746</v>
      </c>
      <c r="G475" t="str">
        <f>IF(F475&gt;0, IF(C475="Transaction", "Da thanh toan", "Duong"), IF(F475&lt;0, IF(C475="Transaction", "Du no", IF(C475="Interests", "Lai phat sinh", IF(C475="Misc", "Phi", IF(C475="Account Transfer", "Lai tra gop", "Am")))), "Bang 0"))</f>
        <v>Lai tra gop</v>
      </c>
    </row>
    <row r="476" spans="1:7" x14ac:dyDescent="0.3">
      <c r="A476" s="60">
        <v>44411</v>
      </c>
      <c r="B476" s="33">
        <v>-7308</v>
      </c>
      <c r="C476" t="s">
        <v>51</v>
      </c>
      <c r="D476" t="s">
        <v>789</v>
      </c>
      <c r="E476" t="str">
        <f>IF(OR(C476="Transaction",C476="Interests",C476="Misc",C476="Account Transfer"), IF(C476="Transaction", IF(B476&lt;0, "Du no", "Da thanh toan"), IF(C476="Interests", "Lai", IF(C476="Misc", "Phi", IF(C476="Account Transfer", IF(OR(ISNUMBER(SEARCH("Trich lai tra gop the TD", D476)), ISNUMBER(SEARCH("Chuyen lai tra gop con lai sang du no thong thuong khi BadDebt", D476))), IF(B476&lt;0, "Lai tra gop", ""), "" )))))) &amp; " " &amp; IF(C476="Interests", TEXT(EDATE(IF(DAY(A476)&gt;=24, A476, EDATE(A476,-1)), -1),"yyyy-mm"), TEXT(IF(DAY(A476)&gt;=24, A476, EDATE(A476,-1)),"yyyy-mm"))</f>
        <v>Du no 2021-07</v>
      </c>
      <c r="F476">
        <f>IF(ISNUMBER(B476), ROUND(SUMIFS($B$2:$B$10000, $E$2:$E$10000, E476, $B$2:$B$10000, IF(B476&lt;0, "&lt;0", "&gt;0")), 0), "")</f>
        <v>-7308</v>
      </c>
      <c r="G476" t="str">
        <f>IF(F476&gt;0, IF(C476="Transaction", "Da thanh toan", "Duong"), IF(F476&lt;0, IF(C476="Transaction", "Du no", IF(C476="Interests", "Lai phat sinh", IF(C476="Misc", "Phi", IF(C476="Account Transfer", "Lai tra gop", "Am")))), "Bang 0"))</f>
        <v>Du no</v>
      </c>
    </row>
    <row r="477" spans="1:7" x14ac:dyDescent="0.3">
      <c r="A477" s="60">
        <v>44406</v>
      </c>
      <c r="B477" s="33">
        <v>-450</v>
      </c>
      <c r="C477" t="s">
        <v>50</v>
      </c>
      <c r="E477" t="str">
        <f>IF(OR(C477="Transaction",C477="Interests",C477="Misc",C477="Account Transfer"), IF(C477="Transaction", IF(B477&lt;0, "Du no", "Da thanh toan"), IF(C477="Interests", "Lai", IF(C477="Misc", "Phi", IF(C477="Account Transfer", IF(OR(ISNUMBER(SEARCH("Trich lai tra gop the TD", D477)), ISNUMBER(SEARCH("Chuyen lai tra gop con lai sang du no thong thuong khi BadDebt", D477))), IF(B477&lt;0, "Lai tra gop", ""), "" )))))) &amp; " " &amp; IF(C477="Interests", TEXT(EDATE(IF(DAY(A477)&gt;=24, A477, EDATE(A477,-1)), -1),"yyyy-mm"), TEXT(IF(DAY(A477)&gt;=24, A477, EDATE(A477,-1)),"yyyy-mm"))</f>
        <v>Phi 2021-07</v>
      </c>
      <c r="F477">
        <f>IF(ISNUMBER(B477), ROUND(SUMIFS($B$2:$B$10000, $E$2:$E$10000, E477, $B$2:$B$10000, IF(B477&lt;0, "&lt;0", "&gt;0")), 0), "")</f>
        <v>-153950</v>
      </c>
      <c r="G477" t="str">
        <f>IF(F477&gt;0, IF(C477="Transaction", "Da thanh toan", "Duong"), IF(F477&lt;0, IF(C477="Transaction", "Du no", IF(C477="Interests", "Lai phat sinh", IF(C477="Misc", "Phi", IF(C477="Account Transfer", "Lai tra gop", "Am")))), "Bang 0"))</f>
        <v>Phi</v>
      </c>
    </row>
    <row r="478" spans="1:7" x14ac:dyDescent="0.3">
      <c r="A478" s="60">
        <v>44406</v>
      </c>
      <c r="B478" s="33">
        <v>-4500</v>
      </c>
      <c r="C478" t="s">
        <v>50</v>
      </c>
      <c r="E478" t="str">
        <f>IF(OR(C478="Transaction",C478="Interests",C478="Misc",C478="Account Transfer"), IF(C478="Transaction", IF(B478&lt;0, "Du no", "Da thanh toan"), IF(C478="Interests", "Lai", IF(C478="Misc", "Phi", IF(C478="Account Transfer", IF(OR(ISNUMBER(SEARCH("Trich lai tra gop the TD", D478)), ISNUMBER(SEARCH("Chuyen lai tra gop con lai sang du no thong thuong khi BadDebt", D478))), IF(B478&lt;0, "Lai tra gop", ""), "" )))))) &amp; " " &amp; IF(C478="Interests", TEXT(EDATE(IF(DAY(A478)&gt;=24, A478, EDATE(A478,-1)), -1),"yyyy-mm"), TEXT(IF(DAY(A478)&gt;=24, A478, EDATE(A478,-1)),"yyyy-mm"))</f>
        <v>Phi 2021-07</v>
      </c>
      <c r="F478">
        <f>IF(ISNUMBER(B478), ROUND(SUMIFS($B$2:$B$10000, $E$2:$E$10000, E478, $B$2:$B$10000, IF(B478&lt;0, "&lt;0", "&gt;0")), 0), "")</f>
        <v>-153950</v>
      </c>
      <c r="G478" t="str">
        <f>IF(F478&gt;0, IF(C478="Transaction", "Da thanh toan", "Duong"), IF(F478&lt;0, IF(C478="Transaction", "Du no", IF(C478="Interests", "Lai phat sinh", IF(C478="Misc", "Phi", IF(C478="Account Transfer", "Lai tra gop", "Am")))), "Bang 0"))</f>
        <v>Phi</v>
      </c>
    </row>
    <row r="479" spans="1:7" x14ac:dyDescent="0.3">
      <c r="A479" s="60">
        <v>44401</v>
      </c>
      <c r="B479" s="33">
        <v>-38.53</v>
      </c>
      <c r="C479" t="s">
        <v>49</v>
      </c>
      <c r="E479" t="str">
        <f>IF(OR(C479="Transaction",C479="Interests",C479="Misc",C479="Account Transfer"), IF(C479="Transaction", IF(B479&lt;0, "Du no", "Da thanh toan"), IF(C479="Interests", "Lai", IF(C479="Misc", "Phi", IF(C479="Account Transfer", IF(OR(ISNUMBER(SEARCH("Trich lai tra gop the TD", D479)), ISNUMBER(SEARCH("Chuyen lai tra gop con lai sang du no thong thuong khi BadDebt", D479))), IF(B479&lt;0, "Lai tra gop", ""), "" )))))) &amp; " " &amp; IF(C479="Interests", TEXT(EDATE(IF(DAY(A479)&gt;=24, A479, EDATE(A479,-1)), -1),"yyyy-mm"), TEXT(IF(DAY(A479)&gt;=24, A479, EDATE(A479,-1)),"yyyy-mm"))</f>
        <v>Lai 2021-06</v>
      </c>
      <c r="F479">
        <f>IF(ISNUMBER(B479), ROUND(SUMIFS($B$2:$B$10000, $E$2:$E$10000, E479, $B$2:$B$10000, IF(B479&lt;0, "&lt;0", "&gt;0")), 0), "")</f>
        <v>-2220</v>
      </c>
      <c r="G479" t="str">
        <f>IF(F479&gt;0, IF(C479="Transaction", "Da thanh toan", "Duong"), IF(F479&lt;0, IF(C479="Transaction", "Du no", IF(C479="Interests", "Lai phat sinh", IF(C479="Misc", "Phi", IF(C479="Account Transfer", "Lai tra gop", "Am")))), "Bang 0"))</f>
        <v>Lai phat sinh</v>
      </c>
    </row>
    <row r="480" spans="1:7" x14ac:dyDescent="0.3">
      <c r="A480" s="60">
        <v>44401</v>
      </c>
      <c r="B480" s="33">
        <v>-951.36</v>
      </c>
      <c r="C480" t="s">
        <v>49</v>
      </c>
      <c r="E480" t="str">
        <f>IF(OR(C480="Transaction",C480="Interests",C480="Misc",C480="Account Transfer"), IF(C480="Transaction", IF(B480&lt;0, "Du no", "Da thanh toan"), IF(C480="Interests", "Lai", IF(C480="Misc", "Phi", IF(C480="Account Transfer", IF(OR(ISNUMBER(SEARCH("Trich lai tra gop the TD", D480)), ISNUMBER(SEARCH("Chuyen lai tra gop con lai sang du no thong thuong khi BadDebt", D480))), IF(B480&lt;0, "Lai tra gop", ""), "" )))))) &amp; " " &amp; IF(C480="Interests", TEXT(EDATE(IF(DAY(A480)&gt;=24, A480, EDATE(A480,-1)), -1),"yyyy-mm"), TEXT(IF(DAY(A480)&gt;=24, A480, EDATE(A480,-1)),"yyyy-mm"))</f>
        <v>Lai 2021-06</v>
      </c>
      <c r="F480">
        <f>IF(ISNUMBER(B480), ROUND(SUMIFS($B$2:$B$10000, $E$2:$E$10000, E480, $B$2:$B$10000, IF(B480&lt;0, "&lt;0", "&gt;0")), 0), "")</f>
        <v>-2220</v>
      </c>
      <c r="G480" t="str">
        <f>IF(F480&gt;0, IF(C480="Transaction", "Da thanh toan", "Duong"), IF(F480&lt;0, IF(C480="Transaction", "Du no", IF(C480="Interests", "Lai phat sinh", IF(C480="Misc", "Phi", IF(C480="Account Transfer", "Lai tra gop", "Am")))), "Bang 0"))</f>
        <v>Lai phat sinh</v>
      </c>
    </row>
    <row r="481" spans="1:7" x14ac:dyDescent="0.3">
      <c r="A481" s="60">
        <v>44401</v>
      </c>
      <c r="B481" s="33">
        <v>-1146.29</v>
      </c>
      <c r="C481" t="s">
        <v>49</v>
      </c>
      <c r="E481" t="str">
        <f>IF(OR(C481="Transaction",C481="Interests",C481="Misc",C481="Account Transfer"), IF(C481="Transaction", IF(B481&lt;0, "Du no", "Da thanh toan"), IF(C481="Interests", "Lai", IF(C481="Misc", "Phi", IF(C481="Account Transfer", IF(OR(ISNUMBER(SEARCH("Trich lai tra gop the TD", D481)), ISNUMBER(SEARCH("Chuyen lai tra gop con lai sang du no thong thuong khi BadDebt", D481))), IF(B481&lt;0, "Lai tra gop", ""), "" )))))) &amp; " " &amp; IF(C481="Interests", TEXT(EDATE(IF(DAY(A481)&gt;=24, A481, EDATE(A481,-1)), -1),"yyyy-mm"), TEXT(IF(DAY(A481)&gt;=24, A481, EDATE(A481,-1)),"yyyy-mm"))</f>
        <v>Lai 2021-06</v>
      </c>
      <c r="F481">
        <f>IF(ISNUMBER(B481), ROUND(SUMIFS($B$2:$B$10000, $E$2:$E$10000, E481, $B$2:$B$10000, IF(B481&lt;0, "&lt;0", "&gt;0")), 0), "")</f>
        <v>-2220</v>
      </c>
      <c r="G481" t="str">
        <f>IF(F481&gt;0, IF(C481="Transaction", "Da thanh toan", "Duong"), IF(F481&lt;0, IF(C481="Transaction", "Du no", IF(C481="Interests", "Lai phat sinh", IF(C481="Misc", "Phi", IF(C481="Account Transfer", "Lai tra gop", "Am")))), "Bang 0"))</f>
        <v>Lai phat sinh</v>
      </c>
    </row>
    <row r="482" spans="1:7" x14ac:dyDescent="0.3">
      <c r="A482" s="60">
        <v>44401</v>
      </c>
      <c r="B482" s="33">
        <v>-83.85</v>
      </c>
      <c r="C482" t="s">
        <v>49</v>
      </c>
      <c r="E482" t="str">
        <f>IF(OR(C482="Transaction",C482="Interests",C482="Misc",C482="Account Transfer"), IF(C482="Transaction", IF(B482&lt;0, "Du no", "Da thanh toan"), IF(C482="Interests", "Lai", IF(C482="Misc", "Phi", IF(C482="Account Transfer", IF(OR(ISNUMBER(SEARCH("Trich lai tra gop the TD", D482)), ISNUMBER(SEARCH("Chuyen lai tra gop con lai sang du no thong thuong khi BadDebt", D482))), IF(B482&lt;0, "Lai tra gop", ""), "" )))))) &amp; " " &amp; IF(C482="Interests", TEXT(EDATE(IF(DAY(A482)&gt;=24, A482, EDATE(A482,-1)), -1),"yyyy-mm"), TEXT(IF(DAY(A482)&gt;=24, A482, EDATE(A482,-1)),"yyyy-mm"))</f>
        <v>Lai 2021-06</v>
      </c>
      <c r="F482">
        <f>IF(ISNUMBER(B482), ROUND(SUMIFS($B$2:$B$10000, $E$2:$E$10000, E482, $B$2:$B$10000, IF(B482&lt;0, "&lt;0", "&gt;0")), 0), "")</f>
        <v>-2220</v>
      </c>
      <c r="G482" t="str">
        <f>IF(F482&gt;0, IF(C482="Transaction", "Da thanh toan", "Duong"), IF(F482&lt;0, IF(C482="Transaction", "Du no", IF(C482="Interests", "Lai phat sinh", IF(C482="Misc", "Phi", IF(C482="Account Transfer", "Lai tra gop", "Am")))), "Bang 0"))</f>
        <v>Lai phat sinh</v>
      </c>
    </row>
    <row r="483" spans="1:7" x14ac:dyDescent="0.3">
      <c r="A483" s="60">
        <v>44400</v>
      </c>
      <c r="B483" s="33">
        <v>2709873</v>
      </c>
      <c r="C483" t="s">
        <v>753</v>
      </c>
      <c r="D483" t="s">
        <v>786</v>
      </c>
      <c r="E483" t="str">
        <f>IF(OR(C483="Transaction",C483="Interests",C483="Misc",C483="Account Transfer"), IF(C483="Transaction", IF(B483&lt;0, "Du no", "Da thanh toan"), IF(C483="Interests", "Lai", IF(C483="Misc", "Phi", IF(C483="Account Transfer", IF(OR(ISNUMBER(SEARCH("Trich lai tra gop the TD", D483)), ISNUMBER(SEARCH("Chuyen lai tra gop con lai sang du no thong thuong khi BadDebt", D483))), IF(B483&lt;0, "Lai tra gop", ""), "" )))))) &amp; " " &amp; IF(C483="Interests", TEXT(EDATE(IF(DAY(A483)&gt;=24, A483, EDATE(A483,-1)), -1),"yyyy-mm"), TEXT(IF(DAY(A483)&gt;=24, A483, EDATE(A483,-1)),"yyyy-mm"))</f>
        <v xml:space="preserve"> 2021-06</v>
      </c>
      <c r="F483">
        <f>IF(ISNUMBER(B483), ROUND(SUMIFS($B$2:$B$10000, $E$2:$E$10000, E483, $B$2:$B$10000, IF(B483&lt;0, "&lt;0", "&gt;0")), 0), "")</f>
        <v>3681004</v>
      </c>
      <c r="G483" t="str">
        <f>IF(F483&gt;0, IF(C483="Transaction", "Da thanh toan", "Duong"), IF(F483&lt;0, IF(C483="Transaction", "Du no", IF(C483="Interests", "Lai phat sinh", IF(C483="Misc", "Phi", IF(C483="Account Transfer", "Lai tra gop", "Am")))), "Bang 0"))</f>
        <v>Duong</v>
      </c>
    </row>
    <row r="484" spans="1:7" x14ac:dyDescent="0.3">
      <c r="A484" s="60">
        <v>44400</v>
      </c>
      <c r="B484" s="33">
        <v>-2709873</v>
      </c>
      <c r="C484" t="s">
        <v>753</v>
      </c>
      <c r="D484" t="s">
        <v>786</v>
      </c>
      <c r="E484" t="str">
        <f>IF(OR(C484="Transaction",C484="Interests",C484="Misc",C484="Account Transfer"), IF(C484="Transaction", IF(B484&lt;0, "Du no", "Da thanh toan"), IF(C484="Interests", "Lai", IF(C484="Misc", "Phi", IF(C484="Account Transfer", IF(OR(ISNUMBER(SEARCH("Trich lai tra gop the TD", D484)), ISNUMBER(SEARCH("Chuyen lai tra gop con lai sang du no thong thuong khi BadDebt", D484))), IF(B484&lt;0, "Lai tra gop", ""), "" )))))) &amp; " " &amp; IF(C484="Interests", TEXT(EDATE(IF(DAY(A484)&gt;=24, A484, EDATE(A484,-1)), -1),"yyyy-mm"), TEXT(IF(DAY(A484)&gt;=24, A484, EDATE(A484,-1)),"yyyy-mm"))</f>
        <v xml:space="preserve"> 2021-06</v>
      </c>
      <c r="F484">
        <f>IF(ISNUMBER(B484), ROUND(SUMIFS($B$2:$B$10000, $E$2:$E$10000, E484, $B$2:$B$10000, IF(B484&lt;0, "&lt;0", "&gt;0")), 0), "")</f>
        <v>-3681004</v>
      </c>
      <c r="G484" t="str">
        <f>IF(F484&gt;0, IF(C484="Transaction", "Da thanh toan", "Duong"), IF(F484&lt;0, IF(C484="Transaction", "Du no", IF(C484="Interests", "Lai phat sinh", IF(C484="Misc", "Phi", IF(C484="Account Transfer", "Lai tra gop", "Am")))), "Bang 0"))</f>
        <v>Lai tra gop</v>
      </c>
    </row>
    <row r="485" spans="1:7" x14ac:dyDescent="0.3">
      <c r="A485" s="60">
        <v>44387</v>
      </c>
      <c r="B485" s="33">
        <v>971236</v>
      </c>
      <c r="C485" t="s">
        <v>51</v>
      </c>
      <c r="D485" t="s">
        <v>790</v>
      </c>
      <c r="E485" t="str">
        <f>IF(OR(C485="Transaction",C485="Interests",C485="Misc",C485="Account Transfer"), IF(C485="Transaction", IF(B485&lt;0, "Du no", "Da thanh toan"), IF(C485="Interests", "Lai", IF(C485="Misc", "Phi", IF(C485="Account Transfer", IF(OR(ISNUMBER(SEARCH("Trich lai tra gop the TD", D485)), ISNUMBER(SEARCH("Chuyen lai tra gop con lai sang du no thong thuong khi BadDebt", D485))), IF(B485&lt;0, "Lai tra gop", ""), "" )))))) &amp; " " &amp; IF(C485="Interests", TEXT(EDATE(IF(DAY(A485)&gt;=24, A485, EDATE(A485,-1)), -1),"yyyy-mm"), TEXT(IF(DAY(A485)&gt;=24, A485, EDATE(A485,-1)),"yyyy-mm"))</f>
        <v>Da thanh toan 2021-06</v>
      </c>
      <c r="F485">
        <f>IF(ISNUMBER(B485), ROUND(SUMIFS($B$2:$B$10000, $E$2:$E$10000, E485, $B$2:$B$10000, IF(B485&lt;0, "&lt;0", "&gt;0")), 0), "")</f>
        <v>971236</v>
      </c>
      <c r="G485" t="str">
        <f>IF(F485&gt;0, IF(C485="Transaction", "Da thanh toan", "Duong"), IF(F485&lt;0, IF(C485="Transaction", "Du no", IF(C485="Interests", "Lai phat sinh", IF(C485="Misc", "Phi", IF(C485="Account Transfer", "Lai tra gop", "Am")))), "Bang 0"))</f>
        <v>Da thanh toan</v>
      </c>
    </row>
    <row r="486" spans="1:7" x14ac:dyDescent="0.3">
      <c r="A486" s="60">
        <v>44387</v>
      </c>
      <c r="B486" s="33">
        <v>-149000</v>
      </c>
      <c r="C486" t="s">
        <v>50</v>
      </c>
      <c r="E486" t="str">
        <f>IF(OR(C486="Transaction",C486="Interests",C486="Misc",C486="Account Transfer"), IF(C486="Transaction", IF(B486&lt;0, "Du no", "Da thanh toan"), IF(C486="Interests", "Lai", IF(C486="Misc", "Phi", IF(C486="Account Transfer", IF(OR(ISNUMBER(SEARCH("Trich lai tra gop the TD", D486)), ISNUMBER(SEARCH("Chuyen lai tra gop con lai sang du no thong thuong khi BadDebt", D486))), IF(B486&lt;0, "Lai tra gop", ""), "" )))))) &amp; " " &amp; IF(C486="Interests", TEXT(EDATE(IF(DAY(A486)&gt;=24, A486, EDATE(A486,-1)), -1),"yyyy-mm"), TEXT(IF(DAY(A486)&gt;=24, A486, EDATE(A486,-1)),"yyyy-mm"))</f>
        <v>Phi 2021-06</v>
      </c>
      <c r="F486">
        <f>IF(ISNUMBER(B486), ROUND(SUMIFS($B$2:$B$10000, $E$2:$E$10000, E486, $B$2:$B$10000, IF(B486&lt;0, "&lt;0", "&gt;0")), 0), "")</f>
        <v>-153950</v>
      </c>
      <c r="G486" t="str">
        <f>IF(F486&gt;0, IF(C486="Transaction", "Da thanh toan", "Duong"), IF(F486&lt;0, IF(C486="Transaction", "Du no", IF(C486="Interests", "Lai phat sinh", IF(C486="Misc", "Phi", IF(C486="Account Transfer", "Lai tra gop", "Am")))), "Bang 0"))</f>
        <v>Phi</v>
      </c>
    </row>
    <row r="487" spans="1:7" x14ac:dyDescent="0.3">
      <c r="A487" s="60">
        <v>44386</v>
      </c>
      <c r="B487" s="33">
        <v>971130.7</v>
      </c>
      <c r="C487" t="s">
        <v>753</v>
      </c>
      <c r="D487" t="s">
        <v>784</v>
      </c>
      <c r="E487" t="str">
        <f>IF(OR(C487="Transaction",C487="Interests",C487="Misc",C487="Account Transfer"), IF(C487="Transaction", IF(B487&lt;0, "Du no", "Da thanh toan"), IF(C487="Interests", "Lai", IF(C487="Misc", "Phi", IF(C487="Account Transfer", IF(OR(ISNUMBER(SEARCH("Trich lai tra gop the TD", D487)), ISNUMBER(SEARCH("Chuyen lai tra gop con lai sang du no thong thuong khi BadDebt", D487))), IF(B487&lt;0, "Lai tra gop", ""), "" )))))) &amp; " " &amp; IF(C487="Interests", TEXT(EDATE(IF(DAY(A487)&gt;=24, A487, EDATE(A487,-1)), -1),"yyyy-mm"), TEXT(IF(DAY(A487)&gt;=24, A487, EDATE(A487,-1)),"yyyy-mm"))</f>
        <v xml:space="preserve"> 2021-06</v>
      </c>
      <c r="F487">
        <f>IF(ISNUMBER(B487), ROUND(SUMIFS($B$2:$B$10000, $E$2:$E$10000, E487, $B$2:$B$10000, IF(B487&lt;0, "&lt;0", "&gt;0")), 0), "")</f>
        <v>3681004</v>
      </c>
      <c r="G487" t="str">
        <f>IF(F487&gt;0, IF(C487="Transaction", "Da thanh toan", "Duong"), IF(F487&lt;0, IF(C487="Transaction", "Du no", IF(C487="Interests", "Lai phat sinh", IF(C487="Misc", "Phi", IF(C487="Account Transfer", "Lai tra gop", "Am")))), "Bang 0"))</f>
        <v>Duong</v>
      </c>
    </row>
    <row r="488" spans="1:7" x14ac:dyDescent="0.3">
      <c r="A488" s="60">
        <v>44386</v>
      </c>
      <c r="B488" s="33">
        <v>-971130.7</v>
      </c>
      <c r="C488" t="s">
        <v>753</v>
      </c>
      <c r="D488" t="s">
        <v>784</v>
      </c>
      <c r="E488" t="str">
        <f>IF(OR(C488="Transaction",C488="Interests",C488="Misc",C488="Account Transfer"), IF(C488="Transaction", IF(B488&lt;0, "Du no", "Da thanh toan"), IF(C488="Interests", "Lai", IF(C488="Misc", "Phi", IF(C488="Account Transfer", IF(OR(ISNUMBER(SEARCH("Trich lai tra gop the TD", D488)), ISNUMBER(SEARCH("Chuyen lai tra gop con lai sang du no thong thuong khi BadDebt", D488))), IF(B488&lt;0, "Lai tra gop", ""), "" )))))) &amp; " " &amp; IF(C488="Interests", TEXT(EDATE(IF(DAY(A488)&gt;=24, A488, EDATE(A488,-1)), -1),"yyyy-mm"), TEXT(IF(DAY(A488)&gt;=24, A488, EDATE(A488,-1)),"yyyy-mm"))</f>
        <v xml:space="preserve"> 2021-06</v>
      </c>
      <c r="F488">
        <f>IF(ISNUMBER(B488), ROUND(SUMIFS($B$2:$B$10000, $E$2:$E$10000, E488, $B$2:$B$10000, IF(B488&lt;0, "&lt;0", "&gt;0")), 0), "")</f>
        <v>-3681004</v>
      </c>
      <c r="G488" t="str">
        <f>IF(F488&gt;0, IF(C488="Transaction", "Da thanh toan", "Duong"), IF(F488&lt;0, IF(C488="Transaction", "Du no", IF(C488="Interests", "Lai phat sinh", IF(C488="Misc", "Phi", IF(C488="Account Transfer", "Lai tra gop", "Am")))), "Bang 0"))</f>
        <v>Lai tra gop</v>
      </c>
    </row>
    <row r="489" spans="1:7" x14ac:dyDescent="0.3">
      <c r="A489" s="60">
        <v>44379</v>
      </c>
      <c r="B489" s="33">
        <v>-7308</v>
      </c>
      <c r="C489" t="s">
        <v>51</v>
      </c>
      <c r="D489" t="s">
        <v>791</v>
      </c>
      <c r="E489" t="str">
        <f>IF(OR(C489="Transaction",C489="Interests",C489="Misc",C489="Account Transfer"), IF(C489="Transaction", IF(B489&lt;0, "Du no", "Da thanh toan"), IF(C489="Interests", "Lai", IF(C489="Misc", "Phi", IF(C489="Account Transfer", IF(OR(ISNUMBER(SEARCH("Trich lai tra gop the TD", D489)), ISNUMBER(SEARCH("Chuyen lai tra gop con lai sang du no thong thuong khi BadDebt", D489))), IF(B489&lt;0, "Lai tra gop", ""), "" )))))) &amp; " " &amp; IF(C489="Interests", TEXT(EDATE(IF(DAY(A489)&gt;=24, A489, EDATE(A489,-1)), -1),"yyyy-mm"), TEXT(IF(DAY(A489)&gt;=24, A489, EDATE(A489,-1)),"yyyy-mm"))</f>
        <v>Du no 2021-06</v>
      </c>
      <c r="F489">
        <f>IF(ISNUMBER(B489), ROUND(SUMIFS($B$2:$B$10000, $E$2:$E$10000, E489, $B$2:$B$10000, IF(B489&lt;0, "&lt;0", "&gt;0")), 0), "")</f>
        <v>-7308</v>
      </c>
      <c r="G489" t="str">
        <f>IF(F489&gt;0, IF(C489="Transaction", "Da thanh toan", "Duong"), IF(F489&lt;0, IF(C489="Transaction", "Du no", IF(C489="Interests", "Lai phat sinh", IF(C489="Misc", "Phi", IF(C489="Account Transfer", "Lai tra gop", "Am")))), "Bang 0"))</f>
        <v>Du no</v>
      </c>
    </row>
    <row r="490" spans="1:7" x14ac:dyDescent="0.3">
      <c r="A490" s="60">
        <v>44375</v>
      </c>
      <c r="B490" s="33">
        <v>-450</v>
      </c>
      <c r="C490" t="s">
        <v>50</v>
      </c>
      <c r="E490" t="str">
        <f>IF(OR(C490="Transaction",C490="Interests",C490="Misc",C490="Account Transfer"), IF(C490="Transaction", IF(B490&lt;0, "Du no", "Da thanh toan"), IF(C490="Interests", "Lai", IF(C490="Misc", "Phi", IF(C490="Account Transfer", IF(OR(ISNUMBER(SEARCH("Trich lai tra gop the TD", D490)), ISNUMBER(SEARCH("Chuyen lai tra gop con lai sang du no thong thuong khi BadDebt", D490))), IF(B490&lt;0, "Lai tra gop", ""), "" )))))) &amp; " " &amp; IF(C490="Interests", TEXT(EDATE(IF(DAY(A490)&gt;=24, A490, EDATE(A490,-1)), -1),"yyyy-mm"), TEXT(IF(DAY(A490)&gt;=24, A490, EDATE(A490,-1)),"yyyy-mm"))</f>
        <v>Phi 2021-06</v>
      </c>
      <c r="F490">
        <f>IF(ISNUMBER(B490), ROUND(SUMIFS($B$2:$B$10000, $E$2:$E$10000, E490, $B$2:$B$10000, IF(B490&lt;0, "&lt;0", "&gt;0")), 0), "")</f>
        <v>-153950</v>
      </c>
      <c r="G490" t="str">
        <f>IF(F490&gt;0, IF(C490="Transaction", "Da thanh toan", "Duong"), IF(F490&lt;0, IF(C490="Transaction", "Du no", IF(C490="Interests", "Lai phat sinh", IF(C490="Misc", "Phi", IF(C490="Account Transfer", "Lai tra gop", "Am")))), "Bang 0"))</f>
        <v>Phi</v>
      </c>
    </row>
    <row r="491" spans="1:7" x14ac:dyDescent="0.3">
      <c r="A491" s="60">
        <v>44375</v>
      </c>
      <c r="B491" s="33">
        <v>-4500</v>
      </c>
      <c r="C491" t="s">
        <v>50</v>
      </c>
      <c r="E491" t="str">
        <f>IF(OR(C491="Transaction",C491="Interests",C491="Misc",C491="Account Transfer"), IF(C491="Transaction", IF(B491&lt;0, "Du no", "Da thanh toan"), IF(C491="Interests", "Lai", IF(C491="Misc", "Phi", IF(C491="Account Transfer", IF(OR(ISNUMBER(SEARCH("Trich lai tra gop the TD", D491)), ISNUMBER(SEARCH("Chuyen lai tra gop con lai sang du no thong thuong khi BadDebt", D491))), IF(B491&lt;0, "Lai tra gop", ""), "" )))))) &amp; " " &amp; IF(C491="Interests", TEXT(EDATE(IF(DAY(A491)&gt;=24, A491, EDATE(A491,-1)), -1),"yyyy-mm"), TEXT(IF(DAY(A491)&gt;=24, A491, EDATE(A491,-1)),"yyyy-mm"))</f>
        <v>Phi 2021-06</v>
      </c>
      <c r="F491">
        <f>IF(ISNUMBER(B491), ROUND(SUMIFS($B$2:$B$10000, $E$2:$E$10000, E491, $B$2:$B$10000, IF(B491&lt;0, "&lt;0", "&gt;0")), 0), "")</f>
        <v>-153950</v>
      </c>
      <c r="G491" t="str">
        <f>IF(F491&gt;0, IF(C491="Transaction", "Da thanh toan", "Duong"), IF(F491&lt;0, IF(C491="Transaction", "Du no", IF(C491="Interests", "Lai phat sinh", IF(C491="Misc", "Phi", IF(C491="Account Transfer", "Lai tra gop", "Am")))), "Bang 0"))</f>
        <v>Phi</v>
      </c>
    </row>
    <row r="492" spans="1:7" x14ac:dyDescent="0.3">
      <c r="A492" s="60">
        <v>44371</v>
      </c>
      <c r="B492" s="33">
        <v>-2098.63</v>
      </c>
      <c r="C492" t="s">
        <v>49</v>
      </c>
      <c r="E492" t="str">
        <f>IF(OR(C492="Transaction",C492="Interests",C492="Misc",C492="Account Transfer"), IF(C492="Transaction", IF(B492&lt;0, "Du no", "Da thanh toan"), IF(C492="Interests", "Lai", IF(C492="Misc", "Phi", IF(C492="Account Transfer", IF(OR(ISNUMBER(SEARCH("Trich lai tra gop the TD", D492)), ISNUMBER(SEARCH("Chuyen lai tra gop con lai sang du no thong thuong khi BadDebt", D492))), IF(B492&lt;0, "Lai tra gop", ""), "" )))))) &amp; " " &amp; IF(C492="Interests", TEXT(EDATE(IF(DAY(A492)&gt;=24, A492, EDATE(A492,-1)), -1),"yyyy-mm"), TEXT(IF(DAY(A492)&gt;=24, A492, EDATE(A492,-1)),"yyyy-mm"))</f>
        <v>Lai 2021-05</v>
      </c>
      <c r="F492">
        <f>IF(ISNUMBER(B492), ROUND(SUMIFS($B$2:$B$10000, $E$2:$E$10000, E492, $B$2:$B$10000, IF(B492&lt;0, "&lt;0", "&gt;0")), 0), "")</f>
        <v>-2099</v>
      </c>
      <c r="G492" t="str">
        <f>IF(F492&gt;0, IF(C492="Transaction", "Da thanh toan", "Duong"), IF(F492&lt;0, IF(C492="Transaction", "Du no", IF(C492="Interests", "Lai phat sinh", IF(C492="Misc", "Phi", IF(C492="Account Transfer", "Lai tra gop", "Am")))), "Bang 0"))</f>
        <v>Lai phat sinh</v>
      </c>
    </row>
    <row r="493" spans="1:7" x14ac:dyDescent="0.3">
      <c r="A493" s="60">
        <v>44370</v>
      </c>
      <c r="B493" s="33">
        <v>2709873</v>
      </c>
      <c r="C493" t="s">
        <v>753</v>
      </c>
      <c r="D493" t="s">
        <v>786</v>
      </c>
      <c r="E493" t="str">
        <f>IF(OR(C493="Transaction",C493="Interests",C493="Misc",C493="Account Transfer"), IF(C493="Transaction", IF(B493&lt;0, "Du no", "Da thanh toan"), IF(C493="Interests", "Lai", IF(C493="Misc", "Phi", IF(C493="Account Transfer", IF(OR(ISNUMBER(SEARCH("Trich lai tra gop the TD", D493)), ISNUMBER(SEARCH("Chuyen lai tra gop con lai sang du no thong thuong khi BadDebt", D493))), IF(B493&lt;0, "Lai tra gop", ""), "" )))))) &amp; " " &amp; IF(C493="Interests", TEXT(EDATE(IF(DAY(A493)&gt;=24, A493, EDATE(A493,-1)), -1),"yyyy-mm"), TEXT(IF(DAY(A493)&gt;=24, A493, EDATE(A493,-1)),"yyyy-mm"))</f>
        <v xml:space="preserve"> 2021-05</v>
      </c>
      <c r="F493">
        <f>IF(ISNUMBER(B493), ROUND(SUMIFS($B$2:$B$10000, $E$2:$E$10000, E493, $B$2:$B$10000, IF(B493&lt;0, "&lt;0", "&gt;0")), 0), "")</f>
        <v>7248780</v>
      </c>
      <c r="G493" t="str">
        <f>IF(F493&gt;0, IF(C493="Transaction", "Da thanh toan", "Duong"), IF(F493&lt;0, IF(C493="Transaction", "Du no", IF(C493="Interests", "Lai phat sinh", IF(C493="Misc", "Phi", IF(C493="Account Transfer", "Lai tra gop", "Am")))), "Bang 0"))</f>
        <v>Duong</v>
      </c>
    </row>
    <row r="494" spans="1:7" x14ac:dyDescent="0.3">
      <c r="A494" s="60">
        <v>44370</v>
      </c>
      <c r="B494" s="33">
        <v>-2709873</v>
      </c>
      <c r="C494" t="s">
        <v>753</v>
      </c>
      <c r="D494" t="s">
        <v>786</v>
      </c>
      <c r="E494" t="str">
        <f>IF(OR(C494="Transaction",C494="Interests",C494="Misc",C494="Account Transfer"), IF(C494="Transaction", IF(B494&lt;0, "Du no", "Da thanh toan"), IF(C494="Interests", "Lai", IF(C494="Misc", "Phi", IF(C494="Account Transfer", IF(OR(ISNUMBER(SEARCH("Trich lai tra gop the TD", D494)), ISNUMBER(SEARCH("Chuyen lai tra gop con lai sang du no thong thuong khi BadDebt", D494))), IF(B494&lt;0, "Lai tra gop", ""), "" )))))) &amp; " " &amp; IF(C494="Interests", TEXT(EDATE(IF(DAY(A494)&gt;=24, A494, EDATE(A494,-1)), -1),"yyyy-mm"), TEXT(IF(DAY(A494)&gt;=24, A494, EDATE(A494,-1)),"yyyy-mm"))</f>
        <v xml:space="preserve"> 2021-05</v>
      </c>
      <c r="F494">
        <f>IF(ISNUMBER(B494), ROUND(SUMIFS($B$2:$B$10000, $E$2:$E$10000, E494, $B$2:$B$10000, IF(B494&lt;0, "&lt;0", "&gt;0")), 0), "")</f>
        <v>-7248780</v>
      </c>
      <c r="G494" t="str">
        <f>IF(F494&gt;0, IF(C494="Transaction", "Da thanh toan", "Duong"), IF(F494&lt;0, IF(C494="Transaction", "Du no", IF(C494="Interests", "Lai phat sinh", IF(C494="Misc", "Phi", IF(C494="Account Transfer", "Lai tra gop", "Am")))), "Bang 0"))</f>
        <v>Lai tra gop</v>
      </c>
    </row>
    <row r="495" spans="1:7" x14ac:dyDescent="0.3">
      <c r="A495" s="60">
        <v>44361</v>
      </c>
      <c r="B495" s="33">
        <v>1900000</v>
      </c>
      <c r="C495" t="s">
        <v>51</v>
      </c>
      <c r="D495" t="s">
        <v>792</v>
      </c>
      <c r="E495" t="str">
        <f>IF(OR(C495="Transaction",C495="Interests",C495="Misc",C495="Account Transfer"), IF(C495="Transaction", IF(B495&lt;0, "Du no", "Da thanh toan"), IF(C495="Interests", "Lai", IF(C495="Misc", "Phi", IF(C495="Account Transfer", IF(OR(ISNUMBER(SEARCH("Trich lai tra gop the TD", D495)), ISNUMBER(SEARCH("Chuyen lai tra gop con lai sang du no thong thuong khi BadDebt", D495))), IF(B495&lt;0, "Lai tra gop", ""), "" )))))) &amp; " " &amp; IF(C495="Interests", TEXT(EDATE(IF(DAY(A495)&gt;=24, A495, EDATE(A495,-1)), -1),"yyyy-mm"), TEXT(IF(DAY(A495)&gt;=24, A495, EDATE(A495,-1)),"yyyy-mm"))</f>
        <v>Da thanh toan 2021-05</v>
      </c>
      <c r="F495">
        <f>IF(ISNUMBER(B495), ROUND(SUMIFS($B$2:$B$10000, $E$2:$E$10000, E495, $B$2:$B$10000, IF(B495&lt;0, "&lt;0", "&gt;0")), 0), "")</f>
        <v>3729034</v>
      </c>
      <c r="G495" t="str">
        <f>IF(F495&gt;0, IF(C495="Transaction", "Da thanh toan", "Duong"), IF(F495&lt;0, IF(C495="Transaction", "Du no", IF(C495="Interests", "Lai phat sinh", IF(C495="Misc", "Phi", IF(C495="Account Transfer", "Lai tra gop", "Am")))), "Bang 0"))</f>
        <v>Da thanh toan</v>
      </c>
    </row>
    <row r="496" spans="1:7" x14ac:dyDescent="0.3">
      <c r="A496" s="60">
        <v>44356</v>
      </c>
      <c r="B496" s="33">
        <v>1829034</v>
      </c>
      <c r="C496" t="s">
        <v>51</v>
      </c>
      <c r="D496" t="s">
        <v>793</v>
      </c>
      <c r="E496" t="str">
        <f>IF(OR(C496="Transaction",C496="Interests",C496="Misc",C496="Account Transfer"), IF(C496="Transaction", IF(B496&lt;0, "Du no", "Da thanh toan"), IF(C496="Interests", "Lai", IF(C496="Misc", "Phi", IF(C496="Account Transfer", IF(OR(ISNUMBER(SEARCH("Trich lai tra gop the TD", D496)), ISNUMBER(SEARCH("Chuyen lai tra gop con lai sang du no thong thuong khi BadDebt", D496))), IF(B496&lt;0, "Lai tra gop", ""), "" )))))) &amp; " " &amp; IF(C496="Interests", TEXT(EDATE(IF(DAY(A496)&gt;=24, A496, EDATE(A496,-1)), -1),"yyyy-mm"), TEXT(IF(DAY(A496)&gt;=24, A496, EDATE(A496,-1)),"yyyy-mm"))</f>
        <v>Da thanh toan 2021-05</v>
      </c>
      <c r="F496">
        <f>IF(ISNUMBER(B496), ROUND(SUMIFS($B$2:$B$10000, $E$2:$E$10000, E496, $B$2:$B$10000, IF(B496&lt;0, "&lt;0", "&gt;0")), 0), "")</f>
        <v>3729034</v>
      </c>
      <c r="G496" t="str">
        <f>IF(F496&gt;0, IF(C496="Transaction", "Da thanh toan", "Duong"), IF(F496&lt;0, IF(C496="Transaction", "Du no", IF(C496="Interests", "Lai phat sinh", IF(C496="Misc", "Phi", IF(C496="Account Transfer", "Lai tra gop", "Am")))), "Bang 0"))</f>
        <v>Da thanh toan</v>
      </c>
    </row>
    <row r="497" spans="1:7" x14ac:dyDescent="0.3">
      <c r="A497" s="60">
        <v>44356</v>
      </c>
      <c r="B497" s="33">
        <v>-149000</v>
      </c>
      <c r="C497" t="s">
        <v>50</v>
      </c>
      <c r="E497" t="str">
        <f>IF(OR(C497="Transaction",C497="Interests",C497="Misc",C497="Account Transfer"), IF(C497="Transaction", IF(B497&lt;0, "Du no", "Da thanh toan"), IF(C497="Interests", "Lai", IF(C497="Misc", "Phi", IF(C497="Account Transfer", IF(OR(ISNUMBER(SEARCH("Trich lai tra gop the TD", D497)), ISNUMBER(SEARCH("Chuyen lai tra gop con lai sang du no thong thuong khi BadDebt", D497))), IF(B497&lt;0, "Lai tra gop", ""), "" )))))) &amp; " " &amp; IF(C497="Interests", TEXT(EDATE(IF(DAY(A497)&gt;=24, A497, EDATE(A497,-1)), -1),"yyyy-mm"), TEXT(IF(DAY(A497)&gt;=24, A497, EDATE(A497,-1)),"yyyy-mm"))</f>
        <v>Phi 2021-05</v>
      </c>
      <c r="F497">
        <f>IF(ISNUMBER(B497), ROUND(SUMIFS($B$2:$B$10000, $E$2:$E$10000, E497, $B$2:$B$10000, IF(B497&lt;0, "&lt;0", "&gt;0")), 0), "")</f>
        <v>-153950</v>
      </c>
      <c r="G497" t="str">
        <f>IF(F497&gt;0, IF(C497="Transaction", "Da thanh toan", "Duong"), IF(F497&lt;0, IF(C497="Transaction", "Du no", IF(C497="Interests", "Lai phat sinh", IF(C497="Misc", "Phi", IF(C497="Account Transfer", "Lai tra gop", "Am")))), "Bang 0"))</f>
        <v>Phi</v>
      </c>
    </row>
    <row r="498" spans="1:7" x14ac:dyDescent="0.3">
      <c r="A498" s="60">
        <v>44355</v>
      </c>
      <c r="B498" s="33">
        <v>1829033.7</v>
      </c>
      <c r="C498" t="s">
        <v>753</v>
      </c>
      <c r="D498" t="s">
        <v>784</v>
      </c>
      <c r="E498" t="str">
        <f>IF(OR(C498="Transaction",C498="Interests",C498="Misc",C498="Account Transfer"), IF(C498="Transaction", IF(B498&lt;0, "Du no", "Da thanh toan"), IF(C498="Interests", "Lai", IF(C498="Misc", "Phi", IF(C498="Account Transfer", IF(OR(ISNUMBER(SEARCH("Trich lai tra gop the TD", D498)), ISNUMBER(SEARCH("Chuyen lai tra gop con lai sang du no thong thuong khi BadDebt", D498))), IF(B498&lt;0, "Lai tra gop", ""), "" )))))) &amp; " " &amp; IF(C498="Interests", TEXT(EDATE(IF(DAY(A498)&gt;=24, A498, EDATE(A498,-1)), -1),"yyyy-mm"), TEXT(IF(DAY(A498)&gt;=24, A498, EDATE(A498,-1)),"yyyy-mm"))</f>
        <v xml:space="preserve"> 2021-05</v>
      </c>
      <c r="F498">
        <f>IF(ISNUMBER(B498), ROUND(SUMIFS($B$2:$B$10000, $E$2:$E$10000, E498, $B$2:$B$10000, IF(B498&lt;0, "&lt;0", "&gt;0")), 0), "")</f>
        <v>7248780</v>
      </c>
      <c r="G498" t="str">
        <f>IF(F498&gt;0, IF(C498="Transaction", "Da thanh toan", "Duong"), IF(F498&lt;0, IF(C498="Transaction", "Du no", IF(C498="Interests", "Lai phat sinh", IF(C498="Misc", "Phi", IF(C498="Account Transfer", "Lai tra gop", "Am")))), "Bang 0"))</f>
        <v>Duong</v>
      </c>
    </row>
    <row r="499" spans="1:7" x14ac:dyDescent="0.3">
      <c r="A499" s="60">
        <v>44355</v>
      </c>
      <c r="B499" s="33">
        <v>-1829033.7</v>
      </c>
      <c r="C499" t="s">
        <v>753</v>
      </c>
      <c r="D499" t="s">
        <v>784</v>
      </c>
      <c r="E499" t="str">
        <f>IF(OR(C499="Transaction",C499="Interests",C499="Misc",C499="Account Transfer"), IF(C499="Transaction", IF(B499&lt;0, "Du no", "Da thanh toan"), IF(C499="Interests", "Lai", IF(C499="Misc", "Phi", IF(C499="Account Transfer", IF(OR(ISNUMBER(SEARCH("Trich lai tra gop the TD", D499)), ISNUMBER(SEARCH("Chuyen lai tra gop con lai sang du no thong thuong khi BadDebt", D499))), IF(B499&lt;0, "Lai tra gop", ""), "" )))))) &amp; " " &amp; IF(C499="Interests", TEXT(EDATE(IF(DAY(A499)&gt;=24, A499, EDATE(A499,-1)), -1),"yyyy-mm"), TEXT(IF(DAY(A499)&gt;=24, A499, EDATE(A499,-1)),"yyyy-mm"))</f>
        <v xml:space="preserve"> 2021-05</v>
      </c>
      <c r="F499">
        <f>IF(ISNUMBER(B499), ROUND(SUMIFS($B$2:$B$10000, $E$2:$E$10000, E499, $B$2:$B$10000, IF(B499&lt;0, "&lt;0", "&gt;0")), 0), "")</f>
        <v>-7248780</v>
      </c>
      <c r="G499" t="str">
        <f>IF(F499&gt;0, IF(C499="Transaction", "Da thanh toan", "Duong"), IF(F499&lt;0, IF(C499="Transaction", "Du no", IF(C499="Interests", "Lai phat sinh", IF(C499="Misc", "Phi", IF(C499="Account Transfer", "Lai tra gop", "Am")))), "Bang 0"))</f>
        <v>Lai tra gop</v>
      </c>
    </row>
    <row r="500" spans="1:7" x14ac:dyDescent="0.3">
      <c r="A500" s="60">
        <v>44351</v>
      </c>
      <c r="B500" s="33">
        <v>-7308</v>
      </c>
      <c r="C500" t="s">
        <v>51</v>
      </c>
      <c r="D500" t="s">
        <v>794</v>
      </c>
      <c r="E500" t="str">
        <f>IF(OR(C500="Transaction",C500="Interests",C500="Misc",C500="Account Transfer"), IF(C500="Transaction", IF(B500&lt;0, "Du no", "Da thanh toan"), IF(C500="Interests", "Lai", IF(C500="Misc", "Phi", IF(C500="Account Transfer", IF(OR(ISNUMBER(SEARCH("Trich lai tra gop the TD", D500)), ISNUMBER(SEARCH("Chuyen lai tra gop con lai sang du no thong thuong khi BadDebt", D500))), IF(B500&lt;0, "Lai tra gop", ""), "" )))))) &amp; " " &amp; IF(C500="Interests", TEXT(EDATE(IF(DAY(A500)&gt;=24, A500, EDATE(A500,-1)), -1),"yyyy-mm"), TEXT(IF(DAY(A500)&gt;=24, A500, EDATE(A500,-1)),"yyyy-mm"))</f>
        <v>Du no 2021-05</v>
      </c>
      <c r="F500">
        <f>IF(ISNUMBER(B500), ROUND(SUMIFS($B$2:$B$10000, $E$2:$E$10000, E500, $B$2:$B$10000, IF(B500&lt;0, "&lt;0", "&gt;0")), 0), "")</f>
        <v>-7308</v>
      </c>
      <c r="G500" t="str">
        <f>IF(F500&gt;0, IF(C500="Transaction", "Da thanh toan", "Duong"), IF(F500&lt;0, IF(C500="Transaction", "Du no", IF(C500="Interests", "Lai phat sinh", IF(C500="Misc", "Phi", IF(C500="Account Transfer", "Lai tra gop", "Am")))), "Bang 0"))</f>
        <v>Du no</v>
      </c>
    </row>
    <row r="501" spans="1:7" x14ac:dyDescent="0.3">
      <c r="A501" s="60">
        <v>44344</v>
      </c>
      <c r="B501" s="33">
        <v>-450</v>
      </c>
      <c r="C501" t="s">
        <v>50</v>
      </c>
      <c r="E501" t="str">
        <f>IF(OR(C501="Transaction",C501="Interests",C501="Misc",C501="Account Transfer"), IF(C501="Transaction", IF(B501&lt;0, "Du no", "Da thanh toan"), IF(C501="Interests", "Lai", IF(C501="Misc", "Phi", IF(C501="Account Transfer", IF(OR(ISNUMBER(SEARCH("Trich lai tra gop the TD", D501)), ISNUMBER(SEARCH("Chuyen lai tra gop con lai sang du no thong thuong khi BadDebt", D501))), IF(B501&lt;0, "Lai tra gop", ""), "" )))))) &amp; " " &amp; IF(C501="Interests", TEXT(EDATE(IF(DAY(A501)&gt;=24, A501, EDATE(A501,-1)), -1),"yyyy-mm"), TEXT(IF(DAY(A501)&gt;=24, A501, EDATE(A501,-1)),"yyyy-mm"))</f>
        <v>Phi 2021-05</v>
      </c>
      <c r="F501">
        <f>IF(ISNUMBER(B501), ROUND(SUMIFS($B$2:$B$10000, $E$2:$E$10000, E501, $B$2:$B$10000, IF(B501&lt;0, "&lt;0", "&gt;0")), 0), "")</f>
        <v>-153950</v>
      </c>
      <c r="G501" t="str">
        <f>IF(F501&gt;0, IF(C501="Transaction", "Da thanh toan", "Duong"), IF(F501&lt;0, IF(C501="Transaction", "Du no", IF(C501="Interests", "Lai phat sinh", IF(C501="Misc", "Phi", IF(C501="Account Transfer", "Lai tra gop", "Am")))), "Bang 0"))</f>
        <v>Phi</v>
      </c>
    </row>
    <row r="502" spans="1:7" x14ac:dyDescent="0.3">
      <c r="A502" s="60">
        <v>44344</v>
      </c>
      <c r="B502" s="33">
        <v>-4500</v>
      </c>
      <c r="C502" t="s">
        <v>50</v>
      </c>
      <c r="E502" t="str">
        <f>IF(OR(C502="Transaction",C502="Interests",C502="Misc",C502="Account Transfer"), IF(C502="Transaction", IF(B502&lt;0, "Du no", "Da thanh toan"), IF(C502="Interests", "Lai", IF(C502="Misc", "Phi", IF(C502="Account Transfer", IF(OR(ISNUMBER(SEARCH("Trich lai tra gop the TD", D502)), ISNUMBER(SEARCH("Chuyen lai tra gop con lai sang du no thong thuong khi BadDebt", D502))), IF(B502&lt;0, "Lai tra gop", ""), "" )))))) &amp; " " &amp; IF(C502="Interests", TEXT(EDATE(IF(DAY(A502)&gt;=24, A502, EDATE(A502,-1)), -1),"yyyy-mm"), TEXT(IF(DAY(A502)&gt;=24, A502, EDATE(A502,-1)),"yyyy-mm"))</f>
        <v>Phi 2021-05</v>
      </c>
      <c r="F502">
        <f>IF(ISNUMBER(B502), ROUND(SUMIFS($B$2:$B$10000, $E$2:$E$10000, E502, $B$2:$B$10000, IF(B502&lt;0, "&lt;0", "&gt;0")), 0), "")</f>
        <v>-153950</v>
      </c>
      <c r="G502" t="str">
        <f>IF(F502&gt;0, IF(C502="Transaction", "Da thanh toan", "Duong"), IF(F502&lt;0, IF(C502="Transaction", "Du no", IF(C502="Interests", "Lai phat sinh", IF(C502="Misc", "Phi", IF(C502="Account Transfer", "Lai tra gop", "Am")))), "Bang 0"))</f>
        <v>Phi</v>
      </c>
    </row>
    <row r="503" spans="1:7" x14ac:dyDescent="0.3">
      <c r="A503" s="60">
        <v>44340</v>
      </c>
      <c r="B503" s="33">
        <v>2709873</v>
      </c>
      <c r="C503" t="s">
        <v>753</v>
      </c>
      <c r="D503" t="s">
        <v>786</v>
      </c>
      <c r="E503" t="str">
        <f>IF(OR(C503="Transaction",C503="Interests",C503="Misc",C503="Account Transfer"), IF(C503="Transaction", IF(B503&lt;0, "Du no", "Da thanh toan"), IF(C503="Interests", "Lai", IF(C503="Misc", "Phi", IF(C503="Account Transfer", IF(OR(ISNUMBER(SEARCH("Trich lai tra gop the TD", D503)), ISNUMBER(SEARCH("Chuyen lai tra gop con lai sang du no thong thuong khi BadDebt", D503))), IF(B503&lt;0, "Lai tra gop", ""), "" )))))) &amp; " " &amp; IF(C503="Interests", TEXT(EDATE(IF(DAY(A503)&gt;=24, A503, EDATE(A503,-1)), -1),"yyyy-mm"), TEXT(IF(DAY(A503)&gt;=24, A503, EDATE(A503,-1)),"yyyy-mm"))</f>
        <v xml:space="preserve"> 2021-05</v>
      </c>
      <c r="F503">
        <f>IF(ISNUMBER(B503), ROUND(SUMIFS($B$2:$B$10000, $E$2:$E$10000, E503, $B$2:$B$10000, IF(B503&lt;0, "&lt;0", "&gt;0")), 0), "")</f>
        <v>7248780</v>
      </c>
      <c r="G503" t="str">
        <f>IF(F503&gt;0, IF(C503="Transaction", "Da thanh toan", "Duong"), IF(F503&lt;0, IF(C503="Transaction", "Du no", IF(C503="Interests", "Lai phat sinh", IF(C503="Misc", "Phi", IF(C503="Account Transfer", "Lai tra gop", "Am")))), "Bang 0"))</f>
        <v>Duong</v>
      </c>
    </row>
    <row r="504" spans="1:7" x14ac:dyDescent="0.3">
      <c r="A504" s="60">
        <v>44340</v>
      </c>
      <c r="B504" s="33">
        <v>-2709873</v>
      </c>
      <c r="C504" t="s">
        <v>753</v>
      </c>
      <c r="D504" t="s">
        <v>786</v>
      </c>
      <c r="E504" t="str">
        <f>IF(OR(C504="Transaction",C504="Interests",C504="Misc",C504="Account Transfer"), IF(C504="Transaction", IF(B504&lt;0, "Du no", "Da thanh toan"), IF(C504="Interests", "Lai", IF(C504="Misc", "Phi", IF(C504="Account Transfer", IF(OR(ISNUMBER(SEARCH("Trich lai tra gop the TD", D504)), ISNUMBER(SEARCH("Chuyen lai tra gop con lai sang du no thong thuong khi BadDebt", D504))), IF(B504&lt;0, "Lai tra gop", ""), "" )))))) &amp; " " &amp; IF(C504="Interests", TEXT(EDATE(IF(DAY(A504)&gt;=24, A504, EDATE(A504,-1)), -1),"yyyy-mm"), TEXT(IF(DAY(A504)&gt;=24, A504, EDATE(A504,-1)),"yyyy-mm"))</f>
        <v xml:space="preserve"> 2021-05</v>
      </c>
      <c r="F504">
        <f>IF(ISNUMBER(B504), ROUND(SUMIFS($B$2:$B$10000, $E$2:$E$10000, E504, $B$2:$B$10000, IF(B504&lt;0, "&lt;0", "&gt;0")), 0), "")</f>
        <v>-7248780</v>
      </c>
      <c r="G504" t="str">
        <f>IF(F504&gt;0, IF(C504="Transaction", "Da thanh toan", "Duong"), IF(F504&lt;0, IF(C504="Transaction", "Du no", IF(C504="Interests", "Lai phat sinh", IF(C504="Misc", "Phi", IF(C504="Account Transfer", "Lai tra gop", "Am")))), "Bang 0"))</f>
        <v>Lai tra gop</v>
      </c>
    </row>
    <row r="505" spans="1:7" x14ac:dyDescent="0.3">
      <c r="A505" s="60">
        <v>44328</v>
      </c>
      <c r="B505" s="33">
        <v>0</v>
      </c>
      <c r="C505" t="s">
        <v>51</v>
      </c>
      <c r="D505" t="s">
        <v>795</v>
      </c>
      <c r="E505" t="str">
        <f>IF(OR(C505="Transaction",C505="Interests",C505="Misc",C505="Account Transfer"), IF(C505="Transaction", IF(B505&lt;0, "Du no", "Da thanh toan"), IF(C505="Interests", "Lai", IF(C505="Misc", "Phi", IF(C505="Account Transfer", IF(OR(ISNUMBER(SEARCH("Trich lai tra gop the TD", D505)), ISNUMBER(SEARCH("Chuyen lai tra gop con lai sang du no thong thuong khi BadDebt", D505))), IF(B505&lt;0, "Lai tra gop", ""), "" )))))) &amp; " " &amp; IF(C505="Interests", TEXT(EDATE(IF(DAY(A505)&gt;=24, A505, EDATE(A505,-1)), -1),"yyyy-mm"), TEXT(IF(DAY(A505)&gt;=24, A505, EDATE(A505,-1)),"yyyy-mm"))</f>
        <v>Da thanh toan 2021-04</v>
      </c>
      <c r="F505">
        <f>IF(ISNUMBER(B505), ROUND(SUMIFS($B$2:$B$10000, $E$2:$E$10000, E505, $B$2:$B$10000, IF(B505&lt;0, "&lt;0", "&gt;0")), 0), "")</f>
        <v>0</v>
      </c>
      <c r="G505" t="str">
        <f>IF(F505&gt;0, IF(C505="Transaction", "Da thanh toan", "Duong"), IF(F505&lt;0, IF(C505="Transaction", "Du no", IF(C505="Interests", "Lai phat sinh", IF(C505="Misc", "Phi", IF(C505="Account Transfer", "Lai tra gop", "Am")))), "Bang 0"))</f>
        <v>Bang 0</v>
      </c>
    </row>
    <row r="506" spans="1:7" x14ac:dyDescent="0.3">
      <c r="A506" s="60">
        <v>44328</v>
      </c>
      <c r="B506" s="33">
        <v>-16259238</v>
      </c>
      <c r="C506" t="s">
        <v>51</v>
      </c>
      <c r="D506" t="s">
        <v>796</v>
      </c>
      <c r="E506" t="str">
        <f>IF(OR(C506="Transaction",C506="Interests",C506="Misc",C506="Account Transfer"), IF(C506="Transaction", IF(B506&lt;0, "Du no", "Da thanh toan"), IF(C506="Interests", "Lai", IF(C506="Misc", "Phi", IF(C506="Account Transfer", IF(OR(ISNUMBER(SEARCH("Trich lai tra gop the TD", D506)), ISNUMBER(SEARCH("Chuyen lai tra gop con lai sang du no thong thuong khi BadDebt", D506))), IF(B506&lt;0, "Lai tra gop", ""), "" )))))) &amp; " " &amp; IF(C506="Interests", TEXT(EDATE(IF(DAY(A506)&gt;=24, A506, EDATE(A506,-1)), -1),"yyyy-mm"), TEXT(IF(DAY(A506)&gt;=24, A506, EDATE(A506,-1)),"yyyy-mm"))</f>
        <v>Du no 2021-04</v>
      </c>
      <c r="F506">
        <f>IF(ISNUMBER(B506), ROUND(SUMIFS($B$2:$B$10000, $E$2:$E$10000, E506, $B$2:$B$10000, IF(B506&lt;0, "&lt;0", "&gt;0")), 0), "")</f>
        <v>-16266546</v>
      </c>
      <c r="G506" t="str">
        <f>IF(F506&gt;0, IF(C506="Transaction", "Da thanh toan", "Duong"), IF(F506&lt;0, IF(C506="Transaction", "Du no", IF(C506="Interests", "Lai phat sinh", IF(C506="Misc", "Phi", IF(C506="Account Transfer", "Lai tra gop", "Am")))), "Bang 0"))</f>
        <v>Du no</v>
      </c>
    </row>
    <row r="507" spans="1:7" x14ac:dyDescent="0.3">
      <c r="A507" s="60">
        <v>44328</v>
      </c>
      <c r="B507" s="33">
        <v>0</v>
      </c>
      <c r="C507" t="s">
        <v>51</v>
      </c>
      <c r="D507" t="s">
        <v>795</v>
      </c>
      <c r="E507" t="str">
        <f>IF(OR(C507="Transaction",C507="Interests",C507="Misc",C507="Account Transfer"), IF(C507="Transaction", IF(B507&lt;0, "Du no", "Da thanh toan"), IF(C507="Interests", "Lai", IF(C507="Misc", "Phi", IF(C507="Account Transfer", IF(OR(ISNUMBER(SEARCH("Trich lai tra gop the TD", D507)), ISNUMBER(SEARCH("Chuyen lai tra gop con lai sang du no thong thuong khi BadDebt", D507))), IF(B507&lt;0, "Lai tra gop", ""), "" )))))) &amp; " " &amp; IF(C507="Interests", TEXT(EDATE(IF(DAY(A507)&gt;=24, A507, EDATE(A507,-1)), -1),"yyyy-mm"), TEXT(IF(DAY(A507)&gt;=24, A507, EDATE(A507,-1)),"yyyy-mm"))</f>
        <v>Da thanh toan 2021-04</v>
      </c>
      <c r="F507">
        <f>IF(ISNUMBER(B507), ROUND(SUMIFS($B$2:$B$10000, $E$2:$E$10000, E507, $B$2:$B$10000, IF(B507&lt;0, "&lt;0", "&gt;0")), 0), "")</f>
        <v>0</v>
      </c>
      <c r="G507" t="str">
        <f>IF(F507&gt;0, IF(C507="Transaction", "Da thanh toan", "Duong"), IF(F507&lt;0, IF(C507="Transaction", "Du no", IF(C507="Interests", "Lai phat sinh", IF(C507="Misc", "Phi", IF(C507="Account Transfer", "Lai tra gop", "Am")))), "Bang 0"))</f>
        <v>Bang 0</v>
      </c>
    </row>
    <row r="508" spans="1:7" x14ac:dyDescent="0.3">
      <c r="A508" s="60">
        <v>44320</v>
      </c>
      <c r="B508" s="33">
        <v>-7308</v>
      </c>
      <c r="C508" t="s">
        <v>51</v>
      </c>
      <c r="D508" t="s">
        <v>797</v>
      </c>
      <c r="E508" t="str">
        <f>IF(OR(C508="Transaction",C508="Interests",C508="Misc",C508="Account Transfer"), IF(C508="Transaction", IF(B508&lt;0, "Du no", "Da thanh toan"), IF(C508="Interests", "Lai", IF(C508="Misc", "Phi", IF(C508="Account Transfer", IF(OR(ISNUMBER(SEARCH("Trich lai tra gop the TD", D508)), ISNUMBER(SEARCH("Chuyen lai tra gop con lai sang du no thong thuong khi BadDebt", D508))), IF(B508&lt;0, "Lai tra gop", ""), "" )))))) &amp; " " &amp; IF(C508="Interests", TEXT(EDATE(IF(DAY(A508)&gt;=24, A508, EDATE(A508,-1)), -1),"yyyy-mm"), TEXT(IF(DAY(A508)&gt;=24, A508, EDATE(A508,-1)),"yyyy-mm"))</f>
        <v>Du no 2021-04</v>
      </c>
      <c r="F508">
        <f>IF(ISNUMBER(B508), ROUND(SUMIFS($B$2:$B$10000, $E$2:$E$10000, E508, $B$2:$B$10000, IF(B508&lt;0, "&lt;0", "&gt;0")), 0), "")</f>
        <v>-16266546</v>
      </c>
      <c r="G508" t="str">
        <f>IF(F508&gt;0, IF(C508="Transaction", "Da thanh toan", "Duong"), IF(F508&lt;0, IF(C508="Transaction", "Du no", IF(C508="Interests", "Lai phat sinh", IF(C508="Misc", "Phi", IF(C508="Account Transfer", "Lai tra gop", "Am")))), "Bang 0"))</f>
        <v>Du no</v>
      </c>
    </row>
    <row r="509" spans="1:7" x14ac:dyDescent="0.3">
      <c r="A509" s="60">
        <v>44314</v>
      </c>
      <c r="B509" s="33">
        <v>-450</v>
      </c>
      <c r="C509" t="s">
        <v>50</v>
      </c>
      <c r="E509" t="str">
        <f>IF(OR(C509="Transaction",C509="Interests",C509="Misc",C509="Account Transfer"), IF(C509="Transaction", IF(B509&lt;0, "Du no", "Da thanh toan"), IF(C509="Interests", "Lai", IF(C509="Misc", "Phi", IF(C509="Account Transfer", IF(OR(ISNUMBER(SEARCH("Trich lai tra gop the TD", D509)), ISNUMBER(SEARCH("Chuyen lai tra gop con lai sang du no thong thuong khi BadDebt", D509))), IF(B509&lt;0, "Lai tra gop", ""), "" )))))) &amp; " " &amp; IF(C509="Interests", TEXT(EDATE(IF(DAY(A509)&gt;=24, A509, EDATE(A509,-1)), -1),"yyyy-mm"), TEXT(IF(DAY(A509)&gt;=24, A509, EDATE(A509,-1)),"yyyy-mm"))</f>
        <v>Phi 2021-04</v>
      </c>
      <c r="F509">
        <f>IF(ISNUMBER(B509), ROUND(SUMIFS($B$2:$B$10000, $E$2:$E$10000, E509, $B$2:$B$10000, IF(B509&lt;0, "&lt;0", "&gt;0")), 0), "")</f>
        <v>-4950</v>
      </c>
      <c r="G509" t="str">
        <f>IF(F509&gt;0, IF(C509="Transaction", "Da thanh toan", "Duong"), IF(F509&lt;0, IF(C509="Transaction", "Du no", IF(C509="Interests", "Lai phat sinh", IF(C509="Misc", "Phi", IF(C509="Account Transfer", "Lai tra gop", "Am")))), "Bang 0"))</f>
        <v>Phi</v>
      </c>
    </row>
    <row r="510" spans="1:7" x14ac:dyDescent="0.3">
      <c r="A510" s="60">
        <v>44314</v>
      </c>
      <c r="B510" s="33">
        <v>-4500</v>
      </c>
      <c r="C510" t="s">
        <v>50</v>
      </c>
      <c r="E510" t="str">
        <f>IF(OR(C510="Transaction",C510="Interests",C510="Misc",C510="Account Transfer"), IF(C510="Transaction", IF(B510&lt;0, "Du no", "Da thanh toan"), IF(C510="Interests", "Lai", IF(C510="Misc", "Phi", IF(C510="Account Transfer", IF(OR(ISNUMBER(SEARCH("Trich lai tra gop the TD", D510)), ISNUMBER(SEARCH("Chuyen lai tra gop con lai sang du no thong thuong khi BadDebt", D510))), IF(B510&lt;0, "Lai tra gop", ""), "" )))))) &amp; " " &amp; IF(C510="Interests", TEXT(EDATE(IF(DAY(A510)&gt;=24, A510, EDATE(A510,-1)), -1),"yyyy-mm"), TEXT(IF(DAY(A510)&gt;=24, A510, EDATE(A510,-1)),"yyyy-mm"))</f>
        <v>Phi 2021-04</v>
      </c>
      <c r="F510">
        <f>IF(ISNUMBER(B510), ROUND(SUMIFS($B$2:$B$10000, $E$2:$E$10000, E510, $B$2:$B$10000, IF(B510&lt;0, "&lt;0", "&gt;0")), 0), "")</f>
        <v>-4950</v>
      </c>
      <c r="G510" t="str">
        <f>IF(F510&gt;0, IF(C510="Transaction", "Da thanh toan", "Duong"), IF(F510&lt;0, IF(C510="Transaction", "Du no", IF(C510="Interests", "Lai phat sinh", IF(C510="Misc", "Phi", IF(C510="Account Transfer", "Lai tra gop", "Am")))), "Bang 0"))</f>
        <v>Phi</v>
      </c>
    </row>
    <row r="511" spans="1:7" x14ac:dyDescent="0.3">
      <c r="A511" s="60">
        <v>44288</v>
      </c>
      <c r="B511" s="33">
        <v>-7308</v>
      </c>
      <c r="C511" t="s">
        <v>51</v>
      </c>
      <c r="D511" t="s">
        <v>798</v>
      </c>
      <c r="E511" t="str">
        <f>IF(OR(C511="Transaction",C511="Interests",C511="Misc",C511="Account Transfer"), IF(C511="Transaction", IF(B511&lt;0, "Du no", "Da thanh toan"), IF(C511="Interests", "Lai", IF(C511="Misc", "Phi", IF(C511="Account Transfer", IF(OR(ISNUMBER(SEARCH("Trich lai tra gop the TD", D511)), ISNUMBER(SEARCH("Chuyen lai tra gop con lai sang du no thong thuong khi BadDebt", D511))), IF(B511&lt;0, "Lai tra gop", ""), "" )))))) &amp; " " &amp; IF(C511="Interests", TEXT(EDATE(IF(DAY(A511)&gt;=24, A511, EDATE(A511,-1)), -1),"yyyy-mm"), TEXT(IF(DAY(A511)&gt;=24, A511, EDATE(A511,-1)),"yyyy-mm"))</f>
        <v>Du no 2021-03</v>
      </c>
      <c r="F511">
        <f>IF(ISNUMBER(B511), ROUND(SUMIFS($B$2:$B$10000, $E$2:$E$10000, E511, $B$2:$B$10000, IF(B511&lt;0, "&lt;0", "&gt;0")), 0), "")</f>
        <v>-7308</v>
      </c>
      <c r="G511" t="str">
        <f>IF(F511&gt;0, IF(C511="Transaction", "Da thanh toan", "Duong"), IF(F511&lt;0, IF(C511="Transaction", "Du no", IF(C511="Interests", "Lai phat sinh", IF(C511="Misc", "Phi", IF(C511="Account Transfer", "Lai tra gop", "Am")))), "Bang 0"))</f>
        <v>Du no</v>
      </c>
    </row>
    <row r="512" spans="1:7" x14ac:dyDescent="0.3">
      <c r="A512" s="60">
        <v>44285</v>
      </c>
      <c r="B512" s="33">
        <v>-450</v>
      </c>
      <c r="C512" t="s">
        <v>50</v>
      </c>
      <c r="E512" t="str">
        <f>IF(OR(C512="Transaction",C512="Interests",C512="Misc",C512="Account Transfer"), IF(C512="Transaction", IF(B512&lt;0, "Du no", "Da thanh toan"), IF(C512="Interests", "Lai", IF(C512="Misc", "Phi", IF(C512="Account Transfer", IF(OR(ISNUMBER(SEARCH("Trich lai tra gop the TD", D512)), ISNUMBER(SEARCH("Chuyen lai tra gop con lai sang du no thong thuong khi BadDebt", D512))), IF(B512&lt;0, "Lai tra gop", ""), "" )))))) &amp; " " &amp; IF(C512="Interests", TEXT(EDATE(IF(DAY(A512)&gt;=24, A512, EDATE(A512,-1)), -1),"yyyy-mm"), TEXT(IF(DAY(A512)&gt;=24, A512, EDATE(A512,-1)),"yyyy-mm"))</f>
        <v>Phi 2021-03</v>
      </c>
      <c r="F512">
        <f>IF(ISNUMBER(B512), ROUND(SUMIFS($B$2:$B$10000, $E$2:$E$10000, E512, $B$2:$B$10000, IF(B512&lt;0, "&lt;0", "&gt;0")), 0), "")</f>
        <v>-4950</v>
      </c>
      <c r="G512" t="str">
        <f>IF(F512&gt;0, IF(C512="Transaction", "Da thanh toan", "Duong"), IF(F512&lt;0, IF(C512="Transaction", "Du no", IF(C512="Interests", "Lai phat sinh", IF(C512="Misc", "Phi", IF(C512="Account Transfer", "Lai tra gop", "Am")))), "Bang 0"))</f>
        <v>Phi</v>
      </c>
    </row>
    <row r="513" spans="1:7" x14ac:dyDescent="0.3">
      <c r="A513" s="60">
        <v>44285</v>
      </c>
      <c r="B513" s="33">
        <v>-4500</v>
      </c>
      <c r="C513" t="s">
        <v>50</v>
      </c>
      <c r="E513" t="str">
        <f>IF(OR(C513="Transaction",C513="Interests",C513="Misc",C513="Account Transfer"), IF(C513="Transaction", IF(B513&lt;0, "Du no", "Da thanh toan"), IF(C513="Interests", "Lai", IF(C513="Misc", "Phi", IF(C513="Account Transfer", IF(OR(ISNUMBER(SEARCH("Trich lai tra gop the TD", D513)), ISNUMBER(SEARCH("Chuyen lai tra gop con lai sang du no thong thuong khi BadDebt", D513))), IF(B513&lt;0, "Lai tra gop", ""), "" )))))) &amp; " " &amp; IF(C513="Interests", TEXT(EDATE(IF(DAY(A513)&gt;=24, A513, EDATE(A513,-1)), -1),"yyyy-mm"), TEXT(IF(DAY(A513)&gt;=24, A513, EDATE(A513,-1)),"yyyy-mm"))</f>
        <v>Phi 2021-03</v>
      </c>
      <c r="F513">
        <f>IF(ISNUMBER(B513), ROUND(SUMIFS($B$2:$B$10000, $E$2:$E$10000, E513, $B$2:$B$10000, IF(B513&lt;0, "&lt;0", "&gt;0")), 0), "")</f>
        <v>-4950</v>
      </c>
      <c r="G513" t="str">
        <f>IF(F513&gt;0, IF(C513="Transaction", "Da thanh toan", "Duong"), IF(F513&lt;0, IF(C513="Transaction", "Du no", IF(C513="Interests", "Lai phat sinh", IF(C513="Misc", "Phi", IF(C513="Account Transfer", "Lai tra gop", "Am")))), "Bang 0"))</f>
        <v>Phi</v>
      </c>
    </row>
    <row r="514" spans="1:7" x14ac:dyDescent="0.3">
      <c r="A514" s="60">
        <v>44257</v>
      </c>
      <c r="B514" s="33">
        <v>-7308</v>
      </c>
      <c r="C514" t="s">
        <v>51</v>
      </c>
      <c r="D514" t="s">
        <v>799</v>
      </c>
      <c r="E514" t="str">
        <f>IF(OR(C514="Transaction",C514="Interests",C514="Misc",C514="Account Transfer"), IF(C514="Transaction", IF(B514&lt;0, "Du no", "Da thanh toan"), IF(C514="Interests", "Lai", IF(C514="Misc", "Phi", IF(C514="Account Transfer", IF(OR(ISNUMBER(SEARCH("Trich lai tra gop the TD", D514)), ISNUMBER(SEARCH("Chuyen lai tra gop con lai sang du no thong thuong khi BadDebt", D514))), IF(B514&lt;0, "Lai tra gop", ""), "" )))))) &amp; " " &amp; IF(C514="Interests", TEXT(EDATE(IF(DAY(A514)&gt;=24, A514, EDATE(A514,-1)), -1),"yyyy-mm"), TEXT(IF(DAY(A514)&gt;=24, A514, EDATE(A514,-1)),"yyyy-mm"))</f>
        <v>Du no 2021-02</v>
      </c>
      <c r="F514">
        <f>IF(ISNUMBER(B514), ROUND(SUMIFS($B$2:$B$10000, $E$2:$E$10000, E514, $B$2:$B$10000, IF(B514&lt;0, "&lt;0", "&gt;0")), 0), "")</f>
        <v>-7308</v>
      </c>
      <c r="G514" t="str">
        <f>IF(F514&gt;0, IF(C514="Transaction", "Da thanh toan", "Duong"), IF(F514&lt;0, IF(C514="Transaction", "Du no", IF(C514="Interests", "Lai phat sinh", IF(C514="Misc", "Phi", IF(C514="Account Transfer", "Lai tra gop", "Am")))), "Bang 0"))</f>
        <v>Du no</v>
      </c>
    </row>
    <row r="515" spans="1:7" x14ac:dyDescent="0.3">
      <c r="A515" s="60">
        <v>44256</v>
      </c>
      <c r="B515" s="33">
        <v>-450</v>
      </c>
      <c r="C515" t="s">
        <v>50</v>
      </c>
      <c r="E515" t="str">
        <f>IF(OR(C515="Transaction",C515="Interests",C515="Misc",C515="Account Transfer"), IF(C515="Transaction", IF(B515&lt;0, "Du no", "Da thanh toan"), IF(C515="Interests", "Lai", IF(C515="Misc", "Phi", IF(C515="Account Transfer", IF(OR(ISNUMBER(SEARCH("Trich lai tra gop the TD", D515)), ISNUMBER(SEARCH("Chuyen lai tra gop con lai sang du no thong thuong khi BadDebt", D515))), IF(B515&lt;0, "Lai tra gop", ""), "" )))))) &amp; " " &amp; IF(C515="Interests", TEXT(EDATE(IF(DAY(A515)&gt;=24, A515, EDATE(A515,-1)), -1),"yyyy-mm"), TEXT(IF(DAY(A515)&gt;=24, A515, EDATE(A515,-1)),"yyyy-mm"))</f>
        <v>Phi 2021-02</v>
      </c>
      <c r="F515">
        <f>IF(ISNUMBER(B515), ROUND(SUMIFS($B$2:$B$10000, $E$2:$E$10000, E515, $B$2:$B$10000, IF(B515&lt;0, "&lt;0", "&gt;0")), 0), "")</f>
        <v>-4950</v>
      </c>
      <c r="G515" t="str">
        <f>IF(F515&gt;0, IF(C515="Transaction", "Da thanh toan", "Duong"), IF(F515&lt;0, IF(C515="Transaction", "Du no", IF(C515="Interests", "Lai phat sinh", IF(C515="Misc", "Phi", IF(C515="Account Transfer", "Lai tra gop", "Am")))), "Bang 0"))</f>
        <v>Phi</v>
      </c>
    </row>
    <row r="516" spans="1:7" x14ac:dyDescent="0.3">
      <c r="A516" s="60">
        <v>44256</v>
      </c>
      <c r="B516" s="33">
        <v>-4500</v>
      </c>
      <c r="C516" t="s">
        <v>50</v>
      </c>
      <c r="E516" t="str">
        <f>IF(OR(C516="Transaction",C516="Interests",C516="Misc",C516="Account Transfer"), IF(C516="Transaction", IF(B516&lt;0, "Du no", "Da thanh toan"), IF(C516="Interests", "Lai", IF(C516="Misc", "Phi", IF(C516="Account Transfer", IF(OR(ISNUMBER(SEARCH("Trich lai tra gop the TD", D516)), ISNUMBER(SEARCH("Chuyen lai tra gop con lai sang du no thong thuong khi BadDebt", D516))), IF(B516&lt;0, "Lai tra gop", ""), "" )))))) &amp; " " &amp; IF(C516="Interests", TEXT(EDATE(IF(DAY(A516)&gt;=24, A516, EDATE(A516,-1)), -1),"yyyy-mm"), TEXT(IF(DAY(A516)&gt;=24, A516, EDATE(A516,-1)),"yyyy-mm"))</f>
        <v>Phi 2021-02</v>
      </c>
      <c r="F516">
        <f>IF(ISNUMBER(B516), ROUND(SUMIFS($B$2:$B$10000, $E$2:$E$10000, E516, $B$2:$B$10000, IF(B516&lt;0, "&lt;0", "&gt;0")), 0), "")</f>
        <v>-4950</v>
      </c>
      <c r="G516" t="str">
        <f>IF(F516&gt;0, IF(C516="Transaction", "Da thanh toan", "Duong"), IF(F516&lt;0, IF(C516="Transaction", "Du no", IF(C516="Interests", "Lai phat sinh", IF(C516="Misc", "Phi", IF(C516="Account Transfer", "Lai tra gop", "Am")))), "Bang 0"))</f>
        <v>Phi</v>
      </c>
    </row>
    <row r="517" spans="1:7" x14ac:dyDescent="0.3">
      <c r="A517" s="60">
        <v>44235</v>
      </c>
      <c r="B517" s="33">
        <v>-7308</v>
      </c>
      <c r="C517" t="s">
        <v>51</v>
      </c>
      <c r="D517" t="s">
        <v>800</v>
      </c>
      <c r="E517" t="str">
        <f>IF(OR(C517="Transaction",C517="Interests",C517="Misc",C517="Account Transfer"), IF(C517="Transaction", IF(B517&lt;0, "Du no", "Da thanh toan"), IF(C517="Interests", "Lai", IF(C517="Misc", "Phi", IF(C517="Account Transfer", IF(OR(ISNUMBER(SEARCH("Trich lai tra gop the TD", D517)), ISNUMBER(SEARCH("Chuyen lai tra gop con lai sang du no thong thuong khi BadDebt", D517))), IF(B517&lt;0, "Lai tra gop", ""), "" )))))) &amp; " " &amp; IF(C517="Interests", TEXT(EDATE(IF(DAY(A517)&gt;=24, A517, EDATE(A517,-1)), -1),"yyyy-mm"), TEXT(IF(DAY(A517)&gt;=24, A517, EDATE(A517,-1)),"yyyy-mm"))</f>
        <v>Du no 2021-01</v>
      </c>
      <c r="F517">
        <f>IF(ISNUMBER(B517), ROUND(SUMIFS($B$2:$B$10000, $E$2:$E$10000, E517, $B$2:$B$10000, IF(B517&lt;0, "&lt;0", "&gt;0")), 0), "")</f>
        <v>-7308</v>
      </c>
      <c r="G517" t="str">
        <f>IF(F517&gt;0, IF(C517="Transaction", "Da thanh toan", "Duong"), IF(F517&lt;0, IF(C517="Transaction", "Du no", IF(C517="Interests", "Lai phat sinh", IF(C517="Misc", "Phi", IF(C517="Account Transfer", "Lai tra gop", "Am")))), "Bang 0"))</f>
        <v>Du no</v>
      </c>
    </row>
    <row r="518" spans="1:7" x14ac:dyDescent="0.3">
      <c r="A518" s="60">
        <v>44224</v>
      </c>
      <c r="B518" s="33">
        <v>-450</v>
      </c>
      <c r="C518" t="s">
        <v>50</v>
      </c>
      <c r="E518" t="str">
        <f>IF(OR(C518="Transaction",C518="Interests",C518="Misc",C518="Account Transfer"), IF(C518="Transaction", IF(B518&lt;0, "Du no", "Da thanh toan"), IF(C518="Interests", "Lai", IF(C518="Misc", "Phi", IF(C518="Account Transfer", IF(OR(ISNUMBER(SEARCH("Trich lai tra gop the TD", D518)), ISNUMBER(SEARCH("Chuyen lai tra gop con lai sang du no thong thuong khi BadDebt", D518))), IF(B518&lt;0, "Lai tra gop", ""), "" )))))) &amp; " " &amp; IF(C518="Interests", TEXT(EDATE(IF(DAY(A518)&gt;=24, A518, EDATE(A518,-1)), -1),"yyyy-mm"), TEXT(IF(DAY(A518)&gt;=24, A518, EDATE(A518,-1)),"yyyy-mm"))</f>
        <v>Phi 2021-01</v>
      </c>
      <c r="F518">
        <f>IF(ISNUMBER(B518), ROUND(SUMIFS($B$2:$B$10000, $E$2:$E$10000, E518, $B$2:$B$10000, IF(B518&lt;0, "&lt;0", "&gt;0")), 0), "")</f>
        <v>-4950</v>
      </c>
      <c r="G518" t="str">
        <f>IF(F518&gt;0, IF(C518="Transaction", "Da thanh toan", "Duong"), IF(F518&lt;0, IF(C518="Transaction", "Du no", IF(C518="Interests", "Lai phat sinh", IF(C518="Misc", "Phi", IF(C518="Account Transfer", "Lai tra gop", "Am")))), "Bang 0"))</f>
        <v>Phi</v>
      </c>
    </row>
    <row r="519" spans="1:7" x14ac:dyDescent="0.3">
      <c r="A519" s="60">
        <v>44224</v>
      </c>
      <c r="B519" s="33">
        <v>-4500</v>
      </c>
      <c r="C519" t="s">
        <v>50</v>
      </c>
      <c r="E519" t="str">
        <f>IF(OR(C519="Transaction",C519="Interests",C519="Misc",C519="Account Transfer"), IF(C519="Transaction", IF(B519&lt;0, "Du no", "Da thanh toan"), IF(C519="Interests", "Lai", IF(C519="Misc", "Phi", IF(C519="Account Transfer", IF(OR(ISNUMBER(SEARCH("Trich lai tra gop the TD", D519)), ISNUMBER(SEARCH("Chuyen lai tra gop con lai sang du no thong thuong khi BadDebt", D519))), IF(B519&lt;0, "Lai tra gop", ""), "" )))))) &amp; " " &amp; IF(C519="Interests", TEXT(EDATE(IF(DAY(A519)&gt;=24, A519, EDATE(A519,-1)), -1),"yyyy-mm"), TEXT(IF(DAY(A519)&gt;=24, A519, EDATE(A519,-1)),"yyyy-mm"))</f>
        <v>Phi 2021-01</v>
      </c>
      <c r="F519">
        <f>IF(ISNUMBER(B519), ROUND(SUMIFS($B$2:$B$10000, $E$2:$E$10000, E519, $B$2:$B$10000, IF(B519&lt;0, "&lt;0", "&gt;0")), 0), "")</f>
        <v>-4950</v>
      </c>
      <c r="G519" t="str">
        <f>IF(F519&gt;0, IF(C519="Transaction", "Da thanh toan", "Duong"), IF(F519&lt;0, IF(C519="Transaction", "Du no", IF(C519="Interests", "Lai phat sinh", IF(C519="Misc", "Phi", IF(C519="Account Transfer", "Lai tra gop", "Am")))), "Bang 0"))</f>
        <v>Phi</v>
      </c>
    </row>
    <row r="520" spans="1:7" x14ac:dyDescent="0.3">
      <c r="A520" s="60">
        <v>44207</v>
      </c>
      <c r="B520" s="33">
        <v>-7308</v>
      </c>
      <c r="C520" t="s">
        <v>51</v>
      </c>
      <c r="D520" t="s">
        <v>801</v>
      </c>
      <c r="E520" t="str">
        <f>IF(OR(C520="Transaction",C520="Interests",C520="Misc",C520="Account Transfer"), IF(C520="Transaction", IF(B520&lt;0, "Du no", "Da thanh toan"), IF(C520="Interests", "Lai", IF(C520="Misc", "Phi", IF(C520="Account Transfer", IF(OR(ISNUMBER(SEARCH("Trich lai tra gop the TD", D520)), ISNUMBER(SEARCH("Chuyen lai tra gop con lai sang du no thong thuong khi BadDebt", D520))), IF(B520&lt;0, "Lai tra gop", ""), "" )))))) &amp; " " &amp; IF(C520="Interests", TEXT(EDATE(IF(DAY(A520)&gt;=24, A520, EDATE(A520,-1)), -1),"yyyy-mm"), TEXT(IF(DAY(A520)&gt;=24, A520, EDATE(A520,-1)),"yyyy-mm"))</f>
        <v>Du no 2020-12</v>
      </c>
      <c r="F520">
        <f>IF(ISNUMBER(B520), ROUND(SUMIFS($B$2:$B$10000, $E$2:$E$10000, E520, $B$2:$B$10000, IF(B520&lt;0, "&lt;0", "&gt;0")), 0), "")</f>
        <v>-7308</v>
      </c>
      <c r="G520" t="str">
        <f>IF(F520&gt;0, IF(C520="Transaction", "Da thanh toan", "Duong"), IF(F520&lt;0, IF(C520="Transaction", "Du no", IF(C520="Interests", "Lai phat sinh", IF(C520="Misc", "Phi", IF(C520="Account Transfer", "Lai tra gop", "Am")))), "Bang 0"))</f>
        <v>Du no</v>
      </c>
    </row>
    <row r="521" spans="1:7" x14ac:dyDescent="0.3">
      <c r="A521" s="60">
        <v>44193</v>
      </c>
      <c r="B521" s="33">
        <v>-450</v>
      </c>
      <c r="C521" t="s">
        <v>50</v>
      </c>
      <c r="E521" t="str">
        <f>IF(OR(C521="Transaction",C521="Interests",C521="Misc",C521="Account Transfer"), IF(C521="Transaction", IF(B521&lt;0, "Du no", "Da thanh toan"), IF(C521="Interests", "Lai", IF(C521="Misc", "Phi", IF(C521="Account Transfer", IF(OR(ISNUMBER(SEARCH("Trich lai tra gop the TD", D521)), ISNUMBER(SEARCH("Chuyen lai tra gop con lai sang du no thong thuong khi BadDebt", D521))), IF(B521&lt;0, "Lai tra gop", ""), "" )))))) &amp; " " &amp; IF(C521="Interests", TEXT(EDATE(IF(DAY(A521)&gt;=24, A521, EDATE(A521,-1)), -1),"yyyy-mm"), TEXT(IF(DAY(A521)&gt;=24, A521, EDATE(A521,-1)),"yyyy-mm"))</f>
        <v>Phi 2020-12</v>
      </c>
      <c r="F521">
        <f>IF(ISNUMBER(B521), ROUND(SUMIFS($B$2:$B$10000, $E$2:$E$10000, E521, $B$2:$B$10000, IF(B521&lt;0, "&lt;0", "&gt;0")), 0), "")</f>
        <v>-4950</v>
      </c>
      <c r="G521" t="str">
        <f>IF(F521&gt;0, IF(C521="Transaction", "Da thanh toan", "Duong"), IF(F521&lt;0, IF(C521="Transaction", "Du no", IF(C521="Interests", "Lai phat sinh", IF(C521="Misc", "Phi", IF(C521="Account Transfer", "Lai tra gop", "Am")))), "Bang 0"))</f>
        <v>Phi</v>
      </c>
    </row>
    <row r="522" spans="1:7" x14ac:dyDescent="0.3">
      <c r="A522" s="60">
        <v>44193</v>
      </c>
      <c r="B522" s="33">
        <v>-4500</v>
      </c>
      <c r="C522" t="s">
        <v>50</v>
      </c>
      <c r="E522" t="str">
        <f>IF(OR(C522="Transaction",C522="Interests",C522="Misc",C522="Account Transfer"), IF(C522="Transaction", IF(B522&lt;0, "Du no", "Da thanh toan"), IF(C522="Interests", "Lai", IF(C522="Misc", "Phi", IF(C522="Account Transfer", IF(OR(ISNUMBER(SEARCH("Trich lai tra gop the TD", D522)), ISNUMBER(SEARCH("Chuyen lai tra gop con lai sang du no thong thuong khi BadDebt", D522))), IF(B522&lt;0, "Lai tra gop", ""), "" )))))) &amp; " " &amp; IF(C522="Interests", TEXT(EDATE(IF(DAY(A522)&gt;=24, A522, EDATE(A522,-1)), -1),"yyyy-mm"), TEXT(IF(DAY(A522)&gt;=24, A522, EDATE(A522,-1)),"yyyy-mm"))</f>
        <v>Phi 2020-12</v>
      </c>
      <c r="F522">
        <f>IF(ISNUMBER(B522), ROUND(SUMIFS($B$2:$B$10000, $E$2:$E$10000, E522, $B$2:$B$10000, IF(B522&lt;0, "&lt;0", "&gt;0")), 0), "")</f>
        <v>-4950</v>
      </c>
      <c r="G522" t="str">
        <f>IF(F522&gt;0, IF(C522="Transaction", "Da thanh toan", "Duong"), IF(F522&lt;0, IF(C522="Transaction", "Du no", IF(C522="Interests", "Lai phat sinh", IF(C522="Misc", "Phi", IF(C522="Account Transfer", "Lai tra gop", "Am")))), "Bang 0"))</f>
        <v>Phi</v>
      </c>
    </row>
    <row r="523" spans="1:7" x14ac:dyDescent="0.3">
      <c r="A523" s="60">
        <v>44168</v>
      </c>
      <c r="B523" s="33">
        <v>-7308</v>
      </c>
      <c r="C523" t="s">
        <v>51</v>
      </c>
      <c r="D523" t="s">
        <v>802</v>
      </c>
      <c r="E523" t="str">
        <f>IF(OR(C523="Transaction",C523="Interests",C523="Misc",C523="Account Transfer"), IF(C523="Transaction", IF(B523&lt;0, "Du no", "Da thanh toan"), IF(C523="Interests", "Lai", IF(C523="Misc", "Phi", IF(C523="Account Transfer", IF(OR(ISNUMBER(SEARCH("Trich lai tra gop the TD", D523)), ISNUMBER(SEARCH("Chuyen lai tra gop con lai sang du no thong thuong khi BadDebt", D523))), IF(B523&lt;0, "Lai tra gop", ""), "" )))))) &amp; " " &amp; IF(C523="Interests", TEXT(EDATE(IF(DAY(A523)&gt;=24, A523, EDATE(A523,-1)), -1),"yyyy-mm"), TEXT(IF(DAY(A523)&gt;=24, A523, EDATE(A523,-1)),"yyyy-mm"))</f>
        <v>Du no 2020-11</v>
      </c>
      <c r="F523">
        <f>IF(ISNUMBER(B523), ROUND(SUMIFS($B$2:$B$10000, $E$2:$E$10000, E523, $B$2:$B$10000, IF(B523&lt;0, "&lt;0", "&gt;0")), 0), "")</f>
        <v>-7308</v>
      </c>
      <c r="G523" t="str">
        <f>IF(F523&gt;0, IF(C523="Transaction", "Da thanh toan", "Duong"), IF(F523&lt;0, IF(C523="Transaction", "Du no", IF(C523="Interests", "Lai phat sinh", IF(C523="Misc", "Phi", IF(C523="Account Transfer", "Lai tra gop", "Am")))), "Bang 0"))</f>
        <v>Du no</v>
      </c>
    </row>
    <row r="524" spans="1:7" x14ac:dyDescent="0.3">
      <c r="A524" s="60">
        <v>44165</v>
      </c>
      <c r="B524" s="33">
        <v>-450</v>
      </c>
      <c r="C524" t="s">
        <v>50</v>
      </c>
      <c r="E524" t="str">
        <f>IF(OR(C524="Transaction",C524="Interests",C524="Misc",C524="Account Transfer"), IF(C524="Transaction", IF(B524&lt;0, "Du no", "Da thanh toan"), IF(C524="Interests", "Lai", IF(C524="Misc", "Phi", IF(C524="Account Transfer", IF(OR(ISNUMBER(SEARCH("Trich lai tra gop the TD", D524)), ISNUMBER(SEARCH("Chuyen lai tra gop con lai sang du no thong thuong khi BadDebt", D524))), IF(B524&lt;0, "Lai tra gop", ""), "" )))))) &amp; " " &amp; IF(C524="Interests", TEXT(EDATE(IF(DAY(A524)&gt;=24, A524, EDATE(A524,-1)), -1),"yyyy-mm"), TEXT(IF(DAY(A524)&gt;=24, A524, EDATE(A524,-1)),"yyyy-mm"))</f>
        <v>Phi 2020-11</v>
      </c>
      <c r="F524">
        <f>IF(ISNUMBER(B524), ROUND(SUMIFS($B$2:$B$10000, $E$2:$E$10000, E524, $B$2:$B$10000, IF(B524&lt;0, "&lt;0", "&gt;0")), 0), "")</f>
        <v>-4950</v>
      </c>
      <c r="G524" t="str">
        <f>IF(F524&gt;0, IF(C524="Transaction", "Da thanh toan", "Duong"), IF(F524&lt;0, IF(C524="Transaction", "Du no", IF(C524="Interests", "Lai phat sinh", IF(C524="Misc", "Phi", IF(C524="Account Transfer", "Lai tra gop", "Am")))), "Bang 0"))</f>
        <v>Phi</v>
      </c>
    </row>
    <row r="525" spans="1:7" x14ac:dyDescent="0.3">
      <c r="A525" s="60">
        <v>44165</v>
      </c>
      <c r="B525" s="33">
        <v>-4500</v>
      </c>
      <c r="C525" t="s">
        <v>50</v>
      </c>
      <c r="E525" t="str">
        <f>IF(OR(C525="Transaction",C525="Interests",C525="Misc",C525="Account Transfer"), IF(C525="Transaction", IF(B525&lt;0, "Du no", "Da thanh toan"), IF(C525="Interests", "Lai", IF(C525="Misc", "Phi", IF(C525="Account Transfer", IF(OR(ISNUMBER(SEARCH("Trich lai tra gop the TD", D525)), ISNUMBER(SEARCH("Chuyen lai tra gop con lai sang du no thong thuong khi BadDebt", D525))), IF(B525&lt;0, "Lai tra gop", ""), "" )))))) &amp; " " &amp; IF(C525="Interests", TEXT(EDATE(IF(DAY(A525)&gt;=24, A525, EDATE(A525,-1)), -1),"yyyy-mm"), TEXT(IF(DAY(A525)&gt;=24, A525, EDATE(A525,-1)),"yyyy-mm"))</f>
        <v>Phi 2020-11</v>
      </c>
      <c r="F525">
        <f>IF(ISNUMBER(B525), ROUND(SUMIFS($B$2:$B$10000, $E$2:$E$10000, E525, $B$2:$B$10000, IF(B525&lt;0, "&lt;0", "&gt;0")), 0), "")</f>
        <v>-4950</v>
      </c>
      <c r="G525" t="str">
        <f>IF(F525&gt;0, IF(C525="Transaction", "Da thanh toan", "Duong"), IF(F525&lt;0, IF(C525="Transaction", "Du no", IF(C525="Interests", "Lai phat sinh", IF(C525="Misc", "Phi", IF(C525="Account Transfer", "Lai tra gop", "Am")))), "Bang 0"))</f>
        <v>Phi</v>
      </c>
    </row>
    <row r="526" spans="1:7" x14ac:dyDescent="0.3">
      <c r="A526" s="60">
        <v>44159</v>
      </c>
      <c r="B526" s="33">
        <v>-11359.23</v>
      </c>
      <c r="C526" t="s">
        <v>49</v>
      </c>
      <c r="E526" t="str">
        <f>IF(OR(C526="Transaction",C526="Interests",C526="Misc",C526="Account Transfer"), IF(C526="Transaction", IF(B526&lt;0, "Du no", "Da thanh toan"), IF(C526="Interests", "Lai", IF(C526="Misc", "Phi", IF(C526="Account Transfer", IF(OR(ISNUMBER(SEARCH("Trich lai tra gop the TD", D526)), ISNUMBER(SEARCH("Chuyen lai tra gop con lai sang du no thong thuong khi BadDebt", D526))), IF(B526&lt;0, "Lai tra gop", ""), "" )))))) &amp; " " &amp; IF(C526="Interests", TEXT(EDATE(IF(DAY(A526)&gt;=24, A526, EDATE(A526,-1)), -1),"yyyy-mm"), TEXT(IF(DAY(A526)&gt;=24, A526, EDATE(A526,-1)),"yyyy-mm"))</f>
        <v>Lai 2020-10</v>
      </c>
      <c r="F526">
        <f>IF(ISNUMBER(B526), ROUND(SUMIFS($B$2:$B$10000, $E$2:$E$10000, E526, $B$2:$B$10000, IF(B526&lt;0, "&lt;0", "&gt;0")), 0), "")</f>
        <v>-252870</v>
      </c>
      <c r="G526" t="str">
        <f>IF(F526&gt;0, IF(C526="Transaction", "Da thanh toan", "Duong"), IF(F526&lt;0, IF(C526="Transaction", "Du no", IF(C526="Interests", "Lai phat sinh", IF(C526="Misc", "Phi", IF(C526="Account Transfer", "Lai tra gop", "Am")))), "Bang 0"))</f>
        <v>Lai phat sinh</v>
      </c>
    </row>
    <row r="527" spans="1:7" x14ac:dyDescent="0.3">
      <c r="A527" s="60">
        <v>44159</v>
      </c>
      <c r="B527" s="33">
        <v>-1632.66</v>
      </c>
      <c r="C527" t="s">
        <v>49</v>
      </c>
      <c r="E527" t="str">
        <f>IF(OR(C527="Transaction",C527="Interests",C527="Misc",C527="Account Transfer"), IF(C527="Transaction", IF(B527&lt;0, "Du no", "Da thanh toan"), IF(C527="Interests", "Lai", IF(C527="Misc", "Phi", IF(C527="Account Transfer", IF(OR(ISNUMBER(SEARCH("Trich lai tra gop the TD", D527)), ISNUMBER(SEARCH("Chuyen lai tra gop con lai sang du no thong thuong khi BadDebt", D527))), IF(B527&lt;0, "Lai tra gop", ""), "" )))))) &amp; " " &amp; IF(C527="Interests", TEXT(EDATE(IF(DAY(A527)&gt;=24, A527, EDATE(A527,-1)), -1),"yyyy-mm"), TEXT(IF(DAY(A527)&gt;=24, A527, EDATE(A527,-1)),"yyyy-mm"))</f>
        <v>Lai 2020-10</v>
      </c>
      <c r="F527">
        <f>IF(ISNUMBER(B527), ROUND(SUMIFS($B$2:$B$10000, $E$2:$E$10000, E527, $B$2:$B$10000, IF(B527&lt;0, "&lt;0", "&gt;0")), 0), "")</f>
        <v>-252870</v>
      </c>
      <c r="G527" t="str">
        <f>IF(F527&gt;0, IF(C527="Transaction", "Da thanh toan", "Duong"), IF(F527&lt;0, IF(C527="Transaction", "Du no", IF(C527="Interests", "Lai phat sinh", IF(C527="Misc", "Phi", IF(C527="Account Transfer", "Lai tra gop", "Am")))), "Bang 0"))</f>
        <v>Lai phat sinh</v>
      </c>
    </row>
    <row r="528" spans="1:7" x14ac:dyDescent="0.3">
      <c r="A528" s="60">
        <v>44159</v>
      </c>
      <c r="B528" s="33">
        <v>-239878.44</v>
      </c>
      <c r="C528" t="s">
        <v>49</v>
      </c>
      <c r="E528" t="str">
        <f>IF(OR(C528="Transaction",C528="Interests",C528="Misc",C528="Account Transfer"), IF(C528="Transaction", IF(B528&lt;0, "Du no", "Da thanh toan"), IF(C528="Interests", "Lai", IF(C528="Misc", "Phi", IF(C528="Account Transfer", IF(OR(ISNUMBER(SEARCH("Trich lai tra gop the TD", D528)), ISNUMBER(SEARCH("Chuyen lai tra gop con lai sang du no thong thuong khi BadDebt", D528))), IF(B528&lt;0, "Lai tra gop", ""), "" )))))) &amp; " " &amp; IF(C528="Interests", TEXT(EDATE(IF(DAY(A528)&gt;=24, A528, EDATE(A528,-1)), -1),"yyyy-mm"), TEXT(IF(DAY(A528)&gt;=24, A528, EDATE(A528,-1)),"yyyy-mm"))</f>
        <v>Lai 2020-10</v>
      </c>
      <c r="F528">
        <f>IF(ISNUMBER(B528), ROUND(SUMIFS($B$2:$B$10000, $E$2:$E$10000, E528, $B$2:$B$10000, IF(B528&lt;0, "&lt;0", "&gt;0")), 0), "")</f>
        <v>-252870</v>
      </c>
      <c r="G528" t="str">
        <f>IF(F528&gt;0, IF(C528="Transaction", "Da thanh toan", "Duong"), IF(F528&lt;0, IF(C528="Transaction", "Du no", IF(C528="Interests", "Lai phat sinh", IF(C528="Misc", "Phi", IF(C528="Account Transfer", "Lai tra gop", "Am")))), "Bang 0"))</f>
        <v>Lai phat sinh</v>
      </c>
    </row>
    <row r="529" spans="1:7" x14ac:dyDescent="0.3">
      <c r="A529" s="60">
        <v>44146</v>
      </c>
      <c r="B529" s="33">
        <v>612184</v>
      </c>
      <c r="C529" t="s">
        <v>51</v>
      </c>
      <c r="D529" t="s">
        <v>53</v>
      </c>
      <c r="E529" t="str">
        <f>IF(OR(C529="Transaction",C529="Interests",C529="Misc",C529="Account Transfer"), IF(C529="Transaction", IF(B529&lt;0, "Du no", "Da thanh toan"), IF(C529="Interests", "Lai", IF(C529="Misc", "Phi", IF(C529="Account Transfer", IF(OR(ISNUMBER(SEARCH("Trich lai tra gop the TD", D529)), ISNUMBER(SEARCH("Chuyen lai tra gop con lai sang du no thong thuong khi BadDebt", D529))), IF(B529&lt;0, "Lai tra gop", ""), "" )))))) &amp; " " &amp; IF(C529="Interests", TEXT(EDATE(IF(DAY(A529)&gt;=24, A529, EDATE(A529,-1)), -1),"yyyy-mm"), TEXT(IF(DAY(A529)&gt;=24, A529, EDATE(A529,-1)),"yyyy-mm"))</f>
        <v>Da thanh toan 2020-10</v>
      </c>
      <c r="F529">
        <f>IF(ISNUMBER(B529), ROUND(SUMIFS($B$2:$B$10000, $E$2:$E$10000, E529, $B$2:$B$10000, IF(B529&lt;0, "&lt;0", "&gt;0")), 0), "")</f>
        <v>13612184</v>
      </c>
      <c r="G529" t="str">
        <f>IF(F529&gt;0, IF(C529="Transaction", "Da thanh toan", "Duong"), IF(F529&lt;0, IF(C529="Transaction", "Du no", IF(C529="Interests", "Lai phat sinh", IF(C529="Misc", "Phi", IF(C529="Account Transfer", "Lai tra gop", "Am")))), "Bang 0"))</f>
        <v>Da thanh toan</v>
      </c>
    </row>
    <row r="530" spans="1:7" x14ac:dyDescent="0.3">
      <c r="A530" s="60">
        <v>44146</v>
      </c>
      <c r="B530" s="33">
        <v>13000000</v>
      </c>
      <c r="C530" t="s">
        <v>51</v>
      </c>
      <c r="D530" t="s">
        <v>766</v>
      </c>
      <c r="E530" t="str">
        <f>IF(OR(C530="Transaction",C530="Interests",C530="Misc",C530="Account Transfer"), IF(C530="Transaction", IF(B530&lt;0, "Du no", "Da thanh toan"), IF(C530="Interests", "Lai", IF(C530="Misc", "Phi", IF(C530="Account Transfer", IF(OR(ISNUMBER(SEARCH("Trich lai tra gop the TD", D530)), ISNUMBER(SEARCH("Chuyen lai tra gop con lai sang du no thong thuong khi BadDebt", D530))), IF(B530&lt;0, "Lai tra gop", ""), "" )))))) &amp; " " &amp; IF(C530="Interests", TEXT(EDATE(IF(DAY(A530)&gt;=24, A530, EDATE(A530,-1)), -1),"yyyy-mm"), TEXT(IF(DAY(A530)&gt;=24, A530, EDATE(A530,-1)),"yyyy-mm"))</f>
        <v>Da thanh toan 2020-10</v>
      </c>
      <c r="F530">
        <f>IF(ISNUMBER(B530), ROUND(SUMIFS($B$2:$B$10000, $E$2:$E$10000, E530, $B$2:$B$10000, IF(B530&lt;0, "&lt;0", "&gt;0")), 0), "")</f>
        <v>13612184</v>
      </c>
      <c r="G530" t="str">
        <f>IF(F530&gt;0, IF(C530="Transaction", "Da thanh toan", "Duong"), IF(F530&lt;0, IF(C530="Transaction", "Du no", IF(C530="Interests", "Lai phat sinh", IF(C530="Misc", "Phi", IF(C530="Account Transfer", "Lai tra gop", "Am")))), "Bang 0"))</f>
        <v>Da thanh toan</v>
      </c>
    </row>
    <row r="531" spans="1:7" x14ac:dyDescent="0.3">
      <c r="A531" s="60">
        <v>44145</v>
      </c>
      <c r="B531" s="33">
        <v>-149000</v>
      </c>
      <c r="C531" t="s">
        <v>50</v>
      </c>
      <c r="E531" t="str">
        <f>IF(OR(C531="Transaction",C531="Interests",C531="Misc",C531="Account Transfer"), IF(C531="Transaction", IF(B531&lt;0, "Du no", "Da thanh toan"), IF(C531="Interests", "Lai", IF(C531="Misc", "Phi", IF(C531="Account Transfer", IF(OR(ISNUMBER(SEARCH("Trich lai tra gop the TD", D531)), ISNUMBER(SEARCH("Chuyen lai tra gop con lai sang du no thong thuong khi BadDebt", D531))), IF(B531&lt;0, "Lai tra gop", ""), "" )))))) &amp; " " &amp; IF(C531="Interests", TEXT(EDATE(IF(DAY(A531)&gt;=24, A531, EDATE(A531,-1)), -1),"yyyy-mm"), TEXT(IF(DAY(A531)&gt;=24, A531, EDATE(A531,-1)),"yyyy-mm"))</f>
        <v>Phi 2020-10</v>
      </c>
      <c r="F531">
        <f>IF(ISNUMBER(B531), ROUND(SUMIFS($B$2:$B$10000, $E$2:$E$10000, E531, $B$2:$B$10000, IF(B531&lt;0, "&lt;0", "&gt;0")), 0), "")</f>
        <v>-153950</v>
      </c>
      <c r="G531" t="str">
        <f>IF(F531&gt;0, IF(C531="Transaction", "Da thanh toan", "Duong"), IF(F531&lt;0, IF(C531="Transaction", "Du no", IF(C531="Interests", "Lai phat sinh", IF(C531="Misc", "Phi", IF(C531="Account Transfer", "Lai tra gop", "Am")))), "Bang 0"))</f>
        <v>Phi</v>
      </c>
    </row>
    <row r="532" spans="1:7" x14ac:dyDescent="0.3">
      <c r="A532" s="60">
        <v>44137</v>
      </c>
      <c r="B532" s="33">
        <v>-7308</v>
      </c>
      <c r="C532" t="s">
        <v>51</v>
      </c>
      <c r="D532" t="s">
        <v>803</v>
      </c>
      <c r="E532" t="str">
        <f>IF(OR(C532="Transaction",C532="Interests",C532="Misc",C532="Account Transfer"), IF(C532="Transaction", IF(B532&lt;0, "Du no", "Da thanh toan"), IF(C532="Interests", "Lai", IF(C532="Misc", "Phi", IF(C532="Account Transfer", IF(OR(ISNUMBER(SEARCH("Trich lai tra gop the TD", D532)), ISNUMBER(SEARCH("Chuyen lai tra gop con lai sang du no thong thuong khi BadDebt", D532))), IF(B532&lt;0, "Lai tra gop", ""), "" )))))) &amp; " " &amp; IF(C532="Interests", TEXT(EDATE(IF(DAY(A532)&gt;=24, A532, EDATE(A532,-1)), -1),"yyyy-mm"), TEXT(IF(DAY(A532)&gt;=24, A532, EDATE(A532,-1)),"yyyy-mm"))</f>
        <v>Du no 2020-10</v>
      </c>
      <c r="F532">
        <f>IF(ISNUMBER(B532), ROUND(SUMIFS($B$2:$B$10000, $E$2:$E$10000, E532, $B$2:$B$10000, IF(B532&lt;0, "&lt;0", "&gt;0")), 0), "")</f>
        <v>-7308</v>
      </c>
      <c r="G532" t="str">
        <f>IF(F532&gt;0, IF(C532="Transaction", "Da thanh toan", "Duong"), IF(F532&lt;0, IF(C532="Transaction", "Du no", IF(C532="Interests", "Lai phat sinh", IF(C532="Misc", "Phi", IF(C532="Account Transfer", "Lai tra gop", "Am")))), "Bang 0"))</f>
        <v>Du no</v>
      </c>
    </row>
    <row r="533" spans="1:7" x14ac:dyDescent="0.3">
      <c r="A533" s="60">
        <v>44131</v>
      </c>
      <c r="B533" s="33">
        <v>-450</v>
      </c>
      <c r="C533" t="s">
        <v>50</v>
      </c>
      <c r="E533" t="str">
        <f>IF(OR(C533="Transaction",C533="Interests",C533="Misc",C533="Account Transfer"), IF(C533="Transaction", IF(B533&lt;0, "Du no", "Da thanh toan"), IF(C533="Interests", "Lai", IF(C533="Misc", "Phi", IF(C533="Account Transfer", IF(OR(ISNUMBER(SEARCH("Trich lai tra gop the TD", D533)), ISNUMBER(SEARCH("Chuyen lai tra gop con lai sang du no thong thuong khi BadDebt", D533))), IF(B533&lt;0, "Lai tra gop", ""), "" )))))) &amp; " " &amp; IF(C533="Interests", TEXT(EDATE(IF(DAY(A533)&gt;=24, A533, EDATE(A533,-1)), -1),"yyyy-mm"), TEXT(IF(DAY(A533)&gt;=24, A533, EDATE(A533,-1)),"yyyy-mm"))</f>
        <v>Phi 2020-10</v>
      </c>
      <c r="F533">
        <f>IF(ISNUMBER(B533), ROUND(SUMIFS($B$2:$B$10000, $E$2:$E$10000, E533, $B$2:$B$10000, IF(B533&lt;0, "&lt;0", "&gt;0")), 0), "")</f>
        <v>-153950</v>
      </c>
      <c r="G533" t="str">
        <f>IF(F533&gt;0, IF(C533="Transaction", "Da thanh toan", "Duong"), IF(F533&lt;0, IF(C533="Transaction", "Du no", IF(C533="Interests", "Lai phat sinh", IF(C533="Misc", "Phi", IF(C533="Account Transfer", "Lai tra gop", "Am")))), "Bang 0"))</f>
        <v>Phi</v>
      </c>
    </row>
    <row r="534" spans="1:7" x14ac:dyDescent="0.3">
      <c r="A534" s="60">
        <v>44131</v>
      </c>
      <c r="B534" s="33">
        <v>-4500</v>
      </c>
      <c r="C534" t="s">
        <v>50</v>
      </c>
      <c r="E534" t="str">
        <f>IF(OR(C534="Transaction",C534="Interests",C534="Misc",C534="Account Transfer"), IF(C534="Transaction", IF(B534&lt;0, "Du no", "Da thanh toan"), IF(C534="Interests", "Lai", IF(C534="Misc", "Phi", IF(C534="Account Transfer", IF(OR(ISNUMBER(SEARCH("Trich lai tra gop the TD", D534)), ISNUMBER(SEARCH("Chuyen lai tra gop con lai sang du no thong thuong khi BadDebt", D534))), IF(B534&lt;0, "Lai tra gop", ""), "" )))))) &amp; " " &amp; IF(C534="Interests", TEXT(EDATE(IF(DAY(A534)&gt;=24, A534, EDATE(A534,-1)), -1),"yyyy-mm"), TEXT(IF(DAY(A534)&gt;=24, A534, EDATE(A534,-1)),"yyyy-mm"))</f>
        <v>Phi 2020-10</v>
      </c>
      <c r="F534">
        <f>IF(ISNUMBER(B534), ROUND(SUMIFS($B$2:$B$10000, $E$2:$E$10000, E534, $B$2:$B$10000, IF(B534&lt;0, "&lt;0", "&gt;0")), 0), "")</f>
        <v>-153950</v>
      </c>
      <c r="G534" t="str">
        <f>IF(F534&gt;0, IF(C534="Transaction", "Da thanh toan", "Duong"), IF(F534&lt;0, IF(C534="Transaction", "Du no", IF(C534="Interests", "Lai phat sinh", IF(C534="Misc", "Phi", IF(C534="Account Transfer", "Lai tra gop", "Am")))), "Bang 0"))</f>
        <v>Phi</v>
      </c>
    </row>
    <row r="535" spans="1:7" x14ac:dyDescent="0.3">
      <c r="A535" s="60">
        <v>44128</v>
      </c>
      <c r="B535" s="33">
        <v>-3155.34</v>
      </c>
      <c r="C535" t="s">
        <v>49</v>
      </c>
      <c r="E535" t="str">
        <f>IF(OR(C535="Transaction",C535="Interests",C535="Misc",C535="Account Transfer"), IF(C535="Transaction", IF(B535&lt;0, "Du no", "Da thanh toan"), IF(C535="Interests", "Lai", IF(C535="Misc", "Phi", IF(C535="Account Transfer", IF(OR(ISNUMBER(SEARCH("Trich lai tra gop the TD", D535)), ISNUMBER(SEARCH("Chuyen lai tra gop con lai sang du no thong thuong khi BadDebt", D535))), IF(B535&lt;0, "Lai tra gop", ""), "" )))))) &amp; " " &amp; IF(C535="Interests", TEXT(EDATE(IF(DAY(A535)&gt;=24, A535, EDATE(A535,-1)), -1),"yyyy-mm"), TEXT(IF(DAY(A535)&gt;=24, A535, EDATE(A535,-1)),"yyyy-mm"))</f>
        <v>Lai 2020-09</v>
      </c>
      <c r="F535">
        <f>IF(ISNUMBER(B535), ROUND(SUMIFS($B$2:$B$10000, $E$2:$E$10000, E535, $B$2:$B$10000, IF(B535&lt;0, "&lt;0", "&gt;0")), 0), "")</f>
        <v>-79051</v>
      </c>
      <c r="G535" t="str">
        <f>IF(F535&gt;0, IF(C535="Transaction", "Da thanh toan", "Duong"), IF(F535&lt;0, IF(C535="Transaction", "Du no", IF(C535="Interests", "Lai phat sinh", IF(C535="Misc", "Phi", IF(C535="Account Transfer", "Lai tra gop", "Am")))), "Bang 0"))</f>
        <v>Lai phat sinh</v>
      </c>
    </row>
    <row r="536" spans="1:7" x14ac:dyDescent="0.3">
      <c r="A536" s="60">
        <v>44128</v>
      </c>
      <c r="B536" s="33">
        <v>-75895.94</v>
      </c>
      <c r="C536" t="s">
        <v>49</v>
      </c>
      <c r="E536" t="str">
        <f>IF(OR(C536="Transaction",C536="Interests",C536="Misc",C536="Account Transfer"), IF(C536="Transaction", IF(B536&lt;0, "Du no", "Da thanh toan"), IF(C536="Interests", "Lai", IF(C536="Misc", "Phi", IF(C536="Account Transfer", IF(OR(ISNUMBER(SEARCH("Trich lai tra gop the TD", D536)), ISNUMBER(SEARCH("Chuyen lai tra gop con lai sang du no thong thuong khi BadDebt", D536))), IF(B536&lt;0, "Lai tra gop", ""), "" )))))) &amp; " " &amp; IF(C536="Interests", TEXT(EDATE(IF(DAY(A536)&gt;=24, A536, EDATE(A536,-1)), -1),"yyyy-mm"), TEXT(IF(DAY(A536)&gt;=24, A536, EDATE(A536,-1)),"yyyy-mm"))</f>
        <v>Lai 2020-09</v>
      </c>
      <c r="F536">
        <f>IF(ISNUMBER(B536), ROUND(SUMIFS($B$2:$B$10000, $E$2:$E$10000, E536, $B$2:$B$10000, IF(B536&lt;0, "&lt;0", "&gt;0")), 0), "")</f>
        <v>-79051</v>
      </c>
      <c r="G536" t="str">
        <f>IF(F536&gt;0, IF(C536="Transaction", "Da thanh toan", "Duong"), IF(F536&lt;0, IF(C536="Transaction", "Du no", IF(C536="Interests", "Lai phat sinh", IF(C536="Misc", "Phi", IF(C536="Account Transfer", "Lai tra gop", "Am")))), "Bang 0"))</f>
        <v>Lai phat sinh</v>
      </c>
    </row>
    <row r="537" spans="1:7" x14ac:dyDescent="0.3">
      <c r="A537" s="60">
        <v>44123</v>
      </c>
      <c r="B537" s="33">
        <v>-2000000</v>
      </c>
      <c r="C537" t="s">
        <v>51</v>
      </c>
      <c r="D537" t="s">
        <v>804</v>
      </c>
      <c r="E537" t="str">
        <f>IF(OR(C537="Transaction",C537="Interests",C537="Misc",C537="Account Transfer"), IF(C537="Transaction", IF(B537&lt;0, "Du no", "Da thanh toan"), IF(C537="Interests", "Lai", IF(C537="Misc", "Phi", IF(C537="Account Transfer", IF(OR(ISNUMBER(SEARCH("Trich lai tra gop the TD", D537)), ISNUMBER(SEARCH("Chuyen lai tra gop con lai sang du no thong thuong khi BadDebt", D537))), IF(B537&lt;0, "Lai tra gop", ""), "" )))))) &amp; " " &amp; IF(C537="Interests", TEXT(EDATE(IF(DAY(A537)&gt;=24, A537, EDATE(A537,-1)), -1),"yyyy-mm"), TEXT(IF(DAY(A537)&gt;=24, A537, EDATE(A537,-1)),"yyyy-mm"))</f>
        <v>Du no 2020-09</v>
      </c>
      <c r="F537">
        <f>IF(ISNUMBER(B537), ROUND(SUMIFS($B$2:$B$10000, $E$2:$E$10000, E537, $B$2:$B$10000, IF(B537&lt;0, "&lt;0", "&gt;0")), 0), "")</f>
        <v>-12667308</v>
      </c>
      <c r="G537" t="str">
        <f>IF(F537&gt;0, IF(C537="Transaction", "Da thanh toan", "Duong"), IF(F537&lt;0, IF(C537="Transaction", "Du no", IF(C537="Interests", "Lai phat sinh", IF(C537="Misc", "Phi", IF(C537="Account Transfer", "Lai tra gop", "Am")))), "Bang 0"))</f>
        <v>Du no</v>
      </c>
    </row>
    <row r="538" spans="1:7" x14ac:dyDescent="0.3">
      <c r="A538" s="60">
        <v>44123</v>
      </c>
      <c r="B538" s="33">
        <v>-2000000</v>
      </c>
      <c r="C538" t="s">
        <v>51</v>
      </c>
      <c r="D538" t="s">
        <v>804</v>
      </c>
      <c r="E538" t="str">
        <f>IF(OR(C538="Transaction",C538="Interests",C538="Misc",C538="Account Transfer"), IF(C538="Transaction", IF(B538&lt;0, "Du no", "Da thanh toan"), IF(C538="Interests", "Lai", IF(C538="Misc", "Phi", IF(C538="Account Transfer", IF(OR(ISNUMBER(SEARCH("Trich lai tra gop the TD", D538)), ISNUMBER(SEARCH("Chuyen lai tra gop con lai sang du no thong thuong khi BadDebt", D538))), IF(B538&lt;0, "Lai tra gop", ""), "" )))))) &amp; " " &amp; IF(C538="Interests", TEXT(EDATE(IF(DAY(A538)&gt;=24, A538, EDATE(A538,-1)), -1),"yyyy-mm"), TEXT(IF(DAY(A538)&gt;=24, A538, EDATE(A538,-1)),"yyyy-mm"))</f>
        <v>Du no 2020-09</v>
      </c>
      <c r="F538">
        <f>IF(ISNUMBER(B538), ROUND(SUMIFS($B$2:$B$10000, $E$2:$E$10000, E538, $B$2:$B$10000, IF(B538&lt;0, "&lt;0", "&gt;0")), 0), "")</f>
        <v>-12667308</v>
      </c>
      <c r="G538" t="str">
        <f>IF(F538&gt;0, IF(C538="Transaction", "Da thanh toan", "Duong"), IF(F538&lt;0, IF(C538="Transaction", "Du no", IF(C538="Interests", "Lai phat sinh", IF(C538="Misc", "Phi", IF(C538="Account Transfer", "Lai tra gop", "Am")))), "Bang 0"))</f>
        <v>Du no</v>
      </c>
    </row>
    <row r="539" spans="1:7" x14ac:dyDescent="0.3">
      <c r="A539" s="60">
        <v>44123</v>
      </c>
      <c r="B539" s="33">
        <v>-2000000</v>
      </c>
      <c r="C539" t="s">
        <v>51</v>
      </c>
      <c r="D539" t="s">
        <v>804</v>
      </c>
      <c r="E539" t="str">
        <f>IF(OR(C539="Transaction",C539="Interests",C539="Misc",C539="Account Transfer"), IF(C539="Transaction", IF(B539&lt;0, "Du no", "Da thanh toan"), IF(C539="Interests", "Lai", IF(C539="Misc", "Phi", IF(C539="Account Transfer", IF(OR(ISNUMBER(SEARCH("Trich lai tra gop the TD", D539)), ISNUMBER(SEARCH("Chuyen lai tra gop con lai sang du no thong thuong khi BadDebt", D539))), IF(B539&lt;0, "Lai tra gop", ""), "" )))))) &amp; " " &amp; IF(C539="Interests", TEXT(EDATE(IF(DAY(A539)&gt;=24, A539, EDATE(A539,-1)), -1),"yyyy-mm"), TEXT(IF(DAY(A539)&gt;=24, A539, EDATE(A539,-1)),"yyyy-mm"))</f>
        <v>Du no 2020-09</v>
      </c>
      <c r="F539">
        <f>IF(ISNUMBER(B539), ROUND(SUMIFS($B$2:$B$10000, $E$2:$E$10000, E539, $B$2:$B$10000, IF(B539&lt;0, "&lt;0", "&gt;0")), 0), "")</f>
        <v>-12667308</v>
      </c>
      <c r="G539" t="str">
        <f>IF(F539&gt;0, IF(C539="Transaction", "Da thanh toan", "Duong"), IF(F539&lt;0, IF(C539="Transaction", "Du no", IF(C539="Interests", "Lai phat sinh", IF(C539="Misc", "Phi", IF(C539="Account Transfer", "Lai tra gop", "Am")))), "Bang 0"))</f>
        <v>Du no</v>
      </c>
    </row>
    <row r="540" spans="1:7" x14ac:dyDescent="0.3">
      <c r="A540" s="60">
        <v>44123</v>
      </c>
      <c r="B540" s="33">
        <v>-2000000</v>
      </c>
      <c r="C540" t="s">
        <v>51</v>
      </c>
      <c r="D540" t="s">
        <v>804</v>
      </c>
      <c r="E540" t="str">
        <f>IF(OR(C540="Transaction",C540="Interests",C540="Misc",C540="Account Transfer"), IF(C540="Transaction", IF(B540&lt;0, "Du no", "Da thanh toan"), IF(C540="Interests", "Lai", IF(C540="Misc", "Phi", IF(C540="Account Transfer", IF(OR(ISNUMBER(SEARCH("Trich lai tra gop the TD", D540)), ISNUMBER(SEARCH("Chuyen lai tra gop con lai sang du no thong thuong khi BadDebt", D540))), IF(B540&lt;0, "Lai tra gop", ""), "" )))))) &amp; " " &amp; IF(C540="Interests", TEXT(EDATE(IF(DAY(A540)&gt;=24, A540, EDATE(A540,-1)), -1),"yyyy-mm"), TEXT(IF(DAY(A540)&gt;=24, A540, EDATE(A540,-1)),"yyyy-mm"))</f>
        <v>Du no 2020-09</v>
      </c>
      <c r="F540">
        <f>IF(ISNUMBER(B540), ROUND(SUMIFS($B$2:$B$10000, $E$2:$E$10000, E540, $B$2:$B$10000, IF(B540&lt;0, "&lt;0", "&gt;0")), 0), "")</f>
        <v>-12667308</v>
      </c>
      <c r="G540" t="str">
        <f>IF(F540&gt;0, IF(C540="Transaction", "Da thanh toan", "Duong"), IF(F540&lt;0, IF(C540="Transaction", "Du no", IF(C540="Interests", "Lai phat sinh", IF(C540="Misc", "Phi", IF(C540="Account Transfer", "Lai tra gop", "Am")))), "Bang 0"))</f>
        <v>Du no</v>
      </c>
    </row>
    <row r="541" spans="1:7" x14ac:dyDescent="0.3">
      <c r="A541" s="60">
        <v>44123</v>
      </c>
      <c r="B541" s="33">
        <v>-2000000</v>
      </c>
      <c r="C541" t="s">
        <v>51</v>
      </c>
      <c r="D541" t="s">
        <v>804</v>
      </c>
      <c r="E541" t="str">
        <f>IF(OR(C541="Transaction",C541="Interests",C541="Misc",C541="Account Transfer"), IF(C541="Transaction", IF(B541&lt;0, "Du no", "Da thanh toan"), IF(C541="Interests", "Lai", IF(C541="Misc", "Phi", IF(C541="Account Transfer", IF(OR(ISNUMBER(SEARCH("Trich lai tra gop the TD", D541)), ISNUMBER(SEARCH("Chuyen lai tra gop con lai sang du no thong thuong khi BadDebt", D541))), IF(B541&lt;0, "Lai tra gop", ""), "" )))))) &amp; " " &amp; IF(C541="Interests", TEXT(EDATE(IF(DAY(A541)&gt;=24, A541, EDATE(A541,-1)), -1),"yyyy-mm"), TEXT(IF(DAY(A541)&gt;=24, A541, EDATE(A541,-1)),"yyyy-mm"))</f>
        <v>Du no 2020-09</v>
      </c>
      <c r="F541">
        <f>IF(ISNUMBER(B541), ROUND(SUMIFS($B$2:$B$10000, $E$2:$E$10000, E541, $B$2:$B$10000, IF(B541&lt;0, "&lt;0", "&gt;0")), 0), "")</f>
        <v>-12667308</v>
      </c>
      <c r="G541" t="str">
        <f>IF(F541&gt;0, IF(C541="Transaction", "Da thanh toan", "Duong"), IF(F541&lt;0, IF(C541="Transaction", "Du no", IF(C541="Interests", "Lai phat sinh", IF(C541="Misc", "Phi", IF(C541="Account Transfer", "Lai tra gop", "Am")))), "Bang 0"))</f>
        <v>Du no</v>
      </c>
    </row>
    <row r="542" spans="1:7" x14ac:dyDescent="0.3">
      <c r="A542" s="60">
        <v>44123</v>
      </c>
      <c r="B542" s="33">
        <v>-100000</v>
      </c>
      <c r="C542" t="s">
        <v>51</v>
      </c>
      <c r="D542" t="s">
        <v>804</v>
      </c>
      <c r="E542" t="str">
        <f>IF(OR(C542="Transaction",C542="Interests",C542="Misc",C542="Account Transfer"), IF(C542="Transaction", IF(B542&lt;0, "Du no", "Da thanh toan"), IF(C542="Interests", "Lai", IF(C542="Misc", "Phi", IF(C542="Account Transfer", IF(OR(ISNUMBER(SEARCH("Trich lai tra gop the TD", D542)), ISNUMBER(SEARCH("Chuyen lai tra gop con lai sang du no thong thuong khi BadDebt", D542))), IF(B542&lt;0, "Lai tra gop", ""), "" )))))) &amp; " " &amp; IF(C542="Interests", TEXT(EDATE(IF(DAY(A542)&gt;=24, A542, EDATE(A542,-1)), -1),"yyyy-mm"), TEXT(IF(DAY(A542)&gt;=24, A542, EDATE(A542,-1)),"yyyy-mm"))</f>
        <v>Du no 2020-09</v>
      </c>
      <c r="F542">
        <f>IF(ISNUMBER(B542), ROUND(SUMIFS($B$2:$B$10000, $E$2:$E$10000, E542, $B$2:$B$10000, IF(B542&lt;0, "&lt;0", "&gt;0")), 0), "")</f>
        <v>-12667308</v>
      </c>
      <c r="G542" t="str">
        <f>IF(F542&gt;0, IF(C542="Transaction", "Da thanh toan", "Duong"), IF(F542&lt;0, IF(C542="Transaction", "Du no", IF(C542="Interests", "Lai phat sinh", IF(C542="Misc", "Phi", IF(C542="Account Transfer", "Lai tra gop", "Am")))), "Bang 0"))</f>
        <v>Du no</v>
      </c>
    </row>
    <row r="543" spans="1:7" x14ac:dyDescent="0.3">
      <c r="A543" s="60">
        <v>44123</v>
      </c>
      <c r="B543" s="33">
        <v>-10000</v>
      </c>
      <c r="C543" t="s">
        <v>51</v>
      </c>
      <c r="D543" t="s">
        <v>804</v>
      </c>
      <c r="E543" t="str">
        <f>IF(OR(C543="Transaction",C543="Interests",C543="Misc",C543="Account Transfer"), IF(C543="Transaction", IF(B543&lt;0, "Du no", "Da thanh toan"), IF(C543="Interests", "Lai", IF(C543="Misc", "Phi", IF(C543="Account Transfer", IF(OR(ISNUMBER(SEARCH("Trich lai tra gop the TD", D543)), ISNUMBER(SEARCH("Chuyen lai tra gop con lai sang du no thong thuong khi BadDebt", D543))), IF(B543&lt;0, "Lai tra gop", ""), "" )))))) &amp; " " &amp; IF(C543="Interests", TEXT(EDATE(IF(DAY(A543)&gt;=24, A543, EDATE(A543,-1)), -1),"yyyy-mm"), TEXT(IF(DAY(A543)&gt;=24, A543, EDATE(A543,-1)),"yyyy-mm"))</f>
        <v>Du no 2020-09</v>
      </c>
      <c r="F543">
        <f>IF(ISNUMBER(B543), ROUND(SUMIFS($B$2:$B$10000, $E$2:$E$10000, E543, $B$2:$B$10000, IF(B543&lt;0, "&lt;0", "&gt;0")), 0), "")</f>
        <v>-12667308</v>
      </c>
      <c r="G543" t="str">
        <f>IF(F543&gt;0, IF(C543="Transaction", "Da thanh toan", "Duong"), IF(F543&lt;0, IF(C543="Transaction", "Du no", IF(C543="Interests", "Lai phat sinh", IF(C543="Misc", "Phi", IF(C543="Account Transfer", "Lai tra gop", "Am")))), "Bang 0"))</f>
        <v>Du no</v>
      </c>
    </row>
    <row r="544" spans="1:7" x14ac:dyDescent="0.3">
      <c r="A544" s="60">
        <v>44123</v>
      </c>
      <c r="B544" s="33">
        <v>-100000</v>
      </c>
      <c r="C544" t="s">
        <v>51</v>
      </c>
      <c r="D544" t="s">
        <v>804</v>
      </c>
      <c r="E544" t="str">
        <f>IF(OR(C544="Transaction",C544="Interests",C544="Misc",C544="Account Transfer"), IF(C544="Transaction", IF(B544&lt;0, "Du no", "Da thanh toan"), IF(C544="Interests", "Lai", IF(C544="Misc", "Phi", IF(C544="Account Transfer", IF(OR(ISNUMBER(SEARCH("Trich lai tra gop the TD", D544)), ISNUMBER(SEARCH("Chuyen lai tra gop con lai sang du no thong thuong khi BadDebt", D544))), IF(B544&lt;0, "Lai tra gop", ""), "" )))))) &amp; " " &amp; IF(C544="Interests", TEXT(EDATE(IF(DAY(A544)&gt;=24, A544, EDATE(A544,-1)), -1),"yyyy-mm"), TEXT(IF(DAY(A544)&gt;=24, A544, EDATE(A544,-1)),"yyyy-mm"))</f>
        <v>Du no 2020-09</v>
      </c>
      <c r="F544">
        <f>IF(ISNUMBER(B544), ROUND(SUMIFS($B$2:$B$10000, $E$2:$E$10000, E544, $B$2:$B$10000, IF(B544&lt;0, "&lt;0", "&gt;0")), 0), "")</f>
        <v>-12667308</v>
      </c>
      <c r="G544" t="str">
        <f>IF(F544&gt;0, IF(C544="Transaction", "Da thanh toan", "Duong"), IF(F544&lt;0, IF(C544="Transaction", "Du no", IF(C544="Interests", "Lai phat sinh", IF(C544="Misc", "Phi", IF(C544="Account Transfer", "Lai tra gop", "Am")))), "Bang 0"))</f>
        <v>Du no</v>
      </c>
    </row>
    <row r="545" spans="1:7" x14ac:dyDescent="0.3">
      <c r="A545" s="60">
        <v>44123</v>
      </c>
      <c r="B545" s="33">
        <v>-10000</v>
      </c>
      <c r="C545" t="s">
        <v>51</v>
      </c>
      <c r="D545" t="s">
        <v>804</v>
      </c>
      <c r="E545" t="str">
        <f>IF(OR(C545="Transaction",C545="Interests",C545="Misc",C545="Account Transfer"), IF(C545="Transaction", IF(B545&lt;0, "Du no", "Da thanh toan"), IF(C545="Interests", "Lai", IF(C545="Misc", "Phi", IF(C545="Account Transfer", IF(OR(ISNUMBER(SEARCH("Trich lai tra gop the TD", D545)), ISNUMBER(SEARCH("Chuyen lai tra gop con lai sang du no thong thuong khi BadDebt", D545))), IF(B545&lt;0, "Lai tra gop", ""), "" )))))) &amp; " " &amp; IF(C545="Interests", TEXT(EDATE(IF(DAY(A545)&gt;=24, A545, EDATE(A545,-1)), -1),"yyyy-mm"), TEXT(IF(DAY(A545)&gt;=24, A545, EDATE(A545,-1)),"yyyy-mm"))</f>
        <v>Du no 2020-09</v>
      </c>
      <c r="F545">
        <f>IF(ISNUMBER(B545), ROUND(SUMIFS($B$2:$B$10000, $E$2:$E$10000, E545, $B$2:$B$10000, IF(B545&lt;0, "&lt;0", "&gt;0")), 0), "")</f>
        <v>-12667308</v>
      </c>
      <c r="G545" t="str">
        <f>IF(F545&gt;0, IF(C545="Transaction", "Da thanh toan", "Duong"), IF(F545&lt;0, IF(C545="Transaction", "Du no", IF(C545="Interests", "Lai phat sinh", IF(C545="Misc", "Phi", IF(C545="Account Transfer", "Lai tra gop", "Am")))), "Bang 0"))</f>
        <v>Du no</v>
      </c>
    </row>
    <row r="546" spans="1:7" x14ac:dyDescent="0.3">
      <c r="A546" s="60">
        <v>44123</v>
      </c>
      <c r="B546" s="33">
        <v>-100000</v>
      </c>
      <c r="C546" t="s">
        <v>51</v>
      </c>
      <c r="D546" t="s">
        <v>804</v>
      </c>
      <c r="E546" t="str">
        <f>IF(OR(C546="Transaction",C546="Interests",C546="Misc",C546="Account Transfer"), IF(C546="Transaction", IF(B546&lt;0, "Du no", "Da thanh toan"), IF(C546="Interests", "Lai", IF(C546="Misc", "Phi", IF(C546="Account Transfer", IF(OR(ISNUMBER(SEARCH("Trich lai tra gop the TD", D546)), ISNUMBER(SEARCH("Chuyen lai tra gop con lai sang du no thong thuong khi BadDebt", D546))), IF(B546&lt;0, "Lai tra gop", ""), "" )))))) &amp; " " &amp; IF(C546="Interests", TEXT(EDATE(IF(DAY(A546)&gt;=24, A546, EDATE(A546,-1)), -1),"yyyy-mm"), TEXT(IF(DAY(A546)&gt;=24, A546, EDATE(A546,-1)),"yyyy-mm"))</f>
        <v>Du no 2020-09</v>
      </c>
      <c r="F546">
        <f>IF(ISNUMBER(B546), ROUND(SUMIFS($B$2:$B$10000, $E$2:$E$10000, E546, $B$2:$B$10000, IF(B546&lt;0, "&lt;0", "&gt;0")), 0), "")</f>
        <v>-12667308</v>
      </c>
      <c r="G546" t="str">
        <f>IF(F546&gt;0, IF(C546="Transaction", "Da thanh toan", "Duong"), IF(F546&lt;0, IF(C546="Transaction", "Du no", IF(C546="Interests", "Lai phat sinh", IF(C546="Misc", "Phi", IF(C546="Account Transfer", "Lai tra gop", "Am")))), "Bang 0"))</f>
        <v>Du no</v>
      </c>
    </row>
    <row r="547" spans="1:7" x14ac:dyDescent="0.3">
      <c r="A547" s="60">
        <v>44123</v>
      </c>
      <c r="B547" s="33">
        <v>-10000</v>
      </c>
      <c r="C547" t="s">
        <v>51</v>
      </c>
      <c r="D547" t="s">
        <v>804</v>
      </c>
      <c r="E547" t="str">
        <f>IF(OR(C547="Transaction",C547="Interests",C547="Misc",C547="Account Transfer"), IF(C547="Transaction", IF(B547&lt;0, "Du no", "Da thanh toan"), IF(C547="Interests", "Lai", IF(C547="Misc", "Phi", IF(C547="Account Transfer", IF(OR(ISNUMBER(SEARCH("Trich lai tra gop the TD", D547)), ISNUMBER(SEARCH("Chuyen lai tra gop con lai sang du no thong thuong khi BadDebt", D547))), IF(B547&lt;0, "Lai tra gop", ""), "" )))))) &amp; " " &amp; IF(C547="Interests", TEXT(EDATE(IF(DAY(A547)&gt;=24, A547, EDATE(A547,-1)), -1),"yyyy-mm"), TEXT(IF(DAY(A547)&gt;=24, A547, EDATE(A547,-1)),"yyyy-mm"))</f>
        <v>Du no 2020-09</v>
      </c>
      <c r="F547">
        <f>IF(ISNUMBER(B547), ROUND(SUMIFS($B$2:$B$10000, $E$2:$E$10000, E547, $B$2:$B$10000, IF(B547&lt;0, "&lt;0", "&gt;0")), 0), "")</f>
        <v>-12667308</v>
      </c>
      <c r="G547" t="str">
        <f>IF(F547&gt;0, IF(C547="Transaction", "Da thanh toan", "Duong"), IF(F547&lt;0, IF(C547="Transaction", "Du no", IF(C547="Interests", "Lai phat sinh", IF(C547="Misc", "Phi", IF(C547="Account Transfer", "Lai tra gop", "Am")))), "Bang 0"))</f>
        <v>Du no</v>
      </c>
    </row>
    <row r="548" spans="1:7" x14ac:dyDescent="0.3">
      <c r="A548" s="60">
        <v>44123</v>
      </c>
      <c r="B548" s="33">
        <v>-100000</v>
      </c>
      <c r="C548" t="s">
        <v>51</v>
      </c>
      <c r="D548" t="s">
        <v>804</v>
      </c>
      <c r="E548" t="str">
        <f>IF(OR(C548="Transaction",C548="Interests",C548="Misc",C548="Account Transfer"), IF(C548="Transaction", IF(B548&lt;0, "Du no", "Da thanh toan"), IF(C548="Interests", "Lai", IF(C548="Misc", "Phi", IF(C548="Account Transfer", IF(OR(ISNUMBER(SEARCH("Trich lai tra gop the TD", D548)), ISNUMBER(SEARCH("Chuyen lai tra gop con lai sang du no thong thuong khi BadDebt", D548))), IF(B548&lt;0, "Lai tra gop", ""), "" )))))) &amp; " " &amp; IF(C548="Interests", TEXT(EDATE(IF(DAY(A548)&gt;=24, A548, EDATE(A548,-1)), -1),"yyyy-mm"), TEXT(IF(DAY(A548)&gt;=24, A548, EDATE(A548,-1)),"yyyy-mm"))</f>
        <v>Du no 2020-09</v>
      </c>
      <c r="F548">
        <f>IF(ISNUMBER(B548), ROUND(SUMIFS($B$2:$B$10000, $E$2:$E$10000, E548, $B$2:$B$10000, IF(B548&lt;0, "&lt;0", "&gt;0")), 0), "")</f>
        <v>-12667308</v>
      </c>
      <c r="G548" t="str">
        <f>IF(F548&gt;0, IF(C548="Transaction", "Da thanh toan", "Duong"), IF(F548&lt;0, IF(C548="Transaction", "Du no", IF(C548="Interests", "Lai phat sinh", IF(C548="Misc", "Phi", IF(C548="Account Transfer", "Lai tra gop", "Am")))), "Bang 0"))</f>
        <v>Du no</v>
      </c>
    </row>
    <row r="549" spans="1:7" x14ac:dyDescent="0.3">
      <c r="A549" s="60">
        <v>44123</v>
      </c>
      <c r="B549" s="33">
        <v>-10000</v>
      </c>
      <c r="C549" t="s">
        <v>51</v>
      </c>
      <c r="D549" t="s">
        <v>804</v>
      </c>
      <c r="E549" t="str">
        <f>IF(OR(C549="Transaction",C549="Interests",C549="Misc",C549="Account Transfer"), IF(C549="Transaction", IF(B549&lt;0, "Du no", "Da thanh toan"), IF(C549="Interests", "Lai", IF(C549="Misc", "Phi", IF(C549="Account Transfer", IF(OR(ISNUMBER(SEARCH("Trich lai tra gop the TD", D549)), ISNUMBER(SEARCH("Chuyen lai tra gop con lai sang du no thong thuong khi BadDebt", D549))), IF(B549&lt;0, "Lai tra gop", ""), "" )))))) &amp; " " &amp; IF(C549="Interests", TEXT(EDATE(IF(DAY(A549)&gt;=24, A549, EDATE(A549,-1)), -1),"yyyy-mm"), TEXT(IF(DAY(A549)&gt;=24, A549, EDATE(A549,-1)),"yyyy-mm"))</f>
        <v>Du no 2020-09</v>
      </c>
      <c r="F549">
        <f>IF(ISNUMBER(B549), ROUND(SUMIFS($B$2:$B$10000, $E$2:$E$10000, E549, $B$2:$B$10000, IF(B549&lt;0, "&lt;0", "&gt;0")), 0), "")</f>
        <v>-12667308</v>
      </c>
      <c r="G549" t="str">
        <f>IF(F549&gt;0, IF(C549="Transaction", "Da thanh toan", "Duong"), IF(F549&lt;0, IF(C549="Transaction", "Du no", IF(C549="Interests", "Lai phat sinh", IF(C549="Misc", "Phi", IF(C549="Account Transfer", "Lai tra gop", "Am")))), "Bang 0"))</f>
        <v>Du no</v>
      </c>
    </row>
    <row r="550" spans="1:7" x14ac:dyDescent="0.3">
      <c r="A550" s="60">
        <v>44123</v>
      </c>
      <c r="B550" s="33">
        <v>-100000</v>
      </c>
      <c r="C550" t="s">
        <v>51</v>
      </c>
      <c r="D550" t="s">
        <v>804</v>
      </c>
      <c r="E550" t="str">
        <f>IF(OR(C550="Transaction",C550="Interests",C550="Misc",C550="Account Transfer"), IF(C550="Transaction", IF(B550&lt;0, "Du no", "Da thanh toan"), IF(C550="Interests", "Lai", IF(C550="Misc", "Phi", IF(C550="Account Transfer", IF(OR(ISNUMBER(SEARCH("Trich lai tra gop the TD", D550)), ISNUMBER(SEARCH("Chuyen lai tra gop con lai sang du no thong thuong khi BadDebt", D550))), IF(B550&lt;0, "Lai tra gop", ""), "" )))))) &amp; " " &amp; IF(C550="Interests", TEXT(EDATE(IF(DAY(A550)&gt;=24, A550, EDATE(A550,-1)), -1),"yyyy-mm"), TEXT(IF(DAY(A550)&gt;=24, A550, EDATE(A550,-1)),"yyyy-mm"))</f>
        <v>Du no 2020-09</v>
      </c>
      <c r="F550">
        <f>IF(ISNUMBER(B550), ROUND(SUMIFS($B$2:$B$10000, $E$2:$E$10000, E550, $B$2:$B$10000, IF(B550&lt;0, "&lt;0", "&gt;0")), 0), "")</f>
        <v>-12667308</v>
      </c>
      <c r="G550" t="str">
        <f>IF(F550&gt;0, IF(C550="Transaction", "Da thanh toan", "Duong"), IF(F550&lt;0, IF(C550="Transaction", "Du no", IF(C550="Interests", "Lai phat sinh", IF(C550="Misc", "Phi", IF(C550="Account Transfer", "Lai tra gop", "Am")))), "Bang 0"))</f>
        <v>Du no</v>
      </c>
    </row>
    <row r="551" spans="1:7" x14ac:dyDescent="0.3">
      <c r="A551" s="60">
        <v>44123</v>
      </c>
      <c r="B551" s="33">
        <v>-10000</v>
      </c>
      <c r="C551" t="s">
        <v>51</v>
      </c>
      <c r="D551" t="s">
        <v>804</v>
      </c>
      <c r="E551" t="str">
        <f>IF(OR(C551="Transaction",C551="Interests",C551="Misc",C551="Account Transfer"), IF(C551="Transaction", IF(B551&lt;0, "Du no", "Da thanh toan"), IF(C551="Interests", "Lai", IF(C551="Misc", "Phi", IF(C551="Account Transfer", IF(OR(ISNUMBER(SEARCH("Trich lai tra gop the TD", D551)), ISNUMBER(SEARCH("Chuyen lai tra gop con lai sang du no thong thuong khi BadDebt", D551))), IF(B551&lt;0, "Lai tra gop", ""), "" )))))) &amp; " " &amp; IF(C551="Interests", TEXT(EDATE(IF(DAY(A551)&gt;=24, A551, EDATE(A551,-1)), -1),"yyyy-mm"), TEXT(IF(DAY(A551)&gt;=24, A551, EDATE(A551,-1)),"yyyy-mm"))</f>
        <v>Du no 2020-09</v>
      </c>
      <c r="F551">
        <f>IF(ISNUMBER(B551), ROUND(SUMIFS($B$2:$B$10000, $E$2:$E$10000, E551, $B$2:$B$10000, IF(B551&lt;0, "&lt;0", "&gt;0")), 0), "")</f>
        <v>-12667308</v>
      </c>
      <c r="G551" t="str">
        <f>IF(F551&gt;0, IF(C551="Transaction", "Da thanh toan", "Duong"), IF(F551&lt;0, IF(C551="Transaction", "Du no", IF(C551="Interests", "Lai phat sinh", IF(C551="Misc", "Phi", IF(C551="Account Transfer", "Lai tra gop", "Am")))), "Bang 0"))</f>
        <v>Du no</v>
      </c>
    </row>
    <row r="552" spans="1:7" x14ac:dyDescent="0.3">
      <c r="A552" s="60">
        <v>44118</v>
      </c>
      <c r="B552" s="33">
        <v>-2000000</v>
      </c>
      <c r="C552" t="s">
        <v>51</v>
      </c>
      <c r="D552" t="s">
        <v>805</v>
      </c>
      <c r="E552" t="str">
        <f>IF(OR(C552="Transaction",C552="Interests",C552="Misc",C552="Account Transfer"), IF(C552="Transaction", IF(B552&lt;0, "Du no", "Da thanh toan"), IF(C552="Interests", "Lai", IF(C552="Misc", "Phi", IF(C552="Account Transfer", IF(OR(ISNUMBER(SEARCH("Trich lai tra gop the TD", D552)), ISNUMBER(SEARCH("Chuyen lai tra gop con lai sang du no thong thuong khi BadDebt", D552))), IF(B552&lt;0, "Lai tra gop", ""), "" )))))) &amp; " " &amp; IF(C552="Interests", TEXT(EDATE(IF(DAY(A552)&gt;=24, A552, EDATE(A552,-1)), -1),"yyyy-mm"), TEXT(IF(DAY(A552)&gt;=24, A552, EDATE(A552,-1)),"yyyy-mm"))</f>
        <v>Du no 2020-09</v>
      </c>
      <c r="F552">
        <f>IF(ISNUMBER(B552), ROUND(SUMIFS($B$2:$B$10000, $E$2:$E$10000, E552, $B$2:$B$10000, IF(B552&lt;0, "&lt;0", "&gt;0")), 0), "")</f>
        <v>-12667308</v>
      </c>
      <c r="G552" t="str">
        <f>IF(F552&gt;0, IF(C552="Transaction", "Da thanh toan", "Duong"), IF(F552&lt;0, IF(C552="Transaction", "Du no", IF(C552="Interests", "Lai phat sinh", IF(C552="Misc", "Phi", IF(C552="Account Transfer", "Lai tra gop", "Am")))), "Bang 0"))</f>
        <v>Du no</v>
      </c>
    </row>
    <row r="553" spans="1:7" x14ac:dyDescent="0.3">
      <c r="A553" s="60">
        <v>44118</v>
      </c>
      <c r="B553" s="33">
        <v>-100000</v>
      </c>
      <c r="C553" t="s">
        <v>51</v>
      </c>
      <c r="D553" t="s">
        <v>805</v>
      </c>
      <c r="E553" t="str">
        <f>IF(OR(C553="Transaction",C553="Interests",C553="Misc",C553="Account Transfer"), IF(C553="Transaction", IF(B553&lt;0, "Du no", "Da thanh toan"), IF(C553="Interests", "Lai", IF(C553="Misc", "Phi", IF(C553="Account Transfer", IF(OR(ISNUMBER(SEARCH("Trich lai tra gop the TD", D553)), ISNUMBER(SEARCH("Chuyen lai tra gop con lai sang du no thong thuong khi BadDebt", D553))), IF(B553&lt;0, "Lai tra gop", ""), "" )))))) &amp; " " &amp; IF(C553="Interests", TEXT(EDATE(IF(DAY(A553)&gt;=24, A553, EDATE(A553,-1)), -1),"yyyy-mm"), TEXT(IF(DAY(A553)&gt;=24, A553, EDATE(A553,-1)),"yyyy-mm"))</f>
        <v>Du no 2020-09</v>
      </c>
      <c r="F553">
        <f>IF(ISNUMBER(B553), ROUND(SUMIFS($B$2:$B$10000, $E$2:$E$10000, E553, $B$2:$B$10000, IF(B553&lt;0, "&lt;0", "&gt;0")), 0), "")</f>
        <v>-12667308</v>
      </c>
      <c r="G553" t="str">
        <f>IF(F553&gt;0, IF(C553="Transaction", "Da thanh toan", "Duong"), IF(F553&lt;0, IF(C553="Transaction", "Du no", IF(C553="Interests", "Lai phat sinh", IF(C553="Misc", "Phi", IF(C553="Account Transfer", "Lai tra gop", "Am")))), "Bang 0"))</f>
        <v>Du no</v>
      </c>
    </row>
    <row r="554" spans="1:7" x14ac:dyDescent="0.3">
      <c r="A554" s="60">
        <v>44118</v>
      </c>
      <c r="B554" s="33">
        <v>-10000</v>
      </c>
      <c r="C554" t="s">
        <v>51</v>
      </c>
      <c r="D554" t="s">
        <v>805</v>
      </c>
      <c r="E554" t="str">
        <f>IF(OR(C554="Transaction",C554="Interests",C554="Misc",C554="Account Transfer"), IF(C554="Transaction", IF(B554&lt;0, "Du no", "Da thanh toan"), IF(C554="Interests", "Lai", IF(C554="Misc", "Phi", IF(C554="Account Transfer", IF(OR(ISNUMBER(SEARCH("Trich lai tra gop the TD", D554)), ISNUMBER(SEARCH("Chuyen lai tra gop con lai sang du no thong thuong khi BadDebt", D554))), IF(B554&lt;0, "Lai tra gop", ""), "" )))))) &amp; " " &amp; IF(C554="Interests", TEXT(EDATE(IF(DAY(A554)&gt;=24, A554, EDATE(A554,-1)), -1),"yyyy-mm"), TEXT(IF(DAY(A554)&gt;=24, A554, EDATE(A554,-1)),"yyyy-mm"))</f>
        <v>Du no 2020-09</v>
      </c>
      <c r="F554">
        <f>IF(ISNUMBER(B554), ROUND(SUMIFS($B$2:$B$10000, $E$2:$E$10000, E554, $B$2:$B$10000, IF(B554&lt;0, "&lt;0", "&gt;0")), 0), "")</f>
        <v>-12667308</v>
      </c>
      <c r="G554" t="str">
        <f>IF(F554&gt;0, IF(C554="Transaction", "Da thanh toan", "Duong"), IF(F554&lt;0, IF(C554="Transaction", "Du no", IF(C554="Interests", "Lai phat sinh", IF(C554="Misc", "Phi", IF(C554="Account Transfer", "Lai tra gop", "Am")))), "Bang 0"))</f>
        <v>Du no</v>
      </c>
    </row>
    <row r="555" spans="1:7" x14ac:dyDescent="0.3">
      <c r="A555" s="60">
        <v>44106</v>
      </c>
      <c r="B555" s="33">
        <v>-7308</v>
      </c>
      <c r="C555" t="s">
        <v>51</v>
      </c>
      <c r="D555" t="s">
        <v>806</v>
      </c>
      <c r="E555" t="str">
        <f>IF(OR(C555="Transaction",C555="Interests",C555="Misc",C555="Account Transfer"), IF(C555="Transaction", IF(B555&lt;0, "Du no", "Da thanh toan"), IF(C555="Interests", "Lai", IF(C555="Misc", "Phi", IF(C555="Account Transfer", IF(OR(ISNUMBER(SEARCH("Trich lai tra gop the TD", D555)), ISNUMBER(SEARCH("Chuyen lai tra gop con lai sang du no thong thuong khi BadDebt", D555))), IF(B555&lt;0, "Lai tra gop", ""), "" )))))) &amp; " " &amp; IF(C555="Interests", TEXT(EDATE(IF(DAY(A555)&gt;=24, A555, EDATE(A555,-1)), -1),"yyyy-mm"), TEXT(IF(DAY(A555)&gt;=24, A555, EDATE(A555,-1)),"yyyy-mm"))</f>
        <v>Du no 2020-09</v>
      </c>
      <c r="F555">
        <f>IF(ISNUMBER(B555), ROUND(SUMIFS($B$2:$B$10000, $E$2:$E$10000, E555, $B$2:$B$10000, IF(B555&lt;0, "&lt;0", "&gt;0")), 0), "")</f>
        <v>-12667308</v>
      </c>
      <c r="G555" t="str">
        <f>IF(F555&gt;0, IF(C555="Transaction", "Da thanh toan", "Duong"), IF(F555&lt;0, IF(C555="Transaction", "Du no", IF(C555="Interests", "Lai phat sinh", IF(C555="Misc", "Phi", IF(C555="Account Transfer", "Lai tra gop", "Am")))), "Bang 0"))</f>
        <v>Du no</v>
      </c>
    </row>
    <row r="556" spans="1:7" x14ac:dyDescent="0.3">
      <c r="A556" s="60">
        <v>44104</v>
      </c>
      <c r="B556" s="33">
        <v>-450</v>
      </c>
      <c r="C556" t="s">
        <v>50</v>
      </c>
      <c r="E556" t="str">
        <f>IF(OR(C556="Transaction",C556="Interests",C556="Misc",C556="Account Transfer"), IF(C556="Transaction", IF(B556&lt;0, "Du no", "Da thanh toan"), IF(C556="Interests", "Lai", IF(C556="Misc", "Phi", IF(C556="Account Transfer", IF(OR(ISNUMBER(SEARCH("Trich lai tra gop the TD", D556)), ISNUMBER(SEARCH("Chuyen lai tra gop con lai sang du no thong thuong khi BadDebt", D556))), IF(B556&lt;0, "Lai tra gop", ""), "" )))))) &amp; " " &amp; IF(C556="Interests", TEXT(EDATE(IF(DAY(A556)&gt;=24, A556, EDATE(A556,-1)), -1),"yyyy-mm"), TEXT(IF(DAY(A556)&gt;=24, A556, EDATE(A556,-1)),"yyyy-mm"))</f>
        <v>Phi 2020-09</v>
      </c>
      <c r="F556">
        <f>IF(ISNUMBER(B556), ROUND(SUMIFS($B$2:$B$10000, $E$2:$E$10000, E556, $B$2:$B$10000, IF(B556&lt;0, "&lt;0", "&gt;0")), 0), "")</f>
        <v>-4950</v>
      </c>
      <c r="G556" t="str">
        <f>IF(F556&gt;0, IF(C556="Transaction", "Da thanh toan", "Duong"), IF(F556&lt;0, IF(C556="Transaction", "Du no", IF(C556="Interests", "Lai phat sinh", IF(C556="Misc", "Phi", IF(C556="Account Transfer", "Lai tra gop", "Am")))), "Bang 0"))</f>
        <v>Phi</v>
      </c>
    </row>
    <row r="557" spans="1:7" x14ac:dyDescent="0.3">
      <c r="A557" s="60">
        <v>44104</v>
      </c>
      <c r="B557" s="33">
        <v>-4500</v>
      </c>
      <c r="C557" t="s">
        <v>50</v>
      </c>
      <c r="E557" t="str">
        <f>IF(OR(C557="Transaction",C557="Interests",C557="Misc",C557="Account Transfer"), IF(C557="Transaction", IF(B557&lt;0, "Du no", "Da thanh toan"), IF(C557="Interests", "Lai", IF(C557="Misc", "Phi", IF(C557="Account Transfer", IF(OR(ISNUMBER(SEARCH("Trich lai tra gop the TD", D557)), ISNUMBER(SEARCH("Chuyen lai tra gop con lai sang du no thong thuong khi BadDebt", D557))), IF(B557&lt;0, "Lai tra gop", ""), "" )))))) &amp; " " &amp; IF(C557="Interests", TEXT(EDATE(IF(DAY(A557)&gt;=24, A557, EDATE(A557,-1)), -1),"yyyy-mm"), TEXT(IF(DAY(A557)&gt;=24, A557, EDATE(A557,-1)),"yyyy-mm"))</f>
        <v>Phi 2020-09</v>
      </c>
      <c r="F557">
        <f>IF(ISNUMBER(B557), ROUND(SUMIFS($B$2:$B$10000, $E$2:$E$10000, E557, $B$2:$B$10000, IF(B557&lt;0, "&lt;0", "&gt;0")), 0), "")</f>
        <v>-4950</v>
      </c>
      <c r="G557" t="str">
        <f>IF(F557&gt;0, IF(C557="Transaction", "Da thanh toan", "Duong"), IF(F557&lt;0, IF(C557="Transaction", "Du no", IF(C557="Interests", "Lai phat sinh", IF(C557="Misc", "Phi", IF(C557="Account Transfer", "Lai tra gop", "Am")))), "Bang 0"))</f>
        <v>Phi</v>
      </c>
    </row>
    <row r="558" spans="1:7" x14ac:dyDescent="0.3">
      <c r="A558" s="60">
        <v>44077</v>
      </c>
      <c r="B558" s="33">
        <v>-7308</v>
      </c>
      <c r="C558" t="s">
        <v>51</v>
      </c>
      <c r="D558" t="s">
        <v>807</v>
      </c>
      <c r="E558" t="str">
        <f>IF(OR(C558="Transaction",C558="Interests",C558="Misc",C558="Account Transfer"), IF(C558="Transaction", IF(B558&lt;0, "Du no", "Da thanh toan"), IF(C558="Interests", "Lai", IF(C558="Misc", "Phi", IF(C558="Account Transfer", IF(OR(ISNUMBER(SEARCH("Trich lai tra gop the TD", D558)), ISNUMBER(SEARCH("Chuyen lai tra gop con lai sang du no thong thuong khi BadDebt", D558))), IF(B558&lt;0, "Lai tra gop", ""), "" )))))) &amp; " " &amp; IF(C558="Interests", TEXT(EDATE(IF(DAY(A558)&gt;=24, A558, EDATE(A558,-1)), -1),"yyyy-mm"), TEXT(IF(DAY(A558)&gt;=24, A558, EDATE(A558,-1)),"yyyy-mm"))</f>
        <v>Du no 2020-08</v>
      </c>
      <c r="F558">
        <f>IF(ISNUMBER(B558), ROUND(SUMIFS($B$2:$B$10000, $E$2:$E$10000, E558, $B$2:$B$10000, IF(B558&lt;0, "&lt;0", "&gt;0")), 0), "")</f>
        <v>-7308</v>
      </c>
      <c r="G558" t="str">
        <f>IF(F558&gt;0, IF(C558="Transaction", "Da thanh toan", "Duong"), IF(F558&lt;0, IF(C558="Transaction", "Du no", IF(C558="Interests", "Lai phat sinh", IF(C558="Misc", "Phi", IF(C558="Account Transfer", "Lai tra gop", "Am")))), "Bang 0"))</f>
        <v>Du no</v>
      </c>
    </row>
    <row r="559" spans="1:7" x14ac:dyDescent="0.3">
      <c r="A559" s="60">
        <v>44071</v>
      </c>
      <c r="B559" s="33">
        <v>-450</v>
      </c>
      <c r="C559" t="s">
        <v>50</v>
      </c>
      <c r="E559" t="str">
        <f>IF(OR(C559="Transaction",C559="Interests",C559="Misc",C559="Account Transfer"), IF(C559="Transaction", IF(B559&lt;0, "Du no", "Da thanh toan"), IF(C559="Interests", "Lai", IF(C559="Misc", "Phi", IF(C559="Account Transfer", IF(OR(ISNUMBER(SEARCH("Trich lai tra gop the TD", D559)), ISNUMBER(SEARCH("Chuyen lai tra gop con lai sang du no thong thuong khi BadDebt", D559))), IF(B559&lt;0, "Lai tra gop", ""), "" )))))) &amp; " " &amp; IF(C559="Interests", TEXT(EDATE(IF(DAY(A559)&gt;=24, A559, EDATE(A559,-1)), -1),"yyyy-mm"), TEXT(IF(DAY(A559)&gt;=24, A559, EDATE(A559,-1)),"yyyy-mm"))</f>
        <v>Phi 2020-08</v>
      </c>
      <c r="F559">
        <f>IF(ISNUMBER(B559), ROUND(SUMIFS($B$2:$B$10000, $E$2:$E$10000, E559, $B$2:$B$10000, IF(B559&lt;0, "&lt;0", "&gt;0")), 0), "")</f>
        <v>-4950</v>
      </c>
      <c r="G559" t="str">
        <f>IF(F559&gt;0, IF(C559="Transaction", "Da thanh toan", "Duong"), IF(F559&lt;0, IF(C559="Transaction", "Du no", IF(C559="Interests", "Lai phat sinh", IF(C559="Misc", "Phi", IF(C559="Account Transfer", "Lai tra gop", "Am")))), "Bang 0"))</f>
        <v>Phi</v>
      </c>
    </row>
    <row r="560" spans="1:7" x14ac:dyDescent="0.3">
      <c r="A560" s="60">
        <v>44071</v>
      </c>
      <c r="B560" s="33">
        <v>-4500</v>
      </c>
      <c r="C560" t="s">
        <v>50</v>
      </c>
      <c r="E560" t="str">
        <f>IF(OR(C560="Transaction",C560="Interests",C560="Misc",C560="Account Transfer"), IF(C560="Transaction", IF(B560&lt;0, "Du no", "Da thanh toan"), IF(C560="Interests", "Lai", IF(C560="Misc", "Phi", IF(C560="Account Transfer", IF(OR(ISNUMBER(SEARCH("Trich lai tra gop the TD", D560)), ISNUMBER(SEARCH("Chuyen lai tra gop con lai sang du no thong thuong khi BadDebt", D560))), IF(B560&lt;0, "Lai tra gop", ""), "" )))))) &amp; " " &amp; IF(C560="Interests", TEXT(EDATE(IF(DAY(A560)&gt;=24, A560, EDATE(A560,-1)), -1),"yyyy-mm"), TEXT(IF(DAY(A560)&gt;=24, A560, EDATE(A560,-1)),"yyyy-mm"))</f>
        <v>Phi 2020-08</v>
      </c>
      <c r="F560">
        <f>IF(ISNUMBER(B560), ROUND(SUMIFS($B$2:$B$10000, $E$2:$E$10000, E560, $B$2:$B$10000, IF(B560&lt;0, "&lt;0", "&gt;0")), 0), "")</f>
        <v>-4950</v>
      </c>
      <c r="G560" t="str">
        <f>IF(F560&gt;0, IF(C560="Transaction", "Da thanh toan", "Duong"), IF(F560&lt;0, IF(C560="Transaction", "Du no", IF(C560="Interests", "Lai phat sinh", IF(C560="Misc", "Phi", IF(C560="Account Transfer", "Lai tra gop", "Am")))), "Bang 0"))</f>
        <v>Phi</v>
      </c>
    </row>
    <row r="561" spans="1:7" x14ac:dyDescent="0.3">
      <c r="A561" s="60">
        <v>44067</v>
      </c>
      <c r="B561" s="33">
        <v>-2819.1</v>
      </c>
      <c r="C561" t="s">
        <v>49</v>
      </c>
      <c r="E561" t="str">
        <f>IF(OR(C561="Transaction",C561="Interests",C561="Misc",C561="Account Transfer"), IF(C561="Transaction", IF(B561&lt;0, "Du no", "Da thanh toan"), IF(C561="Interests", "Lai", IF(C561="Misc", "Phi", IF(C561="Account Transfer", IF(OR(ISNUMBER(SEARCH("Trich lai tra gop the TD", D561)), ISNUMBER(SEARCH("Chuyen lai tra gop con lai sang du no thong thuong khi BadDebt", D561))), IF(B561&lt;0, "Lai tra gop", ""), "" )))))) &amp; " " &amp; IF(C561="Interests", TEXT(EDATE(IF(DAY(A561)&gt;=24, A561, EDATE(A561,-1)), -1),"yyyy-mm"), TEXT(IF(DAY(A561)&gt;=24, A561, EDATE(A561,-1)),"yyyy-mm"))</f>
        <v>Lai 2020-07</v>
      </c>
      <c r="F561">
        <f>IF(ISNUMBER(B561), ROUND(SUMIFS($B$2:$B$10000, $E$2:$E$10000, E561, $B$2:$B$10000, IF(B561&lt;0, "&lt;0", "&gt;0")), 0), "")</f>
        <v>-111482</v>
      </c>
      <c r="G561" t="str">
        <f>IF(F561&gt;0, IF(C561="Transaction", "Da thanh toan", "Duong"), IF(F561&lt;0, IF(C561="Transaction", "Du no", IF(C561="Interests", "Lai phat sinh", IF(C561="Misc", "Phi", IF(C561="Account Transfer", "Lai tra gop", "Am")))), "Bang 0"))</f>
        <v>Lai phat sinh</v>
      </c>
    </row>
    <row r="562" spans="1:7" x14ac:dyDescent="0.3">
      <c r="A562" s="60">
        <v>44067</v>
      </c>
      <c r="B562" s="33">
        <v>-2711.71</v>
      </c>
      <c r="C562" t="s">
        <v>49</v>
      </c>
      <c r="E562" t="str">
        <f>IF(OR(C562="Transaction",C562="Interests",C562="Misc",C562="Account Transfer"), IF(C562="Transaction", IF(B562&lt;0, "Du no", "Da thanh toan"), IF(C562="Interests", "Lai", IF(C562="Misc", "Phi", IF(C562="Account Transfer", IF(OR(ISNUMBER(SEARCH("Trich lai tra gop the TD", D562)), ISNUMBER(SEARCH("Chuyen lai tra gop con lai sang du no thong thuong khi BadDebt", D562))), IF(B562&lt;0, "Lai tra gop", ""), "" )))))) &amp; " " &amp; IF(C562="Interests", TEXT(EDATE(IF(DAY(A562)&gt;=24, A562, EDATE(A562,-1)), -1),"yyyy-mm"), TEXT(IF(DAY(A562)&gt;=24, A562, EDATE(A562,-1)),"yyyy-mm"))</f>
        <v>Lai 2020-07</v>
      </c>
      <c r="F562">
        <f>IF(ISNUMBER(B562), ROUND(SUMIFS($B$2:$B$10000, $E$2:$E$10000, E562, $B$2:$B$10000, IF(B562&lt;0, "&lt;0", "&gt;0")), 0), "")</f>
        <v>-111482</v>
      </c>
      <c r="G562" t="str">
        <f>IF(F562&gt;0, IF(C562="Transaction", "Da thanh toan", "Duong"), IF(F562&lt;0, IF(C562="Transaction", "Du no", IF(C562="Interests", "Lai phat sinh", IF(C562="Misc", "Phi", IF(C562="Account Transfer", "Lai tra gop", "Am")))), "Bang 0"))</f>
        <v>Lai phat sinh</v>
      </c>
    </row>
    <row r="563" spans="1:7" x14ac:dyDescent="0.3">
      <c r="A563" s="60">
        <v>44067</v>
      </c>
      <c r="B563" s="33">
        <v>-390.41</v>
      </c>
      <c r="C563" t="s">
        <v>49</v>
      </c>
      <c r="E563" t="str">
        <f>IF(OR(C563="Transaction",C563="Interests",C563="Misc",C563="Account Transfer"), IF(C563="Transaction", IF(B563&lt;0, "Du no", "Da thanh toan"), IF(C563="Interests", "Lai", IF(C563="Misc", "Phi", IF(C563="Account Transfer", IF(OR(ISNUMBER(SEARCH("Trich lai tra gop the TD", D563)), ISNUMBER(SEARCH("Chuyen lai tra gop con lai sang du no thong thuong khi BadDebt", D563))), IF(B563&lt;0, "Lai tra gop", ""), "" )))))) &amp; " " &amp; IF(C563="Interests", TEXT(EDATE(IF(DAY(A563)&gt;=24, A563, EDATE(A563,-1)), -1),"yyyy-mm"), TEXT(IF(DAY(A563)&gt;=24, A563, EDATE(A563,-1)),"yyyy-mm"))</f>
        <v>Lai 2020-07</v>
      </c>
      <c r="F563">
        <f>IF(ISNUMBER(B563), ROUND(SUMIFS($B$2:$B$10000, $E$2:$E$10000, E563, $B$2:$B$10000, IF(B563&lt;0, "&lt;0", "&gt;0")), 0), "")</f>
        <v>-111482</v>
      </c>
      <c r="G563" t="str">
        <f>IF(F563&gt;0, IF(C563="Transaction", "Da thanh toan", "Duong"), IF(F563&lt;0, IF(C563="Transaction", "Du no", IF(C563="Interests", "Lai phat sinh", IF(C563="Misc", "Phi", IF(C563="Account Transfer", "Lai tra gop", "Am")))), "Bang 0"))</f>
        <v>Lai phat sinh</v>
      </c>
    </row>
    <row r="564" spans="1:7" x14ac:dyDescent="0.3">
      <c r="A564" s="60">
        <v>44067</v>
      </c>
      <c r="B564" s="33">
        <v>-59664.66</v>
      </c>
      <c r="C564" t="s">
        <v>49</v>
      </c>
      <c r="E564" t="str">
        <f>IF(OR(C564="Transaction",C564="Interests",C564="Misc",C564="Account Transfer"), IF(C564="Transaction", IF(B564&lt;0, "Du no", "Da thanh toan"), IF(C564="Interests", "Lai", IF(C564="Misc", "Phi", IF(C564="Account Transfer", IF(OR(ISNUMBER(SEARCH("Trich lai tra gop the TD", D564)), ISNUMBER(SEARCH("Chuyen lai tra gop con lai sang du no thong thuong khi BadDebt", D564))), IF(B564&lt;0, "Lai tra gop", ""), "" )))))) &amp; " " &amp; IF(C564="Interests", TEXT(EDATE(IF(DAY(A564)&gt;=24, A564, EDATE(A564,-1)), -1),"yyyy-mm"), TEXT(IF(DAY(A564)&gt;=24, A564, EDATE(A564,-1)),"yyyy-mm"))</f>
        <v>Lai 2020-07</v>
      </c>
      <c r="F564">
        <f>IF(ISNUMBER(B564), ROUND(SUMIFS($B$2:$B$10000, $E$2:$E$10000, E564, $B$2:$B$10000, IF(B564&lt;0, "&lt;0", "&gt;0")), 0), "")</f>
        <v>-111482</v>
      </c>
      <c r="G564" t="str">
        <f>IF(F564&gt;0, IF(C564="Transaction", "Da thanh toan", "Duong"), IF(F564&lt;0, IF(C564="Transaction", "Du no", IF(C564="Interests", "Lai phat sinh", IF(C564="Misc", "Phi", IF(C564="Account Transfer", "Lai tra gop", "Am")))), "Bang 0"))</f>
        <v>Lai phat sinh</v>
      </c>
    </row>
    <row r="565" spans="1:7" x14ac:dyDescent="0.3">
      <c r="A565" s="60">
        <v>44067</v>
      </c>
      <c r="B565" s="33">
        <v>-45895.89</v>
      </c>
      <c r="C565" t="s">
        <v>49</v>
      </c>
      <c r="E565" t="str">
        <f>IF(OR(C565="Transaction",C565="Interests",C565="Misc",C565="Account Transfer"), IF(C565="Transaction", IF(B565&lt;0, "Du no", "Da thanh toan"), IF(C565="Interests", "Lai", IF(C565="Misc", "Phi", IF(C565="Account Transfer", IF(OR(ISNUMBER(SEARCH("Trich lai tra gop the TD", D565)), ISNUMBER(SEARCH("Chuyen lai tra gop con lai sang du no thong thuong khi BadDebt", D565))), IF(B565&lt;0, "Lai tra gop", ""), "" )))))) &amp; " " &amp; IF(C565="Interests", TEXT(EDATE(IF(DAY(A565)&gt;=24, A565, EDATE(A565,-1)), -1),"yyyy-mm"), TEXT(IF(DAY(A565)&gt;=24, A565, EDATE(A565,-1)),"yyyy-mm"))</f>
        <v>Lai 2020-07</v>
      </c>
      <c r="F565">
        <f>IF(ISNUMBER(B565), ROUND(SUMIFS($B$2:$B$10000, $E$2:$E$10000, E565, $B$2:$B$10000, IF(B565&lt;0, "&lt;0", "&gt;0")), 0), "")</f>
        <v>-111482</v>
      </c>
      <c r="G565" t="str">
        <f>IF(F565&gt;0, IF(C565="Transaction", "Da thanh toan", "Duong"), IF(F565&lt;0, IF(C565="Transaction", "Du no", IF(C565="Interests", "Lai phat sinh", IF(C565="Misc", "Phi", IF(C565="Account Transfer", "Lai tra gop", "Am")))), "Bang 0"))</f>
        <v>Lai phat sinh</v>
      </c>
    </row>
    <row r="566" spans="1:7" x14ac:dyDescent="0.3">
      <c r="A566" s="60">
        <v>44062</v>
      </c>
      <c r="B566" s="33">
        <v>-3000000</v>
      </c>
      <c r="C566" t="s">
        <v>51</v>
      </c>
      <c r="D566" t="s">
        <v>808</v>
      </c>
      <c r="E566" t="str">
        <f>IF(OR(C566="Transaction",C566="Interests",C566="Misc",C566="Account Transfer"), IF(C566="Transaction", IF(B566&lt;0, "Du no", "Da thanh toan"), IF(C566="Interests", "Lai", IF(C566="Misc", "Phi", IF(C566="Account Transfer", IF(OR(ISNUMBER(SEARCH("Trich lai tra gop the TD", D566)), ISNUMBER(SEARCH("Chuyen lai tra gop con lai sang du no thong thuong khi BadDebt", D566))), IF(B566&lt;0, "Lai tra gop", ""), "" )))))) &amp; " " &amp; IF(C566="Interests", TEXT(EDATE(IF(DAY(A566)&gt;=24, A566, EDATE(A566,-1)), -1),"yyyy-mm"), TEXT(IF(DAY(A566)&gt;=24, A566, EDATE(A566,-1)),"yyyy-mm"))</f>
        <v>Du no 2020-07</v>
      </c>
      <c r="F566">
        <f>IF(ISNUMBER(B566), ROUND(SUMIFS($B$2:$B$10000, $E$2:$E$10000, E566, $B$2:$B$10000, IF(B566&lt;0, "&lt;0", "&gt;0")), 0), "")</f>
        <v>-31393308</v>
      </c>
      <c r="G566" t="str">
        <f>IF(F566&gt;0, IF(C566="Transaction", "Da thanh toan", "Duong"), IF(F566&lt;0, IF(C566="Transaction", "Du no", IF(C566="Interests", "Lai phat sinh", IF(C566="Misc", "Phi", IF(C566="Account Transfer", "Lai tra gop", "Am")))), "Bang 0"))</f>
        <v>Du no</v>
      </c>
    </row>
    <row r="567" spans="1:7" x14ac:dyDescent="0.3">
      <c r="A567" s="60">
        <v>44062</v>
      </c>
      <c r="B567" s="33">
        <v>-2000000</v>
      </c>
      <c r="C567" t="s">
        <v>51</v>
      </c>
      <c r="D567" t="s">
        <v>808</v>
      </c>
      <c r="E567" t="str">
        <f>IF(OR(C567="Transaction",C567="Interests",C567="Misc",C567="Account Transfer"), IF(C567="Transaction", IF(B567&lt;0, "Du no", "Da thanh toan"), IF(C567="Interests", "Lai", IF(C567="Misc", "Phi", IF(C567="Account Transfer", IF(OR(ISNUMBER(SEARCH("Trich lai tra gop the TD", D567)), ISNUMBER(SEARCH("Chuyen lai tra gop con lai sang du no thong thuong khi BadDebt", D567))), IF(B567&lt;0, "Lai tra gop", ""), "" )))))) &amp; " " &amp; IF(C567="Interests", TEXT(EDATE(IF(DAY(A567)&gt;=24, A567, EDATE(A567,-1)), -1),"yyyy-mm"), TEXT(IF(DAY(A567)&gt;=24, A567, EDATE(A567,-1)),"yyyy-mm"))</f>
        <v>Du no 2020-07</v>
      </c>
      <c r="F567">
        <f>IF(ISNUMBER(B567), ROUND(SUMIFS($B$2:$B$10000, $E$2:$E$10000, E567, $B$2:$B$10000, IF(B567&lt;0, "&lt;0", "&gt;0")), 0), "")</f>
        <v>-31393308</v>
      </c>
      <c r="G567" t="str">
        <f>IF(F567&gt;0, IF(C567="Transaction", "Da thanh toan", "Duong"), IF(F567&lt;0, IF(C567="Transaction", "Du no", IF(C567="Interests", "Lai phat sinh", IF(C567="Misc", "Phi", IF(C567="Account Transfer", "Lai tra gop", "Am")))), "Bang 0"))</f>
        <v>Du no</v>
      </c>
    </row>
    <row r="568" spans="1:7" x14ac:dyDescent="0.3">
      <c r="A568" s="60">
        <v>44062</v>
      </c>
      <c r="B568" s="33">
        <v>-3000000</v>
      </c>
      <c r="C568" t="s">
        <v>51</v>
      </c>
      <c r="D568" t="s">
        <v>808</v>
      </c>
      <c r="E568" t="str">
        <f>IF(OR(C568="Transaction",C568="Interests",C568="Misc",C568="Account Transfer"), IF(C568="Transaction", IF(B568&lt;0, "Du no", "Da thanh toan"), IF(C568="Interests", "Lai", IF(C568="Misc", "Phi", IF(C568="Account Transfer", IF(OR(ISNUMBER(SEARCH("Trich lai tra gop the TD", D568)), ISNUMBER(SEARCH("Chuyen lai tra gop con lai sang du no thong thuong khi BadDebt", D568))), IF(B568&lt;0, "Lai tra gop", ""), "" )))))) &amp; " " &amp; IF(C568="Interests", TEXT(EDATE(IF(DAY(A568)&gt;=24, A568, EDATE(A568,-1)), -1),"yyyy-mm"), TEXT(IF(DAY(A568)&gt;=24, A568, EDATE(A568,-1)),"yyyy-mm"))</f>
        <v>Du no 2020-07</v>
      </c>
      <c r="F568">
        <f>IF(ISNUMBER(B568), ROUND(SUMIFS($B$2:$B$10000, $E$2:$E$10000, E568, $B$2:$B$10000, IF(B568&lt;0, "&lt;0", "&gt;0")), 0), "")</f>
        <v>-31393308</v>
      </c>
      <c r="G568" t="str">
        <f>IF(F568&gt;0, IF(C568="Transaction", "Da thanh toan", "Duong"), IF(F568&lt;0, IF(C568="Transaction", "Du no", IF(C568="Interests", "Lai phat sinh", IF(C568="Misc", "Phi", IF(C568="Account Transfer", "Lai tra gop", "Am")))), "Bang 0"))</f>
        <v>Du no</v>
      </c>
    </row>
    <row r="569" spans="1:7" x14ac:dyDescent="0.3">
      <c r="A569" s="60">
        <v>44062</v>
      </c>
      <c r="B569" s="33">
        <v>-120000</v>
      </c>
      <c r="C569" t="s">
        <v>51</v>
      </c>
      <c r="D569" t="s">
        <v>808</v>
      </c>
      <c r="E569" t="str">
        <f>IF(OR(C569="Transaction",C569="Interests",C569="Misc",C569="Account Transfer"), IF(C569="Transaction", IF(B569&lt;0, "Du no", "Da thanh toan"), IF(C569="Interests", "Lai", IF(C569="Misc", "Phi", IF(C569="Account Transfer", IF(OR(ISNUMBER(SEARCH("Trich lai tra gop the TD", D569)), ISNUMBER(SEARCH("Chuyen lai tra gop con lai sang du no thong thuong khi BadDebt", D569))), IF(B569&lt;0, "Lai tra gop", ""), "" )))))) &amp; " " &amp; IF(C569="Interests", TEXT(EDATE(IF(DAY(A569)&gt;=24, A569, EDATE(A569,-1)), -1),"yyyy-mm"), TEXT(IF(DAY(A569)&gt;=24, A569, EDATE(A569,-1)),"yyyy-mm"))</f>
        <v>Du no 2020-07</v>
      </c>
      <c r="F569">
        <f>IF(ISNUMBER(B569), ROUND(SUMIFS($B$2:$B$10000, $E$2:$E$10000, E569, $B$2:$B$10000, IF(B569&lt;0, "&lt;0", "&gt;0")), 0), "")</f>
        <v>-31393308</v>
      </c>
      <c r="G569" t="str">
        <f>IF(F569&gt;0, IF(C569="Transaction", "Da thanh toan", "Duong"), IF(F569&lt;0, IF(C569="Transaction", "Du no", IF(C569="Interests", "Lai phat sinh", IF(C569="Misc", "Phi", IF(C569="Account Transfer", "Lai tra gop", "Am")))), "Bang 0"))</f>
        <v>Du no</v>
      </c>
    </row>
    <row r="570" spans="1:7" x14ac:dyDescent="0.3">
      <c r="A570" s="60">
        <v>44062</v>
      </c>
      <c r="B570" s="33">
        <v>-12000</v>
      </c>
      <c r="C570" t="s">
        <v>51</v>
      </c>
      <c r="D570" t="s">
        <v>808</v>
      </c>
      <c r="E570" t="str">
        <f>IF(OR(C570="Transaction",C570="Interests",C570="Misc",C570="Account Transfer"), IF(C570="Transaction", IF(B570&lt;0, "Du no", "Da thanh toan"), IF(C570="Interests", "Lai", IF(C570="Misc", "Phi", IF(C570="Account Transfer", IF(OR(ISNUMBER(SEARCH("Trich lai tra gop the TD", D570)), ISNUMBER(SEARCH("Chuyen lai tra gop con lai sang du no thong thuong khi BadDebt", D570))), IF(B570&lt;0, "Lai tra gop", ""), "" )))))) &amp; " " &amp; IF(C570="Interests", TEXT(EDATE(IF(DAY(A570)&gt;=24, A570, EDATE(A570,-1)), -1),"yyyy-mm"), TEXT(IF(DAY(A570)&gt;=24, A570, EDATE(A570,-1)),"yyyy-mm"))</f>
        <v>Du no 2020-07</v>
      </c>
      <c r="F570">
        <f>IF(ISNUMBER(B570), ROUND(SUMIFS($B$2:$B$10000, $E$2:$E$10000, E570, $B$2:$B$10000, IF(B570&lt;0, "&lt;0", "&gt;0")), 0), "")</f>
        <v>-31393308</v>
      </c>
      <c r="G570" t="str">
        <f>IF(F570&gt;0, IF(C570="Transaction", "Da thanh toan", "Duong"), IF(F570&lt;0, IF(C570="Transaction", "Du no", IF(C570="Interests", "Lai phat sinh", IF(C570="Misc", "Phi", IF(C570="Account Transfer", "Lai tra gop", "Am")))), "Bang 0"))</f>
        <v>Du no</v>
      </c>
    </row>
    <row r="571" spans="1:7" x14ac:dyDescent="0.3">
      <c r="A571" s="60">
        <v>44062</v>
      </c>
      <c r="B571" s="33">
        <v>-100000</v>
      </c>
      <c r="C571" t="s">
        <v>51</v>
      </c>
      <c r="D571" t="s">
        <v>808</v>
      </c>
      <c r="E571" t="str">
        <f>IF(OR(C571="Transaction",C571="Interests",C571="Misc",C571="Account Transfer"), IF(C571="Transaction", IF(B571&lt;0, "Du no", "Da thanh toan"), IF(C571="Interests", "Lai", IF(C571="Misc", "Phi", IF(C571="Account Transfer", IF(OR(ISNUMBER(SEARCH("Trich lai tra gop the TD", D571)), ISNUMBER(SEARCH("Chuyen lai tra gop con lai sang du no thong thuong khi BadDebt", D571))), IF(B571&lt;0, "Lai tra gop", ""), "" )))))) &amp; " " &amp; IF(C571="Interests", TEXT(EDATE(IF(DAY(A571)&gt;=24, A571, EDATE(A571,-1)), -1),"yyyy-mm"), TEXT(IF(DAY(A571)&gt;=24, A571, EDATE(A571,-1)),"yyyy-mm"))</f>
        <v>Du no 2020-07</v>
      </c>
      <c r="F571">
        <f>IF(ISNUMBER(B571), ROUND(SUMIFS($B$2:$B$10000, $E$2:$E$10000, E571, $B$2:$B$10000, IF(B571&lt;0, "&lt;0", "&gt;0")), 0), "")</f>
        <v>-31393308</v>
      </c>
      <c r="G571" t="str">
        <f>IF(F571&gt;0, IF(C571="Transaction", "Da thanh toan", "Duong"), IF(F571&lt;0, IF(C571="Transaction", "Du no", IF(C571="Interests", "Lai phat sinh", IF(C571="Misc", "Phi", IF(C571="Account Transfer", "Lai tra gop", "Am")))), "Bang 0"))</f>
        <v>Du no</v>
      </c>
    </row>
    <row r="572" spans="1:7" x14ac:dyDescent="0.3">
      <c r="A572" s="60">
        <v>44062</v>
      </c>
      <c r="B572" s="33">
        <v>-10000</v>
      </c>
      <c r="C572" t="s">
        <v>51</v>
      </c>
      <c r="D572" t="s">
        <v>808</v>
      </c>
      <c r="E572" t="str">
        <f>IF(OR(C572="Transaction",C572="Interests",C572="Misc",C572="Account Transfer"), IF(C572="Transaction", IF(B572&lt;0, "Du no", "Da thanh toan"), IF(C572="Interests", "Lai", IF(C572="Misc", "Phi", IF(C572="Account Transfer", IF(OR(ISNUMBER(SEARCH("Trich lai tra gop the TD", D572)), ISNUMBER(SEARCH("Chuyen lai tra gop con lai sang du no thong thuong khi BadDebt", D572))), IF(B572&lt;0, "Lai tra gop", ""), "" )))))) &amp; " " &amp; IF(C572="Interests", TEXT(EDATE(IF(DAY(A572)&gt;=24, A572, EDATE(A572,-1)), -1),"yyyy-mm"), TEXT(IF(DAY(A572)&gt;=24, A572, EDATE(A572,-1)),"yyyy-mm"))</f>
        <v>Du no 2020-07</v>
      </c>
      <c r="F572">
        <f>IF(ISNUMBER(B572), ROUND(SUMIFS($B$2:$B$10000, $E$2:$E$10000, E572, $B$2:$B$10000, IF(B572&lt;0, "&lt;0", "&gt;0")), 0), "")</f>
        <v>-31393308</v>
      </c>
      <c r="G572" t="str">
        <f>IF(F572&gt;0, IF(C572="Transaction", "Da thanh toan", "Duong"), IF(F572&lt;0, IF(C572="Transaction", "Du no", IF(C572="Interests", "Lai phat sinh", IF(C572="Misc", "Phi", IF(C572="Account Transfer", "Lai tra gop", "Am")))), "Bang 0"))</f>
        <v>Du no</v>
      </c>
    </row>
    <row r="573" spans="1:7" x14ac:dyDescent="0.3">
      <c r="A573" s="60">
        <v>44062</v>
      </c>
      <c r="B573" s="33">
        <v>-120000</v>
      </c>
      <c r="C573" t="s">
        <v>51</v>
      </c>
      <c r="D573" t="s">
        <v>808</v>
      </c>
      <c r="E573" t="str">
        <f>IF(OR(C573="Transaction",C573="Interests",C573="Misc",C573="Account Transfer"), IF(C573="Transaction", IF(B573&lt;0, "Du no", "Da thanh toan"), IF(C573="Interests", "Lai", IF(C573="Misc", "Phi", IF(C573="Account Transfer", IF(OR(ISNUMBER(SEARCH("Trich lai tra gop the TD", D573)), ISNUMBER(SEARCH("Chuyen lai tra gop con lai sang du no thong thuong khi BadDebt", D573))), IF(B573&lt;0, "Lai tra gop", ""), "" )))))) &amp; " " &amp; IF(C573="Interests", TEXT(EDATE(IF(DAY(A573)&gt;=24, A573, EDATE(A573,-1)), -1),"yyyy-mm"), TEXT(IF(DAY(A573)&gt;=24, A573, EDATE(A573,-1)),"yyyy-mm"))</f>
        <v>Du no 2020-07</v>
      </c>
      <c r="F573">
        <f>IF(ISNUMBER(B573), ROUND(SUMIFS($B$2:$B$10000, $E$2:$E$10000, E573, $B$2:$B$10000, IF(B573&lt;0, "&lt;0", "&gt;0")), 0), "")</f>
        <v>-31393308</v>
      </c>
      <c r="G573" t="str">
        <f>IF(F573&gt;0, IF(C573="Transaction", "Da thanh toan", "Duong"), IF(F573&lt;0, IF(C573="Transaction", "Du no", IF(C573="Interests", "Lai phat sinh", IF(C573="Misc", "Phi", IF(C573="Account Transfer", "Lai tra gop", "Am")))), "Bang 0"))</f>
        <v>Du no</v>
      </c>
    </row>
    <row r="574" spans="1:7" x14ac:dyDescent="0.3">
      <c r="A574" s="60">
        <v>44062</v>
      </c>
      <c r="B574" s="33">
        <v>-12000</v>
      </c>
      <c r="C574" t="s">
        <v>51</v>
      </c>
      <c r="D574" t="s">
        <v>808</v>
      </c>
      <c r="E574" t="str">
        <f>IF(OR(C574="Transaction",C574="Interests",C574="Misc",C574="Account Transfer"), IF(C574="Transaction", IF(B574&lt;0, "Du no", "Da thanh toan"), IF(C574="Interests", "Lai", IF(C574="Misc", "Phi", IF(C574="Account Transfer", IF(OR(ISNUMBER(SEARCH("Trich lai tra gop the TD", D574)), ISNUMBER(SEARCH("Chuyen lai tra gop con lai sang du no thong thuong khi BadDebt", D574))), IF(B574&lt;0, "Lai tra gop", ""), "" )))))) &amp; " " &amp; IF(C574="Interests", TEXT(EDATE(IF(DAY(A574)&gt;=24, A574, EDATE(A574,-1)), -1),"yyyy-mm"), TEXT(IF(DAY(A574)&gt;=24, A574, EDATE(A574,-1)),"yyyy-mm"))</f>
        <v>Du no 2020-07</v>
      </c>
      <c r="F574">
        <f>IF(ISNUMBER(B574), ROUND(SUMIFS($B$2:$B$10000, $E$2:$E$10000, E574, $B$2:$B$10000, IF(B574&lt;0, "&lt;0", "&gt;0")), 0), "")</f>
        <v>-31393308</v>
      </c>
      <c r="G574" t="str">
        <f>IF(F574&gt;0, IF(C574="Transaction", "Da thanh toan", "Duong"), IF(F574&lt;0, IF(C574="Transaction", "Du no", IF(C574="Interests", "Lai phat sinh", IF(C574="Misc", "Phi", IF(C574="Account Transfer", "Lai tra gop", "Am")))), "Bang 0"))</f>
        <v>Du no</v>
      </c>
    </row>
    <row r="575" spans="1:7" x14ac:dyDescent="0.3">
      <c r="A575" s="60">
        <v>44061</v>
      </c>
      <c r="B575" s="33">
        <v>-3000000</v>
      </c>
      <c r="C575" t="s">
        <v>51</v>
      </c>
      <c r="D575" t="s">
        <v>808</v>
      </c>
      <c r="E575" t="str">
        <f>IF(OR(C575="Transaction",C575="Interests",C575="Misc",C575="Account Transfer"), IF(C575="Transaction", IF(B575&lt;0, "Du no", "Da thanh toan"), IF(C575="Interests", "Lai", IF(C575="Misc", "Phi", IF(C575="Account Transfer", IF(OR(ISNUMBER(SEARCH("Trich lai tra gop the TD", D575)), ISNUMBER(SEARCH("Chuyen lai tra gop con lai sang du no thong thuong khi BadDebt", D575))), IF(B575&lt;0, "Lai tra gop", ""), "" )))))) &amp; " " &amp; IF(C575="Interests", TEXT(EDATE(IF(DAY(A575)&gt;=24, A575, EDATE(A575,-1)), -1),"yyyy-mm"), TEXT(IF(DAY(A575)&gt;=24, A575, EDATE(A575,-1)),"yyyy-mm"))</f>
        <v>Du no 2020-07</v>
      </c>
      <c r="F575">
        <f>IF(ISNUMBER(B575), ROUND(SUMIFS($B$2:$B$10000, $E$2:$E$10000, E575, $B$2:$B$10000, IF(B575&lt;0, "&lt;0", "&gt;0")), 0), "")</f>
        <v>-31393308</v>
      </c>
      <c r="G575" t="str">
        <f>IF(F575&gt;0, IF(C575="Transaction", "Da thanh toan", "Duong"), IF(F575&lt;0, IF(C575="Transaction", "Du no", IF(C575="Interests", "Lai phat sinh", IF(C575="Misc", "Phi", IF(C575="Account Transfer", "Lai tra gop", "Am")))), "Bang 0"))</f>
        <v>Du no</v>
      </c>
    </row>
    <row r="576" spans="1:7" x14ac:dyDescent="0.3">
      <c r="A576" s="60">
        <v>44061</v>
      </c>
      <c r="B576" s="33">
        <v>-3000000</v>
      </c>
      <c r="C576" t="s">
        <v>51</v>
      </c>
      <c r="D576" t="s">
        <v>808</v>
      </c>
      <c r="E576" t="str">
        <f>IF(OR(C576="Transaction",C576="Interests",C576="Misc",C576="Account Transfer"), IF(C576="Transaction", IF(B576&lt;0, "Du no", "Da thanh toan"), IF(C576="Interests", "Lai", IF(C576="Misc", "Phi", IF(C576="Account Transfer", IF(OR(ISNUMBER(SEARCH("Trich lai tra gop the TD", D576)), ISNUMBER(SEARCH("Chuyen lai tra gop con lai sang du no thong thuong khi BadDebt", D576))), IF(B576&lt;0, "Lai tra gop", ""), "" )))))) &amp; " " &amp; IF(C576="Interests", TEXT(EDATE(IF(DAY(A576)&gt;=24, A576, EDATE(A576,-1)), -1),"yyyy-mm"), TEXT(IF(DAY(A576)&gt;=24, A576, EDATE(A576,-1)),"yyyy-mm"))</f>
        <v>Du no 2020-07</v>
      </c>
      <c r="F576">
        <f>IF(ISNUMBER(B576), ROUND(SUMIFS($B$2:$B$10000, $E$2:$E$10000, E576, $B$2:$B$10000, IF(B576&lt;0, "&lt;0", "&gt;0")), 0), "")</f>
        <v>-31393308</v>
      </c>
      <c r="G576" t="str">
        <f>IF(F576&gt;0, IF(C576="Transaction", "Da thanh toan", "Duong"), IF(F576&lt;0, IF(C576="Transaction", "Du no", IF(C576="Interests", "Lai phat sinh", IF(C576="Misc", "Phi", IF(C576="Account Transfer", "Lai tra gop", "Am")))), "Bang 0"))</f>
        <v>Du no</v>
      </c>
    </row>
    <row r="577" spans="1:7" x14ac:dyDescent="0.3">
      <c r="A577" s="60">
        <v>44061</v>
      </c>
      <c r="B577" s="33">
        <v>-3000000</v>
      </c>
      <c r="C577" t="s">
        <v>51</v>
      </c>
      <c r="D577" t="s">
        <v>808</v>
      </c>
      <c r="E577" t="str">
        <f>IF(OR(C577="Transaction",C577="Interests",C577="Misc",C577="Account Transfer"), IF(C577="Transaction", IF(B577&lt;0, "Du no", "Da thanh toan"), IF(C577="Interests", "Lai", IF(C577="Misc", "Phi", IF(C577="Account Transfer", IF(OR(ISNUMBER(SEARCH("Trich lai tra gop the TD", D577)), ISNUMBER(SEARCH("Chuyen lai tra gop con lai sang du no thong thuong khi BadDebt", D577))), IF(B577&lt;0, "Lai tra gop", ""), "" )))))) &amp; " " &amp; IF(C577="Interests", TEXT(EDATE(IF(DAY(A577)&gt;=24, A577, EDATE(A577,-1)), -1),"yyyy-mm"), TEXT(IF(DAY(A577)&gt;=24, A577, EDATE(A577,-1)),"yyyy-mm"))</f>
        <v>Du no 2020-07</v>
      </c>
      <c r="F577">
        <f>IF(ISNUMBER(B577), ROUND(SUMIFS($B$2:$B$10000, $E$2:$E$10000, E577, $B$2:$B$10000, IF(B577&lt;0, "&lt;0", "&gt;0")), 0), "")</f>
        <v>-31393308</v>
      </c>
      <c r="G577" t="str">
        <f>IF(F577&gt;0, IF(C577="Transaction", "Da thanh toan", "Duong"), IF(F577&lt;0, IF(C577="Transaction", "Du no", IF(C577="Interests", "Lai phat sinh", IF(C577="Misc", "Phi", IF(C577="Account Transfer", "Lai tra gop", "Am")))), "Bang 0"))</f>
        <v>Du no</v>
      </c>
    </row>
    <row r="578" spans="1:7" x14ac:dyDescent="0.3">
      <c r="A578" s="60">
        <v>44061</v>
      </c>
      <c r="B578" s="33">
        <v>-3000000</v>
      </c>
      <c r="C578" t="s">
        <v>51</v>
      </c>
      <c r="D578" t="s">
        <v>808</v>
      </c>
      <c r="E578" t="str">
        <f>IF(OR(C578="Transaction",C578="Interests",C578="Misc",C578="Account Transfer"), IF(C578="Transaction", IF(B578&lt;0, "Du no", "Da thanh toan"), IF(C578="Interests", "Lai", IF(C578="Misc", "Phi", IF(C578="Account Transfer", IF(OR(ISNUMBER(SEARCH("Trich lai tra gop the TD", D578)), ISNUMBER(SEARCH("Chuyen lai tra gop con lai sang du no thong thuong khi BadDebt", D578))), IF(B578&lt;0, "Lai tra gop", ""), "" )))))) &amp; " " &amp; IF(C578="Interests", TEXT(EDATE(IF(DAY(A578)&gt;=24, A578, EDATE(A578,-1)), -1),"yyyy-mm"), TEXT(IF(DAY(A578)&gt;=24, A578, EDATE(A578,-1)),"yyyy-mm"))</f>
        <v>Du no 2020-07</v>
      </c>
      <c r="F578">
        <f>IF(ISNUMBER(B578), ROUND(SUMIFS($B$2:$B$10000, $E$2:$E$10000, E578, $B$2:$B$10000, IF(B578&lt;0, "&lt;0", "&gt;0")), 0), "")</f>
        <v>-31393308</v>
      </c>
      <c r="G578" t="str">
        <f>IF(F578&gt;0, IF(C578="Transaction", "Da thanh toan", "Duong"), IF(F578&lt;0, IF(C578="Transaction", "Du no", IF(C578="Interests", "Lai phat sinh", IF(C578="Misc", "Phi", IF(C578="Account Transfer", "Lai tra gop", "Am")))), "Bang 0"))</f>
        <v>Du no</v>
      </c>
    </row>
    <row r="579" spans="1:7" x14ac:dyDescent="0.3">
      <c r="A579" s="60">
        <v>44061</v>
      </c>
      <c r="B579" s="33">
        <v>-3000000</v>
      </c>
      <c r="C579" t="s">
        <v>51</v>
      </c>
      <c r="D579" t="s">
        <v>808</v>
      </c>
      <c r="E579" t="str">
        <f>IF(OR(C579="Transaction",C579="Interests",C579="Misc",C579="Account Transfer"), IF(C579="Transaction", IF(B579&lt;0, "Du no", "Da thanh toan"), IF(C579="Interests", "Lai", IF(C579="Misc", "Phi", IF(C579="Account Transfer", IF(OR(ISNUMBER(SEARCH("Trich lai tra gop the TD", D579)), ISNUMBER(SEARCH("Chuyen lai tra gop con lai sang du no thong thuong khi BadDebt", D579))), IF(B579&lt;0, "Lai tra gop", ""), "" )))))) &amp; " " &amp; IF(C579="Interests", TEXT(EDATE(IF(DAY(A579)&gt;=24, A579, EDATE(A579,-1)), -1),"yyyy-mm"), TEXT(IF(DAY(A579)&gt;=24, A579, EDATE(A579,-1)),"yyyy-mm"))</f>
        <v>Du no 2020-07</v>
      </c>
      <c r="F579">
        <f>IF(ISNUMBER(B579), ROUND(SUMIFS($B$2:$B$10000, $E$2:$E$10000, E579, $B$2:$B$10000, IF(B579&lt;0, "&lt;0", "&gt;0")), 0), "")</f>
        <v>-31393308</v>
      </c>
      <c r="G579" t="str">
        <f>IF(F579&gt;0, IF(C579="Transaction", "Da thanh toan", "Duong"), IF(F579&lt;0, IF(C579="Transaction", "Du no", IF(C579="Interests", "Lai phat sinh", IF(C579="Misc", "Phi", IF(C579="Account Transfer", "Lai tra gop", "Am")))), "Bang 0"))</f>
        <v>Du no</v>
      </c>
    </row>
    <row r="580" spans="1:7" x14ac:dyDescent="0.3">
      <c r="A580" s="60">
        <v>44061</v>
      </c>
      <c r="B580" s="33">
        <v>-120000</v>
      </c>
      <c r="C580" t="s">
        <v>51</v>
      </c>
      <c r="D580" t="s">
        <v>808</v>
      </c>
      <c r="E580" t="str">
        <f>IF(OR(C580="Transaction",C580="Interests",C580="Misc",C580="Account Transfer"), IF(C580="Transaction", IF(B580&lt;0, "Du no", "Da thanh toan"), IF(C580="Interests", "Lai", IF(C580="Misc", "Phi", IF(C580="Account Transfer", IF(OR(ISNUMBER(SEARCH("Trich lai tra gop the TD", D580)), ISNUMBER(SEARCH("Chuyen lai tra gop con lai sang du no thong thuong khi BadDebt", D580))), IF(B580&lt;0, "Lai tra gop", ""), "" )))))) &amp; " " &amp; IF(C580="Interests", TEXT(EDATE(IF(DAY(A580)&gt;=24, A580, EDATE(A580,-1)), -1),"yyyy-mm"), TEXT(IF(DAY(A580)&gt;=24, A580, EDATE(A580,-1)),"yyyy-mm"))</f>
        <v>Du no 2020-07</v>
      </c>
      <c r="F580">
        <f>IF(ISNUMBER(B580), ROUND(SUMIFS($B$2:$B$10000, $E$2:$E$10000, E580, $B$2:$B$10000, IF(B580&lt;0, "&lt;0", "&gt;0")), 0), "")</f>
        <v>-31393308</v>
      </c>
      <c r="G580" t="str">
        <f>IF(F580&gt;0, IF(C580="Transaction", "Da thanh toan", "Duong"), IF(F580&lt;0, IF(C580="Transaction", "Du no", IF(C580="Interests", "Lai phat sinh", IF(C580="Misc", "Phi", IF(C580="Account Transfer", "Lai tra gop", "Am")))), "Bang 0"))</f>
        <v>Du no</v>
      </c>
    </row>
    <row r="581" spans="1:7" x14ac:dyDescent="0.3">
      <c r="A581" s="60">
        <v>44061</v>
      </c>
      <c r="B581" s="33">
        <v>-12000</v>
      </c>
      <c r="C581" t="s">
        <v>51</v>
      </c>
      <c r="D581" t="s">
        <v>808</v>
      </c>
      <c r="E581" t="str">
        <f>IF(OR(C581="Transaction",C581="Interests",C581="Misc",C581="Account Transfer"), IF(C581="Transaction", IF(B581&lt;0, "Du no", "Da thanh toan"), IF(C581="Interests", "Lai", IF(C581="Misc", "Phi", IF(C581="Account Transfer", IF(OR(ISNUMBER(SEARCH("Trich lai tra gop the TD", D581)), ISNUMBER(SEARCH("Chuyen lai tra gop con lai sang du no thong thuong khi BadDebt", D581))), IF(B581&lt;0, "Lai tra gop", ""), "" )))))) &amp; " " &amp; IF(C581="Interests", TEXT(EDATE(IF(DAY(A581)&gt;=24, A581, EDATE(A581,-1)), -1),"yyyy-mm"), TEXT(IF(DAY(A581)&gt;=24, A581, EDATE(A581,-1)),"yyyy-mm"))</f>
        <v>Du no 2020-07</v>
      </c>
      <c r="F581">
        <f>IF(ISNUMBER(B581), ROUND(SUMIFS($B$2:$B$10000, $E$2:$E$10000, E581, $B$2:$B$10000, IF(B581&lt;0, "&lt;0", "&gt;0")), 0), "")</f>
        <v>-31393308</v>
      </c>
      <c r="G581" t="str">
        <f>IF(F581&gt;0, IF(C581="Transaction", "Da thanh toan", "Duong"), IF(F581&lt;0, IF(C581="Transaction", "Du no", IF(C581="Interests", "Lai phat sinh", IF(C581="Misc", "Phi", IF(C581="Account Transfer", "Lai tra gop", "Am")))), "Bang 0"))</f>
        <v>Du no</v>
      </c>
    </row>
    <row r="582" spans="1:7" x14ac:dyDescent="0.3">
      <c r="A582" s="60">
        <v>44061</v>
      </c>
      <c r="B582" s="33">
        <v>-120000</v>
      </c>
      <c r="C582" t="s">
        <v>51</v>
      </c>
      <c r="D582" t="s">
        <v>808</v>
      </c>
      <c r="E582" t="str">
        <f>IF(OR(C582="Transaction",C582="Interests",C582="Misc",C582="Account Transfer"), IF(C582="Transaction", IF(B582&lt;0, "Du no", "Da thanh toan"), IF(C582="Interests", "Lai", IF(C582="Misc", "Phi", IF(C582="Account Transfer", IF(OR(ISNUMBER(SEARCH("Trich lai tra gop the TD", D582)), ISNUMBER(SEARCH("Chuyen lai tra gop con lai sang du no thong thuong khi BadDebt", D582))), IF(B582&lt;0, "Lai tra gop", ""), "" )))))) &amp; " " &amp; IF(C582="Interests", TEXT(EDATE(IF(DAY(A582)&gt;=24, A582, EDATE(A582,-1)), -1),"yyyy-mm"), TEXT(IF(DAY(A582)&gt;=24, A582, EDATE(A582,-1)),"yyyy-mm"))</f>
        <v>Du no 2020-07</v>
      </c>
      <c r="F582">
        <f>IF(ISNUMBER(B582), ROUND(SUMIFS($B$2:$B$10000, $E$2:$E$10000, E582, $B$2:$B$10000, IF(B582&lt;0, "&lt;0", "&gt;0")), 0), "")</f>
        <v>-31393308</v>
      </c>
      <c r="G582" t="str">
        <f>IF(F582&gt;0, IF(C582="Transaction", "Da thanh toan", "Duong"), IF(F582&lt;0, IF(C582="Transaction", "Du no", IF(C582="Interests", "Lai phat sinh", IF(C582="Misc", "Phi", IF(C582="Account Transfer", "Lai tra gop", "Am")))), "Bang 0"))</f>
        <v>Du no</v>
      </c>
    </row>
    <row r="583" spans="1:7" x14ac:dyDescent="0.3">
      <c r="A583" s="60">
        <v>44061</v>
      </c>
      <c r="B583" s="33">
        <v>-12000</v>
      </c>
      <c r="C583" t="s">
        <v>51</v>
      </c>
      <c r="D583" t="s">
        <v>808</v>
      </c>
      <c r="E583" t="str">
        <f>IF(OR(C583="Transaction",C583="Interests",C583="Misc",C583="Account Transfer"), IF(C583="Transaction", IF(B583&lt;0, "Du no", "Da thanh toan"), IF(C583="Interests", "Lai", IF(C583="Misc", "Phi", IF(C583="Account Transfer", IF(OR(ISNUMBER(SEARCH("Trich lai tra gop the TD", D583)), ISNUMBER(SEARCH("Chuyen lai tra gop con lai sang du no thong thuong khi BadDebt", D583))), IF(B583&lt;0, "Lai tra gop", ""), "" )))))) &amp; " " &amp; IF(C583="Interests", TEXT(EDATE(IF(DAY(A583)&gt;=24, A583, EDATE(A583,-1)), -1),"yyyy-mm"), TEXT(IF(DAY(A583)&gt;=24, A583, EDATE(A583,-1)),"yyyy-mm"))</f>
        <v>Du no 2020-07</v>
      </c>
      <c r="F583">
        <f>IF(ISNUMBER(B583), ROUND(SUMIFS($B$2:$B$10000, $E$2:$E$10000, E583, $B$2:$B$10000, IF(B583&lt;0, "&lt;0", "&gt;0")), 0), "")</f>
        <v>-31393308</v>
      </c>
      <c r="G583" t="str">
        <f>IF(F583&gt;0, IF(C583="Transaction", "Da thanh toan", "Duong"), IF(F583&lt;0, IF(C583="Transaction", "Du no", IF(C583="Interests", "Lai phat sinh", IF(C583="Misc", "Phi", IF(C583="Account Transfer", "Lai tra gop", "Am")))), "Bang 0"))</f>
        <v>Du no</v>
      </c>
    </row>
    <row r="584" spans="1:7" x14ac:dyDescent="0.3">
      <c r="A584" s="60">
        <v>44061</v>
      </c>
      <c r="B584" s="33">
        <v>-120000</v>
      </c>
      <c r="C584" t="s">
        <v>51</v>
      </c>
      <c r="D584" t="s">
        <v>808</v>
      </c>
      <c r="E584" t="str">
        <f>IF(OR(C584="Transaction",C584="Interests",C584="Misc",C584="Account Transfer"), IF(C584="Transaction", IF(B584&lt;0, "Du no", "Da thanh toan"), IF(C584="Interests", "Lai", IF(C584="Misc", "Phi", IF(C584="Account Transfer", IF(OR(ISNUMBER(SEARCH("Trich lai tra gop the TD", D584)), ISNUMBER(SEARCH("Chuyen lai tra gop con lai sang du no thong thuong khi BadDebt", D584))), IF(B584&lt;0, "Lai tra gop", ""), "" )))))) &amp; " " &amp; IF(C584="Interests", TEXT(EDATE(IF(DAY(A584)&gt;=24, A584, EDATE(A584,-1)), -1),"yyyy-mm"), TEXT(IF(DAY(A584)&gt;=24, A584, EDATE(A584,-1)),"yyyy-mm"))</f>
        <v>Du no 2020-07</v>
      </c>
      <c r="F584">
        <f>IF(ISNUMBER(B584), ROUND(SUMIFS($B$2:$B$10000, $E$2:$E$10000, E584, $B$2:$B$10000, IF(B584&lt;0, "&lt;0", "&gt;0")), 0), "")</f>
        <v>-31393308</v>
      </c>
      <c r="G584" t="str">
        <f>IF(F584&gt;0, IF(C584="Transaction", "Da thanh toan", "Duong"), IF(F584&lt;0, IF(C584="Transaction", "Du no", IF(C584="Interests", "Lai phat sinh", IF(C584="Misc", "Phi", IF(C584="Account Transfer", "Lai tra gop", "Am")))), "Bang 0"))</f>
        <v>Du no</v>
      </c>
    </row>
    <row r="585" spans="1:7" x14ac:dyDescent="0.3">
      <c r="A585" s="60">
        <v>44061</v>
      </c>
      <c r="B585" s="33">
        <v>-12000</v>
      </c>
      <c r="C585" t="s">
        <v>51</v>
      </c>
      <c r="D585" t="s">
        <v>808</v>
      </c>
      <c r="E585" t="str">
        <f>IF(OR(C585="Transaction",C585="Interests",C585="Misc",C585="Account Transfer"), IF(C585="Transaction", IF(B585&lt;0, "Du no", "Da thanh toan"), IF(C585="Interests", "Lai", IF(C585="Misc", "Phi", IF(C585="Account Transfer", IF(OR(ISNUMBER(SEARCH("Trich lai tra gop the TD", D585)), ISNUMBER(SEARCH("Chuyen lai tra gop con lai sang du no thong thuong khi BadDebt", D585))), IF(B585&lt;0, "Lai tra gop", ""), "" )))))) &amp; " " &amp; IF(C585="Interests", TEXT(EDATE(IF(DAY(A585)&gt;=24, A585, EDATE(A585,-1)), -1),"yyyy-mm"), TEXT(IF(DAY(A585)&gt;=24, A585, EDATE(A585,-1)),"yyyy-mm"))</f>
        <v>Du no 2020-07</v>
      </c>
      <c r="F585">
        <f>IF(ISNUMBER(B585), ROUND(SUMIFS($B$2:$B$10000, $E$2:$E$10000, E585, $B$2:$B$10000, IF(B585&lt;0, "&lt;0", "&gt;0")), 0), "")</f>
        <v>-31393308</v>
      </c>
      <c r="G585" t="str">
        <f>IF(F585&gt;0, IF(C585="Transaction", "Da thanh toan", "Duong"), IF(F585&lt;0, IF(C585="Transaction", "Du no", IF(C585="Interests", "Lai phat sinh", IF(C585="Misc", "Phi", IF(C585="Account Transfer", "Lai tra gop", "Am")))), "Bang 0"))</f>
        <v>Du no</v>
      </c>
    </row>
    <row r="586" spans="1:7" x14ac:dyDescent="0.3">
      <c r="A586" s="60">
        <v>44061</v>
      </c>
      <c r="B586" s="33">
        <v>-120000</v>
      </c>
      <c r="C586" t="s">
        <v>51</v>
      </c>
      <c r="D586" t="s">
        <v>808</v>
      </c>
      <c r="E586" t="str">
        <f>IF(OR(C586="Transaction",C586="Interests",C586="Misc",C586="Account Transfer"), IF(C586="Transaction", IF(B586&lt;0, "Du no", "Da thanh toan"), IF(C586="Interests", "Lai", IF(C586="Misc", "Phi", IF(C586="Account Transfer", IF(OR(ISNUMBER(SEARCH("Trich lai tra gop the TD", D586)), ISNUMBER(SEARCH("Chuyen lai tra gop con lai sang du no thong thuong khi BadDebt", D586))), IF(B586&lt;0, "Lai tra gop", ""), "" )))))) &amp; " " &amp; IF(C586="Interests", TEXT(EDATE(IF(DAY(A586)&gt;=24, A586, EDATE(A586,-1)), -1),"yyyy-mm"), TEXT(IF(DAY(A586)&gt;=24, A586, EDATE(A586,-1)),"yyyy-mm"))</f>
        <v>Du no 2020-07</v>
      </c>
      <c r="F586">
        <f>IF(ISNUMBER(B586), ROUND(SUMIFS($B$2:$B$10000, $E$2:$E$10000, E586, $B$2:$B$10000, IF(B586&lt;0, "&lt;0", "&gt;0")), 0), "")</f>
        <v>-31393308</v>
      </c>
      <c r="G586" t="str">
        <f>IF(F586&gt;0, IF(C586="Transaction", "Da thanh toan", "Duong"), IF(F586&lt;0, IF(C586="Transaction", "Du no", IF(C586="Interests", "Lai phat sinh", IF(C586="Misc", "Phi", IF(C586="Account Transfer", "Lai tra gop", "Am")))), "Bang 0"))</f>
        <v>Du no</v>
      </c>
    </row>
    <row r="587" spans="1:7" x14ac:dyDescent="0.3">
      <c r="A587" s="60">
        <v>44061</v>
      </c>
      <c r="B587" s="33">
        <v>-12000</v>
      </c>
      <c r="C587" t="s">
        <v>51</v>
      </c>
      <c r="D587" t="s">
        <v>808</v>
      </c>
      <c r="E587" t="str">
        <f>IF(OR(C587="Transaction",C587="Interests",C587="Misc",C587="Account Transfer"), IF(C587="Transaction", IF(B587&lt;0, "Du no", "Da thanh toan"), IF(C587="Interests", "Lai", IF(C587="Misc", "Phi", IF(C587="Account Transfer", IF(OR(ISNUMBER(SEARCH("Trich lai tra gop the TD", D587)), ISNUMBER(SEARCH("Chuyen lai tra gop con lai sang du no thong thuong khi BadDebt", D587))), IF(B587&lt;0, "Lai tra gop", ""), "" )))))) &amp; " " &amp; IF(C587="Interests", TEXT(EDATE(IF(DAY(A587)&gt;=24, A587, EDATE(A587,-1)), -1),"yyyy-mm"), TEXT(IF(DAY(A587)&gt;=24, A587, EDATE(A587,-1)),"yyyy-mm"))</f>
        <v>Du no 2020-07</v>
      </c>
      <c r="F587">
        <f>IF(ISNUMBER(B587), ROUND(SUMIFS($B$2:$B$10000, $E$2:$E$10000, E587, $B$2:$B$10000, IF(B587&lt;0, "&lt;0", "&gt;0")), 0), "")</f>
        <v>-31393308</v>
      </c>
      <c r="G587" t="str">
        <f>IF(F587&gt;0, IF(C587="Transaction", "Da thanh toan", "Duong"), IF(F587&lt;0, IF(C587="Transaction", "Du no", IF(C587="Interests", "Lai phat sinh", IF(C587="Misc", "Phi", IF(C587="Account Transfer", "Lai tra gop", "Am")))), "Bang 0"))</f>
        <v>Du no</v>
      </c>
    </row>
    <row r="588" spans="1:7" x14ac:dyDescent="0.3">
      <c r="A588" s="60">
        <v>44061</v>
      </c>
      <c r="B588" s="33">
        <v>-120000</v>
      </c>
      <c r="C588" t="s">
        <v>51</v>
      </c>
      <c r="D588" t="s">
        <v>808</v>
      </c>
      <c r="E588" t="str">
        <f>IF(OR(C588="Transaction",C588="Interests",C588="Misc",C588="Account Transfer"), IF(C588="Transaction", IF(B588&lt;0, "Du no", "Da thanh toan"), IF(C588="Interests", "Lai", IF(C588="Misc", "Phi", IF(C588="Account Transfer", IF(OR(ISNUMBER(SEARCH("Trich lai tra gop the TD", D588)), ISNUMBER(SEARCH("Chuyen lai tra gop con lai sang du no thong thuong khi BadDebt", D588))), IF(B588&lt;0, "Lai tra gop", ""), "" )))))) &amp; " " &amp; IF(C588="Interests", TEXT(EDATE(IF(DAY(A588)&gt;=24, A588, EDATE(A588,-1)), -1),"yyyy-mm"), TEXT(IF(DAY(A588)&gt;=24, A588, EDATE(A588,-1)),"yyyy-mm"))</f>
        <v>Du no 2020-07</v>
      </c>
      <c r="F588">
        <f>IF(ISNUMBER(B588), ROUND(SUMIFS($B$2:$B$10000, $E$2:$E$10000, E588, $B$2:$B$10000, IF(B588&lt;0, "&lt;0", "&gt;0")), 0), "")</f>
        <v>-31393308</v>
      </c>
      <c r="G588" t="str">
        <f>IF(F588&gt;0, IF(C588="Transaction", "Da thanh toan", "Duong"), IF(F588&lt;0, IF(C588="Transaction", "Du no", IF(C588="Interests", "Lai phat sinh", IF(C588="Misc", "Phi", IF(C588="Account Transfer", "Lai tra gop", "Am")))), "Bang 0"))</f>
        <v>Du no</v>
      </c>
    </row>
    <row r="589" spans="1:7" x14ac:dyDescent="0.3">
      <c r="A589" s="60">
        <v>44061</v>
      </c>
      <c r="B589" s="33">
        <v>-12000</v>
      </c>
      <c r="C589" t="s">
        <v>51</v>
      </c>
      <c r="D589" t="s">
        <v>808</v>
      </c>
      <c r="E589" t="str">
        <f>IF(OR(C589="Transaction",C589="Interests",C589="Misc",C589="Account Transfer"), IF(C589="Transaction", IF(B589&lt;0, "Du no", "Da thanh toan"), IF(C589="Interests", "Lai", IF(C589="Misc", "Phi", IF(C589="Account Transfer", IF(OR(ISNUMBER(SEARCH("Trich lai tra gop the TD", D589)), ISNUMBER(SEARCH("Chuyen lai tra gop con lai sang du no thong thuong khi BadDebt", D589))), IF(B589&lt;0, "Lai tra gop", ""), "" )))))) &amp; " " &amp; IF(C589="Interests", TEXT(EDATE(IF(DAY(A589)&gt;=24, A589, EDATE(A589,-1)), -1),"yyyy-mm"), TEXT(IF(DAY(A589)&gt;=24, A589, EDATE(A589,-1)),"yyyy-mm"))</f>
        <v>Du no 2020-07</v>
      </c>
      <c r="F589">
        <f>IF(ISNUMBER(B589), ROUND(SUMIFS($B$2:$B$10000, $E$2:$E$10000, E589, $B$2:$B$10000, IF(B589&lt;0, "&lt;0", "&gt;0")), 0), "")</f>
        <v>-31393308</v>
      </c>
      <c r="G589" t="str">
        <f>IF(F589&gt;0, IF(C589="Transaction", "Da thanh toan", "Duong"), IF(F589&lt;0, IF(C589="Transaction", "Du no", IF(C589="Interests", "Lai phat sinh", IF(C589="Misc", "Phi", IF(C589="Account Transfer", "Lai tra gop", "Am")))), "Bang 0"))</f>
        <v>Du no</v>
      </c>
    </row>
    <row r="590" spans="1:7" x14ac:dyDescent="0.3">
      <c r="A590" s="60">
        <v>44055</v>
      </c>
      <c r="B590" s="33">
        <v>32000000</v>
      </c>
      <c r="C590" t="s">
        <v>51</v>
      </c>
      <c r="D590" t="s">
        <v>766</v>
      </c>
      <c r="E590" t="str">
        <f>IF(OR(C590="Transaction",C590="Interests",C590="Misc",C590="Account Transfer"), IF(C590="Transaction", IF(B590&lt;0, "Du no", "Da thanh toan"), IF(C590="Interests", "Lai", IF(C590="Misc", "Phi", IF(C590="Account Transfer", IF(OR(ISNUMBER(SEARCH("Trich lai tra gop the TD", D590)), ISNUMBER(SEARCH("Chuyen lai tra gop con lai sang du no thong thuong khi BadDebt", D590))), IF(B590&lt;0, "Lai tra gop", ""), "" )))))) &amp; " " &amp; IF(C590="Interests", TEXT(EDATE(IF(DAY(A590)&gt;=24, A590, EDATE(A590,-1)), -1),"yyyy-mm"), TEXT(IF(DAY(A590)&gt;=24, A590, EDATE(A590,-1)),"yyyy-mm"))</f>
        <v>Da thanh toan 2020-07</v>
      </c>
      <c r="F590">
        <f>IF(ISNUMBER(B590), ROUND(SUMIFS($B$2:$B$10000, $E$2:$E$10000, E590, $B$2:$B$10000, IF(B590&lt;0, "&lt;0", "&gt;0")), 0), "")</f>
        <v>36300000</v>
      </c>
      <c r="G590" t="str">
        <f>IF(F590&gt;0, IF(C590="Transaction", "Da thanh toan", "Duong"), IF(F590&lt;0, IF(C590="Transaction", "Du no", IF(C590="Interests", "Lai phat sinh", IF(C590="Misc", "Phi", IF(C590="Account Transfer", "Lai tra gop", "Am")))), "Bang 0"))</f>
        <v>Da thanh toan</v>
      </c>
    </row>
    <row r="591" spans="1:7" x14ac:dyDescent="0.3">
      <c r="A591" s="60">
        <v>44048</v>
      </c>
      <c r="B591" s="33">
        <v>-2000000</v>
      </c>
      <c r="C591" t="s">
        <v>51</v>
      </c>
      <c r="D591" t="s">
        <v>808</v>
      </c>
      <c r="E591" t="str">
        <f>IF(OR(C591="Transaction",C591="Interests",C591="Misc",C591="Account Transfer"), IF(C591="Transaction", IF(B591&lt;0, "Du no", "Da thanh toan"), IF(C591="Interests", "Lai", IF(C591="Misc", "Phi", IF(C591="Account Transfer", IF(OR(ISNUMBER(SEARCH("Trich lai tra gop the TD", D591)), ISNUMBER(SEARCH("Chuyen lai tra gop con lai sang du no thong thuong khi BadDebt", D591))), IF(B591&lt;0, "Lai tra gop", ""), "" )))))) &amp; " " &amp; IF(C591="Interests", TEXT(EDATE(IF(DAY(A591)&gt;=24, A591, EDATE(A591,-1)), -1),"yyyy-mm"), TEXT(IF(DAY(A591)&gt;=24, A591, EDATE(A591,-1)),"yyyy-mm"))</f>
        <v>Du no 2020-07</v>
      </c>
      <c r="F591">
        <f>IF(ISNUMBER(B591), ROUND(SUMIFS($B$2:$B$10000, $E$2:$E$10000, E591, $B$2:$B$10000, IF(B591&lt;0, "&lt;0", "&gt;0")), 0), "")</f>
        <v>-31393308</v>
      </c>
      <c r="G591" t="str">
        <f>IF(F591&gt;0, IF(C591="Transaction", "Da thanh toan", "Duong"), IF(F591&lt;0, IF(C591="Transaction", "Du no", IF(C591="Interests", "Lai phat sinh", IF(C591="Misc", "Phi", IF(C591="Account Transfer", "Lai tra gop", "Am")))), "Bang 0"))</f>
        <v>Du no</v>
      </c>
    </row>
    <row r="592" spans="1:7" x14ac:dyDescent="0.3">
      <c r="A592" s="60">
        <v>44048</v>
      </c>
      <c r="B592" s="33">
        <v>-2000000</v>
      </c>
      <c r="C592" t="s">
        <v>51</v>
      </c>
      <c r="D592" t="s">
        <v>809</v>
      </c>
      <c r="E592" t="str">
        <f>IF(OR(C592="Transaction",C592="Interests",C592="Misc",C592="Account Transfer"), IF(C592="Transaction", IF(B592&lt;0, "Du no", "Da thanh toan"), IF(C592="Interests", "Lai", IF(C592="Misc", "Phi", IF(C592="Account Transfer", IF(OR(ISNUMBER(SEARCH("Trich lai tra gop the TD", D592)), ISNUMBER(SEARCH("Chuyen lai tra gop con lai sang du no thong thuong khi BadDebt", D592))), IF(B592&lt;0, "Lai tra gop", ""), "" )))))) &amp; " " &amp; IF(C592="Interests", TEXT(EDATE(IF(DAY(A592)&gt;=24, A592, EDATE(A592,-1)), -1),"yyyy-mm"), TEXT(IF(DAY(A592)&gt;=24, A592, EDATE(A592,-1)),"yyyy-mm"))</f>
        <v>Du no 2020-07</v>
      </c>
      <c r="F592">
        <f>IF(ISNUMBER(B592), ROUND(SUMIFS($B$2:$B$10000, $E$2:$E$10000, E592, $B$2:$B$10000, IF(B592&lt;0, "&lt;0", "&gt;0")), 0), "")</f>
        <v>-31393308</v>
      </c>
      <c r="G592" t="str">
        <f>IF(F592&gt;0, IF(C592="Transaction", "Da thanh toan", "Duong"), IF(F592&lt;0, IF(C592="Transaction", "Du no", IF(C592="Interests", "Lai phat sinh", IF(C592="Misc", "Phi", IF(C592="Account Transfer", "Lai tra gop", "Am")))), "Bang 0"))</f>
        <v>Du no</v>
      </c>
    </row>
    <row r="593" spans="1:7" x14ac:dyDescent="0.3">
      <c r="A593" s="60">
        <v>44048</v>
      </c>
      <c r="B593" s="33">
        <v>-100000</v>
      </c>
      <c r="C593" t="s">
        <v>51</v>
      </c>
      <c r="D593" t="s">
        <v>808</v>
      </c>
      <c r="E593" t="str">
        <f>IF(OR(C593="Transaction",C593="Interests",C593="Misc",C593="Account Transfer"), IF(C593="Transaction", IF(B593&lt;0, "Du no", "Da thanh toan"), IF(C593="Interests", "Lai", IF(C593="Misc", "Phi", IF(C593="Account Transfer", IF(OR(ISNUMBER(SEARCH("Trich lai tra gop the TD", D593)), ISNUMBER(SEARCH("Chuyen lai tra gop con lai sang du no thong thuong khi BadDebt", D593))), IF(B593&lt;0, "Lai tra gop", ""), "" )))))) &amp; " " &amp; IF(C593="Interests", TEXT(EDATE(IF(DAY(A593)&gt;=24, A593, EDATE(A593,-1)), -1),"yyyy-mm"), TEXT(IF(DAY(A593)&gt;=24, A593, EDATE(A593,-1)),"yyyy-mm"))</f>
        <v>Du no 2020-07</v>
      </c>
      <c r="F593">
        <f>IF(ISNUMBER(B593), ROUND(SUMIFS($B$2:$B$10000, $E$2:$E$10000, E593, $B$2:$B$10000, IF(B593&lt;0, "&lt;0", "&gt;0")), 0), "")</f>
        <v>-31393308</v>
      </c>
      <c r="G593" t="str">
        <f>IF(F593&gt;0, IF(C593="Transaction", "Da thanh toan", "Duong"), IF(F593&lt;0, IF(C593="Transaction", "Du no", IF(C593="Interests", "Lai phat sinh", IF(C593="Misc", "Phi", IF(C593="Account Transfer", "Lai tra gop", "Am")))), "Bang 0"))</f>
        <v>Du no</v>
      </c>
    </row>
    <row r="594" spans="1:7" x14ac:dyDescent="0.3">
      <c r="A594" s="60">
        <v>44048</v>
      </c>
      <c r="B594" s="33">
        <v>-10000</v>
      </c>
      <c r="C594" t="s">
        <v>51</v>
      </c>
      <c r="D594" t="s">
        <v>808</v>
      </c>
      <c r="E594" t="str">
        <f>IF(OR(C594="Transaction",C594="Interests",C594="Misc",C594="Account Transfer"), IF(C594="Transaction", IF(B594&lt;0, "Du no", "Da thanh toan"), IF(C594="Interests", "Lai", IF(C594="Misc", "Phi", IF(C594="Account Transfer", IF(OR(ISNUMBER(SEARCH("Trich lai tra gop the TD", D594)), ISNUMBER(SEARCH("Chuyen lai tra gop con lai sang du no thong thuong khi BadDebt", D594))), IF(B594&lt;0, "Lai tra gop", ""), "" )))))) &amp; " " &amp; IF(C594="Interests", TEXT(EDATE(IF(DAY(A594)&gt;=24, A594, EDATE(A594,-1)), -1),"yyyy-mm"), TEXT(IF(DAY(A594)&gt;=24, A594, EDATE(A594,-1)),"yyyy-mm"))</f>
        <v>Du no 2020-07</v>
      </c>
      <c r="F594">
        <f>IF(ISNUMBER(B594), ROUND(SUMIFS($B$2:$B$10000, $E$2:$E$10000, E594, $B$2:$B$10000, IF(B594&lt;0, "&lt;0", "&gt;0")), 0), "")</f>
        <v>-31393308</v>
      </c>
      <c r="G594" t="str">
        <f>IF(F594&gt;0, IF(C594="Transaction", "Da thanh toan", "Duong"), IF(F594&lt;0, IF(C594="Transaction", "Du no", IF(C594="Interests", "Lai phat sinh", IF(C594="Misc", "Phi", IF(C594="Account Transfer", "Lai tra gop", "Am")))), "Bang 0"))</f>
        <v>Du no</v>
      </c>
    </row>
    <row r="595" spans="1:7" x14ac:dyDescent="0.3">
      <c r="A595" s="60">
        <v>44048</v>
      </c>
      <c r="B595" s="33">
        <v>-100000</v>
      </c>
      <c r="C595" t="s">
        <v>51</v>
      </c>
      <c r="D595" t="s">
        <v>809</v>
      </c>
      <c r="E595" t="str">
        <f>IF(OR(C595="Transaction",C595="Interests",C595="Misc",C595="Account Transfer"), IF(C595="Transaction", IF(B595&lt;0, "Du no", "Da thanh toan"), IF(C595="Interests", "Lai", IF(C595="Misc", "Phi", IF(C595="Account Transfer", IF(OR(ISNUMBER(SEARCH("Trich lai tra gop the TD", D595)), ISNUMBER(SEARCH("Chuyen lai tra gop con lai sang du no thong thuong khi BadDebt", D595))), IF(B595&lt;0, "Lai tra gop", ""), "" )))))) &amp; " " &amp; IF(C595="Interests", TEXT(EDATE(IF(DAY(A595)&gt;=24, A595, EDATE(A595,-1)), -1),"yyyy-mm"), TEXT(IF(DAY(A595)&gt;=24, A595, EDATE(A595,-1)),"yyyy-mm"))</f>
        <v>Du no 2020-07</v>
      </c>
      <c r="F595">
        <f>IF(ISNUMBER(B595), ROUND(SUMIFS($B$2:$B$10000, $E$2:$E$10000, E595, $B$2:$B$10000, IF(B595&lt;0, "&lt;0", "&gt;0")), 0), "")</f>
        <v>-31393308</v>
      </c>
      <c r="G595" t="str">
        <f>IF(F595&gt;0, IF(C595="Transaction", "Da thanh toan", "Duong"), IF(F595&lt;0, IF(C595="Transaction", "Du no", IF(C595="Interests", "Lai phat sinh", IF(C595="Misc", "Phi", IF(C595="Account Transfer", "Lai tra gop", "Am")))), "Bang 0"))</f>
        <v>Du no</v>
      </c>
    </row>
    <row r="596" spans="1:7" x14ac:dyDescent="0.3">
      <c r="A596" s="60">
        <v>44048</v>
      </c>
      <c r="B596" s="33">
        <v>-10000</v>
      </c>
      <c r="C596" t="s">
        <v>51</v>
      </c>
      <c r="D596" t="s">
        <v>809</v>
      </c>
      <c r="E596" t="str">
        <f>IF(OR(C596="Transaction",C596="Interests",C596="Misc",C596="Account Transfer"), IF(C596="Transaction", IF(B596&lt;0, "Du no", "Da thanh toan"), IF(C596="Interests", "Lai", IF(C596="Misc", "Phi", IF(C596="Account Transfer", IF(OR(ISNUMBER(SEARCH("Trich lai tra gop the TD", D596)), ISNUMBER(SEARCH("Chuyen lai tra gop con lai sang du no thong thuong khi BadDebt", D596))), IF(B596&lt;0, "Lai tra gop", ""), "" )))))) &amp; " " &amp; IF(C596="Interests", TEXT(EDATE(IF(DAY(A596)&gt;=24, A596, EDATE(A596,-1)), -1),"yyyy-mm"), TEXT(IF(DAY(A596)&gt;=24, A596, EDATE(A596,-1)),"yyyy-mm"))</f>
        <v>Du no 2020-07</v>
      </c>
      <c r="F596">
        <f>IF(ISNUMBER(B596), ROUND(SUMIFS($B$2:$B$10000, $E$2:$E$10000, E596, $B$2:$B$10000, IF(B596&lt;0, "&lt;0", "&gt;0")), 0), "")</f>
        <v>-31393308</v>
      </c>
      <c r="G596" t="str">
        <f>IF(F596&gt;0, IF(C596="Transaction", "Da thanh toan", "Duong"), IF(F596&lt;0, IF(C596="Transaction", "Du no", IF(C596="Interests", "Lai phat sinh", IF(C596="Misc", "Phi", IF(C596="Account Transfer", "Lai tra gop", "Am")))), "Bang 0"))</f>
        <v>Du no</v>
      </c>
    </row>
    <row r="597" spans="1:7" x14ac:dyDescent="0.3">
      <c r="A597" s="60">
        <v>44047</v>
      </c>
      <c r="B597" s="33">
        <v>-3000000</v>
      </c>
      <c r="C597" t="s">
        <v>51</v>
      </c>
      <c r="D597" t="s">
        <v>810</v>
      </c>
      <c r="E597" t="str">
        <f>IF(OR(C597="Transaction",C597="Interests",C597="Misc",C597="Account Transfer"), IF(C597="Transaction", IF(B597&lt;0, "Du no", "Da thanh toan"), IF(C597="Interests", "Lai", IF(C597="Misc", "Phi", IF(C597="Account Transfer", IF(OR(ISNUMBER(SEARCH("Trich lai tra gop the TD", D597)), ISNUMBER(SEARCH("Chuyen lai tra gop con lai sang du no thong thuong khi BadDebt", D597))), IF(B597&lt;0, "Lai tra gop", ""), "" )))))) &amp; " " &amp; IF(C597="Interests", TEXT(EDATE(IF(DAY(A597)&gt;=24, A597, EDATE(A597,-1)), -1),"yyyy-mm"), TEXT(IF(DAY(A597)&gt;=24, A597, EDATE(A597,-1)),"yyyy-mm"))</f>
        <v>Du no 2020-07</v>
      </c>
      <c r="F597">
        <f>IF(ISNUMBER(B597), ROUND(SUMIFS($B$2:$B$10000, $E$2:$E$10000, E597, $B$2:$B$10000, IF(B597&lt;0, "&lt;0", "&gt;0")), 0), "")</f>
        <v>-31393308</v>
      </c>
      <c r="G597" t="str">
        <f>IF(F597&gt;0, IF(C597="Transaction", "Da thanh toan", "Duong"), IF(F597&lt;0, IF(C597="Transaction", "Du no", IF(C597="Interests", "Lai phat sinh", IF(C597="Misc", "Phi", IF(C597="Account Transfer", "Lai tra gop", "Am")))), "Bang 0"))</f>
        <v>Du no</v>
      </c>
    </row>
    <row r="598" spans="1:7" x14ac:dyDescent="0.3">
      <c r="A598" s="60">
        <v>44047</v>
      </c>
      <c r="B598" s="33">
        <v>-120000</v>
      </c>
      <c r="C598" t="s">
        <v>51</v>
      </c>
      <c r="D598" t="s">
        <v>810</v>
      </c>
      <c r="E598" t="str">
        <f>IF(OR(C598="Transaction",C598="Interests",C598="Misc",C598="Account Transfer"), IF(C598="Transaction", IF(B598&lt;0, "Du no", "Da thanh toan"), IF(C598="Interests", "Lai", IF(C598="Misc", "Phi", IF(C598="Account Transfer", IF(OR(ISNUMBER(SEARCH("Trich lai tra gop the TD", D598)), ISNUMBER(SEARCH("Chuyen lai tra gop con lai sang du no thong thuong khi BadDebt", D598))), IF(B598&lt;0, "Lai tra gop", ""), "" )))))) &amp; " " &amp; IF(C598="Interests", TEXT(EDATE(IF(DAY(A598)&gt;=24, A598, EDATE(A598,-1)), -1),"yyyy-mm"), TEXT(IF(DAY(A598)&gt;=24, A598, EDATE(A598,-1)),"yyyy-mm"))</f>
        <v>Du no 2020-07</v>
      </c>
      <c r="F598">
        <f>IF(ISNUMBER(B598), ROUND(SUMIFS($B$2:$B$10000, $E$2:$E$10000, E598, $B$2:$B$10000, IF(B598&lt;0, "&lt;0", "&gt;0")), 0), "")</f>
        <v>-31393308</v>
      </c>
      <c r="G598" t="str">
        <f>IF(F598&gt;0, IF(C598="Transaction", "Da thanh toan", "Duong"), IF(F598&lt;0, IF(C598="Transaction", "Du no", IF(C598="Interests", "Lai phat sinh", IF(C598="Misc", "Phi", IF(C598="Account Transfer", "Lai tra gop", "Am")))), "Bang 0"))</f>
        <v>Du no</v>
      </c>
    </row>
    <row r="599" spans="1:7" x14ac:dyDescent="0.3">
      <c r="A599" s="60">
        <v>44047</v>
      </c>
      <c r="B599" s="33">
        <v>-12000</v>
      </c>
      <c r="C599" t="s">
        <v>51</v>
      </c>
      <c r="D599" t="s">
        <v>810</v>
      </c>
      <c r="E599" t="str">
        <f>IF(OR(C599="Transaction",C599="Interests",C599="Misc",C599="Account Transfer"), IF(C599="Transaction", IF(B599&lt;0, "Du no", "Da thanh toan"), IF(C599="Interests", "Lai", IF(C599="Misc", "Phi", IF(C599="Account Transfer", IF(OR(ISNUMBER(SEARCH("Trich lai tra gop the TD", D599)), ISNUMBER(SEARCH("Chuyen lai tra gop con lai sang du no thong thuong khi BadDebt", D599))), IF(B599&lt;0, "Lai tra gop", ""), "" )))))) &amp; " " &amp; IF(C599="Interests", TEXT(EDATE(IF(DAY(A599)&gt;=24, A599, EDATE(A599,-1)), -1),"yyyy-mm"), TEXT(IF(DAY(A599)&gt;=24, A599, EDATE(A599,-1)),"yyyy-mm"))</f>
        <v>Du no 2020-07</v>
      </c>
      <c r="F599">
        <f>IF(ISNUMBER(B599), ROUND(SUMIFS($B$2:$B$10000, $E$2:$E$10000, E599, $B$2:$B$10000, IF(B599&lt;0, "&lt;0", "&gt;0")), 0), "")</f>
        <v>-31393308</v>
      </c>
      <c r="G599" t="str">
        <f>IF(F599&gt;0, IF(C599="Transaction", "Da thanh toan", "Duong"), IF(F599&lt;0, IF(C599="Transaction", "Du no", IF(C599="Interests", "Lai phat sinh", IF(C599="Misc", "Phi", IF(C599="Account Transfer", "Lai tra gop", "Am")))), "Bang 0"))</f>
        <v>Du no</v>
      </c>
    </row>
    <row r="600" spans="1:7" x14ac:dyDescent="0.3">
      <c r="A600" s="60">
        <v>44046</v>
      </c>
      <c r="B600" s="33">
        <v>4200000</v>
      </c>
      <c r="C600" t="s">
        <v>51</v>
      </c>
      <c r="D600" t="s">
        <v>766</v>
      </c>
      <c r="E600" t="str">
        <f>IF(OR(C600="Transaction",C600="Interests",C600="Misc",C600="Account Transfer"), IF(C600="Transaction", IF(B600&lt;0, "Du no", "Da thanh toan"), IF(C600="Interests", "Lai", IF(C600="Misc", "Phi", IF(C600="Account Transfer", IF(OR(ISNUMBER(SEARCH("Trich lai tra gop the TD", D600)), ISNUMBER(SEARCH("Chuyen lai tra gop con lai sang du no thong thuong khi BadDebt", D600))), IF(B600&lt;0, "Lai tra gop", ""), "" )))))) &amp; " " &amp; IF(C600="Interests", TEXT(EDATE(IF(DAY(A600)&gt;=24, A600, EDATE(A600,-1)), -1),"yyyy-mm"), TEXT(IF(DAY(A600)&gt;=24, A600, EDATE(A600,-1)),"yyyy-mm"))</f>
        <v>Da thanh toan 2020-07</v>
      </c>
      <c r="F600">
        <f>IF(ISNUMBER(B600), ROUND(SUMIFS($B$2:$B$10000, $E$2:$E$10000, E600, $B$2:$B$10000, IF(B600&lt;0, "&lt;0", "&gt;0")), 0), "")</f>
        <v>36300000</v>
      </c>
      <c r="G600" t="str">
        <f>IF(F600&gt;0, IF(C600="Transaction", "Da thanh toan", "Duong"), IF(F600&lt;0, IF(C600="Transaction", "Du no", IF(C600="Interests", "Lai phat sinh", IF(C600="Misc", "Phi", IF(C600="Account Transfer", "Lai tra gop", "Am")))), "Bang 0"))</f>
        <v>Da thanh toan</v>
      </c>
    </row>
    <row r="601" spans="1:7" x14ac:dyDescent="0.3">
      <c r="A601" s="60">
        <v>44046</v>
      </c>
      <c r="B601" s="33">
        <v>100000</v>
      </c>
      <c r="C601" t="s">
        <v>51</v>
      </c>
      <c r="D601" t="s">
        <v>766</v>
      </c>
      <c r="E601" t="str">
        <f>IF(OR(C601="Transaction",C601="Interests",C601="Misc",C601="Account Transfer"), IF(C601="Transaction", IF(B601&lt;0, "Du no", "Da thanh toan"), IF(C601="Interests", "Lai", IF(C601="Misc", "Phi", IF(C601="Account Transfer", IF(OR(ISNUMBER(SEARCH("Trich lai tra gop the TD", D601)), ISNUMBER(SEARCH("Chuyen lai tra gop con lai sang du no thong thuong khi BadDebt", D601))), IF(B601&lt;0, "Lai tra gop", ""), "" )))))) &amp; " " &amp; IF(C601="Interests", TEXT(EDATE(IF(DAY(A601)&gt;=24, A601, EDATE(A601,-1)), -1),"yyyy-mm"), TEXT(IF(DAY(A601)&gt;=24, A601, EDATE(A601,-1)),"yyyy-mm"))</f>
        <v>Da thanh toan 2020-07</v>
      </c>
      <c r="F601">
        <f>IF(ISNUMBER(B601), ROUND(SUMIFS($B$2:$B$10000, $E$2:$E$10000, E601, $B$2:$B$10000, IF(B601&lt;0, "&lt;0", "&gt;0")), 0), "")</f>
        <v>36300000</v>
      </c>
      <c r="G601" t="str">
        <f>IF(F601&gt;0, IF(C601="Transaction", "Da thanh toan", "Duong"), IF(F601&lt;0, IF(C601="Transaction", "Du no", IF(C601="Interests", "Lai phat sinh", IF(C601="Misc", "Phi", IF(C601="Account Transfer", "Lai tra gop", "Am")))), "Bang 0"))</f>
        <v>Da thanh toan</v>
      </c>
    </row>
    <row r="602" spans="1:7" x14ac:dyDescent="0.3">
      <c r="A602" s="60">
        <v>44046</v>
      </c>
      <c r="B602" s="33">
        <v>-7308</v>
      </c>
      <c r="C602" t="s">
        <v>51</v>
      </c>
      <c r="D602" t="s">
        <v>811</v>
      </c>
      <c r="E602" t="str">
        <f>IF(OR(C602="Transaction",C602="Interests",C602="Misc",C602="Account Transfer"), IF(C602="Transaction", IF(B602&lt;0, "Du no", "Da thanh toan"), IF(C602="Interests", "Lai", IF(C602="Misc", "Phi", IF(C602="Account Transfer", IF(OR(ISNUMBER(SEARCH("Trich lai tra gop the TD", D602)), ISNUMBER(SEARCH("Chuyen lai tra gop con lai sang du no thong thuong khi BadDebt", D602))), IF(B602&lt;0, "Lai tra gop", ""), "" )))))) &amp; " " &amp; IF(C602="Interests", TEXT(EDATE(IF(DAY(A602)&gt;=24, A602, EDATE(A602,-1)), -1),"yyyy-mm"), TEXT(IF(DAY(A602)&gt;=24, A602, EDATE(A602,-1)),"yyyy-mm"))</f>
        <v>Du no 2020-07</v>
      </c>
      <c r="F602">
        <f>IF(ISNUMBER(B602), ROUND(SUMIFS($B$2:$B$10000, $E$2:$E$10000, E602, $B$2:$B$10000, IF(B602&lt;0, "&lt;0", "&gt;0")), 0), "")</f>
        <v>-31393308</v>
      </c>
      <c r="G602" t="str">
        <f>IF(F602&gt;0, IF(C602="Transaction", "Da thanh toan", "Duong"), IF(F602&lt;0, IF(C602="Transaction", "Du no", IF(C602="Interests", "Lai phat sinh", IF(C602="Misc", "Phi", IF(C602="Account Transfer", "Lai tra gop", "Am")))), "Bang 0"))</f>
        <v>Du no</v>
      </c>
    </row>
    <row r="603" spans="1:7" x14ac:dyDescent="0.3">
      <c r="A603" s="60">
        <v>44041</v>
      </c>
      <c r="B603" s="33">
        <v>-450</v>
      </c>
      <c r="C603" t="s">
        <v>50</v>
      </c>
      <c r="E603" t="str">
        <f>IF(OR(C603="Transaction",C603="Interests",C603="Misc",C603="Account Transfer"), IF(C603="Transaction", IF(B603&lt;0, "Du no", "Da thanh toan"), IF(C603="Interests", "Lai", IF(C603="Misc", "Phi", IF(C603="Account Transfer", IF(OR(ISNUMBER(SEARCH("Trich lai tra gop the TD", D603)), ISNUMBER(SEARCH("Chuyen lai tra gop con lai sang du no thong thuong khi BadDebt", D603))), IF(B603&lt;0, "Lai tra gop", ""), "" )))))) &amp; " " &amp; IF(C603="Interests", TEXT(EDATE(IF(DAY(A603)&gt;=24, A603, EDATE(A603,-1)), -1),"yyyy-mm"), TEXT(IF(DAY(A603)&gt;=24, A603, EDATE(A603,-1)),"yyyy-mm"))</f>
        <v>Phi 2020-07</v>
      </c>
      <c r="F603">
        <f>IF(ISNUMBER(B603), ROUND(SUMIFS($B$2:$B$10000, $E$2:$E$10000, E603, $B$2:$B$10000, IF(B603&lt;0, "&lt;0", "&gt;0")), 0), "")</f>
        <v>-4950</v>
      </c>
      <c r="G603" t="str">
        <f>IF(F603&gt;0, IF(C603="Transaction", "Da thanh toan", "Duong"), IF(F603&lt;0, IF(C603="Transaction", "Du no", IF(C603="Interests", "Lai phat sinh", IF(C603="Misc", "Phi", IF(C603="Account Transfer", "Lai tra gop", "Am")))), "Bang 0"))</f>
        <v>Phi</v>
      </c>
    </row>
    <row r="604" spans="1:7" x14ac:dyDescent="0.3">
      <c r="A604" s="60">
        <v>44041</v>
      </c>
      <c r="B604" s="33">
        <v>-4500</v>
      </c>
      <c r="C604" t="s">
        <v>50</v>
      </c>
      <c r="E604" t="str">
        <f>IF(OR(C604="Transaction",C604="Interests",C604="Misc",C604="Account Transfer"), IF(C604="Transaction", IF(B604&lt;0, "Du no", "Da thanh toan"), IF(C604="Interests", "Lai", IF(C604="Misc", "Phi", IF(C604="Account Transfer", IF(OR(ISNUMBER(SEARCH("Trich lai tra gop the TD", D604)), ISNUMBER(SEARCH("Chuyen lai tra gop con lai sang du no thong thuong khi BadDebt", D604))), IF(B604&lt;0, "Lai tra gop", ""), "" )))))) &amp; " " &amp; IF(C604="Interests", TEXT(EDATE(IF(DAY(A604)&gt;=24, A604, EDATE(A604,-1)), -1),"yyyy-mm"), TEXT(IF(DAY(A604)&gt;=24, A604, EDATE(A604,-1)),"yyyy-mm"))</f>
        <v>Phi 2020-07</v>
      </c>
      <c r="F604">
        <f>IF(ISNUMBER(B604), ROUND(SUMIFS($B$2:$B$10000, $E$2:$E$10000, E604, $B$2:$B$10000, IF(B604&lt;0, "&lt;0", "&gt;0")), 0), "")</f>
        <v>-4950</v>
      </c>
      <c r="G604" t="str">
        <f>IF(F604&gt;0, IF(C604="Transaction", "Da thanh toan", "Duong"), IF(F604&lt;0, IF(C604="Transaction", "Du no", IF(C604="Interests", "Lai phat sinh", IF(C604="Misc", "Phi", IF(C604="Account Transfer", "Lai tra gop", "Am")))), "Bang 0"))</f>
        <v>Phi</v>
      </c>
    </row>
    <row r="605" spans="1:7" x14ac:dyDescent="0.3">
      <c r="A605" s="60">
        <v>44036</v>
      </c>
      <c r="B605" s="33">
        <v>-1898.2</v>
      </c>
      <c r="C605" t="s">
        <v>49</v>
      </c>
      <c r="E605" t="str">
        <f>IF(OR(C605="Transaction",C605="Interests",C605="Misc",C605="Account Transfer"), IF(C605="Transaction", IF(B605&lt;0, "Du no", "Da thanh toan"), IF(C605="Interests", "Lai", IF(C605="Misc", "Phi", IF(C605="Account Transfer", IF(OR(ISNUMBER(SEARCH("Trich lai tra gop the TD", D605)), ISNUMBER(SEARCH("Chuyen lai tra gop con lai sang du no thong thuong khi BadDebt", D605))), IF(B605&lt;0, "Lai tra gop", ""), "" )))))) &amp; " " &amp; IF(C605="Interests", TEXT(EDATE(IF(DAY(A605)&gt;=24, A605, EDATE(A605,-1)), -1),"yyyy-mm"), TEXT(IF(DAY(A605)&gt;=24, A605, EDATE(A605,-1)),"yyyy-mm"))</f>
        <v>Lai 2020-06</v>
      </c>
      <c r="F605">
        <f>IF(ISNUMBER(B605), ROUND(SUMIFS($B$2:$B$10000, $E$2:$E$10000, E605, $B$2:$B$10000, IF(B605&lt;0, "&lt;0", "&gt;0")), 0), "")</f>
        <v>-34025</v>
      </c>
      <c r="G605" t="str">
        <f>IF(F605&gt;0, IF(C605="Transaction", "Da thanh toan", "Duong"), IF(F605&lt;0, IF(C605="Transaction", "Du no", IF(C605="Interests", "Lai phat sinh", IF(C605="Misc", "Phi", IF(C605="Account Transfer", "Lai tra gop", "Am")))), "Bang 0"))</f>
        <v>Lai phat sinh</v>
      </c>
    </row>
    <row r="606" spans="1:7" x14ac:dyDescent="0.3">
      <c r="A606" s="60">
        <v>44036</v>
      </c>
      <c r="B606" s="33">
        <v>-32127.119999999999</v>
      </c>
      <c r="C606" t="s">
        <v>49</v>
      </c>
      <c r="E606" t="str">
        <f>IF(OR(C606="Transaction",C606="Interests",C606="Misc",C606="Account Transfer"), IF(C606="Transaction", IF(B606&lt;0, "Du no", "Da thanh toan"), IF(C606="Interests", "Lai", IF(C606="Misc", "Phi", IF(C606="Account Transfer", IF(OR(ISNUMBER(SEARCH("Trich lai tra gop the TD", D606)), ISNUMBER(SEARCH("Chuyen lai tra gop con lai sang du no thong thuong khi BadDebt", D606))), IF(B606&lt;0, "Lai tra gop", ""), "" )))))) &amp; " " &amp; IF(C606="Interests", TEXT(EDATE(IF(DAY(A606)&gt;=24, A606, EDATE(A606,-1)), -1),"yyyy-mm"), TEXT(IF(DAY(A606)&gt;=24, A606, EDATE(A606,-1)),"yyyy-mm"))</f>
        <v>Lai 2020-06</v>
      </c>
      <c r="F606">
        <f>IF(ISNUMBER(B606), ROUND(SUMIFS($B$2:$B$10000, $E$2:$E$10000, E606, $B$2:$B$10000, IF(B606&lt;0, "&lt;0", "&gt;0")), 0), "")</f>
        <v>-34025</v>
      </c>
      <c r="G606" t="str">
        <f>IF(F606&gt;0, IF(C606="Transaction", "Da thanh toan", "Duong"), IF(F606&lt;0, IF(C606="Transaction", "Du no", IF(C606="Interests", "Lai phat sinh", IF(C606="Misc", "Phi", IF(C606="Account Transfer", "Lai tra gop", "Am")))), "Bang 0"))</f>
        <v>Lai phat sinh</v>
      </c>
    </row>
    <row r="607" spans="1:7" x14ac:dyDescent="0.3">
      <c r="A607" s="60">
        <v>44029</v>
      </c>
      <c r="B607" s="33">
        <v>-3000000</v>
      </c>
      <c r="C607" t="s">
        <v>51</v>
      </c>
      <c r="D607" t="s">
        <v>812</v>
      </c>
      <c r="E607" t="str">
        <f>IF(OR(C607="Transaction",C607="Interests",C607="Misc",C607="Account Transfer"), IF(C607="Transaction", IF(B607&lt;0, "Du no", "Da thanh toan"), IF(C607="Interests", "Lai", IF(C607="Misc", "Phi", IF(C607="Account Transfer", IF(OR(ISNUMBER(SEARCH("Trich lai tra gop the TD", D607)), ISNUMBER(SEARCH("Chuyen lai tra gop con lai sang du no thong thuong khi BadDebt", D607))), IF(B607&lt;0, "Lai tra gop", ""), "" )))))) &amp; " " &amp; IF(C607="Interests", TEXT(EDATE(IF(DAY(A607)&gt;=24, A607, EDATE(A607,-1)), -1),"yyyy-mm"), TEXT(IF(DAY(A607)&gt;=24, A607, EDATE(A607,-1)),"yyyy-mm"))</f>
        <v>Du no 2020-06</v>
      </c>
      <c r="F607">
        <f>IF(ISNUMBER(B607), ROUND(SUMIFS($B$2:$B$10000, $E$2:$E$10000, E607, $B$2:$B$10000, IF(B607&lt;0, "&lt;0", "&gt;0")), 0), "")</f>
        <v>-9491308</v>
      </c>
      <c r="G607" t="str">
        <f>IF(F607&gt;0, IF(C607="Transaction", "Da thanh toan", "Duong"), IF(F607&lt;0, IF(C607="Transaction", "Du no", IF(C607="Interests", "Lai phat sinh", IF(C607="Misc", "Phi", IF(C607="Account Transfer", "Lai tra gop", "Am")))), "Bang 0"))</f>
        <v>Du no</v>
      </c>
    </row>
    <row r="608" spans="1:7" x14ac:dyDescent="0.3">
      <c r="A608" s="60">
        <v>44029</v>
      </c>
      <c r="B608" s="33">
        <v>3000000</v>
      </c>
      <c r="C608" t="s">
        <v>51</v>
      </c>
      <c r="D608" t="s">
        <v>812</v>
      </c>
      <c r="E608" t="str">
        <f>IF(OR(C608="Transaction",C608="Interests",C608="Misc",C608="Account Transfer"), IF(C608="Transaction", IF(B608&lt;0, "Du no", "Da thanh toan"), IF(C608="Interests", "Lai", IF(C608="Misc", "Phi", IF(C608="Account Transfer", IF(OR(ISNUMBER(SEARCH("Trich lai tra gop the TD", D608)), ISNUMBER(SEARCH("Chuyen lai tra gop con lai sang du no thong thuong khi BadDebt", D608))), IF(B608&lt;0, "Lai tra gop", ""), "" )))))) &amp; " " &amp; IF(C608="Interests", TEXT(EDATE(IF(DAY(A608)&gt;=24, A608, EDATE(A608,-1)), -1),"yyyy-mm"), TEXT(IF(DAY(A608)&gt;=24, A608, EDATE(A608,-1)),"yyyy-mm"))</f>
        <v>Da thanh toan 2020-06</v>
      </c>
      <c r="F608">
        <f>IF(ISNUMBER(B608), ROUND(SUMIFS($B$2:$B$10000, $E$2:$E$10000, E608, $B$2:$B$10000, IF(B608&lt;0, "&lt;0", "&gt;0")), 0), "")</f>
        <v>5592000</v>
      </c>
      <c r="G608" t="str">
        <f>IF(F608&gt;0, IF(C608="Transaction", "Da thanh toan", "Duong"), IF(F608&lt;0, IF(C608="Transaction", "Du no", IF(C608="Interests", "Lai phat sinh", IF(C608="Misc", "Phi", IF(C608="Account Transfer", "Lai tra gop", "Am")))), "Bang 0"))</f>
        <v>Da thanh toan</v>
      </c>
    </row>
    <row r="609" spans="1:7" x14ac:dyDescent="0.3">
      <c r="A609" s="60">
        <v>44029</v>
      </c>
      <c r="B609" s="33">
        <v>-2000000</v>
      </c>
      <c r="C609" t="s">
        <v>51</v>
      </c>
      <c r="D609" t="s">
        <v>812</v>
      </c>
      <c r="E609" t="str">
        <f>IF(OR(C609="Transaction",C609="Interests",C609="Misc",C609="Account Transfer"), IF(C609="Transaction", IF(B609&lt;0, "Du no", "Da thanh toan"), IF(C609="Interests", "Lai", IF(C609="Misc", "Phi", IF(C609="Account Transfer", IF(OR(ISNUMBER(SEARCH("Trich lai tra gop the TD", D609)), ISNUMBER(SEARCH("Chuyen lai tra gop con lai sang du no thong thuong khi BadDebt", D609))), IF(B609&lt;0, "Lai tra gop", ""), "" )))))) &amp; " " &amp; IF(C609="Interests", TEXT(EDATE(IF(DAY(A609)&gt;=24, A609, EDATE(A609,-1)), -1),"yyyy-mm"), TEXT(IF(DAY(A609)&gt;=24, A609, EDATE(A609,-1)),"yyyy-mm"))</f>
        <v>Du no 2020-06</v>
      </c>
      <c r="F609">
        <f>IF(ISNUMBER(B609), ROUND(SUMIFS($B$2:$B$10000, $E$2:$E$10000, E609, $B$2:$B$10000, IF(B609&lt;0, "&lt;0", "&gt;0")), 0), "")</f>
        <v>-9491308</v>
      </c>
      <c r="G609" t="str">
        <f>IF(F609&gt;0, IF(C609="Transaction", "Da thanh toan", "Duong"), IF(F609&lt;0, IF(C609="Transaction", "Du no", IF(C609="Interests", "Lai phat sinh", IF(C609="Misc", "Phi", IF(C609="Account Transfer", "Lai tra gop", "Am")))), "Bang 0"))</f>
        <v>Du no</v>
      </c>
    </row>
    <row r="610" spans="1:7" x14ac:dyDescent="0.3">
      <c r="A610" s="60">
        <v>44029</v>
      </c>
      <c r="B610" s="33">
        <v>2000000</v>
      </c>
      <c r="C610" t="s">
        <v>51</v>
      </c>
      <c r="D610" t="s">
        <v>812</v>
      </c>
      <c r="E610" t="str">
        <f>IF(OR(C610="Transaction",C610="Interests",C610="Misc",C610="Account Transfer"), IF(C610="Transaction", IF(B610&lt;0, "Du no", "Da thanh toan"), IF(C610="Interests", "Lai", IF(C610="Misc", "Phi", IF(C610="Account Transfer", IF(OR(ISNUMBER(SEARCH("Trich lai tra gop the TD", D610)), ISNUMBER(SEARCH("Chuyen lai tra gop con lai sang du no thong thuong khi BadDebt", D610))), IF(B610&lt;0, "Lai tra gop", ""), "" )))))) &amp; " " &amp; IF(C610="Interests", TEXT(EDATE(IF(DAY(A610)&gt;=24, A610, EDATE(A610,-1)), -1),"yyyy-mm"), TEXT(IF(DAY(A610)&gt;=24, A610, EDATE(A610,-1)),"yyyy-mm"))</f>
        <v>Da thanh toan 2020-06</v>
      </c>
      <c r="F610">
        <f>IF(ISNUMBER(B610), ROUND(SUMIFS($B$2:$B$10000, $E$2:$E$10000, E610, $B$2:$B$10000, IF(B610&lt;0, "&lt;0", "&gt;0")), 0), "")</f>
        <v>5592000</v>
      </c>
      <c r="G610" t="str">
        <f>IF(F610&gt;0, IF(C610="Transaction", "Da thanh toan", "Duong"), IF(F610&lt;0, IF(C610="Transaction", "Du no", IF(C610="Interests", "Lai phat sinh", IF(C610="Misc", "Phi", IF(C610="Account Transfer", "Lai tra gop", "Am")))), "Bang 0"))</f>
        <v>Da thanh toan</v>
      </c>
    </row>
    <row r="611" spans="1:7" x14ac:dyDescent="0.3">
      <c r="A611" s="60">
        <v>44029</v>
      </c>
      <c r="B611" s="33">
        <v>-3000000</v>
      </c>
      <c r="C611" t="s">
        <v>51</v>
      </c>
      <c r="D611" t="s">
        <v>813</v>
      </c>
      <c r="E611" t="str">
        <f>IF(OR(C611="Transaction",C611="Interests",C611="Misc",C611="Account Transfer"), IF(C611="Transaction", IF(B611&lt;0, "Du no", "Da thanh toan"), IF(C611="Interests", "Lai", IF(C611="Misc", "Phi", IF(C611="Account Transfer", IF(OR(ISNUMBER(SEARCH("Trich lai tra gop the TD", D611)), ISNUMBER(SEARCH("Chuyen lai tra gop con lai sang du no thong thuong khi BadDebt", D611))), IF(B611&lt;0, "Lai tra gop", ""), "" )))))) &amp; " " &amp; IF(C611="Interests", TEXT(EDATE(IF(DAY(A611)&gt;=24, A611, EDATE(A611,-1)), -1),"yyyy-mm"), TEXT(IF(DAY(A611)&gt;=24, A611, EDATE(A611,-1)),"yyyy-mm"))</f>
        <v>Du no 2020-06</v>
      </c>
      <c r="F611">
        <f>IF(ISNUMBER(B611), ROUND(SUMIFS($B$2:$B$10000, $E$2:$E$10000, E611, $B$2:$B$10000, IF(B611&lt;0, "&lt;0", "&gt;0")), 0), "")</f>
        <v>-9491308</v>
      </c>
      <c r="G611" t="str">
        <f>IF(F611&gt;0, IF(C611="Transaction", "Da thanh toan", "Duong"), IF(F611&lt;0, IF(C611="Transaction", "Du no", IF(C611="Interests", "Lai phat sinh", IF(C611="Misc", "Phi", IF(C611="Account Transfer", "Lai tra gop", "Am")))), "Bang 0"))</f>
        <v>Du no</v>
      </c>
    </row>
    <row r="612" spans="1:7" x14ac:dyDescent="0.3">
      <c r="A612" s="60">
        <v>44029</v>
      </c>
      <c r="B612" s="33">
        <v>-1000000</v>
      </c>
      <c r="C612" t="s">
        <v>51</v>
      </c>
      <c r="D612" t="s">
        <v>813</v>
      </c>
      <c r="E612" t="str">
        <f>IF(OR(C612="Transaction",C612="Interests",C612="Misc",C612="Account Transfer"), IF(C612="Transaction", IF(B612&lt;0, "Du no", "Da thanh toan"), IF(C612="Interests", "Lai", IF(C612="Misc", "Phi", IF(C612="Account Transfer", IF(OR(ISNUMBER(SEARCH("Trich lai tra gop the TD", D612)), ISNUMBER(SEARCH("Chuyen lai tra gop con lai sang du no thong thuong khi BadDebt", D612))), IF(B612&lt;0, "Lai tra gop", ""), "" )))))) &amp; " " &amp; IF(C612="Interests", TEXT(EDATE(IF(DAY(A612)&gt;=24, A612, EDATE(A612,-1)), -1),"yyyy-mm"), TEXT(IF(DAY(A612)&gt;=24, A612, EDATE(A612,-1)),"yyyy-mm"))</f>
        <v>Du no 2020-06</v>
      </c>
      <c r="F612">
        <f>IF(ISNUMBER(B612), ROUND(SUMIFS($B$2:$B$10000, $E$2:$E$10000, E612, $B$2:$B$10000, IF(B612&lt;0, "&lt;0", "&gt;0")), 0), "")</f>
        <v>-9491308</v>
      </c>
      <c r="G612" t="str">
        <f>IF(F612&gt;0, IF(C612="Transaction", "Da thanh toan", "Duong"), IF(F612&lt;0, IF(C612="Transaction", "Du no", IF(C612="Interests", "Lai phat sinh", IF(C612="Misc", "Phi", IF(C612="Account Transfer", "Lai tra gop", "Am")))), "Bang 0"))</f>
        <v>Du no</v>
      </c>
    </row>
    <row r="613" spans="1:7" x14ac:dyDescent="0.3">
      <c r="A613" s="60">
        <v>44029</v>
      </c>
      <c r="B613" s="33">
        <v>-120000</v>
      </c>
      <c r="C613" t="s">
        <v>51</v>
      </c>
      <c r="D613" t="s">
        <v>812</v>
      </c>
      <c r="E613" t="str">
        <f>IF(OR(C613="Transaction",C613="Interests",C613="Misc",C613="Account Transfer"), IF(C613="Transaction", IF(B613&lt;0, "Du no", "Da thanh toan"), IF(C613="Interests", "Lai", IF(C613="Misc", "Phi", IF(C613="Account Transfer", IF(OR(ISNUMBER(SEARCH("Trich lai tra gop the TD", D613)), ISNUMBER(SEARCH("Chuyen lai tra gop con lai sang du no thong thuong khi BadDebt", D613))), IF(B613&lt;0, "Lai tra gop", ""), "" )))))) &amp; " " &amp; IF(C613="Interests", TEXT(EDATE(IF(DAY(A613)&gt;=24, A613, EDATE(A613,-1)), -1),"yyyy-mm"), TEXT(IF(DAY(A613)&gt;=24, A613, EDATE(A613,-1)),"yyyy-mm"))</f>
        <v>Du no 2020-06</v>
      </c>
      <c r="F613">
        <f>IF(ISNUMBER(B613), ROUND(SUMIFS($B$2:$B$10000, $E$2:$E$10000, E613, $B$2:$B$10000, IF(B613&lt;0, "&lt;0", "&gt;0")), 0), "")</f>
        <v>-9491308</v>
      </c>
      <c r="G613" t="str">
        <f>IF(F613&gt;0, IF(C613="Transaction", "Da thanh toan", "Duong"), IF(F613&lt;0, IF(C613="Transaction", "Du no", IF(C613="Interests", "Lai phat sinh", IF(C613="Misc", "Phi", IF(C613="Account Transfer", "Lai tra gop", "Am")))), "Bang 0"))</f>
        <v>Du no</v>
      </c>
    </row>
    <row r="614" spans="1:7" x14ac:dyDescent="0.3">
      <c r="A614" s="60">
        <v>44029</v>
      </c>
      <c r="B614" s="33">
        <v>-12000</v>
      </c>
      <c r="C614" t="s">
        <v>51</v>
      </c>
      <c r="D614" t="s">
        <v>812</v>
      </c>
      <c r="E614" t="str">
        <f>IF(OR(C614="Transaction",C614="Interests",C614="Misc",C614="Account Transfer"), IF(C614="Transaction", IF(B614&lt;0, "Du no", "Da thanh toan"), IF(C614="Interests", "Lai", IF(C614="Misc", "Phi", IF(C614="Account Transfer", IF(OR(ISNUMBER(SEARCH("Trich lai tra gop the TD", D614)), ISNUMBER(SEARCH("Chuyen lai tra gop con lai sang du no thong thuong khi BadDebt", D614))), IF(B614&lt;0, "Lai tra gop", ""), "" )))))) &amp; " " &amp; IF(C614="Interests", TEXT(EDATE(IF(DAY(A614)&gt;=24, A614, EDATE(A614,-1)), -1),"yyyy-mm"), TEXT(IF(DAY(A614)&gt;=24, A614, EDATE(A614,-1)),"yyyy-mm"))</f>
        <v>Du no 2020-06</v>
      </c>
      <c r="F614">
        <f>IF(ISNUMBER(B614), ROUND(SUMIFS($B$2:$B$10000, $E$2:$E$10000, E614, $B$2:$B$10000, IF(B614&lt;0, "&lt;0", "&gt;0")), 0), "")</f>
        <v>-9491308</v>
      </c>
      <c r="G614" t="str">
        <f>IF(F614&gt;0, IF(C614="Transaction", "Da thanh toan", "Duong"), IF(F614&lt;0, IF(C614="Transaction", "Du no", IF(C614="Interests", "Lai phat sinh", IF(C614="Misc", "Phi", IF(C614="Account Transfer", "Lai tra gop", "Am")))), "Bang 0"))</f>
        <v>Du no</v>
      </c>
    </row>
    <row r="615" spans="1:7" x14ac:dyDescent="0.3">
      <c r="A615" s="60">
        <v>44029</v>
      </c>
      <c r="B615" s="33">
        <v>120000</v>
      </c>
      <c r="C615" t="s">
        <v>51</v>
      </c>
      <c r="D615" t="s">
        <v>812</v>
      </c>
      <c r="E615" t="str">
        <f>IF(OR(C615="Transaction",C615="Interests",C615="Misc",C615="Account Transfer"), IF(C615="Transaction", IF(B615&lt;0, "Du no", "Da thanh toan"), IF(C615="Interests", "Lai", IF(C615="Misc", "Phi", IF(C615="Account Transfer", IF(OR(ISNUMBER(SEARCH("Trich lai tra gop the TD", D615)), ISNUMBER(SEARCH("Chuyen lai tra gop con lai sang du no thong thuong khi BadDebt", D615))), IF(B615&lt;0, "Lai tra gop", ""), "" )))))) &amp; " " &amp; IF(C615="Interests", TEXT(EDATE(IF(DAY(A615)&gt;=24, A615, EDATE(A615,-1)), -1),"yyyy-mm"), TEXT(IF(DAY(A615)&gt;=24, A615, EDATE(A615,-1)),"yyyy-mm"))</f>
        <v>Da thanh toan 2020-06</v>
      </c>
      <c r="F615">
        <f>IF(ISNUMBER(B615), ROUND(SUMIFS($B$2:$B$10000, $E$2:$E$10000, E615, $B$2:$B$10000, IF(B615&lt;0, "&lt;0", "&gt;0")), 0), "")</f>
        <v>5592000</v>
      </c>
      <c r="G615" t="str">
        <f>IF(F615&gt;0, IF(C615="Transaction", "Da thanh toan", "Duong"), IF(F615&lt;0, IF(C615="Transaction", "Du no", IF(C615="Interests", "Lai phat sinh", IF(C615="Misc", "Phi", IF(C615="Account Transfer", "Lai tra gop", "Am")))), "Bang 0"))</f>
        <v>Da thanh toan</v>
      </c>
    </row>
    <row r="616" spans="1:7" x14ac:dyDescent="0.3">
      <c r="A616" s="60">
        <v>44029</v>
      </c>
      <c r="B616" s="33">
        <v>12000</v>
      </c>
      <c r="C616" t="s">
        <v>51</v>
      </c>
      <c r="D616" t="s">
        <v>812</v>
      </c>
      <c r="E616" t="str">
        <f>IF(OR(C616="Transaction",C616="Interests",C616="Misc",C616="Account Transfer"), IF(C616="Transaction", IF(B616&lt;0, "Du no", "Da thanh toan"), IF(C616="Interests", "Lai", IF(C616="Misc", "Phi", IF(C616="Account Transfer", IF(OR(ISNUMBER(SEARCH("Trich lai tra gop the TD", D616)), ISNUMBER(SEARCH("Chuyen lai tra gop con lai sang du no thong thuong khi BadDebt", D616))), IF(B616&lt;0, "Lai tra gop", ""), "" )))))) &amp; " " &amp; IF(C616="Interests", TEXT(EDATE(IF(DAY(A616)&gt;=24, A616, EDATE(A616,-1)), -1),"yyyy-mm"), TEXT(IF(DAY(A616)&gt;=24, A616, EDATE(A616,-1)),"yyyy-mm"))</f>
        <v>Da thanh toan 2020-06</v>
      </c>
      <c r="F616">
        <f>IF(ISNUMBER(B616), ROUND(SUMIFS($B$2:$B$10000, $E$2:$E$10000, E616, $B$2:$B$10000, IF(B616&lt;0, "&lt;0", "&gt;0")), 0), "")</f>
        <v>5592000</v>
      </c>
      <c r="G616" t="str">
        <f>IF(F616&gt;0, IF(C616="Transaction", "Da thanh toan", "Duong"), IF(F616&lt;0, IF(C616="Transaction", "Du no", IF(C616="Interests", "Lai phat sinh", IF(C616="Misc", "Phi", IF(C616="Account Transfer", "Lai tra gop", "Am")))), "Bang 0"))</f>
        <v>Da thanh toan</v>
      </c>
    </row>
    <row r="617" spans="1:7" x14ac:dyDescent="0.3">
      <c r="A617" s="60">
        <v>44029</v>
      </c>
      <c r="B617" s="33">
        <v>-100000</v>
      </c>
      <c r="C617" t="s">
        <v>51</v>
      </c>
      <c r="D617" t="s">
        <v>812</v>
      </c>
      <c r="E617" t="str">
        <f>IF(OR(C617="Transaction",C617="Interests",C617="Misc",C617="Account Transfer"), IF(C617="Transaction", IF(B617&lt;0, "Du no", "Da thanh toan"), IF(C617="Interests", "Lai", IF(C617="Misc", "Phi", IF(C617="Account Transfer", IF(OR(ISNUMBER(SEARCH("Trich lai tra gop the TD", D617)), ISNUMBER(SEARCH("Chuyen lai tra gop con lai sang du no thong thuong khi BadDebt", D617))), IF(B617&lt;0, "Lai tra gop", ""), "" )))))) &amp; " " &amp; IF(C617="Interests", TEXT(EDATE(IF(DAY(A617)&gt;=24, A617, EDATE(A617,-1)), -1),"yyyy-mm"), TEXT(IF(DAY(A617)&gt;=24, A617, EDATE(A617,-1)),"yyyy-mm"))</f>
        <v>Du no 2020-06</v>
      </c>
      <c r="F617">
        <f>IF(ISNUMBER(B617), ROUND(SUMIFS($B$2:$B$10000, $E$2:$E$10000, E617, $B$2:$B$10000, IF(B617&lt;0, "&lt;0", "&gt;0")), 0), "")</f>
        <v>-9491308</v>
      </c>
      <c r="G617" t="str">
        <f>IF(F617&gt;0, IF(C617="Transaction", "Da thanh toan", "Duong"), IF(F617&lt;0, IF(C617="Transaction", "Du no", IF(C617="Interests", "Lai phat sinh", IF(C617="Misc", "Phi", IF(C617="Account Transfer", "Lai tra gop", "Am")))), "Bang 0"))</f>
        <v>Du no</v>
      </c>
    </row>
    <row r="618" spans="1:7" x14ac:dyDescent="0.3">
      <c r="A618" s="60">
        <v>44029</v>
      </c>
      <c r="B618" s="33">
        <v>-10000</v>
      </c>
      <c r="C618" t="s">
        <v>51</v>
      </c>
      <c r="D618" t="s">
        <v>812</v>
      </c>
      <c r="E618" t="str">
        <f>IF(OR(C618="Transaction",C618="Interests",C618="Misc",C618="Account Transfer"), IF(C618="Transaction", IF(B618&lt;0, "Du no", "Da thanh toan"), IF(C618="Interests", "Lai", IF(C618="Misc", "Phi", IF(C618="Account Transfer", IF(OR(ISNUMBER(SEARCH("Trich lai tra gop the TD", D618)), ISNUMBER(SEARCH("Chuyen lai tra gop con lai sang du no thong thuong khi BadDebt", D618))), IF(B618&lt;0, "Lai tra gop", ""), "" )))))) &amp; " " &amp; IF(C618="Interests", TEXT(EDATE(IF(DAY(A618)&gt;=24, A618, EDATE(A618,-1)), -1),"yyyy-mm"), TEXT(IF(DAY(A618)&gt;=24, A618, EDATE(A618,-1)),"yyyy-mm"))</f>
        <v>Du no 2020-06</v>
      </c>
      <c r="F618">
        <f>IF(ISNUMBER(B618), ROUND(SUMIFS($B$2:$B$10000, $E$2:$E$10000, E618, $B$2:$B$10000, IF(B618&lt;0, "&lt;0", "&gt;0")), 0), "")</f>
        <v>-9491308</v>
      </c>
      <c r="G618" t="str">
        <f>IF(F618&gt;0, IF(C618="Transaction", "Da thanh toan", "Duong"), IF(F618&lt;0, IF(C618="Transaction", "Du no", IF(C618="Interests", "Lai phat sinh", IF(C618="Misc", "Phi", IF(C618="Account Transfer", "Lai tra gop", "Am")))), "Bang 0"))</f>
        <v>Du no</v>
      </c>
    </row>
    <row r="619" spans="1:7" x14ac:dyDescent="0.3">
      <c r="A619" s="60">
        <v>44029</v>
      </c>
      <c r="B619" s="33">
        <v>100000</v>
      </c>
      <c r="C619" t="s">
        <v>51</v>
      </c>
      <c r="D619" t="s">
        <v>812</v>
      </c>
      <c r="E619" t="str">
        <f>IF(OR(C619="Transaction",C619="Interests",C619="Misc",C619="Account Transfer"), IF(C619="Transaction", IF(B619&lt;0, "Du no", "Da thanh toan"), IF(C619="Interests", "Lai", IF(C619="Misc", "Phi", IF(C619="Account Transfer", IF(OR(ISNUMBER(SEARCH("Trich lai tra gop the TD", D619)), ISNUMBER(SEARCH("Chuyen lai tra gop con lai sang du no thong thuong khi BadDebt", D619))), IF(B619&lt;0, "Lai tra gop", ""), "" )))))) &amp; " " &amp; IF(C619="Interests", TEXT(EDATE(IF(DAY(A619)&gt;=24, A619, EDATE(A619,-1)), -1),"yyyy-mm"), TEXT(IF(DAY(A619)&gt;=24, A619, EDATE(A619,-1)),"yyyy-mm"))</f>
        <v>Da thanh toan 2020-06</v>
      </c>
      <c r="F619">
        <f>IF(ISNUMBER(B619), ROUND(SUMIFS($B$2:$B$10000, $E$2:$E$10000, E619, $B$2:$B$10000, IF(B619&lt;0, "&lt;0", "&gt;0")), 0), "")</f>
        <v>5592000</v>
      </c>
      <c r="G619" t="str">
        <f>IF(F619&gt;0, IF(C619="Transaction", "Da thanh toan", "Duong"), IF(F619&lt;0, IF(C619="Transaction", "Du no", IF(C619="Interests", "Lai phat sinh", IF(C619="Misc", "Phi", IF(C619="Account Transfer", "Lai tra gop", "Am")))), "Bang 0"))</f>
        <v>Da thanh toan</v>
      </c>
    </row>
    <row r="620" spans="1:7" x14ac:dyDescent="0.3">
      <c r="A620" s="60">
        <v>44029</v>
      </c>
      <c r="B620" s="33">
        <v>10000</v>
      </c>
      <c r="C620" t="s">
        <v>51</v>
      </c>
      <c r="D620" t="s">
        <v>812</v>
      </c>
      <c r="E620" t="str">
        <f>IF(OR(C620="Transaction",C620="Interests",C620="Misc",C620="Account Transfer"), IF(C620="Transaction", IF(B620&lt;0, "Du no", "Da thanh toan"), IF(C620="Interests", "Lai", IF(C620="Misc", "Phi", IF(C620="Account Transfer", IF(OR(ISNUMBER(SEARCH("Trich lai tra gop the TD", D620)), ISNUMBER(SEARCH("Chuyen lai tra gop con lai sang du no thong thuong khi BadDebt", D620))), IF(B620&lt;0, "Lai tra gop", ""), "" )))))) &amp; " " &amp; IF(C620="Interests", TEXT(EDATE(IF(DAY(A620)&gt;=24, A620, EDATE(A620,-1)), -1),"yyyy-mm"), TEXT(IF(DAY(A620)&gt;=24, A620, EDATE(A620,-1)),"yyyy-mm"))</f>
        <v>Da thanh toan 2020-06</v>
      </c>
      <c r="F620">
        <f>IF(ISNUMBER(B620), ROUND(SUMIFS($B$2:$B$10000, $E$2:$E$10000, E620, $B$2:$B$10000, IF(B620&lt;0, "&lt;0", "&gt;0")), 0), "")</f>
        <v>5592000</v>
      </c>
      <c r="G620" t="str">
        <f>IF(F620&gt;0, IF(C620="Transaction", "Da thanh toan", "Duong"), IF(F620&lt;0, IF(C620="Transaction", "Du no", IF(C620="Interests", "Lai phat sinh", IF(C620="Misc", "Phi", IF(C620="Account Transfer", "Lai tra gop", "Am")))), "Bang 0"))</f>
        <v>Da thanh toan</v>
      </c>
    </row>
    <row r="621" spans="1:7" x14ac:dyDescent="0.3">
      <c r="A621" s="60">
        <v>44029</v>
      </c>
      <c r="B621" s="33">
        <v>-120000</v>
      </c>
      <c r="C621" t="s">
        <v>51</v>
      </c>
      <c r="D621" t="s">
        <v>813</v>
      </c>
      <c r="E621" t="str">
        <f>IF(OR(C621="Transaction",C621="Interests",C621="Misc",C621="Account Transfer"), IF(C621="Transaction", IF(B621&lt;0, "Du no", "Da thanh toan"), IF(C621="Interests", "Lai", IF(C621="Misc", "Phi", IF(C621="Account Transfer", IF(OR(ISNUMBER(SEARCH("Trich lai tra gop the TD", D621)), ISNUMBER(SEARCH("Chuyen lai tra gop con lai sang du no thong thuong khi BadDebt", D621))), IF(B621&lt;0, "Lai tra gop", ""), "" )))))) &amp; " " &amp; IF(C621="Interests", TEXT(EDATE(IF(DAY(A621)&gt;=24, A621, EDATE(A621,-1)), -1),"yyyy-mm"), TEXT(IF(DAY(A621)&gt;=24, A621, EDATE(A621,-1)),"yyyy-mm"))</f>
        <v>Du no 2020-06</v>
      </c>
      <c r="F621">
        <f>IF(ISNUMBER(B621), ROUND(SUMIFS($B$2:$B$10000, $E$2:$E$10000, E621, $B$2:$B$10000, IF(B621&lt;0, "&lt;0", "&gt;0")), 0), "")</f>
        <v>-9491308</v>
      </c>
      <c r="G621" t="str">
        <f>IF(F621&gt;0, IF(C621="Transaction", "Da thanh toan", "Duong"), IF(F621&lt;0, IF(C621="Transaction", "Du no", IF(C621="Interests", "Lai phat sinh", IF(C621="Misc", "Phi", IF(C621="Account Transfer", "Lai tra gop", "Am")))), "Bang 0"))</f>
        <v>Du no</v>
      </c>
    </row>
    <row r="622" spans="1:7" x14ac:dyDescent="0.3">
      <c r="A622" s="60">
        <v>44029</v>
      </c>
      <c r="B622" s="33">
        <v>-12000</v>
      </c>
      <c r="C622" t="s">
        <v>51</v>
      </c>
      <c r="D622" t="s">
        <v>813</v>
      </c>
      <c r="E622" t="str">
        <f>IF(OR(C622="Transaction",C622="Interests",C622="Misc",C622="Account Transfer"), IF(C622="Transaction", IF(B622&lt;0, "Du no", "Da thanh toan"), IF(C622="Interests", "Lai", IF(C622="Misc", "Phi", IF(C622="Account Transfer", IF(OR(ISNUMBER(SEARCH("Trich lai tra gop the TD", D622)), ISNUMBER(SEARCH("Chuyen lai tra gop con lai sang du no thong thuong khi BadDebt", D622))), IF(B622&lt;0, "Lai tra gop", ""), "" )))))) &amp; " " &amp; IF(C622="Interests", TEXT(EDATE(IF(DAY(A622)&gt;=24, A622, EDATE(A622,-1)), -1),"yyyy-mm"), TEXT(IF(DAY(A622)&gt;=24, A622, EDATE(A622,-1)),"yyyy-mm"))</f>
        <v>Du no 2020-06</v>
      </c>
      <c r="F622">
        <f>IF(ISNUMBER(B622), ROUND(SUMIFS($B$2:$B$10000, $E$2:$E$10000, E622, $B$2:$B$10000, IF(B622&lt;0, "&lt;0", "&gt;0")), 0), "")</f>
        <v>-9491308</v>
      </c>
      <c r="G622" t="str">
        <f>IF(F622&gt;0, IF(C622="Transaction", "Da thanh toan", "Duong"), IF(F622&lt;0, IF(C622="Transaction", "Du no", IF(C622="Interests", "Lai phat sinh", IF(C622="Misc", "Phi", IF(C622="Account Transfer", "Lai tra gop", "Am")))), "Bang 0"))</f>
        <v>Du no</v>
      </c>
    </row>
    <row r="623" spans="1:7" x14ac:dyDescent="0.3">
      <c r="A623" s="60">
        <v>44029</v>
      </c>
      <c r="B623" s="33">
        <v>-100000</v>
      </c>
      <c r="C623" t="s">
        <v>51</v>
      </c>
      <c r="D623" t="s">
        <v>813</v>
      </c>
      <c r="E623" t="str">
        <f>IF(OR(C623="Transaction",C623="Interests",C623="Misc",C623="Account Transfer"), IF(C623="Transaction", IF(B623&lt;0, "Du no", "Da thanh toan"), IF(C623="Interests", "Lai", IF(C623="Misc", "Phi", IF(C623="Account Transfer", IF(OR(ISNUMBER(SEARCH("Trich lai tra gop the TD", D623)), ISNUMBER(SEARCH("Chuyen lai tra gop con lai sang du no thong thuong khi BadDebt", D623))), IF(B623&lt;0, "Lai tra gop", ""), "" )))))) &amp; " " &amp; IF(C623="Interests", TEXT(EDATE(IF(DAY(A623)&gt;=24, A623, EDATE(A623,-1)), -1),"yyyy-mm"), TEXT(IF(DAY(A623)&gt;=24, A623, EDATE(A623,-1)),"yyyy-mm"))</f>
        <v>Du no 2020-06</v>
      </c>
      <c r="F623">
        <f>IF(ISNUMBER(B623), ROUND(SUMIFS($B$2:$B$10000, $E$2:$E$10000, E623, $B$2:$B$10000, IF(B623&lt;0, "&lt;0", "&gt;0")), 0), "")</f>
        <v>-9491308</v>
      </c>
      <c r="G623" t="str">
        <f>IF(F623&gt;0, IF(C623="Transaction", "Da thanh toan", "Duong"), IF(F623&lt;0, IF(C623="Transaction", "Du no", IF(C623="Interests", "Lai phat sinh", IF(C623="Misc", "Phi", IF(C623="Account Transfer", "Lai tra gop", "Am")))), "Bang 0"))</f>
        <v>Du no</v>
      </c>
    </row>
    <row r="624" spans="1:7" x14ac:dyDescent="0.3">
      <c r="A624" s="60">
        <v>44029</v>
      </c>
      <c r="B624" s="33">
        <v>-10000</v>
      </c>
      <c r="C624" t="s">
        <v>51</v>
      </c>
      <c r="D624" t="s">
        <v>813</v>
      </c>
      <c r="E624" t="str">
        <f>IF(OR(C624="Transaction",C624="Interests",C624="Misc",C624="Account Transfer"), IF(C624="Transaction", IF(B624&lt;0, "Du no", "Da thanh toan"), IF(C624="Interests", "Lai", IF(C624="Misc", "Phi", IF(C624="Account Transfer", IF(OR(ISNUMBER(SEARCH("Trich lai tra gop the TD", D624)), ISNUMBER(SEARCH("Chuyen lai tra gop con lai sang du no thong thuong khi BadDebt", D624))), IF(B624&lt;0, "Lai tra gop", ""), "" )))))) &amp; " " &amp; IF(C624="Interests", TEXT(EDATE(IF(DAY(A624)&gt;=24, A624, EDATE(A624,-1)), -1),"yyyy-mm"), TEXT(IF(DAY(A624)&gt;=24, A624, EDATE(A624,-1)),"yyyy-mm"))</f>
        <v>Du no 2020-06</v>
      </c>
      <c r="F624">
        <f>IF(ISNUMBER(B624), ROUND(SUMIFS($B$2:$B$10000, $E$2:$E$10000, E624, $B$2:$B$10000, IF(B624&lt;0, "&lt;0", "&gt;0")), 0), "")</f>
        <v>-9491308</v>
      </c>
      <c r="G624" t="str">
        <f>IF(F624&gt;0, IF(C624="Transaction", "Da thanh toan", "Duong"), IF(F624&lt;0, IF(C624="Transaction", "Du no", IF(C624="Interests", "Lai phat sinh", IF(C624="Misc", "Phi", IF(C624="Account Transfer", "Lai tra gop", "Am")))), "Bang 0"))</f>
        <v>Du no</v>
      </c>
    </row>
    <row r="625" spans="1:7" x14ac:dyDescent="0.3">
      <c r="A625" s="60">
        <v>44026</v>
      </c>
      <c r="B625" s="33">
        <v>-7308</v>
      </c>
      <c r="C625" t="s">
        <v>51</v>
      </c>
      <c r="D625" t="s">
        <v>814</v>
      </c>
      <c r="E625" t="str">
        <f>IF(OR(C625="Transaction",C625="Interests",C625="Misc",C625="Account Transfer"), IF(C625="Transaction", IF(B625&lt;0, "Du no", "Da thanh toan"), IF(C625="Interests", "Lai", IF(C625="Misc", "Phi", IF(C625="Account Transfer", IF(OR(ISNUMBER(SEARCH("Trich lai tra gop the TD", D625)), ISNUMBER(SEARCH("Chuyen lai tra gop con lai sang du no thong thuong khi BadDebt", D625))), IF(B625&lt;0, "Lai tra gop", ""), "" )))))) &amp; " " &amp; IF(C625="Interests", TEXT(EDATE(IF(DAY(A625)&gt;=24, A625, EDATE(A625,-1)), -1),"yyyy-mm"), TEXT(IF(DAY(A625)&gt;=24, A625, EDATE(A625,-1)),"yyyy-mm"))</f>
        <v>Du no 2020-06</v>
      </c>
      <c r="F625">
        <f>IF(ISNUMBER(B625), ROUND(SUMIFS($B$2:$B$10000, $E$2:$E$10000, E625, $B$2:$B$10000, IF(B625&lt;0, "&lt;0", "&gt;0")), 0), "")</f>
        <v>-9491308</v>
      </c>
      <c r="G625" t="str">
        <f>IF(F625&gt;0, IF(C625="Transaction", "Da thanh toan", "Duong"), IF(F625&lt;0, IF(C625="Transaction", "Du no", IF(C625="Interests", "Lai phat sinh", IF(C625="Misc", "Phi", IF(C625="Account Transfer", "Lai tra gop", "Am")))), "Bang 0"))</f>
        <v>Du no</v>
      </c>
    </row>
    <row r="626" spans="1:7" x14ac:dyDescent="0.3">
      <c r="A626" s="60">
        <v>44020</v>
      </c>
      <c r="B626" s="33">
        <v>350000</v>
      </c>
      <c r="C626" t="s">
        <v>51</v>
      </c>
      <c r="D626" t="s">
        <v>766</v>
      </c>
      <c r="E626" t="str">
        <f>IF(OR(C626="Transaction",C626="Interests",C626="Misc",C626="Account Transfer"), IF(C626="Transaction", IF(B626&lt;0, "Du no", "Da thanh toan"), IF(C626="Interests", "Lai", IF(C626="Misc", "Phi", IF(C626="Account Transfer", IF(OR(ISNUMBER(SEARCH("Trich lai tra gop the TD", D626)), ISNUMBER(SEARCH("Chuyen lai tra gop con lai sang du no thong thuong khi BadDebt", D626))), IF(B626&lt;0, "Lai tra gop", ""), "" )))))) &amp; " " &amp; IF(C626="Interests", TEXT(EDATE(IF(DAY(A626)&gt;=24, A626, EDATE(A626,-1)), -1),"yyyy-mm"), TEXT(IF(DAY(A626)&gt;=24, A626, EDATE(A626,-1)),"yyyy-mm"))</f>
        <v>Da thanh toan 2020-06</v>
      </c>
      <c r="F626">
        <f>IF(ISNUMBER(B626), ROUND(SUMIFS($B$2:$B$10000, $E$2:$E$10000, E626, $B$2:$B$10000, IF(B626&lt;0, "&lt;0", "&gt;0")), 0), "")</f>
        <v>5592000</v>
      </c>
      <c r="G626" t="str">
        <f>IF(F626&gt;0, IF(C626="Transaction", "Da thanh toan", "Duong"), IF(F626&lt;0, IF(C626="Transaction", "Du no", IF(C626="Interests", "Lai phat sinh", IF(C626="Misc", "Phi", IF(C626="Account Transfer", "Lai tra gop", "Am")))), "Bang 0"))</f>
        <v>Da thanh toan</v>
      </c>
    </row>
    <row r="627" spans="1:7" x14ac:dyDescent="0.3">
      <c r="A627" s="60">
        <v>44012</v>
      </c>
      <c r="B627" s="33">
        <v>-450</v>
      </c>
      <c r="C627" t="s">
        <v>50</v>
      </c>
      <c r="E627" t="str">
        <f>IF(OR(C627="Transaction",C627="Interests",C627="Misc",C627="Account Transfer"), IF(C627="Transaction", IF(B627&lt;0, "Du no", "Da thanh toan"), IF(C627="Interests", "Lai", IF(C627="Misc", "Phi", IF(C627="Account Transfer", IF(OR(ISNUMBER(SEARCH("Trich lai tra gop the TD", D627)), ISNUMBER(SEARCH("Chuyen lai tra gop con lai sang du no thong thuong khi BadDebt", D627))), IF(B627&lt;0, "Lai tra gop", ""), "" )))))) &amp; " " &amp; IF(C627="Interests", TEXT(EDATE(IF(DAY(A627)&gt;=24, A627, EDATE(A627,-1)), -1),"yyyy-mm"), TEXT(IF(DAY(A627)&gt;=24, A627, EDATE(A627,-1)),"yyyy-mm"))</f>
        <v>Phi 2020-06</v>
      </c>
      <c r="F627">
        <f>IF(ISNUMBER(B627), ROUND(SUMIFS($B$2:$B$10000, $E$2:$E$10000, E627, $B$2:$B$10000, IF(B627&lt;0, "&lt;0", "&gt;0")), 0), "")</f>
        <v>-4950</v>
      </c>
      <c r="G627" t="str">
        <f>IF(F627&gt;0, IF(C627="Transaction", "Da thanh toan", "Duong"), IF(F627&lt;0, IF(C627="Transaction", "Du no", IF(C627="Interests", "Lai phat sinh", IF(C627="Misc", "Phi", IF(C627="Account Transfer", "Lai tra gop", "Am")))), "Bang 0"))</f>
        <v>Phi</v>
      </c>
    </row>
    <row r="628" spans="1:7" x14ac:dyDescent="0.3">
      <c r="A628" s="60">
        <v>44012</v>
      </c>
      <c r="B628" s="33">
        <v>-4500</v>
      </c>
      <c r="C628" t="s">
        <v>50</v>
      </c>
      <c r="E628" t="str">
        <f>IF(OR(C628="Transaction",C628="Interests",C628="Misc",C628="Account Transfer"), IF(C628="Transaction", IF(B628&lt;0, "Du no", "Da thanh toan"), IF(C628="Interests", "Lai", IF(C628="Misc", "Phi", IF(C628="Account Transfer", IF(OR(ISNUMBER(SEARCH("Trich lai tra gop the TD", D628)), ISNUMBER(SEARCH("Chuyen lai tra gop con lai sang du no thong thuong khi BadDebt", D628))), IF(B628&lt;0, "Lai tra gop", ""), "" )))))) &amp; " " &amp; IF(C628="Interests", TEXT(EDATE(IF(DAY(A628)&gt;=24, A628, EDATE(A628,-1)), -1),"yyyy-mm"), TEXT(IF(DAY(A628)&gt;=24, A628, EDATE(A628,-1)),"yyyy-mm"))</f>
        <v>Phi 2020-06</v>
      </c>
      <c r="F628">
        <f>IF(ISNUMBER(B628), ROUND(SUMIFS($B$2:$B$10000, $E$2:$E$10000, E628, $B$2:$B$10000, IF(B628&lt;0, "&lt;0", "&gt;0")), 0), "")</f>
        <v>-4950</v>
      </c>
      <c r="G628" t="str">
        <f>IF(F628&gt;0, IF(C628="Transaction", "Da thanh toan", "Duong"), IF(F628&lt;0, IF(C628="Transaction", "Du no", IF(C628="Interests", "Lai phat sinh", IF(C628="Misc", "Phi", IF(C628="Account Transfer", "Lai tra gop", "Am")))), "Bang 0"))</f>
        <v>Phi</v>
      </c>
    </row>
    <row r="629" spans="1:7" x14ac:dyDescent="0.3">
      <c r="A629" s="60">
        <v>43994</v>
      </c>
      <c r="B629" s="33">
        <v>-7308</v>
      </c>
      <c r="C629" t="s">
        <v>51</v>
      </c>
      <c r="D629" t="s">
        <v>815</v>
      </c>
      <c r="E629" t="str">
        <f>IF(OR(C629="Transaction",C629="Interests",C629="Misc",C629="Account Transfer"), IF(C629="Transaction", IF(B629&lt;0, "Du no", "Da thanh toan"), IF(C629="Interests", "Lai", IF(C629="Misc", "Phi", IF(C629="Account Transfer", IF(OR(ISNUMBER(SEARCH("Trich lai tra gop the TD", D629)), ISNUMBER(SEARCH("Chuyen lai tra gop con lai sang du no thong thuong khi BadDebt", D629))), IF(B629&lt;0, "Lai tra gop", ""), "" )))))) &amp; " " &amp; IF(C629="Interests", TEXT(EDATE(IF(DAY(A629)&gt;=24, A629, EDATE(A629,-1)), -1),"yyyy-mm"), TEXT(IF(DAY(A629)&gt;=24, A629, EDATE(A629,-1)),"yyyy-mm"))</f>
        <v>Du no 2020-05</v>
      </c>
      <c r="F629">
        <f>IF(ISNUMBER(B629), ROUND(SUMIFS($B$2:$B$10000, $E$2:$E$10000, E629, $B$2:$B$10000, IF(B629&lt;0, "&lt;0", "&gt;0")), 0), "")</f>
        <v>-332078</v>
      </c>
      <c r="G629" t="str">
        <f>IF(F629&gt;0, IF(C629="Transaction", "Da thanh toan", "Duong"), IF(F629&lt;0, IF(C629="Transaction", "Du no", IF(C629="Interests", "Lai phat sinh", IF(C629="Misc", "Phi", IF(C629="Account Transfer", "Lai tra gop", "Am")))), "Bang 0"))</f>
        <v>Du no</v>
      </c>
    </row>
    <row r="630" spans="1:7" x14ac:dyDescent="0.3">
      <c r="A630" s="60">
        <v>43987</v>
      </c>
      <c r="B630" s="33">
        <v>-324770</v>
      </c>
      <c r="C630" t="s">
        <v>51</v>
      </c>
      <c r="D630" t="s">
        <v>816</v>
      </c>
      <c r="E630" t="str">
        <f>IF(OR(C630="Transaction",C630="Interests",C630="Misc",C630="Account Transfer"), IF(C630="Transaction", IF(B630&lt;0, "Du no", "Da thanh toan"), IF(C630="Interests", "Lai", IF(C630="Misc", "Phi", IF(C630="Account Transfer", IF(OR(ISNUMBER(SEARCH("Trich lai tra gop the TD", D630)), ISNUMBER(SEARCH("Chuyen lai tra gop con lai sang du no thong thuong khi BadDebt", D630))), IF(B630&lt;0, "Lai tra gop", ""), "" )))))) &amp; " " &amp; IF(C630="Interests", TEXT(EDATE(IF(DAY(A630)&gt;=24, A630, EDATE(A630,-1)), -1),"yyyy-mm"), TEXT(IF(DAY(A630)&gt;=24, A630, EDATE(A630,-1)),"yyyy-mm"))</f>
        <v>Du no 2020-05</v>
      </c>
      <c r="F630">
        <f>IF(ISNUMBER(B630), ROUND(SUMIFS($B$2:$B$10000, $E$2:$E$10000, E630, $B$2:$B$10000, IF(B630&lt;0, "&lt;0", "&gt;0")), 0), "")</f>
        <v>-332078</v>
      </c>
      <c r="G630" t="str">
        <f>IF(F630&gt;0, IF(C630="Transaction", "Da thanh toan", "Duong"), IF(F630&lt;0, IF(C630="Transaction", "Du no", IF(C630="Interests", "Lai phat sinh", IF(C630="Misc", "Phi", IF(C630="Account Transfer", "Lai tra gop", "Am")))), "Bang 0"))</f>
        <v>Du no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BKTL</vt:lpstr>
      <vt:lpstr>THTT</vt:lpstr>
      <vt:lpstr>saokethe</vt:lpstr>
      <vt:lpstr>tinhnhanh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2025-12-16T17:05:49Z</dcterms:modified>
</cp:coreProperties>
</file>