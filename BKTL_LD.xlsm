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4000" windowHeight="8580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BANGTINH!$A$1:$K$160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3" l="1"/>
  <c r="G5" i="3"/>
  <c r="K5" i="3" s="1"/>
  <c r="G6" i="3"/>
  <c r="G7" i="3"/>
  <c r="K7" i="3" s="1"/>
  <c r="G8" i="3"/>
  <c r="K8" i="3" s="1"/>
  <c r="G9" i="3"/>
  <c r="H9" i="3" s="1"/>
  <c r="G10" i="3"/>
  <c r="I10" i="3" s="1"/>
  <c r="G11" i="3"/>
  <c r="J11" i="3" s="1"/>
  <c r="G12" i="3"/>
  <c r="L12" i="3" s="1"/>
  <c r="G13" i="3"/>
  <c r="J13" i="3" s="1"/>
  <c r="G14" i="3"/>
  <c r="G15" i="3"/>
  <c r="H15" i="3" s="1"/>
  <c r="G16" i="3"/>
  <c r="I16" i="3" s="1"/>
  <c r="G17" i="3"/>
  <c r="K17" i="3" s="1"/>
  <c r="G18" i="3"/>
  <c r="L18" i="3" s="1"/>
  <c r="G19" i="3"/>
  <c r="H19" i="3" s="1"/>
  <c r="G20" i="3"/>
  <c r="L20" i="3" s="1"/>
  <c r="G21" i="3"/>
  <c r="K21" i="3" s="1"/>
  <c r="G22" i="3"/>
  <c r="G23" i="3"/>
  <c r="K23" i="3" s="1"/>
  <c r="G24" i="3"/>
  <c r="I24" i="3" s="1"/>
  <c r="G25" i="3"/>
  <c r="K25" i="3" s="1"/>
  <c r="G26" i="3"/>
  <c r="L26" i="3" s="1"/>
  <c r="G27" i="3"/>
  <c r="H27" i="3" s="1"/>
  <c r="G3" i="3"/>
  <c r="L5" i="3"/>
  <c r="L6" i="3"/>
  <c r="L7" i="3"/>
  <c r="L14" i="3"/>
  <c r="L15" i="3"/>
  <c r="L22" i="3"/>
  <c r="K6" i="3"/>
  <c r="K14" i="3"/>
  <c r="K16" i="3"/>
  <c r="K22" i="3"/>
  <c r="K24" i="3"/>
  <c r="J6" i="3"/>
  <c r="J14" i="3"/>
  <c r="J16" i="3"/>
  <c r="J21" i="3"/>
  <c r="J22" i="3"/>
  <c r="J23" i="3"/>
  <c r="J24" i="3"/>
  <c r="J25" i="3"/>
  <c r="J26" i="3"/>
  <c r="I6" i="3"/>
  <c r="I14" i="3"/>
  <c r="I22" i="3"/>
  <c r="I23" i="3"/>
  <c r="H6" i="3"/>
  <c r="H8" i="3"/>
  <c r="H13" i="3"/>
  <c r="H14" i="3"/>
  <c r="H16" i="3"/>
  <c r="H17" i="3"/>
  <c r="H18" i="3"/>
  <c r="H21" i="3"/>
  <c r="H22" i="3"/>
  <c r="H23" i="3"/>
  <c r="L4" i="3"/>
  <c r="I3" i="3"/>
  <c r="H3" i="3"/>
  <c r="L3" i="3"/>
  <c r="K3" i="3"/>
  <c r="I26" i="3" l="1"/>
  <c r="K18" i="3"/>
  <c r="I18" i="3"/>
  <c r="H10" i="3"/>
  <c r="J18" i="3"/>
  <c r="J27" i="3"/>
  <c r="K10" i="3"/>
  <c r="J10" i="3"/>
  <c r="K15" i="3"/>
  <c r="L10" i="3"/>
  <c r="H26" i="3"/>
  <c r="I21" i="3"/>
  <c r="J7" i="3"/>
  <c r="L9" i="3"/>
  <c r="K26" i="3"/>
  <c r="H7" i="3"/>
  <c r="J5" i="3"/>
  <c r="L27" i="3"/>
  <c r="L13" i="3"/>
  <c r="H5" i="3"/>
  <c r="I15" i="3"/>
  <c r="L11" i="3"/>
  <c r="J15" i="3"/>
  <c r="K13" i="3"/>
  <c r="L23" i="3"/>
  <c r="I27" i="3"/>
  <c r="I13" i="3"/>
  <c r="K11" i="3"/>
  <c r="L21" i="3"/>
  <c r="I7" i="3"/>
  <c r="I19" i="3"/>
  <c r="I5" i="3"/>
  <c r="J19" i="3"/>
  <c r="H25" i="3"/>
  <c r="J9" i="3"/>
  <c r="H24" i="3"/>
  <c r="I11" i="3"/>
  <c r="J17" i="3"/>
  <c r="J8" i="3"/>
  <c r="L19" i="3"/>
  <c r="H11" i="3"/>
  <c r="I17" i="3"/>
  <c r="I8" i="3"/>
  <c r="K19" i="3"/>
  <c r="L25" i="3"/>
  <c r="L16" i="3"/>
  <c r="I25" i="3"/>
  <c r="K27" i="3"/>
  <c r="K9" i="3"/>
  <c r="L24" i="3"/>
  <c r="I9" i="3"/>
  <c r="L17" i="3"/>
  <c r="L8" i="3"/>
  <c r="H20" i="3"/>
  <c r="H12" i="3"/>
  <c r="I20" i="3"/>
  <c r="I12" i="3"/>
  <c r="J20" i="3"/>
  <c r="J12" i="3"/>
  <c r="K20" i="3"/>
  <c r="K12" i="3"/>
  <c r="H157" i="1"/>
  <c r="K4" i="3"/>
  <c r="I4" i="3"/>
  <c r="J4" i="3"/>
  <c r="H4" i="3"/>
  <c r="N3" i="3" l="1"/>
  <c r="O3" i="3"/>
  <c r="J151" i="1"/>
  <c r="P3" i="3" l="1"/>
  <c r="K151" i="1"/>
  <c r="E5" i="1"/>
  <c r="H5" i="1"/>
  <c r="J3" i="3"/>
  <c r="B10" i="1" l="1"/>
  <c r="B9" i="1"/>
  <c r="C96" i="1" l="1"/>
  <c r="C104" i="1"/>
  <c r="C112" i="1"/>
  <c r="D112" i="1" s="1"/>
  <c r="C120" i="1"/>
  <c r="C128" i="1"/>
  <c r="D128" i="1" s="1"/>
  <c r="C136" i="1"/>
  <c r="D136" i="1" s="1"/>
  <c r="C144" i="1"/>
  <c r="D144" i="1" s="1"/>
  <c r="C94" i="1"/>
  <c r="D94" i="1" s="1"/>
  <c r="C102" i="1"/>
  <c r="C110" i="1"/>
  <c r="C126" i="1"/>
  <c r="C134" i="1"/>
  <c r="D134" i="1" s="1"/>
  <c r="C142" i="1"/>
  <c r="C150" i="1"/>
  <c r="C97" i="1"/>
  <c r="D97" i="1" s="1"/>
  <c r="C105" i="1"/>
  <c r="D105" i="1" s="1"/>
  <c r="C113" i="1"/>
  <c r="C121" i="1"/>
  <c r="C129" i="1"/>
  <c r="C137" i="1"/>
  <c r="C145" i="1"/>
  <c r="D145" i="1" s="1"/>
  <c r="C98" i="1"/>
  <c r="D98" i="1" s="1"/>
  <c r="C106" i="1"/>
  <c r="C114" i="1"/>
  <c r="D114" i="1" s="1"/>
  <c r="C122" i="1"/>
  <c r="C130" i="1"/>
  <c r="C138" i="1"/>
  <c r="C146" i="1"/>
  <c r="C99" i="1"/>
  <c r="C107" i="1"/>
  <c r="D107" i="1" s="1"/>
  <c r="C115" i="1"/>
  <c r="D115" i="1" s="1"/>
  <c r="C123" i="1"/>
  <c r="D123" i="1" s="1"/>
  <c r="C131" i="1"/>
  <c r="C139" i="1"/>
  <c r="C147" i="1"/>
  <c r="C100" i="1"/>
  <c r="D100" i="1" s="1"/>
  <c r="C108" i="1"/>
  <c r="D108" i="1" s="1"/>
  <c r="C116" i="1"/>
  <c r="D116" i="1" s="1"/>
  <c r="C124" i="1"/>
  <c r="D124" i="1" s="1"/>
  <c r="C132" i="1"/>
  <c r="D132" i="1" s="1"/>
  <c r="C140" i="1"/>
  <c r="C148" i="1"/>
  <c r="C101" i="1"/>
  <c r="D101" i="1" s="1"/>
  <c r="C109" i="1"/>
  <c r="C117" i="1"/>
  <c r="C125" i="1"/>
  <c r="C133" i="1"/>
  <c r="C141" i="1"/>
  <c r="D141" i="1" s="1"/>
  <c r="C149" i="1"/>
  <c r="C118" i="1"/>
  <c r="C143" i="1"/>
  <c r="C95" i="1"/>
  <c r="C103" i="1"/>
  <c r="D103" i="1" s="1"/>
  <c r="C111" i="1"/>
  <c r="D111" i="1" s="1"/>
  <c r="C119" i="1"/>
  <c r="D119" i="1" s="1"/>
  <c r="C127" i="1"/>
  <c r="D127" i="1" s="1"/>
  <c r="C135" i="1"/>
  <c r="A103" i="1"/>
  <c r="A109" i="1"/>
  <c r="A108" i="1"/>
  <c r="A116" i="1"/>
  <c r="A124" i="1"/>
  <c r="A132" i="1"/>
  <c r="A140" i="1"/>
  <c r="A148" i="1"/>
  <c r="A115" i="1"/>
  <c r="A123" i="1"/>
  <c r="A131" i="1"/>
  <c r="A139" i="1"/>
  <c r="A147" i="1"/>
  <c r="A107" i="1"/>
  <c r="A106" i="1"/>
  <c r="A114" i="1"/>
  <c r="A122" i="1"/>
  <c r="A130" i="1"/>
  <c r="A138" i="1"/>
  <c r="A146" i="1"/>
  <c r="A145" i="1"/>
  <c r="A136" i="1"/>
  <c r="A111" i="1"/>
  <c r="A127" i="1"/>
  <c r="A135" i="1"/>
  <c r="A105" i="1"/>
  <c r="A113" i="1"/>
  <c r="A121" i="1"/>
  <c r="A129" i="1"/>
  <c r="A137" i="1"/>
  <c r="A126" i="1"/>
  <c r="A104" i="1"/>
  <c r="A112" i="1"/>
  <c r="A120" i="1"/>
  <c r="A128" i="1"/>
  <c r="A144" i="1"/>
  <c r="A119" i="1"/>
  <c r="A143" i="1"/>
  <c r="A110" i="1"/>
  <c r="A118" i="1"/>
  <c r="A134" i="1"/>
  <c r="A142" i="1"/>
  <c r="A117" i="1"/>
  <c r="A150" i="1"/>
  <c r="A141" i="1"/>
  <c r="A133" i="1"/>
  <c r="A125" i="1"/>
  <c r="A149" i="1"/>
  <c r="D104" i="1"/>
  <c r="D110" i="1"/>
  <c r="D109" i="1"/>
  <c r="D117" i="1"/>
  <c r="D125" i="1"/>
  <c r="D133" i="1"/>
  <c r="D149" i="1"/>
  <c r="D140" i="1"/>
  <c r="D148" i="1"/>
  <c r="D131" i="1"/>
  <c r="D139" i="1"/>
  <c r="D147" i="1"/>
  <c r="D129" i="1"/>
  <c r="D135" i="1"/>
  <c r="D143" i="1"/>
  <c r="D106" i="1"/>
  <c r="D122" i="1"/>
  <c r="D130" i="1"/>
  <c r="D138" i="1"/>
  <c r="D146" i="1"/>
  <c r="D137" i="1"/>
  <c r="D120" i="1"/>
  <c r="D113" i="1"/>
  <c r="D121" i="1"/>
  <c r="D126" i="1"/>
  <c r="D118" i="1"/>
  <c r="D150" i="1"/>
  <c r="D142" i="1"/>
  <c r="C72" i="1"/>
  <c r="D72" i="1" s="1"/>
  <c r="C17" i="1"/>
  <c r="D17" i="1" s="1"/>
  <c r="C25" i="1"/>
  <c r="D25" i="1" s="1"/>
  <c r="C33" i="1"/>
  <c r="D33" i="1" s="1"/>
  <c r="C41" i="1"/>
  <c r="D41" i="1" s="1"/>
  <c r="C49" i="1"/>
  <c r="D49" i="1" s="1"/>
  <c r="C57" i="1"/>
  <c r="D57" i="1" s="1"/>
  <c r="C65" i="1"/>
  <c r="D65" i="1" s="1"/>
  <c r="C73" i="1"/>
  <c r="D73" i="1" s="1"/>
  <c r="C81" i="1"/>
  <c r="D81" i="1" s="1"/>
  <c r="C89" i="1"/>
  <c r="D89" i="1" s="1"/>
  <c r="C13" i="1"/>
  <c r="D13" i="1" s="1"/>
  <c r="C18" i="1"/>
  <c r="D18" i="1" s="1"/>
  <c r="C26" i="1"/>
  <c r="D26" i="1" s="1"/>
  <c r="C34" i="1"/>
  <c r="D34" i="1" s="1"/>
  <c r="C42" i="1"/>
  <c r="D42" i="1" s="1"/>
  <c r="C58" i="1"/>
  <c r="D58" i="1" s="1"/>
  <c r="C82" i="1"/>
  <c r="D82" i="1" s="1"/>
  <c r="C19" i="1"/>
  <c r="D19" i="1" s="1"/>
  <c r="C27" i="1"/>
  <c r="D27" i="1" s="1"/>
  <c r="C35" i="1"/>
  <c r="D35" i="1" s="1"/>
  <c r="C43" i="1"/>
  <c r="D43" i="1" s="1"/>
  <c r="C51" i="1"/>
  <c r="D51" i="1" s="1"/>
  <c r="C59" i="1"/>
  <c r="D59" i="1" s="1"/>
  <c r="C67" i="1"/>
  <c r="D67" i="1" s="1"/>
  <c r="C75" i="1"/>
  <c r="D75" i="1" s="1"/>
  <c r="C83" i="1"/>
  <c r="D83" i="1" s="1"/>
  <c r="C91" i="1"/>
  <c r="D91" i="1" s="1"/>
  <c r="D99" i="1"/>
  <c r="C20" i="1"/>
  <c r="D20" i="1" s="1"/>
  <c r="C28" i="1"/>
  <c r="D28" i="1" s="1"/>
  <c r="C36" i="1"/>
  <c r="D36" i="1" s="1"/>
  <c r="C44" i="1"/>
  <c r="D44" i="1" s="1"/>
  <c r="C52" i="1"/>
  <c r="D52" i="1" s="1"/>
  <c r="C60" i="1"/>
  <c r="D60" i="1" s="1"/>
  <c r="C68" i="1"/>
  <c r="D68" i="1" s="1"/>
  <c r="C76" i="1"/>
  <c r="D76" i="1" s="1"/>
  <c r="C84" i="1"/>
  <c r="D84" i="1" s="1"/>
  <c r="C92" i="1"/>
  <c r="D92" i="1" s="1"/>
  <c r="C23" i="1"/>
  <c r="D23" i="1" s="1"/>
  <c r="C47" i="1"/>
  <c r="D47" i="1" s="1"/>
  <c r="C63" i="1"/>
  <c r="D63" i="1" s="1"/>
  <c r="C79" i="1"/>
  <c r="D79" i="1" s="1"/>
  <c r="D95" i="1"/>
  <c r="C16" i="1"/>
  <c r="D16" i="1" s="1"/>
  <c r="C32" i="1"/>
  <c r="D32" i="1" s="1"/>
  <c r="C48" i="1"/>
  <c r="D48" i="1" s="1"/>
  <c r="C64" i="1"/>
  <c r="D64" i="1" s="1"/>
  <c r="C88" i="1"/>
  <c r="D88" i="1" s="1"/>
  <c r="C66" i="1"/>
  <c r="D66" i="1" s="1"/>
  <c r="C90" i="1"/>
  <c r="D90" i="1" s="1"/>
  <c r="C21" i="1"/>
  <c r="D21" i="1" s="1"/>
  <c r="C29" i="1"/>
  <c r="D29" i="1" s="1"/>
  <c r="C37" i="1"/>
  <c r="D37" i="1" s="1"/>
  <c r="C45" i="1"/>
  <c r="D45" i="1" s="1"/>
  <c r="C53" i="1"/>
  <c r="D53" i="1" s="1"/>
  <c r="C61" i="1"/>
  <c r="D61" i="1" s="1"/>
  <c r="C69" i="1"/>
  <c r="D69" i="1" s="1"/>
  <c r="C77" i="1"/>
  <c r="D77" i="1" s="1"/>
  <c r="C85" i="1"/>
  <c r="D85" i="1" s="1"/>
  <c r="C93" i="1"/>
  <c r="D93" i="1" s="1"/>
  <c r="C14" i="1"/>
  <c r="D14" i="1" s="1"/>
  <c r="C22" i="1"/>
  <c r="D22" i="1" s="1"/>
  <c r="C30" i="1"/>
  <c r="D30" i="1" s="1"/>
  <c r="C38" i="1"/>
  <c r="D38" i="1" s="1"/>
  <c r="C46" i="1"/>
  <c r="D46" i="1" s="1"/>
  <c r="C54" i="1"/>
  <c r="D54" i="1" s="1"/>
  <c r="C62" i="1"/>
  <c r="D62" i="1" s="1"/>
  <c r="C70" i="1"/>
  <c r="D70" i="1" s="1"/>
  <c r="C78" i="1"/>
  <c r="D78" i="1" s="1"/>
  <c r="C86" i="1"/>
  <c r="D86" i="1" s="1"/>
  <c r="D102" i="1"/>
  <c r="C15" i="1"/>
  <c r="D15" i="1" s="1"/>
  <c r="C31" i="1"/>
  <c r="D31" i="1" s="1"/>
  <c r="C39" i="1"/>
  <c r="D39" i="1" s="1"/>
  <c r="C55" i="1"/>
  <c r="D55" i="1" s="1"/>
  <c r="C71" i="1"/>
  <c r="D71" i="1" s="1"/>
  <c r="C87" i="1"/>
  <c r="D87" i="1" s="1"/>
  <c r="C24" i="1"/>
  <c r="D24" i="1" s="1"/>
  <c r="C40" i="1"/>
  <c r="D40" i="1" s="1"/>
  <c r="C56" i="1"/>
  <c r="D56" i="1" s="1"/>
  <c r="C80" i="1"/>
  <c r="D80" i="1" s="1"/>
  <c r="D96" i="1"/>
  <c r="C50" i="1"/>
  <c r="D50" i="1" s="1"/>
  <c r="C74" i="1"/>
  <c r="D74" i="1" s="1"/>
  <c r="A21" i="1"/>
  <c r="A29" i="1"/>
  <c r="A37" i="1"/>
  <c r="A45" i="1"/>
  <c r="A53" i="1"/>
  <c r="A61" i="1"/>
  <c r="A69" i="1"/>
  <c r="A77" i="1"/>
  <c r="A85" i="1"/>
  <c r="A93" i="1"/>
  <c r="A101" i="1"/>
  <c r="A82" i="1"/>
  <c r="A14" i="1"/>
  <c r="A22" i="1"/>
  <c r="A30" i="1"/>
  <c r="A38" i="1"/>
  <c r="A46" i="1"/>
  <c r="A54" i="1"/>
  <c r="A62" i="1"/>
  <c r="A70" i="1"/>
  <c r="A78" i="1"/>
  <c r="A86" i="1"/>
  <c r="A94" i="1"/>
  <c r="A102" i="1"/>
  <c r="A50" i="1"/>
  <c r="A90" i="1"/>
  <c r="A19" i="1"/>
  <c r="A35" i="1"/>
  <c r="A51" i="1"/>
  <c r="A67" i="1"/>
  <c r="A83" i="1"/>
  <c r="A28" i="1"/>
  <c r="A60" i="1"/>
  <c r="A84" i="1"/>
  <c r="A100" i="1"/>
  <c r="A15" i="1"/>
  <c r="A23" i="1"/>
  <c r="A31" i="1"/>
  <c r="A39" i="1"/>
  <c r="A47" i="1"/>
  <c r="A55" i="1"/>
  <c r="A63" i="1"/>
  <c r="A71" i="1"/>
  <c r="A79" i="1"/>
  <c r="A87" i="1"/>
  <c r="A95" i="1"/>
  <c r="A26" i="1"/>
  <c r="A58" i="1"/>
  <c r="A27" i="1"/>
  <c r="A43" i="1"/>
  <c r="A59" i="1"/>
  <c r="A75" i="1"/>
  <c r="A99" i="1"/>
  <c r="A36" i="1"/>
  <c r="A44" i="1"/>
  <c r="A68" i="1"/>
  <c r="A92" i="1"/>
  <c r="A16" i="1"/>
  <c r="A24" i="1"/>
  <c r="A32" i="1"/>
  <c r="A40" i="1"/>
  <c r="A48" i="1"/>
  <c r="A56" i="1"/>
  <c r="A64" i="1"/>
  <c r="A72" i="1"/>
  <c r="A80" i="1"/>
  <c r="A88" i="1"/>
  <c r="A96" i="1"/>
  <c r="A34" i="1"/>
  <c r="A74" i="1"/>
  <c r="A17" i="1"/>
  <c r="A25" i="1"/>
  <c r="A33" i="1"/>
  <c r="A41" i="1"/>
  <c r="A49" i="1"/>
  <c r="A57" i="1"/>
  <c r="A65" i="1"/>
  <c r="A73" i="1"/>
  <c r="A81" i="1"/>
  <c r="A89" i="1"/>
  <c r="A97" i="1"/>
  <c r="A13" i="1"/>
  <c r="A18" i="1"/>
  <c r="A42" i="1"/>
  <c r="A66" i="1"/>
  <c r="A98" i="1"/>
  <c r="A91" i="1"/>
  <c r="A20" i="1"/>
  <c r="A52" i="1"/>
  <c r="A76" i="1"/>
  <c r="G149" i="1" l="1"/>
  <c r="H149" i="1"/>
  <c r="G118" i="1"/>
  <c r="H118" i="1"/>
  <c r="G104" i="1"/>
  <c r="H104" i="1"/>
  <c r="G127" i="1"/>
  <c r="H127" i="1"/>
  <c r="G114" i="1"/>
  <c r="H114" i="1"/>
  <c r="H148" i="1"/>
  <c r="G148" i="1"/>
  <c r="G125" i="1"/>
  <c r="H125" i="1"/>
  <c r="G110" i="1"/>
  <c r="H110" i="1"/>
  <c r="G126" i="1"/>
  <c r="H126" i="1"/>
  <c r="G111" i="1"/>
  <c r="H111" i="1"/>
  <c r="H106" i="1"/>
  <c r="G106" i="1"/>
  <c r="H140" i="1"/>
  <c r="G140" i="1"/>
  <c r="G133" i="1"/>
  <c r="H133" i="1"/>
  <c r="G143" i="1"/>
  <c r="H143" i="1"/>
  <c r="H137" i="1"/>
  <c r="G137" i="1"/>
  <c r="G136" i="1"/>
  <c r="H136" i="1"/>
  <c r="H107" i="1"/>
  <c r="G107" i="1"/>
  <c r="H132" i="1"/>
  <c r="G132" i="1"/>
  <c r="H141" i="1"/>
  <c r="G141" i="1"/>
  <c r="G119" i="1"/>
  <c r="H119" i="1"/>
  <c r="H129" i="1"/>
  <c r="G129" i="1"/>
  <c r="H145" i="1"/>
  <c r="G145" i="1"/>
  <c r="G147" i="1"/>
  <c r="H147" i="1"/>
  <c r="H124" i="1"/>
  <c r="G124" i="1"/>
  <c r="G150" i="1"/>
  <c r="H150" i="1"/>
  <c r="G144" i="1"/>
  <c r="H144" i="1"/>
  <c r="H121" i="1"/>
  <c r="G121" i="1"/>
  <c r="G146" i="1"/>
  <c r="H146" i="1"/>
  <c r="H139" i="1"/>
  <c r="G139" i="1"/>
  <c r="G116" i="1"/>
  <c r="H116" i="1"/>
  <c r="G117" i="1"/>
  <c r="H117" i="1"/>
  <c r="G128" i="1"/>
  <c r="H128" i="1"/>
  <c r="H113" i="1"/>
  <c r="G113" i="1"/>
  <c r="G138" i="1"/>
  <c r="H138" i="1"/>
  <c r="G131" i="1"/>
  <c r="H131" i="1"/>
  <c r="H108" i="1"/>
  <c r="G108" i="1"/>
  <c r="G142" i="1"/>
  <c r="H142" i="1"/>
  <c r="G120" i="1"/>
  <c r="H120" i="1"/>
  <c r="G105" i="1"/>
  <c r="H105" i="1"/>
  <c r="G130" i="1"/>
  <c r="H130" i="1"/>
  <c r="H123" i="1"/>
  <c r="G123" i="1"/>
  <c r="G109" i="1"/>
  <c r="H109" i="1"/>
  <c r="G134" i="1"/>
  <c r="H134" i="1"/>
  <c r="G112" i="1"/>
  <c r="H112" i="1"/>
  <c r="G135" i="1"/>
  <c r="H135" i="1"/>
  <c r="G122" i="1"/>
  <c r="H122" i="1"/>
  <c r="H115" i="1"/>
  <c r="G115" i="1"/>
  <c r="G103" i="1"/>
  <c r="H103" i="1"/>
  <c r="H94" i="1"/>
  <c r="H47" i="1"/>
  <c r="H102" i="1"/>
  <c r="H65" i="1"/>
  <c r="H63" i="1"/>
  <c r="H32" i="1"/>
  <c r="H92" i="1"/>
  <c r="H89" i="1"/>
  <c r="H16" i="1"/>
  <c r="H27" i="1"/>
  <c r="G42" i="1"/>
  <c r="G73" i="1"/>
  <c r="G80" i="1"/>
  <c r="G16" i="1"/>
  <c r="G59" i="1"/>
  <c r="G39" i="1"/>
  <c r="G28" i="1"/>
  <c r="G50" i="1"/>
  <c r="G62" i="1"/>
  <c r="G53" i="1"/>
  <c r="G18" i="1"/>
  <c r="G65" i="1"/>
  <c r="G74" i="1"/>
  <c r="G72" i="1"/>
  <c r="G92" i="1"/>
  <c r="G43" i="1"/>
  <c r="G95" i="1"/>
  <c r="G31" i="1"/>
  <c r="G54" i="1"/>
  <c r="G45" i="1"/>
  <c r="G76" i="1"/>
  <c r="G13" i="1"/>
  <c r="I13" i="1" s="1"/>
  <c r="E8" i="1"/>
  <c r="E7" i="1"/>
  <c r="G57" i="1"/>
  <c r="G34" i="1"/>
  <c r="G64" i="1"/>
  <c r="G68" i="1"/>
  <c r="G27" i="1"/>
  <c r="G87" i="1"/>
  <c r="G23" i="1"/>
  <c r="G83" i="1"/>
  <c r="G46" i="1"/>
  <c r="G101" i="1"/>
  <c r="G37" i="1"/>
  <c r="G52" i="1"/>
  <c r="G49" i="1"/>
  <c r="G56" i="1"/>
  <c r="G44" i="1"/>
  <c r="G79" i="1"/>
  <c r="G15" i="1"/>
  <c r="G67" i="1"/>
  <c r="G102" i="1"/>
  <c r="G38" i="1"/>
  <c r="G93" i="1"/>
  <c r="G29" i="1"/>
  <c r="G20" i="1"/>
  <c r="G41" i="1"/>
  <c r="G48" i="1"/>
  <c r="G36" i="1"/>
  <c r="G58" i="1"/>
  <c r="G71" i="1"/>
  <c r="G51" i="1"/>
  <c r="G94" i="1"/>
  <c r="G30" i="1"/>
  <c r="G85" i="1"/>
  <c r="G21" i="1"/>
  <c r="H37" i="1"/>
  <c r="H76" i="1"/>
  <c r="H68" i="1"/>
  <c r="G91" i="1"/>
  <c r="G97" i="1"/>
  <c r="G33" i="1"/>
  <c r="G40" i="1"/>
  <c r="G26" i="1"/>
  <c r="G63" i="1"/>
  <c r="G100" i="1"/>
  <c r="G35" i="1"/>
  <c r="G86" i="1"/>
  <c r="G22" i="1"/>
  <c r="G77" i="1"/>
  <c r="G98" i="1"/>
  <c r="G89" i="1"/>
  <c r="G25" i="1"/>
  <c r="G96" i="1"/>
  <c r="G32" i="1"/>
  <c r="G99" i="1"/>
  <c r="G55" i="1"/>
  <c r="G84" i="1"/>
  <c r="G19" i="1"/>
  <c r="G78" i="1"/>
  <c r="G14" i="1"/>
  <c r="G69" i="1"/>
  <c r="G66" i="1"/>
  <c r="G81" i="1"/>
  <c r="G17" i="1"/>
  <c r="G88" i="1"/>
  <c r="G24" i="1"/>
  <c r="G75" i="1"/>
  <c r="G47" i="1"/>
  <c r="G60" i="1"/>
  <c r="G90" i="1"/>
  <c r="G70" i="1"/>
  <c r="G82" i="1"/>
  <c r="G61" i="1"/>
  <c r="E13" i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I150" i="1" s="1"/>
  <c r="I103" i="1" l="1"/>
  <c r="I122" i="1"/>
  <c r="I128" i="1"/>
  <c r="I116" i="1"/>
  <c r="I121" i="1"/>
  <c r="I124" i="1"/>
  <c r="I136" i="1"/>
  <c r="I106" i="1"/>
  <c r="I110" i="1"/>
  <c r="I133" i="1"/>
  <c r="I135" i="1"/>
  <c r="I142" i="1"/>
  <c r="I130" i="1"/>
  <c r="I144" i="1"/>
  <c r="I129" i="1"/>
  <c r="I111" i="1"/>
  <c r="I118" i="1"/>
  <c r="I139" i="1"/>
  <c r="I115" i="1"/>
  <c r="I105" i="1"/>
  <c r="I147" i="1"/>
  <c r="I132" i="1"/>
  <c r="I125" i="1"/>
  <c r="I114" i="1"/>
  <c r="I112" i="1"/>
  <c r="I109" i="1"/>
  <c r="I138" i="1"/>
  <c r="I117" i="1"/>
  <c r="I119" i="1"/>
  <c r="I137" i="1"/>
  <c r="I127" i="1"/>
  <c r="I123" i="1"/>
  <c r="I108" i="1"/>
  <c r="I140" i="1"/>
  <c r="I126" i="1"/>
  <c r="I120" i="1"/>
  <c r="I113" i="1"/>
  <c r="I146" i="1"/>
  <c r="I143" i="1"/>
  <c r="I148" i="1"/>
  <c r="I149" i="1"/>
  <c r="I134" i="1"/>
  <c r="I131" i="1"/>
  <c r="I145" i="1"/>
  <c r="I141" i="1"/>
  <c r="I107" i="1"/>
  <c r="I104" i="1"/>
  <c r="H101" i="1"/>
  <c r="H34" i="1"/>
  <c r="H69" i="1"/>
  <c r="H84" i="1"/>
  <c r="H22" i="1"/>
  <c r="H79" i="1"/>
  <c r="H88" i="1"/>
  <c r="H70" i="1"/>
  <c r="H46" i="1"/>
  <c r="H13" i="1"/>
  <c r="H43" i="1"/>
  <c r="H86" i="1"/>
  <c r="H85" i="1"/>
  <c r="H75" i="1"/>
  <c r="H64" i="1"/>
  <c r="H28" i="1"/>
  <c r="H58" i="1"/>
  <c r="H73" i="1"/>
  <c r="H42" i="1"/>
  <c r="H57" i="1"/>
  <c r="H96" i="1"/>
  <c r="H55" i="1"/>
  <c r="H80" i="1"/>
  <c r="H54" i="1"/>
  <c r="H74" i="1"/>
  <c r="H100" i="1"/>
  <c r="H21" i="1"/>
  <c r="H33" i="1"/>
  <c r="H62" i="1"/>
  <c r="H59" i="1"/>
  <c r="H14" i="1"/>
  <c r="H82" i="1"/>
  <c r="H24" i="1"/>
  <c r="H50" i="1"/>
  <c r="H49" i="1"/>
  <c r="H67" i="1"/>
  <c r="H90" i="1"/>
  <c r="H20" i="1"/>
  <c r="H45" i="1"/>
  <c r="H26" i="1"/>
  <c r="H40" i="1"/>
  <c r="H15" i="1"/>
  <c r="H83" i="1"/>
  <c r="H53" i="1"/>
  <c r="H99" i="1"/>
  <c r="H81" i="1"/>
  <c r="H71" i="1"/>
  <c r="H29" i="1"/>
  <c r="H44" i="1"/>
  <c r="H72" i="1"/>
  <c r="H66" i="1"/>
  <c r="H31" i="1"/>
  <c r="H23" i="1"/>
  <c r="H52" i="1"/>
  <c r="H41" i="1"/>
  <c r="H35" i="1"/>
  <c r="H17" i="1"/>
  <c r="H93" i="1"/>
  <c r="H98" i="1"/>
  <c r="H56" i="1"/>
  <c r="H38" i="1"/>
  <c r="H95" i="1"/>
  <c r="H60" i="1"/>
  <c r="H18" i="1"/>
  <c r="H77" i="1"/>
  <c r="H39" i="1"/>
  <c r="H91" i="1"/>
  <c r="H36" i="1"/>
  <c r="H19" i="1"/>
  <c r="H78" i="1"/>
  <c r="H25" i="1"/>
  <c r="H51" i="1"/>
  <c r="H48" i="1"/>
  <c r="H87" i="1"/>
  <c r="H61" i="1"/>
  <c r="H30" i="1"/>
  <c r="H97" i="1"/>
  <c r="H151" i="1" l="1"/>
  <c r="H7" i="1"/>
  <c r="E6" i="1"/>
  <c r="E9" i="1" s="1"/>
  <c r="I14" i="1"/>
  <c r="I15" i="1"/>
  <c r="I16" i="1" l="1"/>
  <c r="I17" i="1" l="1"/>
  <c r="I18" i="1" l="1"/>
  <c r="I19" i="1" l="1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00" i="1" l="1"/>
  <c r="I101" i="1" l="1"/>
  <c r="I102" i="1" l="1"/>
  <c r="E151" i="1" l="1"/>
  <c r="H8" i="1" l="1"/>
  <c r="H6" i="1" s="1"/>
  <c r="H9" i="1" s="1"/>
  <c r="I151" i="1"/>
</calcChain>
</file>

<file path=xl/sharedStrings.xml><?xml version="1.0" encoding="utf-8"?>
<sst xmlns="http://schemas.openxmlformats.org/spreadsheetml/2006/main" count="180" uniqueCount="78">
  <si>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</si>
  <si>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</si>
  <si>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</si>
  <si>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</si>
  <si>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</si>
  <si>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</si>
  <si>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</si>
  <si>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</si>
  <si>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</si>
  <si>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</si>
  <si>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</si>
  <si>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</si>
  <si>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</si>
  <si>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</si>
  <si>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</si>
  <si>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</si>
  <si>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</si>
  <si>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</si>
  <si>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</si>
  <si>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</si>
  <si>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</si>
  <si>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</si>
  <si>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</si>
  <si>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</si>
  <si>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</si>
  <si>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</si>
  <si>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</si>
  <si>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</si>
  <si>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</si>
  <si>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</si>
  <si>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</si>
  <si>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</si>
  <si>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</si>
  <si>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</si>
  <si>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</si>
  <si>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</si>
  <si>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</si>
  <si>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</si>
  <si>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</si>
  <si>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</si>
  <si>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</si>
  <si>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</si>
  <si>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</si>
  <si>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</si>
  <si>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</si>
  <si>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</si>
  <si>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</si>
  <si>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</si>
  <si>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</si>
  <si>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</si>
  <si>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</si>
  <si>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</si>
  <si>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</si>
  <si>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</si>
  <si>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</si>
  <si>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</si>
  <si>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</si>
  <si>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</si>
  <si>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</si>
  <si>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</si>
  <si>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</si>
  <si>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</si>
  <si>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</si>
  <si>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</si>
  <si>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</si>
  <si>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</si>
  <si>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Thay đổi "ngày quá hạn" thì nên cập nhật lại cho chính xác</t>
  </si>
  <si>
    <t>Thay đổi "ngày cần tính" thì tự động sẽ cập nhật tất cả các bảng kê đã tính</t>
  </si>
  <si>
    <t>Link hướng dẫn : https://giabao1881.github.io/BKTL/</t>
  </si>
  <si>
    <t>Thay đổi "Người lập bảng" thì tự động sẽ cập nhật tất cả các bảng tính</t>
  </si>
  <si>
    <t>Hợp đồng số</t>
  </si>
  <si>
    <t>Nợ gốc</t>
  </si>
  <si>
    <t>Nợ lãi</t>
  </si>
  <si>
    <t>Lãi TH</t>
  </si>
  <si>
    <t>Lãi QH</t>
  </si>
  <si>
    <t xml:space="preserve">Nợ gốc </t>
  </si>
  <si>
    <t>Tổng dư nợ</t>
  </si>
  <si>
    <t>02 bảng này khi bạn tính xong sẽ tự động cập nhật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</si>
</sst>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</numFmts>
  <fonts count="20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0" fontId="4" fillId="0" borderId="6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165" fontId="3" fillId="0" borderId="7" xfId="1" applyNumberFormat="1" applyFont="1" applyFill="1" applyBorder="1" applyAlignment="1">
      <alignment horizontal="center" vertical="center"/>
    </xf>
    <xf numFmtId="165" fontId="3" fillId="0" borderId="8" xfId="1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65" fontId="3" fillId="0" borderId="1" xfId="1" applyNumberFormat="1" applyFont="1" applyFill="1" applyBorder="1" applyAlignment="1">
      <alignment horizontal="center" vertical="center"/>
    </xf>
    <xf numFmtId="165" fontId="3" fillId="0" borderId="5" xfId="1" applyNumberFormat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center" vertical="center"/>
    </xf>
    <xf numFmtId="165" fontId="4" fillId="0" borderId="5" xfId="1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0" fontId="16" fillId="0" borderId="0" xfId="0" applyFont="1"/>
    <xf numFmtId="14" fontId="0" fillId="0" borderId="4" xfId="0" applyNumberFormat="1" applyBorder="1"/>
    <xf numFmtId="14" fontId="15" fillId="5" borderId="4" xfId="0" applyNumberFormat="1" applyFont="1" applyFill="1" applyBorder="1"/>
    <xf numFmtId="14" fontId="12" fillId="0" borderId="0" xfId="0" applyNumberFormat="1" applyFont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5" fillId="5" borderId="4" xfId="0" applyNumberFormat="1" applyFont="1" applyFill="1" applyBorder="1"/>
    <xf numFmtId="14" fontId="15" fillId="0" borderId="0" xfId="0" applyNumberFormat="1" applyFont="1" applyFill="1"/>
    <xf numFmtId="0" fontId="6" fillId="7" borderId="4" xfId="0" applyFont="1" applyFill="1" applyBorder="1" applyAlignment="1">
      <alignment horizontal="center"/>
    </xf>
    <xf numFmtId="41" fontId="12" fillId="0" borderId="4" xfId="3" applyFont="1" applyBorder="1"/>
    <xf numFmtId="0" fontId="17" fillId="8" borderId="4" xfId="0" applyFont="1" applyFill="1" applyBorder="1" applyAlignment="1">
      <alignment horizontal="center" vertical="center"/>
    </xf>
    <xf numFmtId="0" fontId="12" fillId="0" borderId="0" xfId="0" applyNumberFormat="1" applyFont="1"/>
    <xf numFmtId="0" fontId="0" fillId="0" borderId="0" xfId="0" applyNumberFormat="1"/>
    <xf numFmtId="0" fontId="12" fillId="0" borderId="3" xfId="0" applyNumberFormat="1" applyFont="1" applyBorder="1"/>
    <xf numFmtId="41" fontId="12" fillId="0" borderId="6" xfId="3" applyFont="1" applyBorder="1"/>
    <xf numFmtId="0" fontId="17" fillId="9" borderId="3" xfId="0" applyNumberFormat="1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6" xfId="0" applyFont="1" applyFill="1" applyBorder="1" applyAlignment="1">
      <alignment horizontal="center" vertical="center"/>
    </xf>
    <xf numFmtId="41" fontId="18" fillId="0" borderId="4" xfId="3" applyFont="1" applyBorder="1"/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6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9" fillId="10" borderId="0" xfId="0" applyFont="1" applyFill="1" applyAlignment="1">
      <alignment horizont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11</xdr:row>
      <xdr:rowOff>114300</xdr:rowOff>
    </xdr:from>
    <xdr:to>
      <xdr:col>1</xdr:col>
      <xdr:colOff>797923</xdr:colOff>
      <xdr:row>18</xdr:row>
      <xdr:rowOff>137160</xdr:rowOff>
    </xdr:to>
    <xdr:pic macro="[0]!Run_Module8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760220"/>
          <a:ext cx="1323703" cy="13030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563219</xdr:colOff>
      <xdr:row>0</xdr:row>
      <xdr:rowOff>55218</xdr:rowOff>
    </xdr:from>
    <xdr:to>
      <xdr:col>2</xdr:col>
      <xdr:colOff>657573</xdr:colOff>
      <xdr:row>1</xdr:row>
      <xdr:rowOff>397564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563219" y="55218"/>
          <a:ext cx="2234028" cy="839303"/>
        </a:xfrm>
        <a:prstGeom prst="rect">
          <a:avLst/>
        </a:prstGeom>
      </xdr:spPr>
    </xdr:pic>
    <xdr:clientData/>
  </xdr:twoCellAnchor>
  <xdr:twoCellAnchor editAs="oneCell">
    <xdr:from>
      <xdr:col>2</xdr:col>
      <xdr:colOff>640523</xdr:colOff>
      <xdr:row>0</xdr:row>
      <xdr:rowOff>254002</xdr:rowOff>
    </xdr:from>
    <xdr:to>
      <xdr:col>6</xdr:col>
      <xdr:colOff>1212648</xdr:colOff>
      <xdr:row>1</xdr:row>
      <xdr:rowOff>276089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9219" y="254002"/>
          <a:ext cx="4072908" cy="5190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397565</xdr:rowOff>
    </xdr:from>
    <xdr:to>
      <xdr:col>2</xdr:col>
      <xdr:colOff>201748</xdr:colOff>
      <xdr:row>1</xdr:row>
      <xdr:rowOff>806172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4522"/>
          <a:ext cx="2341422" cy="408607"/>
        </a:xfrm>
        <a:prstGeom prst="rect">
          <a:avLst/>
        </a:prstGeom>
      </xdr:spPr>
    </xdr:pic>
    <xdr:clientData/>
  </xdr:twoCellAnchor>
  <xdr:twoCellAnchor editAs="oneCell">
    <xdr:from>
      <xdr:col>7</xdr:col>
      <xdr:colOff>485914</xdr:colOff>
      <xdr:row>0</xdr:row>
      <xdr:rowOff>33131</xdr:rowOff>
    </xdr:from>
    <xdr:to>
      <xdr:col>9</xdr:col>
      <xdr:colOff>154663</xdr:colOff>
      <xdr:row>1</xdr:row>
      <xdr:rowOff>882706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7361"/>
        <a:stretch/>
      </xdr:blipFill>
      <xdr:spPr>
        <a:xfrm>
          <a:off x="7233479" y="33131"/>
          <a:ext cx="1526815" cy="1346532"/>
        </a:xfrm>
        <a:prstGeom prst="rect">
          <a:avLst/>
        </a:prstGeom>
      </xdr:spPr>
    </xdr:pic>
    <xdr:clientData/>
  </xdr:twoCellAnchor>
  <xdr:twoCellAnchor editAs="oneCell">
    <xdr:from>
      <xdr:col>8</xdr:col>
      <xdr:colOff>640649</xdr:colOff>
      <xdr:row>0</xdr:row>
      <xdr:rowOff>321044</xdr:rowOff>
    </xdr:from>
    <xdr:to>
      <xdr:col>17</xdr:col>
      <xdr:colOff>433456</xdr:colOff>
      <xdr:row>1</xdr:row>
      <xdr:rowOff>867569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5866" y="321044"/>
          <a:ext cx="8415004" cy="1043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244618</xdr:colOff>
      <xdr:row>0</xdr:row>
      <xdr:rowOff>121230</xdr:rowOff>
    </xdr:from>
    <xdr:to>
      <xdr:col>5</xdr:col>
      <xdr:colOff>208068</xdr:colOff>
      <xdr:row>1</xdr:row>
      <xdr:rowOff>43297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341" y="121230"/>
          <a:ext cx="2344698" cy="242453"/>
        </a:xfrm>
        <a:prstGeom prst="rect">
          <a:avLst/>
        </a:prstGeom>
      </xdr:spPr>
    </xdr:pic>
    <xdr:clientData/>
  </xdr:twoCellAnchor>
  <xdr:twoCellAnchor editAs="absolute">
    <xdr:from>
      <xdr:col>0</xdr:col>
      <xdr:colOff>199159</xdr:colOff>
      <xdr:row>0</xdr:row>
      <xdr:rowOff>34637</xdr:rowOff>
    </xdr:from>
    <xdr:to>
      <xdr:col>2</xdr:col>
      <xdr:colOff>216476</xdr:colOff>
      <xdr:row>1</xdr:row>
      <xdr:rowOff>341767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199159" y="34637"/>
          <a:ext cx="1640898" cy="621022"/>
        </a:xfrm>
        <a:prstGeom prst="rect">
          <a:avLst/>
        </a:prstGeom>
      </xdr:spPr>
    </xdr:pic>
    <xdr:clientData/>
  </xdr:twoCellAnchor>
  <xdr:twoCellAnchor editAs="absolute">
    <xdr:from>
      <xdr:col>0</xdr:col>
      <xdr:colOff>186170</xdr:colOff>
      <xdr:row>1</xdr:row>
      <xdr:rowOff>337707</xdr:rowOff>
    </xdr:from>
    <xdr:to>
      <xdr:col>2</xdr:col>
      <xdr:colOff>346362</xdr:colOff>
      <xdr:row>1</xdr:row>
      <xdr:rowOff>651407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170" y="651599"/>
          <a:ext cx="1783773" cy="313700"/>
        </a:xfrm>
        <a:prstGeom prst="rect">
          <a:avLst/>
        </a:prstGeom>
      </xdr:spPr>
    </xdr:pic>
    <xdr:clientData/>
  </xdr:twoCellAnchor>
  <xdr:twoCellAnchor editAs="absolute">
    <xdr:from>
      <xdr:col>5</xdr:col>
      <xdr:colOff>305235</xdr:colOff>
      <xdr:row>0</xdr:row>
      <xdr:rowOff>112568</xdr:rowOff>
    </xdr:from>
    <xdr:to>
      <xdr:col>10</xdr:col>
      <xdr:colOff>595313</xdr:colOff>
      <xdr:row>1</xdr:row>
      <xdr:rowOff>1172956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8206" y="112568"/>
          <a:ext cx="4087090" cy="1380774"/>
        </a:xfrm>
        <a:prstGeom prst="rect">
          <a:avLst/>
        </a:prstGeom>
      </xdr:spPr>
    </xdr:pic>
    <xdr:clientData/>
  </xdr:twoCellAnchor>
  <xdr:twoCellAnchor editAs="absolute">
    <xdr:from>
      <xdr:col>10</xdr:col>
      <xdr:colOff>584488</xdr:colOff>
      <xdr:row>0</xdr:row>
      <xdr:rowOff>129888</xdr:rowOff>
    </xdr:from>
    <xdr:to>
      <xdr:col>12</xdr:col>
      <xdr:colOff>649430</xdr:colOff>
      <xdr:row>1</xdr:row>
      <xdr:rowOff>974090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17361"/>
        <a:stretch/>
      </xdr:blipFill>
      <xdr:spPr>
        <a:xfrm>
          <a:off x="8572499" y="129888"/>
          <a:ext cx="1309688" cy="1158094"/>
        </a:xfrm>
        <a:prstGeom prst="rect">
          <a:avLst/>
        </a:prstGeom>
      </xdr:spPr>
    </xdr:pic>
    <xdr:clientData/>
  </xdr:twoCellAnchor>
  <xdr:twoCellAnchor editAs="absolute">
    <xdr:from>
      <xdr:col>12</xdr:col>
      <xdr:colOff>411307</xdr:colOff>
      <xdr:row>1</xdr:row>
      <xdr:rowOff>97415</xdr:rowOff>
    </xdr:from>
    <xdr:to>
      <xdr:col>22</xdr:col>
      <xdr:colOff>422132</xdr:colOff>
      <xdr:row>1</xdr:row>
      <xdr:rowOff>999901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44063" y="411307"/>
          <a:ext cx="7067983" cy="902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157"/>
  <sheetViews>
    <sheetView zoomScaleNormal="100" workbookViewId="0">
      <selection activeCell="H7" sqref="H7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8" t="s">
        <v>23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</row>
    <row r="2" spans="1:62" x14ac:dyDescent="0.3">
      <c r="J2" s="3"/>
      <c r="K2" s="3"/>
    </row>
    <row r="3" spans="1:62" x14ac:dyDescent="0.3">
      <c r="A3" s="109" t="s">
        <v>0</v>
      </c>
      <c r="B3" s="110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2"/>
      <c r="C4" s="4"/>
      <c r="D4" s="111" t="s">
        <v>25</v>
      </c>
      <c r="E4" s="112"/>
      <c r="G4" s="113" t="s">
        <v>24</v>
      </c>
      <c r="H4" s="114"/>
      <c r="I4" s="50" t="s">
        <v>26</v>
      </c>
      <c r="J4" s="15"/>
      <c r="K4" s="15"/>
    </row>
    <row r="5" spans="1:62" x14ac:dyDescent="0.3">
      <c r="A5" s="16" t="s">
        <v>2</v>
      </c>
      <c r="B5" s="22"/>
      <c r="C5" s="4"/>
      <c r="D5" s="42" t="s">
        <v>20</v>
      </c>
      <c r="E5" s="41">
        <f>SUM(J13:J150)</f>
        <v>0</v>
      </c>
      <c r="G5" s="42" t="s">
        <v>18</v>
      </c>
      <c r="H5" s="40">
        <f>B7-SUM(J13:J150)</f>
        <v>0</v>
      </c>
      <c r="I5" s="50" t="s">
        <v>29</v>
      </c>
      <c r="J5" s="51"/>
      <c r="K5" s="4"/>
    </row>
    <row r="6" spans="1:62" x14ac:dyDescent="0.3">
      <c r="A6" s="16" t="s">
        <v>3</v>
      </c>
      <c r="B6" s="22"/>
      <c r="C6" s="4"/>
      <c r="D6" s="42" t="s">
        <v>21</v>
      </c>
      <c r="E6" s="41">
        <f>E7+E8</f>
        <v>0</v>
      </c>
      <c r="G6" s="42" t="s">
        <v>19</v>
      </c>
      <c r="H6" s="40">
        <f>H7+H8</f>
        <v>0</v>
      </c>
      <c r="I6" s="50" t="s">
        <v>35</v>
      </c>
      <c r="J6" s="4"/>
      <c r="K6" s="4"/>
    </row>
    <row r="7" spans="1:62" x14ac:dyDescent="0.3">
      <c r="A7" s="16" t="s">
        <v>4</v>
      </c>
      <c r="B7" s="67"/>
      <c r="C7" s="4"/>
      <c r="D7" s="42" t="s">
        <v>36</v>
      </c>
      <c r="E7" s="41">
        <f>SUMIF($A$13:$A$150,"TRONG HẠN",$K$13:$K$150)</f>
        <v>0</v>
      </c>
      <c r="G7" s="42" t="s">
        <v>27</v>
      </c>
      <c r="H7" s="40">
        <f>SUM(H13:H150)-E7</f>
        <v>0</v>
      </c>
      <c r="I7" s="50" t="s">
        <v>38</v>
      </c>
      <c r="J7" s="5"/>
      <c r="K7" s="5"/>
    </row>
    <row r="8" spans="1:62" x14ac:dyDescent="0.3">
      <c r="A8" s="16" t="s">
        <v>5</v>
      </c>
      <c r="B8" s="23"/>
      <c r="C8" s="4"/>
      <c r="D8" s="42" t="s">
        <v>37</v>
      </c>
      <c r="E8" s="41">
        <f>SUMIF($A$13:$A$150,"QUÁ HẠN",$K$13:$K$150)</f>
        <v>0</v>
      </c>
      <c r="G8" s="42" t="s">
        <v>28</v>
      </c>
      <c r="H8" s="40">
        <f>SUM(I13:I150)-E8</f>
        <v>0</v>
      </c>
      <c r="I8" s="50" t="s">
        <v>39</v>
      </c>
      <c r="J8" s="9"/>
      <c r="K8" s="8"/>
    </row>
    <row r="9" spans="1:62" x14ac:dyDescent="0.3">
      <c r="A9" s="16" t="s">
        <v>6</v>
      </c>
      <c r="B9" s="23">
        <f>THTT!A2</f>
        <v>0</v>
      </c>
      <c r="C9" s="4"/>
      <c r="D9" s="54" t="s">
        <v>40</v>
      </c>
      <c r="E9" s="55">
        <f>E5+E6</f>
        <v>0</v>
      </c>
      <c r="G9" s="52" t="s">
        <v>34</v>
      </c>
      <c r="H9" s="53">
        <f>H5+H6</f>
        <v>0</v>
      </c>
      <c r="I9" s="50" t="s">
        <v>41</v>
      </c>
      <c r="J9" s="7"/>
      <c r="K9" s="7"/>
    </row>
    <row r="10" spans="1:62" x14ac:dyDescent="0.3">
      <c r="A10" s="16" t="s">
        <v>17</v>
      </c>
      <c r="B10" s="23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46" t="s">
        <v>7</v>
      </c>
      <c r="B12" s="46" t="s">
        <v>22</v>
      </c>
      <c r="C12" s="46" t="s">
        <v>8</v>
      </c>
      <c r="D12" s="46" t="s">
        <v>9</v>
      </c>
      <c r="E12" s="46" t="s">
        <v>10</v>
      </c>
      <c r="F12" s="46" t="s">
        <v>11</v>
      </c>
      <c r="G12" s="46" t="s">
        <v>30</v>
      </c>
      <c r="H12" s="46" t="s">
        <v>12</v>
      </c>
      <c r="I12" s="46" t="s">
        <v>13</v>
      </c>
      <c r="J12" s="46" t="s">
        <v>14</v>
      </c>
      <c r="K12" s="46" t="s">
        <v>15</v>
      </c>
    </row>
    <row r="13" spans="1:62" s="10" customFormat="1" x14ac:dyDescent="0.3">
      <c r="A13" s="44" t="str">
        <f>IF(B13&gt;=$B$9,"QUÁ HẠN", "TRONG HẠN")</f>
        <v>QUÁ HẠN</v>
      </c>
      <c r="B13" s="30"/>
      <c r="C13" s="45">
        <f>IFERROR(IF(B14="", $B$10, B14-1), $B$10)</f>
        <v>0</v>
      </c>
      <c r="D13" s="43">
        <f>C13-B13+1</f>
        <v>1</v>
      </c>
      <c r="E13" s="31">
        <f>B7</f>
        <v>0</v>
      </c>
      <c r="F13" s="38"/>
      <c r="G13" s="39">
        <f>IF(A13="QUÁ HẠN", F13*1.5,"")</f>
        <v>0</v>
      </c>
      <c r="H13" s="21" t="str">
        <f>IF(A13="TRONG HẠN",D13*E13*F13/365,"")</f>
        <v/>
      </c>
      <c r="I13" s="21">
        <f>IF(A13="QUÁ HẠN",D13*E13*G13/365,"")</f>
        <v>0</v>
      </c>
      <c r="J13" s="31"/>
      <c r="K13" s="32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44" t="str">
        <f t="shared" ref="A14:A77" si="0">IF(B14&gt;=$B$9,"QUÁ HẠN", "TRONG HẠN")</f>
        <v>QUÁ HẠN</v>
      </c>
      <c r="B14" s="33"/>
      <c r="C14" s="45">
        <f t="shared" ref="C14:C77" si="1">IFERROR(IF(B15="", $B$10, B15-1), $B$10)</f>
        <v>0</v>
      </c>
      <c r="D14" s="43">
        <f t="shared" ref="D14:D77" si="2">C14-B14+1</f>
        <v>1</v>
      </c>
      <c r="E14" s="34">
        <f>E13-J14</f>
        <v>0</v>
      </c>
      <c r="F14" s="38"/>
      <c r="G14" s="39">
        <f t="shared" ref="G14:G77" si="3">IF(A14="QUÁ HẠN", F14*1.5,"")</f>
        <v>0</v>
      </c>
      <c r="H14" s="21" t="str">
        <f t="shared" ref="H14:H77" si="4">IF(A14="TRONG HẠN",D14*E14*F14/365,"")</f>
        <v/>
      </c>
      <c r="I14" s="21">
        <f t="shared" ref="I14:I77" si="5">IF(A14="QUÁ HẠN",D14*E14*G14/365,"")</f>
        <v>0</v>
      </c>
      <c r="J14" s="34"/>
      <c r="K14" s="35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44" t="str">
        <f t="shared" si="0"/>
        <v>QUÁ HẠN</v>
      </c>
      <c r="B15" s="33"/>
      <c r="C15" s="45">
        <f t="shared" si="1"/>
        <v>0</v>
      </c>
      <c r="D15" s="43">
        <f t="shared" si="2"/>
        <v>1</v>
      </c>
      <c r="E15" s="34">
        <f t="shared" ref="E15:E78" si="6">E14-J15</f>
        <v>0</v>
      </c>
      <c r="F15" s="38"/>
      <c r="G15" s="39">
        <f t="shared" si="3"/>
        <v>0</v>
      </c>
      <c r="H15" s="21" t="str">
        <f t="shared" si="4"/>
        <v/>
      </c>
      <c r="I15" s="21">
        <f t="shared" si="5"/>
        <v>0</v>
      </c>
      <c r="J15" s="34"/>
      <c r="K15" s="35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44" t="str">
        <f t="shared" si="0"/>
        <v>QUÁ HẠN</v>
      </c>
      <c r="B16" s="33"/>
      <c r="C16" s="45">
        <f t="shared" si="1"/>
        <v>0</v>
      </c>
      <c r="D16" s="43">
        <f t="shared" si="2"/>
        <v>1</v>
      </c>
      <c r="E16" s="34">
        <f t="shared" si="6"/>
        <v>0</v>
      </c>
      <c r="F16" s="38"/>
      <c r="G16" s="39">
        <f t="shared" si="3"/>
        <v>0</v>
      </c>
      <c r="H16" s="21" t="str">
        <f t="shared" si="4"/>
        <v/>
      </c>
      <c r="I16" s="21">
        <f t="shared" si="5"/>
        <v>0</v>
      </c>
      <c r="J16" s="34"/>
      <c r="K16" s="35"/>
    </row>
    <row r="17" spans="1:14" x14ac:dyDescent="0.3">
      <c r="A17" s="44" t="str">
        <f t="shared" si="0"/>
        <v>QUÁ HẠN</v>
      </c>
      <c r="B17" s="33"/>
      <c r="C17" s="45">
        <f t="shared" si="1"/>
        <v>0</v>
      </c>
      <c r="D17" s="43">
        <f t="shared" si="2"/>
        <v>1</v>
      </c>
      <c r="E17" s="34">
        <f t="shared" si="6"/>
        <v>0</v>
      </c>
      <c r="F17" s="38"/>
      <c r="G17" s="39">
        <f t="shared" si="3"/>
        <v>0</v>
      </c>
      <c r="H17" s="21" t="str">
        <f t="shared" si="4"/>
        <v/>
      </c>
      <c r="I17" s="21">
        <f t="shared" si="5"/>
        <v>0</v>
      </c>
      <c r="J17" s="34"/>
      <c r="K17" s="35"/>
    </row>
    <row r="18" spans="1:14" x14ac:dyDescent="0.3">
      <c r="A18" s="44" t="str">
        <f t="shared" si="0"/>
        <v>QUÁ HẠN</v>
      </c>
      <c r="B18" s="33"/>
      <c r="C18" s="45">
        <f t="shared" si="1"/>
        <v>0</v>
      </c>
      <c r="D18" s="43">
        <f t="shared" si="2"/>
        <v>1</v>
      </c>
      <c r="E18" s="34">
        <f t="shared" si="6"/>
        <v>0</v>
      </c>
      <c r="F18" s="38"/>
      <c r="G18" s="39">
        <f t="shared" si="3"/>
        <v>0</v>
      </c>
      <c r="H18" s="21" t="str">
        <f t="shared" si="4"/>
        <v/>
      </c>
      <c r="I18" s="21">
        <f t="shared" si="5"/>
        <v>0</v>
      </c>
      <c r="J18" s="34"/>
      <c r="K18" s="35"/>
    </row>
    <row r="19" spans="1:14" x14ac:dyDescent="0.3">
      <c r="A19" s="44" t="str">
        <f t="shared" si="0"/>
        <v>QUÁ HẠN</v>
      </c>
      <c r="B19" s="33"/>
      <c r="C19" s="45">
        <f t="shared" si="1"/>
        <v>0</v>
      </c>
      <c r="D19" s="43">
        <f t="shared" si="2"/>
        <v>1</v>
      </c>
      <c r="E19" s="34">
        <f t="shared" si="6"/>
        <v>0</v>
      </c>
      <c r="F19" s="38"/>
      <c r="G19" s="39">
        <f t="shared" si="3"/>
        <v>0</v>
      </c>
      <c r="H19" s="21" t="str">
        <f t="shared" si="4"/>
        <v/>
      </c>
      <c r="I19" s="21">
        <f t="shared" si="5"/>
        <v>0</v>
      </c>
      <c r="J19" s="34"/>
      <c r="K19" s="35"/>
    </row>
    <row r="20" spans="1:14" x14ac:dyDescent="0.3">
      <c r="A20" s="44" t="str">
        <f t="shared" si="0"/>
        <v>QUÁ HẠN</v>
      </c>
      <c r="B20" s="33"/>
      <c r="C20" s="45">
        <f t="shared" si="1"/>
        <v>0</v>
      </c>
      <c r="D20" s="43">
        <f t="shared" si="2"/>
        <v>1</v>
      </c>
      <c r="E20" s="34">
        <f t="shared" si="6"/>
        <v>0</v>
      </c>
      <c r="F20" s="38"/>
      <c r="G20" s="39">
        <f t="shared" si="3"/>
        <v>0</v>
      </c>
      <c r="H20" s="21" t="str">
        <f t="shared" si="4"/>
        <v/>
      </c>
      <c r="I20" s="21">
        <f t="shared" si="5"/>
        <v>0</v>
      </c>
      <c r="J20" s="34"/>
      <c r="K20" s="35"/>
    </row>
    <row r="21" spans="1:14" x14ac:dyDescent="0.3">
      <c r="A21" s="44" t="str">
        <f t="shared" si="0"/>
        <v>QUÁ HẠN</v>
      </c>
      <c r="B21" s="33"/>
      <c r="C21" s="45">
        <f t="shared" si="1"/>
        <v>0</v>
      </c>
      <c r="D21" s="43">
        <f t="shared" si="2"/>
        <v>1</v>
      </c>
      <c r="E21" s="34">
        <f t="shared" si="6"/>
        <v>0</v>
      </c>
      <c r="F21" s="38"/>
      <c r="G21" s="39">
        <f t="shared" si="3"/>
        <v>0</v>
      </c>
      <c r="H21" s="21" t="str">
        <f t="shared" si="4"/>
        <v/>
      </c>
      <c r="I21" s="21">
        <f t="shared" si="5"/>
        <v>0</v>
      </c>
      <c r="J21" s="34"/>
      <c r="K21" s="35"/>
    </row>
    <row r="22" spans="1:14" x14ac:dyDescent="0.3">
      <c r="A22" s="44" t="str">
        <f t="shared" si="0"/>
        <v>QUÁ HẠN</v>
      </c>
      <c r="B22" s="33"/>
      <c r="C22" s="45">
        <f t="shared" si="1"/>
        <v>0</v>
      </c>
      <c r="D22" s="43">
        <f t="shared" si="2"/>
        <v>1</v>
      </c>
      <c r="E22" s="34">
        <f t="shared" si="6"/>
        <v>0</v>
      </c>
      <c r="F22" s="38"/>
      <c r="G22" s="39">
        <f t="shared" si="3"/>
        <v>0</v>
      </c>
      <c r="H22" s="21" t="str">
        <f t="shared" si="4"/>
        <v/>
      </c>
      <c r="I22" s="21">
        <f t="shared" si="5"/>
        <v>0</v>
      </c>
      <c r="J22" s="34"/>
      <c r="K22" s="35"/>
    </row>
    <row r="23" spans="1:14" x14ac:dyDescent="0.3">
      <c r="A23" s="44" t="str">
        <f t="shared" si="0"/>
        <v>QUÁ HẠN</v>
      </c>
      <c r="B23" s="33"/>
      <c r="C23" s="45">
        <f t="shared" si="1"/>
        <v>0</v>
      </c>
      <c r="D23" s="43">
        <f t="shared" si="2"/>
        <v>1</v>
      </c>
      <c r="E23" s="34">
        <f t="shared" si="6"/>
        <v>0</v>
      </c>
      <c r="F23" s="38"/>
      <c r="G23" s="39">
        <f t="shared" si="3"/>
        <v>0</v>
      </c>
      <c r="H23" s="21" t="str">
        <f t="shared" si="4"/>
        <v/>
      </c>
      <c r="I23" s="21">
        <f t="shared" si="5"/>
        <v>0</v>
      </c>
      <c r="J23" s="34"/>
      <c r="K23" s="35"/>
    </row>
    <row r="24" spans="1:14" x14ac:dyDescent="0.3">
      <c r="A24" s="44" t="str">
        <f t="shared" si="0"/>
        <v>QUÁ HẠN</v>
      </c>
      <c r="B24" s="33"/>
      <c r="C24" s="45">
        <f t="shared" si="1"/>
        <v>0</v>
      </c>
      <c r="D24" s="43">
        <f t="shared" si="2"/>
        <v>1</v>
      </c>
      <c r="E24" s="34">
        <f t="shared" si="6"/>
        <v>0</v>
      </c>
      <c r="F24" s="38"/>
      <c r="G24" s="39">
        <f t="shared" si="3"/>
        <v>0</v>
      </c>
      <c r="H24" s="21" t="str">
        <f t="shared" si="4"/>
        <v/>
      </c>
      <c r="I24" s="21">
        <f t="shared" si="5"/>
        <v>0</v>
      </c>
      <c r="J24" s="34"/>
      <c r="K24" s="35"/>
    </row>
    <row r="25" spans="1:14" x14ac:dyDescent="0.3">
      <c r="A25" s="44" t="str">
        <f t="shared" si="0"/>
        <v>QUÁ HẠN</v>
      </c>
      <c r="B25" s="33"/>
      <c r="C25" s="45">
        <f t="shared" si="1"/>
        <v>0</v>
      </c>
      <c r="D25" s="43">
        <f t="shared" si="2"/>
        <v>1</v>
      </c>
      <c r="E25" s="34">
        <f t="shared" si="6"/>
        <v>0</v>
      </c>
      <c r="F25" s="38"/>
      <c r="G25" s="39">
        <f t="shared" si="3"/>
        <v>0</v>
      </c>
      <c r="H25" s="21" t="str">
        <f t="shared" si="4"/>
        <v/>
      </c>
      <c r="I25" s="21">
        <f t="shared" si="5"/>
        <v>0</v>
      </c>
      <c r="J25" s="34"/>
      <c r="K25" s="35"/>
    </row>
    <row r="26" spans="1:14" x14ac:dyDescent="0.3">
      <c r="A26" s="44" t="str">
        <f t="shared" si="0"/>
        <v>QUÁ HẠN</v>
      </c>
      <c r="B26" s="33"/>
      <c r="C26" s="45">
        <f t="shared" si="1"/>
        <v>0</v>
      </c>
      <c r="D26" s="43">
        <f t="shared" si="2"/>
        <v>1</v>
      </c>
      <c r="E26" s="34">
        <f t="shared" si="6"/>
        <v>0</v>
      </c>
      <c r="F26" s="38"/>
      <c r="G26" s="39">
        <f t="shared" si="3"/>
        <v>0</v>
      </c>
      <c r="H26" s="21" t="str">
        <f t="shared" si="4"/>
        <v/>
      </c>
      <c r="I26" s="21">
        <f t="shared" si="5"/>
        <v>0</v>
      </c>
      <c r="J26" s="34"/>
      <c r="K26" s="35"/>
    </row>
    <row r="27" spans="1:14" x14ac:dyDescent="0.3">
      <c r="A27" s="44" t="str">
        <f t="shared" si="0"/>
        <v>QUÁ HẠN</v>
      </c>
      <c r="B27" s="33"/>
      <c r="C27" s="45">
        <f t="shared" si="1"/>
        <v>0</v>
      </c>
      <c r="D27" s="43">
        <f t="shared" si="2"/>
        <v>1</v>
      </c>
      <c r="E27" s="34">
        <f t="shared" si="6"/>
        <v>0</v>
      </c>
      <c r="F27" s="38"/>
      <c r="G27" s="39">
        <f t="shared" si="3"/>
        <v>0</v>
      </c>
      <c r="H27" s="21" t="str">
        <f t="shared" si="4"/>
        <v/>
      </c>
      <c r="I27" s="21">
        <f t="shared" si="5"/>
        <v>0</v>
      </c>
      <c r="J27" s="34"/>
      <c r="K27" s="35"/>
    </row>
    <row r="28" spans="1:14" x14ac:dyDescent="0.3">
      <c r="A28" s="44" t="str">
        <f t="shared" si="0"/>
        <v>QUÁ HẠN</v>
      </c>
      <c r="B28" s="33"/>
      <c r="C28" s="45">
        <f t="shared" si="1"/>
        <v>0</v>
      </c>
      <c r="D28" s="43">
        <f t="shared" si="2"/>
        <v>1</v>
      </c>
      <c r="E28" s="34">
        <f t="shared" si="6"/>
        <v>0</v>
      </c>
      <c r="F28" s="38"/>
      <c r="G28" s="39">
        <f t="shared" si="3"/>
        <v>0</v>
      </c>
      <c r="H28" s="21" t="str">
        <f t="shared" si="4"/>
        <v/>
      </c>
      <c r="I28" s="21">
        <f t="shared" si="5"/>
        <v>0</v>
      </c>
      <c r="J28" s="36"/>
      <c r="K28" s="37"/>
    </row>
    <row r="29" spans="1:14" x14ac:dyDescent="0.3">
      <c r="A29" s="44" t="str">
        <f t="shared" si="0"/>
        <v>QUÁ HẠN</v>
      </c>
      <c r="B29" s="33"/>
      <c r="C29" s="45">
        <f t="shared" si="1"/>
        <v>0</v>
      </c>
      <c r="D29" s="43">
        <f t="shared" si="2"/>
        <v>1</v>
      </c>
      <c r="E29" s="34">
        <f t="shared" si="6"/>
        <v>0</v>
      </c>
      <c r="F29" s="38"/>
      <c r="G29" s="39">
        <f t="shared" si="3"/>
        <v>0</v>
      </c>
      <c r="H29" s="21" t="str">
        <f t="shared" si="4"/>
        <v/>
      </c>
      <c r="I29" s="21">
        <f t="shared" si="5"/>
        <v>0</v>
      </c>
      <c r="J29" s="34"/>
      <c r="K29" s="35"/>
    </row>
    <row r="30" spans="1:14" x14ac:dyDescent="0.3">
      <c r="A30" s="44" t="str">
        <f t="shared" si="0"/>
        <v>QUÁ HẠN</v>
      </c>
      <c r="B30" s="33"/>
      <c r="C30" s="45">
        <f t="shared" si="1"/>
        <v>0</v>
      </c>
      <c r="D30" s="43">
        <f t="shared" si="2"/>
        <v>1</v>
      </c>
      <c r="E30" s="34">
        <f t="shared" si="6"/>
        <v>0</v>
      </c>
      <c r="F30" s="38"/>
      <c r="G30" s="39">
        <f t="shared" si="3"/>
        <v>0</v>
      </c>
      <c r="H30" s="21" t="str">
        <f t="shared" si="4"/>
        <v/>
      </c>
      <c r="I30" s="21">
        <f t="shared" si="5"/>
        <v>0</v>
      </c>
      <c r="J30" s="34"/>
      <c r="K30" s="35"/>
    </row>
    <row r="31" spans="1:14" x14ac:dyDescent="0.3">
      <c r="A31" s="44" t="str">
        <f t="shared" si="0"/>
        <v>QUÁ HẠN</v>
      </c>
      <c r="B31" s="33"/>
      <c r="C31" s="45">
        <f t="shared" si="1"/>
        <v>0</v>
      </c>
      <c r="D31" s="43">
        <f t="shared" si="2"/>
        <v>1</v>
      </c>
      <c r="E31" s="34">
        <f t="shared" si="6"/>
        <v>0</v>
      </c>
      <c r="F31" s="38"/>
      <c r="G31" s="39">
        <f t="shared" si="3"/>
        <v>0</v>
      </c>
      <c r="H31" s="21" t="str">
        <f t="shared" si="4"/>
        <v/>
      </c>
      <c r="I31" s="21">
        <f t="shared" si="5"/>
        <v>0</v>
      </c>
      <c r="J31" s="34"/>
      <c r="K31" s="35"/>
      <c r="N31" s="11"/>
    </row>
    <row r="32" spans="1:14" x14ac:dyDescent="0.3">
      <c r="A32" s="44" t="str">
        <f t="shared" si="0"/>
        <v>QUÁ HẠN</v>
      </c>
      <c r="B32" s="33"/>
      <c r="C32" s="45">
        <f t="shared" si="1"/>
        <v>0</v>
      </c>
      <c r="D32" s="43">
        <f t="shared" si="2"/>
        <v>1</v>
      </c>
      <c r="E32" s="34">
        <f t="shared" si="6"/>
        <v>0</v>
      </c>
      <c r="F32" s="38"/>
      <c r="G32" s="39">
        <f t="shared" si="3"/>
        <v>0</v>
      </c>
      <c r="H32" s="21" t="str">
        <f t="shared" si="4"/>
        <v/>
      </c>
      <c r="I32" s="21">
        <f t="shared" si="5"/>
        <v>0</v>
      </c>
      <c r="J32" s="34"/>
      <c r="K32" s="35"/>
      <c r="N32" s="11"/>
    </row>
    <row r="33" spans="1:14" x14ac:dyDescent="0.3">
      <c r="A33" s="44" t="str">
        <f t="shared" si="0"/>
        <v>QUÁ HẠN</v>
      </c>
      <c r="B33" s="33"/>
      <c r="C33" s="45">
        <f t="shared" si="1"/>
        <v>0</v>
      </c>
      <c r="D33" s="43">
        <f t="shared" si="2"/>
        <v>1</v>
      </c>
      <c r="E33" s="34">
        <f t="shared" si="6"/>
        <v>0</v>
      </c>
      <c r="F33" s="38"/>
      <c r="G33" s="39">
        <f t="shared" si="3"/>
        <v>0</v>
      </c>
      <c r="H33" s="21" t="str">
        <f t="shared" si="4"/>
        <v/>
      </c>
      <c r="I33" s="21">
        <f t="shared" si="5"/>
        <v>0</v>
      </c>
      <c r="J33" s="34"/>
      <c r="K33" s="35"/>
      <c r="N33" s="11"/>
    </row>
    <row r="34" spans="1:14" x14ac:dyDescent="0.3">
      <c r="A34" s="44" t="str">
        <f t="shared" si="0"/>
        <v>QUÁ HẠN</v>
      </c>
      <c r="B34" s="33"/>
      <c r="C34" s="45">
        <f t="shared" si="1"/>
        <v>0</v>
      </c>
      <c r="D34" s="43">
        <f t="shared" si="2"/>
        <v>1</v>
      </c>
      <c r="E34" s="34">
        <f t="shared" si="6"/>
        <v>0</v>
      </c>
      <c r="F34" s="38"/>
      <c r="G34" s="39">
        <f t="shared" si="3"/>
        <v>0</v>
      </c>
      <c r="H34" s="21" t="str">
        <f t="shared" si="4"/>
        <v/>
      </c>
      <c r="I34" s="21">
        <f t="shared" si="5"/>
        <v>0</v>
      </c>
      <c r="J34" s="34"/>
      <c r="K34" s="35"/>
      <c r="N34" s="11"/>
    </row>
    <row r="35" spans="1:14" x14ac:dyDescent="0.3">
      <c r="A35" s="44" t="str">
        <f t="shared" si="0"/>
        <v>QUÁ HẠN</v>
      </c>
      <c r="B35" s="33"/>
      <c r="C35" s="45">
        <f t="shared" si="1"/>
        <v>0</v>
      </c>
      <c r="D35" s="43">
        <f t="shared" si="2"/>
        <v>1</v>
      </c>
      <c r="E35" s="34">
        <f t="shared" si="6"/>
        <v>0</v>
      </c>
      <c r="F35" s="38"/>
      <c r="G35" s="39">
        <f t="shared" si="3"/>
        <v>0</v>
      </c>
      <c r="H35" s="21" t="str">
        <f t="shared" si="4"/>
        <v/>
      </c>
      <c r="I35" s="21">
        <f t="shared" si="5"/>
        <v>0</v>
      </c>
      <c r="J35" s="34"/>
      <c r="K35" s="35"/>
      <c r="N35" s="11"/>
    </row>
    <row r="36" spans="1:14" x14ac:dyDescent="0.3">
      <c r="A36" s="44" t="str">
        <f t="shared" si="0"/>
        <v>QUÁ HẠN</v>
      </c>
      <c r="B36" s="33"/>
      <c r="C36" s="45">
        <f t="shared" si="1"/>
        <v>0</v>
      </c>
      <c r="D36" s="43">
        <f t="shared" si="2"/>
        <v>1</v>
      </c>
      <c r="E36" s="34">
        <f t="shared" si="6"/>
        <v>0</v>
      </c>
      <c r="F36" s="38"/>
      <c r="G36" s="39">
        <f t="shared" si="3"/>
        <v>0</v>
      </c>
      <c r="H36" s="21" t="str">
        <f t="shared" si="4"/>
        <v/>
      </c>
      <c r="I36" s="21">
        <f t="shared" si="5"/>
        <v>0</v>
      </c>
      <c r="J36" s="34"/>
      <c r="K36" s="35"/>
      <c r="N36" s="11"/>
    </row>
    <row r="37" spans="1:14" x14ac:dyDescent="0.3">
      <c r="A37" s="44" t="str">
        <f t="shared" si="0"/>
        <v>QUÁ HẠN</v>
      </c>
      <c r="B37" s="33"/>
      <c r="C37" s="45">
        <f t="shared" si="1"/>
        <v>0</v>
      </c>
      <c r="D37" s="43">
        <f t="shared" si="2"/>
        <v>1</v>
      </c>
      <c r="E37" s="34">
        <f t="shared" si="6"/>
        <v>0</v>
      </c>
      <c r="F37" s="38"/>
      <c r="G37" s="39">
        <f t="shared" si="3"/>
        <v>0</v>
      </c>
      <c r="H37" s="21" t="str">
        <f t="shared" si="4"/>
        <v/>
      </c>
      <c r="I37" s="21">
        <f t="shared" si="5"/>
        <v>0</v>
      </c>
      <c r="J37" s="34"/>
      <c r="K37" s="35"/>
      <c r="N37" s="11"/>
    </row>
    <row r="38" spans="1:14" x14ac:dyDescent="0.3">
      <c r="A38" s="44" t="str">
        <f t="shared" si="0"/>
        <v>QUÁ HẠN</v>
      </c>
      <c r="B38" s="33"/>
      <c r="C38" s="45">
        <f t="shared" si="1"/>
        <v>0</v>
      </c>
      <c r="D38" s="43">
        <f t="shared" si="2"/>
        <v>1</v>
      </c>
      <c r="E38" s="34">
        <f t="shared" si="6"/>
        <v>0</v>
      </c>
      <c r="F38" s="38"/>
      <c r="G38" s="39">
        <f t="shared" si="3"/>
        <v>0</v>
      </c>
      <c r="H38" s="21" t="str">
        <f t="shared" si="4"/>
        <v/>
      </c>
      <c r="I38" s="21">
        <f t="shared" si="5"/>
        <v>0</v>
      </c>
      <c r="J38" s="34"/>
      <c r="K38" s="35"/>
      <c r="N38" s="11"/>
    </row>
    <row r="39" spans="1:14" x14ac:dyDescent="0.3">
      <c r="A39" s="44" t="str">
        <f t="shared" si="0"/>
        <v>QUÁ HẠN</v>
      </c>
      <c r="B39" s="33"/>
      <c r="C39" s="45">
        <f t="shared" si="1"/>
        <v>0</v>
      </c>
      <c r="D39" s="43">
        <f t="shared" si="2"/>
        <v>1</v>
      </c>
      <c r="E39" s="34">
        <f t="shared" si="6"/>
        <v>0</v>
      </c>
      <c r="F39" s="38"/>
      <c r="G39" s="39">
        <f t="shared" si="3"/>
        <v>0</v>
      </c>
      <c r="H39" s="21" t="str">
        <f t="shared" si="4"/>
        <v/>
      </c>
      <c r="I39" s="21">
        <f t="shared" si="5"/>
        <v>0</v>
      </c>
      <c r="J39" s="34"/>
      <c r="K39" s="35"/>
      <c r="N39" s="11"/>
    </row>
    <row r="40" spans="1:14" x14ac:dyDescent="0.3">
      <c r="A40" s="44" t="str">
        <f t="shared" si="0"/>
        <v>QUÁ HẠN</v>
      </c>
      <c r="B40" s="33"/>
      <c r="C40" s="45">
        <f t="shared" si="1"/>
        <v>0</v>
      </c>
      <c r="D40" s="43">
        <f t="shared" si="2"/>
        <v>1</v>
      </c>
      <c r="E40" s="34">
        <f t="shared" si="6"/>
        <v>0</v>
      </c>
      <c r="F40" s="38"/>
      <c r="G40" s="39">
        <f t="shared" si="3"/>
        <v>0</v>
      </c>
      <c r="H40" s="21" t="str">
        <f t="shared" si="4"/>
        <v/>
      </c>
      <c r="I40" s="21">
        <f t="shared" si="5"/>
        <v>0</v>
      </c>
      <c r="J40" s="34"/>
      <c r="K40" s="35"/>
      <c r="N40" s="11"/>
    </row>
    <row r="41" spans="1:14" x14ac:dyDescent="0.3">
      <c r="A41" s="44" t="str">
        <f t="shared" si="0"/>
        <v>QUÁ HẠN</v>
      </c>
      <c r="B41" s="33"/>
      <c r="C41" s="45">
        <f t="shared" si="1"/>
        <v>0</v>
      </c>
      <c r="D41" s="43">
        <f t="shared" si="2"/>
        <v>1</v>
      </c>
      <c r="E41" s="34">
        <f t="shared" si="6"/>
        <v>0</v>
      </c>
      <c r="F41" s="38"/>
      <c r="G41" s="39">
        <f t="shared" si="3"/>
        <v>0</v>
      </c>
      <c r="H41" s="21" t="str">
        <f t="shared" si="4"/>
        <v/>
      </c>
      <c r="I41" s="21">
        <f t="shared" si="5"/>
        <v>0</v>
      </c>
      <c r="J41" s="34"/>
      <c r="K41" s="35"/>
      <c r="N41" s="11"/>
    </row>
    <row r="42" spans="1:14" x14ac:dyDescent="0.3">
      <c r="A42" s="44" t="str">
        <f t="shared" si="0"/>
        <v>QUÁ HẠN</v>
      </c>
      <c r="B42" s="33"/>
      <c r="C42" s="45">
        <f t="shared" si="1"/>
        <v>0</v>
      </c>
      <c r="D42" s="43">
        <f t="shared" si="2"/>
        <v>1</v>
      </c>
      <c r="E42" s="34">
        <f t="shared" si="6"/>
        <v>0</v>
      </c>
      <c r="F42" s="38"/>
      <c r="G42" s="39">
        <f t="shared" si="3"/>
        <v>0</v>
      </c>
      <c r="H42" s="21" t="str">
        <f t="shared" si="4"/>
        <v/>
      </c>
      <c r="I42" s="21">
        <f t="shared" si="5"/>
        <v>0</v>
      </c>
      <c r="J42" s="34"/>
      <c r="K42" s="35"/>
      <c r="N42" s="11"/>
    </row>
    <row r="43" spans="1:14" x14ac:dyDescent="0.3">
      <c r="A43" s="44" t="str">
        <f t="shared" si="0"/>
        <v>QUÁ HẠN</v>
      </c>
      <c r="B43" s="33"/>
      <c r="C43" s="45">
        <f t="shared" si="1"/>
        <v>0</v>
      </c>
      <c r="D43" s="43">
        <f t="shared" si="2"/>
        <v>1</v>
      </c>
      <c r="E43" s="34">
        <f t="shared" si="6"/>
        <v>0</v>
      </c>
      <c r="F43" s="38"/>
      <c r="G43" s="39">
        <f t="shared" si="3"/>
        <v>0</v>
      </c>
      <c r="H43" s="21" t="str">
        <f t="shared" si="4"/>
        <v/>
      </c>
      <c r="I43" s="21">
        <f t="shared" si="5"/>
        <v>0</v>
      </c>
      <c r="J43" s="34"/>
      <c r="K43" s="35"/>
      <c r="N43" s="11"/>
    </row>
    <row r="44" spans="1:14" x14ac:dyDescent="0.3">
      <c r="A44" s="44" t="str">
        <f t="shared" si="0"/>
        <v>QUÁ HẠN</v>
      </c>
      <c r="B44" s="33"/>
      <c r="C44" s="45">
        <f t="shared" si="1"/>
        <v>0</v>
      </c>
      <c r="D44" s="43">
        <f t="shared" si="2"/>
        <v>1</v>
      </c>
      <c r="E44" s="34">
        <f t="shared" si="6"/>
        <v>0</v>
      </c>
      <c r="F44" s="38"/>
      <c r="G44" s="39">
        <f t="shared" si="3"/>
        <v>0</v>
      </c>
      <c r="H44" s="21" t="str">
        <f t="shared" si="4"/>
        <v/>
      </c>
      <c r="I44" s="21">
        <f t="shared" si="5"/>
        <v>0</v>
      </c>
      <c r="J44" s="34"/>
      <c r="K44" s="35"/>
      <c r="N44" s="11"/>
    </row>
    <row r="45" spans="1:14" x14ac:dyDescent="0.3">
      <c r="A45" s="44" t="str">
        <f t="shared" si="0"/>
        <v>QUÁ HẠN</v>
      </c>
      <c r="B45" s="33"/>
      <c r="C45" s="45">
        <f t="shared" si="1"/>
        <v>0</v>
      </c>
      <c r="D45" s="43">
        <f t="shared" si="2"/>
        <v>1</v>
      </c>
      <c r="E45" s="34">
        <f t="shared" si="6"/>
        <v>0</v>
      </c>
      <c r="F45" s="38"/>
      <c r="G45" s="39">
        <f t="shared" si="3"/>
        <v>0</v>
      </c>
      <c r="H45" s="21" t="str">
        <f t="shared" si="4"/>
        <v/>
      </c>
      <c r="I45" s="21">
        <f t="shared" si="5"/>
        <v>0</v>
      </c>
      <c r="J45" s="34"/>
      <c r="K45" s="35"/>
      <c r="N45" s="11"/>
    </row>
    <row r="46" spans="1:14" x14ac:dyDescent="0.3">
      <c r="A46" s="44" t="str">
        <f t="shared" si="0"/>
        <v>QUÁ HẠN</v>
      </c>
      <c r="B46" s="33"/>
      <c r="C46" s="45">
        <f t="shared" si="1"/>
        <v>0</v>
      </c>
      <c r="D46" s="43">
        <f t="shared" si="2"/>
        <v>1</v>
      </c>
      <c r="E46" s="34">
        <f t="shared" si="6"/>
        <v>0</v>
      </c>
      <c r="F46" s="38"/>
      <c r="G46" s="39">
        <f t="shared" si="3"/>
        <v>0</v>
      </c>
      <c r="H46" s="21" t="str">
        <f t="shared" si="4"/>
        <v/>
      </c>
      <c r="I46" s="21">
        <f t="shared" si="5"/>
        <v>0</v>
      </c>
      <c r="J46" s="34"/>
      <c r="K46" s="35"/>
      <c r="N46" s="11"/>
    </row>
    <row r="47" spans="1:14" x14ac:dyDescent="0.3">
      <c r="A47" s="44" t="str">
        <f t="shared" si="0"/>
        <v>QUÁ HẠN</v>
      </c>
      <c r="B47" s="33"/>
      <c r="C47" s="45">
        <f t="shared" si="1"/>
        <v>0</v>
      </c>
      <c r="D47" s="43">
        <f t="shared" si="2"/>
        <v>1</v>
      </c>
      <c r="E47" s="34">
        <f t="shared" si="6"/>
        <v>0</v>
      </c>
      <c r="F47" s="38"/>
      <c r="G47" s="39">
        <f t="shared" si="3"/>
        <v>0</v>
      </c>
      <c r="H47" s="21" t="str">
        <f t="shared" si="4"/>
        <v/>
      </c>
      <c r="I47" s="21">
        <f t="shared" si="5"/>
        <v>0</v>
      </c>
      <c r="J47" s="34"/>
      <c r="K47" s="35"/>
      <c r="N47" s="11"/>
    </row>
    <row r="48" spans="1:14" x14ac:dyDescent="0.3">
      <c r="A48" s="44" t="str">
        <f t="shared" si="0"/>
        <v>QUÁ HẠN</v>
      </c>
      <c r="B48" s="33"/>
      <c r="C48" s="45">
        <f t="shared" si="1"/>
        <v>0</v>
      </c>
      <c r="D48" s="43">
        <f t="shared" si="2"/>
        <v>1</v>
      </c>
      <c r="E48" s="34">
        <f t="shared" si="6"/>
        <v>0</v>
      </c>
      <c r="F48" s="38"/>
      <c r="G48" s="39">
        <f t="shared" si="3"/>
        <v>0</v>
      </c>
      <c r="H48" s="21" t="str">
        <f t="shared" si="4"/>
        <v/>
      </c>
      <c r="I48" s="21">
        <f t="shared" si="5"/>
        <v>0</v>
      </c>
      <c r="J48" s="34"/>
      <c r="K48" s="35"/>
      <c r="N48" s="11"/>
    </row>
    <row r="49" spans="1:14" x14ac:dyDescent="0.3">
      <c r="A49" s="44" t="str">
        <f t="shared" si="0"/>
        <v>QUÁ HẠN</v>
      </c>
      <c r="B49" s="33"/>
      <c r="C49" s="45">
        <f t="shared" si="1"/>
        <v>0</v>
      </c>
      <c r="D49" s="43">
        <f t="shared" si="2"/>
        <v>1</v>
      </c>
      <c r="E49" s="34">
        <f t="shared" si="6"/>
        <v>0</v>
      </c>
      <c r="F49" s="38"/>
      <c r="G49" s="39">
        <f t="shared" si="3"/>
        <v>0</v>
      </c>
      <c r="H49" s="21" t="str">
        <f t="shared" si="4"/>
        <v/>
      </c>
      <c r="I49" s="21">
        <f t="shared" si="5"/>
        <v>0</v>
      </c>
      <c r="J49" s="34"/>
      <c r="K49" s="35"/>
      <c r="N49" s="11"/>
    </row>
    <row r="50" spans="1:14" x14ac:dyDescent="0.3">
      <c r="A50" s="44" t="str">
        <f t="shared" si="0"/>
        <v>QUÁ HẠN</v>
      </c>
      <c r="B50" s="33"/>
      <c r="C50" s="45">
        <f t="shared" si="1"/>
        <v>0</v>
      </c>
      <c r="D50" s="43">
        <f t="shared" si="2"/>
        <v>1</v>
      </c>
      <c r="E50" s="34">
        <f t="shared" si="6"/>
        <v>0</v>
      </c>
      <c r="F50" s="38"/>
      <c r="G50" s="39">
        <f t="shared" si="3"/>
        <v>0</v>
      </c>
      <c r="H50" s="21" t="str">
        <f t="shared" si="4"/>
        <v/>
      </c>
      <c r="I50" s="21">
        <f t="shared" si="5"/>
        <v>0</v>
      </c>
      <c r="J50" s="34"/>
      <c r="K50" s="35"/>
      <c r="N50" s="11"/>
    </row>
    <row r="51" spans="1:14" x14ac:dyDescent="0.3">
      <c r="A51" s="44" t="str">
        <f t="shared" si="0"/>
        <v>QUÁ HẠN</v>
      </c>
      <c r="B51" s="33"/>
      <c r="C51" s="45">
        <f t="shared" si="1"/>
        <v>0</v>
      </c>
      <c r="D51" s="43">
        <f t="shared" si="2"/>
        <v>1</v>
      </c>
      <c r="E51" s="34">
        <f t="shared" si="6"/>
        <v>0</v>
      </c>
      <c r="F51" s="38"/>
      <c r="G51" s="39">
        <f t="shared" si="3"/>
        <v>0</v>
      </c>
      <c r="H51" s="21" t="str">
        <f t="shared" si="4"/>
        <v/>
      </c>
      <c r="I51" s="21">
        <f t="shared" si="5"/>
        <v>0</v>
      </c>
      <c r="J51" s="34"/>
      <c r="K51" s="35"/>
      <c r="N51" s="11"/>
    </row>
    <row r="52" spans="1:14" x14ac:dyDescent="0.3">
      <c r="A52" s="44" t="str">
        <f t="shared" si="0"/>
        <v>QUÁ HẠN</v>
      </c>
      <c r="B52" s="33"/>
      <c r="C52" s="45">
        <f t="shared" si="1"/>
        <v>0</v>
      </c>
      <c r="D52" s="43">
        <f t="shared" si="2"/>
        <v>1</v>
      </c>
      <c r="E52" s="34">
        <f t="shared" si="6"/>
        <v>0</v>
      </c>
      <c r="F52" s="38"/>
      <c r="G52" s="39">
        <f t="shared" si="3"/>
        <v>0</v>
      </c>
      <c r="H52" s="21" t="str">
        <f t="shared" si="4"/>
        <v/>
      </c>
      <c r="I52" s="21">
        <f t="shared" si="5"/>
        <v>0</v>
      </c>
      <c r="J52" s="34"/>
      <c r="K52" s="35"/>
      <c r="L52"/>
      <c r="N52" s="11"/>
    </row>
    <row r="53" spans="1:14" x14ac:dyDescent="0.3">
      <c r="A53" s="44" t="str">
        <f t="shared" si="0"/>
        <v>QUÁ HẠN</v>
      </c>
      <c r="B53" s="33"/>
      <c r="C53" s="45">
        <f t="shared" si="1"/>
        <v>0</v>
      </c>
      <c r="D53" s="43">
        <f t="shared" si="2"/>
        <v>1</v>
      </c>
      <c r="E53" s="34">
        <f t="shared" si="6"/>
        <v>0</v>
      </c>
      <c r="F53" s="38"/>
      <c r="G53" s="39">
        <f t="shared" si="3"/>
        <v>0</v>
      </c>
      <c r="H53" s="21" t="str">
        <f t="shared" si="4"/>
        <v/>
      </c>
      <c r="I53" s="21">
        <f t="shared" si="5"/>
        <v>0</v>
      </c>
      <c r="J53" s="34"/>
      <c r="K53" s="35"/>
      <c r="N53" s="11"/>
    </row>
    <row r="54" spans="1:14" x14ac:dyDescent="0.3">
      <c r="A54" s="44" t="str">
        <f t="shared" si="0"/>
        <v>QUÁ HẠN</v>
      </c>
      <c r="B54" s="33"/>
      <c r="C54" s="45">
        <f t="shared" si="1"/>
        <v>0</v>
      </c>
      <c r="D54" s="43">
        <f t="shared" si="2"/>
        <v>1</v>
      </c>
      <c r="E54" s="34">
        <f t="shared" si="6"/>
        <v>0</v>
      </c>
      <c r="F54" s="38"/>
      <c r="G54" s="39">
        <f t="shared" si="3"/>
        <v>0</v>
      </c>
      <c r="H54" s="21" t="str">
        <f t="shared" si="4"/>
        <v/>
      </c>
      <c r="I54" s="21">
        <f t="shared" si="5"/>
        <v>0</v>
      </c>
      <c r="J54" s="34"/>
      <c r="K54" s="35"/>
      <c r="N54" s="11"/>
    </row>
    <row r="55" spans="1:14" x14ac:dyDescent="0.3">
      <c r="A55" s="44" t="str">
        <f t="shared" si="0"/>
        <v>QUÁ HẠN</v>
      </c>
      <c r="B55" s="33"/>
      <c r="C55" s="45">
        <f t="shared" si="1"/>
        <v>0</v>
      </c>
      <c r="D55" s="43">
        <f t="shared" si="2"/>
        <v>1</v>
      </c>
      <c r="E55" s="34">
        <f t="shared" si="6"/>
        <v>0</v>
      </c>
      <c r="F55" s="38"/>
      <c r="G55" s="39">
        <f t="shared" si="3"/>
        <v>0</v>
      </c>
      <c r="H55" s="21" t="str">
        <f t="shared" si="4"/>
        <v/>
      </c>
      <c r="I55" s="21">
        <f t="shared" si="5"/>
        <v>0</v>
      </c>
      <c r="J55" s="34"/>
      <c r="K55" s="35"/>
      <c r="N55" s="12"/>
    </row>
    <row r="56" spans="1:14" x14ac:dyDescent="0.3">
      <c r="A56" s="44" t="str">
        <f t="shared" si="0"/>
        <v>QUÁ HẠN</v>
      </c>
      <c r="B56" s="33"/>
      <c r="C56" s="45">
        <f t="shared" si="1"/>
        <v>0</v>
      </c>
      <c r="D56" s="43">
        <f t="shared" si="2"/>
        <v>1</v>
      </c>
      <c r="E56" s="34">
        <f t="shared" si="6"/>
        <v>0</v>
      </c>
      <c r="F56" s="38"/>
      <c r="G56" s="39">
        <f t="shared" si="3"/>
        <v>0</v>
      </c>
      <c r="H56" s="21" t="str">
        <f t="shared" si="4"/>
        <v/>
      </c>
      <c r="I56" s="21">
        <f t="shared" si="5"/>
        <v>0</v>
      </c>
      <c r="J56" s="34"/>
      <c r="K56" s="35"/>
      <c r="N56" s="12"/>
    </row>
    <row r="57" spans="1:14" x14ac:dyDescent="0.3">
      <c r="A57" s="44" t="str">
        <f t="shared" si="0"/>
        <v>QUÁ HẠN</v>
      </c>
      <c r="B57" s="33"/>
      <c r="C57" s="45">
        <f t="shared" si="1"/>
        <v>0</v>
      </c>
      <c r="D57" s="43">
        <f t="shared" si="2"/>
        <v>1</v>
      </c>
      <c r="E57" s="34">
        <f t="shared" si="6"/>
        <v>0</v>
      </c>
      <c r="F57" s="38"/>
      <c r="G57" s="39">
        <f t="shared" si="3"/>
        <v>0</v>
      </c>
      <c r="H57" s="21" t="str">
        <f t="shared" si="4"/>
        <v/>
      </c>
      <c r="I57" s="21">
        <f t="shared" si="5"/>
        <v>0</v>
      </c>
      <c r="J57" s="34"/>
      <c r="K57" s="35"/>
      <c r="N57" s="12"/>
    </row>
    <row r="58" spans="1:14" x14ac:dyDescent="0.3">
      <c r="A58" s="44" t="str">
        <f t="shared" si="0"/>
        <v>QUÁ HẠN</v>
      </c>
      <c r="B58" s="33"/>
      <c r="C58" s="45">
        <f t="shared" si="1"/>
        <v>0</v>
      </c>
      <c r="D58" s="43">
        <f t="shared" si="2"/>
        <v>1</v>
      </c>
      <c r="E58" s="34">
        <f t="shared" si="6"/>
        <v>0</v>
      </c>
      <c r="F58" s="38"/>
      <c r="G58" s="39">
        <f t="shared" si="3"/>
        <v>0</v>
      </c>
      <c r="H58" s="21" t="str">
        <f t="shared" si="4"/>
        <v/>
      </c>
      <c r="I58" s="21">
        <f t="shared" si="5"/>
        <v>0</v>
      </c>
      <c r="J58" s="34"/>
      <c r="K58" s="35"/>
      <c r="N58" s="12"/>
    </row>
    <row r="59" spans="1:14" x14ac:dyDescent="0.3">
      <c r="A59" s="44" t="str">
        <f t="shared" si="0"/>
        <v>QUÁ HẠN</v>
      </c>
      <c r="B59" s="33"/>
      <c r="C59" s="45">
        <f t="shared" si="1"/>
        <v>0</v>
      </c>
      <c r="D59" s="43">
        <f t="shared" si="2"/>
        <v>1</v>
      </c>
      <c r="E59" s="34">
        <f t="shared" si="6"/>
        <v>0</v>
      </c>
      <c r="F59" s="38"/>
      <c r="G59" s="39">
        <f t="shared" si="3"/>
        <v>0</v>
      </c>
      <c r="H59" s="21" t="str">
        <f t="shared" si="4"/>
        <v/>
      </c>
      <c r="I59" s="21">
        <f t="shared" si="5"/>
        <v>0</v>
      </c>
      <c r="J59" s="34"/>
      <c r="K59" s="35"/>
      <c r="N59" s="12"/>
    </row>
    <row r="60" spans="1:14" x14ac:dyDescent="0.3">
      <c r="A60" s="44" t="str">
        <f t="shared" si="0"/>
        <v>QUÁ HẠN</v>
      </c>
      <c r="B60" s="33"/>
      <c r="C60" s="45">
        <f t="shared" si="1"/>
        <v>0</v>
      </c>
      <c r="D60" s="43">
        <f t="shared" si="2"/>
        <v>1</v>
      </c>
      <c r="E60" s="34">
        <f t="shared" si="6"/>
        <v>0</v>
      </c>
      <c r="F60" s="38"/>
      <c r="G60" s="39">
        <f t="shared" si="3"/>
        <v>0</v>
      </c>
      <c r="H60" s="21" t="str">
        <f t="shared" si="4"/>
        <v/>
      </c>
      <c r="I60" s="21">
        <f t="shared" si="5"/>
        <v>0</v>
      </c>
      <c r="J60" s="34"/>
      <c r="K60" s="35"/>
      <c r="N60" s="12"/>
    </row>
    <row r="61" spans="1:14" x14ac:dyDescent="0.3">
      <c r="A61" s="44" t="str">
        <f t="shared" si="0"/>
        <v>QUÁ HẠN</v>
      </c>
      <c r="B61" s="33"/>
      <c r="C61" s="45">
        <f t="shared" si="1"/>
        <v>0</v>
      </c>
      <c r="D61" s="43">
        <f t="shared" si="2"/>
        <v>1</v>
      </c>
      <c r="E61" s="34">
        <f t="shared" si="6"/>
        <v>0</v>
      </c>
      <c r="F61" s="38"/>
      <c r="G61" s="39">
        <f t="shared" si="3"/>
        <v>0</v>
      </c>
      <c r="H61" s="21" t="str">
        <f t="shared" si="4"/>
        <v/>
      </c>
      <c r="I61" s="21">
        <f t="shared" si="5"/>
        <v>0</v>
      </c>
      <c r="J61" s="34"/>
      <c r="K61" s="35"/>
      <c r="N61" s="12"/>
    </row>
    <row r="62" spans="1:14" x14ac:dyDescent="0.3">
      <c r="A62" s="44" t="str">
        <f t="shared" si="0"/>
        <v>QUÁ HẠN</v>
      </c>
      <c r="B62" s="33"/>
      <c r="C62" s="45">
        <f t="shared" si="1"/>
        <v>0</v>
      </c>
      <c r="D62" s="43">
        <f t="shared" si="2"/>
        <v>1</v>
      </c>
      <c r="E62" s="34">
        <f t="shared" si="6"/>
        <v>0</v>
      </c>
      <c r="F62" s="38"/>
      <c r="G62" s="39">
        <f t="shared" si="3"/>
        <v>0</v>
      </c>
      <c r="H62" s="21" t="str">
        <f t="shared" si="4"/>
        <v/>
      </c>
      <c r="I62" s="21">
        <f t="shared" si="5"/>
        <v>0</v>
      </c>
      <c r="J62" s="34"/>
      <c r="K62" s="35"/>
      <c r="N62" s="12"/>
    </row>
    <row r="63" spans="1:14" x14ac:dyDescent="0.3">
      <c r="A63" s="44" t="str">
        <f t="shared" si="0"/>
        <v>QUÁ HẠN</v>
      </c>
      <c r="B63" s="33"/>
      <c r="C63" s="45">
        <f t="shared" si="1"/>
        <v>0</v>
      </c>
      <c r="D63" s="43">
        <f t="shared" si="2"/>
        <v>1</v>
      </c>
      <c r="E63" s="34">
        <f t="shared" si="6"/>
        <v>0</v>
      </c>
      <c r="F63" s="38"/>
      <c r="G63" s="39">
        <f t="shared" si="3"/>
        <v>0</v>
      </c>
      <c r="H63" s="21" t="str">
        <f t="shared" si="4"/>
        <v/>
      </c>
      <c r="I63" s="21">
        <f t="shared" si="5"/>
        <v>0</v>
      </c>
      <c r="J63" s="34"/>
      <c r="K63" s="35"/>
      <c r="N63" s="12"/>
    </row>
    <row r="64" spans="1:14" x14ac:dyDescent="0.3">
      <c r="A64" s="44" t="str">
        <f t="shared" si="0"/>
        <v>QUÁ HẠN</v>
      </c>
      <c r="B64" s="33"/>
      <c r="C64" s="45">
        <f t="shared" si="1"/>
        <v>0</v>
      </c>
      <c r="D64" s="43">
        <f t="shared" si="2"/>
        <v>1</v>
      </c>
      <c r="E64" s="34">
        <f t="shared" si="6"/>
        <v>0</v>
      </c>
      <c r="F64" s="38"/>
      <c r="G64" s="39">
        <f t="shared" si="3"/>
        <v>0</v>
      </c>
      <c r="H64" s="21" t="str">
        <f t="shared" si="4"/>
        <v/>
      </c>
      <c r="I64" s="21">
        <f t="shared" si="5"/>
        <v>0</v>
      </c>
      <c r="J64" s="34"/>
      <c r="K64" s="35"/>
      <c r="N64" s="12"/>
    </row>
    <row r="65" spans="1:14" x14ac:dyDescent="0.3">
      <c r="A65" s="44" t="str">
        <f t="shared" si="0"/>
        <v>QUÁ HẠN</v>
      </c>
      <c r="B65" s="33"/>
      <c r="C65" s="45">
        <f t="shared" si="1"/>
        <v>0</v>
      </c>
      <c r="D65" s="43">
        <f t="shared" si="2"/>
        <v>1</v>
      </c>
      <c r="E65" s="34">
        <f t="shared" si="6"/>
        <v>0</v>
      </c>
      <c r="F65" s="38"/>
      <c r="G65" s="39">
        <f t="shared" si="3"/>
        <v>0</v>
      </c>
      <c r="H65" s="21" t="str">
        <f t="shared" si="4"/>
        <v/>
      </c>
      <c r="I65" s="21">
        <f t="shared" si="5"/>
        <v>0</v>
      </c>
      <c r="J65" s="34"/>
      <c r="K65" s="35"/>
      <c r="N65" s="12"/>
    </row>
    <row r="66" spans="1:14" x14ac:dyDescent="0.3">
      <c r="A66" s="44" t="str">
        <f t="shared" si="0"/>
        <v>QUÁ HẠN</v>
      </c>
      <c r="B66" s="33"/>
      <c r="C66" s="45">
        <f t="shared" si="1"/>
        <v>0</v>
      </c>
      <c r="D66" s="43">
        <f t="shared" si="2"/>
        <v>1</v>
      </c>
      <c r="E66" s="34">
        <f t="shared" si="6"/>
        <v>0</v>
      </c>
      <c r="F66" s="38"/>
      <c r="G66" s="39">
        <f t="shared" si="3"/>
        <v>0</v>
      </c>
      <c r="H66" s="21" t="str">
        <f t="shared" si="4"/>
        <v/>
      </c>
      <c r="I66" s="21">
        <f t="shared" si="5"/>
        <v>0</v>
      </c>
      <c r="J66" s="34"/>
      <c r="K66" s="35"/>
      <c r="N66" s="12"/>
    </row>
    <row r="67" spans="1:14" x14ac:dyDescent="0.3">
      <c r="A67" s="44" t="str">
        <f t="shared" si="0"/>
        <v>QUÁ HẠN</v>
      </c>
      <c r="B67" s="33"/>
      <c r="C67" s="45">
        <f t="shared" si="1"/>
        <v>0</v>
      </c>
      <c r="D67" s="43">
        <f t="shared" si="2"/>
        <v>1</v>
      </c>
      <c r="E67" s="34">
        <f t="shared" si="6"/>
        <v>0</v>
      </c>
      <c r="F67" s="38"/>
      <c r="G67" s="39">
        <f t="shared" si="3"/>
        <v>0</v>
      </c>
      <c r="H67" s="21" t="str">
        <f t="shared" si="4"/>
        <v/>
      </c>
      <c r="I67" s="21">
        <f t="shared" si="5"/>
        <v>0</v>
      </c>
      <c r="J67" s="34"/>
      <c r="K67" s="35"/>
      <c r="N67" s="12"/>
    </row>
    <row r="68" spans="1:14" x14ac:dyDescent="0.3">
      <c r="A68" s="44" t="str">
        <f t="shared" si="0"/>
        <v>QUÁ HẠN</v>
      </c>
      <c r="B68" s="33"/>
      <c r="C68" s="45">
        <f t="shared" si="1"/>
        <v>0</v>
      </c>
      <c r="D68" s="43">
        <f t="shared" si="2"/>
        <v>1</v>
      </c>
      <c r="E68" s="34">
        <f t="shared" si="6"/>
        <v>0</v>
      </c>
      <c r="F68" s="38"/>
      <c r="G68" s="39">
        <f t="shared" si="3"/>
        <v>0</v>
      </c>
      <c r="H68" s="21" t="str">
        <f t="shared" si="4"/>
        <v/>
      </c>
      <c r="I68" s="21">
        <f t="shared" si="5"/>
        <v>0</v>
      </c>
      <c r="J68" s="34"/>
      <c r="K68" s="35"/>
      <c r="N68" s="12"/>
    </row>
    <row r="69" spans="1:14" x14ac:dyDescent="0.3">
      <c r="A69" s="44" t="str">
        <f t="shared" si="0"/>
        <v>QUÁ HẠN</v>
      </c>
      <c r="B69" s="33"/>
      <c r="C69" s="45">
        <f t="shared" si="1"/>
        <v>0</v>
      </c>
      <c r="D69" s="43">
        <f t="shared" si="2"/>
        <v>1</v>
      </c>
      <c r="E69" s="34">
        <f t="shared" si="6"/>
        <v>0</v>
      </c>
      <c r="F69" s="38"/>
      <c r="G69" s="39">
        <f t="shared" si="3"/>
        <v>0</v>
      </c>
      <c r="H69" s="21" t="str">
        <f t="shared" si="4"/>
        <v/>
      </c>
      <c r="I69" s="21">
        <f t="shared" si="5"/>
        <v>0</v>
      </c>
      <c r="J69" s="34"/>
      <c r="K69" s="35"/>
      <c r="N69" s="12"/>
    </row>
    <row r="70" spans="1:14" x14ac:dyDescent="0.3">
      <c r="A70" s="44" t="str">
        <f t="shared" si="0"/>
        <v>QUÁ HẠN</v>
      </c>
      <c r="B70" s="33"/>
      <c r="C70" s="45">
        <f t="shared" si="1"/>
        <v>0</v>
      </c>
      <c r="D70" s="43">
        <f t="shared" si="2"/>
        <v>1</v>
      </c>
      <c r="E70" s="34">
        <f t="shared" si="6"/>
        <v>0</v>
      </c>
      <c r="F70" s="38"/>
      <c r="G70" s="39">
        <f t="shared" si="3"/>
        <v>0</v>
      </c>
      <c r="H70" s="21" t="str">
        <f t="shared" si="4"/>
        <v/>
      </c>
      <c r="I70" s="21">
        <f t="shared" si="5"/>
        <v>0</v>
      </c>
      <c r="J70" s="34"/>
      <c r="K70" s="35"/>
      <c r="N70" s="12"/>
    </row>
    <row r="71" spans="1:14" x14ac:dyDescent="0.3">
      <c r="A71" s="44" t="str">
        <f t="shared" si="0"/>
        <v>QUÁ HẠN</v>
      </c>
      <c r="B71" s="33"/>
      <c r="C71" s="45">
        <f t="shared" si="1"/>
        <v>0</v>
      </c>
      <c r="D71" s="43">
        <f t="shared" si="2"/>
        <v>1</v>
      </c>
      <c r="E71" s="34">
        <f t="shared" si="6"/>
        <v>0</v>
      </c>
      <c r="F71" s="38"/>
      <c r="G71" s="39">
        <f t="shared" si="3"/>
        <v>0</v>
      </c>
      <c r="H71" s="21" t="str">
        <f t="shared" si="4"/>
        <v/>
      </c>
      <c r="I71" s="21">
        <f t="shared" si="5"/>
        <v>0</v>
      </c>
      <c r="J71" s="34"/>
      <c r="K71" s="35"/>
      <c r="N71" s="12"/>
    </row>
    <row r="72" spans="1:14" x14ac:dyDescent="0.3">
      <c r="A72" s="44" t="str">
        <f t="shared" si="0"/>
        <v>QUÁ HẠN</v>
      </c>
      <c r="B72" s="33"/>
      <c r="C72" s="45">
        <f t="shared" si="1"/>
        <v>0</v>
      </c>
      <c r="D72" s="43">
        <f t="shared" si="2"/>
        <v>1</v>
      </c>
      <c r="E72" s="34">
        <f t="shared" si="6"/>
        <v>0</v>
      </c>
      <c r="F72" s="38"/>
      <c r="G72" s="39">
        <f t="shared" si="3"/>
        <v>0</v>
      </c>
      <c r="H72" s="21" t="str">
        <f t="shared" si="4"/>
        <v/>
      </c>
      <c r="I72" s="21">
        <f t="shared" si="5"/>
        <v>0</v>
      </c>
      <c r="J72" s="34"/>
      <c r="K72" s="35"/>
      <c r="N72" s="12"/>
    </row>
    <row r="73" spans="1:14" x14ac:dyDescent="0.3">
      <c r="A73" s="44" t="str">
        <f t="shared" si="0"/>
        <v>QUÁ HẠN</v>
      </c>
      <c r="B73" s="33"/>
      <c r="C73" s="45">
        <f t="shared" si="1"/>
        <v>0</v>
      </c>
      <c r="D73" s="43">
        <f t="shared" si="2"/>
        <v>1</v>
      </c>
      <c r="E73" s="34">
        <f t="shared" si="6"/>
        <v>0</v>
      </c>
      <c r="F73" s="38"/>
      <c r="G73" s="39">
        <f t="shared" si="3"/>
        <v>0</v>
      </c>
      <c r="H73" s="21" t="str">
        <f t="shared" si="4"/>
        <v/>
      </c>
      <c r="I73" s="21">
        <f t="shared" si="5"/>
        <v>0</v>
      </c>
      <c r="J73" s="34"/>
      <c r="K73" s="35"/>
      <c r="N73" s="12"/>
    </row>
    <row r="74" spans="1:14" x14ac:dyDescent="0.3">
      <c r="A74" s="44" t="str">
        <f t="shared" si="0"/>
        <v>QUÁ HẠN</v>
      </c>
      <c r="B74" s="33"/>
      <c r="C74" s="45">
        <f t="shared" si="1"/>
        <v>0</v>
      </c>
      <c r="D74" s="43">
        <f t="shared" si="2"/>
        <v>1</v>
      </c>
      <c r="E74" s="34">
        <f t="shared" si="6"/>
        <v>0</v>
      </c>
      <c r="F74" s="38"/>
      <c r="G74" s="39">
        <f t="shared" si="3"/>
        <v>0</v>
      </c>
      <c r="H74" s="21" t="str">
        <f t="shared" si="4"/>
        <v/>
      </c>
      <c r="I74" s="21">
        <f t="shared" si="5"/>
        <v>0</v>
      </c>
      <c r="J74" s="34"/>
      <c r="K74" s="35"/>
      <c r="N74" s="12"/>
    </row>
    <row r="75" spans="1:14" x14ac:dyDescent="0.3">
      <c r="A75" s="44" t="str">
        <f t="shared" si="0"/>
        <v>QUÁ HẠN</v>
      </c>
      <c r="B75" s="33"/>
      <c r="C75" s="45">
        <f t="shared" si="1"/>
        <v>0</v>
      </c>
      <c r="D75" s="43">
        <f t="shared" si="2"/>
        <v>1</v>
      </c>
      <c r="E75" s="34">
        <f t="shared" si="6"/>
        <v>0</v>
      </c>
      <c r="F75" s="38"/>
      <c r="G75" s="39">
        <f t="shared" si="3"/>
        <v>0</v>
      </c>
      <c r="H75" s="21" t="str">
        <f t="shared" si="4"/>
        <v/>
      </c>
      <c r="I75" s="21">
        <f t="shared" si="5"/>
        <v>0</v>
      </c>
      <c r="J75" s="34"/>
      <c r="K75" s="35"/>
      <c r="N75" s="12"/>
    </row>
    <row r="76" spans="1:14" x14ac:dyDescent="0.3">
      <c r="A76" s="44" t="str">
        <f t="shared" si="0"/>
        <v>QUÁ HẠN</v>
      </c>
      <c r="B76" s="33"/>
      <c r="C76" s="45">
        <f t="shared" si="1"/>
        <v>0</v>
      </c>
      <c r="D76" s="43">
        <f t="shared" si="2"/>
        <v>1</v>
      </c>
      <c r="E76" s="34">
        <f t="shared" si="6"/>
        <v>0</v>
      </c>
      <c r="F76" s="38"/>
      <c r="G76" s="39">
        <f t="shared" si="3"/>
        <v>0</v>
      </c>
      <c r="H76" s="21" t="str">
        <f t="shared" si="4"/>
        <v/>
      </c>
      <c r="I76" s="21">
        <f t="shared" si="5"/>
        <v>0</v>
      </c>
      <c r="J76" s="34"/>
      <c r="K76" s="35"/>
      <c r="N76" s="12"/>
    </row>
    <row r="77" spans="1:14" x14ac:dyDescent="0.3">
      <c r="A77" s="44" t="str">
        <f t="shared" si="0"/>
        <v>QUÁ HẠN</v>
      </c>
      <c r="B77" s="33"/>
      <c r="C77" s="45">
        <f t="shared" si="1"/>
        <v>0</v>
      </c>
      <c r="D77" s="43">
        <f t="shared" si="2"/>
        <v>1</v>
      </c>
      <c r="E77" s="34">
        <f t="shared" si="6"/>
        <v>0</v>
      </c>
      <c r="F77" s="38"/>
      <c r="G77" s="39">
        <f t="shared" si="3"/>
        <v>0</v>
      </c>
      <c r="H77" s="21" t="str">
        <f t="shared" si="4"/>
        <v/>
      </c>
      <c r="I77" s="21">
        <f t="shared" si="5"/>
        <v>0</v>
      </c>
      <c r="J77" s="34"/>
      <c r="K77" s="35"/>
      <c r="N77" s="12"/>
    </row>
    <row r="78" spans="1:14" x14ac:dyDescent="0.3">
      <c r="A78" s="44" t="str">
        <f t="shared" ref="A78:A102" si="7">IF(B78&gt;=$B$9,"QUÁ HẠN", "TRONG HẠN")</f>
        <v>QUÁ HẠN</v>
      </c>
      <c r="B78" s="33"/>
      <c r="C78" s="45">
        <f t="shared" ref="C78:C141" si="8">IFERROR(IF(B79="", $B$10, B79-1), $B$10)</f>
        <v>0</v>
      </c>
      <c r="D78" s="43">
        <f t="shared" ref="D78:D102" si="9">C78-B78+1</f>
        <v>1</v>
      </c>
      <c r="E78" s="34">
        <f t="shared" si="6"/>
        <v>0</v>
      </c>
      <c r="F78" s="38"/>
      <c r="G78" s="39">
        <f t="shared" ref="G78:G102" si="10">IF(A78="QUÁ HẠN", F78*1.5,"")</f>
        <v>0</v>
      </c>
      <c r="H78" s="21" t="str">
        <f t="shared" ref="H78:H102" si="11">IF(A78="TRONG HẠN",D78*E78*F78/365,"")</f>
        <v/>
      </c>
      <c r="I78" s="21">
        <f t="shared" ref="I78:I102" si="12">IF(A78="QUÁ HẠN",D78*E78*G78/365,"")</f>
        <v>0</v>
      </c>
      <c r="J78" s="34"/>
      <c r="K78" s="35"/>
      <c r="N78" s="12"/>
    </row>
    <row r="79" spans="1:14" x14ac:dyDescent="0.3">
      <c r="A79" s="44" t="str">
        <f t="shared" si="7"/>
        <v>QUÁ HẠN</v>
      </c>
      <c r="B79" s="33"/>
      <c r="C79" s="45">
        <f t="shared" si="8"/>
        <v>0</v>
      </c>
      <c r="D79" s="43">
        <f t="shared" si="9"/>
        <v>1</v>
      </c>
      <c r="E79" s="34">
        <f t="shared" ref="E79:E102" si="13">E78-J79</f>
        <v>0</v>
      </c>
      <c r="F79" s="38"/>
      <c r="G79" s="39">
        <f t="shared" si="10"/>
        <v>0</v>
      </c>
      <c r="H79" s="21" t="str">
        <f t="shared" si="11"/>
        <v/>
      </c>
      <c r="I79" s="21">
        <f t="shared" si="12"/>
        <v>0</v>
      </c>
      <c r="J79" s="34"/>
      <c r="K79" s="35"/>
      <c r="N79" s="12"/>
    </row>
    <row r="80" spans="1:14" x14ac:dyDescent="0.3">
      <c r="A80" s="44" t="str">
        <f t="shared" si="7"/>
        <v>QUÁ HẠN</v>
      </c>
      <c r="B80" s="33"/>
      <c r="C80" s="45">
        <f t="shared" si="8"/>
        <v>0</v>
      </c>
      <c r="D80" s="43">
        <f t="shared" si="9"/>
        <v>1</v>
      </c>
      <c r="E80" s="34">
        <f t="shared" si="13"/>
        <v>0</v>
      </c>
      <c r="F80" s="38"/>
      <c r="G80" s="39">
        <f t="shared" si="10"/>
        <v>0</v>
      </c>
      <c r="H80" s="21" t="str">
        <f t="shared" si="11"/>
        <v/>
      </c>
      <c r="I80" s="21">
        <f t="shared" si="12"/>
        <v>0</v>
      </c>
      <c r="J80" s="34"/>
      <c r="K80" s="35"/>
      <c r="N80" s="12"/>
    </row>
    <row r="81" spans="1:14" x14ac:dyDescent="0.3">
      <c r="A81" s="44" t="str">
        <f t="shared" si="7"/>
        <v>QUÁ HẠN</v>
      </c>
      <c r="B81" s="33"/>
      <c r="C81" s="45">
        <f t="shared" si="8"/>
        <v>0</v>
      </c>
      <c r="D81" s="43">
        <f t="shared" si="9"/>
        <v>1</v>
      </c>
      <c r="E81" s="34">
        <f t="shared" si="13"/>
        <v>0</v>
      </c>
      <c r="F81" s="38"/>
      <c r="G81" s="39">
        <f t="shared" si="10"/>
        <v>0</v>
      </c>
      <c r="H81" s="21" t="str">
        <f t="shared" si="11"/>
        <v/>
      </c>
      <c r="I81" s="21">
        <f t="shared" si="12"/>
        <v>0</v>
      </c>
      <c r="J81" s="34"/>
      <c r="K81" s="35"/>
      <c r="N81" s="12"/>
    </row>
    <row r="82" spans="1:14" x14ac:dyDescent="0.3">
      <c r="A82" s="44" t="str">
        <f t="shared" si="7"/>
        <v>QUÁ HẠN</v>
      </c>
      <c r="B82" s="33"/>
      <c r="C82" s="45">
        <f t="shared" si="8"/>
        <v>0</v>
      </c>
      <c r="D82" s="43">
        <f t="shared" si="9"/>
        <v>1</v>
      </c>
      <c r="E82" s="34">
        <f t="shared" si="13"/>
        <v>0</v>
      </c>
      <c r="F82" s="38"/>
      <c r="G82" s="39">
        <f t="shared" si="10"/>
        <v>0</v>
      </c>
      <c r="H82" s="21" t="str">
        <f t="shared" si="11"/>
        <v/>
      </c>
      <c r="I82" s="21">
        <f t="shared" si="12"/>
        <v>0</v>
      </c>
      <c r="J82" s="34"/>
      <c r="K82" s="35"/>
      <c r="N82" s="12"/>
    </row>
    <row r="83" spans="1:14" x14ac:dyDescent="0.3">
      <c r="A83" s="44" t="str">
        <f t="shared" si="7"/>
        <v>QUÁ HẠN</v>
      </c>
      <c r="B83" s="33"/>
      <c r="C83" s="45">
        <f t="shared" si="8"/>
        <v>0</v>
      </c>
      <c r="D83" s="43">
        <f t="shared" si="9"/>
        <v>1</v>
      </c>
      <c r="E83" s="34">
        <f t="shared" si="13"/>
        <v>0</v>
      </c>
      <c r="F83" s="38"/>
      <c r="G83" s="39">
        <f t="shared" si="10"/>
        <v>0</v>
      </c>
      <c r="H83" s="21" t="str">
        <f t="shared" si="11"/>
        <v/>
      </c>
      <c r="I83" s="21">
        <f t="shared" si="12"/>
        <v>0</v>
      </c>
      <c r="J83" s="34"/>
      <c r="K83" s="35"/>
      <c r="N83" s="12"/>
    </row>
    <row r="84" spans="1:14" x14ac:dyDescent="0.3">
      <c r="A84" s="44" t="str">
        <f t="shared" si="7"/>
        <v>QUÁ HẠN</v>
      </c>
      <c r="B84" s="33"/>
      <c r="C84" s="45">
        <f t="shared" si="8"/>
        <v>0</v>
      </c>
      <c r="D84" s="43">
        <f t="shared" si="9"/>
        <v>1</v>
      </c>
      <c r="E84" s="34">
        <f t="shared" si="13"/>
        <v>0</v>
      </c>
      <c r="F84" s="38"/>
      <c r="G84" s="39">
        <f t="shared" si="10"/>
        <v>0</v>
      </c>
      <c r="H84" s="21" t="str">
        <f t="shared" si="11"/>
        <v/>
      </c>
      <c r="I84" s="21">
        <f t="shared" si="12"/>
        <v>0</v>
      </c>
      <c r="J84" s="34"/>
      <c r="K84" s="35"/>
      <c r="N84" s="12"/>
    </row>
    <row r="85" spans="1:14" x14ac:dyDescent="0.3">
      <c r="A85" s="44" t="str">
        <f t="shared" si="7"/>
        <v>QUÁ HẠN</v>
      </c>
      <c r="B85" s="33"/>
      <c r="C85" s="45">
        <f t="shared" si="8"/>
        <v>0</v>
      </c>
      <c r="D85" s="43">
        <f t="shared" si="9"/>
        <v>1</v>
      </c>
      <c r="E85" s="34">
        <f t="shared" si="13"/>
        <v>0</v>
      </c>
      <c r="F85" s="38"/>
      <c r="G85" s="39">
        <f t="shared" si="10"/>
        <v>0</v>
      </c>
      <c r="H85" s="21" t="str">
        <f t="shared" si="11"/>
        <v/>
      </c>
      <c r="I85" s="21">
        <f t="shared" si="12"/>
        <v>0</v>
      </c>
      <c r="J85" s="34"/>
      <c r="K85" s="35"/>
      <c r="N85" s="12"/>
    </row>
    <row r="86" spans="1:14" x14ac:dyDescent="0.3">
      <c r="A86" s="44" t="str">
        <f t="shared" si="7"/>
        <v>QUÁ HẠN</v>
      </c>
      <c r="B86" s="33"/>
      <c r="C86" s="45">
        <f t="shared" si="8"/>
        <v>0</v>
      </c>
      <c r="D86" s="43">
        <f t="shared" si="9"/>
        <v>1</v>
      </c>
      <c r="E86" s="34">
        <f t="shared" si="13"/>
        <v>0</v>
      </c>
      <c r="F86" s="38"/>
      <c r="G86" s="39">
        <f t="shared" si="10"/>
        <v>0</v>
      </c>
      <c r="H86" s="21" t="str">
        <f t="shared" si="11"/>
        <v/>
      </c>
      <c r="I86" s="21">
        <f t="shared" si="12"/>
        <v>0</v>
      </c>
      <c r="J86" s="34"/>
      <c r="K86" s="35"/>
      <c r="N86" s="12"/>
    </row>
    <row r="87" spans="1:14" x14ac:dyDescent="0.3">
      <c r="A87" s="44" t="str">
        <f t="shared" si="7"/>
        <v>QUÁ HẠN</v>
      </c>
      <c r="B87" s="33"/>
      <c r="C87" s="45">
        <f t="shared" si="8"/>
        <v>0</v>
      </c>
      <c r="D87" s="43">
        <f t="shared" si="9"/>
        <v>1</v>
      </c>
      <c r="E87" s="34">
        <f t="shared" si="13"/>
        <v>0</v>
      </c>
      <c r="F87" s="38"/>
      <c r="G87" s="39">
        <f t="shared" si="10"/>
        <v>0</v>
      </c>
      <c r="H87" s="21" t="str">
        <f t="shared" si="11"/>
        <v/>
      </c>
      <c r="I87" s="21">
        <f t="shared" si="12"/>
        <v>0</v>
      </c>
      <c r="J87" s="34"/>
      <c r="K87" s="35"/>
      <c r="N87" s="12"/>
    </row>
    <row r="88" spans="1:14" x14ac:dyDescent="0.3">
      <c r="A88" s="44" t="str">
        <f t="shared" si="7"/>
        <v>QUÁ HẠN</v>
      </c>
      <c r="B88" s="33"/>
      <c r="C88" s="45">
        <f t="shared" si="8"/>
        <v>0</v>
      </c>
      <c r="D88" s="43">
        <f t="shared" si="9"/>
        <v>1</v>
      </c>
      <c r="E88" s="34">
        <f t="shared" si="13"/>
        <v>0</v>
      </c>
      <c r="F88" s="38"/>
      <c r="G88" s="39">
        <f t="shared" si="10"/>
        <v>0</v>
      </c>
      <c r="H88" s="21" t="str">
        <f t="shared" si="11"/>
        <v/>
      </c>
      <c r="I88" s="21">
        <f t="shared" si="12"/>
        <v>0</v>
      </c>
      <c r="J88" s="34"/>
      <c r="K88" s="35"/>
      <c r="N88" s="12"/>
    </row>
    <row r="89" spans="1:14" x14ac:dyDescent="0.3">
      <c r="A89" s="44" t="str">
        <f t="shared" si="7"/>
        <v>QUÁ HẠN</v>
      </c>
      <c r="B89" s="33"/>
      <c r="C89" s="45">
        <f t="shared" si="8"/>
        <v>0</v>
      </c>
      <c r="D89" s="43">
        <f t="shared" si="9"/>
        <v>1</v>
      </c>
      <c r="E89" s="34">
        <f t="shared" si="13"/>
        <v>0</v>
      </c>
      <c r="F89" s="38"/>
      <c r="G89" s="39">
        <f t="shared" si="10"/>
        <v>0</v>
      </c>
      <c r="H89" s="21" t="str">
        <f t="shared" si="11"/>
        <v/>
      </c>
      <c r="I89" s="21">
        <f t="shared" si="12"/>
        <v>0</v>
      </c>
      <c r="J89" s="34"/>
      <c r="K89" s="35"/>
      <c r="N89" s="12"/>
    </row>
    <row r="90" spans="1:14" x14ac:dyDescent="0.3">
      <c r="A90" s="44" t="str">
        <f t="shared" si="7"/>
        <v>QUÁ HẠN</v>
      </c>
      <c r="B90" s="33"/>
      <c r="C90" s="45">
        <f t="shared" si="8"/>
        <v>0</v>
      </c>
      <c r="D90" s="43">
        <f t="shared" si="9"/>
        <v>1</v>
      </c>
      <c r="E90" s="34">
        <f t="shared" si="13"/>
        <v>0</v>
      </c>
      <c r="F90" s="38"/>
      <c r="G90" s="39">
        <f t="shared" si="10"/>
        <v>0</v>
      </c>
      <c r="H90" s="21" t="str">
        <f t="shared" si="11"/>
        <v/>
      </c>
      <c r="I90" s="21">
        <f t="shared" si="12"/>
        <v>0</v>
      </c>
      <c r="J90" s="34"/>
      <c r="K90" s="35"/>
      <c r="N90" s="12"/>
    </row>
    <row r="91" spans="1:14" x14ac:dyDescent="0.3">
      <c r="A91" s="44" t="str">
        <f t="shared" si="7"/>
        <v>QUÁ HẠN</v>
      </c>
      <c r="B91" s="33"/>
      <c r="C91" s="45">
        <f t="shared" si="8"/>
        <v>0</v>
      </c>
      <c r="D91" s="43">
        <f t="shared" si="9"/>
        <v>1</v>
      </c>
      <c r="E91" s="34">
        <f t="shared" si="13"/>
        <v>0</v>
      </c>
      <c r="F91" s="38"/>
      <c r="G91" s="39">
        <f t="shared" si="10"/>
        <v>0</v>
      </c>
      <c r="H91" s="21" t="str">
        <f t="shared" si="11"/>
        <v/>
      </c>
      <c r="I91" s="21">
        <f t="shared" si="12"/>
        <v>0</v>
      </c>
      <c r="J91" s="34"/>
      <c r="K91" s="35"/>
      <c r="N91" s="12"/>
    </row>
    <row r="92" spans="1:14" x14ac:dyDescent="0.3">
      <c r="A92" s="44" t="str">
        <f t="shared" si="7"/>
        <v>QUÁ HẠN</v>
      </c>
      <c r="B92" s="33"/>
      <c r="C92" s="45">
        <f t="shared" si="8"/>
        <v>0</v>
      </c>
      <c r="D92" s="43">
        <f t="shared" si="9"/>
        <v>1</v>
      </c>
      <c r="E92" s="34">
        <f t="shared" si="13"/>
        <v>0</v>
      </c>
      <c r="F92" s="38"/>
      <c r="G92" s="39">
        <f t="shared" si="10"/>
        <v>0</v>
      </c>
      <c r="H92" s="21" t="str">
        <f t="shared" si="11"/>
        <v/>
      </c>
      <c r="I92" s="21">
        <f t="shared" si="12"/>
        <v>0</v>
      </c>
      <c r="J92" s="34"/>
      <c r="K92" s="35"/>
      <c r="N92" s="12"/>
    </row>
    <row r="93" spans="1:14" x14ac:dyDescent="0.3">
      <c r="A93" s="44" t="str">
        <f t="shared" si="7"/>
        <v>QUÁ HẠN</v>
      </c>
      <c r="B93" s="33"/>
      <c r="C93" s="45">
        <f t="shared" si="8"/>
        <v>0</v>
      </c>
      <c r="D93" s="43">
        <f t="shared" si="9"/>
        <v>1</v>
      </c>
      <c r="E93" s="34">
        <f t="shared" si="13"/>
        <v>0</v>
      </c>
      <c r="F93" s="38"/>
      <c r="G93" s="39">
        <f t="shared" si="10"/>
        <v>0</v>
      </c>
      <c r="H93" s="21" t="str">
        <f t="shared" si="11"/>
        <v/>
      </c>
      <c r="I93" s="21">
        <f t="shared" si="12"/>
        <v>0</v>
      </c>
      <c r="J93" s="34"/>
      <c r="K93" s="35"/>
      <c r="N93" s="12"/>
    </row>
    <row r="94" spans="1:14" x14ac:dyDescent="0.3">
      <c r="A94" s="44" t="str">
        <f t="shared" si="7"/>
        <v>QUÁ HẠN</v>
      </c>
      <c r="B94" s="33"/>
      <c r="C94" s="45">
        <f t="shared" si="8"/>
        <v>0</v>
      </c>
      <c r="D94" s="43">
        <f t="shared" si="9"/>
        <v>1</v>
      </c>
      <c r="E94" s="34">
        <f t="shared" si="13"/>
        <v>0</v>
      </c>
      <c r="F94" s="38"/>
      <c r="G94" s="39">
        <f t="shared" si="10"/>
        <v>0</v>
      </c>
      <c r="H94" s="21" t="str">
        <f t="shared" si="11"/>
        <v/>
      </c>
      <c r="I94" s="21">
        <f t="shared" si="12"/>
        <v>0</v>
      </c>
      <c r="J94" s="34"/>
      <c r="K94" s="35"/>
      <c r="N94" s="12"/>
    </row>
    <row r="95" spans="1:14" x14ac:dyDescent="0.3">
      <c r="A95" s="44" t="str">
        <f t="shared" si="7"/>
        <v>QUÁ HẠN</v>
      </c>
      <c r="B95" s="33"/>
      <c r="C95" s="45">
        <f t="shared" si="8"/>
        <v>0</v>
      </c>
      <c r="D95" s="43">
        <f t="shared" si="9"/>
        <v>1</v>
      </c>
      <c r="E95" s="34">
        <f t="shared" si="13"/>
        <v>0</v>
      </c>
      <c r="F95" s="38"/>
      <c r="G95" s="39">
        <f t="shared" si="10"/>
        <v>0</v>
      </c>
      <c r="H95" s="21" t="str">
        <f t="shared" si="11"/>
        <v/>
      </c>
      <c r="I95" s="21">
        <f t="shared" si="12"/>
        <v>0</v>
      </c>
      <c r="J95" s="34"/>
      <c r="K95" s="35"/>
      <c r="N95" s="12"/>
    </row>
    <row r="96" spans="1:14" x14ac:dyDescent="0.3">
      <c r="A96" s="44" t="str">
        <f t="shared" si="7"/>
        <v>QUÁ HẠN</v>
      </c>
      <c r="B96" s="33"/>
      <c r="C96" s="45">
        <f t="shared" si="8"/>
        <v>0</v>
      </c>
      <c r="D96" s="43">
        <f t="shared" si="9"/>
        <v>1</v>
      </c>
      <c r="E96" s="34">
        <f t="shared" si="13"/>
        <v>0</v>
      </c>
      <c r="F96" s="38"/>
      <c r="G96" s="39">
        <f t="shared" si="10"/>
        <v>0</v>
      </c>
      <c r="H96" s="21" t="str">
        <f t="shared" si="11"/>
        <v/>
      </c>
      <c r="I96" s="21">
        <f t="shared" si="12"/>
        <v>0</v>
      </c>
      <c r="J96" s="34"/>
      <c r="K96" s="35"/>
      <c r="N96" s="12"/>
    </row>
    <row r="97" spans="1:14" x14ac:dyDescent="0.3">
      <c r="A97" s="44" t="str">
        <f t="shared" si="7"/>
        <v>QUÁ HẠN</v>
      </c>
      <c r="B97" s="33"/>
      <c r="C97" s="45">
        <f t="shared" si="8"/>
        <v>0</v>
      </c>
      <c r="D97" s="43">
        <f t="shared" si="9"/>
        <v>1</v>
      </c>
      <c r="E97" s="34">
        <f t="shared" si="13"/>
        <v>0</v>
      </c>
      <c r="F97" s="38"/>
      <c r="G97" s="39">
        <f t="shared" si="10"/>
        <v>0</v>
      </c>
      <c r="H97" s="21" t="str">
        <f t="shared" si="11"/>
        <v/>
      </c>
      <c r="I97" s="21">
        <f t="shared" si="12"/>
        <v>0</v>
      </c>
      <c r="J97" s="34"/>
      <c r="K97" s="35"/>
      <c r="N97" s="12"/>
    </row>
    <row r="98" spans="1:14" x14ac:dyDescent="0.3">
      <c r="A98" s="44" t="str">
        <f t="shared" si="7"/>
        <v>QUÁ HẠN</v>
      </c>
      <c r="B98" s="33"/>
      <c r="C98" s="45">
        <f t="shared" si="8"/>
        <v>0</v>
      </c>
      <c r="D98" s="43">
        <f t="shared" si="9"/>
        <v>1</v>
      </c>
      <c r="E98" s="34">
        <f t="shared" si="13"/>
        <v>0</v>
      </c>
      <c r="F98" s="38"/>
      <c r="G98" s="39">
        <f t="shared" si="10"/>
        <v>0</v>
      </c>
      <c r="H98" s="21" t="str">
        <f t="shared" si="11"/>
        <v/>
      </c>
      <c r="I98" s="21">
        <f t="shared" si="12"/>
        <v>0</v>
      </c>
      <c r="J98" s="34"/>
      <c r="K98" s="35"/>
      <c r="N98" s="12"/>
    </row>
    <row r="99" spans="1:14" x14ac:dyDescent="0.3">
      <c r="A99" s="44" t="str">
        <f t="shared" si="7"/>
        <v>QUÁ HẠN</v>
      </c>
      <c r="B99" s="33"/>
      <c r="C99" s="45">
        <f t="shared" si="8"/>
        <v>0</v>
      </c>
      <c r="D99" s="43">
        <f t="shared" si="9"/>
        <v>1</v>
      </c>
      <c r="E99" s="34">
        <f t="shared" si="13"/>
        <v>0</v>
      </c>
      <c r="F99" s="38"/>
      <c r="G99" s="39">
        <f t="shared" si="10"/>
        <v>0</v>
      </c>
      <c r="H99" s="21" t="str">
        <f t="shared" si="11"/>
        <v/>
      </c>
      <c r="I99" s="21">
        <f t="shared" si="12"/>
        <v>0</v>
      </c>
      <c r="J99" s="34"/>
      <c r="K99" s="35"/>
      <c r="N99" s="12"/>
    </row>
    <row r="100" spans="1:14" x14ac:dyDescent="0.3">
      <c r="A100" s="44" t="str">
        <f t="shared" si="7"/>
        <v>QUÁ HẠN</v>
      </c>
      <c r="B100" s="33"/>
      <c r="C100" s="45">
        <f t="shared" si="8"/>
        <v>0</v>
      </c>
      <c r="D100" s="43">
        <f t="shared" si="9"/>
        <v>1</v>
      </c>
      <c r="E100" s="34">
        <f t="shared" si="13"/>
        <v>0</v>
      </c>
      <c r="F100" s="38"/>
      <c r="G100" s="39">
        <f t="shared" si="10"/>
        <v>0</v>
      </c>
      <c r="H100" s="21" t="str">
        <f t="shared" si="11"/>
        <v/>
      </c>
      <c r="I100" s="21">
        <f t="shared" si="12"/>
        <v>0</v>
      </c>
      <c r="J100" s="34"/>
      <c r="K100" s="35"/>
      <c r="N100" s="12"/>
    </row>
    <row r="101" spans="1:14" x14ac:dyDescent="0.3">
      <c r="A101" s="44" t="str">
        <f t="shared" si="7"/>
        <v>QUÁ HẠN</v>
      </c>
      <c r="B101" s="33"/>
      <c r="C101" s="45">
        <f t="shared" si="8"/>
        <v>0</v>
      </c>
      <c r="D101" s="43">
        <f t="shared" si="9"/>
        <v>1</v>
      </c>
      <c r="E101" s="34">
        <f t="shared" si="13"/>
        <v>0</v>
      </c>
      <c r="F101" s="38"/>
      <c r="G101" s="39">
        <f t="shared" si="10"/>
        <v>0</v>
      </c>
      <c r="H101" s="21" t="str">
        <f t="shared" si="11"/>
        <v/>
      </c>
      <c r="I101" s="21">
        <f t="shared" si="12"/>
        <v>0</v>
      </c>
      <c r="J101" s="34"/>
      <c r="K101" s="35"/>
      <c r="N101" s="12"/>
    </row>
    <row r="102" spans="1:14" x14ac:dyDescent="0.3">
      <c r="A102" s="44" t="str">
        <f t="shared" si="7"/>
        <v>QUÁ HẠN</v>
      </c>
      <c r="B102" s="33"/>
      <c r="C102" s="45">
        <f t="shared" si="8"/>
        <v>0</v>
      </c>
      <c r="D102" s="43">
        <f t="shared" si="9"/>
        <v>1</v>
      </c>
      <c r="E102" s="34">
        <f t="shared" si="13"/>
        <v>0</v>
      </c>
      <c r="F102" s="38"/>
      <c r="G102" s="39">
        <f t="shared" si="10"/>
        <v>0</v>
      </c>
      <c r="H102" s="21" t="str">
        <f t="shared" si="11"/>
        <v/>
      </c>
      <c r="I102" s="21">
        <f t="shared" si="12"/>
        <v>0</v>
      </c>
      <c r="J102" s="34"/>
      <c r="K102" s="35"/>
      <c r="N102" s="12"/>
    </row>
    <row r="103" spans="1:14" x14ac:dyDescent="0.3">
      <c r="A103" s="44" t="str">
        <f t="shared" ref="A103:A150" si="14">IF(B103&gt;=$B$9,"QUÁ HẠN", "TRONG HẠN")</f>
        <v>QUÁ HẠN</v>
      </c>
      <c r="B103" s="33"/>
      <c r="C103" s="45">
        <f t="shared" si="8"/>
        <v>0</v>
      </c>
      <c r="D103" s="43">
        <f t="shared" ref="D103:D150" si="15">C103-B103+1</f>
        <v>1</v>
      </c>
      <c r="E103" s="34">
        <f t="shared" ref="E103:E150" si="16">E102-J103</f>
        <v>0</v>
      </c>
      <c r="F103" s="38"/>
      <c r="G103" s="39">
        <f t="shared" ref="G103:G150" si="17">IF(A103="QUÁ HẠN", F103*1.5,"")</f>
        <v>0</v>
      </c>
      <c r="H103" s="21" t="str">
        <f t="shared" ref="H103:H150" si="18">IF(A103="TRONG HẠN",D103*E103*F103/365,"")</f>
        <v/>
      </c>
      <c r="I103" s="21">
        <f t="shared" ref="I103:I150" si="19">IF(A103="QUÁ HẠN",D103*E103*G103/365,"")</f>
        <v>0</v>
      </c>
      <c r="J103" s="34"/>
      <c r="K103" s="35"/>
      <c r="N103" s="12"/>
    </row>
    <row r="104" spans="1:14" x14ac:dyDescent="0.3">
      <c r="A104" s="44" t="str">
        <f t="shared" si="14"/>
        <v>QUÁ HẠN</v>
      </c>
      <c r="B104" s="33"/>
      <c r="C104" s="45">
        <f t="shared" si="8"/>
        <v>0</v>
      </c>
      <c r="D104" s="43">
        <f t="shared" si="15"/>
        <v>1</v>
      </c>
      <c r="E104" s="34">
        <f t="shared" si="16"/>
        <v>0</v>
      </c>
      <c r="F104" s="38"/>
      <c r="G104" s="39">
        <f t="shared" si="17"/>
        <v>0</v>
      </c>
      <c r="H104" s="21" t="str">
        <f t="shared" si="18"/>
        <v/>
      </c>
      <c r="I104" s="21">
        <f t="shared" si="19"/>
        <v>0</v>
      </c>
      <c r="J104" s="34"/>
      <c r="K104" s="35"/>
      <c r="N104" s="12"/>
    </row>
    <row r="105" spans="1:14" x14ac:dyDescent="0.3">
      <c r="A105" s="44" t="str">
        <f t="shared" si="14"/>
        <v>QUÁ HẠN</v>
      </c>
      <c r="B105" s="33"/>
      <c r="C105" s="45">
        <f t="shared" si="8"/>
        <v>0</v>
      </c>
      <c r="D105" s="43">
        <f t="shared" si="15"/>
        <v>1</v>
      </c>
      <c r="E105" s="34">
        <f t="shared" si="16"/>
        <v>0</v>
      </c>
      <c r="F105" s="38"/>
      <c r="G105" s="39">
        <f t="shared" si="17"/>
        <v>0</v>
      </c>
      <c r="H105" s="21" t="str">
        <f t="shared" si="18"/>
        <v/>
      </c>
      <c r="I105" s="21">
        <f t="shared" si="19"/>
        <v>0</v>
      </c>
      <c r="J105" s="34"/>
      <c r="K105" s="35"/>
      <c r="N105" s="12"/>
    </row>
    <row r="106" spans="1:14" x14ac:dyDescent="0.3">
      <c r="A106" s="44" t="str">
        <f t="shared" si="14"/>
        <v>QUÁ HẠN</v>
      </c>
      <c r="B106" s="33"/>
      <c r="C106" s="45">
        <f t="shared" si="8"/>
        <v>0</v>
      </c>
      <c r="D106" s="43">
        <f t="shared" si="15"/>
        <v>1</v>
      </c>
      <c r="E106" s="34">
        <f t="shared" si="16"/>
        <v>0</v>
      </c>
      <c r="F106" s="38"/>
      <c r="G106" s="39">
        <f t="shared" si="17"/>
        <v>0</v>
      </c>
      <c r="H106" s="21" t="str">
        <f t="shared" si="18"/>
        <v/>
      </c>
      <c r="I106" s="21">
        <f t="shared" si="19"/>
        <v>0</v>
      </c>
      <c r="J106" s="34"/>
      <c r="K106" s="35"/>
      <c r="N106" s="12"/>
    </row>
    <row r="107" spans="1:14" x14ac:dyDescent="0.3">
      <c r="A107" s="44" t="str">
        <f t="shared" si="14"/>
        <v>QUÁ HẠN</v>
      </c>
      <c r="B107" s="33"/>
      <c r="C107" s="45">
        <f t="shared" si="8"/>
        <v>0</v>
      </c>
      <c r="D107" s="43">
        <f t="shared" si="15"/>
        <v>1</v>
      </c>
      <c r="E107" s="34">
        <f t="shared" si="16"/>
        <v>0</v>
      </c>
      <c r="F107" s="38"/>
      <c r="G107" s="39">
        <f t="shared" si="17"/>
        <v>0</v>
      </c>
      <c r="H107" s="21" t="str">
        <f t="shared" si="18"/>
        <v/>
      </c>
      <c r="I107" s="21">
        <f t="shared" si="19"/>
        <v>0</v>
      </c>
      <c r="J107" s="34"/>
      <c r="K107" s="35"/>
      <c r="N107" s="12"/>
    </row>
    <row r="108" spans="1:14" x14ac:dyDescent="0.3">
      <c r="A108" s="44" t="str">
        <f t="shared" si="14"/>
        <v>QUÁ HẠN</v>
      </c>
      <c r="B108" s="33"/>
      <c r="C108" s="45">
        <f t="shared" si="8"/>
        <v>0</v>
      </c>
      <c r="D108" s="43">
        <f t="shared" si="15"/>
        <v>1</v>
      </c>
      <c r="E108" s="34">
        <f t="shared" si="16"/>
        <v>0</v>
      </c>
      <c r="F108" s="38"/>
      <c r="G108" s="39">
        <f t="shared" si="17"/>
        <v>0</v>
      </c>
      <c r="H108" s="21" t="str">
        <f t="shared" si="18"/>
        <v/>
      </c>
      <c r="I108" s="21">
        <f t="shared" si="19"/>
        <v>0</v>
      </c>
      <c r="J108" s="34"/>
      <c r="K108" s="35"/>
      <c r="N108" s="12"/>
    </row>
    <row r="109" spans="1:14" x14ac:dyDescent="0.3">
      <c r="A109" s="44" t="str">
        <f t="shared" si="14"/>
        <v>QUÁ HẠN</v>
      </c>
      <c r="B109" s="33"/>
      <c r="C109" s="45">
        <f t="shared" si="8"/>
        <v>0</v>
      </c>
      <c r="D109" s="43">
        <f t="shared" si="15"/>
        <v>1</v>
      </c>
      <c r="E109" s="34">
        <f t="shared" si="16"/>
        <v>0</v>
      </c>
      <c r="F109" s="38"/>
      <c r="G109" s="39">
        <f t="shared" si="17"/>
        <v>0</v>
      </c>
      <c r="H109" s="21" t="str">
        <f t="shared" si="18"/>
        <v/>
      </c>
      <c r="I109" s="21">
        <f t="shared" si="19"/>
        <v>0</v>
      </c>
      <c r="J109" s="34"/>
      <c r="K109" s="35"/>
      <c r="N109" s="12"/>
    </row>
    <row r="110" spans="1:14" x14ac:dyDescent="0.3">
      <c r="A110" s="44" t="str">
        <f t="shared" si="14"/>
        <v>QUÁ HẠN</v>
      </c>
      <c r="B110" s="33"/>
      <c r="C110" s="45">
        <f t="shared" si="8"/>
        <v>0</v>
      </c>
      <c r="D110" s="43">
        <f t="shared" si="15"/>
        <v>1</v>
      </c>
      <c r="E110" s="34">
        <f t="shared" si="16"/>
        <v>0</v>
      </c>
      <c r="F110" s="38"/>
      <c r="G110" s="39">
        <f t="shared" si="17"/>
        <v>0</v>
      </c>
      <c r="H110" s="21" t="str">
        <f t="shared" si="18"/>
        <v/>
      </c>
      <c r="I110" s="21">
        <f t="shared" si="19"/>
        <v>0</v>
      </c>
      <c r="J110" s="34"/>
      <c r="K110" s="35"/>
      <c r="N110" s="12"/>
    </row>
    <row r="111" spans="1:14" x14ac:dyDescent="0.3">
      <c r="A111" s="44" t="str">
        <f t="shared" si="14"/>
        <v>QUÁ HẠN</v>
      </c>
      <c r="B111" s="33"/>
      <c r="C111" s="45">
        <f t="shared" si="8"/>
        <v>0</v>
      </c>
      <c r="D111" s="43">
        <f t="shared" si="15"/>
        <v>1</v>
      </c>
      <c r="E111" s="34">
        <f t="shared" si="16"/>
        <v>0</v>
      </c>
      <c r="F111" s="38"/>
      <c r="G111" s="39">
        <f t="shared" si="17"/>
        <v>0</v>
      </c>
      <c r="H111" s="21" t="str">
        <f t="shared" si="18"/>
        <v/>
      </c>
      <c r="I111" s="21">
        <f t="shared" si="19"/>
        <v>0</v>
      </c>
      <c r="J111" s="34"/>
      <c r="K111" s="35"/>
      <c r="N111" s="12"/>
    </row>
    <row r="112" spans="1:14" x14ac:dyDescent="0.3">
      <c r="A112" s="44" t="str">
        <f t="shared" si="14"/>
        <v>QUÁ HẠN</v>
      </c>
      <c r="B112" s="33"/>
      <c r="C112" s="45">
        <f t="shared" si="8"/>
        <v>0</v>
      </c>
      <c r="D112" s="43">
        <f t="shared" si="15"/>
        <v>1</v>
      </c>
      <c r="E112" s="34">
        <f t="shared" si="16"/>
        <v>0</v>
      </c>
      <c r="F112" s="38"/>
      <c r="G112" s="39">
        <f t="shared" si="17"/>
        <v>0</v>
      </c>
      <c r="H112" s="21" t="str">
        <f t="shared" si="18"/>
        <v/>
      </c>
      <c r="I112" s="21">
        <f t="shared" si="19"/>
        <v>0</v>
      </c>
      <c r="J112" s="34"/>
      <c r="K112" s="35"/>
      <c r="N112" s="12"/>
    </row>
    <row r="113" spans="1:14" x14ac:dyDescent="0.3">
      <c r="A113" s="44" t="str">
        <f t="shared" si="14"/>
        <v>QUÁ HẠN</v>
      </c>
      <c r="B113" s="33"/>
      <c r="C113" s="45">
        <f t="shared" si="8"/>
        <v>0</v>
      </c>
      <c r="D113" s="43">
        <f t="shared" si="15"/>
        <v>1</v>
      </c>
      <c r="E113" s="34">
        <f t="shared" si="16"/>
        <v>0</v>
      </c>
      <c r="F113" s="38"/>
      <c r="G113" s="39">
        <f t="shared" si="17"/>
        <v>0</v>
      </c>
      <c r="H113" s="21" t="str">
        <f t="shared" si="18"/>
        <v/>
      </c>
      <c r="I113" s="21">
        <f t="shared" si="19"/>
        <v>0</v>
      </c>
      <c r="J113" s="34"/>
      <c r="K113" s="35"/>
      <c r="N113" s="12"/>
    </row>
    <row r="114" spans="1:14" x14ac:dyDescent="0.3">
      <c r="A114" s="44" t="str">
        <f t="shared" si="14"/>
        <v>QUÁ HẠN</v>
      </c>
      <c r="B114" s="33"/>
      <c r="C114" s="45">
        <f t="shared" si="8"/>
        <v>0</v>
      </c>
      <c r="D114" s="43">
        <f t="shared" si="15"/>
        <v>1</v>
      </c>
      <c r="E114" s="34">
        <f t="shared" si="16"/>
        <v>0</v>
      </c>
      <c r="F114" s="38"/>
      <c r="G114" s="39">
        <f t="shared" si="17"/>
        <v>0</v>
      </c>
      <c r="H114" s="21" t="str">
        <f t="shared" si="18"/>
        <v/>
      </c>
      <c r="I114" s="21">
        <f t="shared" si="19"/>
        <v>0</v>
      </c>
      <c r="J114" s="34"/>
      <c r="K114" s="35"/>
      <c r="N114" s="12"/>
    </row>
    <row r="115" spans="1:14" x14ac:dyDescent="0.3">
      <c r="A115" s="44" t="str">
        <f t="shared" si="14"/>
        <v>QUÁ HẠN</v>
      </c>
      <c r="B115" s="33"/>
      <c r="C115" s="45">
        <f t="shared" si="8"/>
        <v>0</v>
      </c>
      <c r="D115" s="43">
        <f t="shared" si="15"/>
        <v>1</v>
      </c>
      <c r="E115" s="34">
        <f t="shared" si="16"/>
        <v>0</v>
      </c>
      <c r="F115" s="38"/>
      <c r="G115" s="39">
        <f t="shared" si="17"/>
        <v>0</v>
      </c>
      <c r="H115" s="21" t="str">
        <f t="shared" si="18"/>
        <v/>
      </c>
      <c r="I115" s="21">
        <f t="shared" si="19"/>
        <v>0</v>
      </c>
      <c r="J115" s="34"/>
      <c r="K115" s="35"/>
      <c r="N115" s="12"/>
    </row>
    <row r="116" spans="1:14" x14ac:dyDescent="0.3">
      <c r="A116" s="44" t="str">
        <f t="shared" si="14"/>
        <v>QUÁ HẠN</v>
      </c>
      <c r="B116" s="33"/>
      <c r="C116" s="45">
        <f t="shared" si="8"/>
        <v>0</v>
      </c>
      <c r="D116" s="43">
        <f t="shared" si="15"/>
        <v>1</v>
      </c>
      <c r="E116" s="34">
        <f t="shared" si="16"/>
        <v>0</v>
      </c>
      <c r="F116" s="38"/>
      <c r="G116" s="39">
        <f t="shared" si="17"/>
        <v>0</v>
      </c>
      <c r="H116" s="21" t="str">
        <f t="shared" si="18"/>
        <v/>
      </c>
      <c r="I116" s="21">
        <f t="shared" si="19"/>
        <v>0</v>
      </c>
      <c r="J116" s="34"/>
      <c r="K116" s="35"/>
      <c r="N116" s="12"/>
    </row>
    <row r="117" spans="1:14" x14ac:dyDescent="0.3">
      <c r="A117" s="44" t="str">
        <f t="shared" si="14"/>
        <v>QUÁ HẠN</v>
      </c>
      <c r="B117" s="33"/>
      <c r="C117" s="45">
        <f t="shared" si="8"/>
        <v>0</v>
      </c>
      <c r="D117" s="43">
        <f t="shared" si="15"/>
        <v>1</v>
      </c>
      <c r="E117" s="34">
        <f t="shared" si="16"/>
        <v>0</v>
      </c>
      <c r="F117" s="38"/>
      <c r="G117" s="39">
        <f t="shared" si="17"/>
        <v>0</v>
      </c>
      <c r="H117" s="21" t="str">
        <f t="shared" si="18"/>
        <v/>
      </c>
      <c r="I117" s="21">
        <f t="shared" si="19"/>
        <v>0</v>
      </c>
      <c r="J117" s="34"/>
      <c r="K117" s="35"/>
      <c r="N117" s="12"/>
    </row>
    <row r="118" spans="1:14" x14ac:dyDescent="0.3">
      <c r="A118" s="44" t="str">
        <f t="shared" si="14"/>
        <v>QUÁ HẠN</v>
      </c>
      <c r="B118" s="33"/>
      <c r="C118" s="45">
        <f t="shared" si="8"/>
        <v>0</v>
      </c>
      <c r="D118" s="43">
        <f t="shared" si="15"/>
        <v>1</v>
      </c>
      <c r="E118" s="34">
        <f t="shared" si="16"/>
        <v>0</v>
      </c>
      <c r="F118" s="38"/>
      <c r="G118" s="39">
        <f t="shared" si="17"/>
        <v>0</v>
      </c>
      <c r="H118" s="21" t="str">
        <f t="shared" si="18"/>
        <v/>
      </c>
      <c r="I118" s="21">
        <f t="shared" si="19"/>
        <v>0</v>
      </c>
      <c r="J118" s="34"/>
      <c r="K118" s="35"/>
      <c r="N118" s="12"/>
    </row>
    <row r="119" spans="1:14" x14ac:dyDescent="0.3">
      <c r="A119" s="44" t="str">
        <f t="shared" si="14"/>
        <v>QUÁ HẠN</v>
      </c>
      <c r="B119" s="33"/>
      <c r="C119" s="45">
        <f t="shared" si="8"/>
        <v>0</v>
      </c>
      <c r="D119" s="43">
        <f t="shared" si="15"/>
        <v>1</v>
      </c>
      <c r="E119" s="34">
        <f t="shared" si="16"/>
        <v>0</v>
      </c>
      <c r="F119" s="38"/>
      <c r="G119" s="39">
        <f t="shared" si="17"/>
        <v>0</v>
      </c>
      <c r="H119" s="21" t="str">
        <f t="shared" si="18"/>
        <v/>
      </c>
      <c r="I119" s="21">
        <f t="shared" si="19"/>
        <v>0</v>
      </c>
      <c r="J119" s="34"/>
      <c r="K119" s="35"/>
      <c r="N119" s="12"/>
    </row>
    <row r="120" spans="1:14" x14ac:dyDescent="0.3">
      <c r="A120" s="44" t="str">
        <f t="shared" si="14"/>
        <v>QUÁ HẠN</v>
      </c>
      <c r="B120" s="33"/>
      <c r="C120" s="45">
        <f t="shared" si="8"/>
        <v>0</v>
      </c>
      <c r="D120" s="43">
        <f t="shared" si="15"/>
        <v>1</v>
      </c>
      <c r="E120" s="34">
        <f t="shared" si="16"/>
        <v>0</v>
      </c>
      <c r="F120" s="38"/>
      <c r="G120" s="39">
        <f t="shared" si="17"/>
        <v>0</v>
      </c>
      <c r="H120" s="21" t="str">
        <f t="shared" si="18"/>
        <v/>
      </c>
      <c r="I120" s="21">
        <f t="shared" si="19"/>
        <v>0</v>
      </c>
      <c r="J120" s="34"/>
      <c r="K120" s="35"/>
      <c r="N120" s="12"/>
    </row>
    <row r="121" spans="1:14" x14ac:dyDescent="0.3">
      <c r="A121" s="44" t="str">
        <f t="shared" si="14"/>
        <v>QUÁ HẠN</v>
      </c>
      <c r="B121" s="33"/>
      <c r="C121" s="45">
        <f t="shared" si="8"/>
        <v>0</v>
      </c>
      <c r="D121" s="43">
        <f t="shared" si="15"/>
        <v>1</v>
      </c>
      <c r="E121" s="34">
        <f t="shared" si="16"/>
        <v>0</v>
      </c>
      <c r="F121" s="38"/>
      <c r="G121" s="39">
        <f t="shared" si="17"/>
        <v>0</v>
      </c>
      <c r="H121" s="21" t="str">
        <f t="shared" si="18"/>
        <v/>
      </c>
      <c r="I121" s="21">
        <f t="shared" si="19"/>
        <v>0</v>
      </c>
      <c r="J121" s="34"/>
      <c r="K121" s="35"/>
      <c r="N121" s="12"/>
    </row>
    <row r="122" spans="1:14" x14ac:dyDescent="0.3">
      <c r="A122" s="44" t="str">
        <f t="shared" si="14"/>
        <v>QUÁ HẠN</v>
      </c>
      <c r="B122" s="33"/>
      <c r="C122" s="45">
        <f t="shared" si="8"/>
        <v>0</v>
      </c>
      <c r="D122" s="43">
        <f t="shared" si="15"/>
        <v>1</v>
      </c>
      <c r="E122" s="34">
        <f t="shared" si="16"/>
        <v>0</v>
      </c>
      <c r="F122" s="38"/>
      <c r="G122" s="39">
        <f t="shared" si="17"/>
        <v>0</v>
      </c>
      <c r="H122" s="21" t="str">
        <f t="shared" si="18"/>
        <v/>
      </c>
      <c r="I122" s="21">
        <f t="shared" si="19"/>
        <v>0</v>
      </c>
      <c r="J122" s="34"/>
      <c r="K122" s="35"/>
      <c r="N122" s="12"/>
    </row>
    <row r="123" spans="1:14" x14ac:dyDescent="0.3">
      <c r="A123" s="44" t="str">
        <f t="shared" si="14"/>
        <v>QUÁ HẠN</v>
      </c>
      <c r="B123" s="33"/>
      <c r="C123" s="45">
        <f t="shared" si="8"/>
        <v>0</v>
      </c>
      <c r="D123" s="43">
        <f t="shared" si="15"/>
        <v>1</v>
      </c>
      <c r="E123" s="34">
        <f t="shared" si="16"/>
        <v>0</v>
      </c>
      <c r="F123" s="38"/>
      <c r="G123" s="39">
        <f t="shared" si="17"/>
        <v>0</v>
      </c>
      <c r="H123" s="21" t="str">
        <f t="shared" si="18"/>
        <v/>
      </c>
      <c r="I123" s="21">
        <f t="shared" si="19"/>
        <v>0</v>
      </c>
      <c r="J123" s="34"/>
      <c r="K123" s="35"/>
      <c r="N123" s="12"/>
    </row>
    <row r="124" spans="1:14" x14ac:dyDescent="0.3">
      <c r="A124" s="44" t="str">
        <f t="shared" si="14"/>
        <v>QUÁ HẠN</v>
      </c>
      <c r="B124" s="33"/>
      <c r="C124" s="45">
        <f t="shared" si="8"/>
        <v>0</v>
      </c>
      <c r="D124" s="43">
        <f t="shared" si="15"/>
        <v>1</v>
      </c>
      <c r="E124" s="34">
        <f t="shared" si="16"/>
        <v>0</v>
      </c>
      <c r="F124" s="38"/>
      <c r="G124" s="39">
        <f t="shared" si="17"/>
        <v>0</v>
      </c>
      <c r="H124" s="21" t="str">
        <f t="shared" si="18"/>
        <v/>
      </c>
      <c r="I124" s="21">
        <f t="shared" si="19"/>
        <v>0</v>
      </c>
      <c r="J124" s="34"/>
      <c r="K124" s="35"/>
      <c r="N124" s="12"/>
    </row>
    <row r="125" spans="1:14" x14ac:dyDescent="0.3">
      <c r="A125" s="44" t="str">
        <f t="shared" si="14"/>
        <v>QUÁ HẠN</v>
      </c>
      <c r="B125" s="33"/>
      <c r="C125" s="45">
        <f t="shared" si="8"/>
        <v>0</v>
      </c>
      <c r="D125" s="43">
        <f t="shared" si="15"/>
        <v>1</v>
      </c>
      <c r="E125" s="34">
        <f t="shared" si="16"/>
        <v>0</v>
      </c>
      <c r="F125" s="38"/>
      <c r="G125" s="39">
        <f t="shared" si="17"/>
        <v>0</v>
      </c>
      <c r="H125" s="21" t="str">
        <f t="shared" si="18"/>
        <v/>
      </c>
      <c r="I125" s="21">
        <f t="shared" si="19"/>
        <v>0</v>
      </c>
      <c r="J125" s="34"/>
      <c r="K125" s="35"/>
      <c r="N125" s="12"/>
    </row>
    <row r="126" spans="1:14" x14ac:dyDescent="0.3">
      <c r="A126" s="44" t="str">
        <f t="shared" si="14"/>
        <v>QUÁ HẠN</v>
      </c>
      <c r="B126" s="33"/>
      <c r="C126" s="45">
        <f t="shared" si="8"/>
        <v>0</v>
      </c>
      <c r="D126" s="43">
        <f t="shared" si="15"/>
        <v>1</v>
      </c>
      <c r="E126" s="34">
        <f t="shared" si="16"/>
        <v>0</v>
      </c>
      <c r="F126" s="38"/>
      <c r="G126" s="39">
        <f t="shared" si="17"/>
        <v>0</v>
      </c>
      <c r="H126" s="21" t="str">
        <f t="shared" si="18"/>
        <v/>
      </c>
      <c r="I126" s="21">
        <f t="shared" si="19"/>
        <v>0</v>
      </c>
      <c r="J126" s="34"/>
      <c r="K126" s="35"/>
      <c r="N126" s="12"/>
    </row>
    <row r="127" spans="1:14" x14ac:dyDescent="0.3">
      <c r="A127" s="44" t="str">
        <f t="shared" si="14"/>
        <v>QUÁ HẠN</v>
      </c>
      <c r="B127" s="33"/>
      <c r="C127" s="45">
        <f t="shared" si="8"/>
        <v>0</v>
      </c>
      <c r="D127" s="43">
        <f t="shared" si="15"/>
        <v>1</v>
      </c>
      <c r="E127" s="34">
        <f t="shared" si="16"/>
        <v>0</v>
      </c>
      <c r="F127" s="38"/>
      <c r="G127" s="39">
        <f t="shared" si="17"/>
        <v>0</v>
      </c>
      <c r="H127" s="21" t="str">
        <f t="shared" si="18"/>
        <v/>
      </c>
      <c r="I127" s="21">
        <f t="shared" si="19"/>
        <v>0</v>
      </c>
      <c r="J127" s="34"/>
      <c r="K127" s="35"/>
      <c r="N127" s="12"/>
    </row>
    <row r="128" spans="1:14" x14ac:dyDescent="0.3">
      <c r="A128" s="44" t="str">
        <f t="shared" si="14"/>
        <v>QUÁ HẠN</v>
      </c>
      <c r="B128" s="33"/>
      <c r="C128" s="45">
        <f t="shared" si="8"/>
        <v>0</v>
      </c>
      <c r="D128" s="43">
        <f t="shared" si="15"/>
        <v>1</v>
      </c>
      <c r="E128" s="34">
        <f t="shared" si="16"/>
        <v>0</v>
      </c>
      <c r="F128" s="38"/>
      <c r="G128" s="39">
        <f t="shared" si="17"/>
        <v>0</v>
      </c>
      <c r="H128" s="21" t="str">
        <f t="shared" si="18"/>
        <v/>
      </c>
      <c r="I128" s="21">
        <f t="shared" si="19"/>
        <v>0</v>
      </c>
      <c r="J128" s="34"/>
      <c r="K128" s="35"/>
      <c r="N128" s="12"/>
    </row>
    <row r="129" spans="1:14" x14ac:dyDescent="0.3">
      <c r="A129" s="44" t="str">
        <f t="shared" si="14"/>
        <v>QUÁ HẠN</v>
      </c>
      <c r="B129" s="33"/>
      <c r="C129" s="45">
        <f t="shared" si="8"/>
        <v>0</v>
      </c>
      <c r="D129" s="43">
        <f t="shared" si="15"/>
        <v>1</v>
      </c>
      <c r="E129" s="34">
        <f t="shared" si="16"/>
        <v>0</v>
      </c>
      <c r="F129" s="38"/>
      <c r="G129" s="39">
        <f t="shared" si="17"/>
        <v>0</v>
      </c>
      <c r="H129" s="21" t="str">
        <f t="shared" si="18"/>
        <v/>
      </c>
      <c r="I129" s="21">
        <f t="shared" si="19"/>
        <v>0</v>
      </c>
      <c r="J129" s="34"/>
      <c r="K129" s="35"/>
      <c r="N129" s="12"/>
    </row>
    <row r="130" spans="1:14" x14ac:dyDescent="0.3">
      <c r="A130" s="44" t="str">
        <f t="shared" si="14"/>
        <v>QUÁ HẠN</v>
      </c>
      <c r="B130" s="33"/>
      <c r="C130" s="45">
        <f t="shared" si="8"/>
        <v>0</v>
      </c>
      <c r="D130" s="43">
        <f t="shared" si="15"/>
        <v>1</v>
      </c>
      <c r="E130" s="34">
        <f t="shared" si="16"/>
        <v>0</v>
      </c>
      <c r="F130" s="38"/>
      <c r="G130" s="39">
        <f t="shared" si="17"/>
        <v>0</v>
      </c>
      <c r="H130" s="21" t="str">
        <f t="shared" si="18"/>
        <v/>
      </c>
      <c r="I130" s="21">
        <f t="shared" si="19"/>
        <v>0</v>
      </c>
      <c r="J130" s="34"/>
      <c r="K130" s="35"/>
      <c r="N130" s="12"/>
    </row>
    <row r="131" spans="1:14" x14ac:dyDescent="0.3">
      <c r="A131" s="44" t="str">
        <f t="shared" si="14"/>
        <v>QUÁ HẠN</v>
      </c>
      <c r="B131" s="33"/>
      <c r="C131" s="45">
        <f t="shared" si="8"/>
        <v>0</v>
      </c>
      <c r="D131" s="43">
        <f t="shared" si="15"/>
        <v>1</v>
      </c>
      <c r="E131" s="34">
        <f t="shared" si="16"/>
        <v>0</v>
      </c>
      <c r="F131" s="38"/>
      <c r="G131" s="39">
        <f t="shared" si="17"/>
        <v>0</v>
      </c>
      <c r="H131" s="21" t="str">
        <f t="shared" si="18"/>
        <v/>
      </c>
      <c r="I131" s="21">
        <f t="shared" si="19"/>
        <v>0</v>
      </c>
      <c r="J131" s="34"/>
      <c r="K131" s="35"/>
      <c r="N131" s="12"/>
    </row>
    <row r="132" spans="1:14" x14ac:dyDescent="0.3">
      <c r="A132" s="44" t="str">
        <f t="shared" si="14"/>
        <v>QUÁ HẠN</v>
      </c>
      <c r="B132" s="33"/>
      <c r="C132" s="45">
        <f t="shared" si="8"/>
        <v>0</v>
      </c>
      <c r="D132" s="43">
        <f t="shared" si="15"/>
        <v>1</v>
      </c>
      <c r="E132" s="34">
        <f t="shared" si="16"/>
        <v>0</v>
      </c>
      <c r="F132" s="38"/>
      <c r="G132" s="39">
        <f t="shared" si="17"/>
        <v>0</v>
      </c>
      <c r="H132" s="21" t="str">
        <f t="shared" si="18"/>
        <v/>
      </c>
      <c r="I132" s="21">
        <f t="shared" si="19"/>
        <v>0</v>
      </c>
      <c r="J132" s="34"/>
      <c r="K132" s="35"/>
      <c r="N132" s="12"/>
    </row>
    <row r="133" spans="1:14" x14ac:dyDescent="0.3">
      <c r="A133" s="44" t="str">
        <f t="shared" si="14"/>
        <v>QUÁ HẠN</v>
      </c>
      <c r="B133" s="33"/>
      <c r="C133" s="45">
        <f t="shared" si="8"/>
        <v>0</v>
      </c>
      <c r="D133" s="43">
        <f t="shared" si="15"/>
        <v>1</v>
      </c>
      <c r="E133" s="34">
        <f t="shared" si="16"/>
        <v>0</v>
      </c>
      <c r="F133" s="38"/>
      <c r="G133" s="39">
        <f t="shared" si="17"/>
        <v>0</v>
      </c>
      <c r="H133" s="21" t="str">
        <f t="shared" si="18"/>
        <v/>
      </c>
      <c r="I133" s="21">
        <f t="shared" si="19"/>
        <v>0</v>
      </c>
      <c r="J133" s="34"/>
      <c r="K133" s="35"/>
      <c r="N133" s="12"/>
    </row>
    <row r="134" spans="1:14" x14ac:dyDescent="0.3">
      <c r="A134" s="44" t="str">
        <f t="shared" si="14"/>
        <v>QUÁ HẠN</v>
      </c>
      <c r="B134" s="33"/>
      <c r="C134" s="45">
        <f t="shared" si="8"/>
        <v>0</v>
      </c>
      <c r="D134" s="43">
        <f t="shared" si="15"/>
        <v>1</v>
      </c>
      <c r="E134" s="34">
        <f t="shared" si="16"/>
        <v>0</v>
      </c>
      <c r="F134" s="38"/>
      <c r="G134" s="39">
        <f t="shared" si="17"/>
        <v>0</v>
      </c>
      <c r="H134" s="21" t="str">
        <f t="shared" si="18"/>
        <v/>
      </c>
      <c r="I134" s="21">
        <f t="shared" si="19"/>
        <v>0</v>
      </c>
      <c r="J134" s="34"/>
      <c r="K134" s="35"/>
      <c r="N134" s="12"/>
    </row>
    <row r="135" spans="1:14" x14ac:dyDescent="0.3">
      <c r="A135" s="44" t="str">
        <f t="shared" si="14"/>
        <v>QUÁ HẠN</v>
      </c>
      <c r="B135" s="33"/>
      <c r="C135" s="45">
        <f t="shared" si="8"/>
        <v>0</v>
      </c>
      <c r="D135" s="43">
        <f t="shared" si="15"/>
        <v>1</v>
      </c>
      <c r="E135" s="34">
        <f t="shared" si="16"/>
        <v>0</v>
      </c>
      <c r="F135" s="38"/>
      <c r="G135" s="39">
        <f t="shared" si="17"/>
        <v>0</v>
      </c>
      <c r="H135" s="21" t="str">
        <f t="shared" si="18"/>
        <v/>
      </c>
      <c r="I135" s="21">
        <f t="shared" si="19"/>
        <v>0</v>
      </c>
      <c r="J135" s="34"/>
      <c r="K135" s="35"/>
      <c r="N135" s="12"/>
    </row>
    <row r="136" spans="1:14" x14ac:dyDescent="0.3">
      <c r="A136" s="44" t="str">
        <f t="shared" si="14"/>
        <v>QUÁ HẠN</v>
      </c>
      <c r="B136" s="33"/>
      <c r="C136" s="45">
        <f t="shared" si="8"/>
        <v>0</v>
      </c>
      <c r="D136" s="43">
        <f t="shared" si="15"/>
        <v>1</v>
      </c>
      <c r="E136" s="34">
        <f t="shared" si="16"/>
        <v>0</v>
      </c>
      <c r="F136" s="38"/>
      <c r="G136" s="39">
        <f t="shared" si="17"/>
        <v>0</v>
      </c>
      <c r="H136" s="21" t="str">
        <f t="shared" si="18"/>
        <v/>
      </c>
      <c r="I136" s="21">
        <f t="shared" si="19"/>
        <v>0</v>
      </c>
      <c r="J136" s="34"/>
      <c r="K136" s="35"/>
      <c r="N136" s="12"/>
    </row>
    <row r="137" spans="1:14" x14ac:dyDescent="0.3">
      <c r="A137" s="44" t="str">
        <f t="shared" si="14"/>
        <v>QUÁ HẠN</v>
      </c>
      <c r="B137" s="33"/>
      <c r="C137" s="45">
        <f t="shared" si="8"/>
        <v>0</v>
      </c>
      <c r="D137" s="43">
        <f t="shared" si="15"/>
        <v>1</v>
      </c>
      <c r="E137" s="34">
        <f t="shared" si="16"/>
        <v>0</v>
      </c>
      <c r="F137" s="38"/>
      <c r="G137" s="39">
        <f t="shared" si="17"/>
        <v>0</v>
      </c>
      <c r="H137" s="21" t="str">
        <f t="shared" si="18"/>
        <v/>
      </c>
      <c r="I137" s="21">
        <f t="shared" si="19"/>
        <v>0</v>
      </c>
      <c r="J137" s="34"/>
      <c r="K137" s="35"/>
      <c r="N137" s="12"/>
    </row>
    <row r="138" spans="1:14" x14ac:dyDescent="0.3">
      <c r="A138" s="44" t="str">
        <f t="shared" si="14"/>
        <v>QUÁ HẠN</v>
      </c>
      <c r="B138" s="33"/>
      <c r="C138" s="45">
        <f t="shared" si="8"/>
        <v>0</v>
      </c>
      <c r="D138" s="43">
        <f t="shared" si="15"/>
        <v>1</v>
      </c>
      <c r="E138" s="34">
        <f t="shared" si="16"/>
        <v>0</v>
      </c>
      <c r="F138" s="38"/>
      <c r="G138" s="39">
        <f t="shared" si="17"/>
        <v>0</v>
      </c>
      <c r="H138" s="21" t="str">
        <f t="shared" si="18"/>
        <v/>
      </c>
      <c r="I138" s="21">
        <f t="shared" si="19"/>
        <v>0</v>
      </c>
      <c r="J138" s="34"/>
      <c r="K138" s="35"/>
      <c r="N138" s="12"/>
    </row>
    <row r="139" spans="1:14" x14ac:dyDescent="0.3">
      <c r="A139" s="44" t="str">
        <f t="shared" si="14"/>
        <v>QUÁ HẠN</v>
      </c>
      <c r="B139" s="33"/>
      <c r="C139" s="45">
        <f t="shared" si="8"/>
        <v>0</v>
      </c>
      <c r="D139" s="43">
        <f t="shared" si="15"/>
        <v>1</v>
      </c>
      <c r="E139" s="34">
        <f t="shared" si="16"/>
        <v>0</v>
      </c>
      <c r="F139" s="38"/>
      <c r="G139" s="39">
        <f t="shared" si="17"/>
        <v>0</v>
      </c>
      <c r="H139" s="21" t="str">
        <f t="shared" si="18"/>
        <v/>
      </c>
      <c r="I139" s="21">
        <f t="shared" si="19"/>
        <v>0</v>
      </c>
      <c r="J139" s="34"/>
      <c r="K139" s="35"/>
      <c r="N139" s="12"/>
    </row>
    <row r="140" spans="1:14" x14ac:dyDescent="0.3">
      <c r="A140" s="44" t="str">
        <f t="shared" si="14"/>
        <v>QUÁ HẠN</v>
      </c>
      <c r="B140" s="33"/>
      <c r="C140" s="45">
        <f t="shared" si="8"/>
        <v>0</v>
      </c>
      <c r="D140" s="43">
        <f t="shared" si="15"/>
        <v>1</v>
      </c>
      <c r="E140" s="34">
        <f t="shared" si="16"/>
        <v>0</v>
      </c>
      <c r="F140" s="38"/>
      <c r="G140" s="39">
        <f t="shared" si="17"/>
        <v>0</v>
      </c>
      <c r="H140" s="21" t="str">
        <f t="shared" si="18"/>
        <v/>
      </c>
      <c r="I140" s="21">
        <f t="shared" si="19"/>
        <v>0</v>
      </c>
      <c r="J140" s="34"/>
      <c r="K140" s="35"/>
      <c r="N140" s="12"/>
    </row>
    <row r="141" spans="1:14" x14ac:dyDescent="0.3">
      <c r="A141" s="44" t="str">
        <f t="shared" si="14"/>
        <v>QUÁ HẠN</v>
      </c>
      <c r="B141" s="33"/>
      <c r="C141" s="45">
        <f t="shared" si="8"/>
        <v>0</v>
      </c>
      <c r="D141" s="43">
        <f t="shared" si="15"/>
        <v>1</v>
      </c>
      <c r="E141" s="34">
        <f t="shared" si="16"/>
        <v>0</v>
      </c>
      <c r="F141" s="38"/>
      <c r="G141" s="39">
        <f t="shared" si="17"/>
        <v>0</v>
      </c>
      <c r="H141" s="21" t="str">
        <f t="shared" si="18"/>
        <v/>
      </c>
      <c r="I141" s="21">
        <f t="shared" si="19"/>
        <v>0</v>
      </c>
      <c r="J141" s="34"/>
      <c r="K141" s="35"/>
      <c r="N141" s="12"/>
    </row>
    <row r="142" spans="1:14" x14ac:dyDescent="0.3">
      <c r="A142" s="44" t="str">
        <f t="shared" si="14"/>
        <v>QUÁ HẠN</v>
      </c>
      <c r="B142" s="33"/>
      <c r="C142" s="45">
        <f t="shared" ref="C142:C150" si="20">IFERROR(IF(B143="", $B$10, B143-1), $B$10)</f>
        <v>0</v>
      </c>
      <c r="D142" s="43">
        <f t="shared" si="15"/>
        <v>1</v>
      </c>
      <c r="E142" s="34">
        <f t="shared" si="16"/>
        <v>0</v>
      </c>
      <c r="F142" s="38"/>
      <c r="G142" s="39">
        <f t="shared" si="17"/>
        <v>0</v>
      </c>
      <c r="H142" s="21" t="str">
        <f t="shared" si="18"/>
        <v/>
      </c>
      <c r="I142" s="21">
        <f t="shared" si="19"/>
        <v>0</v>
      </c>
      <c r="J142" s="34"/>
      <c r="K142" s="35"/>
      <c r="N142" s="12"/>
    </row>
    <row r="143" spans="1:14" x14ac:dyDescent="0.3">
      <c r="A143" s="44" t="str">
        <f t="shared" si="14"/>
        <v>QUÁ HẠN</v>
      </c>
      <c r="B143" s="33"/>
      <c r="C143" s="45">
        <f t="shared" si="20"/>
        <v>0</v>
      </c>
      <c r="D143" s="43">
        <f t="shared" si="15"/>
        <v>1</v>
      </c>
      <c r="E143" s="34">
        <f t="shared" si="16"/>
        <v>0</v>
      </c>
      <c r="F143" s="38"/>
      <c r="G143" s="39">
        <f t="shared" si="17"/>
        <v>0</v>
      </c>
      <c r="H143" s="21" t="str">
        <f t="shared" si="18"/>
        <v/>
      </c>
      <c r="I143" s="21">
        <f t="shared" si="19"/>
        <v>0</v>
      </c>
      <c r="J143" s="34"/>
      <c r="K143" s="35"/>
      <c r="N143" s="12"/>
    </row>
    <row r="144" spans="1:14" x14ac:dyDescent="0.3">
      <c r="A144" s="44" t="str">
        <f t="shared" si="14"/>
        <v>QUÁ HẠN</v>
      </c>
      <c r="B144" s="33"/>
      <c r="C144" s="45">
        <f t="shared" si="20"/>
        <v>0</v>
      </c>
      <c r="D144" s="43">
        <f t="shared" si="15"/>
        <v>1</v>
      </c>
      <c r="E144" s="34">
        <f t="shared" si="16"/>
        <v>0</v>
      </c>
      <c r="F144" s="38"/>
      <c r="G144" s="39">
        <f t="shared" si="17"/>
        <v>0</v>
      </c>
      <c r="H144" s="21" t="str">
        <f t="shared" si="18"/>
        <v/>
      </c>
      <c r="I144" s="21">
        <f t="shared" si="19"/>
        <v>0</v>
      </c>
      <c r="J144" s="34"/>
      <c r="K144" s="35"/>
      <c r="N144" s="12"/>
    </row>
    <row r="145" spans="1:14" x14ac:dyDescent="0.3">
      <c r="A145" s="44" t="str">
        <f t="shared" si="14"/>
        <v>QUÁ HẠN</v>
      </c>
      <c r="B145" s="33"/>
      <c r="C145" s="45">
        <f t="shared" si="20"/>
        <v>0</v>
      </c>
      <c r="D145" s="43">
        <f t="shared" si="15"/>
        <v>1</v>
      </c>
      <c r="E145" s="34">
        <f t="shared" si="16"/>
        <v>0</v>
      </c>
      <c r="F145" s="38"/>
      <c r="G145" s="39">
        <f t="shared" si="17"/>
        <v>0</v>
      </c>
      <c r="H145" s="21" t="str">
        <f t="shared" si="18"/>
        <v/>
      </c>
      <c r="I145" s="21">
        <f t="shared" si="19"/>
        <v>0</v>
      </c>
      <c r="J145" s="34"/>
      <c r="K145" s="35"/>
      <c r="N145" s="12"/>
    </row>
    <row r="146" spans="1:14" x14ac:dyDescent="0.3">
      <c r="A146" s="44" t="str">
        <f t="shared" si="14"/>
        <v>QUÁ HẠN</v>
      </c>
      <c r="B146" s="33"/>
      <c r="C146" s="45">
        <f t="shared" si="20"/>
        <v>0</v>
      </c>
      <c r="D146" s="43">
        <f t="shared" si="15"/>
        <v>1</v>
      </c>
      <c r="E146" s="34">
        <f t="shared" si="16"/>
        <v>0</v>
      </c>
      <c r="F146" s="38"/>
      <c r="G146" s="39">
        <f t="shared" si="17"/>
        <v>0</v>
      </c>
      <c r="H146" s="21" t="str">
        <f t="shared" si="18"/>
        <v/>
      </c>
      <c r="I146" s="21">
        <f t="shared" si="19"/>
        <v>0</v>
      </c>
      <c r="J146" s="34"/>
      <c r="K146" s="35"/>
      <c r="N146" s="12"/>
    </row>
    <row r="147" spans="1:14" x14ac:dyDescent="0.3">
      <c r="A147" s="44" t="str">
        <f t="shared" si="14"/>
        <v>QUÁ HẠN</v>
      </c>
      <c r="B147" s="33"/>
      <c r="C147" s="45">
        <f t="shared" si="20"/>
        <v>0</v>
      </c>
      <c r="D147" s="43">
        <f t="shared" si="15"/>
        <v>1</v>
      </c>
      <c r="E147" s="34">
        <f t="shared" si="16"/>
        <v>0</v>
      </c>
      <c r="F147" s="38"/>
      <c r="G147" s="39">
        <f t="shared" si="17"/>
        <v>0</v>
      </c>
      <c r="H147" s="21" t="str">
        <f t="shared" si="18"/>
        <v/>
      </c>
      <c r="I147" s="21">
        <f t="shared" si="19"/>
        <v>0</v>
      </c>
      <c r="J147" s="34"/>
      <c r="K147" s="35"/>
      <c r="N147" s="12"/>
    </row>
    <row r="148" spans="1:14" x14ac:dyDescent="0.3">
      <c r="A148" s="44" t="str">
        <f t="shared" si="14"/>
        <v>QUÁ HẠN</v>
      </c>
      <c r="B148" s="33"/>
      <c r="C148" s="45">
        <f t="shared" si="20"/>
        <v>0</v>
      </c>
      <c r="D148" s="43">
        <f t="shared" si="15"/>
        <v>1</v>
      </c>
      <c r="E148" s="34">
        <f t="shared" si="16"/>
        <v>0</v>
      </c>
      <c r="F148" s="38"/>
      <c r="G148" s="39">
        <f t="shared" si="17"/>
        <v>0</v>
      </c>
      <c r="H148" s="21" t="str">
        <f t="shared" si="18"/>
        <v/>
      </c>
      <c r="I148" s="21">
        <f t="shared" si="19"/>
        <v>0</v>
      </c>
      <c r="J148" s="34"/>
      <c r="K148" s="35"/>
      <c r="N148" s="12"/>
    </row>
    <row r="149" spans="1:14" x14ac:dyDescent="0.3">
      <c r="A149" s="44" t="str">
        <f t="shared" si="14"/>
        <v>QUÁ HẠN</v>
      </c>
      <c r="B149" s="33"/>
      <c r="C149" s="45">
        <f t="shared" si="20"/>
        <v>0</v>
      </c>
      <c r="D149" s="43">
        <f t="shared" si="15"/>
        <v>1</v>
      </c>
      <c r="E149" s="34">
        <f t="shared" si="16"/>
        <v>0</v>
      </c>
      <c r="F149" s="38"/>
      <c r="G149" s="39">
        <f t="shared" si="17"/>
        <v>0</v>
      </c>
      <c r="H149" s="21" t="str">
        <f t="shared" si="18"/>
        <v/>
      </c>
      <c r="I149" s="21">
        <f t="shared" si="19"/>
        <v>0</v>
      </c>
      <c r="J149" s="34"/>
      <c r="K149" s="35"/>
      <c r="N149" s="12"/>
    </row>
    <row r="150" spans="1:14" x14ac:dyDescent="0.3">
      <c r="A150" s="44" t="str">
        <f t="shared" si="14"/>
        <v>QUÁ HẠN</v>
      </c>
      <c r="B150" s="33"/>
      <c r="C150" s="45">
        <f t="shared" si="20"/>
        <v>0</v>
      </c>
      <c r="D150" s="43">
        <f t="shared" si="15"/>
        <v>1</v>
      </c>
      <c r="E150" s="34">
        <f t="shared" si="16"/>
        <v>0</v>
      </c>
      <c r="F150" s="38"/>
      <c r="G150" s="39">
        <f t="shared" si="17"/>
        <v>0</v>
      </c>
      <c r="H150" s="21" t="str">
        <f t="shared" si="18"/>
        <v/>
      </c>
      <c r="I150" s="21">
        <f t="shared" si="19"/>
        <v>0</v>
      </c>
      <c r="J150" s="34"/>
      <c r="K150" s="35"/>
      <c r="N150" s="12"/>
    </row>
    <row r="151" spans="1:14" x14ac:dyDescent="0.3">
      <c r="A151" s="24"/>
      <c r="B151" s="25"/>
      <c r="C151" s="25" t="s">
        <v>16</v>
      </c>
      <c r="D151" s="26"/>
      <c r="E151" s="27">
        <f>INDEX(E12:E150, COUNTA(E12:E150))</f>
        <v>0</v>
      </c>
      <c r="F151" s="28"/>
      <c r="G151" s="28"/>
      <c r="H151" s="29">
        <f>SUM(H13:H150)</f>
        <v>0</v>
      </c>
      <c r="I151" s="29">
        <f>SUM(I13:I150)</f>
        <v>0</v>
      </c>
      <c r="J151" s="29">
        <f>SUM(J13:J150)</f>
        <v>0</v>
      </c>
      <c r="K151" s="29">
        <f>SUM(K13:K150)</f>
        <v>0</v>
      </c>
    </row>
    <row r="152" spans="1:14" x14ac:dyDescent="0.3">
      <c r="B152" s="19"/>
      <c r="C152" s="20"/>
      <c r="D152" s="20"/>
      <c r="E152" s="20"/>
      <c r="F152" s="20"/>
      <c r="G152" s="20"/>
      <c r="H152" s="20"/>
      <c r="I152" s="20"/>
      <c r="J152" s="20"/>
      <c r="K152" s="20"/>
    </row>
    <row r="153" spans="1:14" x14ac:dyDescent="0.3">
      <c r="H153" s="107" t="s">
        <v>65</v>
      </c>
      <c r="I153" s="107"/>
      <c r="J153" s="107"/>
    </row>
    <row r="154" spans="1:14" x14ac:dyDescent="0.3">
      <c r="I154" s="2"/>
      <c r="J154" s="13"/>
    </row>
    <row r="155" spans="1:14" x14ac:dyDescent="0.3">
      <c r="I155" s="2"/>
      <c r="J155" s="13"/>
    </row>
    <row r="156" spans="1:14" x14ac:dyDescent="0.3">
      <c r="I156" s="2"/>
      <c r="J156" s="13"/>
    </row>
    <row r="157" spans="1:14" x14ac:dyDescent="0.3">
      <c r="H157" s="106" t="str">
        <f>IF(THTT!C2="","",THTT!C2)</f>
        <v/>
      </c>
      <c r="I157" s="106"/>
      <c r="J157" s="106"/>
    </row>
  </sheetData>
  <mergeCells count="6">
    <mergeCell ref="H157:J157"/>
    <mergeCell ref="H153:J153"/>
    <mergeCell ref="A1:K1"/>
    <mergeCell ref="A3:B3"/>
    <mergeCell ref="D4:E4"/>
    <mergeCell ref="G4:H4"/>
  </mergeCells>
  <pageMargins left="0.7" right="0.7" top="0.75" bottom="0.75" header="0.3" footer="0.3"/>
  <pageSetup paperSize="9" scale="64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83"/>
  <sheetViews>
    <sheetView showGridLines="0" tabSelected="1" zoomScaleNormal="115" workbookViewId="0">
      <selection activeCell="N11" sqref="N11"/>
    </sheetView>
  </sheetViews>
  <sheetFormatPr defaultRowHeight="14.4" x14ac:dyDescent="0.3"/>
  <cols>
    <col min="1" max="1" width="13.6640625" customWidth="1"/>
    <col min="2" max="2" width="15" customWidth="1"/>
    <col min="3" max="3" width="16.88671875" customWidth="1"/>
    <col min="6" max="6" width="8.44140625" customWidth="1"/>
    <col min="7" max="7" width="14.33203125" style="99" customWidth="1"/>
    <col min="8" max="8" width="13.6640625" customWidth="1"/>
    <col min="9" max="9" width="13.33203125" customWidth="1"/>
    <col min="10" max="10" width="13" customWidth="1"/>
    <col min="11" max="11" width="13.5546875" customWidth="1"/>
    <col min="12" max="12" width="12.77734375" customWidth="1"/>
    <col min="13" max="13" width="5.5546875" customWidth="1"/>
    <col min="14" max="14" width="14.44140625" customWidth="1"/>
    <col min="15" max="15" width="13.109375" customWidth="1"/>
    <col min="16" max="16" width="13.6640625" customWidth="1"/>
    <col min="17" max="17" width="13.109375" customWidth="1"/>
    <col min="19" max="19" width="16.44140625" customWidth="1"/>
    <col min="20" max="20" width="11.6640625" customWidth="1"/>
    <col min="21" max="21" width="13.109375" customWidth="1"/>
    <col min="23" max="23" width="15.5546875" customWidth="1"/>
    <col min="24" max="24" width="11.6640625" customWidth="1"/>
    <col min="25" max="25" width="13.109375" customWidth="1"/>
    <col min="27" max="27" width="11.33203125" customWidth="1"/>
    <col min="28" max="28" width="11.6640625" customWidth="1"/>
    <col min="29" max="29" width="13.109375" customWidth="1"/>
    <col min="31" max="31" width="11.33203125" customWidth="1"/>
    <col min="32" max="32" width="11.6640625" customWidth="1"/>
    <col min="33" max="33" width="13.109375" customWidth="1"/>
    <col min="35" max="35" width="11.33203125" customWidth="1"/>
    <col min="36" max="36" width="11.6640625" customWidth="1"/>
    <col min="37" max="37" width="13.109375" customWidth="1"/>
    <col min="39" max="39" width="11.33203125" customWidth="1"/>
    <col min="40" max="40" width="11.6640625" customWidth="1"/>
    <col min="41" max="41" width="13.109375" customWidth="1"/>
    <col min="43" max="43" width="11.33203125" customWidth="1"/>
    <col min="44" max="44" width="11.6640625" customWidth="1"/>
    <col min="45" max="45" width="13.109375" customWidth="1"/>
  </cols>
  <sheetData>
    <row r="1" spans="1:33" x14ac:dyDescent="0.3">
      <c r="A1" s="95" t="s">
        <v>6</v>
      </c>
      <c r="B1" s="95" t="s">
        <v>17</v>
      </c>
      <c r="C1" s="95" t="s">
        <v>65</v>
      </c>
      <c r="F1" s="49"/>
      <c r="G1" s="115" t="s">
        <v>24</v>
      </c>
      <c r="H1" s="116"/>
      <c r="I1" s="116"/>
      <c r="J1" s="116"/>
      <c r="K1" s="116"/>
      <c r="L1" s="117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</row>
    <row r="2" spans="1:33" x14ac:dyDescent="0.3">
      <c r="A2" s="18"/>
      <c r="B2" s="18"/>
      <c r="C2" s="14"/>
      <c r="F2" s="49"/>
      <c r="G2" s="102" t="s">
        <v>70</v>
      </c>
      <c r="H2" s="103" t="s">
        <v>71</v>
      </c>
      <c r="I2" s="103" t="s">
        <v>72</v>
      </c>
      <c r="J2" s="103" t="s">
        <v>16</v>
      </c>
      <c r="K2" s="103" t="s">
        <v>73</v>
      </c>
      <c r="L2" s="104" t="s">
        <v>74</v>
      </c>
      <c r="N2" s="97" t="s">
        <v>75</v>
      </c>
      <c r="O2" s="97" t="s">
        <v>72</v>
      </c>
      <c r="P2" s="97" t="s">
        <v>76</v>
      </c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</row>
    <row r="3" spans="1:33" x14ac:dyDescent="0.3">
      <c r="C3" s="49"/>
      <c r="D3" s="49"/>
      <c r="E3" s="49"/>
      <c r="F3" s="49"/>
      <c r="G3" s="100" t="str">
        <f>IFERROR(IF(INDEX(LKLS!$3:$3,1,1+3*(ROWS($A$1:A1)-1))=0,"",INDEX(LKLS!$3:$3,1,1+3*(ROWS($A$1:A1)-1))),"")</f>
        <v/>
      </c>
      <c r="H3" s="96" t="str">
        <f ca="1">IF(G3="","",IFERROR(INDIRECT("'"&amp;SUBSTITUTE(G3,"'","''")&amp;"'!H5"),""))</f>
        <v/>
      </c>
      <c r="I3" s="96" t="str">
        <f ca="1">IF(G3="","",IFERROR(INDIRECT("'"&amp;SUBSTITUTE(G3,"'","''")&amp;"'!H6"),""))</f>
        <v/>
      </c>
      <c r="J3" s="105" t="str">
        <f ca="1">IF(G3="","",IFERROR(INDIRECT("'"&amp;SUBSTITUTE(G3,"'","''")&amp;"'!H9"),""))</f>
        <v/>
      </c>
      <c r="K3" s="96" t="str">
        <f ca="1">IF(G3="","",IFERROR(INDIRECT("'"&amp;SUBSTITUTE(G3,"'","''")&amp;"'!H7"),""))</f>
        <v/>
      </c>
      <c r="L3" s="101" t="str">
        <f ca="1">IF(G3="","",IFERROR(INDIRECT("'"&amp;SUBSTITUTE(G3,"'","''")&amp;"'!H8"),""))</f>
        <v/>
      </c>
      <c r="M3" s="49"/>
      <c r="N3" s="105">
        <f ca="1">SUM(H3:H27)</f>
        <v>0</v>
      </c>
      <c r="O3" s="105">
        <f ca="1">SUM(I3:I27)</f>
        <v>0</v>
      </c>
      <c r="P3" s="105">
        <f ca="1">N3+O3</f>
        <v>0</v>
      </c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</row>
    <row r="4" spans="1:33" x14ac:dyDescent="0.3">
      <c r="A4" s="86" t="s">
        <v>67</v>
      </c>
      <c r="B4" s="48"/>
      <c r="C4" s="49"/>
      <c r="D4" s="49"/>
      <c r="E4" s="49"/>
      <c r="F4" s="49"/>
      <c r="G4" s="100" t="str">
        <f>IFERROR(IF(INDEX(LKLS!$3:$3,1,1+3*(ROWS($A$1:A2)-1))=0,"",INDEX(LKLS!$3:$3,1,1+3*(ROWS($A$1:A2)-1))),"")</f>
        <v/>
      </c>
      <c r="H4" s="96" t="str">
        <f t="shared" ref="H4:H27" ca="1" si="0">IF(G4="","",IFERROR(INDIRECT("'"&amp;SUBSTITUTE(G4,"'","''")&amp;"'!H5"),""))</f>
        <v/>
      </c>
      <c r="I4" s="96" t="str">
        <f t="shared" ref="I4:I27" ca="1" si="1">IF(G4="","",IFERROR(INDIRECT("'"&amp;SUBSTITUTE(G4,"'","''")&amp;"'!H6"),""))</f>
        <v/>
      </c>
      <c r="J4" s="105" t="str">
        <f t="shared" ref="J4:J27" ca="1" si="2">IF(G4="","",IFERROR(INDIRECT("'"&amp;SUBSTITUTE(G4,"'","''")&amp;"'!H9"),""))</f>
        <v/>
      </c>
      <c r="K4" s="96" t="str">
        <f t="shared" ref="K4:K27" ca="1" si="3">IF(G4="","",IFERROR(INDIRECT("'"&amp;SUBSTITUTE(G4,"'","''")&amp;"'!H7"),""))</f>
        <v/>
      </c>
      <c r="L4" s="101" t="str">
        <f t="shared" ref="L4:L27" ca="1" si="4">IF(G4="","",IFERROR(INDIRECT("'"&amp;SUBSTITUTE(G4,"'","''")&amp;"'!H8"),""))</f>
        <v/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</row>
    <row r="5" spans="1:33" x14ac:dyDescent="0.3">
      <c r="A5" s="86" t="s">
        <v>69</v>
      </c>
      <c r="B5" s="48"/>
      <c r="C5" s="49"/>
      <c r="D5" s="49"/>
      <c r="E5" s="49"/>
      <c r="F5" s="49"/>
      <c r="G5" s="100" t="str">
        <f>IFERROR(IF(INDEX(LKLS!$3:$3,1,1+3*(ROWS($A$1:A3)-1))=0,"",INDEX(LKLS!$3:$3,1,1+3*(ROWS($A$1:A3)-1))),"")</f>
        <v/>
      </c>
      <c r="H5" s="96" t="str">
        <f t="shared" ca="1" si="0"/>
        <v/>
      </c>
      <c r="I5" s="96" t="str">
        <f t="shared" ca="1" si="1"/>
        <v/>
      </c>
      <c r="J5" s="105" t="str">
        <f t="shared" ca="1" si="2"/>
        <v/>
      </c>
      <c r="K5" s="96" t="str">
        <f t="shared" ca="1" si="3"/>
        <v/>
      </c>
      <c r="L5" s="101" t="str">
        <f t="shared" ca="1" si="4"/>
        <v/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</row>
    <row r="6" spans="1:33" x14ac:dyDescent="0.3">
      <c r="A6" s="86" t="s">
        <v>66</v>
      </c>
      <c r="C6" s="49"/>
      <c r="D6" s="49"/>
      <c r="E6" s="49"/>
      <c r="F6" s="49"/>
      <c r="G6" s="100" t="str">
        <f>IFERROR(IF(INDEX(LKLS!$3:$3,1,1+3*(ROWS($A$1:A4)-1))=0,"",INDEX(LKLS!$3:$3,1,1+3*(ROWS($A$1:A4)-1))),"")</f>
        <v/>
      </c>
      <c r="H6" s="96" t="str">
        <f t="shared" ca="1" si="0"/>
        <v/>
      </c>
      <c r="I6" s="96" t="str">
        <f t="shared" ca="1" si="1"/>
        <v/>
      </c>
      <c r="J6" s="105" t="str">
        <f t="shared" ca="1" si="2"/>
        <v/>
      </c>
      <c r="K6" s="96" t="str">
        <f t="shared" ca="1" si="3"/>
        <v/>
      </c>
      <c r="L6" s="101" t="str">
        <f t="shared" ca="1" si="4"/>
        <v/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</row>
    <row r="7" spans="1:33" x14ac:dyDescent="0.3">
      <c r="C7" s="49"/>
      <c r="D7" s="49"/>
      <c r="E7" s="49"/>
      <c r="F7" s="49"/>
      <c r="G7" s="100" t="str">
        <f>IFERROR(IF(INDEX(LKLS!$3:$3,1,1+3*(ROWS($A$1:A5)-1))=0,"",INDEX(LKLS!$3:$3,1,1+3*(ROWS($A$1:A5)-1))),"")</f>
        <v/>
      </c>
      <c r="H7" s="96" t="str">
        <f t="shared" ca="1" si="0"/>
        <v/>
      </c>
      <c r="I7" s="96" t="str">
        <f t="shared" ca="1" si="1"/>
        <v/>
      </c>
      <c r="J7" s="105" t="str">
        <f t="shared" ca="1" si="2"/>
        <v/>
      </c>
      <c r="K7" s="96" t="str">
        <f t="shared" ca="1" si="3"/>
        <v/>
      </c>
      <c r="L7" s="101" t="str">
        <f t="shared" ca="1" si="4"/>
        <v/>
      </c>
      <c r="M7" s="49"/>
      <c r="N7" s="120" t="s">
        <v>77</v>
      </c>
      <c r="O7" s="120"/>
      <c r="P7" s="120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</row>
    <row r="8" spans="1:33" x14ac:dyDescent="0.3">
      <c r="A8" t="s">
        <v>68</v>
      </c>
      <c r="C8" s="49"/>
      <c r="D8" s="49"/>
      <c r="E8" s="49"/>
      <c r="F8" s="49"/>
      <c r="G8" s="100" t="str">
        <f>IFERROR(IF(INDEX(LKLS!$3:$3,1,1+3*(ROWS($A$1:A6)-1))=0,"",INDEX(LKLS!$3:$3,1,1+3*(ROWS($A$1:A6)-1))),"")</f>
        <v/>
      </c>
      <c r="H8" s="96" t="str">
        <f t="shared" ca="1" si="0"/>
        <v/>
      </c>
      <c r="I8" s="96" t="str">
        <f t="shared" ca="1" si="1"/>
        <v/>
      </c>
      <c r="J8" s="105" t="str">
        <f t="shared" ca="1" si="2"/>
        <v/>
      </c>
      <c r="K8" s="96" t="str">
        <f t="shared" ca="1" si="3"/>
        <v/>
      </c>
      <c r="L8" s="101" t="str">
        <f t="shared" ca="1" si="4"/>
        <v/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</row>
    <row r="9" spans="1:33" x14ac:dyDescent="0.3">
      <c r="A9" s="47"/>
      <c r="C9" s="49"/>
      <c r="D9" s="49"/>
      <c r="E9" s="49"/>
      <c r="F9" s="49"/>
      <c r="G9" s="100" t="str">
        <f>IFERROR(IF(INDEX(LKLS!$3:$3,1,1+3*(ROWS($A$1:A7)-1))=0,"",INDEX(LKLS!$3:$3,1,1+3*(ROWS($A$1:A7)-1))),"")</f>
        <v/>
      </c>
      <c r="H9" s="96" t="str">
        <f t="shared" ca="1" si="0"/>
        <v/>
      </c>
      <c r="I9" s="96" t="str">
        <f t="shared" ca="1" si="1"/>
        <v/>
      </c>
      <c r="J9" s="105" t="str">
        <f t="shared" ca="1" si="2"/>
        <v/>
      </c>
      <c r="K9" s="96" t="str">
        <f t="shared" ca="1" si="3"/>
        <v/>
      </c>
      <c r="L9" s="101" t="str">
        <f t="shared" ca="1" si="4"/>
        <v/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</row>
    <row r="10" spans="1:33" x14ac:dyDescent="0.3">
      <c r="C10" s="49"/>
      <c r="D10" s="49"/>
      <c r="E10" s="49"/>
      <c r="F10" s="49"/>
      <c r="G10" s="100" t="str">
        <f>IFERROR(IF(INDEX(LKLS!$3:$3,1,1+3*(ROWS($A$1:A8)-1))=0,"",INDEX(LKLS!$3:$3,1,1+3*(ROWS($A$1:A8)-1))),"")</f>
        <v/>
      </c>
      <c r="H10" s="96" t="str">
        <f t="shared" ca="1" si="0"/>
        <v/>
      </c>
      <c r="I10" s="96" t="str">
        <f t="shared" ca="1" si="1"/>
        <v/>
      </c>
      <c r="J10" s="105" t="str">
        <f t="shared" ca="1" si="2"/>
        <v/>
      </c>
      <c r="K10" s="96" t="str">
        <f t="shared" ca="1" si="3"/>
        <v/>
      </c>
      <c r="L10" s="101" t="str">
        <f t="shared" ca="1" si="4"/>
        <v/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</row>
    <row r="11" spans="1:33" x14ac:dyDescent="0.3">
      <c r="C11" s="49"/>
      <c r="D11" s="49"/>
      <c r="E11" s="49"/>
      <c r="F11" s="89"/>
      <c r="G11" s="100" t="str">
        <f>IFERROR(IF(INDEX(LKLS!$3:$3,1,1+3*(ROWS($A$1:A9)-1))=0,"",INDEX(LKLS!$3:$3,1,1+3*(ROWS($A$1:A9)-1))),"")</f>
        <v/>
      </c>
      <c r="H11" s="96" t="str">
        <f t="shared" ca="1" si="0"/>
        <v/>
      </c>
      <c r="I11" s="96" t="str">
        <f t="shared" ca="1" si="1"/>
        <v/>
      </c>
      <c r="J11" s="105" t="str">
        <f t="shared" ca="1" si="2"/>
        <v/>
      </c>
      <c r="K11" s="96" t="str">
        <f t="shared" ca="1" si="3"/>
        <v/>
      </c>
      <c r="L11" s="101" t="str">
        <f t="shared" ca="1" si="4"/>
        <v/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</row>
    <row r="12" spans="1:33" x14ac:dyDescent="0.3">
      <c r="C12" s="49"/>
      <c r="D12" s="49"/>
      <c r="E12" s="49"/>
      <c r="F12" s="49"/>
      <c r="G12" s="100" t="str">
        <f>IFERROR(IF(INDEX(LKLS!$3:$3,1,1+3*(ROWS($A$1:A10)-1))=0,"",INDEX(LKLS!$3:$3,1,1+3*(ROWS($A$1:A10)-1))),"")</f>
        <v/>
      </c>
      <c r="H12" s="96" t="str">
        <f t="shared" ca="1" si="0"/>
        <v/>
      </c>
      <c r="I12" s="96" t="str">
        <f t="shared" ca="1" si="1"/>
        <v/>
      </c>
      <c r="J12" s="105" t="str">
        <f t="shared" ca="1" si="2"/>
        <v/>
      </c>
      <c r="K12" s="96" t="str">
        <f t="shared" ca="1" si="3"/>
        <v/>
      </c>
      <c r="L12" s="101" t="str">
        <f t="shared" ca="1" si="4"/>
        <v/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</row>
    <row r="13" spans="1:33" x14ac:dyDescent="0.3">
      <c r="C13" s="49"/>
      <c r="D13" s="49"/>
      <c r="E13" s="49"/>
      <c r="F13" s="49"/>
      <c r="G13" s="100" t="str">
        <f>IFERROR(IF(INDEX(LKLS!$3:$3,1,1+3*(ROWS($A$1:A11)-1))=0,"",INDEX(LKLS!$3:$3,1,1+3*(ROWS($A$1:A11)-1))),"")</f>
        <v/>
      </c>
      <c r="H13" s="96" t="str">
        <f t="shared" ca="1" si="0"/>
        <v/>
      </c>
      <c r="I13" s="96" t="str">
        <f t="shared" ca="1" si="1"/>
        <v/>
      </c>
      <c r="J13" s="105" t="str">
        <f t="shared" ca="1" si="2"/>
        <v/>
      </c>
      <c r="K13" s="96" t="str">
        <f t="shared" ca="1" si="3"/>
        <v/>
      </c>
      <c r="L13" s="101" t="str">
        <f t="shared" ca="1" si="4"/>
        <v/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</row>
    <row r="14" spans="1:33" x14ac:dyDescent="0.3">
      <c r="C14" s="49"/>
      <c r="D14" s="49"/>
      <c r="E14" s="49"/>
      <c r="F14" s="49"/>
      <c r="G14" s="100" t="str">
        <f>IFERROR(IF(INDEX(LKLS!$3:$3,1,1+3*(ROWS($A$1:A12)-1))=0,"",INDEX(LKLS!$3:$3,1,1+3*(ROWS($A$1:A12)-1))),"")</f>
        <v/>
      </c>
      <c r="H14" s="96" t="str">
        <f t="shared" ca="1" si="0"/>
        <v/>
      </c>
      <c r="I14" s="96" t="str">
        <f t="shared" ca="1" si="1"/>
        <v/>
      </c>
      <c r="J14" s="105" t="str">
        <f t="shared" ca="1" si="2"/>
        <v/>
      </c>
      <c r="K14" s="96" t="str">
        <f t="shared" ca="1" si="3"/>
        <v/>
      </c>
      <c r="L14" s="101" t="str">
        <f t="shared" ca="1" si="4"/>
        <v/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</row>
    <row r="15" spans="1:33" x14ac:dyDescent="0.3">
      <c r="A15" s="56"/>
      <c r="C15" s="49"/>
      <c r="D15" s="49"/>
      <c r="E15" s="49"/>
      <c r="F15" s="49"/>
      <c r="G15" s="100" t="str">
        <f>IFERROR(IF(INDEX(LKLS!$3:$3,1,1+3*(ROWS($A$1:A13)-1))=0,"",INDEX(LKLS!$3:$3,1,1+3*(ROWS($A$1:A13)-1))),"")</f>
        <v/>
      </c>
      <c r="H15" s="96" t="str">
        <f t="shared" ca="1" si="0"/>
        <v/>
      </c>
      <c r="I15" s="96" t="str">
        <f t="shared" ca="1" si="1"/>
        <v/>
      </c>
      <c r="J15" s="105" t="str">
        <f t="shared" ca="1" si="2"/>
        <v/>
      </c>
      <c r="K15" s="96" t="str">
        <f t="shared" ca="1" si="3"/>
        <v/>
      </c>
      <c r="L15" s="101" t="str">
        <f t="shared" ca="1" si="4"/>
        <v/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</row>
    <row r="16" spans="1:33" x14ac:dyDescent="0.3">
      <c r="C16" s="49"/>
      <c r="D16" s="49"/>
      <c r="E16" s="49"/>
      <c r="F16" s="49"/>
      <c r="G16" s="100" t="str">
        <f>IFERROR(IF(INDEX(LKLS!$3:$3,1,1+3*(ROWS($A$1:A14)-1))=0,"",INDEX(LKLS!$3:$3,1,1+3*(ROWS($A$1:A14)-1))),"")</f>
        <v/>
      </c>
      <c r="H16" s="96" t="str">
        <f t="shared" ca="1" si="0"/>
        <v/>
      </c>
      <c r="I16" s="96" t="str">
        <f t="shared" ca="1" si="1"/>
        <v/>
      </c>
      <c r="J16" s="105" t="str">
        <f t="shared" ca="1" si="2"/>
        <v/>
      </c>
      <c r="K16" s="96" t="str">
        <f t="shared" ca="1" si="3"/>
        <v/>
      </c>
      <c r="L16" s="101" t="str">
        <f t="shared" ca="1" si="4"/>
        <v/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</row>
    <row r="17" spans="1:33" x14ac:dyDescent="0.3">
      <c r="C17" s="49"/>
      <c r="D17" s="49"/>
      <c r="E17" s="49"/>
      <c r="F17" s="49"/>
      <c r="G17" s="100" t="str">
        <f>IFERROR(IF(INDEX(LKLS!$3:$3,1,1+3*(ROWS($A$1:A15)-1))=0,"",INDEX(LKLS!$3:$3,1,1+3*(ROWS($A$1:A15)-1))),"")</f>
        <v/>
      </c>
      <c r="H17" s="96" t="str">
        <f t="shared" ca="1" si="0"/>
        <v/>
      </c>
      <c r="I17" s="96" t="str">
        <f t="shared" ca="1" si="1"/>
        <v/>
      </c>
      <c r="J17" s="105" t="str">
        <f t="shared" ca="1" si="2"/>
        <v/>
      </c>
      <c r="K17" s="96" t="str">
        <f t="shared" ca="1" si="3"/>
        <v/>
      </c>
      <c r="L17" s="101" t="str">
        <f t="shared" ca="1" si="4"/>
        <v/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</row>
    <row r="18" spans="1:33" x14ac:dyDescent="0.3">
      <c r="C18" s="49"/>
      <c r="D18" s="49"/>
      <c r="E18" s="49"/>
      <c r="F18" s="49"/>
      <c r="G18" s="100" t="str">
        <f>IFERROR(IF(INDEX(LKLS!$3:$3,1,1+3*(ROWS($A$1:A16)-1))=0,"",INDEX(LKLS!$3:$3,1,1+3*(ROWS($A$1:A16)-1))),"")</f>
        <v/>
      </c>
      <c r="H18" s="96" t="str">
        <f t="shared" ca="1" si="0"/>
        <v/>
      </c>
      <c r="I18" s="96" t="str">
        <f t="shared" ca="1" si="1"/>
        <v/>
      </c>
      <c r="J18" s="105" t="str">
        <f t="shared" ca="1" si="2"/>
        <v/>
      </c>
      <c r="K18" s="96" t="str">
        <f t="shared" ca="1" si="3"/>
        <v/>
      </c>
      <c r="L18" s="101" t="str">
        <f t="shared" ca="1" si="4"/>
        <v/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</row>
    <row r="19" spans="1:33" x14ac:dyDescent="0.3">
      <c r="C19" s="49"/>
      <c r="D19" s="49"/>
      <c r="E19" s="49"/>
      <c r="F19" s="49"/>
      <c r="G19" s="100" t="str">
        <f>IFERROR(IF(INDEX(LKLS!$3:$3,1,1+3*(ROWS($A$1:A17)-1))=0,"",INDEX(LKLS!$3:$3,1,1+3*(ROWS($A$1:A17)-1))),"")</f>
        <v/>
      </c>
      <c r="H19" s="96" t="str">
        <f t="shared" ca="1" si="0"/>
        <v/>
      </c>
      <c r="I19" s="96" t="str">
        <f t="shared" ca="1" si="1"/>
        <v/>
      </c>
      <c r="J19" s="105" t="str">
        <f t="shared" ca="1" si="2"/>
        <v/>
      </c>
      <c r="K19" s="96" t="str">
        <f t="shared" ca="1" si="3"/>
        <v/>
      </c>
      <c r="L19" s="101" t="str">
        <f t="shared" ca="1" si="4"/>
        <v/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</row>
    <row r="20" spans="1:33" x14ac:dyDescent="0.3">
      <c r="C20" s="49"/>
      <c r="D20" s="49"/>
      <c r="E20" s="49"/>
      <c r="F20" s="49"/>
      <c r="G20" s="100" t="str">
        <f>IFERROR(IF(INDEX(LKLS!$3:$3,1,1+3*(ROWS($A$1:A18)-1))=0,"",INDEX(LKLS!$3:$3,1,1+3*(ROWS($A$1:A18)-1))),"")</f>
        <v/>
      </c>
      <c r="H20" s="96" t="str">
        <f t="shared" ca="1" si="0"/>
        <v/>
      </c>
      <c r="I20" s="96" t="str">
        <f t="shared" ca="1" si="1"/>
        <v/>
      </c>
      <c r="J20" s="105" t="str">
        <f t="shared" ca="1" si="2"/>
        <v/>
      </c>
      <c r="K20" s="96" t="str">
        <f t="shared" ca="1" si="3"/>
        <v/>
      </c>
      <c r="L20" s="101" t="str">
        <f t="shared" ca="1" si="4"/>
        <v/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</row>
    <row r="21" spans="1:33" x14ac:dyDescent="0.3">
      <c r="A21" s="58"/>
      <c r="C21" s="49"/>
      <c r="D21" s="49"/>
      <c r="E21" s="49"/>
      <c r="F21" s="49"/>
      <c r="G21" s="100" t="str">
        <f>IFERROR(IF(INDEX(LKLS!$3:$3,1,1+3*(ROWS($A$1:A19)-1))=0,"",INDEX(LKLS!$3:$3,1,1+3*(ROWS($A$1:A19)-1))),"")</f>
        <v/>
      </c>
      <c r="H21" s="96" t="str">
        <f t="shared" ca="1" si="0"/>
        <v/>
      </c>
      <c r="I21" s="96" t="str">
        <f t="shared" ca="1" si="1"/>
        <v/>
      </c>
      <c r="J21" s="105" t="str">
        <f t="shared" ca="1" si="2"/>
        <v/>
      </c>
      <c r="K21" s="96" t="str">
        <f t="shared" ca="1" si="3"/>
        <v/>
      </c>
      <c r="L21" s="101" t="str">
        <f t="shared" ca="1" si="4"/>
        <v/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</row>
    <row r="22" spans="1:33" x14ac:dyDescent="0.3">
      <c r="A22" s="57"/>
      <c r="C22" s="49"/>
      <c r="D22" s="49"/>
      <c r="E22" s="49"/>
      <c r="F22" s="49"/>
      <c r="G22" s="100" t="str">
        <f>IFERROR(IF(INDEX(LKLS!$3:$3,1,1+3*(ROWS($A$1:A20)-1))=0,"",INDEX(LKLS!$3:$3,1,1+3*(ROWS($A$1:A20)-1))),"")</f>
        <v/>
      </c>
      <c r="H22" s="96" t="str">
        <f t="shared" ca="1" si="0"/>
        <v/>
      </c>
      <c r="I22" s="96" t="str">
        <f t="shared" ca="1" si="1"/>
        <v/>
      </c>
      <c r="J22" s="105" t="str">
        <f t="shared" ca="1" si="2"/>
        <v/>
      </c>
      <c r="K22" s="96" t="str">
        <f t="shared" ca="1" si="3"/>
        <v/>
      </c>
      <c r="L22" s="101" t="str">
        <f t="shared" ca="1" si="4"/>
        <v/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</row>
    <row r="23" spans="1:33" x14ac:dyDescent="0.3">
      <c r="A23" s="57"/>
      <c r="C23" s="49"/>
      <c r="D23" s="49"/>
      <c r="E23" s="49"/>
      <c r="F23" s="49"/>
      <c r="G23" s="100" t="str">
        <f>IFERROR(IF(INDEX(LKLS!$3:$3,1,1+3*(ROWS($A$1:A21)-1))=0,"",INDEX(LKLS!$3:$3,1,1+3*(ROWS($A$1:A21)-1))),"")</f>
        <v/>
      </c>
      <c r="H23" s="96" t="str">
        <f t="shared" ca="1" si="0"/>
        <v/>
      </c>
      <c r="I23" s="96" t="str">
        <f t="shared" ca="1" si="1"/>
        <v/>
      </c>
      <c r="J23" s="105" t="str">
        <f t="shared" ca="1" si="2"/>
        <v/>
      </c>
      <c r="K23" s="96" t="str">
        <f t="shared" ca="1" si="3"/>
        <v/>
      </c>
      <c r="L23" s="101" t="str">
        <f t="shared" ca="1" si="4"/>
        <v/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1:33" x14ac:dyDescent="0.3">
      <c r="A24" s="57"/>
      <c r="C24" s="49"/>
      <c r="D24" s="49"/>
      <c r="F24" s="49"/>
      <c r="G24" s="100" t="str">
        <f>IFERROR(IF(INDEX(LKLS!$3:$3,1,1+3*(ROWS($A$1:A22)-1))=0,"",INDEX(LKLS!$3:$3,1,1+3*(ROWS($A$1:A22)-1))),"")</f>
        <v/>
      </c>
      <c r="H24" s="96" t="str">
        <f t="shared" ca="1" si="0"/>
        <v/>
      </c>
      <c r="I24" s="96" t="str">
        <f t="shared" ca="1" si="1"/>
        <v/>
      </c>
      <c r="J24" s="105" t="str">
        <f t="shared" ca="1" si="2"/>
        <v/>
      </c>
      <c r="K24" s="96" t="str">
        <f t="shared" ca="1" si="3"/>
        <v/>
      </c>
      <c r="L24" s="101" t="str">
        <f t="shared" ca="1" si="4"/>
        <v/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</row>
    <row r="25" spans="1:33" x14ac:dyDescent="0.3">
      <c r="F25" s="49"/>
      <c r="G25" s="100" t="str">
        <f>IFERROR(IF(INDEX(LKLS!$3:$3,1,1+3*(ROWS($A$1:A23)-1))=0,"",INDEX(LKLS!$3:$3,1,1+3*(ROWS($A$1:A23)-1))),"")</f>
        <v/>
      </c>
      <c r="H25" s="96" t="str">
        <f t="shared" ca="1" si="0"/>
        <v/>
      </c>
      <c r="I25" s="96" t="str">
        <f t="shared" ca="1" si="1"/>
        <v/>
      </c>
      <c r="J25" s="105" t="str">
        <f t="shared" ca="1" si="2"/>
        <v/>
      </c>
      <c r="K25" s="96" t="str">
        <f t="shared" ca="1" si="3"/>
        <v/>
      </c>
      <c r="L25" s="101" t="str">
        <f t="shared" ca="1" si="4"/>
        <v/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</row>
    <row r="26" spans="1:33" x14ac:dyDescent="0.3">
      <c r="F26" s="49"/>
      <c r="G26" s="100" t="str">
        <f>IFERROR(IF(INDEX(LKLS!$3:$3,1,1+3*(ROWS($A$1:A24)-1))=0,"",INDEX(LKLS!$3:$3,1,1+3*(ROWS($A$1:A24)-1))),"")</f>
        <v/>
      </c>
      <c r="H26" s="96" t="str">
        <f t="shared" ca="1" si="0"/>
        <v/>
      </c>
      <c r="I26" s="96" t="str">
        <f t="shared" ca="1" si="1"/>
        <v/>
      </c>
      <c r="J26" s="105" t="str">
        <f t="shared" ca="1" si="2"/>
        <v/>
      </c>
      <c r="K26" s="96" t="str">
        <f t="shared" ca="1" si="3"/>
        <v/>
      </c>
      <c r="L26" s="101" t="str">
        <f t="shared" ca="1" si="4"/>
        <v/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</row>
    <row r="27" spans="1:33" x14ac:dyDescent="0.3">
      <c r="F27" s="49"/>
      <c r="G27" s="100" t="str">
        <f>IFERROR(IF(INDEX(LKLS!$3:$3,1,1+3*(ROWS($A$1:A25)-1))=0,"",INDEX(LKLS!$3:$3,1,1+3*(ROWS($A$1:A25)-1))),"")</f>
        <v/>
      </c>
      <c r="H27" s="96" t="str">
        <f t="shared" ca="1" si="0"/>
        <v/>
      </c>
      <c r="I27" s="96" t="str">
        <f t="shared" ca="1" si="1"/>
        <v/>
      </c>
      <c r="J27" s="105" t="str">
        <f t="shared" ca="1" si="2"/>
        <v/>
      </c>
      <c r="K27" s="96" t="str">
        <f t="shared" ca="1" si="3"/>
        <v/>
      </c>
      <c r="L27" s="101" t="str">
        <f t="shared" ca="1" si="4"/>
        <v/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</row>
    <row r="28" spans="1:33" x14ac:dyDescent="0.3">
      <c r="F28" s="49"/>
      <c r="G28" s="98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</row>
    <row r="29" spans="1:33" x14ac:dyDescent="0.3">
      <c r="F29" s="49"/>
      <c r="G29" s="98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</row>
    <row r="30" spans="1:33" x14ac:dyDescent="0.3">
      <c r="F30" s="49"/>
      <c r="G30" s="98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</row>
    <row r="31" spans="1:33" x14ac:dyDescent="0.3">
      <c r="F31" s="49"/>
      <c r="G31" s="9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</row>
    <row r="32" spans="1:33" x14ac:dyDescent="0.3">
      <c r="F32" s="49"/>
      <c r="G32" s="98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</row>
    <row r="33" spans="6:33" x14ac:dyDescent="0.3">
      <c r="F33" s="49"/>
      <c r="G33" s="98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</row>
    <row r="34" spans="6:33" x14ac:dyDescent="0.3">
      <c r="F34" s="49"/>
      <c r="G34" s="98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</row>
    <row r="35" spans="6:33" x14ac:dyDescent="0.3">
      <c r="F35" s="49"/>
      <c r="G35" s="98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</row>
    <row r="36" spans="6:33" x14ac:dyDescent="0.3">
      <c r="F36" s="49"/>
      <c r="G36" s="98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</row>
    <row r="37" spans="6:33" x14ac:dyDescent="0.3">
      <c r="F37" s="49"/>
      <c r="G37" s="98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</row>
    <row r="38" spans="6:33" x14ac:dyDescent="0.3">
      <c r="F38" s="49"/>
      <c r="G38" s="98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</row>
    <row r="39" spans="6:33" x14ac:dyDescent="0.3">
      <c r="F39" s="49"/>
      <c r="G39" s="98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</row>
    <row r="40" spans="6:33" x14ac:dyDescent="0.3">
      <c r="F40" s="49"/>
      <c r="G40" s="98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</row>
    <row r="41" spans="6:33" x14ac:dyDescent="0.3">
      <c r="F41" s="49"/>
      <c r="G41" s="98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</row>
    <row r="131" spans="1:1" x14ac:dyDescent="0.3">
      <c r="A131" t="s">
        <v>31</v>
      </c>
    </row>
    <row r="282" spans="1:1" x14ac:dyDescent="0.3">
      <c r="A282" t="s">
        <v>32</v>
      </c>
    </row>
    <row r="283" spans="1:1" x14ac:dyDescent="0.3">
      <c r="A283" t="s">
        <v>33</v>
      </c>
    </row>
  </sheetData>
  <mergeCells count="2">
    <mergeCell ref="G1:L1"/>
    <mergeCell ref="N7:P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zoomScale="69" zoomScaleNormal="70" workbookViewId="0">
      <selection activeCell="A3" sqref="A3"/>
    </sheetView>
  </sheetViews>
  <sheetFormatPr defaultRowHeight="14.4" x14ac:dyDescent="0.3"/>
  <cols>
    <col min="1" max="1" width="14" bestFit="1" customWidth="1"/>
    <col min="2" max="2" width="16.88671875" bestFit="1" customWidth="1"/>
    <col min="3" max="4" width="13.5546875" bestFit="1" customWidth="1"/>
    <col min="6" max="6" width="14" bestFit="1" customWidth="1"/>
    <col min="7" max="7" width="20" bestFit="1" customWidth="1"/>
    <col min="8" max="9" width="13.5546875" bestFit="1" customWidth="1"/>
    <col min="11" max="11" width="14" bestFit="1" customWidth="1"/>
    <col min="12" max="12" width="20" bestFit="1" customWidth="1"/>
    <col min="13" max="14" width="12.554687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18" customFormat="1" ht="39" customHeight="1" x14ac:dyDescent="0.3"/>
    <row r="2" spans="1:49" s="118" customFormat="1" ht="72" customHeight="1" x14ac:dyDescent="0.3"/>
    <row r="3" spans="1:49" x14ac:dyDescent="0.3">
      <c r="A3" s="59"/>
      <c r="B3" s="59"/>
      <c r="C3" s="14"/>
      <c r="D3" s="14"/>
      <c r="F3" s="59"/>
      <c r="G3" s="59"/>
      <c r="H3" s="14"/>
      <c r="I3" s="14"/>
      <c r="K3" s="59"/>
      <c r="L3" s="59"/>
      <c r="M3" s="14"/>
      <c r="N3" s="14"/>
      <c r="P3" s="59"/>
      <c r="Q3" s="59"/>
      <c r="R3" s="14"/>
      <c r="S3" s="14"/>
      <c r="U3" s="59"/>
      <c r="V3" s="59"/>
      <c r="W3" s="14"/>
      <c r="X3" s="14"/>
      <c r="Z3" s="59"/>
      <c r="AA3" s="59"/>
      <c r="AB3" s="14"/>
      <c r="AC3" s="14"/>
      <c r="AE3" s="59"/>
      <c r="AF3" s="59"/>
      <c r="AG3" s="14"/>
      <c r="AH3" s="14"/>
      <c r="AJ3" s="59"/>
      <c r="AK3" s="59"/>
      <c r="AL3" s="14"/>
      <c r="AM3" s="14"/>
      <c r="AO3" s="59"/>
      <c r="AP3" s="59"/>
      <c r="AQ3" s="14"/>
      <c r="AR3" s="14"/>
      <c r="AT3" s="14"/>
      <c r="AU3" s="14"/>
      <c r="AV3" s="14"/>
      <c r="AW3" s="14"/>
    </row>
    <row r="4" spans="1:49" x14ac:dyDescent="0.3">
      <c r="A4" s="59"/>
      <c r="B4" s="59"/>
      <c r="C4" s="14"/>
      <c r="D4" s="14"/>
      <c r="F4" s="59"/>
      <c r="G4" s="59"/>
      <c r="H4" s="14"/>
      <c r="I4" s="14"/>
      <c r="K4" s="59"/>
      <c r="L4" s="59"/>
      <c r="M4" s="14"/>
      <c r="N4" s="14"/>
      <c r="P4" s="59"/>
      <c r="Q4" s="59"/>
      <c r="R4" s="14"/>
      <c r="S4" s="14"/>
      <c r="U4" s="59"/>
      <c r="V4" s="59"/>
      <c r="W4" s="14"/>
      <c r="X4" s="14"/>
      <c r="Z4" s="59"/>
      <c r="AA4" s="59"/>
      <c r="AB4" s="14"/>
      <c r="AC4" s="14"/>
      <c r="AE4" s="59"/>
      <c r="AF4" s="59"/>
      <c r="AG4" s="14"/>
      <c r="AH4" s="14"/>
      <c r="AJ4" s="59"/>
      <c r="AK4" s="59"/>
      <c r="AL4" s="14"/>
      <c r="AM4" s="14"/>
      <c r="AO4" s="59"/>
      <c r="AP4" s="59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90"/>
      <c r="B6" s="60"/>
      <c r="C6" s="60"/>
      <c r="D6" s="60"/>
      <c r="F6" s="87"/>
      <c r="G6" s="60"/>
      <c r="H6" s="60"/>
      <c r="I6" s="60"/>
      <c r="K6" s="87"/>
      <c r="L6" s="60"/>
      <c r="M6" s="60"/>
      <c r="N6" s="60"/>
      <c r="P6" s="82"/>
      <c r="Q6" s="60"/>
      <c r="R6" s="60"/>
      <c r="S6" s="60"/>
      <c r="U6" s="82"/>
      <c r="V6" s="60"/>
      <c r="W6" s="60"/>
      <c r="X6" s="60"/>
      <c r="Z6" s="73"/>
      <c r="AA6" s="60"/>
      <c r="AB6" s="60"/>
      <c r="AC6" s="60"/>
      <c r="AE6" s="66"/>
      <c r="AF6" s="60"/>
      <c r="AG6" s="60"/>
      <c r="AH6" s="60"/>
      <c r="AJ6" s="66"/>
      <c r="AK6" s="60"/>
      <c r="AL6" s="60"/>
      <c r="AM6" s="60"/>
      <c r="AO6" s="66"/>
      <c r="AP6" s="60"/>
      <c r="AQ6" s="60"/>
      <c r="AR6" s="60"/>
      <c r="AT6" s="14"/>
      <c r="AU6" s="14"/>
      <c r="AV6" s="14"/>
      <c r="AW6" s="14"/>
    </row>
    <row r="7" spans="1:49" x14ac:dyDescent="0.3">
      <c r="A7" s="90"/>
      <c r="B7" s="60"/>
      <c r="C7" s="60"/>
      <c r="D7" s="60"/>
      <c r="F7" s="87"/>
      <c r="G7" s="60"/>
      <c r="H7" s="60"/>
      <c r="I7" s="60"/>
      <c r="K7" s="87"/>
      <c r="L7" s="60"/>
      <c r="M7" s="60"/>
      <c r="N7" s="60"/>
      <c r="P7" s="82"/>
      <c r="Q7" s="60"/>
      <c r="R7" s="60"/>
      <c r="S7" s="60"/>
      <c r="U7" s="82"/>
      <c r="V7" s="60"/>
      <c r="W7" s="60"/>
      <c r="X7" s="60"/>
      <c r="Z7" s="73"/>
      <c r="AA7" s="60"/>
      <c r="AB7" s="60"/>
      <c r="AC7" s="60"/>
      <c r="AE7" s="66"/>
      <c r="AF7" s="60"/>
      <c r="AG7" s="60"/>
      <c r="AH7" s="60"/>
      <c r="AJ7" s="66"/>
      <c r="AK7" s="60"/>
      <c r="AL7" s="60"/>
      <c r="AM7" s="60"/>
      <c r="AO7" s="66"/>
      <c r="AP7" s="60"/>
      <c r="AQ7" s="60"/>
      <c r="AR7" s="60"/>
      <c r="AT7" s="14"/>
      <c r="AU7" s="14"/>
      <c r="AV7" s="14"/>
      <c r="AW7" s="14"/>
    </row>
    <row r="8" spans="1:49" x14ac:dyDescent="0.3">
      <c r="A8" s="90"/>
      <c r="B8" s="60"/>
      <c r="C8" s="60"/>
      <c r="D8" s="60"/>
      <c r="F8" s="87"/>
      <c r="G8" s="60"/>
      <c r="H8" s="60"/>
      <c r="I8" s="60"/>
      <c r="K8" s="87"/>
      <c r="L8" s="60"/>
      <c r="M8" s="60"/>
      <c r="N8" s="60"/>
      <c r="P8" s="82"/>
      <c r="Q8" s="60"/>
      <c r="R8" s="60"/>
      <c r="S8" s="60"/>
      <c r="U8" s="82"/>
      <c r="V8" s="60"/>
      <c r="W8" s="60"/>
      <c r="X8" s="60"/>
      <c r="Z8" s="73"/>
      <c r="AA8" s="60"/>
      <c r="AB8" s="60"/>
      <c r="AC8" s="60"/>
      <c r="AE8" s="66"/>
      <c r="AF8" s="60"/>
      <c r="AG8" s="60"/>
      <c r="AH8" s="60"/>
      <c r="AJ8" s="66"/>
      <c r="AK8" s="60"/>
      <c r="AL8" s="60"/>
      <c r="AM8" s="60"/>
      <c r="AO8" s="66"/>
      <c r="AP8" s="60"/>
      <c r="AQ8" s="60"/>
      <c r="AR8" s="60"/>
      <c r="AT8" s="14"/>
      <c r="AU8" s="14"/>
      <c r="AV8" s="14"/>
      <c r="AW8" s="14"/>
    </row>
    <row r="9" spans="1:49" x14ac:dyDescent="0.3">
      <c r="A9" s="90"/>
      <c r="B9" s="60"/>
      <c r="C9" s="60"/>
      <c r="D9" s="60"/>
      <c r="F9" s="87"/>
      <c r="G9" s="60"/>
      <c r="H9" s="60"/>
      <c r="I9" s="60"/>
      <c r="K9" s="87"/>
      <c r="L9" s="60"/>
      <c r="M9" s="60"/>
      <c r="N9" s="60"/>
      <c r="P9" s="82"/>
      <c r="Q9" s="60"/>
      <c r="R9" s="60"/>
      <c r="S9" s="60"/>
      <c r="U9" s="82"/>
      <c r="V9" s="60"/>
      <c r="W9" s="60"/>
      <c r="X9" s="60"/>
      <c r="Z9" s="73"/>
      <c r="AA9" s="60"/>
      <c r="AB9" s="60"/>
      <c r="AC9" s="60"/>
      <c r="AE9" s="66"/>
      <c r="AF9" s="60"/>
      <c r="AG9" s="60"/>
      <c r="AH9" s="60"/>
      <c r="AJ9" s="66"/>
      <c r="AK9" s="60"/>
      <c r="AL9" s="60"/>
      <c r="AM9" s="60"/>
      <c r="AO9" s="66"/>
      <c r="AP9" s="60"/>
      <c r="AQ9" s="60"/>
      <c r="AR9" s="60"/>
      <c r="AT9" s="14"/>
      <c r="AU9" s="14"/>
      <c r="AV9" s="14"/>
      <c r="AW9" s="14"/>
    </row>
    <row r="10" spans="1:49" x14ac:dyDescent="0.3">
      <c r="A10" s="90"/>
      <c r="B10" s="60"/>
      <c r="C10" s="60"/>
      <c r="D10" s="60"/>
      <c r="F10" s="87"/>
      <c r="G10" s="60"/>
      <c r="H10" s="60"/>
      <c r="I10" s="60"/>
      <c r="K10" s="87"/>
      <c r="L10" s="60"/>
      <c r="M10" s="60"/>
      <c r="N10" s="60"/>
      <c r="P10" s="82"/>
      <c r="Q10" s="60"/>
      <c r="R10" s="60"/>
      <c r="S10" s="60"/>
      <c r="U10" s="82"/>
      <c r="V10" s="60"/>
      <c r="W10" s="60"/>
      <c r="X10" s="60"/>
      <c r="Z10" s="73"/>
      <c r="AA10" s="60"/>
      <c r="AB10" s="60"/>
      <c r="AC10" s="60"/>
      <c r="AE10" s="66"/>
      <c r="AF10" s="60"/>
      <c r="AG10" s="60"/>
      <c r="AH10" s="60"/>
      <c r="AJ10" s="66"/>
      <c r="AK10" s="60"/>
      <c r="AL10" s="60"/>
      <c r="AM10" s="60"/>
      <c r="AO10" s="66"/>
      <c r="AP10" s="60"/>
      <c r="AQ10" s="60"/>
      <c r="AR10" s="60"/>
      <c r="AT10" s="14"/>
      <c r="AU10" s="14"/>
      <c r="AV10" s="14"/>
      <c r="AW10" s="14"/>
    </row>
    <row r="11" spans="1:49" x14ac:dyDescent="0.3">
      <c r="A11" s="90"/>
      <c r="B11" s="60"/>
      <c r="C11" s="60"/>
      <c r="D11" s="60"/>
      <c r="F11" s="87"/>
      <c r="G11" s="60"/>
      <c r="H11" s="60"/>
      <c r="I11" s="60"/>
      <c r="K11" s="87"/>
      <c r="L11" s="60"/>
      <c r="M11" s="60"/>
      <c r="N11" s="60"/>
      <c r="P11" s="82"/>
      <c r="Q11" s="60"/>
      <c r="R11" s="60"/>
      <c r="S11" s="60"/>
      <c r="U11" s="82"/>
      <c r="V11" s="60"/>
      <c r="W11" s="60"/>
      <c r="X11" s="60"/>
      <c r="Z11" s="73"/>
      <c r="AA11" s="60"/>
      <c r="AB11" s="60"/>
      <c r="AC11" s="60"/>
      <c r="AE11" s="66"/>
      <c r="AF11" s="60"/>
      <c r="AG11" s="60"/>
      <c r="AH11" s="60"/>
      <c r="AJ11" s="66"/>
      <c r="AK11" s="60"/>
      <c r="AL11" s="60"/>
      <c r="AM11" s="60"/>
      <c r="AO11" s="66"/>
      <c r="AP11" s="60"/>
      <c r="AQ11" s="60"/>
      <c r="AR11" s="60"/>
      <c r="AT11" s="14"/>
      <c r="AU11" s="14"/>
      <c r="AV11" s="14"/>
      <c r="AW11" s="14"/>
    </row>
    <row r="12" spans="1:49" x14ac:dyDescent="0.3">
      <c r="A12" s="90"/>
      <c r="B12" s="60"/>
      <c r="C12" s="60"/>
      <c r="D12" s="60"/>
      <c r="F12" s="87"/>
      <c r="G12" s="60"/>
      <c r="H12" s="60"/>
      <c r="I12" s="60"/>
      <c r="K12" s="87"/>
      <c r="L12" s="60"/>
      <c r="M12" s="60"/>
      <c r="N12" s="60"/>
      <c r="P12" s="82"/>
      <c r="Q12" s="60"/>
      <c r="R12" s="60"/>
      <c r="S12" s="60"/>
      <c r="U12" s="82"/>
      <c r="V12" s="60"/>
      <c r="W12" s="60"/>
      <c r="X12" s="60"/>
      <c r="Z12" s="73"/>
      <c r="AA12" s="60"/>
      <c r="AB12" s="60"/>
      <c r="AC12" s="60"/>
      <c r="AE12" s="66"/>
      <c r="AF12" s="60"/>
      <c r="AG12" s="60"/>
      <c r="AH12" s="60"/>
      <c r="AJ12" s="66"/>
      <c r="AK12" s="60"/>
      <c r="AL12" s="60"/>
      <c r="AM12" s="60"/>
      <c r="AO12" s="66"/>
      <c r="AP12" s="60"/>
      <c r="AQ12" s="60"/>
      <c r="AR12" s="60"/>
      <c r="AT12" s="14"/>
      <c r="AU12" s="14"/>
      <c r="AV12" s="14"/>
      <c r="AW12" s="14"/>
    </row>
    <row r="13" spans="1:49" x14ac:dyDescent="0.3">
      <c r="A13" s="90"/>
      <c r="B13" s="60"/>
      <c r="C13" s="60"/>
      <c r="D13" s="60"/>
      <c r="F13" s="87"/>
      <c r="G13" s="60"/>
      <c r="H13" s="60"/>
      <c r="I13" s="60"/>
      <c r="K13" s="87"/>
      <c r="L13" s="60"/>
      <c r="M13" s="60"/>
      <c r="N13" s="60"/>
      <c r="P13" s="82"/>
      <c r="Q13" s="60"/>
      <c r="R13" s="60"/>
      <c r="S13" s="60"/>
      <c r="U13" s="82"/>
      <c r="V13" s="60"/>
      <c r="W13" s="60"/>
      <c r="X13" s="60"/>
      <c r="Z13" s="73"/>
      <c r="AA13" s="60"/>
      <c r="AB13" s="60"/>
      <c r="AC13" s="60"/>
      <c r="AE13" s="66"/>
      <c r="AF13" s="60"/>
      <c r="AG13" s="60"/>
      <c r="AH13" s="60"/>
      <c r="AJ13" s="66"/>
      <c r="AK13" s="60"/>
      <c r="AL13" s="60"/>
      <c r="AM13" s="60"/>
      <c r="AO13" s="66"/>
      <c r="AP13" s="60"/>
      <c r="AQ13" s="60"/>
      <c r="AR13" s="60"/>
      <c r="AT13" s="14"/>
      <c r="AU13" s="14"/>
      <c r="AV13" s="14"/>
      <c r="AW13" s="14"/>
    </row>
    <row r="14" spans="1:49" x14ac:dyDescent="0.3">
      <c r="A14" s="90"/>
      <c r="B14" s="60"/>
      <c r="C14" s="60"/>
      <c r="D14" s="60"/>
      <c r="F14" s="87"/>
      <c r="G14" s="60"/>
      <c r="H14" s="60"/>
      <c r="I14" s="60"/>
      <c r="K14" s="87"/>
      <c r="L14" s="60"/>
      <c r="M14" s="60"/>
      <c r="N14" s="60"/>
      <c r="P14" s="82"/>
      <c r="Q14" s="60"/>
      <c r="R14" s="60"/>
      <c r="S14" s="60"/>
      <c r="U14" s="82"/>
      <c r="V14" s="60"/>
      <c r="W14" s="60"/>
      <c r="X14" s="60"/>
      <c r="Z14" s="73"/>
      <c r="AA14" s="60"/>
      <c r="AB14" s="60"/>
      <c r="AC14" s="60"/>
      <c r="AE14" s="66"/>
      <c r="AF14" s="60"/>
      <c r="AG14" s="60"/>
      <c r="AH14" s="60"/>
      <c r="AJ14" s="66"/>
      <c r="AK14" s="60"/>
      <c r="AL14" s="60"/>
      <c r="AM14" s="60"/>
      <c r="AO14" s="66"/>
      <c r="AP14" s="60"/>
      <c r="AQ14" s="60"/>
      <c r="AR14" s="60"/>
      <c r="AT14" s="14"/>
      <c r="AU14" s="14"/>
      <c r="AV14" s="14"/>
      <c r="AW14" s="14"/>
    </row>
    <row r="15" spans="1:49" x14ac:dyDescent="0.3">
      <c r="A15" s="90"/>
      <c r="B15" s="60"/>
      <c r="C15" s="60"/>
      <c r="D15" s="60"/>
      <c r="F15" s="87"/>
      <c r="G15" s="60"/>
      <c r="H15" s="60"/>
      <c r="I15" s="60"/>
      <c r="K15" s="87"/>
      <c r="L15" s="60"/>
      <c r="M15" s="60"/>
      <c r="N15" s="60"/>
      <c r="P15" s="82"/>
      <c r="Q15" s="60"/>
      <c r="R15" s="60"/>
      <c r="S15" s="60"/>
      <c r="U15" s="82"/>
      <c r="V15" s="60"/>
      <c r="W15" s="60"/>
      <c r="X15" s="60"/>
      <c r="Z15" s="73"/>
      <c r="AA15" s="60"/>
      <c r="AB15" s="60"/>
      <c r="AC15" s="60"/>
      <c r="AE15" s="66"/>
      <c r="AF15" s="60"/>
      <c r="AG15" s="60"/>
      <c r="AH15" s="60"/>
      <c r="AJ15" s="66"/>
      <c r="AK15" s="60"/>
      <c r="AL15" s="60"/>
      <c r="AM15" s="60"/>
      <c r="AO15" s="66"/>
      <c r="AP15" s="60"/>
      <c r="AQ15" s="60"/>
      <c r="AR15" s="60"/>
      <c r="AT15" s="14"/>
      <c r="AU15" s="14"/>
      <c r="AV15" s="14"/>
      <c r="AW15" s="14"/>
    </row>
    <row r="16" spans="1:49" x14ac:dyDescent="0.3">
      <c r="A16" s="90"/>
      <c r="B16" s="60"/>
      <c r="C16" s="60"/>
      <c r="D16" s="60"/>
      <c r="F16" s="87"/>
      <c r="G16" s="60"/>
      <c r="H16" s="60"/>
      <c r="I16" s="60"/>
      <c r="K16" s="87"/>
      <c r="L16" s="60"/>
      <c r="M16" s="60"/>
      <c r="N16" s="60"/>
      <c r="P16" s="82"/>
      <c r="Q16" s="60"/>
      <c r="R16" s="60"/>
      <c r="S16" s="60"/>
      <c r="U16" s="82"/>
      <c r="V16" s="60"/>
      <c r="W16" s="60"/>
      <c r="X16" s="60"/>
      <c r="Z16" s="73"/>
      <c r="AA16" s="60"/>
      <c r="AB16" s="60"/>
      <c r="AC16" s="60"/>
      <c r="AE16" s="66"/>
      <c r="AF16" s="60"/>
      <c r="AG16" s="60"/>
      <c r="AH16" s="60"/>
      <c r="AJ16" s="66"/>
      <c r="AK16" s="60"/>
      <c r="AL16" s="60"/>
      <c r="AM16" s="60"/>
      <c r="AO16" s="66"/>
      <c r="AP16" s="60"/>
      <c r="AQ16" s="60"/>
      <c r="AR16" s="60"/>
      <c r="AT16" s="14"/>
      <c r="AU16" s="14"/>
      <c r="AV16" s="14"/>
      <c r="AW16" s="14"/>
    </row>
    <row r="17" spans="1:49" x14ac:dyDescent="0.3">
      <c r="A17" s="90"/>
      <c r="B17" s="60"/>
      <c r="C17" s="60"/>
      <c r="D17" s="60"/>
      <c r="F17" s="87"/>
      <c r="G17" s="60"/>
      <c r="H17" s="60"/>
      <c r="I17" s="60"/>
      <c r="K17" s="87"/>
      <c r="L17" s="60"/>
      <c r="M17" s="60"/>
      <c r="N17" s="60"/>
      <c r="P17" s="82"/>
      <c r="Q17" s="60"/>
      <c r="R17" s="60"/>
      <c r="S17" s="60"/>
      <c r="U17" s="82"/>
      <c r="V17" s="60"/>
      <c r="W17" s="60"/>
      <c r="X17" s="60"/>
      <c r="Z17" s="73"/>
      <c r="AA17" s="60"/>
      <c r="AB17" s="60"/>
      <c r="AC17" s="60"/>
      <c r="AE17" s="66"/>
      <c r="AF17" s="60"/>
      <c r="AG17" s="60"/>
      <c r="AH17" s="60"/>
      <c r="AJ17" s="66"/>
      <c r="AK17" s="60"/>
      <c r="AL17" s="60"/>
      <c r="AM17" s="60"/>
      <c r="AO17" s="66"/>
      <c r="AP17" s="60"/>
      <c r="AQ17" s="60"/>
      <c r="AR17" s="60"/>
      <c r="AT17" s="14"/>
      <c r="AU17" s="14"/>
      <c r="AV17" s="14"/>
      <c r="AW17" s="14"/>
    </row>
    <row r="18" spans="1:49" x14ac:dyDescent="0.3">
      <c r="A18" s="90"/>
      <c r="B18" s="60"/>
      <c r="C18" s="60"/>
      <c r="D18" s="60"/>
      <c r="F18" s="87"/>
      <c r="G18" s="60"/>
      <c r="H18" s="60"/>
      <c r="I18" s="60"/>
      <c r="K18" s="87"/>
      <c r="L18" s="60"/>
      <c r="M18" s="60"/>
      <c r="N18" s="60"/>
      <c r="P18" s="82"/>
      <c r="Q18" s="60"/>
      <c r="R18" s="60"/>
      <c r="S18" s="60"/>
      <c r="U18" s="82"/>
      <c r="V18" s="60"/>
      <c r="W18" s="60"/>
      <c r="X18" s="60"/>
      <c r="Z18" s="73"/>
      <c r="AA18" s="60"/>
      <c r="AB18" s="60"/>
      <c r="AC18" s="60"/>
      <c r="AE18" s="66"/>
      <c r="AF18" s="60"/>
      <c r="AG18" s="60"/>
      <c r="AH18" s="60"/>
      <c r="AJ18" s="66"/>
      <c r="AK18" s="60"/>
      <c r="AL18" s="60"/>
      <c r="AM18" s="60"/>
      <c r="AO18" s="66"/>
      <c r="AP18" s="60"/>
      <c r="AQ18" s="60"/>
      <c r="AR18" s="60"/>
      <c r="AT18" s="14"/>
      <c r="AU18" s="14"/>
      <c r="AV18" s="14"/>
      <c r="AW18" s="14"/>
    </row>
    <row r="19" spans="1:49" x14ac:dyDescent="0.3">
      <c r="A19" s="90"/>
      <c r="B19" s="60"/>
      <c r="C19" s="60"/>
      <c r="D19" s="60"/>
      <c r="F19" s="87"/>
      <c r="G19" s="60"/>
      <c r="H19" s="60"/>
      <c r="I19" s="60"/>
      <c r="K19" s="82"/>
      <c r="L19" s="60"/>
      <c r="M19" s="60"/>
      <c r="N19" s="60"/>
      <c r="P19" s="82"/>
      <c r="Q19" s="60"/>
      <c r="R19" s="60"/>
      <c r="S19" s="60"/>
      <c r="U19" s="82"/>
      <c r="V19" s="60"/>
      <c r="W19" s="60"/>
      <c r="X19" s="60"/>
      <c r="Z19" s="73"/>
      <c r="AA19" s="60"/>
      <c r="AB19" s="60"/>
      <c r="AC19" s="60"/>
      <c r="AE19" s="66"/>
      <c r="AF19" s="60"/>
      <c r="AG19" s="60"/>
      <c r="AH19" s="60"/>
      <c r="AJ19" s="66"/>
      <c r="AK19" s="60"/>
      <c r="AL19" s="60"/>
      <c r="AM19" s="60"/>
      <c r="AO19" s="66"/>
      <c r="AP19" s="60"/>
      <c r="AQ19" s="60"/>
      <c r="AR19" s="60"/>
      <c r="AT19" s="14"/>
      <c r="AU19" s="14"/>
      <c r="AV19" s="14"/>
      <c r="AW19" s="14"/>
    </row>
    <row r="20" spans="1:49" x14ac:dyDescent="0.3">
      <c r="A20" s="90"/>
      <c r="B20" s="60"/>
      <c r="C20" s="60"/>
      <c r="D20" s="60"/>
      <c r="F20" s="87"/>
      <c r="G20" s="60"/>
      <c r="H20" s="60"/>
      <c r="I20" s="60"/>
      <c r="K20" s="82"/>
      <c r="L20" s="60"/>
      <c r="M20" s="60"/>
      <c r="N20" s="60"/>
      <c r="P20" s="82"/>
      <c r="Q20" s="60"/>
      <c r="R20" s="60"/>
      <c r="S20" s="60"/>
      <c r="U20" s="82"/>
      <c r="V20" s="60"/>
      <c r="W20" s="60"/>
      <c r="X20" s="60"/>
      <c r="Z20" s="73"/>
      <c r="AA20" s="60"/>
      <c r="AB20" s="60"/>
      <c r="AC20" s="60"/>
      <c r="AE20" s="66"/>
      <c r="AF20" s="60"/>
      <c r="AG20" s="60"/>
      <c r="AH20" s="60"/>
      <c r="AJ20" s="66"/>
      <c r="AK20" s="60"/>
      <c r="AL20" s="60"/>
      <c r="AM20" s="60"/>
      <c r="AO20" s="66"/>
      <c r="AP20" s="60"/>
      <c r="AQ20" s="60"/>
      <c r="AR20" s="60"/>
      <c r="AT20" s="14"/>
      <c r="AU20" s="14"/>
      <c r="AV20" s="14"/>
      <c r="AW20" s="14"/>
    </row>
    <row r="21" spans="1:49" x14ac:dyDescent="0.3">
      <c r="A21" s="90"/>
      <c r="B21" s="60"/>
      <c r="C21" s="60"/>
      <c r="D21" s="60"/>
      <c r="F21" s="87"/>
      <c r="G21" s="60"/>
      <c r="H21" s="60"/>
      <c r="I21" s="60"/>
      <c r="K21" s="82"/>
      <c r="L21" s="60"/>
      <c r="M21" s="60"/>
      <c r="N21" s="60"/>
      <c r="P21" s="82"/>
      <c r="Q21" s="60"/>
      <c r="R21" s="60"/>
      <c r="S21" s="60"/>
      <c r="U21" s="82"/>
      <c r="V21" s="60"/>
      <c r="W21" s="60"/>
      <c r="X21" s="60"/>
      <c r="Z21" s="73"/>
      <c r="AA21" s="60"/>
      <c r="AB21" s="60"/>
      <c r="AC21" s="60"/>
      <c r="AE21" s="66"/>
      <c r="AF21" s="60"/>
      <c r="AG21" s="60"/>
      <c r="AH21" s="60"/>
      <c r="AJ21" s="66"/>
      <c r="AK21" s="60"/>
      <c r="AL21" s="60"/>
      <c r="AM21" s="60"/>
      <c r="AO21" s="66"/>
      <c r="AP21" s="60"/>
      <c r="AQ21" s="60"/>
      <c r="AR21" s="60"/>
      <c r="AT21" s="14"/>
      <c r="AU21" s="14"/>
      <c r="AV21" s="14"/>
      <c r="AW21" s="14"/>
    </row>
    <row r="22" spans="1:49" x14ac:dyDescent="0.3">
      <c r="A22" s="90"/>
      <c r="B22" s="60"/>
      <c r="C22" s="60"/>
      <c r="D22" s="60"/>
      <c r="F22" s="87"/>
      <c r="G22" s="60"/>
      <c r="H22" s="60"/>
      <c r="I22" s="60"/>
      <c r="K22" s="82"/>
      <c r="L22" s="60"/>
      <c r="M22" s="60"/>
      <c r="N22" s="60"/>
      <c r="P22" s="82"/>
      <c r="Q22" s="60"/>
      <c r="R22" s="60"/>
      <c r="S22" s="60"/>
      <c r="U22" s="82"/>
      <c r="V22" s="60"/>
      <c r="W22" s="60"/>
      <c r="X22" s="60"/>
      <c r="Z22" s="73"/>
      <c r="AA22" s="60"/>
      <c r="AB22" s="60"/>
      <c r="AC22" s="60"/>
      <c r="AE22" s="66"/>
      <c r="AF22" s="60"/>
      <c r="AG22" s="60"/>
      <c r="AH22" s="60"/>
      <c r="AJ22" s="66"/>
      <c r="AK22" s="60"/>
      <c r="AL22" s="60"/>
      <c r="AM22" s="60"/>
      <c r="AO22" s="66"/>
      <c r="AP22" s="60"/>
      <c r="AQ22" s="60"/>
      <c r="AR22" s="60"/>
      <c r="AT22" s="14"/>
      <c r="AU22" s="14"/>
      <c r="AV22" s="14"/>
      <c r="AW22" s="14"/>
    </row>
    <row r="23" spans="1:49" x14ac:dyDescent="0.3">
      <c r="A23" s="90"/>
      <c r="B23" s="60"/>
      <c r="C23" s="60"/>
      <c r="D23" s="60"/>
      <c r="F23" s="87"/>
      <c r="G23" s="60"/>
      <c r="H23" s="60"/>
      <c r="I23" s="60"/>
      <c r="K23" s="82"/>
      <c r="L23" s="60"/>
      <c r="M23" s="60"/>
      <c r="N23" s="60"/>
      <c r="P23" s="82"/>
      <c r="Q23" s="60"/>
      <c r="R23" s="60"/>
      <c r="S23" s="60"/>
      <c r="U23" s="82"/>
      <c r="V23" s="60"/>
      <c r="W23" s="60"/>
      <c r="X23" s="60"/>
      <c r="Z23" s="73"/>
      <c r="AA23" s="60"/>
      <c r="AB23" s="60"/>
      <c r="AC23" s="60"/>
      <c r="AE23" s="14"/>
      <c r="AF23" s="14"/>
      <c r="AG23" s="14"/>
      <c r="AH23" s="14"/>
      <c r="AJ23" s="66"/>
      <c r="AK23" s="60"/>
      <c r="AL23" s="60"/>
      <c r="AM23" s="60"/>
      <c r="AO23" s="66"/>
      <c r="AP23" s="60"/>
      <c r="AQ23" s="60"/>
      <c r="AR23" s="60"/>
      <c r="AT23" s="14"/>
      <c r="AU23" s="14"/>
      <c r="AV23" s="14"/>
      <c r="AW23" s="14"/>
    </row>
    <row r="24" spans="1:49" x14ac:dyDescent="0.3">
      <c r="A24" s="90"/>
      <c r="B24" s="60"/>
      <c r="C24" s="60"/>
      <c r="D24" s="60"/>
      <c r="F24" s="87"/>
      <c r="G24" s="60"/>
      <c r="H24" s="60"/>
      <c r="I24" s="60"/>
      <c r="K24" s="82"/>
      <c r="L24" s="60"/>
      <c r="M24" s="60"/>
      <c r="N24" s="60"/>
      <c r="P24" s="82"/>
      <c r="Q24" s="60"/>
      <c r="R24" s="60"/>
      <c r="S24" s="60"/>
      <c r="U24" s="82"/>
      <c r="V24" s="60"/>
      <c r="W24" s="60"/>
      <c r="X24" s="60"/>
      <c r="Z24" s="73"/>
      <c r="AA24" s="60"/>
      <c r="AB24" s="60"/>
      <c r="AC24" s="60"/>
      <c r="AE24" s="14"/>
      <c r="AF24" s="14"/>
      <c r="AG24" s="14"/>
      <c r="AH24" s="14"/>
      <c r="AJ24" s="14"/>
      <c r="AK24" s="14"/>
      <c r="AL24" s="14"/>
      <c r="AM24" s="14"/>
      <c r="AO24" s="66"/>
      <c r="AP24" s="60"/>
      <c r="AQ24" s="60"/>
      <c r="AR24" s="60"/>
      <c r="AT24" s="14"/>
      <c r="AU24" s="14"/>
      <c r="AV24" s="14"/>
      <c r="AW24" s="14"/>
    </row>
    <row r="25" spans="1:49" x14ac:dyDescent="0.3">
      <c r="A25" s="90"/>
      <c r="B25" s="60"/>
      <c r="C25" s="60"/>
      <c r="D25" s="60"/>
      <c r="F25" s="87"/>
      <c r="G25" s="60"/>
      <c r="H25" s="60"/>
      <c r="I25" s="60"/>
      <c r="K25" s="82"/>
      <c r="L25" s="60"/>
      <c r="M25" s="60"/>
      <c r="N25" s="60"/>
      <c r="P25" s="82"/>
      <c r="Q25" s="60"/>
      <c r="R25" s="60"/>
      <c r="S25" s="60"/>
      <c r="U25" s="82"/>
      <c r="V25" s="60"/>
      <c r="W25" s="60"/>
      <c r="X25" s="60"/>
      <c r="Z25" s="73"/>
      <c r="AA25" s="60"/>
      <c r="AB25" s="60"/>
      <c r="AC25" s="60"/>
      <c r="AE25" s="14"/>
      <c r="AF25" s="14"/>
      <c r="AG25" s="14"/>
      <c r="AH25" s="14"/>
      <c r="AJ25" s="14"/>
      <c r="AK25" s="14"/>
      <c r="AL25" s="14"/>
      <c r="AM25" s="14"/>
      <c r="AO25" s="66"/>
      <c r="AP25" s="60"/>
      <c r="AQ25" s="60"/>
      <c r="AR25" s="60"/>
      <c r="AT25" s="14"/>
      <c r="AU25" s="14"/>
      <c r="AV25" s="14"/>
      <c r="AW25" s="14"/>
    </row>
    <row r="26" spans="1:49" x14ac:dyDescent="0.3">
      <c r="A26" s="90"/>
      <c r="B26" s="60"/>
      <c r="C26" s="60"/>
      <c r="D26" s="60"/>
      <c r="F26" s="87"/>
      <c r="G26" s="60"/>
      <c r="H26" s="60"/>
      <c r="I26" s="60"/>
      <c r="K26" s="82"/>
      <c r="L26" s="60"/>
      <c r="M26" s="60"/>
      <c r="N26" s="60"/>
      <c r="P26" s="82"/>
      <c r="Q26" s="60"/>
      <c r="R26" s="60"/>
      <c r="S26" s="60"/>
      <c r="U26" s="82"/>
      <c r="V26" s="60"/>
      <c r="W26" s="60"/>
      <c r="X26" s="60"/>
      <c r="Z26" s="73"/>
      <c r="AA26" s="60"/>
      <c r="AB26" s="60"/>
      <c r="AC26" s="60"/>
      <c r="AE26" s="14"/>
      <c r="AF26" s="14"/>
      <c r="AG26" s="14"/>
      <c r="AH26" s="14"/>
      <c r="AJ26" s="14"/>
      <c r="AK26" s="14"/>
      <c r="AL26" s="14"/>
      <c r="AM26" s="14"/>
      <c r="AO26" s="66"/>
      <c r="AP26" s="60"/>
      <c r="AQ26" s="60"/>
      <c r="AR26" s="60"/>
      <c r="AT26" s="14"/>
      <c r="AU26" s="14"/>
      <c r="AV26" s="14"/>
      <c r="AW26" s="14"/>
    </row>
    <row r="27" spans="1:49" x14ac:dyDescent="0.3">
      <c r="A27" s="90"/>
      <c r="B27" s="60"/>
      <c r="C27" s="60"/>
      <c r="D27" s="60"/>
      <c r="F27" s="87"/>
      <c r="G27" s="60"/>
      <c r="H27" s="60"/>
      <c r="I27" s="60"/>
      <c r="K27" s="82"/>
      <c r="L27" s="60"/>
      <c r="M27" s="60"/>
      <c r="N27" s="60"/>
      <c r="P27" s="82"/>
      <c r="Q27" s="60"/>
      <c r="R27" s="60"/>
      <c r="S27" s="60"/>
      <c r="U27" s="82"/>
      <c r="V27" s="60"/>
      <c r="W27" s="60"/>
      <c r="X27" s="60"/>
      <c r="Z27" s="73"/>
      <c r="AA27" s="60"/>
      <c r="AB27" s="60"/>
      <c r="AC27" s="60"/>
      <c r="AE27" s="14"/>
      <c r="AF27" s="14"/>
      <c r="AG27" s="14"/>
      <c r="AH27" s="14"/>
      <c r="AJ27" s="14"/>
      <c r="AK27" s="14"/>
      <c r="AL27" s="14"/>
      <c r="AM27" s="14"/>
      <c r="AO27" s="66"/>
      <c r="AP27" s="60"/>
      <c r="AQ27" s="60"/>
      <c r="AR27" s="60"/>
      <c r="AT27" s="14"/>
      <c r="AU27" s="14"/>
      <c r="AV27" s="14"/>
      <c r="AW27" s="14"/>
    </row>
    <row r="28" spans="1:49" x14ac:dyDescent="0.3">
      <c r="A28" s="90"/>
      <c r="B28" s="60"/>
      <c r="C28" s="60"/>
      <c r="D28" s="60"/>
      <c r="F28" s="87"/>
      <c r="G28" s="60"/>
      <c r="H28" s="60"/>
      <c r="I28" s="60"/>
      <c r="K28" s="68"/>
      <c r="L28" s="60"/>
      <c r="M28" s="60"/>
      <c r="N28" s="60"/>
      <c r="P28" s="82"/>
      <c r="Q28" s="60"/>
      <c r="R28" s="60"/>
      <c r="S28" s="60"/>
      <c r="U28" s="82"/>
      <c r="V28" s="60"/>
      <c r="W28" s="60"/>
      <c r="X28" s="60"/>
      <c r="Z28" s="73"/>
      <c r="AA28" s="60"/>
      <c r="AB28" s="60"/>
      <c r="AC28" s="60"/>
      <c r="AE28" s="14"/>
      <c r="AF28" s="14"/>
      <c r="AG28" s="14"/>
      <c r="AH28" s="14"/>
      <c r="AJ28" s="14"/>
      <c r="AK28" s="14"/>
      <c r="AL28" s="14"/>
      <c r="AM28" s="14"/>
      <c r="AO28" s="66"/>
      <c r="AP28" s="60"/>
      <c r="AQ28" s="60"/>
      <c r="AR28" s="60"/>
      <c r="AT28" s="14"/>
      <c r="AU28" s="14"/>
      <c r="AV28" s="14"/>
      <c r="AW28" s="14"/>
    </row>
    <row r="29" spans="1:49" x14ac:dyDescent="0.3">
      <c r="A29" s="90"/>
      <c r="B29" s="60"/>
      <c r="C29" s="60"/>
      <c r="D29" s="60"/>
      <c r="F29" s="87"/>
      <c r="G29" s="60"/>
      <c r="H29" s="60"/>
      <c r="I29" s="60"/>
      <c r="K29" s="68"/>
      <c r="L29" s="60"/>
      <c r="M29" s="60"/>
      <c r="N29" s="60"/>
      <c r="P29" s="82"/>
      <c r="Q29" s="60"/>
      <c r="R29" s="60"/>
      <c r="S29" s="60"/>
      <c r="U29" s="82"/>
      <c r="V29" s="60"/>
      <c r="W29" s="60"/>
      <c r="X29" s="60"/>
      <c r="Z29" s="73"/>
      <c r="AA29" s="60"/>
      <c r="AB29" s="60"/>
      <c r="AC29" s="60"/>
      <c r="AE29" s="14"/>
      <c r="AF29" s="14"/>
      <c r="AG29" s="14"/>
      <c r="AH29" s="14"/>
      <c r="AJ29" s="14"/>
      <c r="AK29" s="14"/>
      <c r="AL29" s="14"/>
      <c r="AM29" s="14"/>
      <c r="AO29" s="66"/>
      <c r="AP29" s="60"/>
      <c r="AQ29" s="60"/>
      <c r="AR29" s="60"/>
      <c r="AT29" s="14"/>
      <c r="AU29" s="14"/>
      <c r="AV29" s="14"/>
      <c r="AW29" s="14"/>
    </row>
    <row r="30" spans="1:49" x14ac:dyDescent="0.3">
      <c r="A30" s="90"/>
      <c r="B30" s="60"/>
      <c r="C30" s="60"/>
      <c r="D30" s="60"/>
      <c r="F30" s="87"/>
      <c r="G30" s="60"/>
      <c r="H30" s="60"/>
      <c r="I30" s="60"/>
      <c r="K30" s="68"/>
      <c r="L30" s="60"/>
      <c r="M30" s="60"/>
      <c r="N30" s="60"/>
      <c r="P30" s="82"/>
      <c r="Q30" s="60"/>
      <c r="R30" s="60"/>
      <c r="S30" s="60"/>
      <c r="U30" s="82"/>
      <c r="V30" s="60"/>
      <c r="W30" s="60"/>
      <c r="X30" s="60"/>
      <c r="Z30" s="73"/>
      <c r="AA30" s="60"/>
      <c r="AB30" s="60"/>
      <c r="AC30" s="60"/>
      <c r="AE30" s="14"/>
      <c r="AF30" s="14"/>
      <c r="AG30" s="14"/>
      <c r="AH30" s="14"/>
      <c r="AJ30" s="14"/>
      <c r="AK30" s="14"/>
      <c r="AL30" s="14"/>
      <c r="AM30" s="14"/>
      <c r="AO30" s="66"/>
      <c r="AP30" s="60"/>
      <c r="AQ30" s="60"/>
      <c r="AR30" s="60"/>
      <c r="AT30" s="14"/>
      <c r="AU30" s="14"/>
      <c r="AV30" s="14"/>
      <c r="AW30" s="14"/>
    </row>
    <row r="31" spans="1:49" x14ac:dyDescent="0.3">
      <c r="A31" s="90"/>
      <c r="B31" s="60"/>
      <c r="C31" s="60"/>
      <c r="D31" s="60"/>
      <c r="F31" s="87"/>
      <c r="G31" s="60"/>
      <c r="H31" s="60"/>
      <c r="I31" s="60"/>
      <c r="K31" s="68"/>
      <c r="L31" s="60"/>
      <c r="M31" s="60"/>
      <c r="N31" s="60"/>
      <c r="P31" s="82"/>
      <c r="Q31" s="60"/>
      <c r="R31" s="60"/>
      <c r="S31" s="60"/>
      <c r="U31" s="82"/>
      <c r="V31" s="60"/>
      <c r="W31" s="60"/>
      <c r="X31" s="60"/>
      <c r="Z31" s="73"/>
      <c r="AA31" s="60"/>
      <c r="AB31" s="60"/>
      <c r="AC31" s="60"/>
      <c r="AE31" s="14"/>
      <c r="AF31" s="14"/>
      <c r="AG31" s="14"/>
      <c r="AH31" s="14"/>
      <c r="AJ31" s="14"/>
      <c r="AK31" s="14"/>
      <c r="AL31" s="14"/>
      <c r="AM31" s="14"/>
      <c r="AO31" s="66"/>
      <c r="AP31" s="60"/>
      <c r="AQ31" s="60"/>
      <c r="AR31" s="60"/>
      <c r="AT31" s="14"/>
      <c r="AU31" s="14"/>
      <c r="AV31" s="14"/>
      <c r="AW31" s="14"/>
    </row>
    <row r="32" spans="1:49" x14ac:dyDescent="0.3">
      <c r="A32" s="90"/>
      <c r="B32" s="60"/>
      <c r="C32" s="60"/>
      <c r="D32" s="60"/>
      <c r="F32" s="87"/>
      <c r="G32" s="60"/>
      <c r="H32" s="60"/>
      <c r="I32" s="60"/>
      <c r="K32" s="68"/>
      <c r="L32" s="60"/>
      <c r="M32" s="60"/>
      <c r="N32" s="60"/>
      <c r="P32" s="82"/>
      <c r="Q32" s="60"/>
      <c r="R32" s="60"/>
      <c r="S32" s="60"/>
      <c r="U32" s="82"/>
      <c r="V32" s="60"/>
      <c r="W32" s="60"/>
      <c r="X32" s="60"/>
      <c r="Z32" s="73"/>
      <c r="AA32" s="60"/>
      <c r="AB32" s="60"/>
      <c r="AC32" s="60"/>
      <c r="AE32" s="14"/>
      <c r="AF32" s="14"/>
      <c r="AG32" s="14"/>
      <c r="AH32" s="14"/>
      <c r="AJ32" s="14"/>
      <c r="AK32" s="14"/>
      <c r="AL32" s="14"/>
      <c r="AM32" s="14"/>
      <c r="AO32" s="66"/>
      <c r="AP32" s="60"/>
      <c r="AQ32" s="60"/>
      <c r="AR32" s="60"/>
      <c r="AT32" s="14"/>
      <c r="AU32" s="14"/>
      <c r="AV32" s="14"/>
      <c r="AW32" s="14"/>
    </row>
    <row r="33" spans="1:49" x14ac:dyDescent="0.3">
      <c r="A33" s="90"/>
      <c r="B33" s="60"/>
      <c r="C33" s="60"/>
      <c r="D33" s="60"/>
      <c r="F33" s="87"/>
      <c r="G33" s="60"/>
      <c r="H33" s="60"/>
      <c r="I33" s="60"/>
      <c r="K33" s="68"/>
      <c r="L33" s="60"/>
      <c r="M33" s="60"/>
      <c r="N33" s="60"/>
      <c r="P33" s="82"/>
      <c r="Q33" s="60"/>
      <c r="R33" s="60"/>
      <c r="S33" s="60"/>
      <c r="U33" s="82"/>
      <c r="V33" s="60"/>
      <c r="W33" s="60"/>
      <c r="X33" s="60"/>
      <c r="Z33" s="73"/>
      <c r="AA33" s="60"/>
      <c r="AB33" s="60"/>
      <c r="AC33" s="60"/>
      <c r="AE33" s="14"/>
      <c r="AF33" s="14"/>
      <c r="AG33" s="14"/>
      <c r="AH33" s="14"/>
      <c r="AJ33" s="14"/>
      <c r="AK33" s="14"/>
      <c r="AL33" s="14"/>
      <c r="AM33" s="14"/>
      <c r="AO33" s="66"/>
      <c r="AP33" s="60"/>
      <c r="AQ33" s="60"/>
      <c r="AR33" s="60"/>
      <c r="AT33" s="14"/>
      <c r="AU33" s="14"/>
      <c r="AV33" s="14"/>
      <c r="AW33" s="14"/>
    </row>
    <row r="34" spans="1:49" x14ac:dyDescent="0.3">
      <c r="A34" s="90"/>
      <c r="B34" s="60"/>
      <c r="C34" s="60"/>
      <c r="D34" s="60"/>
      <c r="F34" s="87"/>
      <c r="G34" s="60"/>
      <c r="H34" s="60"/>
      <c r="I34" s="60"/>
      <c r="K34" s="68"/>
      <c r="L34" s="60"/>
      <c r="M34" s="60"/>
      <c r="N34" s="60"/>
      <c r="P34" s="82"/>
      <c r="Q34" s="60"/>
      <c r="R34" s="60"/>
      <c r="S34" s="60"/>
      <c r="U34" s="82"/>
      <c r="V34" s="60"/>
      <c r="W34" s="60"/>
      <c r="X34" s="60"/>
      <c r="Z34" s="73"/>
      <c r="AA34" s="60"/>
      <c r="AB34" s="60"/>
      <c r="AC34" s="60"/>
      <c r="AE34" s="14"/>
      <c r="AF34" s="14"/>
      <c r="AG34" s="14"/>
      <c r="AH34" s="14"/>
      <c r="AJ34" s="14"/>
      <c r="AK34" s="14"/>
      <c r="AL34" s="14"/>
      <c r="AM34" s="14"/>
      <c r="AO34" s="66"/>
      <c r="AP34" s="60"/>
      <c r="AQ34" s="60"/>
      <c r="AR34" s="60"/>
      <c r="AT34" s="14"/>
      <c r="AU34" s="14"/>
      <c r="AV34" s="14"/>
      <c r="AW34" s="14"/>
    </row>
    <row r="35" spans="1:49" x14ac:dyDescent="0.3">
      <c r="A35" s="90"/>
      <c r="B35" s="60"/>
      <c r="C35" s="60"/>
      <c r="D35" s="60"/>
      <c r="F35" s="87"/>
      <c r="G35" s="60"/>
      <c r="H35" s="60"/>
      <c r="I35" s="60"/>
      <c r="K35" s="68"/>
      <c r="L35" s="60"/>
      <c r="M35" s="60"/>
      <c r="N35" s="60"/>
      <c r="P35" s="82"/>
      <c r="Q35" s="60"/>
      <c r="R35" s="60"/>
      <c r="S35" s="60"/>
      <c r="U35" s="82"/>
      <c r="V35" s="60"/>
      <c r="W35" s="60"/>
      <c r="X35" s="60"/>
      <c r="Z35" s="73"/>
      <c r="AA35" s="60"/>
      <c r="AB35" s="60"/>
      <c r="AC35" s="60"/>
      <c r="AE35" s="14"/>
      <c r="AF35" s="14"/>
      <c r="AG35" s="14"/>
      <c r="AH35" s="14"/>
      <c r="AJ35" s="14"/>
      <c r="AK35" s="14"/>
      <c r="AL35" s="14"/>
      <c r="AM35" s="14"/>
      <c r="AO35" s="66"/>
      <c r="AP35" s="60"/>
      <c r="AQ35" s="60"/>
      <c r="AR35" s="60"/>
      <c r="AT35" s="14"/>
      <c r="AU35" s="14"/>
      <c r="AV35" s="14"/>
      <c r="AW35" s="14"/>
    </row>
    <row r="36" spans="1:49" x14ac:dyDescent="0.3">
      <c r="A36" s="90"/>
      <c r="B36" s="60"/>
      <c r="C36" s="60"/>
      <c r="D36" s="60"/>
      <c r="F36" s="87"/>
      <c r="G36" s="60"/>
      <c r="H36" s="60"/>
      <c r="I36" s="60"/>
      <c r="K36" s="68"/>
      <c r="L36" s="60"/>
      <c r="M36" s="60"/>
      <c r="N36" s="60"/>
      <c r="P36" s="82"/>
      <c r="Q36" s="60"/>
      <c r="R36" s="60"/>
      <c r="S36" s="60"/>
      <c r="U36" s="82"/>
      <c r="V36" s="60"/>
      <c r="W36" s="60"/>
      <c r="X36" s="60"/>
      <c r="Z36" s="73"/>
      <c r="AA36" s="60"/>
      <c r="AB36" s="60"/>
      <c r="AC36" s="60"/>
      <c r="AE36" s="14"/>
      <c r="AF36" s="14"/>
      <c r="AG36" s="14"/>
      <c r="AH36" s="14"/>
      <c r="AJ36" s="14"/>
      <c r="AK36" s="14"/>
      <c r="AL36" s="14"/>
      <c r="AM36" s="14"/>
      <c r="AO36" s="66"/>
      <c r="AP36" s="60"/>
      <c r="AQ36" s="60"/>
      <c r="AR36" s="60"/>
      <c r="AT36" s="14"/>
      <c r="AU36" s="14"/>
      <c r="AV36" s="14"/>
      <c r="AW36" s="14"/>
    </row>
    <row r="37" spans="1:49" x14ac:dyDescent="0.3">
      <c r="A37" s="90"/>
      <c r="B37" s="60"/>
      <c r="C37" s="60"/>
      <c r="D37" s="60"/>
      <c r="F37" s="87"/>
      <c r="G37" s="60"/>
      <c r="H37" s="60"/>
      <c r="I37" s="60"/>
      <c r="K37" s="68"/>
      <c r="L37" s="60"/>
      <c r="M37" s="60"/>
      <c r="N37" s="60"/>
      <c r="P37" s="82"/>
      <c r="Q37" s="60"/>
      <c r="R37" s="60"/>
      <c r="S37" s="60"/>
      <c r="U37" s="82"/>
      <c r="V37" s="60"/>
      <c r="W37" s="60"/>
      <c r="X37" s="60"/>
      <c r="Z37" s="73"/>
      <c r="AA37" s="60"/>
      <c r="AB37" s="60"/>
      <c r="AC37" s="60"/>
      <c r="AE37" s="14"/>
      <c r="AF37" s="14"/>
      <c r="AG37" s="14"/>
      <c r="AH37" s="14"/>
      <c r="AJ37" s="14"/>
      <c r="AK37" s="14"/>
      <c r="AL37" s="14"/>
      <c r="AM37" s="14"/>
      <c r="AO37" s="66"/>
      <c r="AP37" s="60"/>
      <c r="AQ37" s="60"/>
      <c r="AR37" s="60"/>
      <c r="AT37" s="14"/>
      <c r="AU37" s="14"/>
      <c r="AV37" s="14"/>
      <c r="AW37" s="14"/>
    </row>
    <row r="38" spans="1:49" x14ac:dyDescent="0.3">
      <c r="A38" s="90"/>
      <c r="B38" s="60"/>
      <c r="C38" s="60"/>
      <c r="D38" s="60"/>
      <c r="F38" s="87"/>
      <c r="G38" s="60"/>
      <c r="H38" s="60"/>
      <c r="I38" s="60"/>
      <c r="K38" s="68"/>
      <c r="L38" s="60"/>
      <c r="M38" s="60"/>
      <c r="N38" s="60"/>
      <c r="P38" s="82"/>
      <c r="Q38" s="60"/>
      <c r="R38" s="60"/>
      <c r="S38" s="60"/>
      <c r="U38" s="82"/>
      <c r="V38" s="60"/>
      <c r="W38" s="60"/>
      <c r="X38" s="60"/>
      <c r="Z38" s="73"/>
      <c r="AA38" s="60"/>
      <c r="AB38" s="60"/>
      <c r="AC38" s="60"/>
      <c r="AE38" s="14"/>
      <c r="AF38" s="14"/>
      <c r="AG38" s="14"/>
      <c r="AH38" s="14"/>
      <c r="AJ38" s="14"/>
      <c r="AK38" s="14"/>
      <c r="AL38" s="14"/>
      <c r="AM38" s="14"/>
      <c r="AO38" s="66"/>
      <c r="AP38" s="60"/>
      <c r="AQ38" s="60"/>
      <c r="AR38" s="60"/>
      <c r="AT38" s="14"/>
      <c r="AU38" s="14"/>
      <c r="AV38" s="14"/>
      <c r="AW38" s="14"/>
    </row>
    <row r="39" spans="1:49" x14ac:dyDescent="0.3">
      <c r="A39" s="90"/>
      <c r="B39" s="60"/>
      <c r="C39" s="60"/>
      <c r="D39" s="60"/>
      <c r="F39" s="87"/>
      <c r="G39" s="60"/>
      <c r="H39" s="60"/>
      <c r="I39" s="60"/>
      <c r="K39" s="62"/>
      <c r="L39" s="60"/>
      <c r="M39" s="60"/>
      <c r="N39" s="60"/>
      <c r="P39" s="82"/>
      <c r="Q39" s="60"/>
      <c r="R39" s="60"/>
      <c r="S39" s="60"/>
      <c r="U39" s="82"/>
      <c r="V39" s="60"/>
      <c r="W39" s="60"/>
      <c r="X39" s="60"/>
      <c r="Z39" s="73"/>
      <c r="AA39" s="60"/>
      <c r="AB39" s="60"/>
      <c r="AC39" s="60"/>
      <c r="AE39" s="14"/>
      <c r="AF39" s="14"/>
      <c r="AG39" s="14"/>
      <c r="AH39" s="14"/>
      <c r="AJ39" s="14"/>
      <c r="AK39" s="14"/>
      <c r="AL39" s="14"/>
      <c r="AM39" s="14"/>
      <c r="AO39" s="66"/>
      <c r="AP39" s="60"/>
      <c r="AQ39" s="60"/>
      <c r="AR39" s="60"/>
      <c r="AT39" s="14"/>
      <c r="AU39" s="14"/>
      <c r="AV39" s="14"/>
      <c r="AW39" s="14"/>
    </row>
    <row r="40" spans="1:49" x14ac:dyDescent="0.3">
      <c r="A40" s="90"/>
      <c r="B40" s="60"/>
      <c r="C40" s="60"/>
      <c r="D40" s="60"/>
      <c r="F40" s="87"/>
      <c r="G40" s="60"/>
      <c r="H40" s="60"/>
      <c r="I40" s="60"/>
      <c r="K40" s="62"/>
      <c r="L40" s="60"/>
      <c r="M40" s="60"/>
      <c r="N40" s="60"/>
      <c r="P40" s="82"/>
      <c r="Q40" s="60"/>
      <c r="R40" s="60"/>
      <c r="S40" s="60"/>
      <c r="U40" s="82"/>
      <c r="V40" s="60"/>
      <c r="W40" s="60"/>
      <c r="X40" s="60"/>
      <c r="Z40" s="73"/>
      <c r="AA40" s="60"/>
      <c r="AB40" s="60"/>
      <c r="AC40" s="60"/>
      <c r="AE40" s="14"/>
      <c r="AF40" s="14"/>
      <c r="AG40" s="14"/>
      <c r="AH40" s="14"/>
      <c r="AJ40" s="14"/>
      <c r="AK40" s="14"/>
      <c r="AL40" s="14"/>
      <c r="AM40" s="14"/>
      <c r="AO40" s="66"/>
      <c r="AP40" s="60"/>
      <c r="AQ40" s="60"/>
      <c r="AR40" s="60"/>
      <c r="AT40" s="14"/>
      <c r="AU40" s="14"/>
      <c r="AV40" s="14"/>
      <c r="AW40" s="14"/>
    </row>
    <row r="41" spans="1:49" x14ac:dyDescent="0.3">
      <c r="A41" s="90"/>
      <c r="B41" s="60"/>
      <c r="C41" s="60"/>
      <c r="D41" s="60"/>
      <c r="F41" s="87"/>
      <c r="G41" s="60"/>
      <c r="H41" s="60"/>
      <c r="I41" s="60"/>
      <c r="K41" s="62"/>
      <c r="L41" s="60"/>
      <c r="M41" s="60"/>
      <c r="N41" s="60"/>
      <c r="P41" s="82"/>
      <c r="Q41" s="60"/>
      <c r="R41" s="60"/>
      <c r="S41" s="60"/>
      <c r="U41" s="82"/>
      <c r="V41" s="60"/>
      <c r="W41" s="60"/>
      <c r="X41" s="60"/>
      <c r="Z41" s="73"/>
      <c r="AA41" s="60"/>
      <c r="AB41" s="60"/>
      <c r="AC41" s="60"/>
      <c r="AE41" s="14"/>
      <c r="AF41" s="14"/>
      <c r="AG41" s="14"/>
      <c r="AH41" s="14"/>
      <c r="AJ41" s="14"/>
      <c r="AK41" s="14"/>
      <c r="AL41" s="14"/>
      <c r="AM41" s="14"/>
      <c r="AO41" s="66"/>
      <c r="AP41" s="60"/>
      <c r="AQ41" s="60"/>
      <c r="AR41" s="60"/>
      <c r="AT41" s="14"/>
      <c r="AU41" s="14"/>
      <c r="AV41" s="14"/>
      <c r="AW41" s="14"/>
    </row>
    <row r="42" spans="1:49" x14ac:dyDescent="0.3">
      <c r="A42" s="90"/>
      <c r="B42" s="60"/>
      <c r="C42" s="60"/>
      <c r="D42" s="60"/>
      <c r="F42" s="87"/>
      <c r="G42" s="60"/>
      <c r="H42" s="60"/>
      <c r="I42" s="60"/>
      <c r="K42" s="62"/>
      <c r="L42" s="60"/>
      <c r="M42" s="60"/>
      <c r="N42" s="60"/>
      <c r="P42" s="82"/>
      <c r="Q42" s="60"/>
      <c r="R42" s="60"/>
      <c r="S42" s="60"/>
      <c r="U42" s="82"/>
      <c r="V42" s="60"/>
      <c r="W42" s="60"/>
      <c r="X42" s="60"/>
      <c r="Z42" s="73"/>
      <c r="AA42" s="60"/>
      <c r="AB42" s="60"/>
      <c r="AC42" s="60"/>
      <c r="AE42" s="14"/>
      <c r="AF42" s="14"/>
      <c r="AG42" s="14"/>
      <c r="AH42" s="14"/>
      <c r="AJ42" s="14"/>
      <c r="AK42" s="14"/>
      <c r="AL42" s="14"/>
      <c r="AM42" s="14"/>
      <c r="AO42" s="66"/>
      <c r="AP42" s="60"/>
      <c r="AQ42" s="60"/>
      <c r="AR42" s="60"/>
      <c r="AT42" s="14"/>
      <c r="AU42" s="14"/>
      <c r="AV42" s="14"/>
      <c r="AW42" s="14"/>
    </row>
    <row r="43" spans="1:49" x14ac:dyDescent="0.3">
      <c r="A43" s="90"/>
      <c r="B43" s="60"/>
      <c r="C43" s="60"/>
      <c r="D43" s="60"/>
      <c r="F43" s="14"/>
      <c r="G43" s="14"/>
      <c r="H43" s="14"/>
      <c r="I43" s="14"/>
      <c r="K43" s="14"/>
      <c r="L43" s="14"/>
      <c r="M43" s="14"/>
      <c r="N43" s="14"/>
      <c r="P43" s="82"/>
      <c r="Q43" s="60"/>
      <c r="R43" s="60"/>
      <c r="S43" s="60"/>
      <c r="U43" s="73"/>
      <c r="V43" s="60"/>
      <c r="W43" s="60"/>
      <c r="X43" s="60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66"/>
      <c r="AP43" s="60"/>
      <c r="AQ43" s="60"/>
      <c r="AR43" s="60"/>
      <c r="AT43" s="14"/>
      <c r="AU43" s="14"/>
      <c r="AV43" s="14"/>
      <c r="AW43" s="14"/>
    </row>
    <row r="44" spans="1:49" x14ac:dyDescent="0.3">
      <c r="A44" s="90"/>
      <c r="B44" s="60"/>
      <c r="C44" s="60"/>
      <c r="D44" s="60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90"/>
      <c r="B45" s="60"/>
      <c r="C45" s="60"/>
      <c r="D45" s="60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90"/>
      <c r="B46" s="60"/>
      <c r="C46" s="60"/>
      <c r="D46" s="60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90"/>
      <c r="B47" s="60"/>
      <c r="C47" s="60"/>
      <c r="D47" s="60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90"/>
      <c r="B48" s="60"/>
      <c r="C48" s="60"/>
      <c r="D48" s="60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90"/>
      <c r="B49" s="60"/>
      <c r="C49" s="60"/>
      <c r="D49" s="60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90"/>
      <c r="B50" s="60"/>
      <c r="C50" s="60"/>
      <c r="D50" s="60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91"/>
      <c r="B51" s="92"/>
      <c r="C51" s="92"/>
      <c r="D51" s="92"/>
    </row>
    <row r="52" spans="1:49" x14ac:dyDescent="0.3">
      <c r="A52" s="91"/>
      <c r="B52" s="92"/>
      <c r="C52" s="92"/>
      <c r="D52" s="92"/>
    </row>
    <row r="53" spans="1:49" x14ac:dyDescent="0.3">
      <c r="A53" s="91"/>
      <c r="B53" s="92"/>
      <c r="C53" s="92"/>
      <c r="D53" s="92"/>
    </row>
    <row r="54" spans="1:49" x14ac:dyDescent="0.3">
      <c r="A54" s="91"/>
      <c r="B54" s="92"/>
      <c r="C54" s="92"/>
      <c r="D54" s="92"/>
    </row>
    <row r="55" spans="1:49" x14ac:dyDescent="0.3">
      <c r="A55" s="91"/>
      <c r="B55" s="92"/>
      <c r="C55" s="92"/>
      <c r="D55" s="92"/>
    </row>
    <row r="56" spans="1:49" x14ac:dyDescent="0.3">
      <c r="A56" s="91"/>
      <c r="B56" s="92"/>
      <c r="C56" s="92"/>
      <c r="D56" s="92"/>
    </row>
    <row r="57" spans="1:49" x14ac:dyDescent="0.3">
      <c r="A57" s="91"/>
      <c r="B57" s="92"/>
      <c r="C57" s="92"/>
      <c r="D57" s="92"/>
    </row>
    <row r="58" spans="1:49" x14ac:dyDescent="0.3">
      <c r="A58" s="91"/>
      <c r="B58" s="92"/>
      <c r="C58" s="92"/>
      <c r="D58" s="92"/>
    </row>
    <row r="59" spans="1:49" x14ac:dyDescent="0.3">
      <c r="A59" s="91"/>
      <c r="B59" s="92"/>
      <c r="C59" s="92"/>
      <c r="D59" s="92"/>
    </row>
    <row r="60" spans="1:49" x14ac:dyDescent="0.3">
      <c r="A60" s="91"/>
      <c r="B60" s="92"/>
      <c r="C60" s="92"/>
      <c r="D60" s="92"/>
    </row>
    <row r="61" spans="1:49" x14ac:dyDescent="0.3">
      <c r="A61" s="91"/>
      <c r="B61" s="92"/>
      <c r="C61" s="92"/>
      <c r="D61" s="92"/>
    </row>
    <row r="62" spans="1:49" x14ac:dyDescent="0.3">
      <c r="A62" s="91"/>
      <c r="B62" s="92"/>
      <c r="C62" s="92"/>
      <c r="D62" s="92"/>
    </row>
    <row r="63" spans="1:49" x14ac:dyDescent="0.3">
      <c r="A63" s="91"/>
      <c r="B63" s="92"/>
      <c r="C63" s="92"/>
      <c r="D63" s="92"/>
    </row>
    <row r="64" spans="1:49" x14ac:dyDescent="0.3">
      <c r="A64" s="91"/>
      <c r="B64" s="92"/>
      <c r="C64" s="92"/>
      <c r="D64" s="92"/>
    </row>
    <row r="65" spans="1:4" x14ac:dyDescent="0.3">
      <c r="A65" s="91"/>
      <c r="B65" s="92"/>
      <c r="C65" s="92"/>
      <c r="D65" s="92"/>
    </row>
    <row r="66" spans="1:4" x14ac:dyDescent="0.3">
      <c r="A66" s="91"/>
      <c r="B66" s="92"/>
      <c r="C66" s="92"/>
      <c r="D66" s="92"/>
    </row>
    <row r="67" spans="1:4" x14ac:dyDescent="0.3">
      <c r="A67" s="91"/>
      <c r="B67" s="92"/>
      <c r="C67" s="92"/>
      <c r="D67" s="92"/>
    </row>
    <row r="68" spans="1:4" x14ac:dyDescent="0.3">
      <c r="A68" s="91"/>
      <c r="B68" s="92"/>
      <c r="C68" s="92"/>
      <c r="D68" s="92"/>
    </row>
    <row r="69" spans="1:4" x14ac:dyDescent="0.3">
      <c r="A69" s="91"/>
      <c r="B69" s="92"/>
      <c r="C69" s="92"/>
      <c r="D69" s="92"/>
    </row>
    <row r="70" spans="1:4" x14ac:dyDescent="0.3">
      <c r="A70" s="91"/>
      <c r="B70" s="92"/>
      <c r="C70" s="92"/>
      <c r="D70" s="92"/>
    </row>
    <row r="71" spans="1:4" x14ac:dyDescent="0.3">
      <c r="A71" s="91"/>
      <c r="B71" s="92"/>
      <c r="C71" s="92"/>
      <c r="D71" s="92"/>
    </row>
    <row r="72" spans="1:4" x14ac:dyDescent="0.3">
      <c r="A72" s="91"/>
      <c r="B72" s="92"/>
      <c r="C72" s="92"/>
      <c r="D72" s="92"/>
    </row>
    <row r="73" spans="1:4" x14ac:dyDescent="0.3">
      <c r="A73" s="91"/>
      <c r="B73" s="92"/>
      <c r="C73" s="92"/>
      <c r="D73" s="92"/>
    </row>
    <row r="74" spans="1:4" x14ac:dyDescent="0.3">
      <c r="A74" s="91"/>
      <c r="B74" s="92"/>
      <c r="C74" s="92"/>
      <c r="D74" s="92"/>
    </row>
    <row r="75" spans="1:4" x14ac:dyDescent="0.3">
      <c r="A75" s="91"/>
      <c r="B75" s="92"/>
      <c r="C75" s="92"/>
      <c r="D75" s="92"/>
    </row>
    <row r="76" spans="1:4" x14ac:dyDescent="0.3">
      <c r="A76" s="91"/>
      <c r="B76" s="92"/>
      <c r="C76" s="92"/>
      <c r="D76" s="92"/>
    </row>
    <row r="77" spans="1:4" x14ac:dyDescent="0.3">
      <c r="A77" s="91"/>
      <c r="B77" s="92"/>
      <c r="C77" s="92"/>
      <c r="D77" s="92"/>
    </row>
    <row r="78" spans="1:4" x14ac:dyDescent="0.3">
      <c r="A78" s="91"/>
      <c r="B78" s="92"/>
      <c r="C78" s="92"/>
      <c r="D78" s="92"/>
    </row>
    <row r="79" spans="1:4" x14ac:dyDescent="0.3">
      <c r="A79" s="91"/>
      <c r="B79" s="92"/>
      <c r="C79" s="92"/>
      <c r="D79" s="92"/>
    </row>
    <row r="80" spans="1:4" x14ac:dyDescent="0.3">
      <c r="A80" s="91"/>
      <c r="B80" s="92"/>
      <c r="C80" s="92"/>
      <c r="D80" s="92"/>
    </row>
    <row r="81" spans="1:4" x14ac:dyDescent="0.3">
      <c r="A81" s="91"/>
      <c r="B81" s="92"/>
      <c r="C81" s="92"/>
      <c r="D81" s="92"/>
    </row>
    <row r="82" spans="1:4" x14ac:dyDescent="0.3">
      <c r="A82" s="91"/>
      <c r="B82" s="92"/>
      <c r="C82" s="92"/>
      <c r="D82" s="92"/>
    </row>
    <row r="83" spans="1:4" x14ac:dyDescent="0.3">
      <c r="A83" s="91"/>
      <c r="B83" s="92"/>
      <c r="C83" s="92"/>
      <c r="D83" s="92"/>
    </row>
    <row r="84" spans="1:4" x14ac:dyDescent="0.3">
      <c r="A84" s="91"/>
      <c r="B84" s="92"/>
      <c r="C84" s="92"/>
      <c r="D84" s="92"/>
    </row>
    <row r="85" spans="1:4" x14ac:dyDescent="0.3">
      <c r="A85" s="91"/>
      <c r="B85" s="92"/>
      <c r="C85" s="92"/>
      <c r="D85" s="92"/>
    </row>
    <row r="86" spans="1:4" x14ac:dyDescent="0.3">
      <c r="A86" s="91"/>
      <c r="B86" s="92"/>
      <c r="C86" s="92"/>
      <c r="D86" s="92"/>
    </row>
    <row r="87" spans="1:4" x14ac:dyDescent="0.3">
      <c r="A87" s="91"/>
      <c r="B87" s="92"/>
      <c r="C87" s="92"/>
      <c r="D87" s="92"/>
    </row>
    <row r="88" spans="1:4" x14ac:dyDescent="0.3">
      <c r="A88" s="91"/>
      <c r="B88" s="92"/>
      <c r="C88" s="92"/>
      <c r="D88" s="92"/>
    </row>
    <row r="89" spans="1:4" x14ac:dyDescent="0.3">
      <c r="A89" s="91"/>
      <c r="B89" s="92"/>
      <c r="C89" s="92"/>
      <c r="D89" s="92"/>
    </row>
    <row r="90" spans="1:4" x14ac:dyDescent="0.3">
      <c r="A90" s="91"/>
      <c r="B90" s="92"/>
      <c r="C90" s="92"/>
      <c r="D90" s="92"/>
    </row>
    <row r="91" spans="1:4" x14ac:dyDescent="0.3">
      <c r="A91" s="91"/>
      <c r="B91" s="92"/>
      <c r="C91" s="92"/>
      <c r="D91" s="92"/>
    </row>
    <row r="92" spans="1:4" x14ac:dyDescent="0.3">
      <c r="A92" s="91"/>
      <c r="B92" s="92"/>
      <c r="C92" s="92"/>
      <c r="D92" s="92"/>
    </row>
    <row r="93" spans="1:4" x14ac:dyDescent="0.3">
      <c r="A93" s="91"/>
      <c r="B93" s="92"/>
      <c r="C93" s="92"/>
      <c r="D93" s="92"/>
    </row>
    <row r="94" spans="1:4" x14ac:dyDescent="0.3">
      <c r="A94" s="91"/>
      <c r="B94" s="92"/>
      <c r="C94" s="92"/>
      <c r="D94" s="92"/>
    </row>
    <row r="95" spans="1:4" x14ac:dyDescent="0.3">
      <c r="A95" s="91"/>
      <c r="B95" s="92"/>
      <c r="C95" s="92"/>
      <c r="D95" s="92"/>
    </row>
    <row r="96" spans="1:4" x14ac:dyDescent="0.3">
      <c r="A96" s="91"/>
      <c r="B96" s="92"/>
      <c r="C96" s="92"/>
      <c r="D96" s="92"/>
    </row>
    <row r="97" spans="1:4" x14ac:dyDescent="0.3">
      <c r="A97" s="91"/>
      <c r="B97" s="92"/>
      <c r="C97" s="92"/>
      <c r="D97" s="92"/>
    </row>
    <row r="98" spans="1:4" x14ac:dyDescent="0.3">
      <c r="A98" s="91"/>
      <c r="B98" s="92"/>
      <c r="C98" s="92"/>
      <c r="D98" s="92"/>
    </row>
    <row r="99" spans="1:4" x14ac:dyDescent="0.3">
      <c r="A99" s="91"/>
      <c r="B99" s="92"/>
      <c r="C99" s="92"/>
      <c r="D99" s="92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zoomScale="88" zoomScaleNormal="100" workbookViewId="0">
      <selection activeCell="C15" sqref="C15"/>
    </sheetView>
  </sheetViews>
  <sheetFormatPr defaultColWidth="8.88671875" defaultRowHeight="14.4" x14ac:dyDescent="0.3"/>
  <cols>
    <col min="1" max="1" width="14.5546875" style="81" customWidth="1"/>
    <col min="2" max="2" width="9.6640625" style="63" customWidth="1"/>
    <col min="3" max="3" width="10.44140625" style="64" bestFit="1" customWidth="1"/>
    <col min="4" max="4" width="14.5546875" style="81" customWidth="1"/>
    <col min="5" max="5" width="9.6640625" style="63" customWidth="1"/>
    <col min="6" max="6" width="8.88671875" style="64"/>
    <col min="7" max="7" width="14.5546875" style="81" customWidth="1"/>
    <col min="8" max="8" width="9.6640625" style="63" customWidth="1"/>
    <col min="9" max="9" width="8.88671875" style="64"/>
    <col min="10" max="10" width="13.33203125" style="81" customWidth="1"/>
    <col min="11" max="11" width="9.6640625" style="63" customWidth="1"/>
    <col min="12" max="12" width="8.88671875" style="64"/>
    <col min="13" max="13" width="14.5546875" style="81" customWidth="1"/>
    <col min="14" max="14" width="9.6640625" style="63" customWidth="1"/>
    <col min="15" max="15" width="14.33203125" style="64" bestFit="1" customWidth="1"/>
    <col min="16" max="16" width="13.33203125" style="77" bestFit="1" customWidth="1"/>
    <col min="17" max="17" width="7.33203125" style="63" bestFit="1" customWidth="1"/>
    <col min="18" max="18" width="8.88671875" style="64"/>
    <col min="19" max="19" width="9.44140625" style="64" customWidth="1"/>
    <col min="20" max="20" width="10.44140625" style="64" bestFit="1" customWidth="1"/>
    <col min="21" max="16384" width="8.88671875" style="64"/>
  </cols>
  <sheetData>
    <row r="1" spans="1:26" s="119" customFormat="1" ht="25.2" customHeight="1" x14ac:dyDescent="0.3"/>
    <row r="2" spans="1:26" s="119" customFormat="1" ht="106.2" customHeight="1" x14ac:dyDescent="0.3"/>
    <row r="3" spans="1:26" x14ac:dyDescent="0.3">
      <c r="A3" s="78"/>
      <c r="B3" s="65"/>
      <c r="D3" s="78"/>
      <c r="E3" s="65"/>
      <c r="G3" s="78"/>
      <c r="H3" s="65"/>
      <c r="J3" s="78"/>
      <c r="K3" s="65"/>
      <c r="M3" s="78"/>
      <c r="N3" s="65"/>
      <c r="P3" s="74"/>
      <c r="Q3" s="65"/>
      <c r="S3" s="70"/>
      <c r="T3" s="65"/>
      <c r="V3" s="70"/>
      <c r="W3" s="65"/>
      <c r="Y3" s="70"/>
      <c r="Z3" s="65"/>
    </row>
    <row r="4" spans="1:26" x14ac:dyDescent="0.3">
      <c r="A4" s="79"/>
      <c r="B4" s="65"/>
      <c r="D4" s="79"/>
      <c r="E4" s="65"/>
      <c r="G4" s="79"/>
      <c r="H4" s="65"/>
      <c r="J4" s="79"/>
      <c r="K4" s="65"/>
      <c r="M4" s="79"/>
      <c r="N4" s="65"/>
      <c r="P4" s="75"/>
      <c r="Q4" s="65"/>
      <c r="S4" s="69"/>
      <c r="T4" s="65"/>
      <c r="V4" s="69"/>
      <c r="W4" s="65"/>
      <c r="Y4" s="69"/>
      <c r="Z4" s="65"/>
    </row>
    <row r="5" spans="1:26" x14ac:dyDescent="0.3">
      <c r="A5" s="79"/>
      <c r="B5" s="65"/>
      <c r="D5" s="79"/>
      <c r="E5" s="65"/>
      <c r="G5" s="79"/>
      <c r="H5" s="65"/>
      <c r="J5" s="79"/>
      <c r="K5" s="65"/>
      <c r="M5" s="79"/>
      <c r="N5" s="65"/>
      <c r="P5" s="75"/>
      <c r="Q5" s="65"/>
      <c r="S5" s="69"/>
      <c r="T5" s="65"/>
      <c r="V5" s="69"/>
      <c r="W5" s="65"/>
      <c r="Y5" s="69"/>
      <c r="Z5" s="65"/>
    </row>
    <row r="6" spans="1:26" x14ac:dyDescent="0.3">
      <c r="A6" s="93"/>
      <c r="B6" s="72"/>
      <c r="D6" s="88"/>
      <c r="E6" s="72"/>
      <c r="G6" s="88"/>
      <c r="H6" s="72"/>
      <c r="J6" s="84"/>
      <c r="K6" s="72"/>
      <c r="M6" s="83"/>
      <c r="N6" s="72"/>
      <c r="P6" s="76"/>
      <c r="Q6" s="72"/>
      <c r="S6" s="71"/>
      <c r="T6" s="72"/>
      <c r="V6" s="71"/>
      <c r="W6" s="72"/>
      <c r="Y6" s="71"/>
      <c r="Z6" s="72"/>
    </row>
    <row r="7" spans="1:26" x14ac:dyDescent="0.3">
      <c r="A7" s="93"/>
      <c r="B7" s="72"/>
      <c r="D7" s="88"/>
      <c r="E7" s="72"/>
      <c r="G7" s="84"/>
      <c r="H7" s="72"/>
      <c r="J7" s="84"/>
      <c r="K7" s="72"/>
      <c r="M7" s="83"/>
      <c r="N7" s="72"/>
      <c r="P7" s="76"/>
      <c r="Q7" s="72"/>
      <c r="S7" s="71"/>
      <c r="T7" s="72"/>
      <c r="V7" s="71"/>
      <c r="W7" s="72"/>
      <c r="Y7" s="71"/>
      <c r="Z7" s="72"/>
    </row>
    <row r="8" spans="1:26" x14ac:dyDescent="0.3">
      <c r="A8" s="93"/>
      <c r="B8" s="72"/>
      <c r="D8" s="88"/>
      <c r="E8" s="72"/>
      <c r="G8" s="84"/>
      <c r="H8" s="72"/>
      <c r="J8" s="85"/>
      <c r="K8" s="72"/>
      <c r="M8" s="83"/>
      <c r="N8" s="72"/>
      <c r="P8" s="76"/>
      <c r="Q8" s="72"/>
      <c r="S8" s="71"/>
      <c r="T8" s="72"/>
      <c r="V8" s="71"/>
      <c r="W8" s="72"/>
      <c r="Y8" s="71"/>
      <c r="Z8" s="72"/>
    </row>
    <row r="9" spans="1:26" x14ac:dyDescent="0.3">
      <c r="A9" s="93"/>
      <c r="B9" s="72"/>
      <c r="D9" s="88"/>
      <c r="E9" s="72"/>
      <c r="G9" s="84"/>
      <c r="H9" s="72"/>
      <c r="J9" s="85"/>
      <c r="K9" s="72"/>
      <c r="M9" s="83"/>
      <c r="N9" s="72"/>
      <c r="P9" s="76"/>
      <c r="Q9" s="72"/>
      <c r="S9" s="71"/>
      <c r="T9" s="72"/>
      <c r="V9" s="71"/>
      <c r="W9" s="72"/>
      <c r="Y9" s="71"/>
      <c r="Z9" s="72"/>
    </row>
    <row r="10" spans="1:26" x14ac:dyDescent="0.3">
      <c r="A10" s="93"/>
      <c r="B10" s="72"/>
      <c r="D10" s="84"/>
      <c r="E10" s="72"/>
      <c r="G10" s="84"/>
      <c r="H10" s="72"/>
      <c r="J10" s="83"/>
      <c r="K10" s="72"/>
      <c r="M10" s="83"/>
      <c r="N10" s="72"/>
      <c r="P10" s="76"/>
      <c r="Q10" s="72"/>
      <c r="S10" s="71"/>
      <c r="T10" s="72"/>
      <c r="V10" s="71"/>
      <c r="W10" s="72"/>
      <c r="Y10" s="71"/>
      <c r="Z10" s="72"/>
    </row>
    <row r="11" spans="1:26" x14ac:dyDescent="0.3">
      <c r="A11" s="93"/>
      <c r="B11" s="72"/>
      <c r="D11" s="84"/>
      <c r="E11" s="72"/>
      <c r="G11" s="84"/>
      <c r="H11" s="72"/>
      <c r="J11" s="83"/>
      <c r="K11" s="72"/>
      <c r="M11" s="83"/>
      <c r="N11" s="72"/>
      <c r="P11" s="76"/>
      <c r="Q11" s="72"/>
      <c r="S11" s="71"/>
      <c r="T11" s="72"/>
      <c r="V11" s="71"/>
      <c r="W11" s="72"/>
      <c r="Y11" s="71"/>
      <c r="Z11" s="72"/>
    </row>
    <row r="12" spans="1:26" x14ac:dyDescent="0.3">
      <c r="A12" s="93"/>
      <c r="B12" s="72"/>
      <c r="D12" s="84"/>
      <c r="E12" s="72"/>
      <c r="G12" s="84"/>
      <c r="H12" s="72"/>
      <c r="J12" s="83"/>
      <c r="K12" s="72"/>
      <c r="M12" s="83"/>
      <c r="N12" s="72"/>
      <c r="P12" s="76"/>
      <c r="Q12" s="72"/>
      <c r="S12" s="71"/>
      <c r="T12" s="72"/>
      <c r="V12" s="71"/>
      <c r="W12" s="72"/>
      <c r="Y12" s="71"/>
      <c r="Z12" s="72"/>
    </row>
    <row r="13" spans="1:26" x14ac:dyDescent="0.3">
      <c r="A13" s="93"/>
      <c r="B13" s="72"/>
      <c r="D13" s="84"/>
      <c r="E13" s="72"/>
      <c r="G13" s="84"/>
      <c r="H13" s="72"/>
      <c r="J13" s="83"/>
      <c r="K13" s="72"/>
      <c r="M13" s="83"/>
      <c r="N13" s="72"/>
      <c r="P13" s="76"/>
      <c r="Q13" s="72"/>
      <c r="S13" s="71"/>
      <c r="T13" s="72"/>
      <c r="V13" s="71"/>
      <c r="W13" s="72"/>
      <c r="Y13" s="71"/>
      <c r="Z13" s="72"/>
    </row>
    <row r="14" spans="1:26" x14ac:dyDescent="0.3">
      <c r="A14" s="93"/>
      <c r="B14" s="72"/>
      <c r="D14" s="83"/>
      <c r="E14" s="72"/>
      <c r="G14" s="83"/>
      <c r="H14" s="72"/>
      <c r="J14" s="80"/>
      <c r="K14" s="72"/>
      <c r="M14" s="80"/>
      <c r="N14" s="72"/>
      <c r="P14" s="76"/>
      <c r="Q14" s="72"/>
      <c r="S14" s="71"/>
      <c r="T14" s="72"/>
      <c r="V14" s="71"/>
      <c r="W14" s="72"/>
      <c r="Y14" s="71"/>
      <c r="Z14" s="72"/>
    </row>
    <row r="15" spans="1:26" x14ac:dyDescent="0.3">
      <c r="A15" s="93"/>
      <c r="B15" s="72"/>
      <c r="D15" s="83"/>
      <c r="E15" s="72"/>
      <c r="G15" s="83"/>
      <c r="H15" s="72"/>
      <c r="J15" s="80"/>
      <c r="K15" s="72"/>
      <c r="M15" s="80"/>
      <c r="N15" s="72"/>
      <c r="P15" s="76"/>
      <c r="Q15" s="72"/>
      <c r="S15" s="71"/>
      <c r="T15" s="72"/>
      <c r="V15" s="71"/>
      <c r="W15" s="72"/>
      <c r="Y15" s="71"/>
      <c r="Z15" s="72"/>
    </row>
    <row r="16" spans="1:26" x14ac:dyDescent="0.3">
      <c r="A16" s="93"/>
      <c r="B16" s="72"/>
      <c r="D16" s="80"/>
      <c r="E16" s="72"/>
      <c r="G16" s="80"/>
      <c r="H16" s="72"/>
      <c r="J16" s="80"/>
      <c r="K16" s="72"/>
      <c r="M16" s="80"/>
      <c r="N16" s="72"/>
      <c r="P16" s="76"/>
      <c r="Q16" s="72"/>
      <c r="S16" s="71"/>
      <c r="T16" s="72"/>
      <c r="V16" s="71"/>
      <c r="W16" s="72"/>
      <c r="Y16" s="71"/>
      <c r="Z16" s="72"/>
    </row>
    <row r="17" spans="1:1" x14ac:dyDescent="0.3">
      <c r="A17" s="94"/>
    </row>
    <row r="18" spans="1:1" x14ac:dyDescent="0.3">
      <c r="A18" s="94"/>
    </row>
    <row r="19" spans="1:1" x14ac:dyDescent="0.3">
      <c r="A19" s="94"/>
    </row>
    <row r="20" spans="1:1" x14ac:dyDescent="0.3">
      <c r="A20" s="94"/>
    </row>
    <row r="21" spans="1:1" x14ac:dyDescent="0.3">
      <c r="A21" s="94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61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61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61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61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61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61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61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61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61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61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61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61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61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61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61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61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61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61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61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61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61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61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61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61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61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61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61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61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61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61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2025-08-10T13:56:03Z</cp:lastPrinted>
  <dcterms:created xsi:type="dcterms:W3CDTF">2025-08-10T08:27:57Z</dcterms:created>
  <dcterms:modified xsi:type="dcterms:W3CDTF">2025-12-16T17:55:30Z</dcterms:modified>
</cp:coreProperties>
</file>