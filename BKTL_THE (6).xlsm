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4000" windowHeight="9480" tabRatio="596" firstSheet="1" activeTab="1"/>
  </bookViews>
  <sheets>
    <sheet name="BKTL" sheetId="6" state="hidden" r:id="rId1"/>
    <sheet name="THTT" sheetId="5" r:id="rId2"/>
    <sheet name="saokethe" sheetId="19" state="hidden" r:id="rId3"/>
    <sheet name="tinhnhanh" sheetId="3" state="hidden" r:id="rId4"/>
  </sheets>
  <functionGroups builtInGroupCount="18"/>
  <definedNames>
    <definedName name="_xlnm._FilterDatabase" localSheetId="2" hidden="1">saokethe!$A$1:$Q$191</definedName>
    <definedName name="QT_IMPORT_SAOKETHE" localSheetId="2">saokethe!$A$1:$R$337</definedName>
    <definedName name="QT_IMPORT_SAOKETHE_1" localSheetId="2">saokethe!$A$1:$R$337</definedName>
    <definedName name="QT_IMPORT_SAOKETHE_2" localSheetId="2">saokethe!$A$1:$R$337</definedName>
    <definedName name="QT_IMPORT_SAOKETHE_3" localSheetId="2">saokethe!$A$1:$R$337</definedName>
    <definedName name="QT_IMPORT_SAOKETHE_4" localSheetId="2">saokethe!$A$1:$R$337</definedName>
    <definedName name="QT_IMPORT_SAOKETHE_5" localSheetId="2">saokethe!$A$1:$R$337</definedName>
    <definedName name="QT_IMPORT_SAOKETHE_6" localSheetId="2">saokethe!$A$1:$R$337</definedName>
    <definedName name="QT_IMPORT_SAOKETHE_7" localSheetId="2">saokethe!$A$1:$R$337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37" i="3" l="1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F96" i="3" s="1"/>
  <c r="G96" i="3" s="1"/>
  <c r="E95" i="3"/>
  <c r="E94" i="3"/>
  <c r="E93" i="3"/>
  <c r="E92" i="3"/>
  <c r="E91" i="3"/>
  <c r="E90" i="3"/>
  <c r="E89" i="3"/>
  <c r="E88" i="3"/>
  <c r="F88" i="3" s="1"/>
  <c r="G88" i="3" s="1"/>
  <c r="E87" i="3"/>
  <c r="E86" i="3"/>
  <c r="E85" i="3"/>
  <c r="E84" i="3"/>
  <c r="E83" i="3"/>
  <c r="E82" i="3"/>
  <c r="E81" i="3"/>
  <c r="E80" i="3"/>
  <c r="F80" i="3" s="1"/>
  <c r="G80" i="3" s="1"/>
  <c r="E79" i="3"/>
  <c r="E78" i="3"/>
  <c r="E77" i="3"/>
  <c r="E76" i="3"/>
  <c r="E75" i="3"/>
  <c r="E74" i="3"/>
  <c r="E73" i="3"/>
  <c r="E72" i="3"/>
  <c r="F72" i="3" s="1"/>
  <c r="G72" i="3" s="1"/>
  <c r="E71" i="3"/>
  <c r="E70" i="3"/>
  <c r="E69" i="3"/>
  <c r="E68" i="3"/>
  <c r="E67" i="3"/>
  <c r="E66" i="3"/>
  <c r="E65" i="3"/>
  <c r="E64" i="3"/>
  <c r="F64" i="3" s="1"/>
  <c r="G64" i="3" s="1"/>
  <c r="E63" i="3"/>
  <c r="E62" i="3"/>
  <c r="E61" i="3"/>
  <c r="E60" i="3"/>
  <c r="E59" i="3"/>
  <c r="E58" i="3"/>
  <c r="E57" i="3"/>
  <c r="E56" i="3"/>
  <c r="F56" i="3" s="1"/>
  <c r="G56" i="3" s="1"/>
  <c r="E55" i="3"/>
  <c r="E54" i="3"/>
  <c r="E53" i="3"/>
  <c r="E52" i="3"/>
  <c r="E51" i="3"/>
  <c r="E50" i="3"/>
  <c r="E49" i="3"/>
  <c r="E48" i="3"/>
  <c r="F48" i="3" s="1"/>
  <c r="G48" i="3" s="1"/>
  <c r="E47" i="3"/>
  <c r="E46" i="3"/>
  <c r="F45" i="3"/>
  <c r="G45" i="3" s="1"/>
  <c r="E45" i="3"/>
  <c r="E44" i="3"/>
  <c r="E43" i="3"/>
  <c r="E42" i="3"/>
  <c r="E41" i="3"/>
  <c r="E40" i="3"/>
  <c r="F40" i="3" s="1"/>
  <c r="G40" i="3" s="1"/>
  <c r="E39" i="3"/>
  <c r="E38" i="3"/>
  <c r="E37" i="3"/>
  <c r="E36" i="3"/>
  <c r="E35" i="3"/>
  <c r="E34" i="3"/>
  <c r="E33" i="3"/>
  <c r="E32" i="3"/>
  <c r="F32" i="3" s="1"/>
  <c r="G32" i="3" s="1"/>
  <c r="E31" i="3"/>
  <c r="E30" i="3"/>
  <c r="F29" i="3"/>
  <c r="G29" i="3" s="1"/>
  <c r="E29" i="3"/>
  <c r="E28" i="3"/>
  <c r="E27" i="3"/>
  <c r="E26" i="3"/>
  <c r="E25" i="3"/>
  <c r="E24" i="3"/>
  <c r="F93" i="3" s="1"/>
  <c r="G93" i="3" s="1"/>
  <c r="E23" i="3"/>
  <c r="E22" i="3"/>
  <c r="E21" i="3"/>
  <c r="E20" i="3"/>
  <c r="E19" i="3"/>
  <c r="E18" i="3"/>
  <c r="E17" i="3"/>
  <c r="E16" i="3"/>
  <c r="F2" i="3" s="1"/>
  <c r="G2" i="3" s="1"/>
  <c r="E15" i="3"/>
  <c r="E14" i="3"/>
  <c r="E13" i="3"/>
  <c r="F13" i="3" s="1"/>
  <c r="G13" i="3" s="1"/>
  <c r="E12" i="3"/>
  <c r="E11" i="3"/>
  <c r="F53" i="3" s="1"/>
  <c r="G53" i="3" s="1"/>
  <c r="E10" i="3"/>
  <c r="E9" i="3"/>
  <c r="E8" i="3"/>
  <c r="F8" i="3" s="1"/>
  <c r="G8" i="3" s="1"/>
  <c r="E7" i="3"/>
  <c r="E6" i="3"/>
  <c r="F5" i="3"/>
  <c r="G5" i="3" s="1"/>
  <c r="E5" i="3"/>
  <c r="E4" i="3"/>
  <c r="E3" i="3"/>
  <c r="F120" i="3" s="1"/>
  <c r="G120" i="3" s="1"/>
  <c r="E2" i="3"/>
  <c r="C14" i="6"/>
  <c r="C13" i="6"/>
  <c r="L13" i="6" s="1"/>
  <c r="F13" i="6"/>
  <c r="F14" i="6"/>
  <c r="L14" i="6"/>
  <c r="C15" i="6" s="1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131" i="3" l="1"/>
  <c r="G131" i="3" s="1"/>
  <c r="F147" i="3"/>
  <c r="G147" i="3" s="1"/>
  <c r="F155" i="3"/>
  <c r="G155" i="3" s="1"/>
  <c r="F163" i="3"/>
  <c r="G163" i="3" s="1"/>
  <c r="F171" i="3"/>
  <c r="G171" i="3" s="1"/>
  <c r="F179" i="3"/>
  <c r="G179" i="3" s="1"/>
  <c r="F187" i="3"/>
  <c r="G187" i="3" s="1"/>
  <c r="F10" i="3"/>
  <c r="G10" i="3" s="1"/>
  <c r="F15" i="3"/>
  <c r="G15" i="3" s="1"/>
  <c r="F19" i="3"/>
  <c r="G19" i="3" s="1"/>
  <c r="F24" i="3"/>
  <c r="G24" i="3" s="1"/>
  <c r="F35" i="3"/>
  <c r="G35" i="3" s="1"/>
  <c r="F51" i="3"/>
  <c r="G51" i="3" s="1"/>
  <c r="F67" i="3"/>
  <c r="G67" i="3" s="1"/>
  <c r="F83" i="3"/>
  <c r="G83" i="3" s="1"/>
  <c r="F99" i="3"/>
  <c r="G99" i="3" s="1"/>
  <c r="F104" i="3"/>
  <c r="G104" i="3" s="1"/>
  <c r="F111" i="3"/>
  <c r="G111" i="3" s="1"/>
  <c r="F73" i="3"/>
  <c r="G73" i="3" s="1"/>
  <c r="F89" i="3"/>
  <c r="G89" i="3" s="1"/>
  <c r="F105" i="3"/>
  <c r="G105" i="3" s="1"/>
  <c r="F139" i="3"/>
  <c r="G139" i="3" s="1"/>
  <c r="F31" i="3"/>
  <c r="G31" i="3" s="1"/>
  <c r="F47" i="3"/>
  <c r="G47" i="3" s="1"/>
  <c r="F63" i="3"/>
  <c r="G63" i="3" s="1"/>
  <c r="F79" i="3"/>
  <c r="G79" i="3" s="1"/>
  <c r="F95" i="3"/>
  <c r="G95" i="3" s="1"/>
  <c r="F112" i="3"/>
  <c r="G112" i="3" s="1"/>
  <c r="F119" i="3"/>
  <c r="G119" i="3" s="1"/>
  <c r="F77" i="3"/>
  <c r="G77" i="3" s="1"/>
  <c r="F57" i="3"/>
  <c r="G57" i="3" s="1"/>
  <c r="F85" i="3"/>
  <c r="G85" i="3" s="1"/>
  <c r="F101" i="3"/>
  <c r="G101" i="3" s="1"/>
  <c r="F107" i="3"/>
  <c r="G107" i="3" s="1"/>
  <c r="F113" i="3"/>
  <c r="G113" i="3" s="1"/>
  <c r="F127" i="3"/>
  <c r="G127" i="3" s="1"/>
  <c r="F135" i="3"/>
  <c r="G135" i="3" s="1"/>
  <c r="F143" i="3"/>
  <c r="G143" i="3" s="1"/>
  <c r="F151" i="3"/>
  <c r="G151" i="3" s="1"/>
  <c r="F159" i="3"/>
  <c r="G159" i="3" s="1"/>
  <c r="F167" i="3"/>
  <c r="G167" i="3" s="1"/>
  <c r="F175" i="3"/>
  <c r="G175" i="3" s="1"/>
  <c r="F183" i="3"/>
  <c r="G183" i="3" s="1"/>
  <c r="F191" i="3"/>
  <c r="G191" i="3" s="1"/>
  <c r="F123" i="3"/>
  <c r="G123" i="3" s="1"/>
  <c r="F25" i="3"/>
  <c r="G25" i="3" s="1"/>
  <c r="F11" i="3"/>
  <c r="G11" i="3" s="1"/>
  <c r="F16" i="3"/>
  <c r="G16" i="3" s="1"/>
  <c r="F37" i="3"/>
  <c r="G37" i="3" s="1"/>
  <c r="F75" i="3"/>
  <c r="G75" i="3" s="1"/>
  <c r="F91" i="3"/>
  <c r="G91" i="3" s="1"/>
  <c r="F61" i="3"/>
  <c r="G61" i="3" s="1"/>
  <c r="F261" i="3"/>
  <c r="G261" i="3" s="1"/>
  <c r="F21" i="3"/>
  <c r="G21" i="3" s="1"/>
  <c r="F157" i="3"/>
  <c r="G157" i="3" s="1"/>
  <c r="F149" i="3"/>
  <c r="G149" i="3" s="1"/>
  <c r="F141" i="3"/>
  <c r="G141" i="3" s="1"/>
  <c r="F133" i="3"/>
  <c r="G133" i="3" s="1"/>
  <c r="F125" i="3"/>
  <c r="G125" i="3" s="1"/>
  <c r="F117" i="3"/>
  <c r="G117" i="3" s="1"/>
  <c r="F109" i="3"/>
  <c r="G109" i="3" s="1"/>
  <c r="F98" i="3"/>
  <c r="G98" i="3" s="1"/>
  <c r="F90" i="3"/>
  <c r="G90" i="3" s="1"/>
  <c r="F82" i="3"/>
  <c r="G82" i="3" s="1"/>
  <c r="F74" i="3"/>
  <c r="G74" i="3" s="1"/>
  <c r="F66" i="3"/>
  <c r="G66" i="3" s="1"/>
  <c r="F58" i="3"/>
  <c r="G58" i="3" s="1"/>
  <c r="F50" i="3"/>
  <c r="G50" i="3" s="1"/>
  <c r="F42" i="3"/>
  <c r="G42" i="3" s="1"/>
  <c r="F34" i="3"/>
  <c r="G34" i="3" s="1"/>
  <c r="F26" i="3"/>
  <c r="G26" i="3" s="1"/>
  <c r="F100" i="3"/>
  <c r="G100" i="3" s="1"/>
  <c r="F92" i="3"/>
  <c r="G92" i="3" s="1"/>
  <c r="F84" i="3"/>
  <c r="G84" i="3" s="1"/>
  <c r="F76" i="3"/>
  <c r="G76" i="3" s="1"/>
  <c r="F68" i="3"/>
  <c r="G68" i="3" s="1"/>
  <c r="F60" i="3"/>
  <c r="G60" i="3" s="1"/>
  <c r="F52" i="3"/>
  <c r="G52" i="3" s="1"/>
  <c r="F44" i="3"/>
  <c r="G44" i="3" s="1"/>
  <c r="F36" i="3"/>
  <c r="G36" i="3" s="1"/>
  <c r="F28" i="3"/>
  <c r="G28" i="3" s="1"/>
  <c r="F20" i="3"/>
  <c r="G20" i="3" s="1"/>
  <c r="F12" i="3"/>
  <c r="G12" i="3" s="1"/>
  <c r="F4" i="3"/>
  <c r="G4" i="3" s="1"/>
  <c r="F38" i="3"/>
  <c r="G38" i="3" s="1"/>
  <c r="F22" i="3"/>
  <c r="G22" i="3" s="1"/>
  <c r="F6" i="3"/>
  <c r="G6" i="3" s="1"/>
  <c r="F184" i="3"/>
  <c r="G184" i="3" s="1"/>
  <c r="F168" i="3"/>
  <c r="G168" i="3" s="1"/>
  <c r="F152" i="3"/>
  <c r="G152" i="3" s="1"/>
  <c r="F136" i="3"/>
  <c r="G136" i="3" s="1"/>
  <c r="F46" i="3"/>
  <c r="G46" i="3" s="1"/>
  <c r="F30" i="3"/>
  <c r="G30" i="3" s="1"/>
  <c r="F150" i="3"/>
  <c r="G150" i="3" s="1"/>
  <c r="F142" i="3"/>
  <c r="G142" i="3" s="1"/>
  <c r="F134" i="3"/>
  <c r="G134" i="3" s="1"/>
  <c r="F118" i="3"/>
  <c r="G118" i="3" s="1"/>
  <c r="F110" i="3"/>
  <c r="G110" i="3" s="1"/>
  <c r="F102" i="3"/>
  <c r="G102" i="3" s="1"/>
  <c r="F94" i="3"/>
  <c r="G94" i="3" s="1"/>
  <c r="F126" i="3"/>
  <c r="G126" i="3" s="1"/>
  <c r="F86" i="3"/>
  <c r="G86" i="3" s="1"/>
  <c r="F78" i="3"/>
  <c r="G78" i="3" s="1"/>
  <c r="F70" i="3"/>
  <c r="G70" i="3" s="1"/>
  <c r="F62" i="3"/>
  <c r="G62" i="3" s="1"/>
  <c r="F54" i="3"/>
  <c r="G54" i="3" s="1"/>
  <c r="F14" i="3"/>
  <c r="G14" i="3" s="1"/>
  <c r="F192" i="3"/>
  <c r="G192" i="3" s="1"/>
  <c r="F176" i="3"/>
  <c r="G176" i="3" s="1"/>
  <c r="F160" i="3"/>
  <c r="G160" i="3" s="1"/>
  <c r="F144" i="3"/>
  <c r="G144" i="3" s="1"/>
  <c r="F128" i="3"/>
  <c r="G128" i="3" s="1"/>
  <c r="F3" i="3"/>
  <c r="G3" i="3" s="1"/>
  <c r="F27" i="3"/>
  <c r="G27" i="3" s="1"/>
  <c r="F43" i="3"/>
  <c r="G43" i="3" s="1"/>
  <c r="F33" i="3"/>
  <c r="G33" i="3" s="1"/>
  <c r="F49" i="3"/>
  <c r="G49" i="3" s="1"/>
  <c r="F65" i="3"/>
  <c r="G65" i="3" s="1"/>
  <c r="F81" i="3"/>
  <c r="G81" i="3" s="1"/>
  <c r="F97" i="3"/>
  <c r="G97" i="3" s="1"/>
  <c r="F115" i="3"/>
  <c r="G115" i="3" s="1"/>
  <c r="F121" i="3"/>
  <c r="G121" i="3" s="1"/>
  <c r="F129" i="3"/>
  <c r="G129" i="3" s="1"/>
  <c r="F137" i="3"/>
  <c r="G137" i="3" s="1"/>
  <c r="F145" i="3"/>
  <c r="G145" i="3" s="1"/>
  <c r="F153" i="3"/>
  <c r="G153" i="3" s="1"/>
  <c r="F161" i="3"/>
  <c r="G161" i="3" s="1"/>
  <c r="F169" i="3"/>
  <c r="G169" i="3" s="1"/>
  <c r="F177" i="3"/>
  <c r="G177" i="3" s="1"/>
  <c r="F185" i="3"/>
  <c r="G185" i="3" s="1"/>
  <c r="F41" i="3"/>
  <c r="G41" i="3" s="1"/>
  <c r="F7" i="3"/>
  <c r="G7" i="3" s="1"/>
  <c r="F69" i="3"/>
  <c r="G69" i="3" s="1"/>
  <c r="F17" i="3"/>
  <c r="G17" i="3" s="1"/>
  <c r="F59" i="3"/>
  <c r="G59" i="3" s="1"/>
  <c r="F9" i="3"/>
  <c r="G9" i="3" s="1"/>
  <c r="F18" i="3"/>
  <c r="G18" i="3" s="1"/>
  <c r="F23" i="3"/>
  <c r="G23" i="3" s="1"/>
  <c r="F39" i="3"/>
  <c r="G39" i="3" s="1"/>
  <c r="F55" i="3"/>
  <c r="G55" i="3" s="1"/>
  <c r="F71" i="3"/>
  <c r="G71" i="3" s="1"/>
  <c r="F87" i="3"/>
  <c r="G87" i="3" s="1"/>
  <c r="F103" i="3"/>
  <c r="G103" i="3" s="1"/>
  <c r="F281" i="3"/>
  <c r="G281" i="3" s="1"/>
  <c r="F287" i="3"/>
  <c r="G287" i="3" s="1"/>
  <c r="F313" i="3"/>
  <c r="G313" i="3" s="1"/>
  <c r="F319" i="3"/>
  <c r="G319" i="3" s="1"/>
  <c r="F200" i="3"/>
  <c r="G200" i="3" s="1"/>
  <c r="F208" i="3"/>
  <c r="G208" i="3" s="1"/>
  <c r="F216" i="3"/>
  <c r="G216" i="3" s="1"/>
  <c r="F224" i="3"/>
  <c r="G224" i="3" s="1"/>
  <c r="F232" i="3"/>
  <c r="G232" i="3" s="1"/>
  <c r="F240" i="3"/>
  <c r="G240" i="3" s="1"/>
  <c r="F248" i="3"/>
  <c r="G248" i="3" s="1"/>
  <c r="F256" i="3"/>
  <c r="G256" i="3" s="1"/>
  <c r="F264" i="3"/>
  <c r="G264" i="3" s="1"/>
  <c r="F268" i="3"/>
  <c r="G268" i="3" s="1"/>
  <c r="F275" i="3"/>
  <c r="G275" i="3" s="1"/>
  <c r="F288" i="3"/>
  <c r="G288" i="3" s="1"/>
  <c r="F300" i="3"/>
  <c r="G300" i="3" s="1"/>
  <c r="F307" i="3"/>
  <c r="G307" i="3" s="1"/>
  <c r="F320" i="3"/>
  <c r="G320" i="3" s="1"/>
  <c r="F332" i="3"/>
  <c r="G332" i="3" s="1"/>
  <c r="F158" i="3"/>
  <c r="G158" i="3" s="1"/>
  <c r="F166" i="3"/>
  <c r="G166" i="3" s="1"/>
  <c r="F174" i="3"/>
  <c r="G174" i="3" s="1"/>
  <c r="F182" i="3"/>
  <c r="G182" i="3" s="1"/>
  <c r="F190" i="3"/>
  <c r="G190" i="3" s="1"/>
  <c r="F193" i="3"/>
  <c r="G193" i="3" s="1"/>
  <c r="F196" i="3"/>
  <c r="G196" i="3" s="1"/>
  <c r="F201" i="3"/>
  <c r="G201" i="3" s="1"/>
  <c r="F204" i="3"/>
  <c r="G204" i="3" s="1"/>
  <c r="F209" i="3"/>
  <c r="G209" i="3" s="1"/>
  <c r="F212" i="3"/>
  <c r="G212" i="3" s="1"/>
  <c r="F217" i="3"/>
  <c r="G217" i="3" s="1"/>
  <c r="F220" i="3"/>
  <c r="G220" i="3" s="1"/>
  <c r="F225" i="3"/>
  <c r="G225" i="3" s="1"/>
  <c r="F228" i="3"/>
  <c r="G228" i="3" s="1"/>
  <c r="F233" i="3"/>
  <c r="G233" i="3" s="1"/>
  <c r="F236" i="3"/>
  <c r="G236" i="3" s="1"/>
  <c r="F241" i="3"/>
  <c r="G241" i="3" s="1"/>
  <c r="F244" i="3"/>
  <c r="G244" i="3" s="1"/>
  <c r="F249" i="3"/>
  <c r="G249" i="3" s="1"/>
  <c r="F252" i="3"/>
  <c r="G252" i="3" s="1"/>
  <c r="F257" i="3"/>
  <c r="G257" i="3" s="1"/>
  <c r="F260" i="3"/>
  <c r="G260" i="3" s="1"/>
  <c r="F265" i="3"/>
  <c r="G265" i="3" s="1"/>
  <c r="F289" i="3"/>
  <c r="G289" i="3" s="1"/>
  <c r="F295" i="3"/>
  <c r="G295" i="3" s="1"/>
  <c r="F321" i="3"/>
  <c r="G321" i="3" s="1"/>
  <c r="F327" i="3"/>
  <c r="G327" i="3" s="1"/>
  <c r="F276" i="3"/>
  <c r="G276" i="3" s="1"/>
  <c r="F283" i="3"/>
  <c r="G283" i="3" s="1"/>
  <c r="F296" i="3"/>
  <c r="G296" i="3" s="1"/>
  <c r="F308" i="3"/>
  <c r="G308" i="3" s="1"/>
  <c r="F315" i="3"/>
  <c r="G315" i="3" s="1"/>
  <c r="F328" i="3"/>
  <c r="G328" i="3" s="1"/>
  <c r="F108" i="3"/>
  <c r="G108" i="3" s="1"/>
  <c r="F116" i="3"/>
  <c r="G116" i="3" s="1"/>
  <c r="F124" i="3"/>
  <c r="G124" i="3" s="1"/>
  <c r="F132" i="3"/>
  <c r="G132" i="3" s="1"/>
  <c r="F140" i="3"/>
  <c r="G140" i="3" s="1"/>
  <c r="F148" i="3"/>
  <c r="G148" i="3" s="1"/>
  <c r="F156" i="3"/>
  <c r="G156" i="3" s="1"/>
  <c r="F164" i="3"/>
  <c r="G164" i="3" s="1"/>
  <c r="F172" i="3"/>
  <c r="G172" i="3" s="1"/>
  <c r="F180" i="3"/>
  <c r="G180" i="3" s="1"/>
  <c r="F188" i="3"/>
  <c r="G188" i="3" s="1"/>
  <c r="F197" i="3"/>
  <c r="G197" i="3" s="1"/>
  <c r="F205" i="3"/>
  <c r="G205" i="3" s="1"/>
  <c r="F213" i="3"/>
  <c r="G213" i="3" s="1"/>
  <c r="F221" i="3"/>
  <c r="G221" i="3" s="1"/>
  <c r="F229" i="3"/>
  <c r="G229" i="3" s="1"/>
  <c r="F237" i="3"/>
  <c r="G237" i="3" s="1"/>
  <c r="F245" i="3"/>
  <c r="G245" i="3" s="1"/>
  <c r="F253" i="3"/>
  <c r="G253" i="3" s="1"/>
  <c r="F271" i="3"/>
  <c r="G271" i="3" s="1"/>
  <c r="F297" i="3"/>
  <c r="G297" i="3" s="1"/>
  <c r="F303" i="3"/>
  <c r="G303" i="3" s="1"/>
  <c r="F329" i="3"/>
  <c r="G329" i="3" s="1"/>
  <c r="F335" i="3"/>
  <c r="G335" i="3" s="1"/>
  <c r="F334" i="3"/>
  <c r="G334" i="3" s="1"/>
  <c r="F326" i="3"/>
  <c r="G326" i="3" s="1"/>
  <c r="F318" i="3"/>
  <c r="G318" i="3" s="1"/>
  <c r="F310" i="3"/>
  <c r="G310" i="3" s="1"/>
  <c r="F302" i="3"/>
  <c r="G302" i="3" s="1"/>
  <c r="F294" i="3"/>
  <c r="G294" i="3" s="1"/>
  <c r="F286" i="3"/>
  <c r="G286" i="3" s="1"/>
  <c r="F278" i="3"/>
  <c r="G278" i="3" s="1"/>
  <c r="F270" i="3"/>
  <c r="G270" i="3" s="1"/>
  <c r="F333" i="3"/>
  <c r="G333" i="3" s="1"/>
  <c r="F325" i="3"/>
  <c r="G325" i="3" s="1"/>
  <c r="F317" i="3"/>
  <c r="G317" i="3" s="1"/>
  <c r="F309" i="3"/>
  <c r="G309" i="3" s="1"/>
  <c r="F301" i="3"/>
  <c r="G301" i="3" s="1"/>
  <c r="F293" i="3"/>
  <c r="G293" i="3" s="1"/>
  <c r="F285" i="3"/>
  <c r="G285" i="3" s="1"/>
  <c r="F277" i="3"/>
  <c r="G277" i="3" s="1"/>
  <c r="F269" i="3"/>
  <c r="G269" i="3" s="1"/>
  <c r="F330" i="3"/>
  <c r="G330" i="3" s="1"/>
  <c r="F322" i="3"/>
  <c r="G322" i="3" s="1"/>
  <c r="F314" i="3"/>
  <c r="G314" i="3" s="1"/>
  <c r="F306" i="3"/>
  <c r="G306" i="3" s="1"/>
  <c r="F298" i="3"/>
  <c r="G298" i="3" s="1"/>
  <c r="F290" i="3"/>
  <c r="G290" i="3" s="1"/>
  <c r="F282" i="3"/>
  <c r="G282" i="3" s="1"/>
  <c r="F274" i="3"/>
  <c r="G274" i="3" s="1"/>
  <c r="F266" i="3"/>
  <c r="G266" i="3" s="1"/>
  <c r="F194" i="3"/>
  <c r="G194" i="3" s="1"/>
  <c r="F202" i="3"/>
  <c r="G202" i="3" s="1"/>
  <c r="F210" i="3"/>
  <c r="G210" i="3" s="1"/>
  <c r="F218" i="3"/>
  <c r="G218" i="3" s="1"/>
  <c r="F226" i="3"/>
  <c r="G226" i="3" s="1"/>
  <c r="F234" i="3"/>
  <c r="G234" i="3" s="1"/>
  <c r="F242" i="3"/>
  <c r="G242" i="3" s="1"/>
  <c r="F250" i="3"/>
  <c r="G250" i="3" s="1"/>
  <c r="F258" i="3"/>
  <c r="G258" i="3" s="1"/>
  <c r="F272" i="3"/>
  <c r="G272" i="3" s="1"/>
  <c r="F284" i="3"/>
  <c r="G284" i="3" s="1"/>
  <c r="F291" i="3"/>
  <c r="G291" i="3" s="1"/>
  <c r="F304" i="3"/>
  <c r="G304" i="3" s="1"/>
  <c r="F316" i="3"/>
  <c r="G316" i="3" s="1"/>
  <c r="F323" i="3"/>
  <c r="G323" i="3" s="1"/>
  <c r="F336" i="3"/>
  <c r="G336" i="3" s="1"/>
  <c r="F106" i="3"/>
  <c r="G106" i="3" s="1"/>
  <c r="F114" i="3"/>
  <c r="G114" i="3" s="1"/>
  <c r="F122" i="3"/>
  <c r="G122" i="3" s="1"/>
  <c r="F130" i="3"/>
  <c r="G130" i="3" s="1"/>
  <c r="F138" i="3"/>
  <c r="G138" i="3" s="1"/>
  <c r="F146" i="3"/>
  <c r="G146" i="3" s="1"/>
  <c r="F154" i="3"/>
  <c r="G154" i="3" s="1"/>
  <c r="F162" i="3"/>
  <c r="G162" i="3" s="1"/>
  <c r="F170" i="3"/>
  <c r="G170" i="3" s="1"/>
  <c r="F178" i="3"/>
  <c r="G178" i="3" s="1"/>
  <c r="F186" i="3"/>
  <c r="G186" i="3" s="1"/>
  <c r="F198" i="3"/>
  <c r="G198" i="3" s="1"/>
  <c r="F206" i="3"/>
  <c r="G206" i="3" s="1"/>
  <c r="F214" i="3"/>
  <c r="G214" i="3" s="1"/>
  <c r="F222" i="3"/>
  <c r="G222" i="3" s="1"/>
  <c r="F230" i="3"/>
  <c r="G230" i="3" s="1"/>
  <c r="F238" i="3"/>
  <c r="G238" i="3" s="1"/>
  <c r="F246" i="3"/>
  <c r="G246" i="3" s="1"/>
  <c r="F254" i="3"/>
  <c r="G254" i="3" s="1"/>
  <c r="F262" i="3"/>
  <c r="G262" i="3" s="1"/>
  <c r="F267" i="3"/>
  <c r="G267" i="3" s="1"/>
  <c r="F273" i="3"/>
  <c r="G273" i="3" s="1"/>
  <c r="F279" i="3"/>
  <c r="G279" i="3" s="1"/>
  <c r="F305" i="3"/>
  <c r="G305" i="3" s="1"/>
  <c r="F311" i="3"/>
  <c r="G311" i="3" s="1"/>
  <c r="F337" i="3"/>
  <c r="G337" i="3" s="1"/>
  <c r="F165" i="3"/>
  <c r="G165" i="3" s="1"/>
  <c r="F173" i="3"/>
  <c r="G173" i="3" s="1"/>
  <c r="F181" i="3"/>
  <c r="G181" i="3" s="1"/>
  <c r="F189" i="3"/>
  <c r="G189" i="3" s="1"/>
  <c r="F195" i="3"/>
  <c r="G195" i="3" s="1"/>
  <c r="F199" i="3"/>
  <c r="G199" i="3" s="1"/>
  <c r="F203" i="3"/>
  <c r="G203" i="3" s="1"/>
  <c r="F207" i="3"/>
  <c r="G207" i="3" s="1"/>
  <c r="F211" i="3"/>
  <c r="G211" i="3" s="1"/>
  <c r="F215" i="3"/>
  <c r="G215" i="3" s="1"/>
  <c r="F219" i="3"/>
  <c r="G219" i="3" s="1"/>
  <c r="F223" i="3"/>
  <c r="G223" i="3" s="1"/>
  <c r="F227" i="3"/>
  <c r="G227" i="3" s="1"/>
  <c r="F231" i="3"/>
  <c r="G231" i="3" s="1"/>
  <c r="F235" i="3"/>
  <c r="G235" i="3" s="1"/>
  <c r="F239" i="3"/>
  <c r="G239" i="3" s="1"/>
  <c r="F243" i="3"/>
  <c r="G243" i="3" s="1"/>
  <c r="F247" i="3"/>
  <c r="G247" i="3" s="1"/>
  <c r="F251" i="3"/>
  <c r="G251" i="3" s="1"/>
  <c r="F255" i="3"/>
  <c r="G255" i="3" s="1"/>
  <c r="F259" i="3"/>
  <c r="G259" i="3" s="1"/>
  <c r="F263" i="3"/>
  <c r="G263" i="3" s="1"/>
  <c r="F280" i="3"/>
  <c r="G280" i="3" s="1"/>
  <c r="F292" i="3"/>
  <c r="G292" i="3" s="1"/>
  <c r="F299" i="3"/>
  <c r="G299" i="3" s="1"/>
  <c r="F312" i="3"/>
  <c r="G312" i="3" s="1"/>
  <c r="F324" i="3"/>
  <c r="G324" i="3" s="1"/>
  <c r="F331" i="3"/>
  <c r="G331" i="3" s="1"/>
  <c r="L15" i="6"/>
  <c r="C16" i="6" s="1"/>
  <c r="L16" i="6" s="1"/>
  <c r="C17" i="6" s="1"/>
  <c r="L17" i="6" s="1"/>
  <c r="C18" i="6" s="1"/>
  <c r="L18" i="6" s="1"/>
  <c r="C19" i="6" s="1"/>
  <c r="L19" i="6" s="1"/>
  <c r="C20" i="6" s="1"/>
  <c r="L20" i="6" s="1"/>
  <c r="C21" i="6" s="1"/>
  <c r="L21" i="6" s="1"/>
  <c r="C22" i="6" s="1"/>
  <c r="L22" i="6" s="1"/>
  <c r="C23" i="6" s="1"/>
  <c r="L23" i="6" s="1"/>
  <c r="C24" i="6" s="1"/>
  <c r="L24" i="6" s="1"/>
  <c r="C25" i="6" s="1"/>
  <c r="L25" i="6" s="1"/>
  <c r="C26" i="6" s="1"/>
  <c r="L26" i="6" s="1"/>
  <c r="C27" i="6" s="1"/>
  <c r="L27" i="6" s="1"/>
  <c r="C28" i="6" s="1"/>
  <c r="L28" i="6" s="1"/>
  <c r="C29" i="6" s="1"/>
  <c r="L29" i="6" s="1"/>
  <c r="C30" i="6" s="1"/>
  <c r="L30" i="6" s="1"/>
  <c r="C31" i="6" s="1"/>
  <c r="L31" i="6" s="1"/>
  <c r="C32" i="6" s="1"/>
  <c r="L32" i="6" s="1"/>
  <c r="C33" i="6" s="1"/>
  <c r="L33" i="6" s="1"/>
  <c r="C34" i="6" s="1"/>
  <c r="L34" i="6" s="1"/>
  <c r="C35" i="6" s="1"/>
  <c r="L35" i="6" s="1"/>
  <c r="C36" i="6" s="1"/>
  <c r="L36" i="6" s="1"/>
  <c r="C37" i="6" s="1"/>
  <c r="L37" i="6" s="1"/>
  <c r="C38" i="6" s="1"/>
  <c r="L38" i="6" s="1"/>
  <c r="C39" i="6" s="1"/>
  <c r="L39" i="6" s="1"/>
  <c r="C40" i="6" s="1"/>
  <c r="L40" i="6" s="1"/>
  <c r="C41" i="6" s="1"/>
  <c r="L41" i="6" s="1"/>
  <c r="C42" i="6" s="1"/>
  <c r="L42" i="6" s="1"/>
  <c r="C43" i="6" s="1"/>
  <c r="L43" i="6" s="1"/>
  <c r="C44" i="6" s="1"/>
  <c r="L44" i="6" s="1"/>
  <c r="C45" i="6" s="1"/>
  <c r="L45" i="6" s="1"/>
  <c r="C46" i="6" s="1"/>
  <c r="L46" i="6" s="1"/>
  <c r="C47" i="6" s="1"/>
  <c r="L47" i="6" s="1"/>
  <c r="C48" i="6" s="1"/>
  <c r="L48" i="6" s="1"/>
  <c r="C49" i="6" s="1"/>
  <c r="L49" i="6" s="1"/>
  <c r="C50" i="6" s="1"/>
  <c r="L50" i="6" s="1"/>
  <c r="C51" i="6" s="1"/>
  <c r="L51" i="6" s="1"/>
  <c r="C52" i="6" s="1"/>
  <c r="L52" i="6" s="1"/>
  <c r="C53" i="6" s="1"/>
  <c r="L53" i="6" s="1"/>
  <c r="C54" i="6" s="1"/>
  <c r="L54" i="6" s="1"/>
  <c r="C55" i="6" s="1"/>
  <c r="L55" i="6" s="1"/>
  <c r="C56" i="6" s="1"/>
  <c r="L56" i="6" s="1"/>
  <c r="C57" i="6" s="1"/>
  <c r="L57" i="6" s="1"/>
  <c r="C58" i="6" s="1"/>
  <c r="L58" i="6" s="1"/>
  <c r="C59" i="6" s="1"/>
  <c r="L59" i="6" s="1"/>
  <c r="C60" i="6" s="1"/>
  <c r="L60" i="6" s="1"/>
  <c r="C61" i="6" s="1"/>
  <c r="L61" i="6" s="1"/>
  <c r="C62" i="6" s="1"/>
  <c r="L62" i="6" s="1"/>
  <c r="C63" i="6" s="1"/>
  <c r="L63" i="6" s="1"/>
  <c r="C64" i="6" s="1"/>
  <c r="L64" i="6" s="1"/>
  <c r="C65" i="6" s="1"/>
  <c r="L65" i="6" s="1"/>
  <c r="C66" i="6" s="1"/>
  <c r="L66" i="6" s="1"/>
  <c r="C67" i="6" s="1"/>
  <c r="L67" i="6" s="1"/>
  <c r="C68" i="6" s="1"/>
  <c r="L68" i="6" s="1"/>
  <c r="C69" i="6" s="1"/>
  <c r="L69" i="6" s="1"/>
  <c r="C70" i="6" s="1"/>
  <c r="L70" i="6" s="1"/>
  <c r="C71" i="6" s="1"/>
  <c r="L71" i="6" s="1"/>
  <c r="C72" i="6" s="1"/>
  <c r="L72" i="6" s="1"/>
  <c r="C73" i="6" s="1"/>
  <c r="L73" i="6" s="1"/>
  <c r="C74" i="6" s="1"/>
  <c r="L74" i="6" s="1"/>
  <c r="C75" i="6" s="1"/>
  <c r="L75" i="6" s="1"/>
  <c r="C76" i="6" s="1"/>
  <c r="L76" i="6" s="1"/>
  <c r="C77" i="6" s="1"/>
  <c r="L77" i="6" s="1"/>
  <c r="C78" i="6" s="1"/>
  <c r="L78" i="6" s="1"/>
  <c r="C79" i="6" s="1"/>
  <c r="L79" i="6" s="1"/>
  <c r="C80" i="6" s="1"/>
  <c r="L80" i="6" s="1"/>
  <c r="C81" i="6" s="1"/>
  <c r="L81" i="6" s="1"/>
  <c r="C82" i="6" s="1"/>
  <c r="L82" i="6" s="1"/>
  <c r="C83" i="6" s="1"/>
  <c r="L83" i="6" s="1"/>
  <c r="C84" i="6" s="1"/>
  <c r="L84" i="6" s="1"/>
  <c r="C85" i="6" s="1"/>
  <c r="L85" i="6" s="1"/>
  <c r="C86" i="6" s="1"/>
  <c r="L86" i="6" s="1"/>
  <c r="C87" i="6" s="1"/>
  <c r="L87" i="6" s="1"/>
  <c r="C88" i="6" s="1"/>
  <c r="L88" i="6" s="1"/>
  <c r="C89" i="6" s="1"/>
  <c r="L89" i="6" s="1"/>
  <c r="C90" i="6" s="1"/>
  <c r="L90" i="6" s="1"/>
  <c r="C91" i="6" s="1"/>
  <c r="L91" i="6" s="1"/>
  <c r="C92" i="6" s="1"/>
  <c r="L92" i="6" s="1"/>
  <c r="C93" i="6" s="1"/>
  <c r="L93" i="6" s="1"/>
  <c r="C94" i="6" s="1"/>
  <c r="L94" i="6" s="1"/>
  <c r="C95" i="6" s="1"/>
  <c r="L95" i="6" s="1"/>
  <c r="C96" i="6" s="1"/>
  <c r="L96" i="6" s="1"/>
  <c r="C97" i="6" s="1"/>
  <c r="L97" i="6" s="1"/>
  <c r="C98" i="6" s="1"/>
  <c r="L98" i="6" s="1"/>
  <c r="C99" i="6" s="1"/>
  <c r="L99" i="6" s="1"/>
  <c r="C100" i="6" s="1"/>
  <c r="L100" i="6" s="1"/>
  <c r="C101" i="6" s="1"/>
  <c r="L101" i="6" s="1"/>
  <c r="C102" i="6" s="1"/>
  <c r="L102" i="6" s="1"/>
  <c r="C103" i="6" s="1"/>
  <c r="L103" i="6" s="1"/>
  <c r="C104" i="6" s="1"/>
  <c r="L104" i="6" s="1"/>
  <c r="C105" i="6" s="1"/>
  <c r="L105" i="6" s="1"/>
  <c r="C106" i="6" s="1"/>
  <c r="L106" i="6" s="1"/>
  <c r="C107" i="6" s="1"/>
  <c r="L107" i="6" s="1"/>
  <c r="C108" i="6" s="1"/>
  <c r="L108" i="6" s="1"/>
  <c r="C109" i="6" s="1"/>
  <c r="L109" i="6" s="1"/>
  <c r="C110" i="6" s="1"/>
  <c r="L110" i="6" s="1"/>
  <c r="C111" i="6" s="1"/>
  <c r="L111" i="6" s="1"/>
  <c r="C112" i="6" s="1"/>
  <c r="L112" i="6" s="1"/>
  <c r="C113" i="6" s="1"/>
  <c r="L113" i="6" s="1"/>
  <c r="C114" i="6" s="1"/>
  <c r="L114" i="6" s="1"/>
  <c r="C115" i="6" s="1"/>
  <c r="L115" i="6" s="1"/>
  <c r="C116" i="6" s="1"/>
  <c r="L116" i="6" s="1"/>
  <c r="C117" i="6" s="1"/>
  <c r="L117" i="6" s="1"/>
  <c r="C118" i="6" s="1"/>
  <c r="L118" i="6" s="1"/>
  <c r="C119" i="6" s="1"/>
  <c r="L119" i="6" s="1"/>
  <c r="C120" i="6" s="1"/>
  <c r="L120" i="6" s="1"/>
  <c r="C121" i="6" s="1"/>
  <c r="L121" i="6" s="1"/>
  <c r="C122" i="6" s="1"/>
  <c r="L122" i="6" s="1"/>
  <c r="C123" i="6" s="1"/>
  <c r="L123" i="6" s="1"/>
  <c r="C124" i="6" s="1"/>
  <c r="L124" i="6" s="1"/>
  <c r="C125" i="6" s="1"/>
  <c r="L125" i="6" s="1"/>
  <c r="C126" i="6" s="1"/>
  <c r="L126" i="6" s="1"/>
  <c r="C127" i="6" s="1"/>
  <c r="L127" i="6" s="1"/>
  <c r="C128" i="6" s="1"/>
  <c r="L128" i="6" s="1"/>
  <c r="C129" i="6" s="1"/>
  <c r="L129" i="6" s="1"/>
  <c r="C130" i="6" s="1"/>
  <c r="L130" i="6" s="1"/>
  <c r="C131" i="6" s="1"/>
  <c r="L131" i="6" s="1"/>
  <c r="C132" i="6" s="1"/>
  <c r="L132" i="6" s="1"/>
  <c r="C133" i="6" s="1"/>
  <c r="L133" i="6" s="1"/>
  <c r="C134" i="6" s="1"/>
  <c r="L134" i="6" s="1"/>
  <c r="C135" i="6" s="1"/>
  <c r="L135" i="6" s="1"/>
  <c r="C136" i="6" s="1"/>
  <c r="L136" i="6" s="1"/>
  <c r="C137" i="6" s="1"/>
  <c r="L137" i="6" s="1"/>
  <c r="C138" i="6" s="1"/>
  <c r="L138" i="6" s="1"/>
  <c r="C139" i="6" s="1"/>
  <c r="L139" i="6" s="1"/>
  <c r="C140" i="6" s="1"/>
  <c r="L140" i="6" s="1"/>
  <c r="C141" i="6" s="1"/>
  <c r="L141" i="6" s="1"/>
  <c r="C142" i="6" s="1"/>
  <c r="L142" i="6" s="1"/>
  <c r="C143" i="6" s="1"/>
  <c r="L143" i="6" s="1"/>
  <c r="C144" i="6" s="1"/>
  <c r="L144" i="6" s="1"/>
  <c r="C145" i="6" s="1"/>
  <c r="L145" i="6" s="1"/>
  <c r="C146" i="6" s="1"/>
  <c r="L146" i="6" s="1"/>
  <c r="C147" i="6" s="1"/>
  <c r="L147" i="6" s="1"/>
  <c r="C148" i="6" s="1"/>
  <c r="L148" i="6" s="1"/>
  <c r="C149" i="6" s="1"/>
  <c r="L149" i="6" s="1"/>
  <c r="C150" i="6" s="1"/>
  <c r="L150" i="6" s="1"/>
  <c r="C151" i="6" s="1"/>
  <c r="L151" i="6" s="1"/>
  <c r="C152" i="6" s="1"/>
  <c r="L152" i="6" s="1"/>
  <c r="C153" i="6" s="1"/>
  <c r="L153" i="6" s="1"/>
  <c r="C154" i="6" s="1"/>
  <c r="L154" i="6" s="1"/>
  <c r="C155" i="6" s="1"/>
  <c r="L155" i="6" s="1"/>
  <c r="C156" i="6" s="1"/>
  <c r="L156" i="6" s="1"/>
  <c r="C157" i="6" s="1"/>
  <c r="L157" i="6" s="1"/>
  <c r="C158" i="6" s="1"/>
  <c r="L158" i="6" s="1"/>
  <c r="C159" i="6" s="1"/>
  <c r="L159" i="6" s="1"/>
  <c r="C160" i="6" s="1"/>
  <c r="L160" i="6" s="1"/>
  <c r="C161" i="6" s="1"/>
  <c r="L161" i="6" s="1"/>
  <c r="C162" i="6" s="1"/>
  <c r="L162" i="6" s="1"/>
  <c r="C163" i="6" s="1"/>
  <c r="L163" i="6" s="1"/>
  <c r="C164" i="6" s="1"/>
  <c r="L164" i="6" s="1"/>
  <c r="C165" i="6" s="1"/>
  <c r="L165" i="6" s="1"/>
  <c r="C166" i="6" s="1"/>
  <c r="L166" i="6" s="1"/>
  <c r="C167" i="6" s="1"/>
  <c r="L167" i="6" s="1"/>
  <c r="C168" i="6" s="1"/>
  <c r="L168" i="6" s="1"/>
  <c r="C169" i="6" s="1"/>
  <c r="L169" i="6" s="1"/>
  <c r="C170" i="6" s="1"/>
  <c r="L170" i="6" s="1"/>
  <c r="C171" i="6" s="1"/>
  <c r="L171" i="6" s="1"/>
  <c r="C172" i="6" s="1"/>
  <c r="L172" i="6" s="1"/>
  <c r="C173" i="6" s="1"/>
  <c r="L173" i="6" s="1"/>
  <c r="C174" i="6" s="1"/>
  <c r="L174" i="6" s="1"/>
  <c r="C175" i="6" s="1"/>
  <c r="L175" i="6" s="1"/>
  <c r="C176" i="6" s="1"/>
  <c r="L176" i="6" s="1"/>
  <c r="C177" i="6" s="1"/>
  <c r="L177" i="6" s="1"/>
  <c r="C178" i="6" s="1"/>
  <c r="L178" i="6" s="1"/>
  <c r="C179" i="6" s="1"/>
  <c r="L179" i="6" s="1"/>
  <c r="C180" i="6" s="1"/>
  <c r="L180" i="6" s="1"/>
  <c r="C181" i="6" s="1"/>
  <c r="L181" i="6" s="1"/>
  <c r="C182" i="6" s="1"/>
  <c r="L182" i="6" s="1"/>
  <c r="C183" i="6" s="1"/>
  <c r="L183" i="6" s="1"/>
  <c r="C184" i="6" s="1"/>
  <c r="L184" i="6" s="1"/>
  <c r="C185" i="6" s="1"/>
  <c r="L185" i="6" s="1"/>
  <c r="C186" i="6" s="1"/>
  <c r="L186" i="6" s="1"/>
  <c r="C187" i="6" s="1"/>
  <c r="L187" i="6" s="1"/>
  <c r="C188" i="6" s="1"/>
  <c r="L188" i="6" s="1"/>
  <c r="C189" i="6" s="1"/>
  <c r="L189" i="6" s="1"/>
  <c r="C190" i="6" s="1"/>
  <c r="L190" i="6" s="1"/>
  <c r="C191" i="6" s="1"/>
  <c r="L191" i="6" s="1"/>
  <c r="C192" i="6" s="1"/>
  <c r="L192" i="6" s="1"/>
  <c r="C193" i="6" s="1"/>
  <c r="L193" i="6" s="1"/>
  <c r="C194" i="6" s="1"/>
  <c r="L194" i="6" s="1"/>
  <c r="C195" i="6" s="1"/>
  <c r="L195" i="6" s="1"/>
  <c r="C196" i="6" s="1"/>
  <c r="L196" i="6" s="1"/>
  <c r="C197" i="6" s="1"/>
  <c r="L197" i="6" s="1"/>
  <c r="C198" i="6" s="1"/>
  <c r="L198" i="6" s="1"/>
  <c r="C199" i="6" s="1"/>
  <c r="L199" i="6" s="1"/>
  <c r="C200" i="6" s="1"/>
  <c r="L200" i="6" s="1"/>
  <c r="E7" i="6"/>
  <c r="K201" i="6" l="1"/>
  <c r="J201" i="6"/>
  <c r="I201" i="6"/>
  <c r="E201" i="6"/>
  <c r="D201" i="6"/>
  <c r="F12" i="6"/>
  <c r="L12" i="6" s="1"/>
  <c r="E8" i="6"/>
  <c r="E4" i="6"/>
  <c r="E6" i="6" l="1"/>
  <c r="H201" i="6"/>
  <c r="H7" i="6"/>
  <c r="G201" i="6" l="1"/>
  <c r="L201" i="6"/>
  <c r="F201" i="6" l="1"/>
  <c r="E5" i="6"/>
  <c r="H6" i="6" s="1"/>
  <c r="H5" i="6" s="1"/>
  <c r="H2" i="5"/>
</calcChain>
</file>

<file path=xl/sharedStrings.xml><?xml version="1.0" encoding="utf-8"?>
<sst xmlns="http://schemas.openxmlformats.org/spreadsheetml/2006/main" count="1372" uniqueCount="1016">
  <si>
    <t>Khách hàng</t>
  </si>
  <si>
    <t>Số thẻ</t>
  </si>
  <si>
    <t>Ngày mở thẻ</t>
  </si>
  <si>
    <t>Ngày quá hạn</t>
  </si>
  <si>
    <t>Số ngày quá hạn</t>
  </si>
  <si>
    <t>Nợ gốc</t>
  </si>
  <si>
    <t>Nợ lãi</t>
  </si>
  <si>
    <t>Tổng</t>
  </si>
  <si>
    <t>Ngày bắt đầu sao kê</t>
  </si>
  <si>
    <t>Ngày sao kê</t>
  </si>
  <si>
    <t>Dư nợ đầu kỳ</t>
  </si>
  <si>
    <t>Dư nợ cuối kỳ</t>
  </si>
  <si>
    <t>Lãi phát sinh</t>
  </si>
  <si>
    <t>TỔNG</t>
  </si>
  <si>
    <t>TÔNG SỐ</t>
  </si>
  <si>
    <t>THÁNG TÍNH</t>
  </si>
  <si>
    <t>tổng tiền</t>
  </si>
  <si>
    <t>Dấu</t>
  </si>
  <si>
    <t>loại</t>
  </si>
  <si>
    <t>Tổng dư nợ</t>
  </si>
  <si>
    <t>Gốc đã trả </t>
  </si>
  <si>
    <t>Phí đã trả </t>
  </si>
  <si>
    <t>Lãi đã trả</t>
  </si>
  <si>
    <t>Tổng tiền trả trong  kỳ (gốc/lãi/phí) </t>
  </si>
  <si>
    <t>Tổng tiền khách hàng đã trả</t>
  </si>
  <si>
    <t>Tổng tiền khách hàng đã sử dụng</t>
  </si>
  <si>
    <t>+ Gốc đã trả</t>
  </si>
  <si>
    <t>Số thẻ (*)</t>
  </si>
  <si>
    <t>Ngày mở thẻ (*)</t>
  </si>
  <si>
    <t>Ngày quá hạn (*)</t>
  </si>
  <si>
    <t>Ngày cần tính (*)</t>
  </si>
  <si>
    <t>Tên KH (*)</t>
  </si>
  <si>
    <t>Ghi chú</t>
  </si>
  <si>
    <t>Lãi trả góp 
phát sinh</t>
  </si>
  <si>
    <t>Phí phát sinh
(ẩn khi xong)</t>
  </si>
  <si>
    <t>Tổng tiền sử dụng trong kỳ</t>
  </si>
  <si>
    <t>Ngày bắt đầu sao kê! Ví dụ: 26</t>
  </si>
  <si>
    <t>Ngày cần tính</t>
  </si>
  <si>
    <t>Nợ gốc = Tổng tiền sử dụng - gốc đã trả</t>
  </si>
  <si>
    <t>Nợ lãi = Lãi phát sính - lãi đã trả</t>
  </si>
  <si>
    <t>(*) Nếu có trả góp thì lãi cộng thêm phần lãi trả góp</t>
  </si>
  <si>
    <t>Phí lỹ kế</t>
  </si>
  <si>
    <t>Lãi lũy kế</t>
  </si>
  <si>
    <t>Nhập dư nợ gốc trên fin (*)</t>
  </si>
  <si>
    <t>Tự động</t>
  </si>
  <si>
    <t>BẢNG TÓM TẮT SAO KÊ THẺ</t>
  </si>
  <si>
    <t>+ Lãi đã trả</t>
  </si>
  <si>
    <t>+ Phí đã trả</t>
  </si>
  <si>
    <t>© boi baotg10 - ban quyen bao ve</t>
  </si>
  <si>
    <t>Interests</t>
  </si>
  <si>
    <t>Misc</t>
  </si>
  <si>
    <t>Transaction</t>
  </si>
  <si>
    <t>Virtual Card payment;</t>
  </si>
  <si>
    <t>Du no 1900-01</t>
  </si>
  <si>
    <t>Phi 1900-01</t>
  </si>
  <si>
    <t>Da thanh toan 1900-01</t>
  </si>
  <si>
    <t>Lai 1900-01</t>
  </si>
  <si>
    <t>Lai tra gop 1900-01</t>
  </si>
  <si>
    <t>bao</t>
  </si>
  <si>
    <t>tg10</t>
  </si>
  <si>
    <t>Du no 1900-02</t>
  </si>
  <si>
    <t>Phi 1900-02</t>
  </si>
  <si>
    <t>Da thanh toan 1900-02</t>
  </si>
  <si>
    <t>Lai 1900-02</t>
  </si>
  <si>
    <t>Lai tra gop 1900-02</t>
  </si>
  <si>
    <t>Du no 1900-03</t>
  </si>
  <si>
    <t>Phi 1900-03</t>
  </si>
  <si>
    <t>Da thanh toan 1900-03</t>
  </si>
  <si>
    <t>Lai 1900-03</t>
  </si>
  <si>
    <t>Lai tra gop 1900-03</t>
  </si>
  <si>
    <t>Du no 1900-04</t>
  </si>
  <si>
    <t>Phi 1900-04</t>
  </si>
  <si>
    <t>Da thanh toan 1900-04</t>
  </si>
  <si>
    <t>Lai 1900-04</t>
  </si>
  <si>
    <t>Lai tra gop 1900-04</t>
  </si>
  <si>
    <t>Du no 1900-05</t>
  </si>
  <si>
    <t>Phi 1900-05</t>
  </si>
  <si>
    <t>Da thanh toan 1900-05</t>
  </si>
  <si>
    <t>Lai 1900-05</t>
  </si>
  <si>
    <t>Lai tra gop 1900-05</t>
  </si>
  <si>
    <t>Du no 1900-06</t>
  </si>
  <si>
    <t>Phi 1900-06</t>
  </si>
  <si>
    <t>Da thanh toan 1900-06</t>
  </si>
  <si>
    <t>Lai 1900-06</t>
  </si>
  <si>
    <t>Lai tra gop 1900-06</t>
  </si>
  <si>
    <t>Du no 1900-07</t>
  </si>
  <si>
    <t>Phi 1900-07</t>
  </si>
  <si>
    <t>Da thanh toan 1900-07</t>
  </si>
  <si>
    <t>Lai 1900-07</t>
  </si>
  <si>
    <t>Lai tra gop 1900-07</t>
  </si>
  <si>
    <t>Du no 1900-08</t>
  </si>
  <si>
    <t>Phi 1900-08</t>
  </si>
  <si>
    <t>Da thanh toan 1900-08</t>
  </si>
  <si>
    <t>Lai 1900-08</t>
  </si>
  <si>
    <t>Lai tra gop 1900-08</t>
  </si>
  <si>
    <t>Du no 1900-09</t>
  </si>
  <si>
    <t>Phi 1900-09</t>
  </si>
  <si>
    <t>Da thanh toan 1900-09</t>
  </si>
  <si>
    <t>Lai 1900-09</t>
  </si>
  <si>
    <t>Lai tra gop 1900-09</t>
  </si>
  <si>
    <t>Du no 1900-10</t>
  </si>
  <si>
    <t>Phi 1900-10</t>
  </si>
  <si>
    <t>Da thanh toan 1900-10</t>
  </si>
  <si>
    <t>Lai 1900-10</t>
  </si>
  <si>
    <t>Lai tra gop 1900-10</t>
  </si>
  <si>
    <t>Du no 1900-11</t>
  </si>
  <si>
    <t>Phi 1900-11</t>
  </si>
  <si>
    <t>Da thanh toan 1900-11</t>
  </si>
  <si>
    <t>Lai 1900-11</t>
  </si>
  <si>
    <t>Lai tra gop 1900-11</t>
  </si>
  <si>
    <t>Du no 1900-12</t>
  </si>
  <si>
    <t>Phi 1900-12</t>
  </si>
  <si>
    <t>Da thanh toan 1900-12</t>
  </si>
  <si>
    <t>Lai 1900-12</t>
  </si>
  <si>
    <t>Lai tra gop 1900-12</t>
  </si>
  <si>
    <t>Du no 1900-13</t>
  </si>
  <si>
    <t>Phi 1900-13</t>
  </si>
  <si>
    <t>Da thanh toan 1900-13</t>
  </si>
  <si>
    <t>Lai 1900-13</t>
  </si>
  <si>
    <t>Lai tra gop 1900-13</t>
  </si>
  <si>
    <t>Du no 1900-14</t>
  </si>
  <si>
    <t>Phi 1900-14</t>
  </si>
  <si>
    <t>Da thanh toan 1900-14</t>
  </si>
  <si>
    <t>Lai 1900-14</t>
  </si>
  <si>
    <t>Lai tra gop 1900-14</t>
  </si>
  <si>
    <t>Du no 1900-15</t>
  </si>
  <si>
    <t>Phi 1900-15</t>
  </si>
  <si>
    <t>Da thanh toan 1900-15</t>
  </si>
  <si>
    <t>Lai 1900-15</t>
  </si>
  <si>
    <t>Lai tra gop 1900-15</t>
  </si>
  <si>
    <t>Du no 1900-16</t>
  </si>
  <si>
    <t>Phi 1900-16</t>
  </si>
  <si>
    <t>Da thanh toan 1900-16</t>
  </si>
  <si>
    <t>Lai 1900-16</t>
  </si>
  <si>
    <t>Lai tra gop 1900-16</t>
  </si>
  <si>
    <t>Du no 1900-17</t>
  </si>
  <si>
    <t>Phi 1900-17</t>
  </si>
  <si>
    <t>Da thanh toan 1900-17</t>
  </si>
  <si>
    <t>Lai 1900-17</t>
  </si>
  <si>
    <t>Lai tra gop 1900-17</t>
  </si>
  <si>
    <t>Du no 1900-18</t>
  </si>
  <si>
    <t>Phi 1900-18</t>
  </si>
  <si>
    <t>Da thanh toan 1900-18</t>
  </si>
  <si>
    <t>Lai 1900-18</t>
  </si>
  <si>
    <t>Lai tra gop 1900-18</t>
  </si>
  <si>
    <t>Du no 1900-19</t>
  </si>
  <si>
    <t>Phi 1900-19</t>
  </si>
  <si>
    <t>Da thanh toan 1900-19</t>
  </si>
  <si>
    <t>Lai 1900-19</t>
  </si>
  <si>
    <t>Lai tra gop 1900-19</t>
  </si>
  <si>
    <t>Du no 1900-20</t>
  </si>
  <si>
    <t>Phi 1900-20</t>
  </si>
  <si>
    <t>Da thanh toan 1900-20</t>
  </si>
  <si>
    <t>Lai 1900-20</t>
  </si>
  <si>
    <t>Lai tra gop 1900-20</t>
  </si>
  <si>
    <t>Du no 1900-21</t>
  </si>
  <si>
    <t>Phi 1900-21</t>
  </si>
  <si>
    <t>Da thanh toan 1900-21</t>
  </si>
  <si>
    <t>Lai 1900-21</t>
  </si>
  <si>
    <t>Lai tra gop 1900-21</t>
  </si>
  <si>
    <t>Du no 1900-22</t>
  </si>
  <si>
    <t>Phi 1900-22</t>
  </si>
  <si>
    <t>Da thanh toan 1900-22</t>
  </si>
  <si>
    <t>Lai 1900-22</t>
  </si>
  <si>
    <t>Lai tra gop 1900-22</t>
  </si>
  <si>
    <t>Du no 1900-23</t>
  </si>
  <si>
    <t>Phi 1900-23</t>
  </si>
  <si>
    <t>Da thanh toan 1900-23</t>
  </si>
  <si>
    <t>Lai 1900-23</t>
  </si>
  <si>
    <t>Lai tra gop 1900-23</t>
  </si>
  <si>
    <t>Du no 1900-24</t>
  </si>
  <si>
    <t>Phi 1900-24</t>
  </si>
  <si>
    <t>Da thanh toan 1900-24</t>
  </si>
  <si>
    <t>Lai 1900-24</t>
  </si>
  <si>
    <t>Lai tra gop 1900-24</t>
  </si>
  <si>
    <t>Du no 1900-25</t>
  </si>
  <si>
    <t>Phi 1900-25</t>
  </si>
  <si>
    <t>Da thanh toan 1900-25</t>
  </si>
  <si>
    <t>Lai 1900-25</t>
  </si>
  <si>
    <t>Lai tra gop 1900-25</t>
  </si>
  <si>
    <t>Du no 1900-26</t>
  </si>
  <si>
    <t>Phi 1900-26</t>
  </si>
  <si>
    <t>Da thanh toan 1900-26</t>
  </si>
  <si>
    <t>Lai 1900-26</t>
  </si>
  <si>
    <t>Lai tra gop 1900-26</t>
  </si>
  <si>
    <t>Du no 1900-27</t>
  </si>
  <si>
    <t>Phi 1900-27</t>
  </si>
  <si>
    <t>Da thanh toan 1900-27</t>
  </si>
  <si>
    <t>Lai 1900-27</t>
  </si>
  <si>
    <t>Lai tra gop 1900-27</t>
  </si>
  <si>
    <t>Du no 1900-28</t>
  </si>
  <si>
    <t>Phi 1900-28</t>
  </si>
  <si>
    <t>Da thanh toan 1900-28</t>
  </si>
  <si>
    <t>Lai 1900-28</t>
  </si>
  <si>
    <t>Lai tra gop 1900-28</t>
  </si>
  <si>
    <t>Du no 1900-29</t>
  </si>
  <si>
    <t>Phi 1900-29</t>
  </si>
  <si>
    <t>Da thanh toan 1900-29</t>
  </si>
  <si>
    <t>Lai 1900-29</t>
  </si>
  <si>
    <t>Lai tra gop 1900-29</t>
  </si>
  <si>
    <t>Du no 1900-30</t>
  </si>
  <si>
    <t>Phi 1900-30</t>
  </si>
  <si>
    <t>Da thanh toan 1900-30</t>
  </si>
  <si>
    <t>Lai 1900-30</t>
  </si>
  <si>
    <t>Lai tra gop 1900-30</t>
  </si>
  <si>
    <t>Du no 1900-31</t>
  </si>
  <si>
    <t>Phi 1900-31</t>
  </si>
  <si>
    <t>Da thanh toan 1900-31</t>
  </si>
  <si>
    <t>Lai 1900-31</t>
  </si>
  <si>
    <t>Lai tra gop 1900-31</t>
  </si>
  <si>
    <t>Du no 1900-32</t>
  </si>
  <si>
    <t>Phi 1900-32</t>
  </si>
  <si>
    <t>Da thanh toan 1900-32</t>
  </si>
  <si>
    <t>Lai 1900-32</t>
  </si>
  <si>
    <t>Lai tra gop 1900-32</t>
  </si>
  <si>
    <t>Du no 1900-33</t>
  </si>
  <si>
    <t>Phi 1900-33</t>
  </si>
  <si>
    <t>Da thanh toan 1900-33</t>
  </si>
  <si>
    <t>Lai 1900-33</t>
  </si>
  <si>
    <t>Lai tra gop 1900-33</t>
  </si>
  <si>
    <t>Du no 1900-34</t>
  </si>
  <si>
    <t>Phi 1900-34</t>
  </si>
  <si>
    <t>Da thanh toan 1900-34</t>
  </si>
  <si>
    <t>Lai 1900-34</t>
  </si>
  <si>
    <t>Lai tra gop 1900-34</t>
  </si>
  <si>
    <t>Du no 1900-35</t>
  </si>
  <si>
    <t>Phi 1900-35</t>
  </si>
  <si>
    <t>Da thanh toan 1900-35</t>
  </si>
  <si>
    <t>Lai 1900-35</t>
  </si>
  <si>
    <t>Lai tra gop 1900-35</t>
  </si>
  <si>
    <t>Du no 1900-36</t>
  </si>
  <si>
    <t>Phi 1900-36</t>
  </si>
  <si>
    <t>Da thanh toan 1900-36</t>
  </si>
  <si>
    <t>Lai 1900-36</t>
  </si>
  <si>
    <t>Lai tra gop 1900-36</t>
  </si>
  <si>
    <t>Du no 1900-37</t>
  </si>
  <si>
    <t>Phi 1900-37</t>
  </si>
  <si>
    <t>Da thanh toan 1900-37</t>
  </si>
  <si>
    <t>Lai 1900-37</t>
  </si>
  <si>
    <t>Lai tra gop 1900-37</t>
  </si>
  <si>
    <t>Du no 1900-38</t>
  </si>
  <si>
    <t>Phi 1900-38</t>
  </si>
  <si>
    <t>Da thanh toan 1900-38</t>
  </si>
  <si>
    <t>Lai 1900-38</t>
  </si>
  <si>
    <t>Lai tra gop 1900-38</t>
  </si>
  <si>
    <t>Du no 1900-39</t>
  </si>
  <si>
    <t>Phi 1900-39</t>
  </si>
  <si>
    <t>Da thanh toan 1900-39</t>
  </si>
  <si>
    <t>Lai 1900-39</t>
  </si>
  <si>
    <t>Lai tra gop 1900-39</t>
  </si>
  <si>
    <t>Du no 1900-40</t>
  </si>
  <si>
    <t>Phi 1900-40</t>
  </si>
  <si>
    <t>Da thanh toan 1900-40</t>
  </si>
  <si>
    <t>Lai 1900-40</t>
  </si>
  <si>
    <t>Lai tra gop 1900-40</t>
  </si>
  <si>
    <t>Du no 1900-41</t>
  </si>
  <si>
    <t>Phi 1900-41</t>
  </si>
  <si>
    <t>Da thanh toan 1900-41</t>
  </si>
  <si>
    <t>Lai 1900-41</t>
  </si>
  <si>
    <t>Lai tra gop 1900-41</t>
  </si>
  <si>
    <t>Du no 1900-42</t>
  </si>
  <si>
    <t>Phi 1900-42</t>
  </si>
  <si>
    <t>Da thanh toan 1900-42</t>
  </si>
  <si>
    <t>Lai 1900-42</t>
  </si>
  <si>
    <t>Lai tra gop 1900-42</t>
  </si>
  <si>
    <t>Du no 1900-43</t>
  </si>
  <si>
    <t>Phi 1900-43</t>
  </si>
  <si>
    <t>Da thanh toan 1900-43</t>
  </si>
  <si>
    <t>Lai 1900-43</t>
  </si>
  <si>
    <t>Lai tra gop 1900-43</t>
  </si>
  <si>
    <t>Du no 1900-44</t>
  </si>
  <si>
    <t>Phi 1900-44</t>
  </si>
  <si>
    <t>Da thanh toan 1900-44</t>
  </si>
  <si>
    <t>Lai 1900-44</t>
  </si>
  <si>
    <t>Lai tra gop 1900-44</t>
  </si>
  <si>
    <t>Du no 1900-45</t>
  </si>
  <si>
    <t>Phi 1900-45</t>
  </si>
  <si>
    <t>Da thanh toan 1900-45</t>
  </si>
  <si>
    <t>Lai 1900-45</t>
  </si>
  <si>
    <t>Lai tra gop 1900-45</t>
  </si>
  <si>
    <t>Du no 1900-46</t>
  </si>
  <si>
    <t>Phi 1900-46</t>
  </si>
  <si>
    <t>Da thanh toan 1900-46</t>
  </si>
  <si>
    <t>Lai 1900-46</t>
  </si>
  <si>
    <t>Lai tra gop 1900-46</t>
  </si>
  <si>
    <t>Du no 1900-47</t>
  </si>
  <si>
    <t>Phi 1900-47</t>
  </si>
  <si>
    <t>Da thanh toan 1900-47</t>
  </si>
  <si>
    <t>Lai 1900-47</t>
  </si>
  <si>
    <t>Lai tra gop 1900-47</t>
  </si>
  <si>
    <t>Du no 1900-48</t>
  </si>
  <si>
    <t>Phi 1900-48</t>
  </si>
  <si>
    <t>Da thanh toan 1900-48</t>
  </si>
  <si>
    <t>Lai 1900-48</t>
  </si>
  <si>
    <t>Lai tra gop 1900-48</t>
  </si>
  <si>
    <t>Du no 1900-49</t>
  </si>
  <si>
    <t>Phi 1900-49</t>
  </si>
  <si>
    <t>Da thanh toan 1900-49</t>
  </si>
  <si>
    <t>Lai 1900-49</t>
  </si>
  <si>
    <t>Lai tra gop 1900-49</t>
  </si>
  <si>
    <t>Du no 1900-50</t>
  </si>
  <si>
    <t>Phi 1900-50</t>
  </si>
  <si>
    <t>Da thanh toan 1900-50</t>
  </si>
  <si>
    <t>Lai 1900-50</t>
  </si>
  <si>
    <t>Lai tra gop 1900-50</t>
  </si>
  <si>
    <t>Du no 1900-51</t>
  </si>
  <si>
    <t>Phi 1900-51</t>
  </si>
  <si>
    <t>Da thanh toan 1900-51</t>
  </si>
  <si>
    <t>Lai 1900-51</t>
  </si>
  <si>
    <t>Lai tra gop 1900-51</t>
  </si>
  <si>
    <t>Du no 1900-52</t>
  </si>
  <si>
    <t>Phi 1900-52</t>
  </si>
  <si>
    <t>Da thanh toan 1900-52</t>
  </si>
  <si>
    <t>Lai 1900-52</t>
  </si>
  <si>
    <t>Lai tra gop 1900-52</t>
  </si>
  <si>
    <t>Du no 1900-53</t>
  </si>
  <si>
    <t>Phi 1900-53</t>
  </si>
  <si>
    <t>Da thanh toan 1900-53</t>
  </si>
  <si>
    <t>Lai 1900-53</t>
  </si>
  <si>
    <t>Lai tra gop 1900-53</t>
  </si>
  <si>
    <t>Du no 1900-54</t>
  </si>
  <si>
    <t>Phi 1900-54</t>
  </si>
  <si>
    <t>Da thanh toan 1900-54</t>
  </si>
  <si>
    <t>Lai 1900-54</t>
  </si>
  <si>
    <t>Lai tra gop 1900-54</t>
  </si>
  <si>
    <t>Du no 1900-55</t>
  </si>
  <si>
    <t>Phi 1900-55</t>
  </si>
  <si>
    <t>Da thanh toan 1900-55</t>
  </si>
  <si>
    <t>Lai 1900-55</t>
  </si>
  <si>
    <t>Lai tra gop 1900-55</t>
  </si>
  <si>
    <t>Du no 1900-56</t>
  </si>
  <si>
    <t>Phi 1900-56</t>
  </si>
  <si>
    <t>Da thanh toan 1900-56</t>
  </si>
  <si>
    <t>Lai 1900-56</t>
  </si>
  <si>
    <t>Lai tra gop 1900-56</t>
  </si>
  <si>
    <t>Du no 1900-57</t>
  </si>
  <si>
    <t>Phi 1900-57</t>
  </si>
  <si>
    <t>Da thanh toan 1900-57</t>
  </si>
  <si>
    <t>Lai 1900-57</t>
  </si>
  <si>
    <t>Lai tra gop 1900-57</t>
  </si>
  <si>
    <t>Du no 1900-58</t>
  </si>
  <si>
    <t>Phi 1900-58</t>
  </si>
  <si>
    <t>Da thanh toan 1900-58</t>
  </si>
  <si>
    <t>Lai 1900-58</t>
  </si>
  <si>
    <t>Lai tra gop 1900-58</t>
  </si>
  <si>
    <t>Du no 1900-59</t>
  </si>
  <si>
    <t>Phi 1900-59</t>
  </si>
  <si>
    <t>Da thanh toan 1900-59</t>
  </si>
  <si>
    <t>Lai 1900-59</t>
  </si>
  <si>
    <t>Lai tra gop 1900-59</t>
  </si>
  <si>
    <t>Du no 1900-60</t>
  </si>
  <si>
    <t>Phi 1900-60</t>
  </si>
  <si>
    <t>Da thanh toan 1900-60</t>
  </si>
  <si>
    <t>Lai 1900-60</t>
  </si>
  <si>
    <t>Lai tra gop 1900-60</t>
  </si>
  <si>
    <t>Du no 1900-61</t>
  </si>
  <si>
    <t>Phi 1900-61</t>
  </si>
  <si>
    <t>Da thanh toan 1900-61</t>
  </si>
  <si>
    <t>Lai 1900-61</t>
  </si>
  <si>
    <t>Lai tra gop 1900-61</t>
  </si>
  <si>
    <t>Du no 1900-62</t>
  </si>
  <si>
    <t>Phi 1900-62</t>
  </si>
  <si>
    <t>Da thanh toan 1900-62</t>
  </si>
  <si>
    <t>Lai 1900-62</t>
  </si>
  <si>
    <t>Lai tra gop 1900-62</t>
  </si>
  <si>
    <t>Du no 1900-63</t>
  </si>
  <si>
    <t>Phi 1900-63</t>
  </si>
  <si>
    <t>Da thanh toan 1900-63</t>
  </si>
  <si>
    <t>Lai 1900-63</t>
  </si>
  <si>
    <t>Lai tra gop 1900-63</t>
  </si>
  <si>
    <t>Du no 1900-64</t>
  </si>
  <si>
    <t>Phi 1900-64</t>
  </si>
  <si>
    <t>Da thanh toan 1900-64</t>
  </si>
  <si>
    <t>Lai 1900-64</t>
  </si>
  <si>
    <t>Lai tra gop 1900-64</t>
  </si>
  <si>
    <t>Du no 1900-65</t>
  </si>
  <si>
    <t>Phi 1900-65</t>
  </si>
  <si>
    <t>Da thanh toan 1900-65</t>
  </si>
  <si>
    <t>Lai 1900-65</t>
  </si>
  <si>
    <t>Lai tra gop 1900-65</t>
  </si>
  <si>
    <t>Du no 1900-66</t>
  </si>
  <si>
    <t>Phi 1900-66</t>
  </si>
  <si>
    <t>Da thanh toan 1900-66</t>
  </si>
  <si>
    <t>Lai 1900-66</t>
  </si>
  <si>
    <t>Lai tra gop 1900-66</t>
  </si>
  <si>
    <t>Du no 1900-67</t>
  </si>
  <si>
    <t>Phi 1900-67</t>
  </si>
  <si>
    <t>Da thanh toan 1900-67</t>
  </si>
  <si>
    <t>Lai 1900-67</t>
  </si>
  <si>
    <t>Lai tra gop 1900-67</t>
  </si>
  <si>
    <t>Du no 1900-68</t>
  </si>
  <si>
    <t>Phi 1900-68</t>
  </si>
  <si>
    <t>Da thanh toan 1900-68</t>
  </si>
  <si>
    <t>Lai 1900-68</t>
  </si>
  <si>
    <t>Lai tra gop 1900-68</t>
  </si>
  <si>
    <t>Du no 1900-69</t>
  </si>
  <si>
    <t>Phi 1900-69</t>
  </si>
  <si>
    <t>Da thanh toan 1900-69</t>
  </si>
  <si>
    <t>Lai 1900-69</t>
  </si>
  <si>
    <t>Lai tra gop 1900-69</t>
  </si>
  <si>
    <t>Du no 1900-70</t>
  </si>
  <si>
    <t>Phi 1900-70</t>
  </si>
  <si>
    <t>Da thanh toan 1900-70</t>
  </si>
  <si>
    <t>Lai 1900-70</t>
  </si>
  <si>
    <t>Lai tra gop 1900-70</t>
  </si>
  <si>
    <t>Du no 1900-71</t>
  </si>
  <si>
    <t>Phi 1900-71</t>
  </si>
  <si>
    <t>Da thanh toan 1900-71</t>
  </si>
  <si>
    <t>Lai 1900-71</t>
  </si>
  <si>
    <t>Lai tra gop 1900-71</t>
  </si>
  <si>
    <t>Du no 1900-72</t>
  </si>
  <si>
    <t>Phi 1900-72</t>
  </si>
  <si>
    <t>Da thanh toan 1900-72</t>
  </si>
  <si>
    <t>Lai 1900-72</t>
  </si>
  <si>
    <t>Lai tra gop 1900-72</t>
  </si>
  <si>
    <t>Du no 1900-73</t>
  </si>
  <si>
    <t>Phi 1900-73</t>
  </si>
  <si>
    <t>Da thanh toan 1900-73</t>
  </si>
  <si>
    <t>Lai 1900-73</t>
  </si>
  <si>
    <t>Lai tra gop 1900-73</t>
  </si>
  <si>
    <t>Du no 1900-74</t>
  </si>
  <si>
    <t>Phi 1900-74</t>
  </si>
  <si>
    <t>Da thanh toan 1900-74</t>
  </si>
  <si>
    <t>Lai 1900-74</t>
  </si>
  <si>
    <t>Lai tra gop 1900-74</t>
  </si>
  <si>
    <t>Du no 1900-75</t>
  </si>
  <si>
    <t>Phi 1900-75</t>
  </si>
  <si>
    <t>Da thanh toan 1900-75</t>
  </si>
  <si>
    <t>Lai 1900-75</t>
  </si>
  <si>
    <t>Lai tra gop 1900-75</t>
  </si>
  <si>
    <t>Du no 1900-76</t>
  </si>
  <si>
    <t>Phi 1900-76</t>
  </si>
  <si>
    <t>Da thanh toan 1900-76</t>
  </si>
  <si>
    <t>Lai 1900-76</t>
  </si>
  <si>
    <t>Lai tra gop 1900-76</t>
  </si>
  <si>
    <t>Du no 1900-77</t>
  </si>
  <si>
    <t>Phi 1900-77</t>
  </si>
  <si>
    <t>Da thanh toan 1900-77</t>
  </si>
  <si>
    <t>Lai 1900-77</t>
  </si>
  <si>
    <t>Lai tra gop 1900-77</t>
  </si>
  <si>
    <t>Du no 1900-78</t>
  </si>
  <si>
    <t>Phi 1900-78</t>
  </si>
  <si>
    <t>Da thanh toan 1900-78</t>
  </si>
  <si>
    <t>Lai 1900-78</t>
  </si>
  <si>
    <t>Lai tra gop 1900-78</t>
  </si>
  <si>
    <t>Du no 1900-79</t>
  </si>
  <si>
    <t>Phi 1900-79</t>
  </si>
  <si>
    <t>Da thanh toan 1900-79</t>
  </si>
  <si>
    <t>Lai 1900-79</t>
  </si>
  <si>
    <t>Lai tra gop 1900-79</t>
  </si>
  <si>
    <t>Du no 1900-80</t>
  </si>
  <si>
    <t>Phi 1900-80</t>
  </si>
  <si>
    <t>Da thanh toan 1900-80</t>
  </si>
  <si>
    <t>Lai 1900-80</t>
  </si>
  <si>
    <t>Lai tra gop 1900-80</t>
  </si>
  <si>
    <t>Du no 1900-81</t>
  </si>
  <si>
    <t>Phi 1900-81</t>
  </si>
  <si>
    <t>Da thanh toan 1900-81</t>
  </si>
  <si>
    <t>Lai 1900-81</t>
  </si>
  <si>
    <t>Lai tra gop 1900-81</t>
  </si>
  <si>
    <t>Du no 1900-82</t>
  </si>
  <si>
    <t>Phi 1900-82</t>
  </si>
  <si>
    <t>Da thanh toan 1900-82</t>
  </si>
  <si>
    <t>Lai 1900-82</t>
  </si>
  <si>
    <t>Lai tra gop 1900-82</t>
  </si>
  <si>
    <t>Du no 1900-83</t>
  </si>
  <si>
    <t>Phi 1900-83</t>
  </si>
  <si>
    <t>Da thanh toan 1900-83</t>
  </si>
  <si>
    <t>Lai 1900-83</t>
  </si>
  <si>
    <t>Lai tra gop 1900-83</t>
  </si>
  <si>
    <t>Du no 1900-84</t>
  </si>
  <si>
    <t>Phi 1900-84</t>
  </si>
  <si>
    <t>Da thanh toan 1900-84</t>
  </si>
  <si>
    <t>Lai 1900-84</t>
  </si>
  <si>
    <t>Lai tra gop 1900-84</t>
  </si>
  <si>
    <t>Du no 1900-85</t>
  </si>
  <si>
    <t>Phi 1900-85</t>
  </si>
  <si>
    <t>Da thanh toan 1900-85</t>
  </si>
  <si>
    <t>Lai 1900-85</t>
  </si>
  <si>
    <t>Lai tra gop 1900-85</t>
  </si>
  <si>
    <t>Du no 1900-86</t>
  </si>
  <si>
    <t>Phi 1900-86</t>
  </si>
  <si>
    <t>Da thanh toan 1900-86</t>
  </si>
  <si>
    <t>Lai 1900-86</t>
  </si>
  <si>
    <t>Lai tra gop 1900-86</t>
  </si>
  <si>
    <t>Du no 1900-87</t>
  </si>
  <si>
    <t>Phi 1900-87</t>
  </si>
  <si>
    <t>Da thanh toan 1900-87</t>
  </si>
  <si>
    <t>Lai 1900-87</t>
  </si>
  <si>
    <t>Lai tra gop 1900-87</t>
  </si>
  <si>
    <t>Du no 1900-88</t>
  </si>
  <si>
    <t>Phi 1900-88</t>
  </si>
  <si>
    <t>Da thanh toan 1900-88</t>
  </si>
  <si>
    <t>Lai 1900-88</t>
  </si>
  <si>
    <t>Lai tra gop 1900-88</t>
  </si>
  <si>
    <t>Du no 1900-89</t>
  </si>
  <si>
    <t>Phi 1900-89</t>
  </si>
  <si>
    <t>Da thanh toan 1900-89</t>
  </si>
  <si>
    <t>Lai 1900-89</t>
  </si>
  <si>
    <t>Lai tra gop 1900-89</t>
  </si>
  <si>
    <t>Du no 1900-90</t>
  </si>
  <si>
    <t>Phi 1900-90</t>
  </si>
  <si>
    <t>Da thanh toan 1900-90</t>
  </si>
  <si>
    <t>Lai 1900-90</t>
  </si>
  <si>
    <t>Lai tra gop 1900-90</t>
  </si>
  <si>
    <t>Du no 1900-91</t>
  </si>
  <si>
    <t>Phi 1900-91</t>
  </si>
  <si>
    <t>Da thanh toan 1900-91</t>
  </si>
  <si>
    <t>Lai 1900-91</t>
  </si>
  <si>
    <t>Lai tra gop 1900-91</t>
  </si>
  <si>
    <t>Du no 1900-92</t>
  </si>
  <si>
    <t>Phi 1900-92</t>
  </si>
  <si>
    <t>Da thanh toan 1900-92</t>
  </si>
  <si>
    <t>Lai 1900-92</t>
  </si>
  <si>
    <t>Lai tra gop 1900-92</t>
  </si>
  <si>
    <t>Du no 1900-93</t>
  </si>
  <si>
    <t>Phi 1900-93</t>
  </si>
  <si>
    <t>Da thanh toan 1900-93</t>
  </si>
  <si>
    <t>Lai 1900-93</t>
  </si>
  <si>
    <t>Lai tra gop 1900-93</t>
  </si>
  <si>
    <t>Du no 1900-94</t>
  </si>
  <si>
    <t>Phi 1900-94</t>
  </si>
  <si>
    <t>Da thanh toan 1900-94</t>
  </si>
  <si>
    <t>Lai 1900-94</t>
  </si>
  <si>
    <t>Lai tra gop 1900-94</t>
  </si>
  <si>
    <t>Du no 1900-95</t>
  </si>
  <si>
    <t>Phi 1900-95</t>
  </si>
  <si>
    <t>Da thanh toan 1900-95</t>
  </si>
  <si>
    <t>Lai 1900-95</t>
  </si>
  <si>
    <t>Lai tra gop 1900-95</t>
  </si>
  <si>
    <t>Du no 1900-96</t>
  </si>
  <si>
    <t>Phi 1900-96</t>
  </si>
  <si>
    <t>Da thanh toan 1900-96</t>
  </si>
  <si>
    <t>Lai 1900-96</t>
  </si>
  <si>
    <t>Lai tra gop 1900-96</t>
  </si>
  <si>
    <t>Du no 1900-97</t>
  </si>
  <si>
    <t>Phi 1900-97</t>
  </si>
  <si>
    <t>Da thanh toan 1900-97</t>
  </si>
  <si>
    <t>Lai 1900-97</t>
  </si>
  <si>
    <t>Lai tra gop 1900-97</t>
  </si>
  <si>
    <t>Du no 1900-98</t>
  </si>
  <si>
    <t>Phi 1900-98</t>
  </si>
  <si>
    <t>Da thanh toan 1900-98</t>
  </si>
  <si>
    <t>Lai 1900-98</t>
  </si>
  <si>
    <t>Lai tra gop 1900-98</t>
  </si>
  <si>
    <t>Du no 1900-99</t>
  </si>
  <si>
    <t>Phi 1900-99</t>
  </si>
  <si>
    <t>Da thanh toan 1900-99</t>
  </si>
  <si>
    <t>Lai 1900-99</t>
  </si>
  <si>
    <t>Lai tra gop 1900-99</t>
  </si>
  <si>
    <t>Du no 1900-100</t>
  </si>
  <si>
    <t>Phi 1900-100</t>
  </si>
  <si>
    <t>Da thanh toan 1900-100</t>
  </si>
  <si>
    <t>Lai 1900-100</t>
  </si>
  <si>
    <t>Lai tra gop 1900-100</t>
  </si>
  <si>
    <t>Du no 1900-101</t>
  </si>
  <si>
    <t>Phi 1900-101</t>
  </si>
  <si>
    <t>Da thanh toan 1900-101</t>
  </si>
  <si>
    <t>Lai 1900-101</t>
  </si>
  <si>
    <t>Lai tra gop 1900-101</t>
  </si>
  <si>
    <t>Du no 1900-102</t>
  </si>
  <si>
    <t>Phi 1900-102</t>
  </si>
  <si>
    <t>Da thanh toan 1900-102</t>
  </si>
  <si>
    <t>Lai 1900-102</t>
  </si>
  <si>
    <t>Lai tra gop 1900-102</t>
  </si>
  <si>
    <t>Du no 1900-103</t>
  </si>
  <si>
    <t>Phi 1900-103</t>
  </si>
  <si>
    <t>Da thanh toan 1900-103</t>
  </si>
  <si>
    <t>Lai 1900-103</t>
  </si>
  <si>
    <t>Lai tra gop 1900-103</t>
  </si>
  <si>
    <t>Du no 1900-104</t>
  </si>
  <si>
    <t>Phi 1900-104</t>
  </si>
  <si>
    <t>Da thanh toan 1900-104</t>
  </si>
  <si>
    <t>Lai 1900-104</t>
  </si>
  <si>
    <t>Lai tra gop 1900-104</t>
  </si>
  <si>
    <t>Du no 1900-105</t>
  </si>
  <si>
    <t>Phi 1900-105</t>
  </si>
  <si>
    <t>Da thanh toan 1900-105</t>
  </si>
  <si>
    <t>Lai 1900-105</t>
  </si>
  <si>
    <t>Lai tra gop 1900-105</t>
  </si>
  <si>
    <t>Du no 1900-106</t>
  </si>
  <si>
    <t>Phi 1900-106</t>
  </si>
  <si>
    <t>Da thanh toan 1900-106</t>
  </si>
  <si>
    <t>Lai 1900-106</t>
  </si>
  <si>
    <t>Lai tra gop 1900-106</t>
  </si>
  <si>
    <t>Du no 1900-107</t>
  </si>
  <si>
    <t>Phi 1900-107</t>
  </si>
  <si>
    <t>Da thanh toan 1900-107</t>
  </si>
  <si>
    <t>Lai 1900-107</t>
  </si>
  <si>
    <t>Lai tra gop 1900-107</t>
  </si>
  <si>
    <t>Du no 1900-108</t>
  </si>
  <si>
    <t>Phi 1900-108</t>
  </si>
  <si>
    <t>Da thanh toan 1900-108</t>
  </si>
  <si>
    <t>Lai 1900-108</t>
  </si>
  <si>
    <t>Lai tra gop 1900-108</t>
  </si>
  <si>
    <t>Du no 1900-109</t>
  </si>
  <si>
    <t>Phi 1900-109</t>
  </si>
  <si>
    <t>Da thanh toan 1900-109</t>
  </si>
  <si>
    <t>Lai 1900-109</t>
  </si>
  <si>
    <t>Lai tra gop 1900-109</t>
  </si>
  <si>
    <t>Du no 1900-110</t>
  </si>
  <si>
    <t>Phi 1900-110</t>
  </si>
  <si>
    <t>Da thanh toan 1900-110</t>
  </si>
  <si>
    <t>Lai 1900-110</t>
  </si>
  <si>
    <t>Lai tra gop 1900-110</t>
  </si>
  <si>
    <t>Du no 1900-111</t>
  </si>
  <si>
    <t>Phi 1900-111</t>
  </si>
  <si>
    <t>Da thanh toan 1900-111</t>
  </si>
  <si>
    <t>Lai 1900-111</t>
  </si>
  <si>
    <t>Lai tra gop 1900-111</t>
  </si>
  <si>
    <t>Du no 1900-112</t>
  </si>
  <si>
    <t>Phi 1900-112</t>
  </si>
  <si>
    <t>Da thanh toan 1900-112</t>
  </si>
  <si>
    <t>Lai 1900-112</t>
  </si>
  <si>
    <t>Lai tra gop 1900-112</t>
  </si>
  <si>
    <t>Du no 1900-113</t>
  </si>
  <si>
    <t>Phi 1900-113</t>
  </si>
  <si>
    <t>Da thanh toan 1900-113</t>
  </si>
  <si>
    <t>Lai 1900-113</t>
  </si>
  <si>
    <t>Lai tra gop 1900-113</t>
  </si>
  <si>
    <t>Du no 1900-114</t>
  </si>
  <si>
    <t>Phi 1900-114</t>
  </si>
  <si>
    <t>Da thanh toan 1900-114</t>
  </si>
  <si>
    <t>Lai 1900-114</t>
  </si>
  <si>
    <t>Lai tra gop 1900-114</t>
  </si>
  <si>
    <t>Du no 1900-115</t>
  </si>
  <si>
    <t>Phi 1900-115</t>
  </si>
  <si>
    <t>Da thanh toan 1900-115</t>
  </si>
  <si>
    <t>Lai 1900-115</t>
  </si>
  <si>
    <t>Lai tra gop 1900-115</t>
  </si>
  <si>
    <t>Du no 1900-116</t>
  </si>
  <si>
    <t>Phi 1900-116</t>
  </si>
  <si>
    <t>Da thanh toan 1900-116</t>
  </si>
  <si>
    <t>Lai 1900-116</t>
  </si>
  <si>
    <t>Lai tra gop 1900-116</t>
  </si>
  <si>
    <t>Du no 1900-117</t>
  </si>
  <si>
    <t>Phi 1900-117</t>
  </si>
  <si>
    <t>Da thanh toan 1900-117</t>
  </si>
  <si>
    <t>Lai 1900-117</t>
  </si>
  <si>
    <t>Lai tra gop 1900-117</t>
  </si>
  <si>
    <t>Du no 1900-118</t>
  </si>
  <si>
    <t>Phi 1900-118</t>
  </si>
  <si>
    <t>Da thanh toan 1900-118</t>
  </si>
  <si>
    <t>Lai 1900-118</t>
  </si>
  <si>
    <t>Lai tra gop 1900-118</t>
  </si>
  <si>
    <t>Du no 1900-119</t>
  </si>
  <si>
    <t>Phi 1900-119</t>
  </si>
  <si>
    <t>Da thanh toan 1900-119</t>
  </si>
  <si>
    <t>Lai 1900-119</t>
  </si>
  <si>
    <t>Lai tra gop 1900-119</t>
  </si>
  <si>
    <t>Du no 1900-120</t>
  </si>
  <si>
    <t>Phi 1900-120</t>
  </si>
  <si>
    <t>Da thanh toan 1900-120</t>
  </si>
  <si>
    <t>Lai 1900-120</t>
  </si>
  <si>
    <t>Lai tra gop 1900-120</t>
  </si>
  <si>
    <t>Du no 1900-121</t>
  </si>
  <si>
    <t>Phi 1900-121</t>
  </si>
  <si>
    <t>Da thanh toan 1900-121</t>
  </si>
  <si>
    <t>Lai 1900-121</t>
  </si>
  <si>
    <t>Lai tra gop 1900-121</t>
  </si>
  <si>
    <t>Du no 1900-122</t>
  </si>
  <si>
    <t>Phi 1900-122</t>
  </si>
  <si>
    <t>Da thanh toan 1900-122</t>
  </si>
  <si>
    <t>Lai 1900-122</t>
  </si>
  <si>
    <t>Lai tra gop 1900-122</t>
  </si>
  <si>
    <t>Du no 1900-123</t>
  </si>
  <si>
    <t>Phi 1900-123</t>
  </si>
  <si>
    <t>Da thanh toan 1900-123</t>
  </si>
  <si>
    <t>Lai 1900-123</t>
  </si>
  <si>
    <t>Lai tra gop 1900-123</t>
  </si>
  <si>
    <t>Du no 1900-124</t>
  </si>
  <si>
    <t>Phi 1900-124</t>
  </si>
  <si>
    <t>Da thanh toan 1900-124</t>
  </si>
  <si>
    <t>Lai 1900-124</t>
  </si>
  <si>
    <t>Lai tra gop 1900-124</t>
  </si>
  <si>
    <t>Du no 1900-125</t>
  </si>
  <si>
    <t>Phi 1900-125</t>
  </si>
  <si>
    <t>Da thanh toan 1900-125</t>
  </si>
  <si>
    <t>Lai 1900-125</t>
  </si>
  <si>
    <t>Lai tra gop 1900-125</t>
  </si>
  <si>
    <t>Du no 1900-126</t>
  </si>
  <si>
    <t>Phi 1900-126</t>
  </si>
  <si>
    <t>Da thanh toan 1900-126</t>
  </si>
  <si>
    <t>Lai 1900-126</t>
  </si>
  <si>
    <t>Lai tra gop 1900-126</t>
  </si>
  <si>
    <t>Du no 1900-127</t>
  </si>
  <si>
    <t>Phi 1900-127</t>
  </si>
  <si>
    <t>Da thanh toan 1900-127</t>
  </si>
  <si>
    <t>Lai 1900-127</t>
  </si>
  <si>
    <t>Lai tra gop 1900-127</t>
  </si>
  <si>
    <t>Du no 1900-128</t>
  </si>
  <si>
    <t>Phi 1900-128</t>
  </si>
  <si>
    <t>Da thanh toan 1900-128</t>
  </si>
  <si>
    <t>Lai 1900-128</t>
  </si>
  <si>
    <t>Lai tra gop 1900-128</t>
  </si>
  <si>
    <t>Du no 1900-129</t>
  </si>
  <si>
    <t>Phi 1900-129</t>
  </si>
  <si>
    <t>Da thanh toan 1900-129</t>
  </si>
  <si>
    <t>Lai 1900-129</t>
  </si>
  <si>
    <t>Lai tra gop 1900-129</t>
  </si>
  <si>
    <t>Du no 1900-130</t>
  </si>
  <si>
    <t>Phi 1900-130</t>
  </si>
  <si>
    <t>Da thanh toan 1900-130</t>
  </si>
  <si>
    <t>Lai 1900-130</t>
  </si>
  <si>
    <t>Lai tra gop 1900-130</t>
  </si>
  <si>
    <t>Du no 1900-131</t>
  </si>
  <si>
    <t>Phi 1900-131</t>
  </si>
  <si>
    <t>Da thanh toan 1900-131</t>
  </si>
  <si>
    <t>Lai 1900-131</t>
  </si>
  <si>
    <t>Lai tra gop 1900-131</t>
  </si>
  <si>
    <t>Du no 1900-132</t>
  </si>
  <si>
    <t>Phi 1900-132</t>
  </si>
  <si>
    <t>Da thanh toan 1900-132</t>
  </si>
  <si>
    <t>Lai 1900-132</t>
  </si>
  <si>
    <t>Lai tra gop 1900-132</t>
  </si>
  <si>
    <t>Du no 1900-133</t>
  </si>
  <si>
    <t>Phi 1900-133</t>
  </si>
  <si>
    <t>Da thanh toan 1900-133</t>
  </si>
  <si>
    <t>Lai 1900-133</t>
  </si>
  <si>
    <t>Lai tra gop 1900-133</t>
  </si>
  <si>
    <t>Du no 1900-134</t>
  </si>
  <si>
    <t>Phi 1900-134</t>
  </si>
  <si>
    <t>Da thanh toan 1900-134</t>
  </si>
  <si>
    <t>Lai 1900-134</t>
  </si>
  <si>
    <t>Lai tra gop 1900-134</t>
  </si>
  <si>
    <t>Du no 1900-135</t>
  </si>
  <si>
    <t>Phi 1900-135</t>
  </si>
  <si>
    <t>Da thanh toan 1900-135</t>
  </si>
  <si>
    <t>Lai 1900-135</t>
  </si>
  <si>
    <t>Lai tra gop 1900-135</t>
  </si>
  <si>
    <t>Du no 1900-136</t>
  </si>
  <si>
    <t>Phi 1900-136</t>
  </si>
  <si>
    <t>Da thanh toan 1900-136</t>
  </si>
  <si>
    <t>Lai 1900-136</t>
  </si>
  <si>
    <t>Lai tra gop 1900-136</t>
  </si>
  <si>
    <t>Du no 1900-137</t>
  </si>
  <si>
    <t>Phi 1900-137</t>
  </si>
  <si>
    <t>Da thanh toan 1900-137</t>
  </si>
  <si>
    <t>Lai 1900-137</t>
  </si>
  <si>
    <t>Lai tra gop 1900-137</t>
  </si>
  <si>
    <t>Du no 1900-138</t>
  </si>
  <si>
    <t>Phi 1900-138</t>
  </si>
  <si>
    <t>Da thanh toan 1900-138</t>
  </si>
  <si>
    <t>Lai 1900-138</t>
  </si>
  <si>
    <t>Lai tra gop 1900-138</t>
  </si>
  <si>
    <t>Du no 1900-139</t>
  </si>
  <si>
    <t>Phi 1900-139</t>
  </si>
  <si>
    <t>Da thanh toan 1900-139</t>
  </si>
  <si>
    <t>Lai 1900-139</t>
  </si>
  <si>
    <t>Lai tra gop 1900-139</t>
  </si>
  <si>
    <t>Link hướng dẫn : https://giabao1881.github.io/BKTL/</t>
  </si>
  <si>
    <t xml:space="preserve">Nhập số G2 xong ô H2 hiện " REF" là ok </t>
  </si>
  <si>
    <t>FT18317CM0001963</t>
  </si>
  <si>
    <t>CONG TY TNHH UNLIMITED</t>
  </si>
  <si>
    <t>CTY TNHH TM XNK NGOC C</t>
  </si>
  <si>
    <t>PIPI SHOP</t>
  </si>
  <si>
    <t>CT NGOC CAM</t>
  </si>
  <si>
    <t>CTCP LONG HAI VN</t>
  </si>
  <si>
    <t>HKD THANH HUNG</t>
  </si>
  <si>
    <t>HKD TAN LOC</t>
  </si>
  <si>
    <t>TAN LOC</t>
  </si>
  <si>
    <t>HKD HONG LY</t>
  </si>
  <si>
    <t>Chỗ này úp file EXCEL hoặc TXT</t>
  </si>
  <si>
    <t>Người lập bảng</t>
  </si>
  <si>
    <t>Update 29/12/2025 , fix lỗi up sao kê bị sai, sai số nhiều cho tùy máy, (lưu ý: hiện tại sẽ thiếu sao kê trước 2021 nên sai số nhiều nha)</t>
  </si>
  <si>
    <t>Anh chị lên ITSM nhờ it phân quyền, it sẽ cấp cho một cái Way4 sẽ lấy được sao kê của thẻ trước 2021</t>
  </si>
  <si>
    <t>Du no 1900-140</t>
  </si>
  <si>
    <t>Phi 1900-140</t>
  </si>
  <si>
    <t>Da thanh toan 1900-140</t>
  </si>
  <si>
    <t>Lai 1900-140</t>
  </si>
  <si>
    <t>Lai tra gop 1900-140</t>
  </si>
  <si>
    <t>Du no 1900-141</t>
  </si>
  <si>
    <t>Phi 1900-141</t>
  </si>
  <si>
    <t>Da thanh toan 1900-141</t>
  </si>
  <si>
    <t>Lai 1900-141</t>
  </si>
  <si>
    <t>Lai tra gop 1900-141</t>
  </si>
  <si>
    <t>Du no 1900-142</t>
  </si>
  <si>
    <t>Phi 1900-142</t>
  </si>
  <si>
    <t>Da thanh toan 1900-142</t>
  </si>
  <si>
    <t>Lai 1900-142</t>
  </si>
  <si>
    <t>Lai tra gop 1900-142</t>
  </si>
  <si>
    <t>Du no 1900-143</t>
  </si>
  <si>
    <t>Phi 1900-143</t>
  </si>
  <si>
    <t>Da thanh toan 1900-143</t>
  </si>
  <si>
    <t>Lai 1900-143</t>
  </si>
  <si>
    <t>Lai tra gop 1900-143</t>
  </si>
  <si>
    <t>Du no 1900-144</t>
  </si>
  <si>
    <t>Phi 1900-144</t>
  </si>
  <si>
    <t>Da thanh toan 1900-144</t>
  </si>
  <si>
    <t>Lai 1900-144</t>
  </si>
  <si>
    <t>Lai tra gop 1900-144</t>
  </si>
  <si>
    <t>Du no 1900-145</t>
  </si>
  <si>
    <t>Phi 1900-145</t>
  </si>
  <si>
    <t>Da thanh toan 1900-145</t>
  </si>
  <si>
    <t>Lai 1900-145</t>
  </si>
  <si>
    <t>Lai tra gop 1900-145</t>
  </si>
  <si>
    <t>Du no 1900-146</t>
  </si>
  <si>
    <t>Phi 1900-146</t>
  </si>
  <si>
    <t>Da thanh toan 1900-146</t>
  </si>
  <si>
    <t>Lai 1900-146</t>
  </si>
  <si>
    <t>Lai tra gop 1900-146</t>
  </si>
  <si>
    <t>Du no 1900-147</t>
  </si>
  <si>
    <t>Phi 1900-147</t>
  </si>
  <si>
    <t>Da thanh toan 1900-147</t>
  </si>
  <si>
    <t>Lai 1900-147</t>
  </si>
  <si>
    <t>Lai tra gop 1900-147</t>
  </si>
  <si>
    <t>Du no 1900-148</t>
  </si>
  <si>
    <t>Phi 1900-148</t>
  </si>
  <si>
    <t>Da thanh toan 1900-148</t>
  </si>
  <si>
    <t>Lai 1900-148</t>
  </si>
  <si>
    <t>Lai tra gop 1900-148</t>
  </si>
  <si>
    <t>Du no 1900-149</t>
  </si>
  <si>
    <t>Phi 1900-149</t>
  </si>
  <si>
    <t>Da thanh toan 1900-149</t>
  </si>
  <si>
    <t>Lai 1900-149</t>
  </si>
  <si>
    <t>Lai tra gop 1900-149</t>
  </si>
  <si>
    <t>Du no 1900-150</t>
  </si>
  <si>
    <t>Phi 1900-150</t>
  </si>
  <si>
    <t>Da thanh toan 1900-150</t>
  </si>
  <si>
    <t>Lai 1900-150</t>
  </si>
  <si>
    <t>Lai tra gop 1900-150</t>
  </si>
  <si>
    <t>Du no 1900-151</t>
  </si>
  <si>
    <t>Phi 1900-151</t>
  </si>
  <si>
    <t>Da thanh toan 1900-151</t>
  </si>
  <si>
    <t>Lai 1900-151</t>
  </si>
  <si>
    <t>Lai tra gop 1900-151</t>
  </si>
  <si>
    <t>Du no 1900-152</t>
  </si>
  <si>
    <t>Phi 1900-152</t>
  </si>
  <si>
    <t>Da thanh toan 1900-152</t>
  </si>
  <si>
    <t>Lai 1900-152</t>
  </si>
  <si>
    <t>Lai tra gop 1900-152</t>
  </si>
  <si>
    <t>Du no 1900-153</t>
  </si>
  <si>
    <t>Phi 1900-153</t>
  </si>
  <si>
    <t>Da thanh toan 1900-153</t>
  </si>
  <si>
    <t>Lai 1900-153</t>
  </si>
  <si>
    <t>Lai tra gop 1900-153</t>
  </si>
  <si>
    <t>Du no 1900-154</t>
  </si>
  <si>
    <t>Phi 1900-154</t>
  </si>
  <si>
    <t>Da thanh toan 1900-154</t>
  </si>
  <si>
    <t>Lai 1900-154</t>
  </si>
  <si>
    <t>Lai tra gop 1900-154</t>
  </si>
  <si>
    <t>Du no 1900-155</t>
  </si>
  <si>
    <t>Phi 1900-155</t>
  </si>
  <si>
    <t>Da thanh toan 1900-155</t>
  </si>
  <si>
    <t>Lai 1900-155</t>
  </si>
  <si>
    <t>Lai tra gop 1900-155</t>
  </si>
  <si>
    <t>Du no 1900-156</t>
  </si>
  <si>
    <t>Phi 1900-156</t>
  </si>
  <si>
    <t>Da thanh toan 1900-156</t>
  </si>
  <si>
    <t>Lai 1900-156</t>
  </si>
  <si>
    <t>Lai tra gop 1900-156</t>
  </si>
  <si>
    <t>Du no 1900-157</t>
  </si>
  <si>
    <t>Phi 1900-157</t>
  </si>
  <si>
    <t>Da thanh toan 1900-157</t>
  </si>
  <si>
    <t>Lai 1900-157</t>
  </si>
  <si>
    <t>Lai tra gop 1900-157</t>
  </si>
  <si>
    <t>Du no 1900-158</t>
  </si>
  <si>
    <t>Phi 1900-158</t>
  </si>
  <si>
    <t>Da thanh toan 1900-158</t>
  </si>
  <si>
    <t>Lai 1900-158</t>
  </si>
  <si>
    <t>Lai tra gop 1900-158</t>
  </si>
  <si>
    <t>Du no 1900-159</t>
  </si>
  <si>
    <t>Phi 1900-159</t>
  </si>
  <si>
    <t>Da thanh toan 1900-159</t>
  </si>
  <si>
    <t>Lai 1900-159</t>
  </si>
  <si>
    <t>Lai tra gop 1900-159</t>
  </si>
  <si>
    <t>Du no 1900-160</t>
  </si>
  <si>
    <t>Phi 1900-160</t>
  </si>
  <si>
    <t>Da thanh toan 1900-160</t>
  </si>
  <si>
    <t>Lai 1900-160</t>
  </si>
  <si>
    <t>Lai tra gop 1900-160</t>
  </si>
  <si>
    <t>Du no 1900-161</t>
  </si>
  <si>
    <t>Phi 1900-161</t>
  </si>
  <si>
    <t>Da thanh toan 1900-161</t>
  </si>
  <si>
    <t>Lai 1900-161</t>
  </si>
  <si>
    <t>Lai tra gop 1900-161</t>
  </si>
  <si>
    <t>Du no 1900-162</t>
  </si>
  <si>
    <t>Phi 1900-162</t>
  </si>
  <si>
    <t>Da thanh toan 1900-162</t>
  </si>
  <si>
    <t>Lai 1900-162</t>
  </si>
  <si>
    <t>Lai tra gop 1900-162</t>
  </si>
  <si>
    <t>Du no 1900-163</t>
  </si>
  <si>
    <t>Phi 1900-163</t>
  </si>
  <si>
    <t>Da thanh toan 1900-163</t>
  </si>
  <si>
    <t>Lai 1900-163</t>
  </si>
  <si>
    <t>Lai tra gop 1900-163</t>
  </si>
  <si>
    <t>Du no 1900-164</t>
  </si>
  <si>
    <t>Phi 1900-164</t>
  </si>
  <si>
    <t>Da thanh toan 1900-164</t>
  </si>
  <si>
    <t>Lai 1900-164</t>
  </si>
  <si>
    <t>Lai tra gop 1900-164</t>
  </si>
  <si>
    <t>Du no 1900-165</t>
  </si>
  <si>
    <t>Phi 1900-165</t>
  </si>
  <si>
    <t>Da thanh toan 1900-165</t>
  </si>
  <si>
    <t>Lai 1900-165</t>
  </si>
  <si>
    <t>Lai tra gop 1900-165</t>
  </si>
  <si>
    <t>Du no 1900-166</t>
  </si>
  <si>
    <t>Phi 1900-166</t>
  </si>
  <si>
    <t>Da thanh toan 1900-166</t>
  </si>
  <si>
    <t>Lai 1900-166</t>
  </si>
  <si>
    <t>Lai tra gop 1900-166</t>
  </si>
  <si>
    <t>Du no 1900-167</t>
  </si>
  <si>
    <t>Phi 1900-167</t>
  </si>
  <si>
    <t>Da thanh toan 1900-167</t>
  </si>
  <si>
    <t>Lai 1900-167</t>
  </si>
  <si>
    <t>Lai tra gop 1900-167</t>
  </si>
  <si>
    <t>Du no 1900-168</t>
  </si>
  <si>
    <t>Phi 1900-168</t>
  </si>
  <si>
    <t>Da thanh toan 1900-168</t>
  </si>
  <si>
    <t>Lai 1900-168</t>
  </si>
  <si>
    <t>Lai tra gop 1900-168</t>
  </si>
  <si>
    <t>Du no 1900-169</t>
  </si>
  <si>
    <t>Phi 1900-169</t>
  </si>
  <si>
    <t>Da thanh toan 1900-169</t>
  </si>
  <si>
    <t>Lai 1900-169</t>
  </si>
  <si>
    <t>Lai tra gop 1900-169</t>
  </si>
  <si>
    <t>Du no 1900-170</t>
  </si>
  <si>
    <t>Phi 1900-170</t>
  </si>
  <si>
    <t>Da thanh toan 1900-170</t>
  </si>
  <si>
    <t>Lai 1900-170</t>
  </si>
  <si>
    <t>Lai tra gop 1900-170</t>
  </si>
  <si>
    <t>Du no 1900-171</t>
  </si>
  <si>
    <t>Phi 1900-171</t>
  </si>
  <si>
    <t>Da thanh toan 1900-171</t>
  </si>
  <si>
    <t>Lai 1900-171</t>
  </si>
  <si>
    <t>Lai tra gop 1900-171</t>
  </si>
  <si>
    <t>Du no 1900-172</t>
  </si>
  <si>
    <t>Phi 1900-172</t>
  </si>
  <si>
    <t>Da thanh toan 1900-172</t>
  </si>
  <si>
    <t>Lai 1900-172</t>
  </si>
  <si>
    <t>Lai tra gop 1900-172</t>
  </si>
  <si>
    <t>Du no 1900-173</t>
  </si>
  <si>
    <t>Phi 1900-173</t>
  </si>
  <si>
    <t>Da thanh toan 1900-173</t>
  </si>
  <si>
    <t>Lai 1900-173</t>
  </si>
  <si>
    <t>Lai tra gop 1900-173</t>
  </si>
  <si>
    <t>Du no 1900-174</t>
  </si>
  <si>
    <t>Phi 1900-174</t>
  </si>
  <si>
    <t>Da thanh toan 1900-174</t>
  </si>
  <si>
    <t>Lai 1900-174</t>
  </si>
  <si>
    <t>Lai tra gop 1900-174</t>
  </si>
  <si>
    <t>Du no 1900-175</t>
  </si>
  <si>
    <t>Phi 1900-175</t>
  </si>
  <si>
    <t>Da thanh toan 1900-175</t>
  </si>
  <si>
    <t>Lai 1900-175</t>
  </si>
  <si>
    <t>Lai tra gop 1900-175</t>
  </si>
  <si>
    <t>Du no 1900-176</t>
  </si>
  <si>
    <t>Phi 1900-176</t>
  </si>
  <si>
    <t>Da thanh toan 1900-176</t>
  </si>
  <si>
    <t>Lai 1900-176</t>
  </si>
  <si>
    <t>Lai tra gop 1900-176</t>
  </si>
  <si>
    <t>Du no 1900-177</t>
  </si>
  <si>
    <t>Phi 1900-177</t>
  </si>
  <si>
    <t>Da thanh toan 1900-177</t>
  </si>
  <si>
    <t>Lai 1900-177</t>
  </si>
  <si>
    <t>Lai tra gop 1900-177</t>
  </si>
  <si>
    <t>Du no 1900-178</t>
  </si>
  <si>
    <t>Phi 1900-178</t>
  </si>
  <si>
    <t>Da thanh toan 1900-178</t>
  </si>
  <si>
    <t>Lai 1900-178</t>
  </si>
  <si>
    <t>Lai tra gop 1900-178</t>
  </si>
  <si>
    <t>Du no 1900-179</t>
  </si>
  <si>
    <t>Phi 1900-179</t>
  </si>
  <si>
    <t>Da thanh toan 1900-179</t>
  </si>
  <si>
    <t>Lai 1900-179</t>
  </si>
  <si>
    <t>Lai tra gop 1900-179</t>
  </si>
  <si>
    <t>Du no 1900-180</t>
  </si>
  <si>
    <t>Phi 1900-180</t>
  </si>
  <si>
    <t>Da thanh toan 1900-180</t>
  </si>
  <si>
    <t>Lai 1900-180</t>
  </si>
  <si>
    <t>Lai tra gop 1900-180</t>
  </si>
  <si>
    <t>Du no 1900-181</t>
  </si>
  <si>
    <t>Phi 1900-181</t>
  </si>
  <si>
    <t>Da thanh toan 1900-181</t>
  </si>
  <si>
    <t>Lai 1900-181</t>
  </si>
  <si>
    <t>Lai tra gop 1900-181</t>
  </si>
  <si>
    <t>Du no 1900-182</t>
  </si>
  <si>
    <t>Phi 1900-182</t>
  </si>
  <si>
    <t>Da thanh toan 1900-182</t>
  </si>
  <si>
    <t>Lai 1900-182</t>
  </si>
  <si>
    <t>Lai tra gop 1900-182</t>
  </si>
  <si>
    <t>Du no 1900-183</t>
  </si>
  <si>
    <t>Phi 1900-183</t>
  </si>
  <si>
    <t>Da thanh toan 1900-183</t>
  </si>
  <si>
    <t>Lai 1900-183</t>
  </si>
  <si>
    <t>Lai tra gop 1900-183</t>
  </si>
  <si>
    <t>Du no 1900-184</t>
  </si>
  <si>
    <t>Phi 1900-184</t>
  </si>
  <si>
    <t>Da thanh toan 1900-184</t>
  </si>
  <si>
    <t>Lai 1900-184</t>
  </si>
  <si>
    <t>Lai tra gop 1900-184</t>
  </si>
  <si>
    <t>Du no 1900-185</t>
  </si>
  <si>
    <t>Phi 1900-185</t>
  </si>
  <si>
    <t>Da thanh toan 1900-185</t>
  </si>
  <si>
    <t>Lai 1900-185</t>
  </si>
  <si>
    <t>Lai tra gop 1900-185</t>
  </si>
  <si>
    <t>Du no 1900-186</t>
  </si>
  <si>
    <t>Phi 1900-186</t>
  </si>
  <si>
    <t>Da thanh toan 1900-186</t>
  </si>
  <si>
    <t>Lai 1900-186</t>
  </si>
  <si>
    <t>Lai tra gop 1900-186</t>
  </si>
  <si>
    <t>Du no 1900-187</t>
  </si>
  <si>
    <t>Phi 1900-187</t>
  </si>
  <si>
    <t>Da thanh toan 1900-187</t>
  </si>
  <si>
    <t>Lai 1900-187</t>
  </si>
  <si>
    <t>Lai tra gop 1900-187</t>
  </si>
  <si>
    <t>Du no 1900-188</t>
  </si>
  <si>
    <t>Phi 1900-188</t>
  </si>
  <si>
    <t>Da thanh toan 1900-188</t>
  </si>
  <si>
    <t>Lai 1900-188</t>
  </si>
  <si>
    <t>Lai tra gop 1900-188</t>
  </si>
  <si>
    <t>Du no 1900-189</t>
  </si>
  <si>
    <t>Phi 1900-189</t>
  </si>
  <si>
    <t>Da thanh toan 1900-189</t>
  </si>
  <si>
    <t>Lai 1900-189</t>
  </si>
  <si>
    <t>Lai tra gop 1900-189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</si>
</sst>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_-* #,##0_-;\-* #,##0_-;_-* &quot;-&quot;??_-;_-@_-"/>
    <numFmt numFmtId="167" formatCode="_-* #,##0.00_-;\-* #,##0.00_-;_-* &quot;-&quot;_-;_-@_-"/>
    <numFmt numFmtId="168" formatCode="_-* #,##0.0_-;\-* #,##0.0_-;_-* &quot;-&quot;??_-;_-@_-"/>
    <numFmt numFmtId="169" formatCode="dd/mm/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Times New Roman"/>
      <family val="1"/>
    </font>
    <font>
      <b/>
      <i/>
      <sz val="11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sz val="11"/>
      <color theme="1"/>
      <name val="Wingdings"/>
      <charset val="2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Times New Roman"/>
      <family val="1"/>
    </font>
    <font>
      <b/>
      <sz val="14"/>
      <color rgb="FFFF0000"/>
      <name val="Calibri"/>
      <family val="2"/>
      <scheme val="minor"/>
    </font>
    <font>
      <sz val="12"/>
      <color rgb="FF000066"/>
      <name val="Calibri"/>
      <family val="2"/>
      <scheme val="minor"/>
    </font>
    <font>
      <b/>
      <i/>
      <u/>
      <sz val="14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7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3" fillId="5" borderId="0" xfId="0" applyFont="1" applyFill="1"/>
    <xf numFmtId="165" fontId="3" fillId="5" borderId="0" xfId="1" applyNumberFormat="1" applyFont="1" applyFill="1"/>
    <xf numFmtId="165" fontId="3" fillId="5" borderId="0" xfId="2" applyNumberFormat="1" applyFont="1" applyFill="1"/>
    <xf numFmtId="0" fontId="4" fillId="5" borderId="0" xfId="0" applyFont="1" applyFill="1" applyAlignment="1">
      <alignment horizontal="center"/>
    </xf>
    <xf numFmtId="165" fontId="0" fillId="0" borderId="0" xfId="2" applyNumberFormat="1" applyFont="1"/>
    <xf numFmtId="2" fontId="0" fillId="0" borderId="0" xfId="0" applyNumberFormat="1"/>
    <xf numFmtId="43" fontId="0" fillId="0" borderId="0" xfId="1" applyFont="1"/>
    <xf numFmtId="166" fontId="0" fillId="0" borderId="0" xfId="0" applyNumberFormat="1"/>
    <xf numFmtId="43" fontId="0" fillId="0" borderId="0" xfId="1" applyFont="1" applyBorder="1"/>
    <xf numFmtId="43" fontId="2" fillId="3" borderId="1" xfId="1" applyFont="1" applyFill="1" applyBorder="1" applyAlignment="1">
      <alignment horizontal="center" vertical="center" wrapText="1"/>
    </xf>
    <xf numFmtId="166" fontId="0" fillId="0" borderId="1" xfId="0" applyNumberFormat="1" applyBorder="1"/>
    <xf numFmtId="166" fontId="2" fillId="0" borderId="1" xfId="0" applyNumberFormat="1" applyFont="1" applyBorder="1"/>
    <xf numFmtId="166" fontId="0" fillId="0" borderId="0" xfId="1" applyNumberFormat="1" applyFont="1"/>
    <xf numFmtId="14" fontId="3" fillId="5" borderId="0" xfId="0" applyNumberFormat="1" applyFont="1" applyFill="1"/>
    <xf numFmtId="14" fontId="0" fillId="0" borderId="0" xfId="0" applyNumberFormat="1"/>
    <xf numFmtId="0" fontId="2" fillId="0" borderId="1" xfId="0" applyFont="1" applyBorder="1" applyAlignment="1">
      <alignment horizontal="center"/>
    </xf>
    <xf numFmtId="41" fontId="0" fillId="0" borderId="0" xfId="3" applyFont="1"/>
    <xf numFmtId="0" fontId="2" fillId="0" borderId="1" xfId="0" quotePrefix="1" applyFont="1" applyBorder="1"/>
    <xf numFmtId="43" fontId="2" fillId="0" borderId="1" xfId="1" applyFont="1" applyBorder="1"/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22" fontId="0" fillId="0" borderId="0" xfId="0" applyNumberFormat="1"/>
    <xf numFmtId="0" fontId="5" fillId="0" borderId="0" xfId="0" applyFont="1"/>
    <xf numFmtId="165" fontId="5" fillId="0" borderId="0" xfId="2" applyNumberFormat="1" applyFont="1"/>
    <xf numFmtId="2" fontId="5" fillId="0" borderId="0" xfId="0" applyNumberFormat="1" applyFont="1"/>
    <xf numFmtId="1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67" fontId="3" fillId="5" borderId="0" xfId="3" applyNumberFormat="1" applyFont="1" applyFill="1"/>
    <xf numFmtId="167" fontId="0" fillId="0" borderId="0" xfId="3" applyNumberFormat="1" applyFont="1"/>
    <xf numFmtId="14" fontId="0" fillId="0" borderId="0" xfId="0" applyNumberFormat="1"/>
    <xf numFmtId="1" fontId="0" fillId="0" borderId="0" xfId="3" applyNumberFormat="1" applyFont="1"/>
    <xf numFmtId="0" fontId="2" fillId="0" borderId="1" xfId="0" applyFont="1" applyBorder="1" applyAlignment="1">
      <alignment horizontal="left"/>
    </xf>
    <xf numFmtId="166" fontId="2" fillId="0" borderId="1" xfId="1" applyNumberFormat="1" applyFont="1" applyBorder="1"/>
    <xf numFmtId="43" fontId="2" fillId="3" borderId="3" xfId="1" applyFont="1" applyFill="1" applyBorder="1" applyAlignment="1">
      <alignment horizontal="center" vertical="center" wrapText="1"/>
    </xf>
    <xf numFmtId="43" fontId="2" fillId="3" borderId="0" xfId="1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vertical="center"/>
    </xf>
    <xf numFmtId="3" fontId="2" fillId="0" borderId="1" xfId="0" applyNumberFormat="1" applyFont="1" applyBorder="1"/>
    <xf numFmtId="43" fontId="7" fillId="0" borderId="0" xfId="1" applyFont="1" applyBorder="1"/>
    <xf numFmtId="14" fontId="0" fillId="0" borderId="1" xfId="0" applyNumberFormat="1" applyBorder="1" applyProtection="1">
      <protection hidden="1"/>
    </xf>
    <xf numFmtId="0" fontId="0" fillId="0" borderId="1" xfId="0" applyBorder="1" applyProtection="1">
      <protection hidden="1"/>
    </xf>
    <xf numFmtId="166" fontId="0" fillId="0" borderId="1" xfId="1" applyNumberFormat="1" applyFont="1" applyBorder="1" applyProtection="1">
      <protection hidden="1"/>
    </xf>
    <xf numFmtId="166" fontId="0" fillId="0" borderId="1" xfId="0" applyNumberFormat="1" applyBorder="1" applyProtection="1">
      <protection hidden="1"/>
    </xf>
    <xf numFmtId="166" fontId="0" fillId="0" borderId="0" xfId="0" applyNumberFormat="1" applyProtection="1">
      <protection hidden="1"/>
    </xf>
    <xf numFmtId="0" fontId="0" fillId="0" borderId="0" xfId="0" applyProtection="1">
      <protection hidden="1"/>
    </xf>
    <xf numFmtId="43" fontId="2" fillId="4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14" fontId="0" fillId="0" borderId="0" xfId="0" applyNumberFormat="1"/>
    <xf numFmtId="0" fontId="10" fillId="0" borderId="0" xfId="0" applyFont="1"/>
    <xf numFmtId="0" fontId="6" fillId="0" borderId="0" xfId="0" quotePrefix="1" applyFont="1"/>
    <xf numFmtId="0" fontId="11" fillId="0" borderId="0" xfId="0" quotePrefix="1" applyFont="1"/>
    <xf numFmtId="0" fontId="12" fillId="0" borderId="0" xfId="0" applyFont="1"/>
    <xf numFmtId="168" fontId="0" fillId="0" borderId="1" xfId="1" applyNumberFormat="1" applyFont="1" applyBorder="1"/>
    <xf numFmtId="0" fontId="6" fillId="0" borderId="0" xfId="0" applyFont="1" applyAlignment="1">
      <alignment vertical="top" wrapText="1"/>
    </xf>
    <xf numFmtId="14" fontId="0" fillId="0" borderId="0" xfId="0" applyNumberFormat="1"/>
    <xf numFmtId="0" fontId="2" fillId="6" borderId="1" xfId="0" applyFont="1" applyFill="1" applyBorder="1" applyAlignment="1">
      <alignment horizontal="center" vertical="center"/>
    </xf>
    <xf numFmtId="0" fontId="13" fillId="0" borderId="0" xfId="0" applyFont="1" applyFill="1"/>
    <xf numFmtId="0" fontId="6" fillId="0" borderId="4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/>
    </xf>
    <xf numFmtId="169" fontId="0" fillId="0" borderId="0" xfId="0" applyNumberFormat="1"/>
    <xf numFmtId="0" fontId="2" fillId="0" borderId="0" xfId="0" applyFont="1" applyAlignment="1">
      <alignment horizontal="center" vertical="center"/>
    </xf>
    <xf numFmtId="0" fontId="14" fillId="0" borderId="0" xfId="0" applyFont="1"/>
  </cellXfs>
  <cellStyles count="4">
    <cellStyle name="Comma" xfId="1" builtinId="3"/>
    <cellStyle name="Comma [0]" xfId="3" builtinId="6"/>
    <cellStyle name="Comma 2" xfId="2"/>
    <cellStyle name="Normal" xfId="0" builtinId="0"/>
  </cellStyles>
  <dxfs count="0"/>
  <tableStyles count="0" defaultTableStyle="TableStyleMedium2" defaultPivotStyle="PivotStyleLight16"/>
  <colors>
    <mruColors>
      <color rgb="FF000066"/>
      <color rgb="FFF5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3" name="TextBox 2"/>
        <xdr:cNvSpPr txBox="1"/>
      </xdr:nvSpPr>
      <xdr:spPr>
        <a:xfrm>
          <a:off x="8032376" y="258631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4" name="TextBox 3"/>
        <xdr:cNvSpPr txBox="1"/>
      </xdr:nvSpPr>
      <xdr:spPr>
        <a:xfrm>
          <a:off x="8032376" y="22635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2</xdr:col>
      <xdr:colOff>324969</xdr:colOff>
      <xdr:row>4</xdr:row>
      <xdr:rowOff>24561</xdr:rowOff>
    </xdr:from>
    <xdr:to>
      <xdr:col>3</xdr:col>
      <xdr:colOff>829234</xdr:colOff>
      <xdr:row>13</xdr:row>
      <xdr:rowOff>183784</xdr:rowOff>
    </xdr:to>
    <xdr:pic macro="[0]!Module3.CapNhatToanBo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725791" y="1198876"/>
          <a:ext cx="1717724" cy="1920696"/>
        </a:xfrm>
        <a:prstGeom prst="rect">
          <a:avLst/>
        </a:prstGeom>
      </xdr:spPr>
    </xdr:pic>
    <xdr:clientData/>
  </xdr:twoCellAnchor>
  <xdr:twoCellAnchor>
    <xdr:from>
      <xdr:col>0</xdr:col>
      <xdr:colOff>917042</xdr:colOff>
      <xdr:row>5</xdr:row>
      <xdr:rowOff>192538</xdr:rowOff>
    </xdr:from>
    <xdr:to>
      <xdr:col>2</xdr:col>
      <xdr:colOff>132629</xdr:colOff>
      <xdr:row>12</xdr:row>
      <xdr:rowOff>151202</xdr:rowOff>
    </xdr:to>
    <xdr:grpSp>
      <xdr:nvGrpSpPr>
        <xdr:cNvPr id="13" name="Group 12"/>
        <xdr:cNvGrpSpPr/>
      </xdr:nvGrpSpPr>
      <xdr:grpSpPr>
        <a:xfrm>
          <a:off x="917042" y="1523861"/>
          <a:ext cx="1686644" cy="1261684"/>
          <a:chOff x="717178" y="1568825"/>
          <a:chExt cx="2296498" cy="1647263"/>
        </a:xfrm>
      </xdr:grpSpPr>
      <xdr:pic macro="[0]!BangThongBao_ChonUpload"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640193">
            <a:off x="2558413" y="1966868"/>
            <a:ext cx="455263" cy="455263"/>
          </a:xfrm>
          <a:prstGeom prst="rect">
            <a:avLst/>
          </a:prstGeom>
        </xdr:spPr>
      </xdr:pic>
      <xdr:pic macro="[0]!BangThongBao_ChonUpload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7178" y="1568825"/>
            <a:ext cx="1647263" cy="1647263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U209"/>
  <sheetViews>
    <sheetView showGridLines="0" zoomScale="70" zoomScaleNormal="70" workbookViewId="0">
      <selection activeCell="C28" sqref="C28:D28"/>
    </sheetView>
  </sheetViews>
  <sheetFormatPr defaultRowHeight="14.4" x14ac:dyDescent="0.3"/>
  <cols>
    <col min="1" max="1" width="15.44140625" customWidth="1"/>
    <col min="2" max="2" width="21.109375" customWidth="1"/>
    <col min="3" max="3" width="18.5546875" customWidth="1"/>
    <col min="4" max="4" width="30.6640625" customWidth="1"/>
    <col min="5" max="5" width="20.6640625" style="9" customWidth="1"/>
    <col min="6" max="6" width="16.88671875" style="9" customWidth="1"/>
    <col min="7" max="10" width="15.44140625" style="9" customWidth="1"/>
    <col min="11" max="11" width="18.44140625" customWidth="1"/>
    <col min="12" max="12" width="27.109375" customWidth="1"/>
    <col min="13" max="13" width="9.109375" hidden="1" customWidth="1"/>
    <col min="14" max="14" width="15.44140625" hidden="1" customWidth="1"/>
    <col min="15" max="19" width="8.88671875" hidden="1" customWidth="1"/>
    <col min="20" max="20" width="8.88671875" customWidth="1"/>
    <col min="21" max="21" width="10.5546875" bestFit="1" customWidth="1"/>
  </cols>
  <sheetData>
    <row r="1" spans="1:21" x14ac:dyDescent="0.3">
      <c r="A1" s="63" t="s">
        <v>45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</row>
    <row r="2" spans="1:21" x14ac:dyDescent="0.3">
      <c r="B2" s="52"/>
    </row>
    <row r="3" spans="1:21" x14ac:dyDescent="0.3">
      <c r="A3" s="22" t="s">
        <v>0</v>
      </c>
      <c r="B3" s="30"/>
      <c r="D3" s="9"/>
      <c r="F3" s="11"/>
      <c r="G3" s="11"/>
      <c r="H3" s="11"/>
      <c r="I3" s="11"/>
      <c r="J3" s="11"/>
      <c r="K3" s="11"/>
    </row>
    <row r="4" spans="1:21" x14ac:dyDescent="0.3">
      <c r="A4" s="22" t="s">
        <v>1</v>
      </c>
      <c r="B4" s="18"/>
      <c r="D4" s="2" t="s">
        <v>24</v>
      </c>
      <c r="E4" s="14">
        <f>SUM(E12:E200)</f>
        <v>0</v>
      </c>
      <c r="F4" s="11"/>
      <c r="J4"/>
      <c r="K4" s="11"/>
    </row>
    <row r="5" spans="1:21" x14ac:dyDescent="0.3">
      <c r="A5" s="22" t="s">
        <v>2</v>
      </c>
      <c r="B5" s="31"/>
      <c r="D5" s="20" t="s">
        <v>26</v>
      </c>
      <c r="E5" s="13">
        <f>ROUND(SUM(F12:F200),0)</f>
        <v>0</v>
      </c>
      <c r="F5" s="11"/>
      <c r="G5" s="21" t="s">
        <v>19</v>
      </c>
      <c r="H5" s="37">
        <f>H6+H7</f>
        <v>0</v>
      </c>
      <c r="I5"/>
      <c r="J5"/>
      <c r="K5" s="42" t="s">
        <v>38</v>
      </c>
    </row>
    <row r="6" spans="1:21" x14ac:dyDescent="0.3">
      <c r="A6" s="36" t="s">
        <v>3</v>
      </c>
      <c r="B6" s="31"/>
      <c r="D6" s="20" t="s">
        <v>46</v>
      </c>
      <c r="E6" s="13">
        <f>ROUND(SUM(H12:H200),0)</f>
        <v>0</v>
      </c>
      <c r="F6" s="11"/>
      <c r="G6" s="21" t="s">
        <v>5</v>
      </c>
      <c r="H6" s="37">
        <f>ROUND(E8-E5,0)</f>
        <v>0</v>
      </c>
      <c r="I6"/>
      <c r="J6"/>
      <c r="K6" s="42" t="s">
        <v>39</v>
      </c>
    </row>
    <row r="7" spans="1:21" x14ac:dyDescent="0.3">
      <c r="A7" s="36" t="s">
        <v>4</v>
      </c>
      <c r="B7" s="30"/>
      <c r="D7" s="20" t="s">
        <v>47</v>
      </c>
      <c r="E7" s="57">
        <f>SUM(G12:G200)</f>
        <v>0</v>
      </c>
      <c r="G7" s="21" t="s">
        <v>6</v>
      </c>
      <c r="H7" s="37">
        <f>ROUND(SUM(K12:K200)+SUM(J12:J200)-SUM(H12:H200),0)</f>
        <v>0</v>
      </c>
      <c r="I7"/>
      <c r="J7"/>
      <c r="K7" s="42" t="s">
        <v>40</v>
      </c>
    </row>
    <row r="8" spans="1:21" x14ac:dyDescent="0.3">
      <c r="A8" s="36" t="s">
        <v>37</v>
      </c>
      <c r="B8" s="31"/>
      <c r="D8" s="2" t="s">
        <v>25</v>
      </c>
      <c r="E8" s="14">
        <f>SUM(D12:D200)</f>
        <v>0</v>
      </c>
      <c r="F8"/>
      <c r="K8" s="11"/>
      <c r="L8" s="11"/>
    </row>
    <row r="9" spans="1:21" x14ac:dyDescent="0.3">
      <c r="K9" s="11"/>
      <c r="L9" s="11"/>
    </row>
    <row r="11" spans="1:21" ht="50.25" customHeight="1" x14ac:dyDescent="0.3">
      <c r="A11" s="1" t="s">
        <v>8</v>
      </c>
      <c r="B11" s="1" t="s">
        <v>9</v>
      </c>
      <c r="C11" s="1" t="s">
        <v>10</v>
      </c>
      <c r="D11" s="1" t="s">
        <v>35</v>
      </c>
      <c r="E11" s="12" t="s">
        <v>23</v>
      </c>
      <c r="F11" s="49" t="s">
        <v>20</v>
      </c>
      <c r="G11" s="49" t="s">
        <v>21</v>
      </c>
      <c r="H11" s="49" t="s">
        <v>22</v>
      </c>
      <c r="I11" s="12" t="s">
        <v>34</v>
      </c>
      <c r="J11" s="12" t="s">
        <v>33</v>
      </c>
      <c r="K11" s="1" t="s">
        <v>12</v>
      </c>
      <c r="L11" s="1" t="s">
        <v>11</v>
      </c>
      <c r="M11" s="38" t="s">
        <v>41</v>
      </c>
      <c r="N11" s="39" t="s">
        <v>42</v>
      </c>
    </row>
    <row r="12" spans="1:21" x14ac:dyDescent="0.3">
      <c r="A12" s="43"/>
      <c r="B12" s="43"/>
      <c r="C12" s="44"/>
      <c r="D12" s="45">
        <v>0</v>
      </c>
      <c r="E12" s="45">
        <v>0</v>
      </c>
      <c r="F12" s="45">
        <f>E12-G12-H12</f>
        <v>0</v>
      </c>
      <c r="G12" s="45">
        <v>0</v>
      </c>
      <c r="H12" s="45"/>
      <c r="I12" s="45">
        <v>0</v>
      </c>
      <c r="J12" s="45">
        <v>0</v>
      </c>
      <c r="K12" s="45">
        <v>0</v>
      </c>
      <c r="L12" s="46">
        <f>C12+J12+K12-H12-F12+D12</f>
        <v>0</v>
      </c>
      <c r="M12" s="47">
        <v>0</v>
      </c>
      <c r="N12" s="47">
        <v>0</v>
      </c>
      <c r="O12" s="48" t="s">
        <v>53</v>
      </c>
      <c r="P12" s="48" t="s">
        <v>54</v>
      </c>
      <c r="Q12" s="48" t="s">
        <v>55</v>
      </c>
      <c r="R12" s="48" t="s">
        <v>56</v>
      </c>
      <c r="S12" s="48" t="s">
        <v>57</v>
      </c>
      <c r="T12" s="48"/>
    </row>
    <row r="13" spans="1:21" x14ac:dyDescent="0.3">
      <c r="A13" s="43"/>
      <c r="B13" s="43"/>
      <c r="C13" s="46">
        <f>L12</f>
        <v>0</v>
      </c>
      <c r="D13" s="45">
        <v>0</v>
      </c>
      <c r="E13" s="45">
        <v>0</v>
      </c>
      <c r="F13" s="45">
        <f t="shared" ref="F13:F76" si="0">E13-G13-H13</f>
        <v>0</v>
      </c>
      <c r="G13" s="45">
        <v>0</v>
      </c>
      <c r="H13" s="45"/>
      <c r="I13" s="45">
        <v>0</v>
      </c>
      <c r="J13" s="45">
        <v>0</v>
      </c>
      <c r="K13" s="45">
        <v>0</v>
      </c>
      <c r="L13" s="46">
        <f t="shared" ref="L13:L76" si="1">C13+J13+K13-H13-F13+D13</f>
        <v>0</v>
      </c>
      <c r="M13" s="47">
        <v>0</v>
      </c>
      <c r="N13" s="47">
        <v>0</v>
      </c>
      <c r="O13" s="48" t="s">
        <v>60</v>
      </c>
      <c r="P13" s="48" t="s">
        <v>61</v>
      </c>
      <c r="Q13" s="48" t="s">
        <v>62</v>
      </c>
      <c r="R13" s="48" t="s">
        <v>63</v>
      </c>
      <c r="S13" s="48" t="s">
        <v>64</v>
      </c>
      <c r="T13" s="48"/>
    </row>
    <row r="14" spans="1:21" x14ac:dyDescent="0.3">
      <c r="A14" s="43"/>
      <c r="B14" s="43"/>
      <c r="C14" s="46">
        <f t="shared" ref="C14:C77" si="2">L13</f>
        <v>0</v>
      </c>
      <c r="D14" s="45">
        <v>0</v>
      </c>
      <c r="E14" s="45">
        <v>0</v>
      </c>
      <c r="F14" s="45">
        <f t="shared" si="0"/>
        <v>0</v>
      </c>
      <c r="G14" s="45">
        <v>0</v>
      </c>
      <c r="H14" s="45"/>
      <c r="I14" s="45">
        <v>0</v>
      </c>
      <c r="J14" s="45">
        <v>0</v>
      </c>
      <c r="K14" s="45">
        <v>0</v>
      </c>
      <c r="L14" s="46">
        <f t="shared" si="1"/>
        <v>0</v>
      </c>
      <c r="M14" s="47">
        <v>0</v>
      </c>
      <c r="N14" s="47">
        <v>0</v>
      </c>
      <c r="O14" s="48" t="s">
        <v>65</v>
      </c>
      <c r="P14" s="48" t="s">
        <v>66</v>
      </c>
      <c r="Q14" s="48" t="s">
        <v>67</v>
      </c>
      <c r="R14" s="48" t="s">
        <v>68</v>
      </c>
      <c r="S14" s="48" t="s">
        <v>69</v>
      </c>
      <c r="T14" s="48"/>
      <c r="U14" s="10"/>
    </row>
    <row r="15" spans="1:21" x14ac:dyDescent="0.3">
      <c r="A15" s="43"/>
      <c r="B15" s="43"/>
      <c r="C15" s="46">
        <f t="shared" si="2"/>
        <v>0</v>
      </c>
      <c r="D15" s="45">
        <v>0</v>
      </c>
      <c r="E15" s="45">
        <v>0</v>
      </c>
      <c r="F15" s="45">
        <f t="shared" si="0"/>
        <v>0</v>
      </c>
      <c r="G15" s="45">
        <v>0</v>
      </c>
      <c r="H15" s="45"/>
      <c r="I15" s="45">
        <v>0</v>
      </c>
      <c r="J15" s="45">
        <v>0</v>
      </c>
      <c r="K15" s="45">
        <v>0</v>
      </c>
      <c r="L15" s="46">
        <f t="shared" si="1"/>
        <v>0</v>
      </c>
      <c r="M15" s="47">
        <v>0</v>
      </c>
      <c r="N15" s="47">
        <v>0</v>
      </c>
      <c r="O15" s="48" t="s">
        <v>70</v>
      </c>
      <c r="P15" s="48" t="s">
        <v>71</v>
      </c>
      <c r="Q15" s="48" t="s">
        <v>72</v>
      </c>
      <c r="R15" s="48" t="s">
        <v>73</v>
      </c>
      <c r="S15" s="48" t="s">
        <v>74</v>
      </c>
      <c r="T15" s="48"/>
      <c r="U15" s="10"/>
    </row>
    <row r="16" spans="1:21" x14ac:dyDescent="0.3">
      <c r="A16" s="43"/>
      <c r="B16" s="43"/>
      <c r="C16" s="46">
        <f t="shared" si="2"/>
        <v>0</v>
      </c>
      <c r="D16" s="45">
        <v>0</v>
      </c>
      <c r="E16" s="45">
        <v>0</v>
      </c>
      <c r="F16" s="45">
        <f t="shared" si="0"/>
        <v>0</v>
      </c>
      <c r="G16" s="45">
        <v>0</v>
      </c>
      <c r="H16" s="45"/>
      <c r="I16" s="45">
        <v>0</v>
      </c>
      <c r="J16" s="45">
        <v>0</v>
      </c>
      <c r="K16" s="45">
        <v>0</v>
      </c>
      <c r="L16" s="46">
        <f t="shared" si="1"/>
        <v>0</v>
      </c>
      <c r="M16" s="47">
        <v>0</v>
      </c>
      <c r="N16" s="47">
        <v>0</v>
      </c>
      <c r="O16" s="48" t="s">
        <v>75</v>
      </c>
      <c r="P16" s="48" t="s">
        <v>76</v>
      </c>
      <c r="Q16" s="48" t="s">
        <v>77</v>
      </c>
      <c r="R16" s="48" t="s">
        <v>78</v>
      </c>
      <c r="S16" s="48" t="s">
        <v>79</v>
      </c>
      <c r="T16" s="48"/>
      <c r="U16" s="10"/>
    </row>
    <row r="17" spans="1:21" ht="15.75" customHeight="1" x14ac:dyDescent="0.3">
      <c r="A17" s="43"/>
      <c r="B17" s="43"/>
      <c r="C17" s="46">
        <f t="shared" si="2"/>
        <v>0</v>
      </c>
      <c r="D17" s="45">
        <v>0</v>
      </c>
      <c r="E17" s="45">
        <v>0</v>
      </c>
      <c r="F17" s="45">
        <f t="shared" si="0"/>
        <v>0</v>
      </c>
      <c r="G17" s="45">
        <v>0</v>
      </c>
      <c r="H17" s="45"/>
      <c r="I17" s="45">
        <v>0</v>
      </c>
      <c r="J17" s="45">
        <v>0</v>
      </c>
      <c r="K17" s="45">
        <v>0</v>
      </c>
      <c r="L17" s="46">
        <f t="shared" si="1"/>
        <v>0</v>
      </c>
      <c r="M17" s="47">
        <v>0</v>
      </c>
      <c r="N17" s="47">
        <v>0</v>
      </c>
      <c r="O17" s="48" t="s">
        <v>80</v>
      </c>
      <c r="P17" s="48" t="s">
        <v>81</v>
      </c>
      <c r="Q17" s="48" t="s">
        <v>82</v>
      </c>
      <c r="R17" s="48" t="s">
        <v>83</v>
      </c>
      <c r="S17" s="48" t="s">
        <v>84</v>
      </c>
      <c r="T17" s="48"/>
      <c r="U17" s="10"/>
    </row>
    <row r="18" spans="1:21" ht="15.75" customHeight="1" x14ac:dyDescent="0.3">
      <c r="A18" s="43"/>
      <c r="B18" s="43"/>
      <c r="C18" s="46">
        <f t="shared" si="2"/>
        <v>0</v>
      </c>
      <c r="D18" s="45">
        <v>0</v>
      </c>
      <c r="E18" s="45">
        <v>0</v>
      </c>
      <c r="F18" s="45">
        <f t="shared" si="0"/>
        <v>0</v>
      </c>
      <c r="G18" s="45">
        <v>0</v>
      </c>
      <c r="H18" s="45"/>
      <c r="I18" s="45">
        <v>0</v>
      </c>
      <c r="J18" s="45">
        <v>0</v>
      </c>
      <c r="K18" s="45">
        <v>0</v>
      </c>
      <c r="L18" s="46">
        <f t="shared" si="1"/>
        <v>0</v>
      </c>
      <c r="M18" s="47">
        <v>0</v>
      </c>
      <c r="N18" s="47">
        <v>0</v>
      </c>
      <c r="O18" s="48" t="s">
        <v>85</v>
      </c>
      <c r="P18" s="48" t="s">
        <v>86</v>
      </c>
      <c r="Q18" s="48" t="s">
        <v>87</v>
      </c>
      <c r="R18" s="48" t="s">
        <v>88</v>
      </c>
      <c r="S18" s="48" t="s">
        <v>89</v>
      </c>
      <c r="T18" s="48"/>
      <c r="U18" s="10"/>
    </row>
    <row r="19" spans="1:21" ht="15.75" customHeight="1" x14ac:dyDescent="0.3">
      <c r="A19" s="43"/>
      <c r="B19" s="43"/>
      <c r="C19" s="46">
        <f t="shared" si="2"/>
        <v>0</v>
      </c>
      <c r="D19" s="45">
        <v>0</v>
      </c>
      <c r="E19" s="45">
        <v>0</v>
      </c>
      <c r="F19" s="45">
        <f t="shared" si="0"/>
        <v>0</v>
      </c>
      <c r="G19" s="45">
        <v>0</v>
      </c>
      <c r="H19" s="45"/>
      <c r="I19" s="45">
        <v>0</v>
      </c>
      <c r="J19" s="45">
        <v>0</v>
      </c>
      <c r="K19" s="45">
        <v>0</v>
      </c>
      <c r="L19" s="46">
        <f t="shared" si="1"/>
        <v>0</v>
      </c>
      <c r="M19" s="47">
        <v>0</v>
      </c>
      <c r="N19" s="47">
        <v>0</v>
      </c>
      <c r="O19" s="48" t="s">
        <v>90</v>
      </c>
      <c r="P19" s="48" t="s">
        <v>91</v>
      </c>
      <c r="Q19" s="48" t="s">
        <v>92</v>
      </c>
      <c r="R19" s="48" t="s">
        <v>93</v>
      </c>
      <c r="S19" s="48" t="s">
        <v>94</v>
      </c>
      <c r="T19" s="48"/>
      <c r="U19" s="10"/>
    </row>
    <row r="20" spans="1:21" ht="15.75" customHeight="1" x14ac:dyDescent="0.3">
      <c r="A20" s="43"/>
      <c r="B20" s="43"/>
      <c r="C20" s="46">
        <f t="shared" si="2"/>
        <v>0</v>
      </c>
      <c r="D20" s="45">
        <v>0</v>
      </c>
      <c r="E20" s="45">
        <v>0</v>
      </c>
      <c r="F20" s="45">
        <f t="shared" si="0"/>
        <v>0</v>
      </c>
      <c r="G20" s="45">
        <v>0</v>
      </c>
      <c r="H20" s="45"/>
      <c r="I20" s="45">
        <v>0</v>
      </c>
      <c r="J20" s="45">
        <v>0</v>
      </c>
      <c r="K20" s="45">
        <v>0</v>
      </c>
      <c r="L20" s="46">
        <f t="shared" si="1"/>
        <v>0</v>
      </c>
      <c r="M20" s="47">
        <v>0</v>
      </c>
      <c r="N20" s="47">
        <v>0</v>
      </c>
      <c r="O20" s="48" t="s">
        <v>95</v>
      </c>
      <c r="P20" s="48" t="s">
        <v>96</v>
      </c>
      <c r="Q20" s="48" t="s">
        <v>97</v>
      </c>
      <c r="R20" s="48" t="s">
        <v>98</v>
      </c>
      <c r="S20" s="48" t="s">
        <v>99</v>
      </c>
      <c r="T20" s="48"/>
      <c r="U20" s="10"/>
    </row>
    <row r="21" spans="1:21" ht="15.75" customHeight="1" x14ac:dyDescent="0.3">
      <c r="A21" s="43"/>
      <c r="B21" s="43"/>
      <c r="C21" s="46">
        <f t="shared" si="2"/>
        <v>0</v>
      </c>
      <c r="D21" s="45">
        <v>0</v>
      </c>
      <c r="E21" s="45">
        <v>0</v>
      </c>
      <c r="F21" s="45">
        <f t="shared" si="0"/>
        <v>0</v>
      </c>
      <c r="G21" s="45">
        <v>0</v>
      </c>
      <c r="H21" s="45"/>
      <c r="I21" s="45">
        <v>0</v>
      </c>
      <c r="J21" s="45">
        <v>0</v>
      </c>
      <c r="K21" s="45">
        <v>0</v>
      </c>
      <c r="L21" s="46">
        <f t="shared" si="1"/>
        <v>0</v>
      </c>
      <c r="M21" s="47">
        <v>0</v>
      </c>
      <c r="N21" s="47">
        <v>0</v>
      </c>
      <c r="O21" s="48" t="s">
        <v>100</v>
      </c>
      <c r="P21" s="48" t="s">
        <v>101</v>
      </c>
      <c r="Q21" s="48" t="s">
        <v>102</v>
      </c>
      <c r="R21" s="48" t="s">
        <v>103</v>
      </c>
      <c r="S21" s="48" t="s">
        <v>104</v>
      </c>
      <c r="T21" s="48"/>
    </row>
    <row r="22" spans="1:21" x14ac:dyDescent="0.3">
      <c r="A22" s="43"/>
      <c r="B22" s="43"/>
      <c r="C22" s="46">
        <f t="shared" si="2"/>
        <v>0</v>
      </c>
      <c r="D22" s="45">
        <v>0</v>
      </c>
      <c r="E22" s="45">
        <v>0</v>
      </c>
      <c r="F22" s="45">
        <f t="shared" si="0"/>
        <v>0</v>
      </c>
      <c r="G22" s="45">
        <v>0</v>
      </c>
      <c r="H22" s="45"/>
      <c r="I22" s="45">
        <v>0</v>
      </c>
      <c r="J22" s="45">
        <v>0</v>
      </c>
      <c r="K22" s="45">
        <v>0</v>
      </c>
      <c r="L22" s="46">
        <f t="shared" si="1"/>
        <v>0</v>
      </c>
      <c r="M22" s="47">
        <v>0</v>
      </c>
      <c r="N22" s="47">
        <v>0</v>
      </c>
      <c r="O22" s="48" t="s">
        <v>105</v>
      </c>
      <c r="P22" s="48" t="s">
        <v>106</v>
      </c>
      <c r="Q22" s="48" t="s">
        <v>107</v>
      </c>
      <c r="R22" s="48" t="s">
        <v>108</v>
      </c>
      <c r="S22" s="48" t="s">
        <v>109</v>
      </c>
      <c r="T22" s="48"/>
    </row>
    <row r="23" spans="1:21" x14ac:dyDescent="0.3">
      <c r="A23" s="43"/>
      <c r="B23" s="43"/>
      <c r="C23" s="46">
        <f t="shared" si="2"/>
        <v>0</v>
      </c>
      <c r="D23" s="45">
        <v>0</v>
      </c>
      <c r="E23" s="45">
        <v>0</v>
      </c>
      <c r="F23" s="45">
        <f t="shared" si="0"/>
        <v>0</v>
      </c>
      <c r="G23" s="45">
        <v>0</v>
      </c>
      <c r="H23" s="45"/>
      <c r="I23" s="45">
        <v>0</v>
      </c>
      <c r="J23" s="45">
        <v>0</v>
      </c>
      <c r="K23" s="45">
        <v>0</v>
      </c>
      <c r="L23" s="46">
        <f t="shared" si="1"/>
        <v>0</v>
      </c>
      <c r="M23" s="47">
        <v>0</v>
      </c>
      <c r="N23" s="47">
        <v>0</v>
      </c>
      <c r="O23" s="48" t="s">
        <v>110</v>
      </c>
      <c r="P23" s="48" t="s">
        <v>111</v>
      </c>
      <c r="Q23" s="48" t="s">
        <v>112</v>
      </c>
      <c r="R23" s="48" t="s">
        <v>113</v>
      </c>
      <c r="S23" s="48" t="s">
        <v>114</v>
      </c>
      <c r="T23" s="48"/>
    </row>
    <row r="24" spans="1:21" x14ac:dyDescent="0.3">
      <c r="A24" s="43"/>
      <c r="B24" s="43"/>
      <c r="C24" s="46">
        <f t="shared" si="2"/>
        <v>0</v>
      </c>
      <c r="D24" s="45">
        <v>0</v>
      </c>
      <c r="E24" s="45">
        <v>0</v>
      </c>
      <c r="F24" s="45">
        <f t="shared" si="0"/>
        <v>0</v>
      </c>
      <c r="G24" s="45">
        <v>0</v>
      </c>
      <c r="H24" s="45"/>
      <c r="I24" s="45">
        <v>0</v>
      </c>
      <c r="J24" s="45">
        <v>0</v>
      </c>
      <c r="K24" s="45">
        <v>0</v>
      </c>
      <c r="L24" s="46">
        <f t="shared" si="1"/>
        <v>0</v>
      </c>
      <c r="M24" s="47">
        <v>0</v>
      </c>
      <c r="N24" s="47">
        <v>0</v>
      </c>
      <c r="O24" s="48" t="s">
        <v>115</v>
      </c>
      <c r="P24" s="48" t="s">
        <v>116</v>
      </c>
      <c r="Q24" s="48" t="s">
        <v>117</v>
      </c>
      <c r="R24" s="48" t="s">
        <v>118</v>
      </c>
      <c r="S24" s="48" t="s">
        <v>119</v>
      </c>
      <c r="T24" s="48"/>
    </row>
    <row r="25" spans="1:21" x14ac:dyDescent="0.3">
      <c r="A25" s="43"/>
      <c r="B25" s="43"/>
      <c r="C25" s="46">
        <f t="shared" si="2"/>
        <v>0</v>
      </c>
      <c r="D25" s="45">
        <v>0</v>
      </c>
      <c r="E25" s="45">
        <v>0</v>
      </c>
      <c r="F25" s="45">
        <f t="shared" si="0"/>
        <v>0</v>
      </c>
      <c r="G25" s="45">
        <v>0</v>
      </c>
      <c r="H25" s="45"/>
      <c r="I25" s="45">
        <v>0</v>
      </c>
      <c r="J25" s="45">
        <v>0</v>
      </c>
      <c r="K25" s="45">
        <v>0</v>
      </c>
      <c r="L25" s="46">
        <f t="shared" si="1"/>
        <v>0</v>
      </c>
      <c r="M25" s="47">
        <v>0</v>
      </c>
      <c r="N25" s="47">
        <v>0</v>
      </c>
      <c r="O25" s="48" t="s">
        <v>120</v>
      </c>
      <c r="P25" s="48" t="s">
        <v>121</v>
      </c>
      <c r="Q25" s="48" t="s">
        <v>122</v>
      </c>
      <c r="R25" s="48" t="s">
        <v>123</v>
      </c>
      <c r="S25" s="48" t="s">
        <v>124</v>
      </c>
      <c r="T25" s="48"/>
    </row>
    <row r="26" spans="1:21" x14ac:dyDescent="0.3">
      <c r="A26" s="43"/>
      <c r="B26" s="43"/>
      <c r="C26" s="46">
        <f t="shared" si="2"/>
        <v>0</v>
      </c>
      <c r="D26" s="45">
        <v>0</v>
      </c>
      <c r="E26" s="45">
        <v>0</v>
      </c>
      <c r="F26" s="45">
        <f t="shared" si="0"/>
        <v>0</v>
      </c>
      <c r="G26" s="45">
        <v>0</v>
      </c>
      <c r="H26" s="45"/>
      <c r="I26" s="45">
        <v>0</v>
      </c>
      <c r="J26" s="45">
        <v>0</v>
      </c>
      <c r="K26" s="45">
        <v>0</v>
      </c>
      <c r="L26" s="46">
        <f t="shared" si="1"/>
        <v>0</v>
      </c>
      <c r="M26" s="47">
        <v>0</v>
      </c>
      <c r="N26" s="47">
        <v>0</v>
      </c>
      <c r="O26" s="48" t="s">
        <v>125</v>
      </c>
      <c r="P26" s="48" t="s">
        <v>126</v>
      </c>
      <c r="Q26" s="48" t="s">
        <v>127</v>
      </c>
      <c r="R26" s="48" t="s">
        <v>128</v>
      </c>
      <c r="S26" s="48" t="s">
        <v>129</v>
      </c>
      <c r="T26" s="48"/>
    </row>
    <row r="27" spans="1:21" x14ac:dyDescent="0.3">
      <c r="A27" s="43"/>
      <c r="B27" s="43"/>
      <c r="C27" s="46">
        <f t="shared" si="2"/>
        <v>0</v>
      </c>
      <c r="D27" s="45">
        <v>0</v>
      </c>
      <c r="E27" s="45">
        <v>0</v>
      </c>
      <c r="F27" s="45">
        <f t="shared" si="0"/>
        <v>0</v>
      </c>
      <c r="G27" s="45">
        <v>0</v>
      </c>
      <c r="H27" s="45"/>
      <c r="I27" s="45">
        <v>0</v>
      </c>
      <c r="J27" s="45">
        <v>0</v>
      </c>
      <c r="K27" s="45">
        <v>0</v>
      </c>
      <c r="L27" s="46">
        <f t="shared" si="1"/>
        <v>0</v>
      </c>
      <c r="M27" s="47">
        <v>0</v>
      </c>
      <c r="N27" s="47">
        <v>0</v>
      </c>
      <c r="O27" s="48" t="s">
        <v>130</v>
      </c>
      <c r="P27" s="48" t="s">
        <v>131</v>
      </c>
      <c r="Q27" s="48" t="s">
        <v>132</v>
      </c>
      <c r="R27" s="48" t="s">
        <v>133</v>
      </c>
      <c r="S27" s="48" t="s">
        <v>134</v>
      </c>
      <c r="T27" s="48"/>
    </row>
    <row r="28" spans="1:21" x14ac:dyDescent="0.3">
      <c r="A28" s="43"/>
      <c r="B28" s="43"/>
      <c r="C28" s="46">
        <f t="shared" si="2"/>
        <v>0</v>
      </c>
      <c r="D28" s="45">
        <v>0</v>
      </c>
      <c r="E28" s="45">
        <v>0</v>
      </c>
      <c r="F28" s="45">
        <f t="shared" si="0"/>
        <v>0</v>
      </c>
      <c r="G28" s="45">
        <v>0</v>
      </c>
      <c r="H28" s="45"/>
      <c r="I28" s="45">
        <v>0</v>
      </c>
      <c r="J28" s="45">
        <v>0</v>
      </c>
      <c r="K28" s="45">
        <v>0</v>
      </c>
      <c r="L28" s="46">
        <f t="shared" si="1"/>
        <v>0</v>
      </c>
      <c r="M28" s="47">
        <v>0</v>
      </c>
      <c r="N28" s="47">
        <v>0</v>
      </c>
      <c r="O28" s="48" t="s">
        <v>135</v>
      </c>
      <c r="P28" s="48" t="s">
        <v>136</v>
      </c>
      <c r="Q28" s="48" t="s">
        <v>137</v>
      </c>
      <c r="R28" s="48" t="s">
        <v>138</v>
      </c>
      <c r="S28" s="48" t="s">
        <v>139</v>
      </c>
      <c r="T28" s="48"/>
    </row>
    <row r="29" spans="1:21" x14ac:dyDescent="0.3">
      <c r="A29" s="43"/>
      <c r="B29" s="43"/>
      <c r="C29" s="46">
        <f t="shared" si="2"/>
        <v>0</v>
      </c>
      <c r="D29" s="45">
        <v>0</v>
      </c>
      <c r="E29" s="45">
        <v>0</v>
      </c>
      <c r="F29" s="45">
        <f t="shared" si="0"/>
        <v>0</v>
      </c>
      <c r="G29" s="45">
        <v>0</v>
      </c>
      <c r="H29" s="45"/>
      <c r="I29" s="45">
        <v>0</v>
      </c>
      <c r="J29" s="45">
        <v>0</v>
      </c>
      <c r="K29" s="45">
        <v>0</v>
      </c>
      <c r="L29" s="46">
        <f t="shared" si="1"/>
        <v>0</v>
      </c>
      <c r="M29" s="47">
        <v>0</v>
      </c>
      <c r="N29" s="47">
        <v>0</v>
      </c>
      <c r="O29" s="48" t="s">
        <v>140</v>
      </c>
      <c r="P29" s="48" t="s">
        <v>141</v>
      </c>
      <c r="Q29" s="48" t="s">
        <v>142</v>
      </c>
      <c r="R29" s="48" t="s">
        <v>143</v>
      </c>
      <c r="S29" s="48" t="s">
        <v>144</v>
      </c>
      <c r="T29" s="48"/>
    </row>
    <row r="30" spans="1:21" x14ac:dyDescent="0.3">
      <c r="A30" s="43"/>
      <c r="B30" s="43"/>
      <c r="C30" s="46">
        <f t="shared" si="2"/>
        <v>0</v>
      </c>
      <c r="D30" s="45">
        <v>0</v>
      </c>
      <c r="E30" s="45">
        <v>0</v>
      </c>
      <c r="F30" s="45">
        <f t="shared" si="0"/>
        <v>0</v>
      </c>
      <c r="G30" s="45">
        <v>0</v>
      </c>
      <c r="H30" s="45"/>
      <c r="I30" s="45">
        <v>0</v>
      </c>
      <c r="J30" s="45">
        <v>0</v>
      </c>
      <c r="K30" s="45">
        <v>0</v>
      </c>
      <c r="L30" s="46">
        <f t="shared" si="1"/>
        <v>0</v>
      </c>
      <c r="M30" s="47">
        <v>0</v>
      </c>
      <c r="N30" s="47">
        <v>0</v>
      </c>
      <c r="O30" s="48" t="s">
        <v>145</v>
      </c>
      <c r="P30" s="48" t="s">
        <v>146</v>
      </c>
      <c r="Q30" s="48" t="s">
        <v>147</v>
      </c>
      <c r="R30" s="48" t="s">
        <v>148</v>
      </c>
      <c r="S30" s="48" t="s">
        <v>149</v>
      </c>
      <c r="T30" s="48"/>
    </row>
    <row r="31" spans="1:21" x14ac:dyDescent="0.3">
      <c r="A31" s="43"/>
      <c r="B31" s="43"/>
      <c r="C31" s="46">
        <f t="shared" si="2"/>
        <v>0</v>
      </c>
      <c r="D31" s="45">
        <v>0</v>
      </c>
      <c r="E31" s="45">
        <v>0</v>
      </c>
      <c r="F31" s="45">
        <f t="shared" si="0"/>
        <v>0</v>
      </c>
      <c r="G31" s="45">
        <v>0</v>
      </c>
      <c r="H31" s="45"/>
      <c r="I31" s="45">
        <v>0</v>
      </c>
      <c r="J31" s="45">
        <v>0</v>
      </c>
      <c r="K31" s="45">
        <v>0</v>
      </c>
      <c r="L31" s="46">
        <f t="shared" si="1"/>
        <v>0</v>
      </c>
      <c r="M31" s="47">
        <v>0</v>
      </c>
      <c r="N31" s="47">
        <v>0</v>
      </c>
      <c r="O31" s="48" t="s">
        <v>150</v>
      </c>
      <c r="P31" s="48" t="s">
        <v>151</v>
      </c>
      <c r="Q31" s="48" t="s">
        <v>152</v>
      </c>
      <c r="R31" s="48" t="s">
        <v>153</v>
      </c>
      <c r="S31" s="48" t="s">
        <v>154</v>
      </c>
      <c r="T31" s="48"/>
    </row>
    <row r="32" spans="1:21" x14ac:dyDescent="0.3">
      <c r="A32" s="43"/>
      <c r="B32" s="43"/>
      <c r="C32" s="46">
        <f t="shared" si="2"/>
        <v>0</v>
      </c>
      <c r="D32" s="45">
        <v>0</v>
      </c>
      <c r="E32" s="45">
        <v>0</v>
      </c>
      <c r="F32" s="45">
        <f t="shared" si="0"/>
        <v>0</v>
      </c>
      <c r="G32" s="45">
        <v>0</v>
      </c>
      <c r="H32" s="45"/>
      <c r="I32" s="45">
        <v>0</v>
      </c>
      <c r="J32" s="45">
        <v>0</v>
      </c>
      <c r="K32" s="45">
        <v>0</v>
      </c>
      <c r="L32" s="46">
        <f t="shared" si="1"/>
        <v>0</v>
      </c>
      <c r="M32" s="47">
        <v>0</v>
      </c>
      <c r="N32" s="47">
        <v>0</v>
      </c>
      <c r="O32" s="48" t="s">
        <v>155</v>
      </c>
      <c r="P32" s="48" t="s">
        <v>156</v>
      </c>
      <c r="Q32" s="48" t="s">
        <v>157</v>
      </c>
      <c r="R32" s="48" t="s">
        <v>158</v>
      </c>
      <c r="S32" s="48" t="s">
        <v>159</v>
      </c>
      <c r="T32" s="48"/>
    </row>
    <row r="33" spans="1:20" x14ac:dyDescent="0.3">
      <c r="A33" s="43"/>
      <c r="B33" s="43"/>
      <c r="C33" s="46">
        <f t="shared" si="2"/>
        <v>0</v>
      </c>
      <c r="D33" s="45">
        <v>0</v>
      </c>
      <c r="E33" s="45">
        <v>0</v>
      </c>
      <c r="F33" s="45">
        <f t="shared" si="0"/>
        <v>0</v>
      </c>
      <c r="G33" s="45">
        <v>0</v>
      </c>
      <c r="H33" s="45"/>
      <c r="I33" s="45">
        <v>0</v>
      </c>
      <c r="J33" s="45">
        <v>0</v>
      </c>
      <c r="K33" s="45">
        <v>0</v>
      </c>
      <c r="L33" s="46">
        <f t="shared" si="1"/>
        <v>0</v>
      </c>
      <c r="M33" s="47">
        <v>0</v>
      </c>
      <c r="N33" s="47">
        <v>0</v>
      </c>
      <c r="O33" s="48" t="s">
        <v>160</v>
      </c>
      <c r="P33" s="48" t="s">
        <v>161</v>
      </c>
      <c r="Q33" s="48" t="s">
        <v>162</v>
      </c>
      <c r="R33" s="48" t="s">
        <v>163</v>
      </c>
      <c r="S33" s="48" t="s">
        <v>164</v>
      </c>
      <c r="T33" s="48"/>
    </row>
    <row r="34" spans="1:20" x14ac:dyDescent="0.3">
      <c r="A34" s="43"/>
      <c r="B34" s="43"/>
      <c r="C34" s="46">
        <f t="shared" si="2"/>
        <v>0</v>
      </c>
      <c r="D34" s="45">
        <v>0</v>
      </c>
      <c r="E34" s="45">
        <v>0</v>
      </c>
      <c r="F34" s="45">
        <f t="shared" si="0"/>
        <v>0</v>
      </c>
      <c r="G34" s="45">
        <v>0</v>
      </c>
      <c r="H34" s="45"/>
      <c r="I34" s="45">
        <v>0</v>
      </c>
      <c r="J34" s="45">
        <v>0</v>
      </c>
      <c r="K34" s="45">
        <v>0</v>
      </c>
      <c r="L34" s="46">
        <f t="shared" si="1"/>
        <v>0</v>
      </c>
      <c r="M34" s="47">
        <v>0</v>
      </c>
      <c r="N34" s="47">
        <v>0</v>
      </c>
      <c r="O34" s="48" t="s">
        <v>165</v>
      </c>
      <c r="P34" s="48" t="s">
        <v>166</v>
      </c>
      <c r="Q34" s="48" t="s">
        <v>167</v>
      </c>
      <c r="R34" s="48" t="s">
        <v>168</v>
      </c>
      <c r="S34" s="48" t="s">
        <v>169</v>
      </c>
      <c r="T34" s="48"/>
    </row>
    <row r="35" spans="1:20" x14ac:dyDescent="0.3">
      <c r="A35" s="43"/>
      <c r="B35" s="43"/>
      <c r="C35" s="46">
        <f t="shared" si="2"/>
        <v>0</v>
      </c>
      <c r="D35" s="45">
        <v>0</v>
      </c>
      <c r="E35" s="45">
        <v>0</v>
      </c>
      <c r="F35" s="45">
        <f t="shared" si="0"/>
        <v>0</v>
      </c>
      <c r="G35" s="45">
        <v>0</v>
      </c>
      <c r="H35" s="45"/>
      <c r="I35" s="45">
        <v>0</v>
      </c>
      <c r="J35" s="45">
        <v>0</v>
      </c>
      <c r="K35" s="45">
        <v>0</v>
      </c>
      <c r="L35" s="46">
        <f t="shared" si="1"/>
        <v>0</v>
      </c>
      <c r="M35" s="47">
        <v>0</v>
      </c>
      <c r="N35" s="47">
        <v>0</v>
      </c>
      <c r="O35" s="48" t="s">
        <v>170</v>
      </c>
      <c r="P35" s="48" t="s">
        <v>171</v>
      </c>
      <c r="Q35" s="48" t="s">
        <v>172</v>
      </c>
      <c r="R35" s="48" t="s">
        <v>173</v>
      </c>
      <c r="S35" s="48" t="s">
        <v>174</v>
      </c>
      <c r="T35" s="48"/>
    </row>
    <row r="36" spans="1:20" x14ac:dyDescent="0.3">
      <c r="A36" s="43"/>
      <c r="B36" s="43"/>
      <c r="C36" s="46">
        <f t="shared" si="2"/>
        <v>0</v>
      </c>
      <c r="D36" s="45">
        <v>0</v>
      </c>
      <c r="E36" s="45">
        <v>0</v>
      </c>
      <c r="F36" s="45">
        <f t="shared" si="0"/>
        <v>0</v>
      </c>
      <c r="G36" s="45">
        <v>0</v>
      </c>
      <c r="H36" s="45"/>
      <c r="I36" s="45">
        <v>0</v>
      </c>
      <c r="J36" s="45">
        <v>0</v>
      </c>
      <c r="K36" s="45">
        <v>0</v>
      </c>
      <c r="L36" s="46">
        <f t="shared" si="1"/>
        <v>0</v>
      </c>
      <c r="M36" s="47">
        <v>0</v>
      </c>
      <c r="N36" s="47">
        <v>0</v>
      </c>
      <c r="O36" s="48" t="s">
        <v>175</v>
      </c>
      <c r="P36" s="48" t="s">
        <v>176</v>
      </c>
      <c r="Q36" s="48" t="s">
        <v>177</v>
      </c>
      <c r="R36" s="48" t="s">
        <v>178</v>
      </c>
      <c r="S36" s="48" t="s">
        <v>179</v>
      </c>
      <c r="T36" s="48"/>
    </row>
    <row r="37" spans="1:20" x14ac:dyDescent="0.3">
      <c r="A37" s="43"/>
      <c r="B37" s="43"/>
      <c r="C37" s="46">
        <f t="shared" si="2"/>
        <v>0</v>
      </c>
      <c r="D37" s="45">
        <v>0</v>
      </c>
      <c r="E37" s="45">
        <v>0</v>
      </c>
      <c r="F37" s="45">
        <f t="shared" si="0"/>
        <v>0</v>
      </c>
      <c r="G37" s="45">
        <v>0</v>
      </c>
      <c r="H37" s="45"/>
      <c r="I37" s="45">
        <v>0</v>
      </c>
      <c r="J37" s="45">
        <v>0</v>
      </c>
      <c r="K37" s="45">
        <v>0</v>
      </c>
      <c r="L37" s="46">
        <f t="shared" si="1"/>
        <v>0</v>
      </c>
      <c r="M37" s="47">
        <v>0</v>
      </c>
      <c r="N37" s="47">
        <v>0</v>
      </c>
      <c r="O37" s="48" t="s">
        <v>180</v>
      </c>
      <c r="P37" s="48" t="s">
        <v>181</v>
      </c>
      <c r="Q37" s="48" t="s">
        <v>182</v>
      </c>
      <c r="R37" s="48" t="s">
        <v>183</v>
      </c>
      <c r="S37" s="48" t="s">
        <v>184</v>
      </c>
      <c r="T37" s="48"/>
    </row>
    <row r="38" spans="1:20" x14ac:dyDescent="0.3">
      <c r="A38" s="43"/>
      <c r="B38" s="43"/>
      <c r="C38" s="46">
        <f t="shared" si="2"/>
        <v>0</v>
      </c>
      <c r="D38" s="45">
        <v>0</v>
      </c>
      <c r="E38" s="45">
        <v>0</v>
      </c>
      <c r="F38" s="45">
        <f t="shared" si="0"/>
        <v>0</v>
      </c>
      <c r="G38" s="45">
        <v>0</v>
      </c>
      <c r="H38" s="45"/>
      <c r="I38" s="45">
        <v>0</v>
      </c>
      <c r="J38" s="45">
        <v>0</v>
      </c>
      <c r="K38" s="45">
        <v>0</v>
      </c>
      <c r="L38" s="46">
        <f t="shared" si="1"/>
        <v>0</v>
      </c>
      <c r="M38" s="47">
        <v>0</v>
      </c>
      <c r="N38" s="47">
        <v>0</v>
      </c>
      <c r="O38" s="48" t="s">
        <v>185</v>
      </c>
      <c r="P38" s="48" t="s">
        <v>186</v>
      </c>
      <c r="Q38" s="48" t="s">
        <v>187</v>
      </c>
      <c r="R38" s="48" t="s">
        <v>188</v>
      </c>
      <c r="S38" s="48" t="s">
        <v>189</v>
      </c>
      <c r="T38" s="48"/>
    </row>
    <row r="39" spans="1:20" x14ac:dyDescent="0.3">
      <c r="A39" s="43"/>
      <c r="B39" s="43"/>
      <c r="C39" s="46">
        <f t="shared" si="2"/>
        <v>0</v>
      </c>
      <c r="D39" s="45">
        <v>0</v>
      </c>
      <c r="E39" s="45">
        <v>0</v>
      </c>
      <c r="F39" s="45">
        <f t="shared" si="0"/>
        <v>0</v>
      </c>
      <c r="G39" s="45">
        <v>0</v>
      </c>
      <c r="H39" s="45"/>
      <c r="I39" s="45">
        <v>0</v>
      </c>
      <c r="J39" s="45">
        <v>0</v>
      </c>
      <c r="K39" s="45">
        <v>0</v>
      </c>
      <c r="L39" s="46">
        <f t="shared" si="1"/>
        <v>0</v>
      </c>
      <c r="M39" s="47">
        <v>0</v>
      </c>
      <c r="N39" s="47">
        <v>0</v>
      </c>
      <c r="O39" s="48" t="s">
        <v>190</v>
      </c>
      <c r="P39" s="48" t="s">
        <v>191</v>
      </c>
      <c r="Q39" s="48" t="s">
        <v>192</v>
      </c>
      <c r="R39" s="48" t="s">
        <v>193</v>
      </c>
      <c r="S39" s="48" t="s">
        <v>194</v>
      </c>
      <c r="T39" s="48"/>
    </row>
    <row r="40" spans="1:20" x14ac:dyDescent="0.3">
      <c r="A40" s="43"/>
      <c r="B40" s="43"/>
      <c r="C40" s="46">
        <f t="shared" si="2"/>
        <v>0</v>
      </c>
      <c r="D40" s="45">
        <v>0</v>
      </c>
      <c r="E40" s="45">
        <v>0</v>
      </c>
      <c r="F40" s="45">
        <f t="shared" si="0"/>
        <v>0</v>
      </c>
      <c r="G40" s="45">
        <v>0</v>
      </c>
      <c r="H40" s="45"/>
      <c r="I40" s="45">
        <v>0</v>
      </c>
      <c r="J40" s="45">
        <v>0</v>
      </c>
      <c r="K40" s="45">
        <v>0</v>
      </c>
      <c r="L40" s="46">
        <f t="shared" si="1"/>
        <v>0</v>
      </c>
      <c r="M40" s="47">
        <v>0</v>
      </c>
      <c r="N40" s="47">
        <v>0</v>
      </c>
      <c r="O40" s="48" t="s">
        <v>195</v>
      </c>
      <c r="P40" s="48" t="s">
        <v>196</v>
      </c>
      <c r="Q40" s="48" t="s">
        <v>197</v>
      </c>
      <c r="R40" s="48" t="s">
        <v>198</v>
      </c>
      <c r="S40" s="48" t="s">
        <v>199</v>
      </c>
      <c r="T40" s="48"/>
    </row>
    <row r="41" spans="1:20" x14ac:dyDescent="0.3">
      <c r="A41" s="43"/>
      <c r="B41" s="43"/>
      <c r="C41" s="46">
        <f t="shared" si="2"/>
        <v>0</v>
      </c>
      <c r="D41" s="45">
        <v>0</v>
      </c>
      <c r="E41" s="45">
        <v>0</v>
      </c>
      <c r="F41" s="45">
        <f t="shared" si="0"/>
        <v>0</v>
      </c>
      <c r="G41" s="45">
        <v>0</v>
      </c>
      <c r="H41" s="45"/>
      <c r="I41" s="45">
        <v>0</v>
      </c>
      <c r="J41" s="45">
        <v>0</v>
      </c>
      <c r="K41" s="45">
        <v>0</v>
      </c>
      <c r="L41" s="46">
        <f t="shared" si="1"/>
        <v>0</v>
      </c>
      <c r="M41" s="47">
        <v>0</v>
      </c>
      <c r="N41" s="47">
        <v>0</v>
      </c>
      <c r="O41" s="48" t="s">
        <v>200</v>
      </c>
      <c r="P41" s="48" t="s">
        <v>201</v>
      </c>
      <c r="Q41" s="48" t="s">
        <v>202</v>
      </c>
      <c r="R41" s="48" t="s">
        <v>203</v>
      </c>
      <c r="S41" s="48" t="s">
        <v>204</v>
      </c>
      <c r="T41" s="48"/>
    </row>
    <row r="42" spans="1:20" x14ac:dyDescent="0.3">
      <c r="A42" s="43"/>
      <c r="B42" s="43"/>
      <c r="C42" s="46">
        <f t="shared" si="2"/>
        <v>0</v>
      </c>
      <c r="D42" s="45">
        <v>0</v>
      </c>
      <c r="E42" s="45">
        <v>0</v>
      </c>
      <c r="F42" s="45">
        <f t="shared" si="0"/>
        <v>0</v>
      </c>
      <c r="G42" s="45">
        <v>0</v>
      </c>
      <c r="H42" s="45"/>
      <c r="I42" s="45">
        <v>0</v>
      </c>
      <c r="J42" s="45">
        <v>0</v>
      </c>
      <c r="K42" s="45">
        <v>0</v>
      </c>
      <c r="L42" s="46">
        <f t="shared" si="1"/>
        <v>0</v>
      </c>
      <c r="M42" s="47">
        <v>0</v>
      </c>
      <c r="N42" s="47">
        <v>0</v>
      </c>
      <c r="O42" s="48" t="s">
        <v>205</v>
      </c>
      <c r="P42" s="48" t="s">
        <v>206</v>
      </c>
      <c r="Q42" s="48" t="s">
        <v>207</v>
      </c>
      <c r="R42" s="48" t="s">
        <v>208</v>
      </c>
      <c r="S42" s="48" t="s">
        <v>209</v>
      </c>
      <c r="T42" s="48"/>
    </row>
    <row r="43" spans="1:20" x14ac:dyDescent="0.3">
      <c r="A43" s="43"/>
      <c r="B43" s="43"/>
      <c r="C43" s="46">
        <f t="shared" si="2"/>
        <v>0</v>
      </c>
      <c r="D43" s="45">
        <v>0</v>
      </c>
      <c r="E43" s="45">
        <v>0</v>
      </c>
      <c r="F43" s="45">
        <f t="shared" si="0"/>
        <v>0</v>
      </c>
      <c r="G43" s="45">
        <v>0</v>
      </c>
      <c r="H43" s="45"/>
      <c r="I43" s="45">
        <v>0</v>
      </c>
      <c r="J43" s="45">
        <v>0</v>
      </c>
      <c r="K43" s="45">
        <v>0</v>
      </c>
      <c r="L43" s="46">
        <f t="shared" si="1"/>
        <v>0</v>
      </c>
      <c r="M43" s="47">
        <v>0</v>
      </c>
      <c r="N43" s="47">
        <v>0</v>
      </c>
      <c r="O43" s="48" t="s">
        <v>210</v>
      </c>
      <c r="P43" s="48" t="s">
        <v>211</v>
      </c>
      <c r="Q43" s="48" t="s">
        <v>212</v>
      </c>
      <c r="R43" s="48" t="s">
        <v>213</v>
      </c>
      <c r="S43" s="48" t="s">
        <v>214</v>
      </c>
      <c r="T43" s="48"/>
    </row>
    <row r="44" spans="1:20" x14ac:dyDescent="0.3">
      <c r="A44" s="43"/>
      <c r="B44" s="43"/>
      <c r="C44" s="46">
        <f t="shared" si="2"/>
        <v>0</v>
      </c>
      <c r="D44" s="45">
        <v>0</v>
      </c>
      <c r="E44" s="45">
        <v>0</v>
      </c>
      <c r="F44" s="45">
        <f t="shared" si="0"/>
        <v>0</v>
      </c>
      <c r="G44" s="45">
        <v>0</v>
      </c>
      <c r="H44" s="45"/>
      <c r="I44" s="45">
        <v>0</v>
      </c>
      <c r="J44" s="45">
        <v>0</v>
      </c>
      <c r="K44" s="45">
        <v>0</v>
      </c>
      <c r="L44" s="46">
        <f t="shared" si="1"/>
        <v>0</v>
      </c>
      <c r="M44" s="47">
        <v>0</v>
      </c>
      <c r="N44" s="47">
        <v>0</v>
      </c>
      <c r="O44" s="48" t="s">
        <v>215</v>
      </c>
      <c r="P44" s="48" t="s">
        <v>216</v>
      </c>
      <c r="Q44" s="48" t="s">
        <v>217</v>
      </c>
      <c r="R44" s="48" t="s">
        <v>218</v>
      </c>
      <c r="S44" s="48" t="s">
        <v>219</v>
      </c>
      <c r="T44" s="48"/>
    </row>
    <row r="45" spans="1:20" x14ac:dyDescent="0.3">
      <c r="A45" s="43"/>
      <c r="B45" s="43"/>
      <c r="C45" s="46">
        <f t="shared" si="2"/>
        <v>0</v>
      </c>
      <c r="D45" s="45">
        <v>0</v>
      </c>
      <c r="E45" s="45">
        <v>0</v>
      </c>
      <c r="F45" s="45">
        <f t="shared" si="0"/>
        <v>0</v>
      </c>
      <c r="G45" s="45">
        <v>0</v>
      </c>
      <c r="H45" s="45"/>
      <c r="I45" s="45">
        <v>0</v>
      </c>
      <c r="J45" s="45">
        <v>0</v>
      </c>
      <c r="K45" s="45">
        <v>0</v>
      </c>
      <c r="L45" s="46">
        <f t="shared" si="1"/>
        <v>0</v>
      </c>
      <c r="M45" s="47">
        <v>0</v>
      </c>
      <c r="N45" s="47">
        <v>0</v>
      </c>
      <c r="O45" s="48" t="s">
        <v>220</v>
      </c>
      <c r="P45" s="48" t="s">
        <v>221</v>
      </c>
      <c r="Q45" s="48" t="s">
        <v>222</v>
      </c>
      <c r="R45" s="48" t="s">
        <v>223</v>
      </c>
      <c r="S45" s="48" t="s">
        <v>224</v>
      </c>
      <c r="T45" s="48"/>
    </row>
    <row r="46" spans="1:20" x14ac:dyDescent="0.3">
      <c r="A46" s="43"/>
      <c r="B46" s="43"/>
      <c r="C46" s="46">
        <f t="shared" si="2"/>
        <v>0</v>
      </c>
      <c r="D46" s="45">
        <v>0</v>
      </c>
      <c r="E46" s="45">
        <v>0</v>
      </c>
      <c r="F46" s="45">
        <f t="shared" si="0"/>
        <v>0</v>
      </c>
      <c r="G46" s="45">
        <v>0</v>
      </c>
      <c r="H46" s="45"/>
      <c r="I46" s="45">
        <v>0</v>
      </c>
      <c r="J46" s="45">
        <v>0</v>
      </c>
      <c r="K46" s="45">
        <v>0</v>
      </c>
      <c r="L46" s="46">
        <f t="shared" si="1"/>
        <v>0</v>
      </c>
      <c r="M46" s="47">
        <v>0</v>
      </c>
      <c r="N46" s="47">
        <v>0</v>
      </c>
      <c r="O46" s="48" t="s">
        <v>225</v>
      </c>
      <c r="P46" s="48" t="s">
        <v>226</v>
      </c>
      <c r="Q46" s="48" t="s">
        <v>227</v>
      </c>
      <c r="R46" s="48" t="s">
        <v>228</v>
      </c>
      <c r="S46" s="48" t="s">
        <v>229</v>
      </c>
      <c r="T46" s="48"/>
    </row>
    <row r="47" spans="1:20" x14ac:dyDescent="0.3">
      <c r="A47" s="43"/>
      <c r="B47" s="43"/>
      <c r="C47" s="46">
        <f t="shared" si="2"/>
        <v>0</v>
      </c>
      <c r="D47" s="45">
        <v>0</v>
      </c>
      <c r="E47" s="45">
        <v>0</v>
      </c>
      <c r="F47" s="45">
        <f t="shared" si="0"/>
        <v>0</v>
      </c>
      <c r="G47" s="45">
        <v>0</v>
      </c>
      <c r="H47" s="45"/>
      <c r="I47" s="45">
        <v>0</v>
      </c>
      <c r="J47" s="45">
        <v>0</v>
      </c>
      <c r="K47" s="45">
        <v>0</v>
      </c>
      <c r="L47" s="46">
        <f t="shared" si="1"/>
        <v>0</v>
      </c>
      <c r="M47" s="47">
        <v>0</v>
      </c>
      <c r="N47" s="47">
        <v>0</v>
      </c>
      <c r="O47" s="48" t="s">
        <v>230</v>
      </c>
      <c r="P47" s="48" t="s">
        <v>231</v>
      </c>
      <c r="Q47" s="48" t="s">
        <v>232</v>
      </c>
      <c r="R47" s="48" t="s">
        <v>233</v>
      </c>
      <c r="S47" s="48" t="s">
        <v>234</v>
      </c>
      <c r="T47" s="48"/>
    </row>
    <row r="48" spans="1:20" x14ac:dyDescent="0.3">
      <c r="A48" s="43"/>
      <c r="B48" s="43"/>
      <c r="C48" s="46">
        <f t="shared" si="2"/>
        <v>0</v>
      </c>
      <c r="D48" s="45">
        <v>0</v>
      </c>
      <c r="E48" s="45">
        <v>0</v>
      </c>
      <c r="F48" s="45">
        <f t="shared" si="0"/>
        <v>0</v>
      </c>
      <c r="G48" s="45">
        <v>0</v>
      </c>
      <c r="H48" s="45"/>
      <c r="I48" s="45">
        <v>0</v>
      </c>
      <c r="J48" s="45">
        <v>0</v>
      </c>
      <c r="K48" s="45">
        <v>0</v>
      </c>
      <c r="L48" s="46">
        <f t="shared" si="1"/>
        <v>0</v>
      </c>
      <c r="M48" s="47">
        <v>0</v>
      </c>
      <c r="N48" s="47">
        <v>0</v>
      </c>
      <c r="O48" s="48" t="s">
        <v>235</v>
      </c>
      <c r="P48" s="48" t="s">
        <v>236</v>
      </c>
      <c r="Q48" s="48" t="s">
        <v>237</v>
      </c>
      <c r="R48" s="48" t="s">
        <v>238</v>
      </c>
      <c r="S48" s="48" t="s">
        <v>239</v>
      </c>
      <c r="T48" s="48"/>
    </row>
    <row r="49" spans="1:20" x14ac:dyDescent="0.3">
      <c r="A49" s="43"/>
      <c r="B49" s="43"/>
      <c r="C49" s="46">
        <f t="shared" si="2"/>
        <v>0</v>
      </c>
      <c r="D49" s="45">
        <v>0</v>
      </c>
      <c r="E49" s="45">
        <v>0</v>
      </c>
      <c r="F49" s="45">
        <f t="shared" si="0"/>
        <v>0</v>
      </c>
      <c r="G49" s="45">
        <v>0</v>
      </c>
      <c r="H49" s="45"/>
      <c r="I49" s="45">
        <v>0</v>
      </c>
      <c r="J49" s="45">
        <v>0</v>
      </c>
      <c r="K49" s="45">
        <v>0</v>
      </c>
      <c r="L49" s="46">
        <f t="shared" si="1"/>
        <v>0</v>
      </c>
      <c r="M49" s="47">
        <v>0</v>
      </c>
      <c r="N49" s="47">
        <v>0</v>
      </c>
      <c r="O49" s="48" t="s">
        <v>240</v>
      </c>
      <c r="P49" s="48" t="s">
        <v>241</v>
      </c>
      <c r="Q49" s="48" t="s">
        <v>242</v>
      </c>
      <c r="R49" s="48" t="s">
        <v>243</v>
      </c>
      <c r="S49" s="48" t="s">
        <v>244</v>
      </c>
      <c r="T49" s="48"/>
    </row>
    <row r="50" spans="1:20" x14ac:dyDescent="0.3">
      <c r="A50" s="43"/>
      <c r="B50" s="43"/>
      <c r="C50" s="46">
        <f t="shared" si="2"/>
        <v>0</v>
      </c>
      <c r="D50" s="45">
        <v>0</v>
      </c>
      <c r="E50" s="45">
        <v>0</v>
      </c>
      <c r="F50" s="45">
        <f t="shared" si="0"/>
        <v>0</v>
      </c>
      <c r="G50" s="45">
        <v>0</v>
      </c>
      <c r="H50" s="45"/>
      <c r="I50" s="45">
        <v>0</v>
      </c>
      <c r="J50" s="45">
        <v>0</v>
      </c>
      <c r="K50" s="45">
        <v>0</v>
      </c>
      <c r="L50" s="46">
        <f t="shared" si="1"/>
        <v>0</v>
      </c>
      <c r="M50" s="47">
        <v>0</v>
      </c>
      <c r="N50" s="47">
        <v>0</v>
      </c>
      <c r="O50" s="48" t="s">
        <v>245</v>
      </c>
      <c r="P50" s="48" t="s">
        <v>246</v>
      </c>
      <c r="Q50" s="48" t="s">
        <v>247</v>
      </c>
      <c r="R50" s="48" t="s">
        <v>248</v>
      </c>
      <c r="S50" s="48" t="s">
        <v>249</v>
      </c>
      <c r="T50" s="48"/>
    </row>
    <row r="51" spans="1:20" x14ac:dyDescent="0.3">
      <c r="A51" s="43"/>
      <c r="B51" s="43"/>
      <c r="C51" s="46">
        <f t="shared" si="2"/>
        <v>0</v>
      </c>
      <c r="D51" s="45">
        <v>0</v>
      </c>
      <c r="E51" s="45">
        <v>0</v>
      </c>
      <c r="F51" s="45">
        <f t="shared" si="0"/>
        <v>0</v>
      </c>
      <c r="G51" s="45">
        <v>0</v>
      </c>
      <c r="H51" s="45"/>
      <c r="I51" s="45">
        <v>0</v>
      </c>
      <c r="J51" s="45">
        <v>0</v>
      </c>
      <c r="K51" s="45">
        <v>0</v>
      </c>
      <c r="L51" s="46">
        <f t="shared" si="1"/>
        <v>0</v>
      </c>
      <c r="M51" s="47">
        <v>0</v>
      </c>
      <c r="N51" s="47">
        <v>0</v>
      </c>
      <c r="O51" s="48" t="s">
        <v>250</v>
      </c>
      <c r="P51" s="48" t="s">
        <v>251</v>
      </c>
      <c r="Q51" s="48" t="s">
        <v>252</v>
      </c>
      <c r="R51" s="48" t="s">
        <v>253</v>
      </c>
      <c r="S51" s="48" t="s">
        <v>254</v>
      </c>
      <c r="T51" s="48"/>
    </row>
    <row r="52" spans="1:20" x14ac:dyDescent="0.3">
      <c r="A52" s="43"/>
      <c r="B52" s="43"/>
      <c r="C52" s="46">
        <f t="shared" si="2"/>
        <v>0</v>
      </c>
      <c r="D52" s="45">
        <v>0</v>
      </c>
      <c r="E52" s="45">
        <v>0</v>
      </c>
      <c r="F52" s="45">
        <f t="shared" si="0"/>
        <v>0</v>
      </c>
      <c r="G52" s="45">
        <v>0</v>
      </c>
      <c r="H52" s="45"/>
      <c r="I52" s="45">
        <v>0</v>
      </c>
      <c r="J52" s="45">
        <v>0</v>
      </c>
      <c r="K52" s="45">
        <v>0</v>
      </c>
      <c r="L52" s="46">
        <f t="shared" si="1"/>
        <v>0</v>
      </c>
      <c r="M52" s="47">
        <v>0</v>
      </c>
      <c r="N52" s="47">
        <v>0</v>
      </c>
      <c r="O52" s="48" t="s">
        <v>255</v>
      </c>
      <c r="P52" s="48" t="s">
        <v>256</v>
      </c>
      <c r="Q52" s="48" t="s">
        <v>257</v>
      </c>
      <c r="R52" s="48" t="s">
        <v>258</v>
      </c>
      <c r="S52" s="48" t="s">
        <v>259</v>
      </c>
      <c r="T52" s="48"/>
    </row>
    <row r="53" spans="1:20" x14ac:dyDescent="0.3">
      <c r="A53" s="43"/>
      <c r="B53" s="43"/>
      <c r="C53" s="46">
        <f t="shared" si="2"/>
        <v>0</v>
      </c>
      <c r="D53" s="45">
        <v>0</v>
      </c>
      <c r="E53" s="45">
        <v>0</v>
      </c>
      <c r="F53" s="45">
        <f t="shared" si="0"/>
        <v>0</v>
      </c>
      <c r="G53" s="45">
        <v>0</v>
      </c>
      <c r="H53" s="45"/>
      <c r="I53" s="45">
        <v>0</v>
      </c>
      <c r="J53" s="45">
        <v>0</v>
      </c>
      <c r="K53" s="45">
        <v>0</v>
      </c>
      <c r="L53" s="46">
        <f t="shared" si="1"/>
        <v>0</v>
      </c>
      <c r="M53" s="47">
        <v>0</v>
      </c>
      <c r="N53" s="47">
        <v>0</v>
      </c>
      <c r="O53" s="48" t="s">
        <v>260</v>
      </c>
      <c r="P53" s="48" t="s">
        <v>261</v>
      </c>
      <c r="Q53" s="48" t="s">
        <v>262</v>
      </c>
      <c r="R53" s="48" t="s">
        <v>263</v>
      </c>
      <c r="S53" s="48" t="s">
        <v>264</v>
      </c>
      <c r="T53" s="48"/>
    </row>
    <row r="54" spans="1:20" x14ac:dyDescent="0.3">
      <c r="A54" s="43"/>
      <c r="B54" s="43"/>
      <c r="C54" s="46">
        <f t="shared" si="2"/>
        <v>0</v>
      </c>
      <c r="D54" s="45">
        <v>0</v>
      </c>
      <c r="E54" s="45">
        <v>0</v>
      </c>
      <c r="F54" s="45">
        <f t="shared" si="0"/>
        <v>0</v>
      </c>
      <c r="G54" s="45">
        <v>0</v>
      </c>
      <c r="H54" s="45"/>
      <c r="I54" s="45">
        <v>0</v>
      </c>
      <c r="J54" s="45">
        <v>0</v>
      </c>
      <c r="K54" s="45">
        <v>0</v>
      </c>
      <c r="L54" s="46">
        <f t="shared" si="1"/>
        <v>0</v>
      </c>
      <c r="M54" s="47">
        <v>0</v>
      </c>
      <c r="N54" s="47">
        <v>0</v>
      </c>
      <c r="O54" s="48" t="s">
        <v>265</v>
      </c>
      <c r="P54" s="48" t="s">
        <v>266</v>
      </c>
      <c r="Q54" s="48" t="s">
        <v>267</v>
      </c>
      <c r="R54" s="48" t="s">
        <v>268</v>
      </c>
      <c r="S54" s="48" t="s">
        <v>269</v>
      </c>
      <c r="T54" s="48"/>
    </row>
    <row r="55" spans="1:20" x14ac:dyDescent="0.3">
      <c r="A55" s="43"/>
      <c r="B55" s="43"/>
      <c r="C55" s="46">
        <f t="shared" si="2"/>
        <v>0</v>
      </c>
      <c r="D55" s="45">
        <v>0</v>
      </c>
      <c r="E55" s="45">
        <v>0</v>
      </c>
      <c r="F55" s="45">
        <f t="shared" si="0"/>
        <v>0</v>
      </c>
      <c r="G55" s="45">
        <v>0</v>
      </c>
      <c r="H55" s="45"/>
      <c r="I55" s="45">
        <v>0</v>
      </c>
      <c r="J55" s="45">
        <v>0</v>
      </c>
      <c r="K55" s="45">
        <v>0</v>
      </c>
      <c r="L55" s="46">
        <f t="shared" si="1"/>
        <v>0</v>
      </c>
      <c r="M55" s="47">
        <v>0</v>
      </c>
      <c r="N55" s="47">
        <v>0</v>
      </c>
      <c r="O55" s="48" t="s">
        <v>270</v>
      </c>
      <c r="P55" s="48" t="s">
        <v>271</v>
      </c>
      <c r="Q55" s="48" t="s">
        <v>272</v>
      </c>
      <c r="R55" s="48" t="s">
        <v>273</v>
      </c>
      <c r="S55" s="48" t="s">
        <v>274</v>
      </c>
      <c r="T55" s="48"/>
    </row>
    <row r="56" spans="1:20" x14ac:dyDescent="0.3">
      <c r="A56" s="43"/>
      <c r="B56" s="43"/>
      <c r="C56" s="46">
        <f t="shared" si="2"/>
        <v>0</v>
      </c>
      <c r="D56" s="45">
        <v>0</v>
      </c>
      <c r="E56" s="45">
        <v>0</v>
      </c>
      <c r="F56" s="45">
        <f t="shared" si="0"/>
        <v>0</v>
      </c>
      <c r="G56" s="45">
        <v>0</v>
      </c>
      <c r="H56" s="45"/>
      <c r="I56" s="45">
        <v>0</v>
      </c>
      <c r="J56" s="45">
        <v>0</v>
      </c>
      <c r="K56" s="45">
        <v>0</v>
      </c>
      <c r="L56" s="46">
        <f t="shared" si="1"/>
        <v>0</v>
      </c>
      <c r="M56" s="47">
        <v>0</v>
      </c>
      <c r="N56" s="47">
        <v>0</v>
      </c>
      <c r="O56" s="48" t="s">
        <v>275</v>
      </c>
      <c r="P56" s="48" t="s">
        <v>276</v>
      </c>
      <c r="Q56" s="48" t="s">
        <v>277</v>
      </c>
      <c r="R56" s="48" t="s">
        <v>278</v>
      </c>
      <c r="S56" s="48" t="s">
        <v>279</v>
      </c>
      <c r="T56" s="48"/>
    </row>
    <row r="57" spans="1:20" x14ac:dyDescent="0.3">
      <c r="A57" s="43"/>
      <c r="B57" s="43"/>
      <c r="C57" s="46">
        <f t="shared" si="2"/>
        <v>0</v>
      </c>
      <c r="D57" s="45">
        <v>0</v>
      </c>
      <c r="E57" s="45">
        <v>0</v>
      </c>
      <c r="F57" s="45">
        <f t="shared" si="0"/>
        <v>0</v>
      </c>
      <c r="G57" s="45">
        <v>0</v>
      </c>
      <c r="H57" s="45"/>
      <c r="I57" s="45">
        <v>0</v>
      </c>
      <c r="J57" s="45">
        <v>0</v>
      </c>
      <c r="K57" s="45">
        <v>0</v>
      </c>
      <c r="L57" s="46">
        <f t="shared" si="1"/>
        <v>0</v>
      </c>
      <c r="M57" s="47">
        <v>0</v>
      </c>
      <c r="N57" s="47">
        <v>0</v>
      </c>
      <c r="O57" s="48" t="s">
        <v>280</v>
      </c>
      <c r="P57" s="48" t="s">
        <v>281</v>
      </c>
      <c r="Q57" s="48" t="s">
        <v>282</v>
      </c>
      <c r="R57" s="48" t="s">
        <v>283</v>
      </c>
      <c r="S57" s="48" t="s">
        <v>284</v>
      </c>
      <c r="T57" s="48"/>
    </row>
    <row r="58" spans="1:20" x14ac:dyDescent="0.3">
      <c r="A58" s="43"/>
      <c r="B58" s="43"/>
      <c r="C58" s="46">
        <f t="shared" si="2"/>
        <v>0</v>
      </c>
      <c r="D58" s="45">
        <v>0</v>
      </c>
      <c r="E58" s="45">
        <v>0</v>
      </c>
      <c r="F58" s="45">
        <f t="shared" si="0"/>
        <v>0</v>
      </c>
      <c r="G58" s="45">
        <v>0</v>
      </c>
      <c r="H58" s="45"/>
      <c r="I58" s="45">
        <v>0</v>
      </c>
      <c r="J58" s="45">
        <v>0</v>
      </c>
      <c r="K58" s="45">
        <v>0</v>
      </c>
      <c r="L58" s="46">
        <f t="shared" si="1"/>
        <v>0</v>
      </c>
      <c r="M58" s="47">
        <v>0</v>
      </c>
      <c r="N58" s="47">
        <v>0</v>
      </c>
      <c r="O58" s="48" t="s">
        <v>285</v>
      </c>
      <c r="P58" s="48" t="s">
        <v>286</v>
      </c>
      <c r="Q58" s="48" t="s">
        <v>287</v>
      </c>
      <c r="R58" s="48" t="s">
        <v>288</v>
      </c>
      <c r="S58" s="48" t="s">
        <v>289</v>
      </c>
      <c r="T58" s="48"/>
    </row>
    <row r="59" spans="1:20" x14ac:dyDescent="0.3">
      <c r="A59" s="43"/>
      <c r="B59" s="43"/>
      <c r="C59" s="46">
        <f t="shared" si="2"/>
        <v>0</v>
      </c>
      <c r="D59" s="45">
        <v>0</v>
      </c>
      <c r="E59" s="45">
        <v>0</v>
      </c>
      <c r="F59" s="45">
        <f t="shared" si="0"/>
        <v>0</v>
      </c>
      <c r="G59" s="45">
        <v>0</v>
      </c>
      <c r="H59" s="45"/>
      <c r="I59" s="45">
        <v>0</v>
      </c>
      <c r="J59" s="45">
        <v>0</v>
      </c>
      <c r="K59" s="45">
        <v>0</v>
      </c>
      <c r="L59" s="46">
        <f t="shared" si="1"/>
        <v>0</v>
      </c>
      <c r="M59" s="47">
        <v>0</v>
      </c>
      <c r="N59" s="47">
        <v>0</v>
      </c>
      <c r="O59" s="48" t="s">
        <v>290</v>
      </c>
      <c r="P59" s="48" t="s">
        <v>291</v>
      </c>
      <c r="Q59" s="48" t="s">
        <v>292</v>
      </c>
      <c r="R59" s="48" t="s">
        <v>293</v>
      </c>
      <c r="S59" s="48" t="s">
        <v>294</v>
      </c>
      <c r="T59" s="48"/>
    </row>
    <row r="60" spans="1:20" x14ac:dyDescent="0.3">
      <c r="A60" s="43"/>
      <c r="B60" s="43"/>
      <c r="C60" s="46">
        <f t="shared" si="2"/>
        <v>0</v>
      </c>
      <c r="D60" s="45">
        <v>0</v>
      </c>
      <c r="E60" s="45">
        <v>0</v>
      </c>
      <c r="F60" s="45">
        <f t="shared" si="0"/>
        <v>0</v>
      </c>
      <c r="G60" s="45">
        <v>0</v>
      </c>
      <c r="H60" s="45"/>
      <c r="I60" s="45">
        <v>0</v>
      </c>
      <c r="J60" s="45">
        <v>0</v>
      </c>
      <c r="K60" s="45">
        <v>0</v>
      </c>
      <c r="L60" s="46">
        <f t="shared" si="1"/>
        <v>0</v>
      </c>
      <c r="M60" s="47">
        <v>0</v>
      </c>
      <c r="N60" s="47">
        <v>0</v>
      </c>
      <c r="O60" s="48" t="s">
        <v>295</v>
      </c>
      <c r="P60" s="48" t="s">
        <v>296</v>
      </c>
      <c r="Q60" s="48" t="s">
        <v>297</v>
      </c>
      <c r="R60" s="48" t="s">
        <v>298</v>
      </c>
      <c r="S60" s="48" t="s">
        <v>299</v>
      </c>
      <c r="T60" s="48"/>
    </row>
    <row r="61" spans="1:20" x14ac:dyDescent="0.3">
      <c r="A61" s="43"/>
      <c r="B61" s="43"/>
      <c r="C61" s="46">
        <f t="shared" si="2"/>
        <v>0</v>
      </c>
      <c r="D61" s="45">
        <v>0</v>
      </c>
      <c r="E61" s="45">
        <v>0</v>
      </c>
      <c r="F61" s="45">
        <f t="shared" si="0"/>
        <v>0</v>
      </c>
      <c r="G61" s="45">
        <v>0</v>
      </c>
      <c r="H61" s="45"/>
      <c r="I61" s="45">
        <v>0</v>
      </c>
      <c r="J61" s="45">
        <v>0</v>
      </c>
      <c r="K61" s="45">
        <v>0</v>
      </c>
      <c r="L61" s="46">
        <f t="shared" si="1"/>
        <v>0</v>
      </c>
      <c r="M61" s="47">
        <v>0</v>
      </c>
      <c r="N61" s="47">
        <v>0</v>
      </c>
      <c r="O61" s="48" t="s">
        <v>300</v>
      </c>
      <c r="P61" s="48" t="s">
        <v>301</v>
      </c>
      <c r="Q61" s="48" t="s">
        <v>302</v>
      </c>
      <c r="R61" s="48" t="s">
        <v>303</v>
      </c>
      <c r="S61" s="48" t="s">
        <v>304</v>
      </c>
      <c r="T61" s="48"/>
    </row>
    <row r="62" spans="1:20" x14ac:dyDescent="0.3">
      <c r="A62" s="43"/>
      <c r="B62" s="43"/>
      <c r="C62" s="46">
        <f t="shared" si="2"/>
        <v>0</v>
      </c>
      <c r="D62" s="45">
        <v>0</v>
      </c>
      <c r="E62" s="45">
        <v>0</v>
      </c>
      <c r="F62" s="45">
        <f t="shared" si="0"/>
        <v>0</v>
      </c>
      <c r="G62" s="45">
        <v>0</v>
      </c>
      <c r="H62" s="45"/>
      <c r="I62" s="45">
        <v>0</v>
      </c>
      <c r="J62" s="45">
        <v>0</v>
      </c>
      <c r="K62" s="45">
        <v>0</v>
      </c>
      <c r="L62" s="46">
        <f t="shared" si="1"/>
        <v>0</v>
      </c>
      <c r="M62" s="47">
        <v>0</v>
      </c>
      <c r="N62" s="47">
        <v>0</v>
      </c>
      <c r="O62" s="48" t="s">
        <v>305</v>
      </c>
      <c r="P62" s="48" t="s">
        <v>306</v>
      </c>
      <c r="Q62" s="48" t="s">
        <v>307</v>
      </c>
      <c r="R62" s="48" t="s">
        <v>308</v>
      </c>
      <c r="S62" s="48" t="s">
        <v>309</v>
      </c>
      <c r="T62" s="48"/>
    </row>
    <row r="63" spans="1:20" x14ac:dyDescent="0.3">
      <c r="A63" s="43"/>
      <c r="B63" s="43"/>
      <c r="C63" s="46">
        <f t="shared" si="2"/>
        <v>0</v>
      </c>
      <c r="D63" s="45">
        <v>0</v>
      </c>
      <c r="E63" s="45">
        <v>0</v>
      </c>
      <c r="F63" s="45">
        <f t="shared" si="0"/>
        <v>0</v>
      </c>
      <c r="G63" s="45">
        <v>0</v>
      </c>
      <c r="H63" s="45"/>
      <c r="I63" s="45">
        <v>0</v>
      </c>
      <c r="J63" s="45">
        <v>0</v>
      </c>
      <c r="K63" s="45">
        <v>0</v>
      </c>
      <c r="L63" s="46">
        <f t="shared" si="1"/>
        <v>0</v>
      </c>
      <c r="M63" s="47">
        <v>0</v>
      </c>
      <c r="N63" s="47">
        <v>0</v>
      </c>
      <c r="O63" s="48" t="s">
        <v>310</v>
      </c>
      <c r="P63" s="48" t="s">
        <v>311</v>
      </c>
      <c r="Q63" s="48" t="s">
        <v>312</v>
      </c>
      <c r="R63" s="48" t="s">
        <v>313</v>
      </c>
      <c r="S63" s="48" t="s">
        <v>314</v>
      </c>
      <c r="T63" s="48"/>
    </row>
    <row r="64" spans="1:20" x14ac:dyDescent="0.3">
      <c r="A64" s="43"/>
      <c r="B64" s="43"/>
      <c r="C64" s="46">
        <f t="shared" si="2"/>
        <v>0</v>
      </c>
      <c r="D64" s="45">
        <v>0</v>
      </c>
      <c r="E64" s="45">
        <v>0</v>
      </c>
      <c r="F64" s="45">
        <f t="shared" si="0"/>
        <v>0</v>
      </c>
      <c r="G64" s="45">
        <v>0</v>
      </c>
      <c r="H64" s="45"/>
      <c r="I64" s="45">
        <v>0</v>
      </c>
      <c r="J64" s="45">
        <v>0</v>
      </c>
      <c r="K64" s="45">
        <v>0</v>
      </c>
      <c r="L64" s="46">
        <f t="shared" si="1"/>
        <v>0</v>
      </c>
      <c r="M64" s="47">
        <v>0</v>
      </c>
      <c r="N64" s="47">
        <v>0</v>
      </c>
      <c r="O64" s="48" t="s">
        <v>315</v>
      </c>
      <c r="P64" s="48" t="s">
        <v>316</v>
      </c>
      <c r="Q64" s="48" t="s">
        <v>317</v>
      </c>
      <c r="R64" s="48" t="s">
        <v>318</v>
      </c>
      <c r="S64" s="48" t="s">
        <v>319</v>
      </c>
      <c r="T64" s="48"/>
    </row>
    <row r="65" spans="1:20" x14ac:dyDescent="0.3">
      <c r="A65" s="43"/>
      <c r="B65" s="43"/>
      <c r="C65" s="46">
        <f t="shared" si="2"/>
        <v>0</v>
      </c>
      <c r="D65" s="45">
        <v>0</v>
      </c>
      <c r="E65" s="45">
        <v>0</v>
      </c>
      <c r="F65" s="45">
        <f t="shared" si="0"/>
        <v>0</v>
      </c>
      <c r="G65" s="45">
        <v>0</v>
      </c>
      <c r="H65" s="45"/>
      <c r="I65" s="45">
        <v>0</v>
      </c>
      <c r="J65" s="45">
        <v>0</v>
      </c>
      <c r="K65" s="45">
        <v>0</v>
      </c>
      <c r="L65" s="46">
        <f t="shared" si="1"/>
        <v>0</v>
      </c>
      <c r="M65" s="47">
        <v>0</v>
      </c>
      <c r="N65" s="47">
        <v>0</v>
      </c>
      <c r="O65" s="48" t="s">
        <v>320</v>
      </c>
      <c r="P65" s="48" t="s">
        <v>321</v>
      </c>
      <c r="Q65" s="48" t="s">
        <v>322</v>
      </c>
      <c r="R65" s="48" t="s">
        <v>323</v>
      </c>
      <c r="S65" s="48" t="s">
        <v>324</v>
      </c>
      <c r="T65" s="48"/>
    </row>
    <row r="66" spans="1:20" x14ac:dyDescent="0.3">
      <c r="A66" s="43"/>
      <c r="B66" s="43"/>
      <c r="C66" s="46">
        <f t="shared" si="2"/>
        <v>0</v>
      </c>
      <c r="D66" s="45">
        <v>0</v>
      </c>
      <c r="E66" s="45">
        <v>0</v>
      </c>
      <c r="F66" s="45">
        <f t="shared" si="0"/>
        <v>0</v>
      </c>
      <c r="G66" s="45">
        <v>0</v>
      </c>
      <c r="H66" s="45"/>
      <c r="I66" s="45">
        <v>0</v>
      </c>
      <c r="J66" s="45">
        <v>0</v>
      </c>
      <c r="K66" s="45">
        <v>0</v>
      </c>
      <c r="L66" s="46">
        <f t="shared" si="1"/>
        <v>0</v>
      </c>
      <c r="M66" s="47">
        <v>0</v>
      </c>
      <c r="N66" s="47">
        <v>0</v>
      </c>
      <c r="O66" s="48" t="s">
        <v>325</v>
      </c>
      <c r="P66" s="48" t="s">
        <v>326</v>
      </c>
      <c r="Q66" s="48" t="s">
        <v>327</v>
      </c>
      <c r="R66" s="48" t="s">
        <v>328</v>
      </c>
      <c r="S66" s="48" t="s">
        <v>329</v>
      </c>
      <c r="T66" s="48"/>
    </row>
    <row r="67" spans="1:20" x14ac:dyDescent="0.3">
      <c r="A67" s="43"/>
      <c r="B67" s="43"/>
      <c r="C67" s="46">
        <f t="shared" si="2"/>
        <v>0</v>
      </c>
      <c r="D67" s="45">
        <v>0</v>
      </c>
      <c r="E67" s="45">
        <v>0</v>
      </c>
      <c r="F67" s="45">
        <f t="shared" si="0"/>
        <v>0</v>
      </c>
      <c r="G67" s="45">
        <v>0</v>
      </c>
      <c r="H67" s="45"/>
      <c r="I67" s="45">
        <v>0</v>
      </c>
      <c r="J67" s="45">
        <v>0</v>
      </c>
      <c r="K67" s="45">
        <v>0</v>
      </c>
      <c r="L67" s="46">
        <f t="shared" si="1"/>
        <v>0</v>
      </c>
      <c r="M67" s="47">
        <v>0</v>
      </c>
      <c r="N67" s="47">
        <v>0</v>
      </c>
      <c r="O67" s="48" t="s">
        <v>330</v>
      </c>
      <c r="P67" s="48" t="s">
        <v>331</v>
      </c>
      <c r="Q67" s="48" t="s">
        <v>332</v>
      </c>
      <c r="R67" s="48" t="s">
        <v>333</v>
      </c>
      <c r="S67" s="48" t="s">
        <v>334</v>
      </c>
      <c r="T67" s="48"/>
    </row>
    <row r="68" spans="1:20" x14ac:dyDescent="0.3">
      <c r="A68" s="43"/>
      <c r="B68" s="43"/>
      <c r="C68" s="46">
        <f t="shared" si="2"/>
        <v>0</v>
      </c>
      <c r="D68" s="45">
        <v>0</v>
      </c>
      <c r="E68" s="45">
        <v>0</v>
      </c>
      <c r="F68" s="45">
        <f t="shared" si="0"/>
        <v>0</v>
      </c>
      <c r="G68" s="45">
        <v>0</v>
      </c>
      <c r="H68" s="45"/>
      <c r="I68" s="45">
        <v>0</v>
      </c>
      <c r="J68" s="45">
        <v>0</v>
      </c>
      <c r="K68" s="45">
        <v>0</v>
      </c>
      <c r="L68" s="46">
        <f t="shared" si="1"/>
        <v>0</v>
      </c>
      <c r="M68" s="47">
        <v>0</v>
      </c>
      <c r="N68" s="47">
        <v>0</v>
      </c>
      <c r="O68" s="48" t="s">
        <v>335</v>
      </c>
      <c r="P68" s="48" t="s">
        <v>336</v>
      </c>
      <c r="Q68" s="48" t="s">
        <v>337</v>
      </c>
      <c r="R68" s="48" t="s">
        <v>338</v>
      </c>
      <c r="S68" s="48" t="s">
        <v>339</v>
      </c>
      <c r="T68" s="48"/>
    </row>
    <row r="69" spans="1:20" x14ac:dyDescent="0.3">
      <c r="A69" s="43"/>
      <c r="B69" s="43"/>
      <c r="C69" s="46">
        <f t="shared" si="2"/>
        <v>0</v>
      </c>
      <c r="D69" s="45">
        <v>0</v>
      </c>
      <c r="E69" s="45">
        <v>0</v>
      </c>
      <c r="F69" s="45">
        <f t="shared" si="0"/>
        <v>0</v>
      </c>
      <c r="G69" s="45">
        <v>0</v>
      </c>
      <c r="H69" s="45"/>
      <c r="I69" s="45">
        <v>0</v>
      </c>
      <c r="J69" s="45">
        <v>0</v>
      </c>
      <c r="K69" s="45">
        <v>0</v>
      </c>
      <c r="L69" s="46">
        <f t="shared" si="1"/>
        <v>0</v>
      </c>
      <c r="M69" s="47">
        <v>0</v>
      </c>
      <c r="N69" s="47">
        <v>0</v>
      </c>
      <c r="O69" s="48" t="s">
        <v>340</v>
      </c>
      <c r="P69" s="48" t="s">
        <v>341</v>
      </c>
      <c r="Q69" s="48" t="s">
        <v>342</v>
      </c>
      <c r="R69" s="48" t="s">
        <v>343</v>
      </c>
      <c r="S69" s="48" t="s">
        <v>344</v>
      </c>
      <c r="T69" s="48"/>
    </row>
    <row r="70" spans="1:20" x14ac:dyDescent="0.3">
      <c r="A70" s="43"/>
      <c r="B70" s="43"/>
      <c r="C70" s="46">
        <f t="shared" si="2"/>
        <v>0</v>
      </c>
      <c r="D70" s="45">
        <v>0</v>
      </c>
      <c r="E70" s="45">
        <v>0</v>
      </c>
      <c r="F70" s="45">
        <f t="shared" si="0"/>
        <v>0</v>
      </c>
      <c r="G70" s="45">
        <v>0</v>
      </c>
      <c r="H70" s="45"/>
      <c r="I70" s="45">
        <v>0</v>
      </c>
      <c r="J70" s="45">
        <v>0</v>
      </c>
      <c r="K70" s="45">
        <v>0</v>
      </c>
      <c r="L70" s="46">
        <f t="shared" si="1"/>
        <v>0</v>
      </c>
      <c r="M70" s="47">
        <v>0</v>
      </c>
      <c r="N70" s="47">
        <v>0</v>
      </c>
      <c r="O70" s="48" t="s">
        <v>345</v>
      </c>
      <c r="P70" s="48" t="s">
        <v>346</v>
      </c>
      <c r="Q70" s="48" t="s">
        <v>347</v>
      </c>
      <c r="R70" s="48" t="s">
        <v>348</v>
      </c>
      <c r="S70" s="48" t="s">
        <v>349</v>
      </c>
      <c r="T70" s="48"/>
    </row>
    <row r="71" spans="1:20" x14ac:dyDescent="0.3">
      <c r="A71" s="43"/>
      <c r="B71" s="43"/>
      <c r="C71" s="46">
        <f t="shared" si="2"/>
        <v>0</v>
      </c>
      <c r="D71" s="45">
        <v>0</v>
      </c>
      <c r="E71" s="45">
        <v>0</v>
      </c>
      <c r="F71" s="45">
        <f t="shared" si="0"/>
        <v>0</v>
      </c>
      <c r="G71" s="45">
        <v>0</v>
      </c>
      <c r="H71" s="45"/>
      <c r="I71" s="45">
        <v>0</v>
      </c>
      <c r="J71" s="45">
        <v>0</v>
      </c>
      <c r="K71" s="45">
        <v>0</v>
      </c>
      <c r="L71" s="46">
        <f t="shared" si="1"/>
        <v>0</v>
      </c>
      <c r="M71" s="47">
        <v>0</v>
      </c>
      <c r="N71" s="47">
        <v>0</v>
      </c>
      <c r="O71" s="48" t="s">
        <v>350</v>
      </c>
      <c r="P71" s="48" t="s">
        <v>351</v>
      </c>
      <c r="Q71" s="48" t="s">
        <v>352</v>
      </c>
      <c r="R71" s="48" t="s">
        <v>353</v>
      </c>
      <c r="S71" s="48" t="s">
        <v>354</v>
      </c>
      <c r="T71" s="48"/>
    </row>
    <row r="72" spans="1:20" x14ac:dyDescent="0.3">
      <c r="A72" s="43"/>
      <c r="B72" s="43"/>
      <c r="C72" s="46">
        <f t="shared" si="2"/>
        <v>0</v>
      </c>
      <c r="D72" s="45">
        <v>0</v>
      </c>
      <c r="E72" s="45">
        <v>0</v>
      </c>
      <c r="F72" s="45">
        <f t="shared" si="0"/>
        <v>0</v>
      </c>
      <c r="G72" s="45">
        <v>0</v>
      </c>
      <c r="H72" s="45"/>
      <c r="I72" s="45">
        <v>0</v>
      </c>
      <c r="J72" s="45">
        <v>0</v>
      </c>
      <c r="K72" s="45">
        <v>0</v>
      </c>
      <c r="L72" s="46">
        <f t="shared" si="1"/>
        <v>0</v>
      </c>
      <c r="M72" s="47">
        <v>0</v>
      </c>
      <c r="N72" s="47">
        <v>0</v>
      </c>
      <c r="O72" s="48" t="s">
        <v>355</v>
      </c>
      <c r="P72" s="48" t="s">
        <v>356</v>
      </c>
      <c r="Q72" s="48" t="s">
        <v>357</v>
      </c>
      <c r="R72" s="48" t="s">
        <v>358</v>
      </c>
      <c r="S72" s="48" t="s">
        <v>359</v>
      </c>
      <c r="T72" s="48"/>
    </row>
    <row r="73" spans="1:20" x14ac:dyDescent="0.3">
      <c r="A73" s="43"/>
      <c r="B73" s="43"/>
      <c r="C73" s="46">
        <f t="shared" si="2"/>
        <v>0</v>
      </c>
      <c r="D73" s="45">
        <v>0</v>
      </c>
      <c r="E73" s="45">
        <v>0</v>
      </c>
      <c r="F73" s="45">
        <f t="shared" si="0"/>
        <v>0</v>
      </c>
      <c r="G73" s="45">
        <v>0</v>
      </c>
      <c r="H73" s="45"/>
      <c r="I73" s="45">
        <v>0</v>
      </c>
      <c r="J73" s="45">
        <v>0</v>
      </c>
      <c r="K73" s="45">
        <v>0</v>
      </c>
      <c r="L73" s="46">
        <f t="shared" si="1"/>
        <v>0</v>
      </c>
      <c r="M73" s="47">
        <v>0</v>
      </c>
      <c r="N73" s="47">
        <v>0</v>
      </c>
      <c r="O73" s="48" t="s">
        <v>360</v>
      </c>
      <c r="P73" s="48" t="s">
        <v>361</v>
      </c>
      <c r="Q73" s="48" t="s">
        <v>362</v>
      </c>
      <c r="R73" s="48" t="s">
        <v>363</v>
      </c>
      <c r="S73" s="48" t="s">
        <v>364</v>
      </c>
      <c r="T73" s="48"/>
    </row>
    <row r="74" spans="1:20" x14ac:dyDescent="0.3">
      <c r="A74" s="43"/>
      <c r="B74" s="43"/>
      <c r="C74" s="46">
        <f t="shared" si="2"/>
        <v>0</v>
      </c>
      <c r="D74" s="45">
        <v>0</v>
      </c>
      <c r="E74" s="45">
        <v>0</v>
      </c>
      <c r="F74" s="45">
        <f t="shared" si="0"/>
        <v>0</v>
      </c>
      <c r="G74" s="45">
        <v>0</v>
      </c>
      <c r="H74" s="45"/>
      <c r="I74" s="45">
        <v>0</v>
      </c>
      <c r="J74" s="45">
        <v>0</v>
      </c>
      <c r="K74" s="45">
        <v>0</v>
      </c>
      <c r="L74" s="46">
        <f t="shared" si="1"/>
        <v>0</v>
      </c>
      <c r="M74" s="47">
        <v>0</v>
      </c>
      <c r="N74" s="47">
        <v>0</v>
      </c>
      <c r="O74" s="48" t="s">
        <v>365</v>
      </c>
      <c r="P74" s="48" t="s">
        <v>366</v>
      </c>
      <c r="Q74" s="48" t="s">
        <v>367</v>
      </c>
      <c r="R74" s="48" t="s">
        <v>368</v>
      </c>
      <c r="S74" s="48" t="s">
        <v>369</v>
      </c>
      <c r="T74" s="48"/>
    </row>
    <row r="75" spans="1:20" x14ac:dyDescent="0.3">
      <c r="A75" s="43"/>
      <c r="B75" s="43"/>
      <c r="C75" s="46">
        <f t="shared" si="2"/>
        <v>0</v>
      </c>
      <c r="D75" s="45">
        <v>0</v>
      </c>
      <c r="E75" s="45">
        <v>0</v>
      </c>
      <c r="F75" s="45">
        <f t="shared" si="0"/>
        <v>0</v>
      </c>
      <c r="G75" s="45">
        <v>0</v>
      </c>
      <c r="H75" s="45"/>
      <c r="I75" s="45">
        <v>0</v>
      </c>
      <c r="J75" s="45">
        <v>0</v>
      </c>
      <c r="K75" s="45">
        <v>0</v>
      </c>
      <c r="L75" s="46">
        <f t="shared" si="1"/>
        <v>0</v>
      </c>
      <c r="M75" s="47">
        <v>0</v>
      </c>
      <c r="N75" s="47">
        <v>0</v>
      </c>
      <c r="O75" s="48" t="s">
        <v>370</v>
      </c>
      <c r="P75" s="48" t="s">
        <v>371</v>
      </c>
      <c r="Q75" s="48" t="s">
        <v>372</v>
      </c>
      <c r="R75" s="48" t="s">
        <v>373</v>
      </c>
      <c r="S75" s="48" t="s">
        <v>374</v>
      </c>
      <c r="T75" s="48"/>
    </row>
    <row r="76" spans="1:20" x14ac:dyDescent="0.3">
      <c r="A76" s="43"/>
      <c r="B76" s="43"/>
      <c r="C76" s="46">
        <f t="shared" si="2"/>
        <v>0</v>
      </c>
      <c r="D76" s="45">
        <v>0</v>
      </c>
      <c r="E76" s="45">
        <v>0</v>
      </c>
      <c r="F76" s="45">
        <f t="shared" si="0"/>
        <v>0</v>
      </c>
      <c r="G76" s="45">
        <v>0</v>
      </c>
      <c r="H76" s="45"/>
      <c r="I76" s="45">
        <v>0</v>
      </c>
      <c r="J76" s="45">
        <v>0</v>
      </c>
      <c r="K76" s="45">
        <v>0</v>
      </c>
      <c r="L76" s="46">
        <f t="shared" si="1"/>
        <v>0</v>
      </c>
      <c r="M76" s="47">
        <v>0</v>
      </c>
      <c r="N76" s="47">
        <v>0</v>
      </c>
      <c r="O76" s="48" t="s">
        <v>375</v>
      </c>
      <c r="P76" s="48" t="s">
        <v>376</v>
      </c>
      <c r="Q76" s="48" t="s">
        <v>377</v>
      </c>
      <c r="R76" s="48" t="s">
        <v>378</v>
      </c>
      <c r="S76" s="48" t="s">
        <v>379</v>
      </c>
      <c r="T76" s="48"/>
    </row>
    <row r="77" spans="1:20" x14ac:dyDescent="0.3">
      <c r="A77" s="43"/>
      <c r="B77" s="43"/>
      <c r="C77" s="46">
        <f t="shared" si="2"/>
        <v>0</v>
      </c>
      <c r="D77" s="45">
        <v>0</v>
      </c>
      <c r="E77" s="45">
        <v>0</v>
      </c>
      <c r="F77" s="45">
        <f t="shared" ref="F77:F140" si="3">E77-G77-H77</f>
        <v>0</v>
      </c>
      <c r="G77" s="45">
        <v>0</v>
      </c>
      <c r="H77" s="45"/>
      <c r="I77" s="45">
        <v>0</v>
      </c>
      <c r="J77" s="45">
        <v>0</v>
      </c>
      <c r="K77" s="45">
        <v>0</v>
      </c>
      <c r="L77" s="46">
        <f t="shared" ref="L77:L140" si="4">C77+J77+K77-H77-F77+D77</f>
        <v>0</v>
      </c>
      <c r="M77" s="47">
        <v>0</v>
      </c>
      <c r="N77" s="47">
        <v>0</v>
      </c>
      <c r="O77" s="48" t="s">
        <v>380</v>
      </c>
      <c r="P77" s="48" t="s">
        <v>381</v>
      </c>
      <c r="Q77" s="48" t="s">
        <v>382</v>
      </c>
      <c r="R77" s="48" t="s">
        <v>383</v>
      </c>
      <c r="S77" s="48" t="s">
        <v>384</v>
      </c>
      <c r="T77" s="48"/>
    </row>
    <row r="78" spans="1:20" x14ac:dyDescent="0.3">
      <c r="A78" s="43"/>
      <c r="B78" s="43"/>
      <c r="C78" s="46">
        <f t="shared" ref="C78:C141" si="5">L77</f>
        <v>0</v>
      </c>
      <c r="D78" s="45">
        <v>0</v>
      </c>
      <c r="E78" s="45">
        <v>0</v>
      </c>
      <c r="F78" s="45">
        <f t="shared" si="3"/>
        <v>0</v>
      </c>
      <c r="G78" s="45">
        <v>0</v>
      </c>
      <c r="H78" s="45"/>
      <c r="I78" s="45">
        <v>0</v>
      </c>
      <c r="J78" s="45">
        <v>0</v>
      </c>
      <c r="K78" s="45">
        <v>0</v>
      </c>
      <c r="L78" s="46">
        <f t="shared" si="4"/>
        <v>0</v>
      </c>
      <c r="M78" s="47">
        <v>0</v>
      </c>
      <c r="N78" s="47">
        <v>0</v>
      </c>
      <c r="O78" s="48" t="s">
        <v>385</v>
      </c>
      <c r="P78" s="48" t="s">
        <v>386</v>
      </c>
      <c r="Q78" s="48" t="s">
        <v>387</v>
      </c>
      <c r="R78" s="48" t="s">
        <v>388</v>
      </c>
      <c r="S78" s="48" t="s">
        <v>389</v>
      </c>
      <c r="T78" s="48"/>
    </row>
    <row r="79" spans="1:20" x14ac:dyDescent="0.3">
      <c r="A79" s="43"/>
      <c r="B79" s="43"/>
      <c r="C79" s="46">
        <f t="shared" si="5"/>
        <v>0</v>
      </c>
      <c r="D79" s="45">
        <v>0</v>
      </c>
      <c r="E79" s="45">
        <v>0</v>
      </c>
      <c r="F79" s="45">
        <f t="shared" si="3"/>
        <v>0</v>
      </c>
      <c r="G79" s="45">
        <v>0</v>
      </c>
      <c r="H79" s="45"/>
      <c r="I79" s="45">
        <v>0</v>
      </c>
      <c r="J79" s="45">
        <v>0</v>
      </c>
      <c r="K79" s="45">
        <v>0</v>
      </c>
      <c r="L79" s="46">
        <f t="shared" si="4"/>
        <v>0</v>
      </c>
      <c r="M79" s="47">
        <v>0</v>
      </c>
      <c r="N79" s="47">
        <v>0</v>
      </c>
      <c r="O79" s="48" t="s">
        <v>390</v>
      </c>
      <c r="P79" s="48" t="s">
        <v>391</v>
      </c>
      <c r="Q79" s="48" t="s">
        <v>392</v>
      </c>
      <c r="R79" s="48" t="s">
        <v>393</v>
      </c>
      <c r="S79" s="48" t="s">
        <v>394</v>
      </c>
      <c r="T79" s="48"/>
    </row>
    <row r="80" spans="1:20" x14ac:dyDescent="0.3">
      <c r="A80" s="43"/>
      <c r="B80" s="43"/>
      <c r="C80" s="46">
        <f t="shared" si="5"/>
        <v>0</v>
      </c>
      <c r="D80" s="45">
        <v>0</v>
      </c>
      <c r="E80" s="45">
        <v>0</v>
      </c>
      <c r="F80" s="45">
        <f t="shared" si="3"/>
        <v>0</v>
      </c>
      <c r="G80" s="45">
        <v>0</v>
      </c>
      <c r="H80" s="45"/>
      <c r="I80" s="45">
        <v>0</v>
      </c>
      <c r="J80" s="45">
        <v>0</v>
      </c>
      <c r="K80" s="45">
        <v>0</v>
      </c>
      <c r="L80" s="46">
        <f t="shared" si="4"/>
        <v>0</v>
      </c>
      <c r="M80" s="47">
        <v>0</v>
      </c>
      <c r="N80" s="47">
        <v>0</v>
      </c>
      <c r="O80" s="48" t="s">
        <v>395</v>
      </c>
      <c r="P80" s="48" t="s">
        <v>396</v>
      </c>
      <c r="Q80" s="48" t="s">
        <v>397</v>
      </c>
      <c r="R80" s="48" t="s">
        <v>398</v>
      </c>
      <c r="S80" s="48" t="s">
        <v>399</v>
      </c>
      <c r="T80" s="48"/>
    </row>
    <row r="81" spans="1:20" x14ac:dyDescent="0.3">
      <c r="A81" s="43"/>
      <c r="B81" s="43"/>
      <c r="C81" s="46">
        <f t="shared" si="5"/>
        <v>0</v>
      </c>
      <c r="D81" s="45">
        <v>0</v>
      </c>
      <c r="E81" s="45">
        <v>0</v>
      </c>
      <c r="F81" s="45">
        <f t="shared" si="3"/>
        <v>0</v>
      </c>
      <c r="G81" s="45">
        <v>0</v>
      </c>
      <c r="H81" s="45"/>
      <c r="I81" s="45">
        <v>0</v>
      </c>
      <c r="J81" s="45">
        <v>0</v>
      </c>
      <c r="K81" s="45">
        <v>0</v>
      </c>
      <c r="L81" s="46">
        <f t="shared" si="4"/>
        <v>0</v>
      </c>
      <c r="M81" s="47">
        <v>0</v>
      </c>
      <c r="N81" s="47">
        <v>0</v>
      </c>
      <c r="O81" s="48" t="s">
        <v>400</v>
      </c>
      <c r="P81" s="48" t="s">
        <v>401</v>
      </c>
      <c r="Q81" s="48" t="s">
        <v>402</v>
      </c>
      <c r="R81" s="48" t="s">
        <v>403</v>
      </c>
      <c r="S81" s="48" t="s">
        <v>404</v>
      </c>
      <c r="T81" s="48"/>
    </row>
    <row r="82" spans="1:20" x14ac:dyDescent="0.3">
      <c r="A82" s="43"/>
      <c r="B82" s="43"/>
      <c r="C82" s="46">
        <f t="shared" si="5"/>
        <v>0</v>
      </c>
      <c r="D82" s="45">
        <v>0</v>
      </c>
      <c r="E82" s="45">
        <v>0</v>
      </c>
      <c r="F82" s="45">
        <f t="shared" si="3"/>
        <v>0</v>
      </c>
      <c r="G82" s="45">
        <v>0</v>
      </c>
      <c r="H82" s="45"/>
      <c r="I82" s="45">
        <v>0</v>
      </c>
      <c r="J82" s="45">
        <v>0</v>
      </c>
      <c r="K82" s="45">
        <v>0</v>
      </c>
      <c r="L82" s="46">
        <f t="shared" si="4"/>
        <v>0</v>
      </c>
      <c r="M82" s="47">
        <v>0</v>
      </c>
      <c r="N82" s="47">
        <v>0</v>
      </c>
      <c r="O82" s="48" t="s">
        <v>405</v>
      </c>
      <c r="P82" s="48" t="s">
        <v>406</v>
      </c>
      <c r="Q82" s="48" t="s">
        <v>407</v>
      </c>
      <c r="R82" s="48" t="s">
        <v>408</v>
      </c>
      <c r="S82" s="48" t="s">
        <v>409</v>
      </c>
      <c r="T82" s="48"/>
    </row>
    <row r="83" spans="1:20" x14ac:dyDescent="0.3">
      <c r="A83" s="43"/>
      <c r="B83" s="43"/>
      <c r="C83" s="46">
        <f t="shared" si="5"/>
        <v>0</v>
      </c>
      <c r="D83" s="45">
        <v>0</v>
      </c>
      <c r="E83" s="45">
        <v>0</v>
      </c>
      <c r="F83" s="45">
        <f t="shared" si="3"/>
        <v>0</v>
      </c>
      <c r="G83" s="45">
        <v>0</v>
      </c>
      <c r="H83" s="45"/>
      <c r="I83" s="45">
        <v>0</v>
      </c>
      <c r="J83" s="45">
        <v>0</v>
      </c>
      <c r="K83" s="45">
        <v>0</v>
      </c>
      <c r="L83" s="46">
        <f t="shared" si="4"/>
        <v>0</v>
      </c>
      <c r="M83" s="47">
        <v>0</v>
      </c>
      <c r="N83" s="47">
        <v>0</v>
      </c>
      <c r="O83" s="48" t="s">
        <v>410</v>
      </c>
      <c r="P83" s="48" t="s">
        <v>411</v>
      </c>
      <c r="Q83" s="48" t="s">
        <v>412</v>
      </c>
      <c r="R83" s="48" t="s">
        <v>413</v>
      </c>
      <c r="S83" s="48" t="s">
        <v>414</v>
      </c>
      <c r="T83" s="48"/>
    </row>
    <row r="84" spans="1:20" x14ac:dyDescent="0.3">
      <c r="A84" s="43"/>
      <c r="B84" s="43"/>
      <c r="C84" s="46">
        <f t="shared" si="5"/>
        <v>0</v>
      </c>
      <c r="D84" s="45">
        <v>0</v>
      </c>
      <c r="E84" s="45">
        <v>0</v>
      </c>
      <c r="F84" s="45">
        <f t="shared" si="3"/>
        <v>0</v>
      </c>
      <c r="G84" s="45">
        <v>0</v>
      </c>
      <c r="H84" s="45"/>
      <c r="I84" s="45">
        <v>0</v>
      </c>
      <c r="J84" s="45">
        <v>0</v>
      </c>
      <c r="K84" s="45">
        <v>0</v>
      </c>
      <c r="L84" s="46">
        <f t="shared" si="4"/>
        <v>0</v>
      </c>
      <c r="M84" s="47">
        <v>0</v>
      </c>
      <c r="N84" s="47">
        <v>0</v>
      </c>
      <c r="O84" s="48" t="s">
        <v>415</v>
      </c>
      <c r="P84" s="48" t="s">
        <v>416</v>
      </c>
      <c r="Q84" s="48" t="s">
        <v>417</v>
      </c>
      <c r="R84" s="48" t="s">
        <v>418</v>
      </c>
      <c r="S84" s="48" t="s">
        <v>419</v>
      </c>
      <c r="T84" s="48"/>
    </row>
    <row r="85" spans="1:20" x14ac:dyDescent="0.3">
      <c r="A85" s="43"/>
      <c r="B85" s="43"/>
      <c r="C85" s="46">
        <f t="shared" si="5"/>
        <v>0</v>
      </c>
      <c r="D85" s="45">
        <v>0</v>
      </c>
      <c r="E85" s="45">
        <v>0</v>
      </c>
      <c r="F85" s="45">
        <f t="shared" si="3"/>
        <v>0</v>
      </c>
      <c r="G85" s="45">
        <v>0</v>
      </c>
      <c r="H85" s="45"/>
      <c r="I85" s="45">
        <v>0</v>
      </c>
      <c r="J85" s="45">
        <v>0</v>
      </c>
      <c r="K85" s="45">
        <v>0</v>
      </c>
      <c r="L85" s="46">
        <f t="shared" si="4"/>
        <v>0</v>
      </c>
      <c r="M85" s="47">
        <v>0</v>
      </c>
      <c r="N85" s="47">
        <v>0</v>
      </c>
      <c r="O85" s="48" t="s">
        <v>420</v>
      </c>
      <c r="P85" s="48" t="s">
        <v>421</v>
      </c>
      <c r="Q85" s="48" t="s">
        <v>422</v>
      </c>
      <c r="R85" s="48" t="s">
        <v>423</v>
      </c>
      <c r="S85" s="48" t="s">
        <v>424</v>
      </c>
      <c r="T85" s="48"/>
    </row>
    <row r="86" spans="1:20" x14ac:dyDescent="0.3">
      <c r="A86" s="43"/>
      <c r="B86" s="43"/>
      <c r="C86" s="46">
        <f t="shared" si="5"/>
        <v>0</v>
      </c>
      <c r="D86" s="45">
        <v>0</v>
      </c>
      <c r="E86" s="45">
        <v>0</v>
      </c>
      <c r="F86" s="45">
        <f t="shared" si="3"/>
        <v>0</v>
      </c>
      <c r="G86" s="45">
        <v>0</v>
      </c>
      <c r="H86" s="45"/>
      <c r="I86" s="45">
        <v>0</v>
      </c>
      <c r="J86" s="45">
        <v>0</v>
      </c>
      <c r="K86" s="45">
        <v>0</v>
      </c>
      <c r="L86" s="46">
        <f t="shared" si="4"/>
        <v>0</v>
      </c>
      <c r="M86" s="47">
        <v>0</v>
      </c>
      <c r="N86" s="47">
        <v>0</v>
      </c>
      <c r="O86" s="48" t="s">
        <v>425</v>
      </c>
      <c r="P86" s="48" t="s">
        <v>426</v>
      </c>
      <c r="Q86" s="48" t="s">
        <v>427</v>
      </c>
      <c r="R86" s="48" t="s">
        <v>428</v>
      </c>
      <c r="S86" s="48" t="s">
        <v>429</v>
      </c>
      <c r="T86" s="48"/>
    </row>
    <row r="87" spans="1:20" x14ac:dyDescent="0.3">
      <c r="A87" s="43"/>
      <c r="B87" s="43"/>
      <c r="C87" s="46">
        <f t="shared" si="5"/>
        <v>0</v>
      </c>
      <c r="D87" s="45">
        <v>0</v>
      </c>
      <c r="E87" s="45">
        <v>0</v>
      </c>
      <c r="F87" s="45">
        <f t="shared" si="3"/>
        <v>0</v>
      </c>
      <c r="G87" s="45">
        <v>0</v>
      </c>
      <c r="H87" s="45"/>
      <c r="I87" s="45">
        <v>0</v>
      </c>
      <c r="J87" s="45">
        <v>0</v>
      </c>
      <c r="K87" s="45">
        <v>0</v>
      </c>
      <c r="L87" s="46">
        <f t="shared" si="4"/>
        <v>0</v>
      </c>
      <c r="M87" s="47">
        <v>0</v>
      </c>
      <c r="N87" s="47">
        <v>0</v>
      </c>
      <c r="O87" s="48" t="s">
        <v>430</v>
      </c>
      <c r="P87" s="48" t="s">
        <v>431</v>
      </c>
      <c r="Q87" s="48" t="s">
        <v>432</v>
      </c>
      <c r="R87" s="48" t="s">
        <v>433</v>
      </c>
      <c r="S87" s="48" t="s">
        <v>434</v>
      </c>
      <c r="T87" s="48"/>
    </row>
    <row r="88" spans="1:20" x14ac:dyDescent="0.3">
      <c r="A88" s="43"/>
      <c r="B88" s="43"/>
      <c r="C88" s="46">
        <f t="shared" si="5"/>
        <v>0</v>
      </c>
      <c r="D88" s="45">
        <v>0</v>
      </c>
      <c r="E88" s="45">
        <v>0</v>
      </c>
      <c r="F88" s="45">
        <f t="shared" si="3"/>
        <v>0</v>
      </c>
      <c r="G88" s="45">
        <v>0</v>
      </c>
      <c r="H88" s="45"/>
      <c r="I88" s="45">
        <v>0</v>
      </c>
      <c r="J88" s="45">
        <v>0</v>
      </c>
      <c r="K88" s="45">
        <v>0</v>
      </c>
      <c r="L88" s="46">
        <f t="shared" si="4"/>
        <v>0</v>
      </c>
      <c r="M88" s="47">
        <v>0</v>
      </c>
      <c r="N88" s="47">
        <v>0</v>
      </c>
      <c r="O88" s="48" t="s">
        <v>435</v>
      </c>
      <c r="P88" s="48" t="s">
        <v>436</v>
      </c>
      <c r="Q88" s="48" t="s">
        <v>437</v>
      </c>
      <c r="R88" s="48" t="s">
        <v>438</v>
      </c>
      <c r="S88" s="48" t="s">
        <v>439</v>
      </c>
      <c r="T88" s="48"/>
    </row>
    <row r="89" spans="1:20" x14ac:dyDescent="0.3">
      <c r="A89" s="43"/>
      <c r="B89" s="43"/>
      <c r="C89" s="46">
        <f t="shared" si="5"/>
        <v>0</v>
      </c>
      <c r="D89" s="45">
        <v>0</v>
      </c>
      <c r="E89" s="45">
        <v>0</v>
      </c>
      <c r="F89" s="45">
        <f t="shared" si="3"/>
        <v>0</v>
      </c>
      <c r="G89" s="45">
        <v>0</v>
      </c>
      <c r="H89" s="45"/>
      <c r="I89" s="45">
        <v>0</v>
      </c>
      <c r="J89" s="45">
        <v>0</v>
      </c>
      <c r="K89" s="45">
        <v>0</v>
      </c>
      <c r="L89" s="46">
        <f t="shared" si="4"/>
        <v>0</v>
      </c>
      <c r="M89" s="47">
        <v>0</v>
      </c>
      <c r="N89" s="47">
        <v>0</v>
      </c>
      <c r="O89" s="48" t="s">
        <v>440</v>
      </c>
      <c r="P89" s="48" t="s">
        <v>441</v>
      </c>
      <c r="Q89" s="48" t="s">
        <v>442</v>
      </c>
      <c r="R89" s="48" t="s">
        <v>443</v>
      </c>
      <c r="S89" s="48" t="s">
        <v>444</v>
      </c>
      <c r="T89" s="48"/>
    </row>
    <row r="90" spans="1:20" x14ac:dyDescent="0.3">
      <c r="A90" s="43"/>
      <c r="B90" s="43"/>
      <c r="C90" s="46">
        <f t="shared" si="5"/>
        <v>0</v>
      </c>
      <c r="D90" s="45">
        <v>0</v>
      </c>
      <c r="E90" s="45">
        <v>0</v>
      </c>
      <c r="F90" s="45">
        <f t="shared" si="3"/>
        <v>0</v>
      </c>
      <c r="G90" s="45">
        <v>0</v>
      </c>
      <c r="H90" s="45"/>
      <c r="I90" s="45">
        <v>0</v>
      </c>
      <c r="J90" s="45">
        <v>0</v>
      </c>
      <c r="K90" s="45">
        <v>0</v>
      </c>
      <c r="L90" s="46">
        <f t="shared" si="4"/>
        <v>0</v>
      </c>
      <c r="M90" s="47">
        <v>0</v>
      </c>
      <c r="N90" s="47">
        <v>0</v>
      </c>
      <c r="O90" s="48" t="s">
        <v>445</v>
      </c>
      <c r="P90" s="48" t="s">
        <v>446</v>
      </c>
      <c r="Q90" s="48" t="s">
        <v>447</v>
      </c>
      <c r="R90" s="48" t="s">
        <v>448</v>
      </c>
      <c r="S90" s="48" t="s">
        <v>449</v>
      </c>
      <c r="T90" s="48"/>
    </row>
    <row r="91" spans="1:20" x14ac:dyDescent="0.3">
      <c r="A91" s="43"/>
      <c r="B91" s="43"/>
      <c r="C91" s="46">
        <f t="shared" si="5"/>
        <v>0</v>
      </c>
      <c r="D91" s="45">
        <v>0</v>
      </c>
      <c r="E91" s="45">
        <v>0</v>
      </c>
      <c r="F91" s="45">
        <f t="shared" si="3"/>
        <v>0</v>
      </c>
      <c r="G91" s="45">
        <v>0</v>
      </c>
      <c r="H91" s="45"/>
      <c r="I91" s="45">
        <v>0</v>
      </c>
      <c r="J91" s="45">
        <v>0</v>
      </c>
      <c r="K91" s="45">
        <v>0</v>
      </c>
      <c r="L91" s="46">
        <f t="shared" si="4"/>
        <v>0</v>
      </c>
      <c r="M91" s="47">
        <v>0</v>
      </c>
      <c r="N91" s="47">
        <v>0</v>
      </c>
      <c r="O91" s="48" t="s">
        <v>450</v>
      </c>
      <c r="P91" s="48" t="s">
        <v>451</v>
      </c>
      <c r="Q91" s="48" t="s">
        <v>452</v>
      </c>
      <c r="R91" s="48" t="s">
        <v>453</v>
      </c>
      <c r="S91" s="48" t="s">
        <v>454</v>
      </c>
      <c r="T91" s="48"/>
    </row>
    <row r="92" spans="1:20" x14ac:dyDescent="0.3">
      <c r="A92" s="43"/>
      <c r="B92" s="43"/>
      <c r="C92" s="46">
        <f t="shared" si="5"/>
        <v>0</v>
      </c>
      <c r="D92" s="45">
        <v>0</v>
      </c>
      <c r="E92" s="45">
        <v>0</v>
      </c>
      <c r="F92" s="45">
        <f t="shared" si="3"/>
        <v>0</v>
      </c>
      <c r="G92" s="45">
        <v>0</v>
      </c>
      <c r="H92" s="45"/>
      <c r="I92" s="45">
        <v>0</v>
      </c>
      <c r="J92" s="45">
        <v>0</v>
      </c>
      <c r="K92" s="45">
        <v>0</v>
      </c>
      <c r="L92" s="46">
        <f t="shared" si="4"/>
        <v>0</v>
      </c>
      <c r="M92" s="47">
        <v>0</v>
      </c>
      <c r="N92" s="47">
        <v>0</v>
      </c>
      <c r="O92" s="48" t="s">
        <v>455</v>
      </c>
      <c r="P92" s="48" t="s">
        <v>456</v>
      </c>
      <c r="Q92" s="48" t="s">
        <v>457</v>
      </c>
      <c r="R92" s="48" t="s">
        <v>458</v>
      </c>
      <c r="S92" s="48" t="s">
        <v>459</v>
      </c>
      <c r="T92" s="48"/>
    </row>
    <row r="93" spans="1:20" x14ac:dyDescent="0.3">
      <c r="A93" s="43"/>
      <c r="B93" s="43"/>
      <c r="C93" s="46">
        <f t="shared" si="5"/>
        <v>0</v>
      </c>
      <c r="D93" s="45">
        <v>0</v>
      </c>
      <c r="E93" s="45">
        <v>0</v>
      </c>
      <c r="F93" s="45">
        <f t="shared" si="3"/>
        <v>0</v>
      </c>
      <c r="G93" s="45">
        <v>0</v>
      </c>
      <c r="H93" s="45"/>
      <c r="I93" s="45">
        <v>0</v>
      </c>
      <c r="J93" s="45">
        <v>0</v>
      </c>
      <c r="K93" s="45">
        <v>0</v>
      </c>
      <c r="L93" s="46">
        <f t="shared" si="4"/>
        <v>0</v>
      </c>
      <c r="M93" s="47">
        <v>0</v>
      </c>
      <c r="N93" s="47">
        <v>0</v>
      </c>
      <c r="O93" s="48" t="s">
        <v>460</v>
      </c>
      <c r="P93" s="48" t="s">
        <v>461</v>
      </c>
      <c r="Q93" s="48" t="s">
        <v>462</v>
      </c>
      <c r="R93" s="48" t="s">
        <v>463</v>
      </c>
      <c r="S93" s="48" t="s">
        <v>464</v>
      </c>
      <c r="T93" s="48"/>
    </row>
    <row r="94" spans="1:20" x14ac:dyDescent="0.3">
      <c r="A94" s="43"/>
      <c r="B94" s="43"/>
      <c r="C94" s="46">
        <f t="shared" si="5"/>
        <v>0</v>
      </c>
      <c r="D94" s="45">
        <v>0</v>
      </c>
      <c r="E94" s="45">
        <v>0</v>
      </c>
      <c r="F94" s="45">
        <f t="shared" si="3"/>
        <v>0</v>
      </c>
      <c r="G94" s="45">
        <v>0</v>
      </c>
      <c r="H94" s="45"/>
      <c r="I94" s="45">
        <v>0</v>
      </c>
      <c r="J94" s="45">
        <v>0</v>
      </c>
      <c r="K94" s="45">
        <v>0</v>
      </c>
      <c r="L94" s="46">
        <f t="shared" si="4"/>
        <v>0</v>
      </c>
      <c r="M94" s="47">
        <v>0</v>
      </c>
      <c r="N94" s="47">
        <v>0</v>
      </c>
      <c r="O94" s="48" t="s">
        <v>465</v>
      </c>
      <c r="P94" s="48" t="s">
        <v>466</v>
      </c>
      <c r="Q94" s="48" t="s">
        <v>467</v>
      </c>
      <c r="R94" s="48" t="s">
        <v>468</v>
      </c>
      <c r="S94" s="48" t="s">
        <v>469</v>
      </c>
      <c r="T94" s="48"/>
    </row>
    <row r="95" spans="1:20" x14ac:dyDescent="0.3">
      <c r="A95" s="43"/>
      <c r="B95" s="43"/>
      <c r="C95" s="46">
        <f t="shared" si="5"/>
        <v>0</v>
      </c>
      <c r="D95" s="45">
        <v>0</v>
      </c>
      <c r="E95" s="45">
        <v>0</v>
      </c>
      <c r="F95" s="45">
        <f t="shared" si="3"/>
        <v>0</v>
      </c>
      <c r="G95" s="45">
        <v>0</v>
      </c>
      <c r="H95" s="45"/>
      <c r="I95" s="45">
        <v>0</v>
      </c>
      <c r="J95" s="45">
        <v>0</v>
      </c>
      <c r="K95" s="45">
        <v>0</v>
      </c>
      <c r="L95" s="46">
        <f t="shared" si="4"/>
        <v>0</v>
      </c>
      <c r="M95" s="47">
        <v>0</v>
      </c>
      <c r="N95" s="47">
        <v>0</v>
      </c>
      <c r="O95" s="48" t="s">
        <v>470</v>
      </c>
      <c r="P95" s="48" t="s">
        <v>471</v>
      </c>
      <c r="Q95" s="48" t="s">
        <v>472</v>
      </c>
      <c r="R95" s="48" t="s">
        <v>473</v>
      </c>
      <c r="S95" s="48" t="s">
        <v>474</v>
      </c>
      <c r="T95" s="48"/>
    </row>
    <row r="96" spans="1:20" x14ac:dyDescent="0.3">
      <c r="A96" s="43"/>
      <c r="B96" s="43"/>
      <c r="C96" s="46">
        <f t="shared" si="5"/>
        <v>0</v>
      </c>
      <c r="D96" s="45">
        <v>0</v>
      </c>
      <c r="E96" s="45">
        <v>0</v>
      </c>
      <c r="F96" s="45">
        <f t="shared" si="3"/>
        <v>0</v>
      </c>
      <c r="G96" s="45">
        <v>0</v>
      </c>
      <c r="H96" s="45"/>
      <c r="I96" s="45">
        <v>0</v>
      </c>
      <c r="J96" s="45">
        <v>0</v>
      </c>
      <c r="K96" s="45">
        <v>0</v>
      </c>
      <c r="L96" s="46">
        <f t="shared" si="4"/>
        <v>0</v>
      </c>
      <c r="M96" s="47">
        <v>0</v>
      </c>
      <c r="N96" s="47">
        <v>0</v>
      </c>
      <c r="O96" s="48" t="s">
        <v>475</v>
      </c>
      <c r="P96" s="48" t="s">
        <v>476</v>
      </c>
      <c r="Q96" s="48" t="s">
        <v>477</v>
      </c>
      <c r="R96" s="48" t="s">
        <v>478</v>
      </c>
      <c r="S96" s="48" t="s">
        <v>479</v>
      </c>
      <c r="T96" s="48"/>
    </row>
    <row r="97" spans="1:20" x14ac:dyDescent="0.3">
      <c r="A97" s="43"/>
      <c r="B97" s="43"/>
      <c r="C97" s="46">
        <f t="shared" si="5"/>
        <v>0</v>
      </c>
      <c r="D97" s="45">
        <v>0</v>
      </c>
      <c r="E97" s="45">
        <v>0</v>
      </c>
      <c r="F97" s="45">
        <f t="shared" si="3"/>
        <v>0</v>
      </c>
      <c r="G97" s="45">
        <v>0</v>
      </c>
      <c r="H97" s="45"/>
      <c r="I97" s="45">
        <v>0</v>
      </c>
      <c r="J97" s="45">
        <v>0</v>
      </c>
      <c r="K97" s="45">
        <v>0</v>
      </c>
      <c r="L97" s="46">
        <f t="shared" si="4"/>
        <v>0</v>
      </c>
      <c r="M97" s="47">
        <v>0</v>
      </c>
      <c r="N97" s="47">
        <v>0</v>
      </c>
      <c r="O97" s="48" t="s">
        <v>480</v>
      </c>
      <c r="P97" s="48" t="s">
        <v>481</v>
      </c>
      <c r="Q97" s="48" t="s">
        <v>482</v>
      </c>
      <c r="R97" s="48" t="s">
        <v>483</v>
      </c>
      <c r="S97" s="48" t="s">
        <v>484</v>
      </c>
      <c r="T97" s="48"/>
    </row>
    <row r="98" spans="1:20" x14ac:dyDescent="0.3">
      <c r="A98" s="43"/>
      <c r="B98" s="43"/>
      <c r="C98" s="46">
        <f t="shared" si="5"/>
        <v>0</v>
      </c>
      <c r="D98" s="45">
        <v>0</v>
      </c>
      <c r="E98" s="45">
        <v>0</v>
      </c>
      <c r="F98" s="45">
        <f t="shared" si="3"/>
        <v>0</v>
      </c>
      <c r="G98" s="45">
        <v>0</v>
      </c>
      <c r="H98" s="45"/>
      <c r="I98" s="45">
        <v>0</v>
      </c>
      <c r="J98" s="45">
        <v>0</v>
      </c>
      <c r="K98" s="45">
        <v>0</v>
      </c>
      <c r="L98" s="46">
        <f t="shared" si="4"/>
        <v>0</v>
      </c>
      <c r="M98" s="47">
        <v>0</v>
      </c>
      <c r="N98" s="47">
        <v>0</v>
      </c>
      <c r="O98" s="48" t="s">
        <v>485</v>
      </c>
      <c r="P98" s="48" t="s">
        <v>486</v>
      </c>
      <c r="Q98" s="48" t="s">
        <v>487</v>
      </c>
      <c r="R98" s="48" t="s">
        <v>488</v>
      </c>
      <c r="S98" s="48" t="s">
        <v>489</v>
      </c>
      <c r="T98" s="48"/>
    </row>
    <row r="99" spans="1:20" x14ac:dyDescent="0.3">
      <c r="A99" s="43"/>
      <c r="B99" s="43"/>
      <c r="C99" s="46">
        <f t="shared" si="5"/>
        <v>0</v>
      </c>
      <c r="D99" s="45">
        <v>0</v>
      </c>
      <c r="E99" s="45">
        <v>0</v>
      </c>
      <c r="F99" s="45">
        <f t="shared" si="3"/>
        <v>0</v>
      </c>
      <c r="G99" s="45">
        <v>0</v>
      </c>
      <c r="H99" s="45"/>
      <c r="I99" s="45">
        <v>0</v>
      </c>
      <c r="J99" s="45">
        <v>0</v>
      </c>
      <c r="K99" s="45">
        <v>0</v>
      </c>
      <c r="L99" s="46">
        <f t="shared" si="4"/>
        <v>0</v>
      </c>
      <c r="M99" s="47">
        <v>0</v>
      </c>
      <c r="N99" s="47">
        <v>0</v>
      </c>
      <c r="O99" s="48" t="s">
        <v>490</v>
      </c>
      <c r="P99" s="48" t="s">
        <v>491</v>
      </c>
      <c r="Q99" s="48" t="s">
        <v>492</v>
      </c>
      <c r="R99" s="48" t="s">
        <v>493</v>
      </c>
      <c r="S99" s="48" t="s">
        <v>494</v>
      </c>
      <c r="T99" s="48"/>
    </row>
    <row r="100" spans="1:20" x14ac:dyDescent="0.3">
      <c r="A100" s="43"/>
      <c r="B100" s="43"/>
      <c r="C100" s="46">
        <f t="shared" si="5"/>
        <v>0</v>
      </c>
      <c r="D100" s="45">
        <v>0</v>
      </c>
      <c r="E100" s="45">
        <v>0</v>
      </c>
      <c r="F100" s="45">
        <f t="shared" si="3"/>
        <v>0</v>
      </c>
      <c r="G100" s="45">
        <v>0</v>
      </c>
      <c r="H100" s="45"/>
      <c r="I100" s="45">
        <v>0</v>
      </c>
      <c r="J100" s="45">
        <v>0</v>
      </c>
      <c r="K100" s="45">
        <v>0</v>
      </c>
      <c r="L100" s="46">
        <f t="shared" si="4"/>
        <v>0</v>
      </c>
      <c r="M100" s="47">
        <v>0</v>
      </c>
      <c r="N100" s="47">
        <v>0</v>
      </c>
      <c r="O100" s="48" t="s">
        <v>495</v>
      </c>
      <c r="P100" s="48" t="s">
        <v>496</v>
      </c>
      <c r="Q100" s="48" t="s">
        <v>497</v>
      </c>
      <c r="R100" s="48" t="s">
        <v>498</v>
      </c>
      <c r="S100" s="48" t="s">
        <v>499</v>
      </c>
      <c r="T100" s="48"/>
    </row>
    <row r="101" spans="1:20" x14ac:dyDescent="0.3">
      <c r="A101" s="43"/>
      <c r="B101" s="43"/>
      <c r="C101" s="46">
        <f t="shared" si="5"/>
        <v>0</v>
      </c>
      <c r="D101" s="45">
        <v>0</v>
      </c>
      <c r="E101" s="45">
        <v>0</v>
      </c>
      <c r="F101" s="45">
        <f t="shared" si="3"/>
        <v>0</v>
      </c>
      <c r="G101" s="45">
        <v>0</v>
      </c>
      <c r="H101" s="45"/>
      <c r="I101" s="45">
        <v>0</v>
      </c>
      <c r="J101" s="45">
        <v>0</v>
      </c>
      <c r="K101" s="45">
        <v>0</v>
      </c>
      <c r="L101" s="46">
        <f t="shared" si="4"/>
        <v>0</v>
      </c>
      <c r="M101" s="47">
        <v>0</v>
      </c>
      <c r="N101" s="47">
        <v>0</v>
      </c>
      <c r="O101" s="48" t="s">
        <v>500</v>
      </c>
      <c r="P101" s="48" t="s">
        <v>501</v>
      </c>
      <c r="Q101" s="48" t="s">
        <v>502</v>
      </c>
      <c r="R101" s="48" t="s">
        <v>503</v>
      </c>
      <c r="S101" s="48" t="s">
        <v>504</v>
      </c>
      <c r="T101" s="48"/>
    </row>
    <row r="102" spans="1:20" x14ac:dyDescent="0.3">
      <c r="A102" s="43"/>
      <c r="B102" s="43"/>
      <c r="C102" s="46">
        <f t="shared" si="5"/>
        <v>0</v>
      </c>
      <c r="D102" s="45">
        <v>0</v>
      </c>
      <c r="E102" s="45">
        <v>0</v>
      </c>
      <c r="F102" s="45">
        <f t="shared" si="3"/>
        <v>0</v>
      </c>
      <c r="G102" s="45">
        <v>0</v>
      </c>
      <c r="H102" s="45"/>
      <c r="I102" s="45">
        <v>0</v>
      </c>
      <c r="J102" s="45">
        <v>0</v>
      </c>
      <c r="K102" s="45">
        <v>0</v>
      </c>
      <c r="L102" s="46">
        <f t="shared" si="4"/>
        <v>0</v>
      </c>
      <c r="M102" s="47">
        <v>0</v>
      </c>
      <c r="N102" s="47">
        <v>0</v>
      </c>
      <c r="O102" s="48" t="s">
        <v>505</v>
      </c>
      <c r="P102" s="48" t="s">
        <v>506</v>
      </c>
      <c r="Q102" s="48" t="s">
        <v>507</v>
      </c>
      <c r="R102" s="48" t="s">
        <v>508</v>
      </c>
      <c r="S102" s="48" t="s">
        <v>509</v>
      </c>
      <c r="T102" s="48"/>
    </row>
    <row r="103" spans="1:20" x14ac:dyDescent="0.3">
      <c r="A103" s="43"/>
      <c r="B103" s="43"/>
      <c r="C103" s="46">
        <f t="shared" si="5"/>
        <v>0</v>
      </c>
      <c r="D103" s="45">
        <v>0</v>
      </c>
      <c r="E103" s="45">
        <v>0</v>
      </c>
      <c r="F103" s="45">
        <f t="shared" si="3"/>
        <v>0</v>
      </c>
      <c r="G103" s="45">
        <v>0</v>
      </c>
      <c r="H103" s="45"/>
      <c r="I103" s="45">
        <v>0</v>
      </c>
      <c r="J103" s="45">
        <v>0</v>
      </c>
      <c r="K103" s="45">
        <v>0</v>
      </c>
      <c r="L103" s="46">
        <f t="shared" si="4"/>
        <v>0</v>
      </c>
      <c r="M103" s="47">
        <v>0</v>
      </c>
      <c r="N103" s="47">
        <v>0</v>
      </c>
      <c r="O103" s="48" t="s">
        <v>510</v>
      </c>
      <c r="P103" s="48" t="s">
        <v>511</v>
      </c>
      <c r="Q103" s="48" t="s">
        <v>512</v>
      </c>
      <c r="R103" s="48" t="s">
        <v>513</v>
      </c>
      <c r="S103" s="48" t="s">
        <v>514</v>
      </c>
      <c r="T103" s="48"/>
    </row>
    <row r="104" spans="1:20" x14ac:dyDescent="0.3">
      <c r="A104" s="43"/>
      <c r="B104" s="43"/>
      <c r="C104" s="46">
        <f t="shared" si="5"/>
        <v>0</v>
      </c>
      <c r="D104" s="45">
        <v>0</v>
      </c>
      <c r="E104" s="45">
        <v>0</v>
      </c>
      <c r="F104" s="45">
        <f t="shared" si="3"/>
        <v>0</v>
      </c>
      <c r="G104" s="45">
        <v>0</v>
      </c>
      <c r="H104" s="45"/>
      <c r="I104" s="45">
        <v>0</v>
      </c>
      <c r="J104" s="45">
        <v>0</v>
      </c>
      <c r="K104" s="45">
        <v>0</v>
      </c>
      <c r="L104" s="46">
        <f t="shared" si="4"/>
        <v>0</v>
      </c>
      <c r="M104" s="47">
        <v>0</v>
      </c>
      <c r="N104" s="47">
        <v>0</v>
      </c>
      <c r="O104" s="48" t="s">
        <v>515</v>
      </c>
      <c r="P104" s="48" t="s">
        <v>516</v>
      </c>
      <c r="Q104" s="48" t="s">
        <v>517</v>
      </c>
      <c r="R104" s="48" t="s">
        <v>518</v>
      </c>
      <c r="S104" s="48" t="s">
        <v>519</v>
      </c>
      <c r="T104" s="48"/>
    </row>
    <row r="105" spans="1:20" x14ac:dyDescent="0.3">
      <c r="A105" s="43"/>
      <c r="B105" s="43"/>
      <c r="C105" s="46">
        <f t="shared" si="5"/>
        <v>0</v>
      </c>
      <c r="D105" s="45">
        <v>0</v>
      </c>
      <c r="E105" s="45">
        <v>0</v>
      </c>
      <c r="F105" s="45">
        <f t="shared" si="3"/>
        <v>0</v>
      </c>
      <c r="G105" s="45">
        <v>0</v>
      </c>
      <c r="H105" s="45"/>
      <c r="I105" s="45">
        <v>0</v>
      </c>
      <c r="J105" s="45">
        <v>0</v>
      </c>
      <c r="K105" s="45">
        <v>0</v>
      </c>
      <c r="L105" s="46">
        <f t="shared" si="4"/>
        <v>0</v>
      </c>
      <c r="M105" s="47">
        <v>0</v>
      </c>
      <c r="N105" s="47">
        <v>0</v>
      </c>
      <c r="O105" s="48" t="s">
        <v>520</v>
      </c>
      <c r="P105" s="48" t="s">
        <v>521</v>
      </c>
      <c r="Q105" s="48" t="s">
        <v>522</v>
      </c>
      <c r="R105" s="48" t="s">
        <v>523</v>
      </c>
      <c r="S105" s="48" t="s">
        <v>524</v>
      </c>
      <c r="T105" s="48"/>
    </row>
    <row r="106" spans="1:20" x14ac:dyDescent="0.3">
      <c r="A106" s="43"/>
      <c r="B106" s="43"/>
      <c r="C106" s="46">
        <f t="shared" si="5"/>
        <v>0</v>
      </c>
      <c r="D106" s="45">
        <v>0</v>
      </c>
      <c r="E106" s="45">
        <v>0</v>
      </c>
      <c r="F106" s="45">
        <f t="shared" si="3"/>
        <v>0</v>
      </c>
      <c r="G106" s="45">
        <v>0</v>
      </c>
      <c r="H106" s="45"/>
      <c r="I106" s="45">
        <v>0</v>
      </c>
      <c r="J106" s="45">
        <v>0</v>
      </c>
      <c r="K106" s="45">
        <v>0</v>
      </c>
      <c r="L106" s="46">
        <f t="shared" si="4"/>
        <v>0</v>
      </c>
      <c r="M106" s="47">
        <v>0</v>
      </c>
      <c r="N106" s="47">
        <v>0</v>
      </c>
      <c r="O106" s="48" t="s">
        <v>525</v>
      </c>
      <c r="P106" s="48" t="s">
        <v>526</v>
      </c>
      <c r="Q106" s="48" t="s">
        <v>527</v>
      </c>
      <c r="R106" s="48" t="s">
        <v>528</v>
      </c>
      <c r="S106" s="48" t="s">
        <v>529</v>
      </c>
      <c r="T106" s="48"/>
    </row>
    <row r="107" spans="1:20" x14ac:dyDescent="0.3">
      <c r="A107" s="43"/>
      <c r="B107" s="43"/>
      <c r="C107" s="46">
        <f t="shared" si="5"/>
        <v>0</v>
      </c>
      <c r="D107" s="45">
        <v>0</v>
      </c>
      <c r="E107" s="45">
        <v>0</v>
      </c>
      <c r="F107" s="45">
        <f t="shared" si="3"/>
        <v>0</v>
      </c>
      <c r="G107" s="45">
        <v>0</v>
      </c>
      <c r="H107" s="45"/>
      <c r="I107" s="45">
        <v>0</v>
      </c>
      <c r="J107" s="45">
        <v>0</v>
      </c>
      <c r="K107" s="45">
        <v>0</v>
      </c>
      <c r="L107" s="46">
        <f t="shared" si="4"/>
        <v>0</v>
      </c>
      <c r="M107" s="47">
        <v>0</v>
      </c>
      <c r="N107" s="47">
        <v>0</v>
      </c>
      <c r="O107" s="48" t="s">
        <v>530</v>
      </c>
      <c r="P107" s="48" t="s">
        <v>531</v>
      </c>
      <c r="Q107" s="48" t="s">
        <v>532</v>
      </c>
      <c r="R107" s="48" t="s">
        <v>533</v>
      </c>
      <c r="S107" s="48" t="s">
        <v>534</v>
      </c>
      <c r="T107" s="48"/>
    </row>
    <row r="108" spans="1:20" x14ac:dyDescent="0.3">
      <c r="A108" s="43"/>
      <c r="B108" s="43"/>
      <c r="C108" s="46">
        <f t="shared" si="5"/>
        <v>0</v>
      </c>
      <c r="D108" s="45">
        <v>0</v>
      </c>
      <c r="E108" s="45">
        <v>0</v>
      </c>
      <c r="F108" s="45">
        <f t="shared" si="3"/>
        <v>0</v>
      </c>
      <c r="G108" s="45">
        <v>0</v>
      </c>
      <c r="H108" s="45"/>
      <c r="I108" s="45">
        <v>0</v>
      </c>
      <c r="J108" s="45">
        <v>0</v>
      </c>
      <c r="K108" s="45">
        <v>0</v>
      </c>
      <c r="L108" s="46">
        <f t="shared" si="4"/>
        <v>0</v>
      </c>
      <c r="M108" s="47">
        <v>0</v>
      </c>
      <c r="N108" s="47">
        <v>0</v>
      </c>
      <c r="O108" s="48" t="s">
        <v>535</v>
      </c>
      <c r="P108" s="48" t="s">
        <v>536</v>
      </c>
      <c r="Q108" s="48" t="s">
        <v>537</v>
      </c>
      <c r="R108" s="48" t="s">
        <v>538</v>
      </c>
      <c r="S108" s="48" t="s">
        <v>539</v>
      </c>
      <c r="T108" s="48"/>
    </row>
    <row r="109" spans="1:20" x14ac:dyDescent="0.3">
      <c r="A109" s="43"/>
      <c r="B109" s="43"/>
      <c r="C109" s="46">
        <f t="shared" si="5"/>
        <v>0</v>
      </c>
      <c r="D109" s="45">
        <v>0</v>
      </c>
      <c r="E109" s="45">
        <v>0</v>
      </c>
      <c r="F109" s="45">
        <f t="shared" si="3"/>
        <v>0</v>
      </c>
      <c r="G109" s="45">
        <v>0</v>
      </c>
      <c r="H109" s="45"/>
      <c r="I109" s="45">
        <v>0</v>
      </c>
      <c r="J109" s="45">
        <v>0</v>
      </c>
      <c r="K109" s="45">
        <v>0</v>
      </c>
      <c r="L109" s="46">
        <f t="shared" si="4"/>
        <v>0</v>
      </c>
      <c r="M109" s="47">
        <v>0</v>
      </c>
      <c r="N109" s="47">
        <v>0</v>
      </c>
      <c r="O109" s="48" t="s">
        <v>540</v>
      </c>
      <c r="P109" s="48" t="s">
        <v>541</v>
      </c>
      <c r="Q109" s="48" t="s">
        <v>542</v>
      </c>
      <c r="R109" s="48" t="s">
        <v>543</v>
      </c>
      <c r="S109" s="48" t="s">
        <v>544</v>
      </c>
      <c r="T109" s="48"/>
    </row>
    <row r="110" spans="1:20" x14ac:dyDescent="0.3">
      <c r="A110" s="43"/>
      <c r="B110" s="43"/>
      <c r="C110" s="46">
        <f t="shared" si="5"/>
        <v>0</v>
      </c>
      <c r="D110" s="45">
        <v>0</v>
      </c>
      <c r="E110" s="45">
        <v>0</v>
      </c>
      <c r="F110" s="45">
        <f t="shared" si="3"/>
        <v>0</v>
      </c>
      <c r="G110" s="45">
        <v>0</v>
      </c>
      <c r="H110" s="45"/>
      <c r="I110" s="45">
        <v>0</v>
      </c>
      <c r="J110" s="45">
        <v>0</v>
      </c>
      <c r="K110" s="45">
        <v>0</v>
      </c>
      <c r="L110" s="46">
        <f t="shared" si="4"/>
        <v>0</v>
      </c>
      <c r="M110" s="47">
        <v>0</v>
      </c>
      <c r="N110" s="47">
        <v>0</v>
      </c>
      <c r="O110" s="48" t="s">
        <v>545</v>
      </c>
      <c r="P110" s="48" t="s">
        <v>546</v>
      </c>
      <c r="Q110" s="48" t="s">
        <v>547</v>
      </c>
      <c r="R110" s="48" t="s">
        <v>548</v>
      </c>
      <c r="S110" s="48" t="s">
        <v>549</v>
      </c>
      <c r="T110" s="48"/>
    </row>
    <row r="111" spans="1:20" x14ac:dyDescent="0.3">
      <c r="A111" s="43"/>
      <c r="B111" s="43"/>
      <c r="C111" s="46">
        <f t="shared" si="5"/>
        <v>0</v>
      </c>
      <c r="D111" s="45">
        <v>0</v>
      </c>
      <c r="E111" s="45">
        <v>0</v>
      </c>
      <c r="F111" s="45">
        <f t="shared" si="3"/>
        <v>0</v>
      </c>
      <c r="G111" s="45">
        <v>0</v>
      </c>
      <c r="H111" s="45"/>
      <c r="I111" s="45">
        <v>0</v>
      </c>
      <c r="J111" s="45">
        <v>0</v>
      </c>
      <c r="K111" s="45">
        <v>0</v>
      </c>
      <c r="L111" s="46">
        <f t="shared" si="4"/>
        <v>0</v>
      </c>
      <c r="M111" s="47">
        <v>0</v>
      </c>
      <c r="N111" s="47">
        <v>0</v>
      </c>
      <c r="O111" s="48" t="s">
        <v>550</v>
      </c>
      <c r="P111" s="48" t="s">
        <v>551</v>
      </c>
      <c r="Q111" s="48" t="s">
        <v>552</v>
      </c>
      <c r="R111" s="48" t="s">
        <v>553</v>
      </c>
      <c r="S111" s="48" t="s">
        <v>554</v>
      </c>
      <c r="T111" s="48"/>
    </row>
    <row r="112" spans="1:20" x14ac:dyDescent="0.3">
      <c r="A112" s="43"/>
      <c r="B112" s="43"/>
      <c r="C112" s="46">
        <f t="shared" si="5"/>
        <v>0</v>
      </c>
      <c r="D112" s="45">
        <v>0</v>
      </c>
      <c r="E112" s="45">
        <v>0</v>
      </c>
      <c r="F112" s="45">
        <f t="shared" si="3"/>
        <v>0</v>
      </c>
      <c r="G112" s="45">
        <v>0</v>
      </c>
      <c r="H112" s="45"/>
      <c r="I112" s="45">
        <v>0</v>
      </c>
      <c r="J112" s="45">
        <v>0</v>
      </c>
      <c r="K112" s="45">
        <v>0</v>
      </c>
      <c r="L112" s="46">
        <f t="shared" si="4"/>
        <v>0</v>
      </c>
      <c r="M112" s="47">
        <v>0</v>
      </c>
      <c r="N112" s="47">
        <v>0</v>
      </c>
      <c r="O112" s="48" t="s">
        <v>555</v>
      </c>
      <c r="P112" s="48" t="s">
        <v>556</v>
      </c>
      <c r="Q112" s="48" t="s">
        <v>557</v>
      </c>
      <c r="R112" s="48" t="s">
        <v>558</v>
      </c>
      <c r="S112" s="48" t="s">
        <v>559</v>
      </c>
      <c r="T112" s="48"/>
    </row>
    <row r="113" spans="1:20" x14ac:dyDescent="0.3">
      <c r="A113" s="43"/>
      <c r="B113" s="43"/>
      <c r="C113" s="46">
        <f t="shared" si="5"/>
        <v>0</v>
      </c>
      <c r="D113" s="45">
        <v>0</v>
      </c>
      <c r="E113" s="45">
        <v>0</v>
      </c>
      <c r="F113" s="45">
        <f t="shared" si="3"/>
        <v>0</v>
      </c>
      <c r="G113" s="45">
        <v>0</v>
      </c>
      <c r="H113" s="45"/>
      <c r="I113" s="45">
        <v>0</v>
      </c>
      <c r="J113" s="45">
        <v>0</v>
      </c>
      <c r="K113" s="45">
        <v>0</v>
      </c>
      <c r="L113" s="46">
        <f t="shared" si="4"/>
        <v>0</v>
      </c>
      <c r="M113" s="47">
        <v>0</v>
      </c>
      <c r="N113" s="47">
        <v>0</v>
      </c>
      <c r="O113" s="48" t="s">
        <v>560</v>
      </c>
      <c r="P113" s="48" t="s">
        <v>561</v>
      </c>
      <c r="Q113" s="48" t="s">
        <v>562</v>
      </c>
      <c r="R113" s="48" t="s">
        <v>563</v>
      </c>
      <c r="S113" s="48" t="s">
        <v>564</v>
      </c>
      <c r="T113" s="48"/>
    </row>
    <row r="114" spans="1:20" x14ac:dyDescent="0.3">
      <c r="A114" s="43"/>
      <c r="B114" s="43"/>
      <c r="C114" s="46">
        <f t="shared" si="5"/>
        <v>0</v>
      </c>
      <c r="D114" s="45">
        <v>0</v>
      </c>
      <c r="E114" s="45">
        <v>0</v>
      </c>
      <c r="F114" s="45">
        <f t="shared" si="3"/>
        <v>0</v>
      </c>
      <c r="G114" s="45">
        <v>0</v>
      </c>
      <c r="H114" s="45"/>
      <c r="I114" s="45">
        <v>0</v>
      </c>
      <c r="J114" s="45">
        <v>0</v>
      </c>
      <c r="K114" s="45">
        <v>0</v>
      </c>
      <c r="L114" s="46">
        <f t="shared" si="4"/>
        <v>0</v>
      </c>
      <c r="M114" s="47">
        <v>0</v>
      </c>
      <c r="N114" s="47">
        <v>0</v>
      </c>
      <c r="O114" s="48" t="s">
        <v>565</v>
      </c>
      <c r="P114" s="48" t="s">
        <v>566</v>
      </c>
      <c r="Q114" s="48" t="s">
        <v>567</v>
      </c>
      <c r="R114" s="48" t="s">
        <v>568</v>
      </c>
      <c r="S114" s="48" t="s">
        <v>569</v>
      </c>
      <c r="T114" s="48"/>
    </row>
    <row r="115" spans="1:20" x14ac:dyDescent="0.3">
      <c r="A115" s="43"/>
      <c r="B115" s="43"/>
      <c r="C115" s="46">
        <f t="shared" si="5"/>
        <v>0</v>
      </c>
      <c r="D115" s="45">
        <v>0</v>
      </c>
      <c r="E115" s="45">
        <v>0</v>
      </c>
      <c r="F115" s="45">
        <f t="shared" si="3"/>
        <v>0</v>
      </c>
      <c r="G115" s="45">
        <v>0</v>
      </c>
      <c r="H115" s="45"/>
      <c r="I115" s="45">
        <v>0</v>
      </c>
      <c r="J115" s="45">
        <v>0</v>
      </c>
      <c r="K115" s="45">
        <v>0</v>
      </c>
      <c r="L115" s="46">
        <f t="shared" si="4"/>
        <v>0</v>
      </c>
      <c r="M115" s="47">
        <v>0</v>
      </c>
      <c r="N115" s="47">
        <v>0</v>
      </c>
      <c r="O115" s="48" t="s">
        <v>570</v>
      </c>
      <c r="P115" s="48" t="s">
        <v>571</v>
      </c>
      <c r="Q115" s="48" t="s">
        <v>572</v>
      </c>
      <c r="R115" s="48" t="s">
        <v>573</v>
      </c>
      <c r="S115" s="48" t="s">
        <v>574</v>
      </c>
      <c r="T115" s="48"/>
    </row>
    <row r="116" spans="1:20" x14ac:dyDescent="0.3">
      <c r="A116" s="43"/>
      <c r="B116" s="43"/>
      <c r="C116" s="46">
        <f t="shared" si="5"/>
        <v>0</v>
      </c>
      <c r="D116" s="45">
        <v>0</v>
      </c>
      <c r="E116" s="45">
        <v>0</v>
      </c>
      <c r="F116" s="45">
        <f t="shared" si="3"/>
        <v>0</v>
      </c>
      <c r="G116" s="45">
        <v>0</v>
      </c>
      <c r="H116" s="45"/>
      <c r="I116" s="45">
        <v>0</v>
      </c>
      <c r="J116" s="45">
        <v>0</v>
      </c>
      <c r="K116" s="45">
        <v>0</v>
      </c>
      <c r="L116" s="46">
        <f t="shared" si="4"/>
        <v>0</v>
      </c>
      <c r="M116" s="47">
        <v>0</v>
      </c>
      <c r="N116" s="47">
        <v>0</v>
      </c>
      <c r="O116" s="48" t="s">
        <v>575</v>
      </c>
      <c r="P116" s="48" t="s">
        <v>576</v>
      </c>
      <c r="Q116" s="48" t="s">
        <v>577</v>
      </c>
      <c r="R116" s="48" t="s">
        <v>578</v>
      </c>
      <c r="S116" s="48" t="s">
        <v>579</v>
      </c>
      <c r="T116" s="48"/>
    </row>
    <row r="117" spans="1:20" x14ac:dyDescent="0.3">
      <c r="A117" s="43"/>
      <c r="B117" s="43"/>
      <c r="C117" s="46">
        <f t="shared" si="5"/>
        <v>0</v>
      </c>
      <c r="D117" s="45">
        <v>0</v>
      </c>
      <c r="E117" s="45">
        <v>0</v>
      </c>
      <c r="F117" s="45">
        <f t="shared" si="3"/>
        <v>0</v>
      </c>
      <c r="G117" s="45">
        <v>0</v>
      </c>
      <c r="H117" s="45"/>
      <c r="I117" s="45">
        <v>0</v>
      </c>
      <c r="J117" s="45">
        <v>0</v>
      </c>
      <c r="K117" s="45">
        <v>0</v>
      </c>
      <c r="L117" s="46">
        <f t="shared" si="4"/>
        <v>0</v>
      </c>
      <c r="M117" s="47">
        <v>0</v>
      </c>
      <c r="N117" s="47">
        <v>0</v>
      </c>
      <c r="O117" s="48" t="s">
        <v>580</v>
      </c>
      <c r="P117" s="48" t="s">
        <v>581</v>
      </c>
      <c r="Q117" s="48" t="s">
        <v>582</v>
      </c>
      <c r="R117" s="48" t="s">
        <v>583</v>
      </c>
      <c r="S117" s="48" t="s">
        <v>584</v>
      </c>
      <c r="T117" s="48"/>
    </row>
    <row r="118" spans="1:20" x14ac:dyDescent="0.3">
      <c r="A118" s="43"/>
      <c r="B118" s="43"/>
      <c r="C118" s="46">
        <f t="shared" si="5"/>
        <v>0</v>
      </c>
      <c r="D118" s="45">
        <v>0</v>
      </c>
      <c r="E118" s="45">
        <v>0</v>
      </c>
      <c r="F118" s="45">
        <f t="shared" si="3"/>
        <v>0</v>
      </c>
      <c r="G118" s="45">
        <v>0</v>
      </c>
      <c r="H118" s="45"/>
      <c r="I118" s="45">
        <v>0</v>
      </c>
      <c r="J118" s="45">
        <v>0</v>
      </c>
      <c r="K118" s="45">
        <v>0</v>
      </c>
      <c r="L118" s="46">
        <f t="shared" si="4"/>
        <v>0</v>
      </c>
      <c r="M118" s="47">
        <v>0</v>
      </c>
      <c r="N118" s="47">
        <v>0</v>
      </c>
      <c r="O118" s="48" t="s">
        <v>585</v>
      </c>
      <c r="P118" s="48" t="s">
        <v>586</v>
      </c>
      <c r="Q118" s="48" t="s">
        <v>587</v>
      </c>
      <c r="R118" s="48" t="s">
        <v>588</v>
      </c>
      <c r="S118" s="48" t="s">
        <v>589</v>
      </c>
      <c r="T118" s="48"/>
    </row>
    <row r="119" spans="1:20" x14ac:dyDescent="0.3">
      <c r="A119" s="43"/>
      <c r="B119" s="43"/>
      <c r="C119" s="46">
        <f t="shared" si="5"/>
        <v>0</v>
      </c>
      <c r="D119" s="45">
        <v>0</v>
      </c>
      <c r="E119" s="45">
        <v>0</v>
      </c>
      <c r="F119" s="45">
        <f t="shared" si="3"/>
        <v>0</v>
      </c>
      <c r="G119" s="45">
        <v>0</v>
      </c>
      <c r="H119" s="45"/>
      <c r="I119" s="45">
        <v>0</v>
      </c>
      <c r="J119" s="45">
        <v>0</v>
      </c>
      <c r="K119" s="45">
        <v>0</v>
      </c>
      <c r="L119" s="46">
        <f t="shared" si="4"/>
        <v>0</v>
      </c>
      <c r="M119" s="47">
        <v>0</v>
      </c>
      <c r="N119" s="47">
        <v>0</v>
      </c>
      <c r="O119" s="48" t="s">
        <v>590</v>
      </c>
      <c r="P119" s="48" t="s">
        <v>591</v>
      </c>
      <c r="Q119" s="48" t="s">
        <v>592</v>
      </c>
      <c r="R119" s="48" t="s">
        <v>593</v>
      </c>
      <c r="S119" s="48" t="s">
        <v>594</v>
      </c>
      <c r="T119" s="48"/>
    </row>
    <row r="120" spans="1:20" x14ac:dyDescent="0.3">
      <c r="A120" s="43"/>
      <c r="B120" s="43"/>
      <c r="C120" s="46">
        <f t="shared" si="5"/>
        <v>0</v>
      </c>
      <c r="D120" s="45">
        <v>0</v>
      </c>
      <c r="E120" s="45">
        <v>0</v>
      </c>
      <c r="F120" s="45">
        <f t="shared" si="3"/>
        <v>0</v>
      </c>
      <c r="G120" s="45">
        <v>0</v>
      </c>
      <c r="H120" s="45"/>
      <c r="I120" s="45">
        <v>0</v>
      </c>
      <c r="J120" s="45">
        <v>0</v>
      </c>
      <c r="K120" s="45">
        <v>0</v>
      </c>
      <c r="L120" s="46">
        <f t="shared" si="4"/>
        <v>0</v>
      </c>
      <c r="M120" s="47">
        <v>0</v>
      </c>
      <c r="N120" s="47">
        <v>0</v>
      </c>
      <c r="O120" s="48" t="s">
        <v>595</v>
      </c>
      <c r="P120" s="48" t="s">
        <v>596</v>
      </c>
      <c r="Q120" s="48" t="s">
        <v>597</v>
      </c>
      <c r="R120" s="48" t="s">
        <v>598</v>
      </c>
      <c r="S120" s="48" t="s">
        <v>599</v>
      </c>
      <c r="T120" s="48"/>
    </row>
    <row r="121" spans="1:20" x14ac:dyDescent="0.3">
      <c r="A121" s="43"/>
      <c r="B121" s="43"/>
      <c r="C121" s="46">
        <f t="shared" si="5"/>
        <v>0</v>
      </c>
      <c r="D121" s="45">
        <v>0</v>
      </c>
      <c r="E121" s="45">
        <v>0</v>
      </c>
      <c r="F121" s="45">
        <f t="shared" si="3"/>
        <v>0</v>
      </c>
      <c r="G121" s="45">
        <v>0</v>
      </c>
      <c r="H121" s="45"/>
      <c r="I121" s="45">
        <v>0</v>
      </c>
      <c r="J121" s="45">
        <v>0</v>
      </c>
      <c r="K121" s="45">
        <v>0</v>
      </c>
      <c r="L121" s="46">
        <f t="shared" si="4"/>
        <v>0</v>
      </c>
      <c r="M121" s="47">
        <v>0</v>
      </c>
      <c r="N121" s="47">
        <v>0</v>
      </c>
      <c r="O121" s="48" t="s">
        <v>600</v>
      </c>
      <c r="P121" s="48" t="s">
        <v>601</v>
      </c>
      <c r="Q121" s="48" t="s">
        <v>602</v>
      </c>
      <c r="R121" s="48" t="s">
        <v>603</v>
      </c>
      <c r="S121" s="48" t="s">
        <v>604</v>
      </c>
      <c r="T121" s="48"/>
    </row>
    <row r="122" spans="1:20" x14ac:dyDescent="0.3">
      <c r="A122" s="43"/>
      <c r="B122" s="43"/>
      <c r="C122" s="46">
        <f t="shared" si="5"/>
        <v>0</v>
      </c>
      <c r="D122" s="45">
        <v>0</v>
      </c>
      <c r="E122" s="45">
        <v>0</v>
      </c>
      <c r="F122" s="45">
        <f t="shared" si="3"/>
        <v>0</v>
      </c>
      <c r="G122" s="45">
        <v>0</v>
      </c>
      <c r="H122" s="45"/>
      <c r="I122" s="45">
        <v>0</v>
      </c>
      <c r="J122" s="45">
        <v>0</v>
      </c>
      <c r="K122" s="45">
        <v>0</v>
      </c>
      <c r="L122" s="46">
        <f t="shared" si="4"/>
        <v>0</v>
      </c>
      <c r="M122" s="47">
        <v>0</v>
      </c>
      <c r="N122" s="47">
        <v>0</v>
      </c>
      <c r="O122" s="48" t="s">
        <v>605</v>
      </c>
      <c r="P122" s="48" t="s">
        <v>606</v>
      </c>
      <c r="Q122" s="48" t="s">
        <v>607</v>
      </c>
      <c r="R122" s="48" t="s">
        <v>608</v>
      </c>
      <c r="S122" s="48" t="s">
        <v>609</v>
      </c>
      <c r="T122" s="48"/>
    </row>
    <row r="123" spans="1:20" x14ac:dyDescent="0.3">
      <c r="A123" s="43"/>
      <c r="B123" s="43"/>
      <c r="C123" s="46">
        <f t="shared" si="5"/>
        <v>0</v>
      </c>
      <c r="D123" s="45">
        <v>0</v>
      </c>
      <c r="E123" s="45">
        <v>0</v>
      </c>
      <c r="F123" s="45">
        <f t="shared" si="3"/>
        <v>0</v>
      </c>
      <c r="G123" s="45">
        <v>0</v>
      </c>
      <c r="H123" s="45"/>
      <c r="I123" s="45">
        <v>0</v>
      </c>
      <c r="J123" s="45">
        <v>0</v>
      </c>
      <c r="K123" s="45">
        <v>0</v>
      </c>
      <c r="L123" s="46">
        <f t="shared" si="4"/>
        <v>0</v>
      </c>
      <c r="M123" s="47">
        <v>0</v>
      </c>
      <c r="N123" s="47">
        <v>0</v>
      </c>
      <c r="O123" s="48" t="s">
        <v>610</v>
      </c>
      <c r="P123" s="48" t="s">
        <v>611</v>
      </c>
      <c r="Q123" s="48" t="s">
        <v>612</v>
      </c>
      <c r="R123" s="48" t="s">
        <v>613</v>
      </c>
      <c r="S123" s="48" t="s">
        <v>614</v>
      </c>
      <c r="T123" s="48"/>
    </row>
    <row r="124" spans="1:20" x14ac:dyDescent="0.3">
      <c r="A124" s="43"/>
      <c r="B124" s="43"/>
      <c r="C124" s="46">
        <f t="shared" si="5"/>
        <v>0</v>
      </c>
      <c r="D124" s="45">
        <v>0</v>
      </c>
      <c r="E124" s="45">
        <v>0</v>
      </c>
      <c r="F124" s="45">
        <f t="shared" si="3"/>
        <v>0</v>
      </c>
      <c r="G124" s="45">
        <v>0</v>
      </c>
      <c r="H124" s="45"/>
      <c r="I124" s="45">
        <v>0</v>
      </c>
      <c r="J124" s="45">
        <v>0</v>
      </c>
      <c r="K124" s="45">
        <v>0</v>
      </c>
      <c r="L124" s="46">
        <f t="shared" si="4"/>
        <v>0</v>
      </c>
      <c r="M124" s="47">
        <v>0</v>
      </c>
      <c r="N124" s="47">
        <v>0</v>
      </c>
      <c r="O124" s="48" t="s">
        <v>615</v>
      </c>
      <c r="P124" s="48" t="s">
        <v>616</v>
      </c>
      <c r="Q124" s="48" t="s">
        <v>617</v>
      </c>
      <c r="R124" s="48" t="s">
        <v>618</v>
      </c>
      <c r="S124" s="48" t="s">
        <v>619</v>
      </c>
      <c r="T124" s="48"/>
    </row>
    <row r="125" spans="1:20" x14ac:dyDescent="0.3">
      <c r="A125" s="43"/>
      <c r="B125" s="43"/>
      <c r="C125" s="46">
        <f t="shared" si="5"/>
        <v>0</v>
      </c>
      <c r="D125" s="45">
        <v>0</v>
      </c>
      <c r="E125" s="45">
        <v>0</v>
      </c>
      <c r="F125" s="45">
        <f t="shared" si="3"/>
        <v>0</v>
      </c>
      <c r="G125" s="45">
        <v>0</v>
      </c>
      <c r="H125" s="45"/>
      <c r="I125" s="45">
        <v>0</v>
      </c>
      <c r="J125" s="45">
        <v>0</v>
      </c>
      <c r="K125" s="45">
        <v>0</v>
      </c>
      <c r="L125" s="46">
        <f t="shared" si="4"/>
        <v>0</v>
      </c>
      <c r="M125" s="47">
        <v>0</v>
      </c>
      <c r="N125" s="47">
        <v>0</v>
      </c>
      <c r="O125" s="48" t="s">
        <v>620</v>
      </c>
      <c r="P125" s="48" t="s">
        <v>621</v>
      </c>
      <c r="Q125" s="48" t="s">
        <v>622</v>
      </c>
      <c r="R125" s="48" t="s">
        <v>623</v>
      </c>
      <c r="S125" s="48" t="s">
        <v>624</v>
      </c>
      <c r="T125" s="48"/>
    </row>
    <row r="126" spans="1:20" x14ac:dyDescent="0.3">
      <c r="A126" s="43"/>
      <c r="B126" s="43"/>
      <c r="C126" s="46">
        <f t="shared" si="5"/>
        <v>0</v>
      </c>
      <c r="D126" s="45">
        <v>0</v>
      </c>
      <c r="E126" s="45">
        <v>0</v>
      </c>
      <c r="F126" s="45">
        <f t="shared" si="3"/>
        <v>0</v>
      </c>
      <c r="G126" s="45">
        <v>0</v>
      </c>
      <c r="H126" s="45"/>
      <c r="I126" s="45">
        <v>0</v>
      </c>
      <c r="J126" s="45">
        <v>0</v>
      </c>
      <c r="K126" s="45">
        <v>0</v>
      </c>
      <c r="L126" s="46">
        <f t="shared" si="4"/>
        <v>0</v>
      </c>
      <c r="M126" s="47">
        <v>0</v>
      </c>
      <c r="N126" s="47">
        <v>0</v>
      </c>
      <c r="O126" s="48" t="s">
        <v>625</v>
      </c>
      <c r="P126" s="48" t="s">
        <v>626</v>
      </c>
      <c r="Q126" s="48" t="s">
        <v>627</v>
      </c>
      <c r="R126" s="48" t="s">
        <v>628</v>
      </c>
      <c r="S126" s="48" t="s">
        <v>629</v>
      </c>
      <c r="T126" s="48"/>
    </row>
    <row r="127" spans="1:20" x14ac:dyDescent="0.3">
      <c r="A127" s="43"/>
      <c r="B127" s="43"/>
      <c r="C127" s="46">
        <f t="shared" si="5"/>
        <v>0</v>
      </c>
      <c r="D127" s="45">
        <v>0</v>
      </c>
      <c r="E127" s="45">
        <v>0</v>
      </c>
      <c r="F127" s="45">
        <f t="shared" si="3"/>
        <v>0</v>
      </c>
      <c r="G127" s="45">
        <v>0</v>
      </c>
      <c r="H127" s="45"/>
      <c r="I127" s="45">
        <v>0</v>
      </c>
      <c r="J127" s="45">
        <v>0</v>
      </c>
      <c r="K127" s="45">
        <v>0</v>
      </c>
      <c r="L127" s="46">
        <f t="shared" si="4"/>
        <v>0</v>
      </c>
      <c r="M127" s="47">
        <v>0</v>
      </c>
      <c r="N127" s="47">
        <v>0</v>
      </c>
      <c r="O127" s="48" t="s">
        <v>630</v>
      </c>
      <c r="P127" s="48" t="s">
        <v>631</v>
      </c>
      <c r="Q127" s="48" t="s">
        <v>632</v>
      </c>
      <c r="R127" s="48" t="s">
        <v>633</v>
      </c>
      <c r="S127" s="48" t="s">
        <v>634</v>
      </c>
      <c r="T127" s="48"/>
    </row>
    <row r="128" spans="1:20" x14ac:dyDescent="0.3">
      <c r="A128" s="43"/>
      <c r="B128" s="43"/>
      <c r="C128" s="46">
        <f t="shared" si="5"/>
        <v>0</v>
      </c>
      <c r="D128" s="45">
        <v>0</v>
      </c>
      <c r="E128" s="45">
        <v>0</v>
      </c>
      <c r="F128" s="45">
        <f t="shared" si="3"/>
        <v>0</v>
      </c>
      <c r="G128" s="45">
        <v>0</v>
      </c>
      <c r="H128" s="45"/>
      <c r="I128" s="45">
        <v>0</v>
      </c>
      <c r="J128" s="45">
        <v>0</v>
      </c>
      <c r="K128" s="45">
        <v>0</v>
      </c>
      <c r="L128" s="46">
        <f t="shared" si="4"/>
        <v>0</v>
      </c>
      <c r="M128" s="47">
        <v>0</v>
      </c>
      <c r="N128" s="47">
        <v>0</v>
      </c>
      <c r="O128" s="48" t="s">
        <v>635</v>
      </c>
      <c r="P128" s="48" t="s">
        <v>636</v>
      </c>
      <c r="Q128" s="48" t="s">
        <v>637</v>
      </c>
      <c r="R128" s="48" t="s">
        <v>638</v>
      </c>
      <c r="S128" s="48" t="s">
        <v>639</v>
      </c>
      <c r="T128" s="48"/>
    </row>
    <row r="129" spans="1:20" x14ac:dyDescent="0.3">
      <c r="A129" s="43"/>
      <c r="B129" s="43"/>
      <c r="C129" s="46">
        <f t="shared" si="5"/>
        <v>0</v>
      </c>
      <c r="D129" s="45">
        <v>0</v>
      </c>
      <c r="E129" s="45">
        <v>0</v>
      </c>
      <c r="F129" s="45">
        <f t="shared" si="3"/>
        <v>0</v>
      </c>
      <c r="G129" s="45">
        <v>0</v>
      </c>
      <c r="H129" s="45"/>
      <c r="I129" s="45">
        <v>0</v>
      </c>
      <c r="J129" s="45">
        <v>0</v>
      </c>
      <c r="K129" s="45">
        <v>0</v>
      </c>
      <c r="L129" s="46">
        <f t="shared" si="4"/>
        <v>0</v>
      </c>
      <c r="M129" s="47">
        <v>0</v>
      </c>
      <c r="N129" s="47">
        <v>0</v>
      </c>
      <c r="O129" s="48" t="s">
        <v>640</v>
      </c>
      <c r="P129" s="48" t="s">
        <v>641</v>
      </c>
      <c r="Q129" s="48" t="s">
        <v>642</v>
      </c>
      <c r="R129" s="48" t="s">
        <v>643</v>
      </c>
      <c r="S129" s="48" t="s">
        <v>644</v>
      </c>
      <c r="T129" s="48"/>
    </row>
    <row r="130" spans="1:20" x14ac:dyDescent="0.3">
      <c r="A130" s="43"/>
      <c r="B130" s="43"/>
      <c r="C130" s="46">
        <f t="shared" si="5"/>
        <v>0</v>
      </c>
      <c r="D130" s="45">
        <v>0</v>
      </c>
      <c r="E130" s="45">
        <v>0</v>
      </c>
      <c r="F130" s="45">
        <f t="shared" si="3"/>
        <v>0</v>
      </c>
      <c r="G130" s="45">
        <v>0</v>
      </c>
      <c r="H130" s="45"/>
      <c r="I130" s="45">
        <v>0</v>
      </c>
      <c r="J130" s="45">
        <v>0</v>
      </c>
      <c r="K130" s="45">
        <v>0</v>
      </c>
      <c r="L130" s="46">
        <f t="shared" si="4"/>
        <v>0</v>
      </c>
      <c r="M130" s="47">
        <v>0</v>
      </c>
      <c r="N130" s="47">
        <v>0</v>
      </c>
      <c r="O130" s="48" t="s">
        <v>645</v>
      </c>
      <c r="P130" s="48" t="s">
        <v>646</v>
      </c>
      <c r="Q130" s="48" t="s">
        <v>647</v>
      </c>
      <c r="R130" s="48" t="s">
        <v>648</v>
      </c>
      <c r="S130" s="48" t="s">
        <v>649</v>
      </c>
      <c r="T130" s="48"/>
    </row>
    <row r="131" spans="1:20" x14ac:dyDescent="0.3">
      <c r="A131" s="43"/>
      <c r="B131" s="43"/>
      <c r="C131" s="46">
        <f t="shared" si="5"/>
        <v>0</v>
      </c>
      <c r="D131" s="45">
        <v>0</v>
      </c>
      <c r="E131" s="45">
        <v>0</v>
      </c>
      <c r="F131" s="45">
        <f t="shared" si="3"/>
        <v>0</v>
      </c>
      <c r="G131" s="45">
        <v>0</v>
      </c>
      <c r="H131" s="45"/>
      <c r="I131" s="45">
        <v>0</v>
      </c>
      <c r="J131" s="45">
        <v>0</v>
      </c>
      <c r="K131" s="45">
        <v>0</v>
      </c>
      <c r="L131" s="46">
        <f t="shared" si="4"/>
        <v>0</v>
      </c>
      <c r="M131" s="47">
        <v>0</v>
      </c>
      <c r="N131" s="47">
        <v>0</v>
      </c>
      <c r="O131" s="48" t="s">
        <v>650</v>
      </c>
      <c r="P131" s="48" t="s">
        <v>651</v>
      </c>
      <c r="Q131" s="48" t="s">
        <v>652</v>
      </c>
      <c r="R131" s="48" t="s">
        <v>653</v>
      </c>
      <c r="S131" s="48" t="s">
        <v>654</v>
      </c>
      <c r="T131" s="48"/>
    </row>
    <row r="132" spans="1:20" x14ac:dyDescent="0.3">
      <c r="A132" s="43"/>
      <c r="B132" s="43"/>
      <c r="C132" s="46">
        <f t="shared" si="5"/>
        <v>0</v>
      </c>
      <c r="D132" s="45">
        <v>0</v>
      </c>
      <c r="E132" s="45">
        <v>0</v>
      </c>
      <c r="F132" s="45">
        <f t="shared" si="3"/>
        <v>0</v>
      </c>
      <c r="G132" s="45">
        <v>0</v>
      </c>
      <c r="H132" s="45"/>
      <c r="I132" s="45">
        <v>0</v>
      </c>
      <c r="J132" s="45">
        <v>0</v>
      </c>
      <c r="K132" s="45">
        <v>0</v>
      </c>
      <c r="L132" s="46">
        <f t="shared" si="4"/>
        <v>0</v>
      </c>
      <c r="M132" s="47">
        <v>0</v>
      </c>
      <c r="N132" s="47">
        <v>0</v>
      </c>
      <c r="O132" s="48" t="s">
        <v>655</v>
      </c>
      <c r="P132" s="48" t="s">
        <v>656</v>
      </c>
      <c r="Q132" s="48" t="s">
        <v>657</v>
      </c>
      <c r="R132" s="48" t="s">
        <v>658</v>
      </c>
      <c r="S132" s="48" t="s">
        <v>659</v>
      </c>
      <c r="T132" s="48"/>
    </row>
    <row r="133" spans="1:20" x14ac:dyDescent="0.3">
      <c r="A133" s="43"/>
      <c r="B133" s="43"/>
      <c r="C133" s="46">
        <f t="shared" si="5"/>
        <v>0</v>
      </c>
      <c r="D133" s="45">
        <v>0</v>
      </c>
      <c r="E133" s="45">
        <v>0</v>
      </c>
      <c r="F133" s="45">
        <f t="shared" si="3"/>
        <v>0</v>
      </c>
      <c r="G133" s="45">
        <v>0</v>
      </c>
      <c r="H133" s="45"/>
      <c r="I133" s="45">
        <v>0</v>
      </c>
      <c r="J133" s="45">
        <v>0</v>
      </c>
      <c r="K133" s="45">
        <v>0</v>
      </c>
      <c r="L133" s="46">
        <f t="shared" si="4"/>
        <v>0</v>
      </c>
      <c r="M133" s="47">
        <v>0</v>
      </c>
      <c r="N133" s="47">
        <v>0</v>
      </c>
      <c r="O133" s="48" t="s">
        <v>660</v>
      </c>
      <c r="P133" s="48" t="s">
        <v>661</v>
      </c>
      <c r="Q133" s="48" t="s">
        <v>662</v>
      </c>
      <c r="R133" s="48" t="s">
        <v>663</v>
      </c>
      <c r="S133" s="48" t="s">
        <v>664</v>
      </c>
      <c r="T133" s="48"/>
    </row>
    <row r="134" spans="1:20" x14ac:dyDescent="0.3">
      <c r="A134" s="43"/>
      <c r="B134" s="43"/>
      <c r="C134" s="46">
        <f t="shared" si="5"/>
        <v>0</v>
      </c>
      <c r="D134" s="45">
        <v>0</v>
      </c>
      <c r="E134" s="45">
        <v>0</v>
      </c>
      <c r="F134" s="45">
        <f t="shared" si="3"/>
        <v>0</v>
      </c>
      <c r="G134" s="45">
        <v>0</v>
      </c>
      <c r="H134" s="45"/>
      <c r="I134" s="45">
        <v>0</v>
      </c>
      <c r="J134" s="45">
        <v>0</v>
      </c>
      <c r="K134" s="45">
        <v>0</v>
      </c>
      <c r="L134" s="46">
        <f t="shared" si="4"/>
        <v>0</v>
      </c>
      <c r="M134" s="47">
        <v>0</v>
      </c>
      <c r="N134" s="47">
        <v>0</v>
      </c>
      <c r="O134" s="48" t="s">
        <v>665</v>
      </c>
      <c r="P134" s="48" t="s">
        <v>666</v>
      </c>
      <c r="Q134" s="48" t="s">
        <v>667</v>
      </c>
      <c r="R134" s="48" t="s">
        <v>668</v>
      </c>
      <c r="S134" s="48" t="s">
        <v>669</v>
      </c>
      <c r="T134" s="48"/>
    </row>
    <row r="135" spans="1:20" x14ac:dyDescent="0.3">
      <c r="A135" s="43"/>
      <c r="B135" s="43"/>
      <c r="C135" s="46">
        <f t="shared" si="5"/>
        <v>0</v>
      </c>
      <c r="D135" s="45">
        <v>0</v>
      </c>
      <c r="E135" s="45">
        <v>0</v>
      </c>
      <c r="F135" s="45">
        <f t="shared" si="3"/>
        <v>0</v>
      </c>
      <c r="G135" s="45">
        <v>0</v>
      </c>
      <c r="H135" s="45"/>
      <c r="I135" s="45">
        <v>0</v>
      </c>
      <c r="J135" s="45">
        <v>0</v>
      </c>
      <c r="K135" s="45">
        <v>0</v>
      </c>
      <c r="L135" s="46">
        <f t="shared" si="4"/>
        <v>0</v>
      </c>
      <c r="M135" s="47">
        <v>0</v>
      </c>
      <c r="N135" s="47">
        <v>0</v>
      </c>
      <c r="O135" s="48" t="s">
        <v>670</v>
      </c>
      <c r="P135" s="48" t="s">
        <v>671</v>
      </c>
      <c r="Q135" s="48" t="s">
        <v>672</v>
      </c>
      <c r="R135" s="48" t="s">
        <v>673</v>
      </c>
      <c r="S135" s="48" t="s">
        <v>674</v>
      </c>
      <c r="T135" s="48"/>
    </row>
    <row r="136" spans="1:20" x14ac:dyDescent="0.3">
      <c r="A136" s="43"/>
      <c r="B136" s="43"/>
      <c r="C136" s="46">
        <f t="shared" si="5"/>
        <v>0</v>
      </c>
      <c r="D136" s="45">
        <v>0</v>
      </c>
      <c r="E136" s="45">
        <v>0</v>
      </c>
      <c r="F136" s="45">
        <f t="shared" si="3"/>
        <v>0</v>
      </c>
      <c r="G136" s="45">
        <v>0</v>
      </c>
      <c r="H136" s="45"/>
      <c r="I136" s="45">
        <v>0</v>
      </c>
      <c r="J136" s="45">
        <v>0</v>
      </c>
      <c r="K136" s="45">
        <v>0</v>
      </c>
      <c r="L136" s="46">
        <f t="shared" si="4"/>
        <v>0</v>
      </c>
      <c r="M136" s="47">
        <v>0</v>
      </c>
      <c r="N136" s="47">
        <v>0</v>
      </c>
      <c r="O136" s="48" t="s">
        <v>675</v>
      </c>
      <c r="P136" s="48" t="s">
        <v>676</v>
      </c>
      <c r="Q136" s="48" t="s">
        <v>677</v>
      </c>
      <c r="R136" s="48" t="s">
        <v>678</v>
      </c>
      <c r="S136" s="48" t="s">
        <v>679</v>
      </c>
      <c r="T136" s="48"/>
    </row>
    <row r="137" spans="1:20" x14ac:dyDescent="0.3">
      <c r="A137" s="43"/>
      <c r="B137" s="43"/>
      <c r="C137" s="46">
        <f t="shared" si="5"/>
        <v>0</v>
      </c>
      <c r="D137" s="45">
        <v>0</v>
      </c>
      <c r="E137" s="45">
        <v>0</v>
      </c>
      <c r="F137" s="45">
        <f t="shared" si="3"/>
        <v>0</v>
      </c>
      <c r="G137" s="45">
        <v>0</v>
      </c>
      <c r="H137" s="45"/>
      <c r="I137" s="45">
        <v>0</v>
      </c>
      <c r="J137" s="45">
        <v>0</v>
      </c>
      <c r="K137" s="45">
        <v>0</v>
      </c>
      <c r="L137" s="46">
        <f t="shared" si="4"/>
        <v>0</v>
      </c>
      <c r="M137" s="47">
        <v>0</v>
      </c>
      <c r="N137" s="47">
        <v>0</v>
      </c>
      <c r="O137" s="48" t="s">
        <v>680</v>
      </c>
      <c r="P137" s="48" t="s">
        <v>681</v>
      </c>
      <c r="Q137" s="48" t="s">
        <v>682</v>
      </c>
      <c r="R137" s="48" t="s">
        <v>683</v>
      </c>
      <c r="S137" s="48" t="s">
        <v>684</v>
      </c>
      <c r="T137" s="48"/>
    </row>
    <row r="138" spans="1:20" x14ac:dyDescent="0.3">
      <c r="A138" s="43"/>
      <c r="B138" s="43"/>
      <c r="C138" s="46">
        <f t="shared" si="5"/>
        <v>0</v>
      </c>
      <c r="D138" s="45">
        <v>0</v>
      </c>
      <c r="E138" s="45">
        <v>0</v>
      </c>
      <c r="F138" s="45">
        <f t="shared" si="3"/>
        <v>0</v>
      </c>
      <c r="G138" s="45">
        <v>0</v>
      </c>
      <c r="H138" s="45"/>
      <c r="I138" s="45">
        <v>0</v>
      </c>
      <c r="J138" s="45">
        <v>0</v>
      </c>
      <c r="K138" s="45">
        <v>0</v>
      </c>
      <c r="L138" s="46">
        <f t="shared" si="4"/>
        <v>0</v>
      </c>
      <c r="M138" s="47">
        <v>0</v>
      </c>
      <c r="N138" s="47">
        <v>0</v>
      </c>
      <c r="O138" s="48" t="s">
        <v>685</v>
      </c>
      <c r="P138" s="48" t="s">
        <v>686</v>
      </c>
      <c r="Q138" s="48" t="s">
        <v>687</v>
      </c>
      <c r="R138" s="48" t="s">
        <v>688</v>
      </c>
      <c r="S138" s="48" t="s">
        <v>689</v>
      </c>
      <c r="T138" s="48"/>
    </row>
    <row r="139" spans="1:20" x14ac:dyDescent="0.3">
      <c r="A139" s="43"/>
      <c r="B139" s="43"/>
      <c r="C139" s="46">
        <f t="shared" si="5"/>
        <v>0</v>
      </c>
      <c r="D139" s="45">
        <v>0</v>
      </c>
      <c r="E139" s="45">
        <v>0</v>
      </c>
      <c r="F139" s="45">
        <f t="shared" si="3"/>
        <v>0</v>
      </c>
      <c r="G139" s="45">
        <v>0</v>
      </c>
      <c r="H139" s="45"/>
      <c r="I139" s="45">
        <v>0</v>
      </c>
      <c r="J139" s="45">
        <v>0</v>
      </c>
      <c r="K139" s="45">
        <v>0</v>
      </c>
      <c r="L139" s="46">
        <f t="shared" si="4"/>
        <v>0</v>
      </c>
      <c r="M139" s="47">
        <v>0</v>
      </c>
      <c r="N139" s="47">
        <v>0</v>
      </c>
      <c r="O139" s="48" t="s">
        <v>690</v>
      </c>
      <c r="P139" s="48" t="s">
        <v>691</v>
      </c>
      <c r="Q139" s="48" t="s">
        <v>692</v>
      </c>
      <c r="R139" s="48" t="s">
        <v>693</v>
      </c>
      <c r="S139" s="48" t="s">
        <v>694</v>
      </c>
      <c r="T139" s="48"/>
    </row>
    <row r="140" spans="1:20" x14ac:dyDescent="0.3">
      <c r="A140" s="43"/>
      <c r="B140" s="43"/>
      <c r="C140" s="46">
        <f t="shared" si="5"/>
        <v>0</v>
      </c>
      <c r="D140" s="45">
        <v>0</v>
      </c>
      <c r="E140" s="45">
        <v>0</v>
      </c>
      <c r="F140" s="45">
        <f t="shared" si="3"/>
        <v>0</v>
      </c>
      <c r="G140" s="45">
        <v>0</v>
      </c>
      <c r="H140" s="45"/>
      <c r="I140" s="45">
        <v>0</v>
      </c>
      <c r="J140" s="45">
        <v>0</v>
      </c>
      <c r="K140" s="45">
        <v>0</v>
      </c>
      <c r="L140" s="46">
        <f t="shared" si="4"/>
        <v>0</v>
      </c>
      <c r="M140" s="47">
        <v>0</v>
      </c>
      <c r="N140" s="47">
        <v>0</v>
      </c>
      <c r="O140" s="48" t="s">
        <v>695</v>
      </c>
      <c r="P140" s="48" t="s">
        <v>696</v>
      </c>
      <c r="Q140" s="48" t="s">
        <v>697</v>
      </c>
      <c r="R140" s="48" t="s">
        <v>698</v>
      </c>
      <c r="S140" s="48" t="s">
        <v>699</v>
      </c>
      <c r="T140" s="48"/>
    </row>
    <row r="141" spans="1:20" x14ac:dyDescent="0.3">
      <c r="A141" s="43"/>
      <c r="B141" s="43"/>
      <c r="C141" s="46">
        <f t="shared" si="5"/>
        <v>0</v>
      </c>
      <c r="D141" s="45">
        <v>0</v>
      </c>
      <c r="E141" s="45">
        <v>0</v>
      </c>
      <c r="F141" s="45">
        <f t="shared" ref="F141:F200" si="6">E141-G141-H141</f>
        <v>0</v>
      </c>
      <c r="G141" s="45">
        <v>0</v>
      </c>
      <c r="H141" s="45"/>
      <c r="I141" s="45">
        <v>0</v>
      </c>
      <c r="J141" s="45">
        <v>0</v>
      </c>
      <c r="K141" s="45">
        <v>0</v>
      </c>
      <c r="L141" s="46">
        <f t="shared" ref="L141:L200" si="7">C141+J141+K141-H141-F141+D141</f>
        <v>0</v>
      </c>
      <c r="M141" s="47">
        <v>0</v>
      </c>
      <c r="N141" s="47">
        <v>0</v>
      </c>
      <c r="O141" s="48" t="s">
        <v>700</v>
      </c>
      <c r="P141" s="48" t="s">
        <v>701</v>
      </c>
      <c r="Q141" s="48" t="s">
        <v>702</v>
      </c>
      <c r="R141" s="48" t="s">
        <v>703</v>
      </c>
      <c r="S141" s="48" t="s">
        <v>704</v>
      </c>
      <c r="T141" s="48"/>
    </row>
    <row r="142" spans="1:20" x14ac:dyDescent="0.3">
      <c r="A142" s="43"/>
      <c r="B142" s="43"/>
      <c r="C142" s="46">
        <f t="shared" ref="C142:C200" si="8">L141</f>
        <v>0</v>
      </c>
      <c r="D142" s="45">
        <v>0</v>
      </c>
      <c r="E142" s="45">
        <v>0</v>
      </c>
      <c r="F142" s="45">
        <f t="shared" si="6"/>
        <v>0</v>
      </c>
      <c r="G142" s="45">
        <v>0</v>
      </c>
      <c r="H142" s="45"/>
      <c r="I142" s="45">
        <v>0</v>
      </c>
      <c r="J142" s="45">
        <v>0</v>
      </c>
      <c r="K142" s="45">
        <v>0</v>
      </c>
      <c r="L142" s="46">
        <f t="shared" si="7"/>
        <v>0</v>
      </c>
      <c r="M142" s="47">
        <v>0</v>
      </c>
      <c r="N142" s="47">
        <v>0</v>
      </c>
      <c r="O142" s="48" t="s">
        <v>705</v>
      </c>
      <c r="P142" s="48" t="s">
        <v>706</v>
      </c>
      <c r="Q142" s="48" t="s">
        <v>707</v>
      </c>
      <c r="R142" s="48" t="s">
        <v>708</v>
      </c>
      <c r="S142" s="48" t="s">
        <v>709</v>
      </c>
      <c r="T142" s="48"/>
    </row>
    <row r="143" spans="1:20" x14ac:dyDescent="0.3">
      <c r="A143" s="43"/>
      <c r="B143" s="43"/>
      <c r="C143" s="46">
        <f t="shared" si="8"/>
        <v>0</v>
      </c>
      <c r="D143" s="45">
        <v>0</v>
      </c>
      <c r="E143" s="45">
        <v>0</v>
      </c>
      <c r="F143" s="45">
        <f t="shared" si="6"/>
        <v>0</v>
      </c>
      <c r="G143" s="45">
        <v>0</v>
      </c>
      <c r="H143" s="45"/>
      <c r="I143" s="45">
        <v>0</v>
      </c>
      <c r="J143" s="45">
        <v>0</v>
      </c>
      <c r="K143" s="45">
        <v>0</v>
      </c>
      <c r="L143" s="46">
        <f t="shared" si="7"/>
        <v>0</v>
      </c>
      <c r="M143" s="47">
        <v>0</v>
      </c>
      <c r="N143" s="47">
        <v>0</v>
      </c>
      <c r="O143" s="48" t="s">
        <v>710</v>
      </c>
      <c r="P143" s="48" t="s">
        <v>711</v>
      </c>
      <c r="Q143" s="48" t="s">
        <v>712</v>
      </c>
      <c r="R143" s="48" t="s">
        <v>713</v>
      </c>
      <c r="S143" s="48" t="s">
        <v>714</v>
      </c>
      <c r="T143" s="48"/>
    </row>
    <row r="144" spans="1:20" x14ac:dyDescent="0.3">
      <c r="A144" s="43"/>
      <c r="B144" s="43"/>
      <c r="C144" s="46">
        <f t="shared" si="8"/>
        <v>0</v>
      </c>
      <c r="D144" s="45">
        <v>0</v>
      </c>
      <c r="E144" s="45">
        <v>0</v>
      </c>
      <c r="F144" s="45">
        <f t="shared" si="6"/>
        <v>0</v>
      </c>
      <c r="G144" s="45">
        <v>0</v>
      </c>
      <c r="H144" s="45"/>
      <c r="I144" s="45">
        <v>0</v>
      </c>
      <c r="J144" s="45">
        <v>0</v>
      </c>
      <c r="K144" s="45">
        <v>0</v>
      </c>
      <c r="L144" s="46">
        <f t="shared" si="7"/>
        <v>0</v>
      </c>
      <c r="M144" s="47">
        <v>0</v>
      </c>
      <c r="N144" s="47">
        <v>0</v>
      </c>
      <c r="O144" s="48" t="s">
        <v>715</v>
      </c>
      <c r="P144" s="48" t="s">
        <v>716</v>
      </c>
      <c r="Q144" s="48" t="s">
        <v>717</v>
      </c>
      <c r="R144" s="48" t="s">
        <v>718</v>
      </c>
      <c r="S144" s="48" t="s">
        <v>719</v>
      </c>
      <c r="T144" s="48"/>
    </row>
    <row r="145" spans="1:20" x14ac:dyDescent="0.3">
      <c r="A145" s="43"/>
      <c r="B145" s="43"/>
      <c r="C145" s="46">
        <f t="shared" si="8"/>
        <v>0</v>
      </c>
      <c r="D145" s="45">
        <v>0</v>
      </c>
      <c r="E145" s="45">
        <v>0</v>
      </c>
      <c r="F145" s="45">
        <f t="shared" si="6"/>
        <v>0</v>
      </c>
      <c r="G145" s="45">
        <v>0</v>
      </c>
      <c r="H145" s="45"/>
      <c r="I145" s="45">
        <v>0</v>
      </c>
      <c r="J145" s="45">
        <v>0</v>
      </c>
      <c r="K145" s="45">
        <v>0</v>
      </c>
      <c r="L145" s="46">
        <f t="shared" si="7"/>
        <v>0</v>
      </c>
      <c r="M145" s="47">
        <v>0</v>
      </c>
      <c r="N145" s="47">
        <v>0</v>
      </c>
      <c r="O145" s="48" t="s">
        <v>720</v>
      </c>
      <c r="P145" s="48" t="s">
        <v>721</v>
      </c>
      <c r="Q145" s="48" t="s">
        <v>722</v>
      </c>
      <c r="R145" s="48" t="s">
        <v>723</v>
      </c>
      <c r="S145" s="48" t="s">
        <v>724</v>
      </c>
      <c r="T145" s="48"/>
    </row>
    <row r="146" spans="1:20" x14ac:dyDescent="0.3">
      <c r="A146" s="43"/>
      <c r="B146" s="43"/>
      <c r="C146" s="46">
        <f t="shared" si="8"/>
        <v>0</v>
      </c>
      <c r="D146" s="45">
        <v>0</v>
      </c>
      <c r="E146" s="45">
        <v>0</v>
      </c>
      <c r="F146" s="45">
        <f t="shared" si="6"/>
        <v>0</v>
      </c>
      <c r="G146" s="45">
        <v>0</v>
      </c>
      <c r="H146" s="45"/>
      <c r="I146" s="45">
        <v>0</v>
      </c>
      <c r="J146" s="45">
        <v>0</v>
      </c>
      <c r="K146" s="45">
        <v>0</v>
      </c>
      <c r="L146" s="46">
        <f t="shared" si="7"/>
        <v>0</v>
      </c>
      <c r="M146" s="47">
        <v>0</v>
      </c>
      <c r="N146" s="47">
        <v>0</v>
      </c>
      <c r="O146" s="48" t="s">
        <v>725</v>
      </c>
      <c r="P146" s="48" t="s">
        <v>726</v>
      </c>
      <c r="Q146" s="48" t="s">
        <v>727</v>
      </c>
      <c r="R146" s="48" t="s">
        <v>728</v>
      </c>
      <c r="S146" s="48" t="s">
        <v>729</v>
      </c>
      <c r="T146" s="48"/>
    </row>
    <row r="147" spans="1:20" x14ac:dyDescent="0.3">
      <c r="A147" s="43"/>
      <c r="B147" s="43"/>
      <c r="C147" s="46">
        <f t="shared" si="8"/>
        <v>0</v>
      </c>
      <c r="D147" s="45">
        <v>0</v>
      </c>
      <c r="E147" s="45">
        <v>0</v>
      </c>
      <c r="F147" s="45">
        <f t="shared" si="6"/>
        <v>0</v>
      </c>
      <c r="G147" s="45">
        <v>0</v>
      </c>
      <c r="H147" s="45"/>
      <c r="I147" s="45">
        <v>0</v>
      </c>
      <c r="J147" s="45">
        <v>0</v>
      </c>
      <c r="K147" s="45">
        <v>0</v>
      </c>
      <c r="L147" s="46">
        <f t="shared" si="7"/>
        <v>0</v>
      </c>
      <c r="M147" s="47">
        <v>0</v>
      </c>
      <c r="N147" s="47">
        <v>0</v>
      </c>
      <c r="O147" s="48" t="s">
        <v>730</v>
      </c>
      <c r="P147" s="48" t="s">
        <v>731</v>
      </c>
      <c r="Q147" s="48" t="s">
        <v>732</v>
      </c>
      <c r="R147" s="48" t="s">
        <v>733</v>
      </c>
      <c r="S147" s="48" t="s">
        <v>734</v>
      </c>
      <c r="T147" s="48"/>
    </row>
    <row r="148" spans="1:20" x14ac:dyDescent="0.3">
      <c r="A148" s="43"/>
      <c r="B148" s="43"/>
      <c r="C148" s="46">
        <f t="shared" si="8"/>
        <v>0</v>
      </c>
      <c r="D148" s="45">
        <v>0</v>
      </c>
      <c r="E148" s="45">
        <v>0</v>
      </c>
      <c r="F148" s="45">
        <f t="shared" si="6"/>
        <v>0</v>
      </c>
      <c r="G148" s="45">
        <v>0</v>
      </c>
      <c r="H148" s="45"/>
      <c r="I148" s="45">
        <v>0</v>
      </c>
      <c r="J148" s="45">
        <v>0</v>
      </c>
      <c r="K148" s="45">
        <v>0</v>
      </c>
      <c r="L148" s="46">
        <f t="shared" si="7"/>
        <v>0</v>
      </c>
      <c r="M148" s="47">
        <v>0</v>
      </c>
      <c r="N148" s="47">
        <v>0</v>
      </c>
      <c r="O148" s="48" t="s">
        <v>735</v>
      </c>
      <c r="P148" s="48" t="s">
        <v>736</v>
      </c>
      <c r="Q148" s="48" t="s">
        <v>737</v>
      </c>
      <c r="R148" s="48" t="s">
        <v>738</v>
      </c>
      <c r="S148" s="48" t="s">
        <v>739</v>
      </c>
      <c r="T148" s="48"/>
    </row>
    <row r="149" spans="1:20" x14ac:dyDescent="0.3">
      <c r="A149" s="43"/>
      <c r="B149" s="43"/>
      <c r="C149" s="46">
        <f t="shared" si="8"/>
        <v>0</v>
      </c>
      <c r="D149" s="45">
        <v>0</v>
      </c>
      <c r="E149" s="45">
        <v>0</v>
      </c>
      <c r="F149" s="45">
        <f t="shared" si="6"/>
        <v>0</v>
      </c>
      <c r="G149" s="45">
        <v>0</v>
      </c>
      <c r="H149" s="45"/>
      <c r="I149" s="45">
        <v>0</v>
      </c>
      <c r="J149" s="45">
        <v>0</v>
      </c>
      <c r="K149" s="45">
        <v>0</v>
      </c>
      <c r="L149" s="46">
        <f t="shared" si="7"/>
        <v>0</v>
      </c>
      <c r="M149" s="47">
        <v>0</v>
      </c>
      <c r="N149" s="47">
        <v>0</v>
      </c>
      <c r="O149" s="48" t="s">
        <v>740</v>
      </c>
      <c r="P149" s="48" t="s">
        <v>741</v>
      </c>
      <c r="Q149" s="48" t="s">
        <v>742</v>
      </c>
      <c r="R149" s="48" t="s">
        <v>743</v>
      </c>
      <c r="S149" s="48" t="s">
        <v>744</v>
      </c>
      <c r="T149" s="48"/>
    </row>
    <row r="150" spans="1:20" x14ac:dyDescent="0.3">
      <c r="A150" s="43"/>
      <c r="B150" s="43"/>
      <c r="C150" s="46">
        <f t="shared" si="8"/>
        <v>0</v>
      </c>
      <c r="D150" s="45">
        <v>0</v>
      </c>
      <c r="E150" s="45">
        <v>0</v>
      </c>
      <c r="F150" s="45">
        <f t="shared" si="6"/>
        <v>0</v>
      </c>
      <c r="G150" s="45">
        <v>0</v>
      </c>
      <c r="H150" s="45"/>
      <c r="I150" s="45">
        <v>0</v>
      </c>
      <c r="J150" s="45">
        <v>0</v>
      </c>
      <c r="K150" s="45">
        <v>0</v>
      </c>
      <c r="L150" s="46">
        <f t="shared" si="7"/>
        <v>0</v>
      </c>
      <c r="M150" s="47">
        <v>0</v>
      </c>
      <c r="N150" s="47">
        <v>0</v>
      </c>
      <c r="O150" s="48" t="s">
        <v>745</v>
      </c>
      <c r="P150" s="48" t="s">
        <v>746</v>
      </c>
      <c r="Q150" s="48" t="s">
        <v>747</v>
      </c>
      <c r="R150" s="48" t="s">
        <v>748</v>
      </c>
      <c r="S150" s="48" t="s">
        <v>749</v>
      </c>
      <c r="T150" s="48"/>
    </row>
    <row r="151" spans="1:20" x14ac:dyDescent="0.3">
      <c r="A151" s="43"/>
      <c r="B151" s="43"/>
      <c r="C151" s="46">
        <f t="shared" si="8"/>
        <v>0</v>
      </c>
      <c r="D151" s="45">
        <v>0</v>
      </c>
      <c r="E151" s="45">
        <v>0</v>
      </c>
      <c r="F151" s="45">
        <f t="shared" si="6"/>
        <v>0</v>
      </c>
      <c r="G151" s="45">
        <v>0</v>
      </c>
      <c r="H151" s="45"/>
      <c r="I151" s="45">
        <v>0</v>
      </c>
      <c r="J151" s="45">
        <v>0</v>
      </c>
      <c r="K151" s="45">
        <v>0</v>
      </c>
      <c r="L151" s="46">
        <f t="shared" si="7"/>
        <v>0</v>
      </c>
      <c r="M151" s="47">
        <v>0</v>
      </c>
      <c r="N151" s="47">
        <v>0</v>
      </c>
      <c r="O151" s="48" t="s">
        <v>766</v>
      </c>
      <c r="P151" s="48" t="s">
        <v>767</v>
      </c>
      <c r="Q151" s="48" t="s">
        <v>768</v>
      </c>
      <c r="R151" s="48" t="s">
        <v>769</v>
      </c>
      <c r="S151" s="48" t="s">
        <v>770</v>
      </c>
      <c r="T151" s="48"/>
    </row>
    <row r="152" spans="1:20" x14ac:dyDescent="0.3">
      <c r="A152" s="43"/>
      <c r="B152" s="43"/>
      <c r="C152" s="46">
        <f t="shared" si="8"/>
        <v>0</v>
      </c>
      <c r="D152" s="45">
        <v>0</v>
      </c>
      <c r="E152" s="45">
        <v>0</v>
      </c>
      <c r="F152" s="45">
        <f t="shared" si="6"/>
        <v>0</v>
      </c>
      <c r="G152" s="45">
        <v>0</v>
      </c>
      <c r="H152" s="45"/>
      <c r="I152" s="45">
        <v>0</v>
      </c>
      <c r="J152" s="45">
        <v>0</v>
      </c>
      <c r="K152" s="45">
        <v>0</v>
      </c>
      <c r="L152" s="46">
        <f t="shared" si="7"/>
        <v>0</v>
      </c>
      <c r="M152" s="47">
        <v>0</v>
      </c>
      <c r="N152" s="47">
        <v>0</v>
      </c>
      <c r="O152" s="48" t="s">
        <v>771</v>
      </c>
      <c r="P152" s="48" t="s">
        <v>772</v>
      </c>
      <c r="Q152" s="48" t="s">
        <v>773</v>
      </c>
      <c r="R152" s="48" t="s">
        <v>774</v>
      </c>
      <c r="S152" s="48" t="s">
        <v>775</v>
      </c>
      <c r="T152" s="48"/>
    </row>
    <row r="153" spans="1:20" x14ac:dyDescent="0.3">
      <c r="A153" s="43"/>
      <c r="B153" s="43"/>
      <c r="C153" s="46">
        <f t="shared" si="8"/>
        <v>0</v>
      </c>
      <c r="D153" s="45">
        <v>0</v>
      </c>
      <c r="E153" s="45">
        <v>0</v>
      </c>
      <c r="F153" s="45">
        <f t="shared" si="6"/>
        <v>0</v>
      </c>
      <c r="G153" s="45">
        <v>0</v>
      </c>
      <c r="H153" s="45"/>
      <c r="I153" s="45">
        <v>0</v>
      </c>
      <c r="J153" s="45">
        <v>0</v>
      </c>
      <c r="K153" s="45">
        <v>0</v>
      </c>
      <c r="L153" s="46">
        <f t="shared" si="7"/>
        <v>0</v>
      </c>
      <c r="M153" s="47">
        <v>0</v>
      </c>
      <c r="N153" s="47">
        <v>0</v>
      </c>
      <c r="O153" s="48" t="s">
        <v>776</v>
      </c>
      <c r="P153" s="48" t="s">
        <v>777</v>
      </c>
      <c r="Q153" s="48" t="s">
        <v>778</v>
      </c>
      <c r="R153" s="48" t="s">
        <v>779</v>
      </c>
      <c r="S153" s="48" t="s">
        <v>780</v>
      </c>
      <c r="T153" s="48"/>
    </row>
    <row r="154" spans="1:20" x14ac:dyDescent="0.3">
      <c r="A154" s="43"/>
      <c r="B154" s="43"/>
      <c r="C154" s="46">
        <f t="shared" si="8"/>
        <v>0</v>
      </c>
      <c r="D154" s="45">
        <v>0</v>
      </c>
      <c r="E154" s="45">
        <v>0</v>
      </c>
      <c r="F154" s="45">
        <f t="shared" si="6"/>
        <v>0</v>
      </c>
      <c r="G154" s="45">
        <v>0</v>
      </c>
      <c r="H154" s="45"/>
      <c r="I154" s="45">
        <v>0</v>
      </c>
      <c r="J154" s="45">
        <v>0</v>
      </c>
      <c r="K154" s="45">
        <v>0</v>
      </c>
      <c r="L154" s="46">
        <f t="shared" si="7"/>
        <v>0</v>
      </c>
      <c r="M154" s="47">
        <v>0</v>
      </c>
      <c r="N154" s="47">
        <v>0</v>
      </c>
      <c r="O154" s="48" t="s">
        <v>781</v>
      </c>
      <c r="P154" s="48" t="s">
        <v>782</v>
      </c>
      <c r="Q154" s="48" t="s">
        <v>783</v>
      </c>
      <c r="R154" s="48" t="s">
        <v>784</v>
      </c>
      <c r="S154" s="48" t="s">
        <v>785</v>
      </c>
      <c r="T154" s="48"/>
    </row>
    <row r="155" spans="1:20" x14ac:dyDescent="0.3">
      <c r="A155" s="43"/>
      <c r="B155" s="43"/>
      <c r="C155" s="46">
        <f t="shared" si="8"/>
        <v>0</v>
      </c>
      <c r="D155" s="45">
        <v>0</v>
      </c>
      <c r="E155" s="45">
        <v>0</v>
      </c>
      <c r="F155" s="45">
        <f t="shared" si="6"/>
        <v>0</v>
      </c>
      <c r="G155" s="45">
        <v>0</v>
      </c>
      <c r="H155" s="45"/>
      <c r="I155" s="45">
        <v>0</v>
      </c>
      <c r="J155" s="45">
        <v>0</v>
      </c>
      <c r="K155" s="45">
        <v>0</v>
      </c>
      <c r="L155" s="46">
        <f t="shared" si="7"/>
        <v>0</v>
      </c>
      <c r="M155" s="47">
        <v>0</v>
      </c>
      <c r="N155" s="47">
        <v>0</v>
      </c>
      <c r="O155" s="48" t="s">
        <v>786</v>
      </c>
      <c r="P155" s="48" t="s">
        <v>787</v>
      </c>
      <c r="Q155" s="48" t="s">
        <v>788</v>
      </c>
      <c r="R155" s="48" t="s">
        <v>789</v>
      </c>
      <c r="S155" s="48" t="s">
        <v>790</v>
      </c>
      <c r="T155" s="48"/>
    </row>
    <row r="156" spans="1:20" x14ac:dyDescent="0.3">
      <c r="A156" s="43"/>
      <c r="B156" s="43"/>
      <c r="C156" s="46">
        <f t="shared" si="8"/>
        <v>0</v>
      </c>
      <c r="D156" s="45">
        <v>0</v>
      </c>
      <c r="E156" s="45">
        <v>0</v>
      </c>
      <c r="F156" s="45">
        <f t="shared" si="6"/>
        <v>0</v>
      </c>
      <c r="G156" s="45">
        <v>0</v>
      </c>
      <c r="H156" s="45"/>
      <c r="I156" s="45">
        <v>0</v>
      </c>
      <c r="J156" s="45">
        <v>0</v>
      </c>
      <c r="K156" s="45">
        <v>0</v>
      </c>
      <c r="L156" s="46">
        <f t="shared" si="7"/>
        <v>0</v>
      </c>
      <c r="M156" s="47">
        <v>0</v>
      </c>
      <c r="N156" s="47">
        <v>0</v>
      </c>
      <c r="O156" s="48" t="s">
        <v>791</v>
      </c>
      <c r="P156" s="48" t="s">
        <v>792</v>
      </c>
      <c r="Q156" s="48" t="s">
        <v>793</v>
      </c>
      <c r="R156" s="48" t="s">
        <v>794</v>
      </c>
      <c r="S156" s="48" t="s">
        <v>795</v>
      </c>
      <c r="T156" s="48"/>
    </row>
    <row r="157" spans="1:20" x14ac:dyDescent="0.3">
      <c r="A157" s="43"/>
      <c r="B157" s="43"/>
      <c r="C157" s="46">
        <f t="shared" si="8"/>
        <v>0</v>
      </c>
      <c r="D157" s="45">
        <v>0</v>
      </c>
      <c r="E157" s="45">
        <v>0</v>
      </c>
      <c r="F157" s="45">
        <f t="shared" si="6"/>
        <v>0</v>
      </c>
      <c r="G157" s="45">
        <v>0</v>
      </c>
      <c r="H157" s="45"/>
      <c r="I157" s="45">
        <v>0</v>
      </c>
      <c r="J157" s="45">
        <v>0</v>
      </c>
      <c r="K157" s="45">
        <v>0</v>
      </c>
      <c r="L157" s="46">
        <f t="shared" si="7"/>
        <v>0</v>
      </c>
      <c r="M157" s="47">
        <v>0</v>
      </c>
      <c r="N157" s="47">
        <v>0</v>
      </c>
      <c r="O157" s="48" t="s">
        <v>796</v>
      </c>
      <c r="P157" s="48" t="s">
        <v>797</v>
      </c>
      <c r="Q157" s="48" t="s">
        <v>798</v>
      </c>
      <c r="R157" s="48" t="s">
        <v>799</v>
      </c>
      <c r="S157" s="48" t="s">
        <v>800</v>
      </c>
      <c r="T157" s="48"/>
    </row>
    <row r="158" spans="1:20" x14ac:dyDescent="0.3">
      <c r="A158" s="43"/>
      <c r="B158" s="43"/>
      <c r="C158" s="46">
        <f t="shared" si="8"/>
        <v>0</v>
      </c>
      <c r="D158" s="45">
        <v>0</v>
      </c>
      <c r="E158" s="45">
        <v>0</v>
      </c>
      <c r="F158" s="45">
        <f t="shared" si="6"/>
        <v>0</v>
      </c>
      <c r="G158" s="45">
        <v>0</v>
      </c>
      <c r="H158" s="45"/>
      <c r="I158" s="45">
        <v>0</v>
      </c>
      <c r="J158" s="45">
        <v>0</v>
      </c>
      <c r="K158" s="45">
        <v>0</v>
      </c>
      <c r="L158" s="46">
        <f t="shared" si="7"/>
        <v>0</v>
      </c>
      <c r="M158" s="47">
        <v>0</v>
      </c>
      <c r="N158" s="47">
        <v>0</v>
      </c>
      <c r="O158" s="48" t="s">
        <v>801</v>
      </c>
      <c r="P158" s="48" t="s">
        <v>802</v>
      </c>
      <c r="Q158" s="48" t="s">
        <v>803</v>
      </c>
      <c r="R158" s="48" t="s">
        <v>804</v>
      </c>
      <c r="S158" s="48" t="s">
        <v>805</v>
      </c>
      <c r="T158" s="48"/>
    </row>
    <row r="159" spans="1:20" x14ac:dyDescent="0.3">
      <c r="A159" s="43"/>
      <c r="B159" s="43"/>
      <c r="C159" s="46">
        <f t="shared" si="8"/>
        <v>0</v>
      </c>
      <c r="D159" s="45">
        <v>0</v>
      </c>
      <c r="E159" s="45">
        <v>0</v>
      </c>
      <c r="F159" s="45">
        <f t="shared" si="6"/>
        <v>0</v>
      </c>
      <c r="G159" s="45">
        <v>0</v>
      </c>
      <c r="H159" s="45"/>
      <c r="I159" s="45">
        <v>0</v>
      </c>
      <c r="J159" s="45">
        <v>0</v>
      </c>
      <c r="K159" s="45">
        <v>0</v>
      </c>
      <c r="L159" s="46">
        <f t="shared" si="7"/>
        <v>0</v>
      </c>
      <c r="M159" s="47">
        <v>0</v>
      </c>
      <c r="N159" s="47">
        <v>0</v>
      </c>
      <c r="O159" s="48" t="s">
        <v>806</v>
      </c>
      <c r="P159" s="48" t="s">
        <v>807</v>
      </c>
      <c r="Q159" s="48" t="s">
        <v>808</v>
      </c>
      <c r="R159" s="48" t="s">
        <v>809</v>
      </c>
      <c r="S159" s="48" t="s">
        <v>810</v>
      </c>
      <c r="T159" s="48"/>
    </row>
    <row r="160" spans="1:20" x14ac:dyDescent="0.3">
      <c r="A160" s="43"/>
      <c r="B160" s="43"/>
      <c r="C160" s="46">
        <f t="shared" si="8"/>
        <v>0</v>
      </c>
      <c r="D160" s="45">
        <v>0</v>
      </c>
      <c r="E160" s="45">
        <v>0</v>
      </c>
      <c r="F160" s="45">
        <f t="shared" si="6"/>
        <v>0</v>
      </c>
      <c r="G160" s="45">
        <v>0</v>
      </c>
      <c r="H160" s="45"/>
      <c r="I160" s="45">
        <v>0</v>
      </c>
      <c r="J160" s="45">
        <v>0</v>
      </c>
      <c r="K160" s="45">
        <v>0</v>
      </c>
      <c r="L160" s="46">
        <f t="shared" si="7"/>
        <v>0</v>
      </c>
      <c r="M160" s="47">
        <v>0</v>
      </c>
      <c r="N160" s="47">
        <v>0</v>
      </c>
      <c r="O160" s="48" t="s">
        <v>811</v>
      </c>
      <c r="P160" s="48" t="s">
        <v>812</v>
      </c>
      <c r="Q160" s="48" t="s">
        <v>813</v>
      </c>
      <c r="R160" s="48" t="s">
        <v>814</v>
      </c>
      <c r="S160" s="48" t="s">
        <v>815</v>
      </c>
      <c r="T160" s="48"/>
    </row>
    <row r="161" spans="1:20" x14ac:dyDescent="0.3">
      <c r="A161" s="43"/>
      <c r="B161" s="43"/>
      <c r="C161" s="46">
        <f t="shared" si="8"/>
        <v>0</v>
      </c>
      <c r="D161" s="45">
        <v>0</v>
      </c>
      <c r="E161" s="45">
        <v>0</v>
      </c>
      <c r="F161" s="45">
        <f t="shared" si="6"/>
        <v>0</v>
      </c>
      <c r="G161" s="45">
        <v>0</v>
      </c>
      <c r="H161" s="45"/>
      <c r="I161" s="45">
        <v>0</v>
      </c>
      <c r="J161" s="45">
        <v>0</v>
      </c>
      <c r="K161" s="45">
        <v>0</v>
      </c>
      <c r="L161" s="46">
        <f t="shared" si="7"/>
        <v>0</v>
      </c>
      <c r="M161" s="47">
        <v>0</v>
      </c>
      <c r="N161" s="47">
        <v>0</v>
      </c>
      <c r="O161" s="48" t="s">
        <v>816</v>
      </c>
      <c r="P161" s="48" t="s">
        <v>817</v>
      </c>
      <c r="Q161" s="48" t="s">
        <v>818</v>
      </c>
      <c r="R161" s="48" t="s">
        <v>819</v>
      </c>
      <c r="S161" s="48" t="s">
        <v>820</v>
      </c>
      <c r="T161" s="48"/>
    </row>
    <row r="162" spans="1:20" x14ac:dyDescent="0.3">
      <c r="A162" s="43"/>
      <c r="B162" s="43"/>
      <c r="C162" s="46">
        <f t="shared" si="8"/>
        <v>0</v>
      </c>
      <c r="D162" s="45">
        <v>0</v>
      </c>
      <c r="E162" s="45">
        <v>0</v>
      </c>
      <c r="F162" s="45">
        <f t="shared" si="6"/>
        <v>0</v>
      </c>
      <c r="G162" s="45">
        <v>0</v>
      </c>
      <c r="H162" s="45"/>
      <c r="I162" s="45">
        <v>0</v>
      </c>
      <c r="J162" s="45">
        <v>0</v>
      </c>
      <c r="K162" s="45">
        <v>0</v>
      </c>
      <c r="L162" s="46">
        <f t="shared" si="7"/>
        <v>0</v>
      </c>
      <c r="M162" s="47">
        <v>0</v>
      </c>
      <c r="N162" s="47">
        <v>0</v>
      </c>
      <c r="O162" s="48" t="s">
        <v>821</v>
      </c>
      <c r="P162" s="48" t="s">
        <v>822</v>
      </c>
      <c r="Q162" s="48" t="s">
        <v>823</v>
      </c>
      <c r="R162" s="48" t="s">
        <v>824</v>
      </c>
      <c r="S162" s="48" t="s">
        <v>825</v>
      </c>
      <c r="T162" s="48"/>
    </row>
    <row r="163" spans="1:20" x14ac:dyDescent="0.3">
      <c r="A163" s="43"/>
      <c r="B163" s="43"/>
      <c r="C163" s="46">
        <f t="shared" si="8"/>
        <v>0</v>
      </c>
      <c r="D163" s="45">
        <v>0</v>
      </c>
      <c r="E163" s="45">
        <v>0</v>
      </c>
      <c r="F163" s="45">
        <f t="shared" si="6"/>
        <v>0</v>
      </c>
      <c r="G163" s="45">
        <v>0</v>
      </c>
      <c r="H163" s="45"/>
      <c r="I163" s="45">
        <v>0</v>
      </c>
      <c r="J163" s="45">
        <v>0</v>
      </c>
      <c r="K163" s="45">
        <v>0</v>
      </c>
      <c r="L163" s="46">
        <f t="shared" si="7"/>
        <v>0</v>
      </c>
      <c r="M163" s="47">
        <v>0</v>
      </c>
      <c r="N163" s="47">
        <v>0</v>
      </c>
      <c r="O163" s="48" t="s">
        <v>826</v>
      </c>
      <c r="P163" s="48" t="s">
        <v>827</v>
      </c>
      <c r="Q163" s="48" t="s">
        <v>828</v>
      </c>
      <c r="R163" s="48" t="s">
        <v>829</v>
      </c>
      <c r="S163" s="48" t="s">
        <v>830</v>
      </c>
      <c r="T163" s="48"/>
    </row>
    <row r="164" spans="1:20" x14ac:dyDescent="0.3">
      <c r="A164" s="43"/>
      <c r="B164" s="43"/>
      <c r="C164" s="46">
        <f t="shared" si="8"/>
        <v>0</v>
      </c>
      <c r="D164" s="45">
        <v>0</v>
      </c>
      <c r="E164" s="45">
        <v>0</v>
      </c>
      <c r="F164" s="45">
        <f t="shared" si="6"/>
        <v>0</v>
      </c>
      <c r="G164" s="45">
        <v>0</v>
      </c>
      <c r="H164" s="45"/>
      <c r="I164" s="45">
        <v>0</v>
      </c>
      <c r="J164" s="45">
        <v>0</v>
      </c>
      <c r="K164" s="45">
        <v>0</v>
      </c>
      <c r="L164" s="46">
        <f t="shared" si="7"/>
        <v>0</v>
      </c>
      <c r="M164" s="47">
        <v>0</v>
      </c>
      <c r="N164" s="47">
        <v>0</v>
      </c>
      <c r="O164" s="48" t="s">
        <v>831</v>
      </c>
      <c r="P164" s="48" t="s">
        <v>832</v>
      </c>
      <c r="Q164" s="48" t="s">
        <v>833</v>
      </c>
      <c r="R164" s="48" t="s">
        <v>834</v>
      </c>
      <c r="S164" s="48" t="s">
        <v>835</v>
      </c>
      <c r="T164" s="48"/>
    </row>
    <row r="165" spans="1:20" x14ac:dyDescent="0.3">
      <c r="A165" s="43"/>
      <c r="B165" s="43"/>
      <c r="C165" s="46">
        <f t="shared" si="8"/>
        <v>0</v>
      </c>
      <c r="D165" s="45">
        <v>0</v>
      </c>
      <c r="E165" s="45">
        <v>0</v>
      </c>
      <c r="F165" s="45">
        <f t="shared" si="6"/>
        <v>0</v>
      </c>
      <c r="G165" s="45">
        <v>0</v>
      </c>
      <c r="H165" s="45"/>
      <c r="I165" s="45">
        <v>0</v>
      </c>
      <c r="J165" s="45">
        <v>0</v>
      </c>
      <c r="K165" s="45">
        <v>0</v>
      </c>
      <c r="L165" s="46">
        <f t="shared" si="7"/>
        <v>0</v>
      </c>
      <c r="M165" s="47">
        <v>0</v>
      </c>
      <c r="N165" s="47">
        <v>0</v>
      </c>
      <c r="O165" s="48" t="s">
        <v>836</v>
      </c>
      <c r="P165" s="48" t="s">
        <v>837</v>
      </c>
      <c r="Q165" s="48" t="s">
        <v>838</v>
      </c>
      <c r="R165" s="48" t="s">
        <v>839</v>
      </c>
      <c r="S165" s="48" t="s">
        <v>840</v>
      </c>
      <c r="T165" s="48"/>
    </row>
    <row r="166" spans="1:20" x14ac:dyDescent="0.3">
      <c r="A166" s="43"/>
      <c r="B166" s="43"/>
      <c r="C166" s="46">
        <f t="shared" si="8"/>
        <v>0</v>
      </c>
      <c r="D166" s="45">
        <v>0</v>
      </c>
      <c r="E166" s="45">
        <v>0</v>
      </c>
      <c r="F166" s="45">
        <f t="shared" si="6"/>
        <v>0</v>
      </c>
      <c r="G166" s="45">
        <v>0</v>
      </c>
      <c r="H166" s="45"/>
      <c r="I166" s="45">
        <v>0</v>
      </c>
      <c r="J166" s="45">
        <v>0</v>
      </c>
      <c r="K166" s="45">
        <v>0</v>
      </c>
      <c r="L166" s="46">
        <f t="shared" si="7"/>
        <v>0</v>
      </c>
      <c r="M166" s="47">
        <v>0</v>
      </c>
      <c r="N166" s="47">
        <v>0</v>
      </c>
      <c r="O166" s="48" t="s">
        <v>841</v>
      </c>
      <c r="P166" s="48" t="s">
        <v>842</v>
      </c>
      <c r="Q166" s="48" t="s">
        <v>843</v>
      </c>
      <c r="R166" s="48" t="s">
        <v>844</v>
      </c>
      <c r="S166" s="48" t="s">
        <v>845</v>
      </c>
      <c r="T166" s="48"/>
    </row>
    <row r="167" spans="1:20" x14ac:dyDescent="0.3">
      <c r="A167" s="43"/>
      <c r="B167" s="43"/>
      <c r="C167" s="46">
        <f t="shared" si="8"/>
        <v>0</v>
      </c>
      <c r="D167" s="45">
        <v>0</v>
      </c>
      <c r="E167" s="45">
        <v>0</v>
      </c>
      <c r="F167" s="45">
        <f t="shared" si="6"/>
        <v>0</v>
      </c>
      <c r="G167" s="45">
        <v>0</v>
      </c>
      <c r="H167" s="45"/>
      <c r="I167" s="45">
        <v>0</v>
      </c>
      <c r="J167" s="45">
        <v>0</v>
      </c>
      <c r="K167" s="45">
        <v>0</v>
      </c>
      <c r="L167" s="46">
        <f t="shared" si="7"/>
        <v>0</v>
      </c>
      <c r="M167" s="47">
        <v>0</v>
      </c>
      <c r="N167" s="47">
        <v>0</v>
      </c>
      <c r="O167" s="48" t="s">
        <v>846</v>
      </c>
      <c r="P167" s="48" t="s">
        <v>847</v>
      </c>
      <c r="Q167" s="48" t="s">
        <v>848</v>
      </c>
      <c r="R167" s="48" t="s">
        <v>849</v>
      </c>
      <c r="S167" s="48" t="s">
        <v>850</v>
      </c>
      <c r="T167" s="48"/>
    </row>
    <row r="168" spans="1:20" x14ac:dyDescent="0.3">
      <c r="A168" s="43"/>
      <c r="B168" s="43"/>
      <c r="C168" s="46">
        <f t="shared" si="8"/>
        <v>0</v>
      </c>
      <c r="D168" s="45">
        <v>0</v>
      </c>
      <c r="E168" s="45">
        <v>0</v>
      </c>
      <c r="F168" s="45">
        <f t="shared" si="6"/>
        <v>0</v>
      </c>
      <c r="G168" s="45">
        <v>0</v>
      </c>
      <c r="H168" s="45"/>
      <c r="I168" s="45">
        <v>0</v>
      </c>
      <c r="J168" s="45">
        <v>0</v>
      </c>
      <c r="K168" s="45">
        <v>0</v>
      </c>
      <c r="L168" s="46">
        <f t="shared" si="7"/>
        <v>0</v>
      </c>
      <c r="M168" s="47">
        <v>0</v>
      </c>
      <c r="N168" s="47">
        <v>0</v>
      </c>
      <c r="O168" s="48" t="s">
        <v>851</v>
      </c>
      <c r="P168" s="48" t="s">
        <v>852</v>
      </c>
      <c r="Q168" s="48" t="s">
        <v>853</v>
      </c>
      <c r="R168" s="48" t="s">
        <v>854</v>
      </c>
      <c r="S168" s="48" t="s">
        <v>855</v>
      </c>
      <c r="T168" s="48"/>
    </row>
    <row r="169" spans="1:20" x14ac:dyDescent="0.3">
      <c r="A169" s="43"/>
      <c r="B169" s="43"/>
      <c r="C169" s="46">
        <f t="shared" si="8"/>
        <v>0</v>
      </c>
      <c r="D169" s="45">
        <v>0</v>
      </c>
      <c r="E169" s="45">
        <v>0</v>
      </c>
      <c r="F169" s="45">
        <f t="shared" si="6"/>
        <v>0</v>
      </c>
      <c r="G169" s="45">
        <v>0</v>
      </c>
      <c r="H169" s="45"/>
      <c r="I169" s="45">
        <v>0</v>
      </c>
      <c r="J169" s="45">
        <v>0</v>
      </c>
      <c r="K169" s="45">
        <v>0</v>
      </c>
      <c r="L169" s="46">
        <f t="shared" si="7"/>
        <v>0</v>
      </c>
      <c r="M169" s="47">
        <v>0</v>
      </c>
      <c r="N169" s="47">
        <v>0</v>
      </c>
      <c r="O169" s="48" t="s">
        <v>856</v>
      </c>
      <c r="P169" s="48" t="s">
        <v>857</v>
      </c>
      <c r="Q169" s="48" t="s">
        <v>858</v>
      </c>
      <c r="R169" s="48" t="s">
        <v>859</v>
      </c>
      <c r="S169" s="48" t="s">
        <v>860</v>
      </c>
      <c r="T169" s="48"/>
    </row>
    <row r="170" spans="1:20" x14ac:dyDescent="0.3">
      <c r="A170" s="43"/>
      <c r="B170" s="43"/>
      <c r="C170" s="46">
        <f t="shared" si="8"/>
        <v>0</v>
      </c>
      <c r="D170" s="45">
        <v>0</v>
      </c>
      <c r="E170" s="45">
        <v>0</v>
      </c>
      <c r="F170" s="45">
        <f t="shared" si="6"/>
        <v>0</v>
      </c>
      <c r="G170" s="45">
        <v>0</v>
      </c>
      <c r="H170" s="45"/>
      <c r="I170" s="45">
        <v>0</v>
      </c>
      <c r="J170" s="45">
        <v>0</v>
      </c>
      <c r="K170" s="45">
        <v>0</v>
      </c>
      <c r="L170" s="46">
        <f t="shared" si="7"/>
        <v>0</v>
      </c>
      <c r="M170" s="47">
        <v>0</v>
      </c>
      <c r="N170" s="47">
        <v>0</v>
      </c>
      <c r="O170" s="48" t="s">
        <v>861</v>
      </c>
      <c r="P170" s="48" t="s">
        <v>862</v>
      </c>
      <c r="Q170" s="48" t="s">
        <v>863</v>
      </c>
      <c r="R170" s="48" t="s">
        <v>864</v>
      </c>
      <c r="S170" s="48" t="s">
        <v>865</v>
      </c>
      <c r="T170" s="48"/>
    </row>
    <row r="171" spans="1:20" x14ac:dyDescent="0.3">
      <c r="A171" s="43"/>
      <c r="B171" s="43"/>
      <c r="C171" s="46">
        <f t="shared" si="8"/>
        <v>0</v>
      </c>
      <c r="D171" s="45">
        <v>0</v>
      </c>
      <c r="E171" s="45">
        <v>0</v>
      </c>
      <c r="F171" s="45">
        <f t="shared" si="6"/>
        <v>0</v>
      </c>
      <c r="G171" s="45">
        <v>0</v>
      </c>
      <c r="H171" s="45"/>
      <c r="I171" s="45">
        <v>0</v>
      </c>
      <c r="J171" s="45">
        <v>0</v>
      </c>
      <c r="K171" s="45">
        <v>0</v>
      </c>
      <c r="L171" s="46">
        <f t="shared" si="7"/>
        <v>0</v>
      </c>
      <c r="M171" s="47">
        <v>0</v>
      </c>
      <c r="N171" s="47">
        <v>0</v>
      </c>
      <c r="O171" s="48" t="s">
        <v>866</v>
      </c>
      <c r="P171" s="48" t="s">
        <v>867</v>
      </c>
      <c r="Q171" s="48" t="s">
        <v>868</v>
      </c>
      <c r="R171" s="48" t="s">
        <v>869</v>
      </c>
      <c r="S171" s="48" t="s">
        <v>870</v>
      </c>
      <c r="T171" s="48"/>
    </row>
    <row r="172" spans="1:20" x14ac:dyDescent="0.3">
      <c r="A172" s="43"/>
      <c r="B172" s="43"/>
      <c r="C172" s="46">
        <f t="shared" si="8"/>
        <v>0</v>
      </c>
      <c r="D172" s="45">
        <v>0</v>
      </c>
      <c r="E172" s="45">
        <v>0</v>
      </c>
      <c r="F172" s="45">
        <f t="shared" si="6"/>
        <v>0</v>
      </c>
      <c r="G172" s="45">
        <v>0</v>
      </c>
      <c r="H172" s="45"/>
      <c r="I172" s="45">
        <v>0</v>
      </c>
      <c r="J172" s="45">
        <v>0</v>
      </c>
      <c r="K172" s="45">
        <v>0</v>
      </c>
      <c r="L172" s="46">
        <f t="shared" si="7"/>
        <v>0</v>
      </c>
      <c r="M172" s="47">
        <v>0</v>
      </c>
      <c r="N172" s="47">
        <v>0</v>
      </c>
      <c r="O172" s="48" t="s">
        <v>871</v>
      </c>
      <c r="P172" s="48" t="s">
        <v>872</v>
      </c>
      <c r="Q172" s="48" t="s">
        <v>873</v>
      </c>
      <c r="R172" s="48" t="s">
        <v>874</v>
      </c>
      <c r="S172" s="48" t="s">
        <v>875</v>
      </c>
      <c r="T172" s="48"/>
    </row>
    <row r="173" spans="1:20" x14ac:dyDescent="0.3">
      <c r="A173" s="43"/>
      <c r="B173" s="43"/>
      <c r="C173" s="46">
        <f t="shared" si="8"/>
        <v>0</v>
      </c>
      <c r="D173" s="45">
        <v>0</v>
      </c>
      <c r="E173" s="45">
        <v>0</v>
      </c>
      <c r="F173" s="45">
        <f t="shared" si="6"/>
        <v>0</v>
      </c>
      <c r="G173" s="45">
        <v>0</v>
      </c>
      <c r="H173" s="45"/>
      <c r="I173" s="45">
        <v>0</v>
      </c>
      <c r="J173" s="45">
        <v>0</v>
      </c>
      <c r="K173" s="45">
        <v>0</v>
      </c>
      <c r="L173" s="46">
        <f t="shared" si="7"/>
        <v>0</v>
      </c>
      <c r="M173" s="47">
        <v>0</v>
      </c>
      <c r="N173" s="47">
        <v>0</v>
      </c>
      <c r="O173" s="48" t="s">
        <v>876</v>
      </c>
      <c r="P173" s="48" t="s">
        <v>877</v>
      </c>
      <c r="Q173" s="48" t="s">
        <v>878</v>
      </c>
      <c r="R173" s="48" t="s">
        <v>879</v>
      </c>
      <c r="S173" s="48" t="s">
        <v>880</v>
      </c>
      <c r="T173" s="48"/>
    </row>
    <row r="174" spans="1:20" x14ac:dyDescent="0.3">
      <c r="A174" s="43"/>
      <c r="B174" s="43"/>
      <c r="C174" s="46">
        <f t="shared" si="8"/>
        <v>0</v>
      </c>
      <c r="D174" s="45">
        <v>0</v>
      </c>
      <c r="E174" s="45">
        <v>0</v>
      </c>
      <c r="F174" s="45">
        <f t="shared" si="6"/>
        <v>0</v>
      </c>
      <c r="G174" s="45">
        <v>0</v>
      </c>
      <c r="H174" s="45"/>
      <c r="I174" s="45">
        <v>0</v>
      </c>
      <c r="J174" s="45">
        <v>0</v>
      </c>
      <c r="K174" s="45">
        <v>0</v>
      </c>
      <c r="L174" s="46">
        <f t="shared" si="7"/>
        <v>0</v>
      </c>
      <c r="M174" s="47">
        <v>0</v>
      </c>
      <c r="N174" s="47">
        <v>0</v>
      </c>
      <c r="O174" s="48" t="s">
        <v>881</v>
      </c>
      <c r="P174" s="48" t="s">
        <v>882</v>
      </c>
      <c r="Q174" s="48" t="s">
        <v>883</v>
      </c>
      <c r="R174" s="48" t="s">
        <v>884</v>
      </c>
      <c r="S174" s="48" t="s">
        <v>885</v>
      </c>
      <c r="T174" s="48"/>
    </row>
    <row r="175" spans="1:20" x14ac:dyDescent="0.3">
      <c r="A175" s="43"/>
      <c r="B175" s="43"/>
      <c r="C175" s="46">
        <f t="shared" si="8"/>
        <v>0</v>
      </c>
      <c r="D175" s="45">
        <v>0</v>
      </c>
      <c r="E175" s="45">
        <v>0</v>
      </c>
      <c r="F175" s="45">
        <f t="shared" si="6"/>
        <v>0</v>
      </c>
      <c r="G175" s="45">
        <v>0</v>
      </c>
      <c r="H175" s="45"/>
      <c r="I175" s="45">
        <v>0</v>
      </c>
      <c r="J175" s="45">
        <v>0</v>
      </c>
      <c r="K175" s="45">
        <v>0</v>
      </c>
      <c r="L175" s="46">
        <f t="shared" si="7"/>
        <v>0</v>
      </c>
      <c r="M175" s="47">
        <v>0</v>
      </c>
      <c r="N175" s="47">
        <v>0</v>
      </c>
      <c r="O175" s="48" t="s">
        <v>886</v>
      </c>
      <c r="P175" s="48" t="s">
        <v>887</v>
      </c>
      <c r="Q175" s="48" t="s">
        <v>888</v>
      </c>
      <c r="R175" s="48" t="s">
        <v>889</v>
      </c>
      <c r="S175" s="48" t="s">
        <v>890</v>
      </c>
      <c r="T175" s="48"/>
    </row>
    <row r="176" spans="1:20" x14ac:dyDescent="0.3">
      <c r="A176" s="43"/>
      <c r="B176" s="43"/>
      <c r="C176" s="46">
        <f t="shared" si="8"/>
        <v>0</v>
      </c>
      <c r="D176" s="45">
        <v>0</v>
      </c>
      <c r="E176" s="45">
        <v>0</v>
      </c>
      <c r="F176" s="45">
        <f t="shared" si="6"/>
        <v>0</v>
      </c>
      <c r="G176" s="45">
        <v>0</v>
      </c>
      <c r="H176" s="45"/>
      <c r="I176" s="45">
        <v>0</v>
      </c>
      <c r="J176" s="45">
        <v>0</v>
      </c>
      <c r="K176" s="45">
        <v>0</v>
      </c>
      <c r="L176" s="46">
        <f t="shared" si="7"/>
        <v>0</v>
      </c>
      <c r="M176" s="47">
        <v>0</v>
      </c>
      <c r="N176" s="47">
        <v>0</v>
      </c>
      <c r="O176" s="48" t="s">
        <v>891</v>
      </c>
      <c r="P176" s="48" t="s">
        <v>892</v>
      </c>
      <c r="Q176" s="48" t="s">
        <v>893</v>
      </c>
      <c r="R176" s="48" t="s">
        <v>894</v>
      </c>
      <c r="S176" s="48" t="s">
        <v>895</v>
      </c>
      <c r="T176" s="48"/>
    </row>
    <row r="177" spans="1:20" x14ac:dyDescent="0.3">
      <c r="A177" s="43"/>
      <c r="B177" s="43"/>
      <c r="C177" s="46">
        <f t="shared" si="8"/>
        <v>0</v>
      </c>
      <c r="D177" s="45">
        <v>0</v>
      </c>
      <c r="E177" s="45">
        <v>0</v>
      </c>
      <c r="F177" s="45">
        <f t="shared" si="6"/>
        <v>0</v>
      </c>
      <c r="G177" s="45">
        <v>0</v>
      </c>
      <c r="H177" s="45"/>
      <c r="I177" s="45">
        <v>0</v>
      </c>
      <c r="J177" s="45">
        <v>0</v>
      </c>
      <c r="K177" s="45">
        <v>0</v>
      </c>
      <c r="L177" s="46">
        <f t="shared" si="7"/>
        <v>0</v>
      </c>
      <c r="M177" s="47">
        <v>0</v>
      </c>
      <c r="N177" s="47">
        <v>0</v>
      </c>
      <c r="O177" s="48" t="s">
        <v>896</v>
      </c>
      <c r="P177" s="48" t="s">
        <v>897</v>
      </c>
      <c r="Q177" s="48" t="s">
        <v>898</v>
      </c>
      <c r="R177" s="48" t="s">
        <v>899</v>
      </c>
      <c r="S177" s="48" t="s">
        <v>900</v>
      </c>
      <c r="T177" s="48"/>
    </row>
    <row r="178" spans="1:20" x14ac:dyDescent="0.3">
      <c r="A178" s="43"/>
      <c r="B178" s="43"/>
      <c r="C178" s="46">
        <f t="shared" si="8"/>
        <v>0</v>
      </c>
      <c r="D178" s="45">
        <v>0</v>
      </c>
      <c r="E178" s="45">
        <v>0</v>
      </c>
      <c r="F178" s="45">
        <f t="shared" si="6"/>
        <v>0</v>
      </c>
      <c r="G178" s="45">
        <v>0</v>
      </c>
      <c r="H178" s="45"/>
      <c r="I178" s="45">
        <v>0</v>
      </c>
      <c r="J178" s="45">
        <v>0</v>
      </c>
      <c r="K178" s="45">
        <v>0</v>
      </c>
      <c r="L178" s="46">
        <f t="shared" si="7"/>
        <v>0</v>
      </c>
      <c r="M178" s="47">
        <v>0</v>
      </c>
      <c r="N178" s="47">
        <v>0</v>
      </c>
      <c r="O178" s="48" t="s">
        <v>901</v>
      </c>
      <c r="P178" s="48" t="s">
        <v>902</v>
      </c>
      <c r="Q178" s="48" t="s">
        <v>903</v>
      </c>
      <c r="R178" s="48" t="s">
        <v>904</v>
      </c>
      <c r="S178" s="48" t="s">
        <v>905</v>
      </c>
      <c r="T178" s="48"/>
    </row>
    <row r="179" spans="1:20" x14ac:dyDescent="0.3">
      <c r="A179" s="43"/>
      <c r="B179" s="43"/>
      <c r="C179" s="46">
        <f t="shared" si="8"/>
        <v>0</v>
      </c>
      <c r="D179" s="45">
        <v>0</v>
      </c>
      <c r="E179" s="45">
        <v>0</v>
      </c>
      <c r="F179" s="45">
        <f t="shared" si="6"/>
        <v>0</v>
      </c>
      <c r="G179" s="45">
        <v>0</v>
      </c>
      <c r="H179" s="45"/>
      <c r="I179" s="45">
        <v>0</v>
      </c>
      <c r="J179" s="45">
        <v>0</v>
      </c>
      <c r="K179" s="45">
        <v>0</v>
      </c>
      <c r="L179" s="46">
        <f t="shared" si="7"/>
        <v>0</v>
      </c>
      <c r="M179" s="47">
        <v>0</v>
      </c>
      <c r="N179" s="47">
        <v>0</v>
      </c>
      <c r="O179" s="48" t="s">
        <v>906</v>
      </c>
      <c r="P179" s="48" t="s">
        <v>907</v>
      </c>
      <c r="Q179" s="48" t="s">
        <v>908</v>
      </c>
      <c r="R179" s="48" t="s">
        <v>909</v>
      </c>
      <c r="S179" s="48" t="s">
        <v>910</v>
      </c>
      <c r="T179" s="48"/>
    </row>
    <row r="180" spans="1:20" x14ac:dyDescent="0.3">
      <c r="A180" s="43"/>
      <c r="B180" s="43"/>
      <c r="C180" s="46">
        <f t="shared" si="8"/>
        <v>0</v>
      </c>
      <c r="D180" s="45">
        <v>0</v>
      </c>
      <c r="E180" s="45">
        <v>0</v>
      </c>
      <c r="F180" s="45">
        <f t="shared" si="6"/>
        <v>0</v>
      </c>
      <c r="G180" s="45">
        <v>0</v>
      </c>
      <c r="H180" s="45"/>
      <c r="I180" s="45">
        <v>0</v>
      </c>
      <c r="J180" s="45">
        <v>0</v>
      </c>
      <c r="K180" s="45">
        <v>0</v>
      </c>
      <c r="L180" s="46">
        <f t="shared" si="7"/>
        <v>0</v>
      </c>
      <c r="M180" s="47">
        <v>0</v>
      </c>
      <c r="N180" s="47">
        <v>0</v>
      </c>
      <c r="O180" s="48" t="s">
        <v>911</v>
      </c>
      <c r="P180" s="48" t="s">
        <v>912</v>
      </c>
      <c r="Q180" s="48" t="s">
        <v>913</v>
      </c>
      <c r="R180" s="48" t="s">
        <v>914</v>
      </c>
      <c r="S180" s="48" t="s">
        <v>915</v>
      </c>
      <c r="T180" s="48"/>
    </row>
    <row r="181" spans="1:20" x14ac:dyDescent="0.3">
      <c r="A181" s="43"/>
      <c r="B181" s="43"/>
      <c r="C181" s="46">
        <f t="shared" si="8"/>
        <v>0</v>
      </c>
      <c r="D181" s="45">
        <v>0</v>
      </c>
      <c r="E181" s="45">
        <v>0</v>
      </c>
      <c r="F181" s="45">
        <f t="shared" si="6"/>
        <v>0</v>
      </c>
      <c r="G181" s="45">
        <v>0</v>
      </c>
      <c r="H181" s="45"/>
      <c r="I181" s="45">
        <v>0</v>
      </c>
      <c r="J181" s="45">
        <v>0</v>
      </c>
      <c r="K181" s="45">
        <v>0</v>
      </c>
      <c r="L181" s="46">
        <f t="shared" si="7"/>
        <v>0</v>
      </c>
      <c r="M181" s="47">
        <v>0</v>
      </c>
      <c r="N181" s="47">
        <v>0</v>
      </c>
      <c r="O181" s="48" t="s">
        <v>916</v>
      </c>
      <c r="P181" s="48" t="s">
        <v>917</v>
      </c>
      <c r="Q181" s="48" t="s">
        <v>918</v>
      </c>
      <c r="R181" s="48" t="s">
        <v>919</v>
      </c>
      <c r="S181" s="48" t="s">
        <v>920</v>
      </c>
      <c r="T181" s="48"/>
    </row>
    <row r="182" spans="1:20" x14ac:dyDescent="0.3">
      <c r="A182" s="43"/>
      <c r="B182" s="43"/>
      <c r="C182" s="46">
        <f t="shared" si="8"/>
        <v>0</v>
      </c>
      <c r="D182" s="45">
        <v>0</v>
      </c>
      <c r="E182" s="45">
        <v>0</v>
      </c>
      <c r="F182" s="45">
        <f t="shared" si="6"/>
        <v>0</v>
      </c>
      <c r="G182" s="45">
        <v>0</v>
      </c>
      <c r="H182" s="45"/>
      <c r="I182" s="45">
        <v>0</v>
      </c>
      <c r="J182" s="45">
        <v>0</v>
      </c>
      <c r="K182" s="45">
        <v>0</v>
      </c>
      <c r="L182" s="46">
        <f t="shared" si="7"/>
        <v>0</v>
      </c>
      <c r="M182" s="47">
        <v>0</v>
      </c>
      <c r="N182" s="47">
        <v>0</v>
      </c>
      <c r="O182" s="48" t="s">
        <v>921</v>
      </c>
      <c r="P182" s="48" t="s">
        <v>922</v>
      </c>
      <c r="Q182" s="48" t="s">
        <v>923</v>
      </c>
      <c r="R182" s="48" t="s">
        <v>924</v>
      </c>
      <c r="S182" s="48" t="s">
        <v>925</v>
      </c>
      <c r="T182" s="48"/>
    </row>
    <row r="183" spans="1:20" x14ac:dyDescent="0.3">
      <c r="A183" s="43"/>
      <c r="B183" s="43"/>
      <c r="C183" s="46">
        <f t="shared" si="8"/>
        <v>0</v>
      </c>
      <c r="D183" s="45">
        <v>0</v>
      </c>
      <c r="E183" s="45">
        <v>0</v>
      </c>
      <c r="F183" s="45">
        <f t="shared" si="6"/>
        <v>0</v>
      </c>
      <c r="G183" s="45">
        <v>0</v>
      </c>
      <c r="H183" s="45"/>
      <c r="I183" s="45">
        <v>0</v>
      </c>
      <c r="J183" s="45">
        <v>0</v>
      </c>
      <c r="K183" s="45">
        <v>0</v>
      </c>
      <c r="L183" s="46">
        <f t="shared" si="7"/>
        <v>0</v>
      </c>
      <c r="M183" s="47">
        <v>0</v>
      </c>
      <c r="N183" s="47">
        <v>0</v>
      </c>
      <c r="O183" s="48" t="s">
        <v>926</v>
      </c>
      <c r="P183" s="48" t="s">
        <v>927</v>
      </c>
      <c r="Q183" s="48" t="s">
        <v>928</v>
      </c>
      <c r="R183" s="48" t="s">
        <v>929</v>
      </c>
      <c r="S183" s="48" t="s">
        <v>930</v>
      </c>
      <c r="T183" s="48"/>
    </row>
    <row r="184" spans="1:20" x14ac:dyDescent="0.3">
      <c r="A184" s="43"/>
      <c r="B184" s="43"/>
      <c r="C184" s="46">
        <f t="shared" si="8"/>
        <v>0</v>
      </c>
      <c r="D184" s="45">
        <v>0</v>
      </c>
      <c r="E184" s="45">
        <v>0</v>
      </c>
      <c r="F184" s="45">
        <f t="shared" si="6"/>
        <v>0</v>
      </c>
      <c r="G184" s="45">
        <v>0</v>
      </c>
      <c r="H184" s="45"/>
      <c r="I184" s="45">
        <v>0</v>
      </c>
      <c r="J184" s="45">
        <v>0</v>
      </c>
      <c r="K184" s="45">
        <v>0</v>
      </c>
      <c r="L184" s="46">
        <f t="shared" si="7"/>
        <v>0</v>
      </c>
      <c r="M184" s="47">
        <v>0</v>
      </c>
      <c r="N184" s="47">
        <v>0</v>
      </c>
      <c r="O184" s="48" t="s">
        <v>931</v>
      </c>
      <c r="P184" s="48" t="s">
        <v>932</v>
      </c>
      <c r="Q184" s="48" t="s">
        <v>933</v>
      </c>
      <c r="R184" s="48" t="s">
        <v>934</v>
      </c>
      <c r="S184" s="48" t="s">
        <v>935</v>
      </c>
      <c r="T184" s="48"/>
    </row>
    <row r="185" spans="1:20" x14ac:dyDescent="0.3">
      <c r="A185" s="43"/>
      <c r="B185" s="43"/>
      <c r="C185" s="46">
        <f t="shared" si="8"/>
        <v>0</v>
      </c>
      <c r="D185" s="45">
        <v>0</v>
      </c>
      <c r="E185" s="45">
        <v>0</v>
      </c>
      <c r="F185" s="45">
        <f t="shared" si="6"/>
        <v>0</v>
      </c>
      <c r="G185" s="45">
        <v>0</v>
      </c>
      <c r="H185" s="45"/>
      <c r="I185" s="45">
        <v>0</v>
      </c>
      <c r="J185" s="45">
        <v>0</v>
      </c>
      <c r="K185" s="45">
        <v>0</v>
      </c>
      <c r="L185" s="46">
        <f t="shared" si="7"/>
        <v>0</v>
      </c>
      <c r="M185" s="47">
        <v>0</v>
      </c>
      <c r="N185" s="47">
        <v>0</v>
      </c>
      <c r="O185" s="48" t="s">
        <v>936</v>
      </c>
      <c r="P185" s="48" t="s">
        <v>937</v>
      </c>
      <c r="Q185" s="48" t="s">
        <v>938</v>
      </c>
      <c r="R185" s="48" t="s">
        <v>939</v>
      </c>
      <c r="S185" s="48" t="s">
        <v>940</v>
      </c>
      <c r="T185" s="48"/>
    </row>
    <row r="186" spans="1:20" x14ac:dyDescent="0.3">
      <c r="A186" s="43"/>
      <c r="B186" s="43"/>
      <c r="C186" s="46">
        <f t="shared" si="8"/>
        <v>0</v>
      </c>
      <c r="D186" s="45">
        <v>0</v>
      </c>
      <c r="E186" s="45">
        <v>0</v>
      </c>
      <c r="F186" s="45">
        <f t="shared" si="6"/>
        <v>0</v>
      </c>
      <c r="G186" s="45">
        <v>0</v>
      </c>
      <c r="H186" s="45"/>
      <c r="I186" s="45">
        <v>0</v>
      </c>
      <c r="J186" s="45">
        <v>0</v>
      </c>
      <c r="K186" s="45">
        <v>0</v>
      </c>
      <c r="L186" s="46">
        <f t="shared" si="7"/>
        <v>0</v>
      </c>
      <c r="M186" s="47">
        <v>0</v>
      </c>
      <c r="N186" s="47">
        <v>0</v>
      </c>
      <c r="O186" s="48" t="s">
        <v>941</v>
      </c>
      <c r="P186" s="48" t="s">
        <v>942</v>
      </c>
      <c r="Q186" s="48" t="s">
        <v>943</v>
      </c>
      <c r="R186" s="48" t="s">
        <v>944</v>
      </c>
      <c r="S186" s="48" t="s">
        <v>945</v>
      </c>
      <c r="T186" s="48"/>
    </row>
    <row r="187" spans="1:20" x14ac:dyDescent="0.3">
      <c r="A187" s="43"/>
      <c r="B187" s="43"/>
      <c r="C187" s="46">
        <f t="shared" si="8"/>
        <v>0</v>
      </c>
      <c r="D187" s="45">
        <v>0</v>
      </c>
      <c r="E187" s="45">
        <v>0</v>
      </c>
      <c r="F187" s="45">
        <f t="shared" si="6"/>
        <v>0</v>
      </c>
      <c r="G187" s="45">
        <v>0</v>
      </c>
      <c r="H187" s="45"/>
      <c r="I187" s="45">
        <v>0</v>
      </c>
      <c r="J187" s="45">
        <v>0</v>
      </c>
      <c r="K187" s="45">
        <v>0</v>
      </c>
      <c r="L187" s="46">
        <f t="shared" si="7"/>
        <v>0</v>
      </c>
      <c r="M187" s="47">
        <v>0</v>
      </c>
      <c r="N187" s="47">
        <v>0</v>
      </c>
      <c r="O187" s="48" t="s">
        <v>946</v>
      </c>
      <c r="P187" s="48" t="s">
        <v>947</v>
      </c>
      <c r="Q187" s="48" t="s">
        <v>948</v>
      </c>
      <c r="R187" s="48" t="s">
        <v>949</v>
      </c>
      <c r="S187" s="48" t="s">
        <v>950</v>
      </c>
      <c r="T187" s="48"/>
    </row>
    <row r="188" spans="1:20" x14ac:dyDescent="0.3">
      <c r="A188" s="43"/>
      <c r="B188" s="43"/>
      <c r="C188" s="46">
        <f t="shared" si="8"/>
        <v>0</v>
      </c>
      <c r="D188" s="45">
        <v>0</v>
      </c>
      <c r="E188" s="45">
        <v>0</v>
      </c>
      <c r="F188" s="45">
        <f t="shared" si="6"/>
        <v>0</v>
      </c>
      <c r="G188" s="45">
        <v>0</v>
      </c>
      <c r="H188" s="45"/>
      <c r="I188" s="45">
        <v>0</v>
      </c>
      <c r="J188" s="45">
        <v>0</v>
      </c>
      <c r="K188" s="45">
        <v>0</v>
      </c>
      <c r="L188" s="46">
        <f t="shared" si="7"/>
        <v>0</v>
      </c>
      <c r="M188" s="47">
        <v>0</v>
      </c>
      <c r="N188" s="47">
        <v>0</v>
      </c>
      <c r="O188" s="48" t="s">
        <v>951</v>
      </c>
      <c r="P188" s="48" t="s">
        <v>952</v>
      </c>
      <c r="Q188" s="48" t="s">
        <v>953</v>
      </c>
      <c r="R188" s="48" t="s">
        <v>954</v>
      </c>
      <c r="S188" s="48" t="s">
        <v>955</v>
      </c>
      <c r="T188" s="48"/>
    </row>
    <row r="189" spans="1:20" x14ac:dyDescent="0.3">
      <c r="A189" s="43"/>
      <c r="B189" s="43"/>
      <c r="C189" s="46">
        <f t="shared" si="8"/>
        <v>0</v>
      </c>
      <c r="D189" s="45">
        <v>0</v>
      </c>
      <c r="E189" s="45">
        <v>0</v>
      </c>
      <c r="F189" s="45">
        <f t="shared" si="6"/>
        <v>0</v>
      </c>
      <c r="G189" s="45">
        <v>0</v>
      </c>
      <c r="H189" s="45"/>
      <c r="I189" s="45">
        <v>0</v>
      </c>
      <c r="J189" s="45">
        <v>0</v>
      </c>
      <c r="K189" s="45">
        <v>0</v>
      </c>
      <c r="L189" s="46">
        <f t="shared" si="7"/>
        <v>0</v>
      </c>
      <c r="M189" s="47">
        <v>0</v>
      </c>
      <c r="N189" s="47">
        <v>0</v>
      </c>
      <c r="O189" s="48" t="s">
        <v>956</v>
      </c>
      <c r="P189" s="48" t="s">
        <v>957</v>
      </c>
      <c r="Q189" s="48" t="s">
        <v>958</v>
      </c>
      <c r="R189" s="48" t="s">
        <v>959</v>
      </c>
      <c r="S189" s="48" t="s">
        <v>960</v>
      </c>
      <c r="T189" s="48"/>
    </row>
    <row r="190" spans="1:20" x14ac:dyDescent="0.3">
      <c r="A190" s="43"/>
      <c r="B190" s="43"/>
      <c r="C190" s="46">
        <f t="shared" si="8"/>
        <v>0</v>
      </c>
      <c r="D190" s="45">
        <v>0</v>
      </c>
      <c r="E190" s="45">
        <v>0</v>
      </c>
      <c r="F190" s="45">
        <f t="shared" si="6"/>
        <v>0</v>
      </c>
      <c r="G190" s="45">
        <v>0</v>
      </c>
      <c r="H190" s="45"/>
      <c r="I190" s="45">
        <v>0</v>
      </c>
      <c r="J190" s="45">
        <v>0</v>
      </c>
      <c r="K190" s="45">
        <v>0</v>
      </c>
      <c r="L190" s="46">
        <f t="shared" si="7"/>
        <v>0</v>
      </c>
      <c r="M190" s="47">
        <v>0</v>
      </c>
      <c r="N190" s="47">
        <v>0</v>
      </c>
      <c r="O190" s="48" t="s">
        <v>961</v>
      </c>
      <c r="P190" s="48" t="s">
        <v>962</v>
      </c>
      <c r="Q190" s="48" t="s">
        <v>963</v>
      </c>
      <c r="R190" s="48" t="s">
        <v>964</v>
      </c>
      <c r="S190" s="48" t="s">
        <v>965</v>
      </c>
      <c r="T190" s="48"/>
    </row>
    <row r="191" spans="1:20" x14ac:dyDescent="0.3">
      <c r="A191" s="43"/>
      <c r="B191" s="43"/>
      <c r="C191" s="46">
        <f t="shared" si="8"/>
        <v>0</v>
      </c>
      <c r="D191" s="45">
        <v>0</v>
      </c>
      <c r="E191" s="45">
        <v>0</v>
      </c>
      <c r="F191" s="45">
        <f t="shared" si="6"/>
        <v>0</v>
      </c>
      <c r="G191" s="45">
        <v>0</v>
      </c>
      <c r="H191" s="45"/>
      <c r="I191" s="45">
        <v>0</v>
      </c>
      <c r="J191" s="45">
        <v>0</v>
      </c>
      <c r="K191" s="45">
        <v>0</v>
      </c>
      <c r="L191" s="46">
        <f t="shared" si="7"/>
        <v>0</v>
      </c>
      <c r="M191" s="47">
        <v>0</v>
      </c>
      <c r="N191" s="47">
        <v>0</v>
      </c>
      <c r="O191" s="48" t="s">
        <v>966</v>
      </c>
      <c r="P191" s="48" t="s">
        <v>967</v>
      </c>
      <c r="Q191" s="48" t="s">
        <v>968</v>
      </c>
      <c r="R191" s="48" t="s">
        <v>969</v>
      </c>
      <c r="S191" s="48" t="s">
        <v>970</v>
      </c>
      <c r="T191" s="48"/>
    </row>
    <row r="192" spans="1:20" x14ac:dyDescent="0.3">
      <c r="A192" s="43"/>
      <c r="B192" s="43"/>
      <c r="C192" s="46">
        <f t="shared" si="8"/>
        <v>0</v>
      </c>
      <c r="D192" s="45">
        <v>0</v>
      </c>
      <c r="E192" s="45">
        <v>0</v>
      </c>
      <c r="F192" s="45">
        <f t="shared" si="6"/>
        <v>0</v>
      </c>
      <c r="G192" s="45">
        <v>0</v>
      </c>
      <c r="H192" s="45"/>
      <c r="I192" s="45">
        <v>0</v>
      </c>
      <c r="J192" s="45">
        <v>0</v>
      </c>
      <c r="K192" s="45">
        <v>0</v>
      </c>
      <c r="L192" s="46">
        <f t="shared" si="7"/>
        <v>0</v>
      </c>
      <c r="M192" s="47">
        <v>0</v>
      </c>
      <c r="N192" s="47">
        <v>0</v>
      </c>
      <c r="O192" s="48" t="s">
        <v>971</v>
      </c>
      <c r="P192" s="48" t="s">
        <v>972</v>
      </c>
      <c r="Q192" s="48" t="s">
        <v>973</v>
      </c>
      <c r="R192" s="48" t="s">
        <v>974</v>
      </c>
      <c r="S192" s="48" t="s">
        <v>975</v>
      </c>
      <c r="T192" s="48"/>
    </row>
    <row r="193" spans="1:20" x14ac:dyDescent="0.3">
      <c r="A193" s="43"/>
      <c r="B193" s="43"/>
      <c r="C193" s="46">
        <f t="shared" si="8"/>
        <v>0</v>
      </c>
      <c r="D193" s="45">
        <v>0</v>
      </c>
      <c r="E193" s="45">
        <v>0</v>
      </c>
      <c r="F193" s="45">
        <f t="shared" si="6"/>
        <v>0</v>
      </c>
      <c r="G193" s="45">
        <v>0</v>
      </c>
      <c r="H193" s="45"/>
      <c r="I193" s="45">
        <v>0</v>
      </c>
      <c r="J193" s="45">
        <v>0</v>
      </c>
      <c r="K193" s="45">
        <v>0</v>
      </c>
      <c r="L193" s="46">
        <f t="shared" si="7"/>
        <v>0</v>
      </c>
      <c r="M193" s="47">
        <v>0</v>
      </c>
      <c r="N193" s="47">
        <v>0</v>
      </c>
      <c r="O193" s="48" t="s">
        <v>976</v>
      </c>
      <c r="P193" s="48" t="s">
        <v>977</v>
      </c>
      <c r="Q193" s="48" t="s">
        <v>978</v>
      </c>
      <c r="R193" s="48" t="s">
        <v>979</v>
      </c>
      <c r="S193" s="48" t="s">
        <v>980</v>
      </c>
      <c r="T193" s="48"/>
    </row>
    <row r="194" spans="1:20" x14ac:dyDescent="0.3">
      <c r="A194" s="43"/>
      <c r="B194" s="43"/>
      <c r="C194" s="46">
        <f t="shared" si="8"/>
        <v>0</v>
      </c>
      <c r="D194" s="45">
        <v>0</v>
      </c>
      <c r="E194" s="45">
        <v>0</v>
      </c>
      <c r="F194" s="45">
        <f t="shared" si="6"/>
        <v>0</v>
      </c>
      <c r="G194" s="45">
        <v>0</v>
      </c>
      <c r="H194" s="45"/>
      <c r="I194" s="45">
        <v>0</v>
      </c>
      <c r="J194" s="45">
        <v>0</v>
      </c>
      <c r="K194" s="45">
        <v>0</v>
      </c>
      <c r="L194" s="46">
        <f t="shared" si="7"/>
        <v>0</v>
      </c>
      <c r="M194" s="47">
        <v>0</v>
      </c>
      <c r="N194" s="47">
        <v>0</v>
      </c>
      <c r="O194" s="48" t="s">
        <v>981</v>
      </c>
      <c r="P194" s="48" t="s">
        <v>982</v>
      </c>
      <c r="Q194" s="48" t="s">
        <v>983</v>
      </c>
      <c r="R194" s="48" t="s">
        <v>984</v>
      </c>
      <c r="S194" s="48" t="s">
        <v>985</v>
      </c>
      <c r="T194" s="48"/>
    </row>
    <row r="195" spans="1:20" x14ac:dyDescent="0.3">
      <c r="A195" s="43"/>
      <c r="B195" s="43"/>
      <c r="C195" s="46">
        <f t="shared" si="8"/>
        <v>0</v>
      </c>
      <c r="D195" s="45">
        <v>0</v>
      </c>
      <c r="E195" s="45">
        <v>0</v>
      </c>
      <c r="F195" s="45">
        <f t="shared" si="6"/>
        <v>0</v>
      </c>
      <c r="G195" s="45">
        <v>0</v>
      </c>
      <c r="H195" s="45"/>
      <c r="I195" s="45">
        <v>0</v>
      </c>
      <c r="J195" s="45">
        <v>0</v>
      </c>
      <c r="K195" s="45">
        <v>0</v>
      </c>
      <c r="L195" s="46">
        <f t="shared" si="7"/>
        <v>0</v>
      </c>
      <c r="M195" s="47">
        <v>0</v>
      </c>
      <c r="N195" s="47">
        <v>0</v>
      </c>
      <c r="O195" s="48" t="s">
        <v>986</v>
      </c>
      <c r="P195" s="48" t="s">
        <v>987</v>
      </c>
      <c r="Q195" s="48" t="s">
        <v>988</v>
      </c>
      <c r="R195" s="48" t="s">
        <v>989</v>
      </c>
      <c r="S195" s="48" t="s">
        <v>990</v>
      </c>
      <c r="T195" s="48"/>
    </row>
    <row r="196" spans="1:20" x14ac:dyDescent="0.3">
      <c r="A196" s="43"/>
      <c r="B196" s="43"/>
      <c r="C196" s="46">
        <f t="shared" si="8"/>
        <v>0</v>
      </c>
      <c r="D196" s="45">
        <v>0</v>
      </c>
      <c r="E196" s="45">
        <v>0</v>
      </c>
      <c r="F196" s="45">
        <f t="shared" si="6"/>
        <v>0</v>
      </c>
      <c r="G196" s="45">
        <v>0</v>
      </c>
      <c r="H196" s="45"/>
      <c r="I196" s="45">
        <v>0</v>
      </c>
      <c r="J196" s="45">
        <v>0</v>
      </c>
      <c r="K196" s="45">
        <v>0</v>
      </c>
      <c r="L196" s="46">
        <f t="shared" si="7"/>
        <v>0</v>
      </c>
      <c r="M196" s="47">
        <v>0</v>
      </c>
      <c r="N196" s="47">
        <v>0</v>
      </c>
      <c r="O196" s="48" t="s">
        <v>991</v>
      </c>
      <c r="P196" s="48" t="s">
        <v>992</v>
      </c>
      <c r="Q196" s="48" t="s">
        <v>993</v>
      </c>
      <c r="R196" s="48" t="s">
        <v>994</v>
      </c>
      <c r="S196" s="48" t="s">
        <v>995</v>
      </c>
      <c r="T196" s="48"/>
    </row>
    <row r="197" spans="1:20" x14ac:dyDescent="0.3">
      <c r="A197" s="43"/>
      <c r="B197" s="43"/>
      <c r="C197" s="46">
        <f t="shared" si="8"/>
        <v>0</v>
      </c>
      <c r="D197" s="45">
        <v>0</v>
      </c>
      <c r="E197" s="45">
        <v>0</v>
      </c>
      <c r="F197" s="45">
        <f t="shared" si="6"/>
        <v>0</v>
      </c>
      <c r="G197" s="45">
        <v>0</v>
      </c>
      <c r="H197" s="45"/>
      <c r="I197" s="45">
        <v>0</v>
      </c>
      <c r="J197" s="45">
        <v>0</v>
      </c>
      <c r="K197" s="45">
        <v>0</v>
      </c>
      <c r="L197" s="46">
        <f t="shared" si="7"/>
        <v>0</v>
      </c>
      <c r="M197" s="47">
        <v>0</v>
      </c>
      <c r="N197" s="47">
        <v>0</v>
      </c>
      <c r="O197" s="48" t="s">
        <v>996</v>
      </c>
      <c r="P197" s="48" t="s">
        <v>997</v>
      </c>
      <c r="Q197" s="48" t="s">
        <v>998</v>
      </c>
      <c r="R197" s="48" t="s">
        <v>999</v>
      </c>
      <c r="S197" s="48" t="s">
        <v>1000</v>
      </c>
      <c r="T197" s="48"/>
    </row>
    <row r="198" spans="1:20" x14ac:dyDescent="0.3">
      <c r="A198" s="43"/>
      <c r="B198" s="43"/>
      <c r="C198" s="46">
        <f t="shared" si="8"/>
        <v>0</v>
      </c>
      <c r="D198" s="45">
        <v>0</v>
      </c>
      <c r="E198" s="45">
        <v>0</v>
      </c>
      <c r="F198" s="45">
        <f t="shared" si="6"/>
        <v>0</v>
      </c>
      <c r="G198" s="45">
        <v>0</v>
      </c>
      <c r="H198" s="45"/>
      <c r="I198" s="45">
        <v>0</v>
      </c>
      <c r="J198" s="45">
        <v>0</v>
      </c>
      <c r="K198" s="45">
        <v>0</v>
      </c>
      <c r="L198" s="46">
        <f t="shared" si="7"/>
        <v>0</v>
      </c>
      <c r="M198" s="47">
        <v>0</v>
      </c>
      <c r="N198" s="47">
        <v>0</v>
      </c>
      <c r="O198" s="48" t="s">
        <v>1001</v>
      </c>
      <c r="P198" s="48" t="s">
        <v>1002</v>
      </c>
      <c r="Q198" s="48" t="s">
        <v>1003</v>
      </c>
      <c r="R198" s="48" t="s">
        <v>1004</v>
      </c>
      <c r="S198" s="48" t="s">
        <v>1005</v>
      </c>
      <c r="T198" s="48"/>
    </row>
    <row r="199" spans="1:20" x14ac:dyDescent="0.3">
      <c r="A199" s="43"/>
      <c r="B199" s="43"/>
      <c r="C199" s="46">
        <f t="shared" si="8"/>
        <v>0</v>
      </c>
      <c r="D199" s="45">
        <v>0</v>
      </c>
      <c r="E199" s="45">
        <v>0</v>
      </c>
      <c r="F199" s="45">
        <f t="shared" si="6"/>
        <v>0</v>
      </c>
      <c r="G199" s="45">
        <v>0</v>
      </c>
      <c r="H199" s="45"/>
      <c r="I199" s="45">
        <v>0</v>
      </c>
      <c r="J199" s="45">
        <v>0</v>
      </c>
      <c r="K199" s="45">
        <v>0</v>
      </c>
      <c r="L199" s="46">
        <f t="shared" si="7"/>
        <v>0</v>
      </c>
      <c r="M199" s="47">
        <v>0</v>
      </c>
      <c r="N199" s="47">
        <v>0</v>
      </c>
      <c r="O199" s="48" t="s">
        <v>1006</v>
      </c>
      <c r="P199" s="48" t="s">
        <v>1007</v>
      </c>
      <c r="Q199" s="48" t="s">
        <v>1008</v>
      </c>
      <c r="R199" s="48" t="s">
        <v>1009</v>
      </c>
      <c r="S199" s="48" t="s">
        <v>1010</v>
      </c>
      <c r="T199" s="48"/>
    </row>
    <row r="200" spans="1:20" x14ac:dyDescent="0.3">
      <c r="A200" s="43"/>
      <c r="B200" s="43"/>
      <c r="C200" s="46">
        <f t="shared" si="8"/>
        <v>0</v>
      </c>
      <c r="D200" s="45">
        <v>0</v>
      </c>
      <c r="E200" s="45">
        <v>0</v>
      </c>
      <c r="F200" s="45">
        <f t="shared" si="6"/>
        <v>0</v>
      </c>
      <c r="G200" s="45">
        <v>0</v>
      </c>
      <c r="H200" s="45"/>
      <c r="I200" s="45">
        <v>0</v>
      </c>
      <c r="J200" s="45">
        <v>0</v>
      </c>
      <c r="K200" s="45">
        <v>0</v>
      </c>
      <c r="L200" s="46">
        <f t="shared" si="7"/>
        <v>0</v>
      </c>
      <c r="M200" s="47">
        <v>0</v>
      </c>
      <c r="N200" s="47">
        <v>0</v>
      </c>
      <c r="O200" s="48" t="s">
        <v>1011</v>
      </c>
      <c r="P200" s="48" t="s">
        <v>1012</v>
      </c>
      <c r="Q200" s="48" t="s">
        <v>1013</v>
      </c>
      <c r="R200" s="48" t="s">
        <v>1014</v>
      </c>
      <c r="S200" s="48" t="s">
        <v>1015</v>
      </c>
      <c r="T200" s="48"/>
    </row>
    <row r="201" spans="1:20" x14ac:dyDescent="0.3">
      <c r="A201" s="2"/>
      <c r="B201" s="18" t="s">
        <v>7</v>
      </c>
      <c r="C201" s="2"/>
      <c r="D201" s="14">
        <f t="shared" ref="D201:K201" si="9">SUM(D12:D200)</f>
        <v>0</v>
      </c>
      <c r="E201" s="14">
        <f t="shared" si="9"/>
        <v>0</v>
      </c>
      <c r="F201" s="14">
        <f t="shared" si="9"/>
        <v>0</v>
      </c>
      <c r="G201" s="14">
        <f t="shared" si="9"/>
        <v>0</v>
      </c>
      <c r="H201" s="14">
        <f t="shared" si="9"/>
        <v>0</v>
      </c>
      <c r="I201" s="14">
        <f t="shared" si="9"/>
        <v>0</v>
      </c>
      <c r="J201" s="14">
        <f t="shared" si="9"/>
        <v>0</v>
      </c>
      <c r="K201" s="14">
        <f t="shared" si="9"/>
        <v>0</v>
      </c>
      <c r="L201" s="14">
        <f>INDEX(L12:L200, COUNTA(L12:L200))</f>
        <v>0</v>
      </c>
    </row>
    <row r="202" spans="1:20" x14ac:dyDescent="0.3">
      <c r="D202" s="10"/>
    </row>
    <row r="203" spans="1:20" x14ac:dyDescent="0.3">
      <c r="D203" s="10"/>
      <c r="E203" s="15"/>
      <c r="F203"/>
      <c r="K203" s="65" t="s">
        <v>763</v>
      </c>
    </row>
    <row r="204" spans="1:20" x14ac:dyDescent="0.3">
      <c r="D204" s="10"/>
    </row>
    <row r="205" spans="1:20" x14ac:dyDescent="0.3">
      <c r="D205" s="10"/>
    </row>
    <row r="206" spans="1:20" x14ac:dyDescent="0.3">
      <c r="D206" s="10"/>
    </row>
    <row r="209" spans="4:4" x14ac:dyDescent="0.3">
      <c r="D209" s="10"/>
    </row>
  </sheetData>
  <mergeCells count="1">
    <mergeCell ref="A1:L1"/>
  </mergeCells>
  <pageMargins left="0.7" right="0.7" top="0.75" bottom="0.75" header="0.3" footer="0.3"/>
  <pageSetup scale="53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02"/>
  <sheetViews>
    <sheetView showGridLines="0" tabSelected="1" zoomScale="70" zoomScaleNormal="70" workbookViewId="0">
      <selection activeCell="E10" sqref="E10"/>
    </sheetView>
  </sheetViews>
  <sheetFormatPr defaultRowHeight="14.4" x14ac:dyDescent="0.3"/>
  <cols>
    <col min="1" max="1" width="18.88671875" customWidth="1"/>
    <col min="2" max="2" width="17.109375" customWidth="1"/>
    <col min="3" max="3" width="18.33203125" customWidth="1"/>
    <col min="4" max="4" width="18.6640625" customWidth="1"/>
    <col min="5" max="5" width="21.33203125" customWidth="1"/>
    <col min="6" max="6" width="31.33203125" customWidth="1"/>
    <col min="7" max="7" width="28.109375" customWidth="1"/>
    <col min="8" max="8" width="83.5546875" customWidth="1"/>
    <col min="9" max="9" width="11.44140625" customWidth="1"/>
  </cols>
  <sheetData>
    <row r="1" spans="1:9" ht="39.75" customHeight="1" x14ac:dyDescent="0.3">
      <c r="A1" s="60" t="s">
        <v>31</v>
      </c>
      <c r="B1" s="60" t="s">
        <v>27</v>
      </c>
      <c r="C1" s="60" t="s">
        <v>28</v>
      </c>
      <c r="D1" s="60" t="s">
        <v>29</v>
      </c>
      <c r="E1" s="60" t="s">
        <v>30</v>
      </c>
      <c r="F1" s="60" t="s">
        <v>36</v>
      </c>
      <c r="G1" s="60" t="s">
        <v>43</v>
      </c>
      <c r="H1" s="60" t="s">
        <v>44</v>
      </c>
      <c r="I1" s="19"/>
    </row>
    <row r="2" spans="1:9" ht="18.75" customHeight="1" x14ac:dyDescent="0.3">
      <c r="A2" s="23"/>
      <c r="B2" s="23"/>
      <c r="C2" s="40"/>
      <c r="D2" s="40"/>
      <c r="E2" s="40"/>
      <c r="F2" s="29"/>
      <c r="G2" s="41"/>
      <c r="H2" s="18" t="str">
        <f ca="1">IF(ISBLANK(THTT!G2),
    "Hãy nhập dữ liệu cột G2",
    IF(ISBLANK(INDIRECT("'" &amp; THTT!B2 &amp; "'!H6")),
        "Hãy nhập dữ liệu cột H6",
        IF(ABS(INDIRECT("'" &amp; THTT!B2 &amp; "'!H6") - THTT!G2) &gt; 0,
            IF(INDIRECT("'" &amp; THTT!B2 &amp; "'!H6") - THTT!G2 &lt; 0,
                "Hãy Tăng (+) thêm " &amp; TEXT(ABS(INDIRECT("'" &amp; THTT!B2 &amp; "'!H6") - THTT!G2), "#,##0") &amp; " cho phần Phí đã trả hoặc Lãi đã trả",
                "Hãy Giảm (-) bớt " &amp; TEXT(ABS(INDIRECT("'" &amp; THTT!B2 &amp; "'!H6") - THTT!G2), "#,##0") &amp; " cho phần Phí đã trả hoặc Lãi đã trả"
            ),
            "Đã đúng gốc"
        )
    )
)</f>
        <v>Hãy nhập dữ liệu cột G2</v>
      </c>
    </row>
    <row r="3" spans="1:9" x14ac:dyDescent="0.3">
      <c r="A3" s="24"/>
      <c r="B3" s="24"/>
      <c r="C3" s="24"/>
      <c r="D3" s="24"/>
      <c r="F3" s="24"/>
      <c r="H3" s="62" t="s">
        <v>751</v>
      </c>
    </row>
    <row r="4" spans="1:9" ht="18" x14ac:dyDescent="0.35">
      <c r="A4" s="56" t="s">
        <v>762</v>
      </c>
      <c r="H4" s="58"/>
    </row>
    <row r="6" spans="1:9" x14ac:dyDescent="0.3">
      <c r="A6" s="53"/>
    </row>
    <row r="7" spans="1:9" x14ac:dyDescent="0.3">
      <c r="A7" s="55"/>
    </row>
    <row r="10" spans="1:9" x14ac:dyDescent="0.3">
      <c r="A10" s="53"/>
    </row>
    <row r="11" spans="1:9" x14ac:dyDescent="0.3">
      <c r="A11" s="54"/>
      <c r="D11" s="50"/>
    </row>
    <row r="12" spans="1:9" x14ac:dyDescent="0.3">
      <c r="A12" s="54"/>
    </row>
    <row r="13" spans="1:9" x14ac:dyDescent="0.3">
      <c r="A13" s="54"/>
    </row>
    <row r="15" spans="1:9" ht="15.6" x14ac:dyDescent="0.3">
      <c r="A15" s="61" t="s">
        <v>750</v>
      </c>
    </row>
    <row r="17" spans="1:1" ht="18" x14ac:dyDescent="0.35">
      <c r="A17" s="56" t="s">
        <v>764</v>
      </c>
    </row>
    <row r="18" spans="1:1" ht="18" x14ac:dyDescent="0.35">
      <c r="A18" s="66" t="s">
        <v>765</v>
      </c>
    </row>
    <row r="19" spans="1:1" ht="18" x14ac:dyDescent="0.35">
      <c r="A19" s="56"/>
    </row>
    <row r="20" spans="1:1" ht="18" x14ac:dyDescent="0.35">
      <c r="A20" s="56"/>
    </row>
    <row r="802" spans="1:2" x14ac:dyDescent="0.3">
      <c r="A802" t="s">
        <v>58</v>
      </c>
      <c r="B802" t="s">
        <v>59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J164" sqref="J164"/>
    </sheetView>
  </sheetViews>
  <sheetFormatPr defaultRowHeight="14.4" x14ac:dyDescent="0.3"/>
  <cols>
    <col min="1" max="1" width="13.77734375" bestFit="1" customWidth="1"/>
    <col min="2" max="2" width="13.21875" bestFit="1" customWidth="1"/>
    <col min="3" max="3" width="12.6640625" bestFit="1" customWidth="1"/>
    <col min="4" max="4" width="13.77734375" bestFit="1" customWidth="1"/>
    <col min="5" max="5" width="12.88671875" bestFit="1" customWidth="1"/>
    <col min="6" max="6" width="24.33203125" bestFit="1" customWidth="1"/>
    <col min="7" max="7" width="11.44140625" bestFit="1" customWidth="1"/>
    <col min="8" max="8" width="14.6640625" bestFit="1" customWidth="1"/>
    <col min="9" max="9" width="11.33203125" bestFit="1" customWidth="1"/>
    <col min="10" max="10" width="15.6640625" bestFit="1" customWidth="1"/>
    <col min="11" max="11" width="24" bestFit="1" customWidth="1"/>
    <col min="12" max="12" width="12.109375" bestFit="1" customWidth="1"/>
    <col min="13" max="13" width="15.33203125" bestFit="1" customWidth="1"/>
    <col min="14" max="14" width="11.6640625" bestFit="1" customWidth="1"/>
    <col min="15" max="15" width="12.109375" bestFit="1" customWidth="1"/>
    <col min="16" max="16" width="15.77734375" bestFit="1" customWidth="1"/>
    <col min="17" max="17" width="11.88671875" bestFit="1" customWidth="1"/>
    <col min="18" max="18" width="12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630"/>
  <sheetViews>
    <sheetView topLeftCell="H1" zoomScale="79" zoomScaleNormal="70" workbookViewId="0">
      <selection activeCell="L17" sqref="L17"/>
    </sheetView>
  </sheetViews>
  <sheetFormatPr defaultRowHeight="14.4" x14ac:dyDescent="0.3"/>
  <cols>
    <col min="1" max="1" width="23" style="17" hidden="1" customWidth="1"/>
    <col min="2" max="2" width="26" style="33" hidden="1" customWidth="1"/>
    <col min="3" max="3" width="26.88671875" hidden="1" customWidth="1"/>
    <col min="4" max="4" width="83.33203125" hidden="1" customWidth="1"/>
    <col min="5" max="5" width="20.6640625" hidden="1" customWidth="1"/>
    <col min="6" max="6" width="33.109375" hidden="1" customWidth="1"/>
    <col min="7" max="7" width="18.5546875" hidden="1" customWidth="1"/>
    <col min="8" max="8" width="21.5546875" customWidth="1"/>
    <col min="9" max="9" width="19.109375" bestFit="1" customWidth="1"/>
    <col min="221" max="221" width="10.109375" bestFit="1" customWidth="1"/>
    <col min="222" max="222" width="18.33203125" customWidth="1"/>
    <col min="223" max="223" width="11.88671875" bestFit="1" customWidth="1"/>
    <col min="224" max="224" width="13.44140625" customWidth="1"/>
    <col min="225" max="225" width="30.88671875" bestFit="1" customWidth="1"/>
    <col min="226" max="226" width="21.109375" customWidth="1"/>
    <col min="227" max="227" width="44.5546875" customWidth="1"/>
    <col min="228" max="228" width="17.44140625" customWidth="1"/>
    <col min="229" max="229" width="30.88671875" customWidth="1"/>
    <col min="230" max="230" width="11.88671875" customWidth="1"/>
    <col min="231" max="231" width="41.6640625" customWidth="1"/>
    <col min="232" max="237" width="30.88671875" bestFit="1" customWidth="1"/>
    <col min="238" max="238" width="10.5546875" bestFit="1" customWidth="1"/>
    <col min="477" max="477" width="10.109375" bestFit="1" customWidth="1"/>
    <col min="478" max="478" width="18.33203125" customWidth="1"/>
    <col min="479" max="479" width="11.88671875" bestFit="1" customWidth="1"/>
    <col min="480" max="480" width="13.44140625" customWidth="1"/>
    <col min="481" max="481" width="30.88671875" bestFit="1" customWidth="1"/>
    <col min="482" max="482" width="21.109375" customWidth="1"/>
    <col min="483" max="483" width="44.5546875" customWidth="1"/>
    <col min="484" max="484" width="17.44140625" customWidth="1"/>
    <col min="485" max="485" width="30.88671875" customWidth="1"/>
    <col min="486" max="486" width="11.88671875" customWidth="1"/>
    <col min="487" max="487" width="41.6640625" customWidth="1"/>
    <col min="488" max="493" width="30.88671875" bestFit="1" customWidth="1"/>
    <col min="494" max="494" width="10.5546875" bestFit="1" customWidth="1"/>
    <col min="733" max="733" width="10.109375" bestFit="1" customWidth="1"/>
    <col min="734" max="734" width="18.33203125" customWidth="1"/>
    <col min="735" max="735" width="11.88671875" bestFit="1" customWidth="1"/>
    <col min="736" max="736" width="13.44140625" customWidth="1"/>
    <col min="737" max="737" width="30.88671875" bestFit="1" customWidth="1"/>
    <col min="738" max="738" width="21.109375" customWidth="1"/>
    <col min="739" max="739" width="44.5546875" customWidth="1"/>
    <col min="740" max="740" width="17.44140625" customWidth="1"/>
    <col min="741" max="741" width="30.88671875" customWidth="1"/>
    <col min="742" max="742" width="11.88671875" customWidth="1"/>
    <col min="743" max="743" width="41.6640625" customWidth="1"/>
    <col min="744" max="749" width="30.88671875" bestFit="1" customWidth="1"/>
    <col min="750" max="750" width="10.5546875" bestFit="1" customWidth="1"/>
    <col min="989" max="989" width="10.109375" bestFit="1" customWidth="1"/>
    <col min="990" max="990" width="18.33203125" customWidth="1"/>
    <col min="991" max="991" width="11.88671875" bestFit="1" customWidth="1"/>
    <col min="992" max="992" width="13.44140625" customWidth="1"/>
    <col min="993" max="993" width="30.88671875" bestFit="1" customWidth="1"/>
    <col min="994" max="994" width="21.109375" customWidth="1"/>
    <col min="995" max="995" width="44.5546875" customWidth="1"/>
    <col min="996" max="996" width="17.44140625" customWidth="1"/>
    <col min="997" max="997" width="30.88671875" customWidth="1"/>
    <col min="998" max="998" width="11.88671875" customWidth="1"/>
    <col min="999" max="999" width="41.6640625" customWidth="1"/>
    <col min="1000" max="1005" width="30.88671875" bestFit="1" customWidth="1"/>
    <col min="1006" max="1006" width="10.5546875" bestFit="1" customWidth="1"/>
    <col min="1245" max="1245" width="10.109375" bestFit="1" customWidth="1"/>
    <col min="1246" max="1246" width="18.33203125" customWidth="1"/>
    <col min="1247" max="1247" width="11.88671875" bestFit="1" customWidth="1"/>
    <col min="1248" max="1248" width="13.44140625" customWidth="1"/>
    <col min="1249" max="1249" width="30.88671875" bestFit="1" customWidth="1"/>
    <col min="1250" max="1250" width="21.109375" customWidth="1"/>
    <col min="1251" max="1251" width="44.5546875" customWidth="1"/>
    <col min="1252" max="1252" width="17.44140625" customWidth="1"/>
    <col min="1253" max="1253" width="30.88671875" customWidth="1"/>
    <col min="1254" max="1254" width="11.88671875" customWidth="1"/>
    <col min="1255" max="1255" width="41.6640625" customWidth="1"/>
    <col min="1256" max="1261" width="30.88671875" bestFit="1" customWidth="1"/>
    <col min="1262" max="1262" width="10.5546875" bestFit="1" customWidth="1"/>
    <col min="1501" max="1501" width="10.109375" bestFit="1" customWidth="1"/>
    <col min="1502" max="1502" width="18.33203125" customWidth="1"/>
    <col min="1503" max="1503" width="11.88671875" bestFit="1" customWidth="1"/>
    <col min="1504" max="1504" width="13.44140625" customWidth="1"/>
    <col min="1505" max="1505" width="30.88671875" bestFit="1" customWidth="1"/>
    <col min="1506" max="1506" width="21.109375" customWidth="1"/>
    <col min="1507" max="1507" width="44.5546875" customWidth="1"/>
    <col min="1508" max="1508" width="17.44140625" customWidth="1"/>
    <col min="1509" max="1509" width="30.88671875" customWidth="1"/>
    <col min="1510" max="1510" width="11.88671875" customWidth="1"/>
    <col min="1511" max="1511" width="41.6640625" customWidth="1"/>
    <col min="1512" max="1517" width="30.88671875" bestFit="1" customWidth="1"/>
    <col min="1518" max="1518" width="10.5546875" bestFit="1" customWidth="1"/>
    <col min="1757" max="1757" width="10.109375" bestFit="1" customWidth="1"/>
    <col min="1758" max="1758" width="18.33203125" customWidth="1"/>
    <col min="1759" max="1759" width="11.88671875" bestFit="1" customWidth="1"/>
    <col min="1760" max="1760" width="13.44140625" customWidth="1"/>
    <col min="1761" max="1761" width="30.88671875" bestFit="1" customWidth="1"/>
    <col min="1762" max="1762" width="21.109375" customWidth="1"/>
    <col min="1763" max="1763" width="44.5546875" customWidth="1"/>
    <col min="1764" max="1764" width="17.44140625" customWidth="1"/>
    <col min="1765" max="1765" width="30.88671875" customWidth="1"/>
    <col min="1766" max="1766" width="11.88671875" customWidth="1"/>
    <col min="1767" max="1767" width="41.6640625" customWidth="1"/>
    <col min="1768" max="1773" width="30.88671875" bestFit="1" customWidth="1"/>
    <col min="1774" max="1774" width="10.5546875" bestFit="1" customWidth="1"/>
    <col min="2013" max="2013" width="10.109375" bestFit="1" customWidth="1"/>
    <col min="2014" max="2014" width="18.33203125" customWidth="1"/>
    <col min="2015" max="2015" width="11.88671875" bestFit="1" customWidth="1"/>
    <col min="2016" max="2016" width="13.44140625" customWidth="1"/>
    <col min="2017" max="2017" width="30.88671875" bestFit="1" customWidth="1"/>
    <col min="2018" max="2018" width="21.109375" customWidth="1"/>
    <col min="2019" max="2019" width="44.5546875" customWidth="1"/>
    <col min="2020" max="2020" width="17.44140625" customWidth="1"/>
    <col min="2021" max="2021" width="30.88671875" customWidth="1"/>
    <col min="2022" max="2022" width="11.88671875" customWidth="1"/>
    <col min="2023" max="2023" width="41.6640625" customWidth="1"/>
    <col min="2024" max="2029" width="30.88671875" bestFit="1" customWidth="1"/>
    <col min="2030" max="2030" width="10.5546875" bestFit="1" customWidth="1"/>
    <col min="2269" max="2269" width="10.109375" bestFit="1" customWidth="1"/>
    <col min="2270" max="2270" width="18.33203125" customWidth="1"/>
    <col min="2271" max="2271" width="11.88671875" bestFit="1" customWidth="1"/>
    <col min="2272" max="2272" width="13.44140625" customWidth="1"/>
    <col min="2273" max="2273" width="30.88671875" bestFit="1" customWidth="1"/>
    <col min="2274" max="2274" width="21.109375" customWidth="1"/>
    <col min="2275" max="2275" width="44.5546875" customWidth="1"/>
    <col min="2276" max="2276" width="17.44140625" customWidth="1"/>
    <col min="2277" max="2277" width="30.88671875" customWidth="1"/>
    <col min="2278" max="2278" width="11.88671875" customWidth="1"/>
    <col min="2279" max="2279" width="41.6640625" customWidth="1"/>
    <col min="2280" max="2285" width="30.88671875" bestFit="1" customWidth="1"/>
    <col min="2286" max="2286" width="10.5546875" bestFit="1" customWidth="1"/>
    <col min="2525" max="2525" width="10.109375" bestFit="1" customWidth="1"/>
    <col min="2526" max="2526" width="18.33203125" customWidth="1"/>
    <col min="2527" max="2527" width="11.88671875" bestFit="1" customWidth="1"/>
    <col min="2528" max="2528" width="13.44140625" customWidth="1"/>
    <col min="2529" max="2529" width="30.88671875" bestFit="1" customWidth="1"/>
    <col min="2530" max="2530" width="21.109375" customWidth="1"/>
    <col min="2531" max="2531" width="44.5546875" customWidth="1"/>
    <col min="2532" max="2532" width="17.44140625" customWidth="1"/>
    <col min="2533" max="2533" width="30.88671875" customWidth="1"/>
    <col min="2534" max="2534" width="11.88671875" customWidth="1"/>
    <col min="2535" max="2535" width="41.6640625" customWidth="1"/>
    <col min="2536" max="2541" width="30.88671875" bestFit="1" customWidth="1"/>
    <col min="2542" max="2542" width="10.5546875" bestFit="1" customWidth="1"/>
    <col min="2781" max="2781" width="10.109375" bestFit="1" customWidth="1"/>
    <col min="2782" max="2782" width="18.33203125" customWidth="1"/>
    <col min="2783" max="2783" width="11.88671875" bestFit="1" customWidth="1"/>
    <col min="2784" max="2784" width="13.44140625" customWidth="1"/>
    <col min="2785" max="2785" width="30.88671875" bestFit="1" customWidth="1"/>
    <col min="2786" max="2786" width="21.109375" customWidth="1"/>
    <col min="2787" max="2787" width="44.5546875" customWidth="1"/>
    <col min="2788" max="2788" width="17.44140625" customWidth="1"/>
    <col min="2789" max="2789" width="30.88671875" customWidth="1"/>
    <col min="2790" max="2790" width="11.88671875" customWidth="1"/>
    <col min="2791" max="2791" width="41.6640625" customWidth="1"/>
    <col min="2792" max="2797" width="30.88671875" bestFit="1" customWidth="1"/>
    <col min="2798" max="2798" width="10.5546875" bestFit="1" customWidth="1"/>
    <col min="3037" max="3037" width="10.109375" bestFit="1" customWidth="1"/>
    <col min="3038" max="3038" width="18.33203125" customWidth="1"/>
    <col min="3039" max="3039" width="11.88671875" bestFit="1" customWidth="1"/>
    <col min="3040" max="3040" width="13.44140625" customWidth="1"/>
    <col min="3041" max="3041" width="30.88671875" bestFit="1" customWidth="1"/>
    <col min="3042" max="3042" width="21.109375" customWidth="1"/>
    <col min="3043" max="3043" width="44.5546875" customWidth="1"/>
    <col min="3044" max="3044" width="17.44140625" customWidth="1"/>
    <col min="3045" max="3045" width="30.88671875" customWidth="1"/>
    <col min="3046" max="3046" width="11.88671875" customWidth="1"/>
    <col min="3047" max="3047" width="41.6640625" customWidth="1"/>
    <col min="3048" max="3053" width="30.88671875" bestFit="1" customWidth="1"/>
    <col min="3054" max="3054" width="10.5546875" bestFit="1" customWidth="1"/>
    <col min="3293" max="3293" width="10.109375" bestFit="1" customWidth="1"/>
    <col min="3294" max="3294" width="18.33203125" customWidth="1"/>
    <col min="3295" max="3295" width="11.88671875" bestFit="1" customWidth="1"/>
    <col min="3296" max="3296" width="13.44140625" customWidth="1"/>
    <col min="3297" max="3297" width="30.88671875" bestFit="1" customWidth="1"/>
    <col min="3298" max="3298" width="21.109375" customWidth="1"/>
    <col min="3299" max="3299" width="44.5546875" customWidth="1"/>
    <col min="3300" max="3300" width="17.44140625" customWidth="1"/>
    <col min="3301" max="3301" width="30.88671875" customWidth="1"/>
    <col min="3302" max="3302" width="11.88671875" customWidth="1"/>
    <col min="3303" max="3303" width="41.6640625" customWidth="1"/>
    <col min="3304" max="3309" width="30.88671875" bestFit="1" customWidth="1"/>
    <col min="3310" max="3310" width="10.5546875" bestFit="1" customWidth="1"/>
    <col min="3549" max="3549" width="10.109375" bestFit="1" customWidth="1"/>
    <col min="3550" max="3550" width="18.33203125" customWidth="1"/>
    <col min="3551" max="3551" width="11.88671875" bestFit="1" customWidth="1"/>
    <col min="3552" max="3552" width="13.44140625" customWidth="1"/>
    <col min="3553" max="3553" width="30.88671875" bestFit="1" customWidth="1"/>
    <col min="3554" max="3554" width="21.109375" customWidth="1"/>
    <col min="3555" max="3555" width="44.5546875" customWidth="1"/>
    <col min="3556" max="3556" width="17.44140625" customWidth="1"/>
    <col min="3557" max="3557" width="30.88671875" customWidth="1"/>
    <col min="3558" max="3558" width="11.88671875" customWidth="1"/>
    <col min="3559" max="3559" width="41.6640625" customWidth="1"/>
    <col min="3560" max="3565" width="30.88671875" bestFit="1" customWidth="1"/>
    <col min="3566" max="3566" width="10.5546875" bestFit="1" customWidth="1"/>
    <col min="3805" max="3805" width="10.109375" bestFit="1" customWidth="1"/>
    <col min="3806" max="3806" width="18.33203125" customWidth="1"/>
    <col min="3807" max="3807" width="11.88671875" bestFit="1" customWidth="1"/>
    <col min="3808" max="3808" width="13.44140625" customWidth="1"/>
    <col min="3809" max="3809" width="30.88671875" bestFit="1" customWidth="1"/>
    <col min="3810" max="3810" width="21.109375" customWidth="1"/>
    <col min="3811" max="3811" width="44.5546875" customWidth="1"/>
    <col min="3812" max="3812" width="17.44140625" customWidth="1"/>
    <col min="3813" max="3813" width="30.88671875" customWidth="1"/>
    <col min="3814" max="3814" width="11.88671875" customWidth="1"/>
    <col min="3815" max="3815" width="41.6640625" customWidth="1"/>
    <col min="3816" max="3821" width="30.88671875" bestFit="1" customWidth="1"/>
    <col min="3822" max="3822" width="10.5546875" bestFit="1" customWidth="1"/>
    <col min="4061" max="4061" width="10.109375" bestFit="1" customWidth="1"/>
    <col min="4062" max="4062" width="18.33203125" customWidth="1"/>
    <col min="4063" max="4063" width="11.88671875" bestFit="1" customWidth="1"/>
    <col min="4064" max="4064" width="13.44140625" customWidth="1"/>
    <col min="4065" max="4065" width="30.88671875" bestFit="1" customWidth="1"/>
    <col min="4066" max="4066" width="21.109375" customWidth="1"/>
    <col min="4067" max="4067" width="44.5546875" customWidth="1"/>
    <col min="4068" max="4068" width="17.44140625" customWidth="1"/>
    <col min="4069" max="4069" width="30.88671875" customWidth="1"/>
    <col min="4070" max="4070" width="11.88671875" customWidth="1"/>
    <col min="4071" max="4071" width="41.6640625" customWidth="1"/>
    <col min="4072" max="4077" width="30.88671875" bestFit="1" customWidth="1"/>
    <col min="4078" max="4078" width="10.5546875" bestFit="1" customWidth="1"/>
    <col min="4317" max="4317" width="10.109375" bestFit="1" customWidth="1"/>
    <col min="4318" max="4318" width="18.33203125" customWidth="1"/>
    <col min="4319" max="4319" width="11.88671875" bestFit="1" customWidth="1"/>
    <col min="4320" max="4320" width="13.44140625" customWidth="1"/>
    <col min="4321" max="4321" width="30.88671875" bestFit="1" customWidth="1"/>
    <col min="4322" max="4322" width="21.109375" customWidth="1"/>
    <col min="4323" max="4323" width="44.5546875" customWidth="1"/>
    <col min="4324" max="4324" width="17.44140625" customWidth="1"/>
    <col min="4325" max="4325" width="30.88671875" customWidth="1"/>
    <col min="4326" max="4326" width="11.88671875" customWidth="1"/>
    <col min="4327" max="4327" width="41.6640625" customWidth="1"/>
    <col min="4328" max="4333" width="30.88671875" bestFit="1" customWidth="1"/>
    <col min="4334" max="4334" width="10.5546875" bestFit="1" customWidth="1"/>
    <col min="4573" max="4573" width="10.109375" bestFit="1" customWidth="1"/>
    <col min="4574" max="4574" width="18.33203125" customWidth="1"/>
    <col min="4575" max="4575" width="11.88671875" bestFit="1" customWidth="1"/>
    <col min="4576" max="4576" width="13.44140625" customWidth="1"/>
    <col min="4577" max="4577" width="30.88671875" bestFit="1" customWidth="1"/>
    <col min="4578" max="4578" width="21.109375" customWidth="1"/>
    <col min="4579" max="4579" width="44.5546875" customWidth="1"/>
    <col min="4580" max="4580" width="17.44140625" customWidth="1"/>
    <col min="4581" max="4581" width="30.88671875" customWidth="1"/>
    <col min="4582" max="4582" width="11.88671875" customWidth="1"/>
    <col min="4583" max="4583" width="41.6640625" customWidth="1"/>
    <col min="4584" max="4589" width="30.88671875" bestFit="1" customWidth="1"/>
    <col min="4590" max="4590" width="10.5546875" bestFit="1" customWidth="1"/>
    <col min="4829" max="4829" width="10.109375" bestFit="1" customWidth="1"/>
    <col min="4830" max="4830" width="18.33203125" customWidth="1"/>
    <col min="4831" max="4831" width="11.88671875" bestFit="1" customWidth="1"/>
    <col min="4832" max="4832" width="13.44140625" customWidth="1"/>
    <col min="4833" max="4833" width="30.88671875" bestFit="1" customWidth="1"/>
    <col min="4834" max="4834" width="21.109375" customWidth="1"/>
    <col min="4835" max="4835" width="44.5546875" customWidth="1"/>
    <col min="4836" max="4836" width="17.44140625" customWidth="1"/>
    <col min="4837" max="4837" width="30.88671875" customWidth="1"/>
    <col min="4838" max="4838" width="11.88671875" customWidth="1"/>
    <col min="4839" max="4839" width="41.6640625" customWidth="1"/>
    <col min="4840" max="4845" width="30.88671875" bestFit="1" customWidth="1"/>
    <col min="4846" max="4846" width="10.5546875" bestFit="1" customWidth="1"/>
    <col min="5085" max="5085" width="10.109375" bestFit="1" customWidth="1"/>
    <col min="5086" max="5086" width="18.33203125" customWidth="1"/>
    <col min="5087" max="5087" width="11.88671875" bestFit="1" customWidth="1"/>
    <col min="5088" max="5088" width="13.44140625" customWidth="1"/>
    <col min="5089" max="5089" width="30.88671875" bestFit="1" customWidth="1"/>
    <col min="5090" max="5090" width="21.109375" customWidth="1"/>
    <col min="5091" max="5091" width="44.5546875" customWidth="1"/>
    <col min="5092" max="5092" width="17.44140625" customWidth="1"/>
    <col min="5093" max="5093" width="30.88671875" customWidth="1"/>
    <col min="5094" max="5094" width="11.88671875" customWidth="1"/>
    <col min="5095" max="5095" width="41.6640625" customWidth="1"/>
    <col min="5096" max="5101" width="30.88671875" bestFit="1" customWidth="1"/>
    <col min="5102" max="5102" width="10.5546875" bestFit="1" customWidth="1"/>
    <col min="5341" max="5341" width="10.109375" bestFit="1" customWidth="1"/>
    <col min="5342" max="5342" width="18.33203125" customWidth="1"/>
    <col min="5343" max="5343" width="11.88671875" bestFit="1" customWidth="1"/>
    <col min="5344" max="5344" width="13.44140625" customWidth="1"/>
    <col min="5345" max="5345" width="30.88671875" bestFit="1" customWidth="1"/>
    <col min="5346" max="5346" width="21.109375" customWidth="1"/>
    <col min="5347" max="5347" width="44.5546875" customWidth="1"/>
    <col min="5348" max="5348" width="17.44140625" customWidth="1"/>
    <col min="5349" max="5349" width="30.88671875" customWidth="1"/>
    <col min="5350" max="5350" width="11.88671875" customWidth="1"/>
    <col min="5351" max="5351" width="41.6640625" customWidth="1"/>
    <col min="5352" max="5357" width="30.88671875" bestFit="1" customWidth="1"/>
    <col min="5358" max="5358" width="10.5546875" bestFit="1" customWidth="1"/>
    <col min="5597" max="5597" width="10.109375" bestFit="1" customWidth="1"/>
    <col min="5598" max="5598" width="18.33203125" customWidth="1"/>
    <col min="5599" max="5599" width="11.88671875" bestFit="1" customWidth="1"/>
    <col min="5600" max="5600" width="13.44140625" customWidth="1"/>
    <col min="5601" max="5601" width="30.88671875" bestFit="1" customWidth="1"/>
    <col min="5602" max="5602" width="21.109375" customWidth="1"/>
    <col min="5603" max="5603" width="44.5546875" customWidth="1"/>
    <col min="5604" max="5604" width="17.44140625" customWidth="1"/>
    <col min="5605" max="5605" width="30.88671875" customWidth="1"/>
    <col min="5606" max="5606" width="11.88671875" customWidth="1"/>
    <col min="5607" max="5607" width="41.6640625" customWidth="1"/>
    <col min="5608" max="5613" width="30.88671875" bestFit="1" customWidth="1"/>
    <col min="5614" max="5614" width="10.5546875" bestFit="1" customWidth="1"/>
    <col min="5853" max="5853" width="10.109375" bestFit="1" customWidth="1"/>
    <col min="5854" max="5854" width="18.33203125" customWidth="1"/>
    <col min="5855" max="5855" width="11.88671875" bestFit="1" customWidth="1"/>
    <col min="5856" max="5856" width="13.44140625" customWidth="1"/>
    <col min="5857" max="5857" width="30.88671875" bestFit="1" customWidth="1"/>
    <col min="5858" max="5858" width="21.109375" customWidth="1"/>
    <col min="5859" max="5859" width="44.5546875" customWidth="1"/>
    <col min="5860" max="5860" width="17.44140625" customWidth="1"/>
    <col min="5861" max="5861" width="30.88671875" customWidth="1"/>
    <col min="5862" max="5862" width="11.88671875" customWidth="1"/>
    <col min="5863" max="5863" width="41.6640625" customWidth="1"/>
    <col min="5864" max="5869" width="30.88671875" bestFit="1" customWidth="1"/>
    <col min="5870" max="5870" width="10.5546875" bestFit="1" customWidth="1"/>
    <col min="6109" max="6109" width="10.109375" bestFit="1" customWidth="1"/>
    <col min="6110" max="6110" width="18.33203125" customWidth="1"/>
    <col min="6111" max="6111" width="11.88671875" bestFit="1" customWidth="1"/>
    <col min="6112" max="6112" width="13.44140625" customWidth="1"/>
    <col min="6113" max="6113" width="30.88671875" bestFit="1" customWidth="1"/>
    <col min="6114" max="6114" width="21.109375" customWidth="1"/>
    <col min="6115" max="6115" width="44.5546875" customWidth="1"/>
    <col min="6116" max="6116" width="17.44140625" customWidth="1"/>
    <col min="6117" max="6117" width="30.88671875" customWidth="1"/>
    <col min="6118" max="6118" width="11.88671875" customWidth="1"/>
    <col min="6119" max="6119" width="41.6640625" customWidth="1"/>
    <col min="6120" max="6125" width="30.88671875" bestFit="1" customWidth="1"/>
    <col min="6126" max="6126" width="10.5546875" bestFit="1" customWidth="1"/>
    <col min="6365" max="6365" width="10.109375" bestFit="1" customWidth="1"/>
    <col min="6366" max="6366" width="18.33203125" customWidth="1"/>
    <col min="6367" max="6367" width="11.88671875" bestFit="1" customWidth="1"/>
    <col min="6368" max="6368" width="13.44140625" customWidth="1"/>
    <col min="6369" max="6369" width="30.88671875" bestFit="1" customWidth="1"/>
    <col min="6370" max="6370" width="21.109375" customWidth="1"/>
    <col min="6371" max="6371" width="44.5546875" customWidth="1"/>
    <col min="6372" max="6372" width="17.44140625" customWidth="1"/>
    <col min="6373" max="6373" width="30.88671875" customWidth="1"/>
    <col min="6374" max="6374" width="11.88671875" customWidth="1"/>
    <col min="6375" max="6375" width="41.6640625" customWidth="1"/>
    <col min="6376" max="6381" width="30.88671875" bestFit="1" customWidth="1"/>
    <col min="6382" max="6382" width="10.5546875" bestFit="1" customWidth="1"/>
    <col min="6621" max="6621" width="10.109375" bestFit="1" customWidth="1"/>
    <col min="6622" max="6622" width="18.33203125" customWidth="1"/>
    <col min="6623" max="6623" width="11.88671875" bestFit="1" customWidth="1"/>
    <col min="6624" max="6624" width="13.44140625" customWidth="1"/>
    <col min="6625" max="6625" width="30.88671875" bestFit="1" customWidth="1"/>
    <col min="6626" max="6626" width="21.109375" customWidth="1"/>
    <col min="6627" max="6627" width="44.5546875" customWidth="1"/>
    <col min="6628" max="6628" width="17.44140625" customWidth="1"/>
    <col min="6629" max="6629" width="30.88671875" customWidth="1"/>
    <col min="6630" max="6630" width="11.88671875" customWidth="1"/>
    <col min="6631" max="6631" width="41.6640625" customWidth="1"/>
    <col min="6632" max="6637" width="30.88671875" bestFit="1" customWidth="1"/>
    <col min="6638" max="6638" width="10.5546875" bestFit="1" customWidth="1"/>
    <col min="6877" max="6877" width="10.109375" bestFit="1" customWidth="1"/>
    <col min="6878" max="6878" width="18.33203125" customWidth="1"/>
    <col min="6879" max="6879" width="11.88671875" bestFit="1" customWidth="1"/>
    <col min="6880" max="6880" width="13.44140625" customWidth="1"/>
    <col min="6881" max="6881" width="30.88671875" bestFit="1" customWidth="1"/>
    <col min="6882" max="6882" width="21.109375" customWidth="1"/>
    <col min="6883" max="6883" width="44.5546875" customWidth="1"/>
    <col min="6884" max="6884" width="17.44140625" customWidth="1"/>
    <col min="6885" max="6885" width="30.88671875" customWidth="1"/>
    <col min="6886" max="6886" width="11.88671875" customWidth="1"/>
    <col min="6887" max="6887" width="41.6640625" customWidth="1"/>
    <col min="6888" max="6893" width="30.88671875" bestFit="1" customWidth="1"/>
    <col min="6894" max="6894" width="10.5546875" bestFit="1" customWidth="1"/>
    <col min="7133" max="7133" width="10.109375" bestFit="1" customWidth="1"/>
    <col min="7134" max="7134" width="18.33203125" customWidth="1"/>
    <col min="7135" max="7135" width="11.88671875" bestFit="1" customWidth="1"/>
    <col min="7136" max="7136" width="13.44140625" customWidth="1"/>
    <col min="7137" max="7137" width="30.88671875" bestFit="1" customWidth="1"/>
    <col min="7138" max="7138" width="21.109375" customWidth="1"/>
    <col min="7139" max="7139" width="44.5546875" customWidth="1"/>
    <col min="7140" max="7140" width="17.44140625" customWidth="1"/>
    <col min="7141" max="7141" width="30.88671875" customWidth="1"/>
    <col min="7142" max="7142" width="11.88671875" customWidth="1"/>
    <col min="7143" max="7143" width="41.6640625" customWidth="1"/>
    <col min="7144" max="7149" width="30.88671875" bestFit="1" customWidth="1"/>
    <col min="7150" max="7150" width="10.5546875" bestFit="1" customWidth="1"/>
    <col min="7389" max="7389" width="10.109375" bestFit="1" customWidth="1"/>
    <col min="7390" max="7390" width="18.33203125" customWidth="1"/>
    <col min="7391" max="7391" width="11.88671875" bestFit="1" customWidth="1"/>
    <col min="7392" max="7392" width="13.44140625" customWidth="1"/>
    <col min="7393" max="7393" width="30.88671875" bestFit="1" customWidth="1"/>
    <col min="7394" max="7394" width="21.109375" customWidth="1"/>
    <col min="7395" max="7395" width="44.5546875" customWidth="1"/>
    <col min="7396" max="7396" width="17.44140625" customWidth="1"/>
    <col min="7397" max="7397" width="30.88671875" customWidth="1"/>
    <col min="7398" max="7398" width="11.88671875" customWidth="1"/>
    <col min="7399" max="7399" width="41.6640625" customWidth="1"/>
    <col min="7400" max="7405" width="30.88671875" bestFit="1" customWidth="1"/>
    <col min="7406" max="7406" width="10.5546875" bestFit="1" customWidth="1"/>
    <col min="7645" max="7645" width="10.109375" bestFit="1" customWidth="1"/>
    <col min="7646" max="7646" width="18.33203125" customWidth="1"/>
    <col min="7647" max="7647" width="11.88671875" bestFit="1" customWidth="1"/>
    <col min="7648" max="7648" width="13.44140625" customWidth="1"/>
    <col min="7649" max="7649" width="30.88671875" bestFit="1" customWidth="1"/>
    <col min="7650" max="7650" width="21.109375" customWidth="1"/>
    <col min="7651" max="7651" width="44.5546875" customWidth="1"/>
    <col min="7652" max="7652" width="17.44140625" customWidth="1"/>
    <col min="7653" max="7653" width="30.88671875" customWidth="1"/>
    <col min="7654" max="7654" width="11.88671875" customWidth="1"/>
    <col min="7655" max="7655" width="41.6640625" customWidth="1"/>
    <col min="7656" max="7661" width="30.88671875" bestFit="1" customWidth="1"/>
    <col min="7662" max="7662" width="10.5546875" bestFit="1" customWidth="1"/>
    <col min="7901" max="7901" width="10.109375" bestFit="1" customWidth="1"/>
    <col min="7902" max="7902" width="18.33203125" customWidth="1"/>
    <col min="7903" max="7903" width="11.88671875" bestFit="1" customWidth="1"/>
    <col min="7904" max="7904" width="13.44140625" customWidth="1"/>
    <col min="7905" max="7905" width="30.88671875" bestFit="1" customWidth="1"/>
    <col min="7906" max="7906" width="21.109375" customWidth="1"/>
    <col min="7907" max="7907" width="44.5546875" customWidth="1"/>
    <col min="7908" max="7908" width="17.44140625" customWidth="1"/>
    <col min="7909" max="7909" width="30.88671875" customWidth="1"/>
    <col min="7910" max="7910" width="11.88671875" customWidth="1"/>
    <col min="7911" max="7911" width="41.6640625" customWidth="1"/>
    <col min="7912" max="7917" width="30.88671875" bestFit="1" customWidth="1"/>
    <col min="7918" max="7918" width="10.5546875" bestFit="1" customWidth="1"/>
    <col min="8157" max="8157" width="10.109375" bestFit="1" customWidth="1"/>
    <col min="8158" max="8158" width="18.33203125" customWidth="1"/>
    <col min="8159" max="8159" width="11.88671875" bestFit="1" customWidth="1"/>
    <col min="8160" max="8160" width="13.44140625" customWidth="1"/>
    <col min="8161" max="8161" width="30.88671875" bestFit="1" customWidth="1"/>
    <col min="8162" max="8162" width="21.109375" customWidth="1"/>
    <col min="8163" max="8163" width="44.5546875" customWidth="1"/>
    <col min="8164" max="8164" width="17.44140625" customWidth="1"/>
    <col min="8165" max="8165" width="30.88671875" customWidth="1"/>
    <col min="8166" max="8166" width="11.88671875" customWidth="1"/>
    <col min="8167" max="8167" width="41.6640625" customWidth="1"/>
    <col min="8168" max="8173" width="30.88671875" bestFit="1" customWidth="1"/>
    <col min="8174" max="8174" width="10.5546875" bestFit="1" customWidth="1"/>
    <col min="8413" max="8413" width="10.109375" bestFit="1" customWidth="1"/>
    <col min="8414" max="8414" width="18.33203125" customWidth="1"/>
    <col min="8415" max="8415" width="11.88671875" bestFit="1" customWidth="1"/>
    <col min="8416" max="8416" width="13.44140625" customWidth="1"/>
    <col min="8417" max="8417" width="30.88671875" bestFit="1" customWidth="1"/>
    <col min="8418" max="8418" width="21.109375" customWidth="1"/>
    <col min="8419" max="8419" width="44.5546875" customWidth="1"/>
    <col min="8420" max="8420" width="17.44140625" customWidth="1"/>
    <col min="8421" max="8421" width="30.88671875" customWidth="1"/>
    <col min="8422" max="8422" width="11.88671875" customWidth="1"/>
    <col min="8423" max="8423" width="41.6640625" customWidth="1"/>
    <col min="8424" max="8429" width="30.88671875" bestFit="1" customWidth="1"/>
    <col min="8430" max="8430" width="10.5546875" bestFit="1" customWidth="1"/>
    <col min="8669" max="8669" width="10.109375" bestFit="1" customWidth="1"/>
    <col min="8670" max="8670" width="18.33203125" customWidth="1"/>
    <col min="8671" max="8671" width="11.88671875" bestFit="1" customWidth="1"/>
    <col min="8672" max="8672" width="13.44140625" customWidth="1"/>
    <col min="8673" max="8673" width="30.88671875" bestFit="1" customWidth="1"/>
    <col min="8674" max="8674" width="21.109375" customWidth="1"/>
    <col min="8675" max="8675" width="44.5546875" customWidth="1"/>
    <col min="8676" max="8676" width="17.44140625" customWidth="1"/>
    <col min="8677" max="8677" width="30.88671875" customWidth="1"/>
    <col min="8678" max="8678" width="11.88671875" customWidth="1"/>
    <col min="8679" max="8679" width="41.6640625" customWidth="1"/>
    <col min="8680" max="8685" width="30.88671875" bestFit="1" customWidth="1"/>
    <col min="8686" max="8686" width="10.5546875" bestFit="1" customWidth="1"/>
    <col min="8925" max="8925" width="10.109375" bestFit="1" customWidth="1"/>
    <col min="8926" max="8926" width="18.33203125" customWidth="1"/>
    <col min="8927" max="8927" width="11.88671875" bestFit="1" customWidth="1"/>
    <col min="8928" max="8928" width="13.44140625" customWidth="1"/>
    <col min="8929" max="8929" width="30.88671875" bestFit="1" customWidth="1"/>
    <col min="8930" max="8930" width="21.109375" customWidth="1"/>
    <col min="8931" max="8931" width="44.5546875" customWidth="1"/>
    <col min="8932" max="8932" width="17.44140625" customWidth="1"/>
    <col min="8933" max="8933" width="30.88671875" customWidth="1"/>
    <col min="8934" max="8934" width="11.88671875" customWidth="1"/>
    <col min="8935" max="8935" width="41.6640625" customWidth="1"/>
    <col min="8936" max="8941" width="30.88671875" bestFit="1" customWidth="1"/>
    <col min="8942" max="8942" width="10.5546875" bestFit="1" customWidth="1"/>
    <col min="9181" max="9181" width="10.109375" bestFit="1" customWidth="1"/>
    <col min="9182" max="9182" width="18.33203125" customWidth="1"/>
    <col min="9183" max="9183" width="11.88671875" bestFit="1" customWidth="1"/>
    <col min="9184" max="9184" width="13.44140625" customWidth="1"/>
    <col min="9185" max="9185" width="30.88671875" bestFit="1" customWidth="1"/>
    <col min="9186" max="9186" width="21.109375" customWidth="1"/>
    <col min="9187" max="9187" width="44.5546875" customWidth="1"/>
    <col min="9188" max="9188" width="17.44140625" customWidth="1"/>
    <col min="9189" max="9189" width="30.88671875" customWidth="1"/>
    <col min="9190" max="9190" width="11.88671875" customWidth="1"/>
    <col min="9191" max="9191" width="41.6640625" customWidth="1"/>
    <col min="9192" max="9197" width="30.88671875" bestFit="1" customWidth="1"/>
    <col min="9198" max="9198" width="10.5546875" bestFit="1" customWidth="1"/>
    <col min="9437" max="9437" width="10.109375" bestFit="1" customWidth="1"/>
    <col min="9438" max="9438" width="18.33203125" customWidth="1"/>
    <col min="9439" max="9439" width="11.88671875" bestFit="1" customWidth="1"/>
    <col min="9440" max="9440" width="13.44140625" customWidth="1"/>
    <col min="9441" max="9441" width="30.88671875" bestFit="1" customWidth="1"/>
    <col min="9442" max="9442" width="21.109375" customWidth="1"/>
    <col min="9443" max="9443" width="44.5546875" customWidth="1"/>
    <col min="9444" max="9444" width="17.44140625" customWidth="1"/>
    <col min="9445" max="9445" width="30.88671875" customWidth="1"/>
    <col min="9446" max="9446" width="11.88671875" customWidth="1"/>
    <col min="9447" max="9447" width="41.6640625" customWidth="1"/>
    <col min="9448" max="9453" width="30.88671875" bestFit="1" customWidth="1"/>
    <col min="9454" max="9454" width="10.5546875" bestFit="1" customWidth="1"/>
    <col min="9693" max="9693" width="10.109375" bestFit="1" customWidth="1"/>
    <col min="9694" max="9694" width="18.33203125" customWidth="1"/>
    <col min="9695" max="9695" width="11.88671875" bestFit="1" customWidth="1"/>
    <col min="9696" max="9696" width="13.44140625" customWidth="1"/>
    <col min="9697" max="9697" width="30.88671875" bestFit="1" customWidth="1"/>
    <col min="9698" max="9698" width="21.109375" customWidth="1"/>
    <col min="9699" max="9699" width="44.5546875" customWidth="1"/>
    <col min="9700" max="9700" width="17.44140625" customWidth="1"/>
    <col min="9701" max="9701" width="30.88671875" customWidth="1"/>
    <col min="9702" max="9702" width="11.88671875" customWidth="1"/>
    <col min="9703" max="9703" width="41.6640625" customWidth="1"/>
    <col min="9704" max="9709" width="30.88671875" bestFit="1" customWidth="1"/>
    <col min="9710" max="9710" width="10.5546875" bestFit="1" customWidth="1"/>
    <col min="9949" max="9949" width="10.109375" bestFit="1" customWidth="1"/>
    <col min="9950" max="9950" width="18.33203125" customWidth="1"/>
    <col min="9951" max="9951" width="11.88671875" bestFit="1" customWidth="1"/>
    <col min="9952" max="9952" width="13.44140625" customWidth="1"/>
    <col min="9953" max="9953" width="30.88671875" bestFit="1" customWidth="1"/>
    <col min="9954" max="9954" width="21.109375" customWidth="1"/>
    <col min="9955" max="9955" width="44.5546875" customWidth="1"/>
    <col min="9956" max="9956" width="17.44140625" customWidth="1"/>
    <col min="9957" max="9957" width="30.88671875" customWidth="1"/>
    <col min="9958" max="9958" width="11.88671875" customWidth="1"/>
    <col min="9959" max="9959" width="41.6640625" customWidth="1"/>
    <col min="9960" max="9965" width="30.88671875" bestFit="1" customWidth="1"/>
    <col min="9966" max="9966" width="10.5546875" bestFit="1" customWidth="1"/>
    <col min="10205" max="10205" width="10.109375" bestFit="1" customWidth="1"/>
    <col min="10206" max="10206" width="18.33203125" customWidth="1"/>
    <col min="10207" max="10207" width="11.88671875" bestFit="1" customWidth="1"/>
    <col min="10208" max="10208" width="13.44140625" customWidth="1"/>
    <col min="10209" max="10209" width="30.88671875" bestFit="1" customWidth="1"/>
    <col min="10210" max="10210" width="21.109375" customWidth="1"/>
    <col min="10211" max="10211" width="44.5546875" customWidth="1"/>
    <col min="10212" max="10212" width="17.44140625" customWidth="1"/>
    <col min="10213" max="10213" width="30.88671875" customWidth="1"/>
    <col min="10214" max="10214" width="11.88671875" customWidth="1"/>
    <col min="10215" max="10215" width="41.6640625" customWidth="1"/>
    <col min="10216" max="10221" width="30.88671875" bestFit="1" customWidth="1"/>
    <col min="10222" max="10222" width="10.5546875" bestFit="1" customWidth="1"/>
    <col min="10461" max="10461" width="10.109375" bestFit="1" customWidth="1"/>
    <col min="10462" max="10462" width="18.33203125" customWidth="1"/>
    <col min="10463" max="10463" width="11.88671875" bestFit="1" customWidth="1"/>
    <col min="10464" max="10464" width="13.44140625" customWidth="1"/>
    <col min="10465" max="10465" width="30.88671875" bestFit="1" customWidth="1"/>
    <col min="10466" max="10466" width="21.109375" customWidth="1"/>
    <col min="10467" max="10467" width="44.5546875" customWidth="1"/>
    <col min="10468" max="10468" width="17.44140625" customWidth="1"/>
    <col min="10469" max="10469" width="30.88671875" customWidth="1"/>
    <col min="10470" max="10470" width="11.88671875" customWidth="1"/>
    <col min="10471" max="10471" width="41.6640625" customWidth="1"/>
    <col min="10472" max="10477" width="30.88671875" bestFit="1" customWidth="1"/>
    <col min="10478" max="10478" width="10.5546875" bestFit="1" customWidth="1"/>
    <col min="10717" max="10717" width="10.109375" bestFit="1" customWidth="1"/>
    <col min="10718" max="10718" width="18.33203125" customWidth="1"/>
    <col min="10719" max="10719" width="11.88671875" bestFit="1" customWidth="1"/>
    <col min="10720" max="10720" width="13.44140625" customWidth="1"/>
    <col min="10721" max="10721" width="30.88671875" bestFit="1" customWidth="1"/>
    <col min="10722" max="10722" width="21.109375" customWidth="1"/>
    <col min="10723" max="10723" width="44.5546875" customWidth="1"/>
    <col min="10724" max="10724" width="17.44140625" customWidth="1"/>
    <col min="10725" max="10725" width="30.88671875" customWidth="1"/>
    <col min="10726" max="10726" width="11.88671875" customWidth="1"/>
    <col min="10727" max="10727" width="41.6640625" customWidth="1"/>
    <col min="10728" max="10733" width="30.88671875" bestFit="1" customWidth="1"/>
    <col min="10734" max="10734" width="10.5546875" bestFit="1" customWidth="1"/>
    <col min="10973" max="10973" width="10.109375" bestFit="1" customWidth="1"/>
    <col min="10974" max="10974" width="18.33203125" customWidth="1"/>
    <col min="10975" max="10975" width="11.88671875" bestFit="1" customWidth="1"/>
    <col min="10976" max="10976" width="13.44140625" customWidth="1"/>
    <col min="10977" max="10977" width="30.88671875" bestFit="1" customWidth="1"/>
    <col min="10978" max="10978" width="21.109375" customWidth="1"/>
    <col min="10979" max="10979" width="44.5546875" customWidth="1"/>
    <col min="10980" max="10980" width="17.44140625" customWidth="1"/>
    <col min="10981" max="10981" width="30.88671875" customWidth="1"/>
    <col min="10982" max="10982" width="11.88671875" customWidth="1"/>
    <col min="10983" max="10983" width="41.6640625" customWidth="1"/>
    <col min="10984" max="10989" width="30.88671875" bestFit="1" customWidth="1"/>
    <col min="10990" max="10990" width="10.5546875" bestFit="1" customWidth="1"/>
    <col min="11229" max="11229" width="10.109375" bestFit="1" customWidth="1"/>
    <col min="11230" max="11230" width="18.33203125" customWidth="1"/>
    <col min="11231" max="11231" width="11.88671875" bestFit="1" customWidth="1"/>
    <col min="11232" max="11232" width="13.44140625" customWidth="1"/>
    <col min="11233" max="11233" width="30.88671875" bestFit="1" customWidth="1"/>
    <col min="11234" max="11234" width="21.109375" customWidth="1"/>
    <col min="11235" max="11235" width="44.5546875" customWidth="1"/>
    <col min="11236" max="11236" width="17.44140625" customWidth="1"/>
    <col min="11237" max="11237" width="30.88671875" customWidth="1"/>
    <col min="11238" max="11238" width="11.88671875" customWidth="1"/>
    <col min="11239" max="11239" width="41.6640625" customWidth="1"/>
    <col min="11240" max="11245" width="30.88671875" bestFit="1" customWidth="1"/>
    <col min="11246" max="11246" width="10.5546875" bestFit="1" customWidth="1"/>
    <col min="11485" max="11485" width="10.109375" bestFit="1" customWidth="1"/>
    <col min="11486" max="11486" width="18.33203125" customWidth="1"/>
    <col min="11487" max="11487" width="11.88671875" bestFit="1" customWidth="1"/>
    <col min="11488" max="11488" width="13.44140625" customWidth="1"/>
    <col min="11489" max="11489" width="30.88671875" bestFit="1" customWidth="1"/>
    <col min="11490" max="11490" width="21.109375" customWidth="1"/>
    <col min="11491" max="11491" width="44.5546875" customWidth="1"/>
    <col min="11492" max="11492" width="17.44140625" customWidth="1"/>
    <col min="11493" max="11493" width="30.88671875" customWidth="1"/>
    <col min="11494" max="11494" width="11.88671875" customWidth="1"/>
    <col min="11495" max="11495" width="41.6640625" customWidth="1"/>
    <col min="11496" max="11501" width="30.88671875" bestFit="1" customWidth="1"/>
    <col min="11502" max="11502" width="10.5546875" bestFit="1" customWidth="1"/>
    <col min="11741" max="11741" width="10.109375" bestFit="1" customWidth="1"/>
    <col min="11742" max="11742" width="18.33203125" customWidth="1"/>
    <col min="11743" max="11743" width="11.88671875" bestFit="1" customWidth="1"/>
    <col min="11744" max="11744" width="13.44140625" customWidth="1"/>
    <col min="11745" max="11745" width="30.88671875" bestFit="1" customWidth="1"/>
    <col min="11746" max="11746" width="21.109375" customWidth="1"/>
    <col min="11747" max="11747" width="44.5546875" customWidth="1"/>
    <col min="11748" max="11748" width="17.44140625" customWidth="1"/>
    <col min="11749" max="11749" width="30.88671875" customWidth="1"/>
    <col min="11750" max="11750" width="11.88671875" customWidth="1"/>
    <col min="11751" max="11751" width="41.6640625" customWidth="1"/>
    <col min="11752" max="11757" width="30.88671875" bestFit="1" customWidth="1"/>
    <col min="11758" max="11758" width="10.5546875" bestFit="1" customWidth="1"/>
    <col min="11997" max="11997" width="10.109375" bestFit="1" customWidth="1"/>
    <col min="11998" max="11998" width="18.33203125" customWidth="1"/>
    <col min="11999" max="11999" width="11.88671875" bestFit="1" customWidth="1"/>
    <col min="12000" max="12000" width="13.44140625" customWidth="1"/>
    <col min="12001" max="12001" width="30.88671875" bestFit="1" customWidth="1"/>
    <col min="12002" max="12002" width="21.109375" customWidth="1"/>
    <col min="12003" max="12003" width="44.5546875" customWidth="1"/>
    <col min="12004" max="12004" width="17.44140625" customWidth="1"/>
    <col min="12005" max="12005" width="30.88671875" customWidth="1"/>
    <col min="12006" max="12006" width="11.88671875" customWidth="1"/>
    <col min="12007" max="12007" width="41.6640625" customWidth="1"/>
    <col min="12008" max="12013" width="30.88671875" bestFit="1" customWidth="1"/>
    <col min="12014" max="12014" width="10.5546875" bestFit="1" customWidth="1"/>
    <col min="12253" max="12253" width="10.109375" bestFit="1" customWidth="1"/>
    <col min="12254" max="12254" width="18.33203125" customWidth="1"/>
    <col min="12255" max="12255" width="11.88671875" bestFit="1" customWidth="1"/>
    <col min="12256" max="12256" width="13.44140625" customWidth="1"/>
    <col min="12257" max="12257" width="30.88671875" bestFit="1" customWidth="1"/>
    <col min="12258" max="12258" width="21.109375" customWidth="1"/>
    <col min="12259" max="12259" width="44.5546875" customWidth="1"/>
    <col min="12260" max="12260" width="17.44140625" customWidth="1"/>
    <col min="12261" max="12261" width="30.88671875" customWidth="1"/>
    <col min="12262" max="12262" width="11.88671875" customWidth="1"/>
    <col min="12263" max="12263" width="41.6640625" customWidth="1"/>
    <col min="12264" max="12269" width="30.88671875" bestFit="1" customWidth="1"/>
    <col min="12270" max="12270" width="10.5546875" bestFit="1" customWidth="1"/>
    <col min="12509" max="12509" width="10.109375" bestFit="1" customWidth="1"/>
    <col min="12510" max="12510" width="18.33203125" customWidth="1"/>
    <col min="12511" max="12511" width="11.88671875" bestFit="1" customWidth="1"/>
    <col min="12512" max="12512" width="13.44140625" customWidth="1"/>
    <col min="12513" max="12513" width="30.88671875" bestFit="1" customWidth="1"/>
    <col min="12514" max="12514" width="21.109375" customWidth="1"/>
    <col min="12515" max="12515" width="44.5546875" customWidth="1"/>
    <col min="12516" max="12516" width="17.44140625" customWidth="1"/>
    <col min="12517" max="12517" width="30.88671875" customWidth="1"/>
    <col min="12518" max="12518" width="11.88671875" customWidth="1"/>
    <col min="12519" max="12519" width="41.6640625" customWidth="1"/>
    <col min="12520" max="12525" width="30.88671875" bestFit="1" customWidth="1"/>
    <col min="12526" max="12526" width="10.5546875" bestFit="1" customWidth="1"/>
    <col min="12765" max="12765" width="10.109375" bestFit="1" customWidth="1"/>
    <col min="12766" max="12766" width="18.33203125" customWidth="1"/>
    <col min="12767" max="12767" width="11.88671875" bestFit="1" customWidth="1"/>
    <col min="12768" max="12768" width="13.44140625" customWidth="1"/>
    <col min="12769" max="12769" width="30.88671875" bestFit="1" customWidth="1"/>
    <col min="12770" max="12770" width="21.109375" customWidth="1"/>
    <col min="12771" max="12771" width="44.5546875" customWidth="1"/>
    <col min="12772" max="12772" width="17.44140625" customWidth="1"/>
    <col min="12773" max="12773" width="30.88671875" customWidth="1"/>
    <col min="12774" max="12774" width="11.88671875" customWidth="1"/>
    <col min="12775" max="12775" width="41.6640625" customWidth="1"/>
    <col min="12776" max="12781" width="30.88671875" bestFit="1" customWidth="1"/>
    <col min="12782" max="12782" width="10.5546875" bestFit="1" customWidth="1"/>
    <col min="13021" max="13021" width="10.109375" bestFit="1" customWidth="1"/>
    <col min="13022" max="13022" width="18.33203125" customWidth="1"/>
    <col min="13023" max="13023" width="11.88671875" bestFit="1" customWidth="1"/>
    <col min="13024" max="13024" width="13.44140625" customWidth="1"/>
    <col min="13025" max="13025" width="30.88671875" bestFit="1" customWidth="1"/>
    <col min="13026" max="13026" width="21.109375" customWidth="1"/>
    <col min="13027" max="13027" width="44.5546875" customWidth="1"/>
    <col min="13028" max="13028" width="17.44140625" customWidth="1"/>
    <col min="13029" max="13029" width="30.88671875" customWidth="1"/>
    <col min="13030" max="13030" width="11.88671875" customWidth="1"/>
    <col min="13031" max="13031" width="41.6640625" customWidth="1"/>
    <col min="13032" max="13037" width="30.88671875" bestFit="1" customWidth="1"/>
    <col min="13038" max="13038" width="10.5546875" bestFit="1" customWidth="1"/>
    <col min="13277" max="13277" width="10.109375" bestFit="1" customWidth="1"/>
    <col min="13278" max="13278" width="18.33203125" customWidth="1"/>
    <col min="13279" max="13279" width="11.88671875" bestFit="1" customWidth="1"/>
    <col min="13280" max="13280" width="13.44140625" customWidth="1"/>
    <col min="13281" max="13281" width="30.88671875" bestFit="1" customWidth="1"/>
    <col min="13282" max="13282" width="21.109375" customWidth="1"/>
    <col min="13283" max="13283" width="44.5546875" customWidth="1"/>
    <col min="13284" max="13284" width="17.44140625" customWidth="1"/>
    <col min="13285" max="13285" width="30.88671875" customWidth="1"/>
    <col min="13286" max="13286" width="11.88671875" customWidth="1"/>
    <col min="13287" max="13287" width="41.6640625" customWidth="1"/>
    <col min="13288" max="13293" width="30.88671875" bestFit="1" customWidth="1"/>
    <col min="13294" max="13294" width="10.5546875" bestFit="1" customWidth="1"/>
    <col min="13533" max="13533" width="10.109375" bestFit="1" customWidth="1"/>
    <col min="13534" max="13534" width="18.33203125" customWidth="1"/>
    <col min="13535" max="13535" width="11.88671875" bestFit="1" customWidth="1"/>
    <col min="13536" max="13536" width="13.44140625" customWidth="1"/>
    <col min="13537" max="13537" width="30.88671875" bestFit="1" customWidth="1"/>
    <col min="13538" max="13538" width="21.109375" customWidth="1"/>
    <col min="13539" max="13539" width="44.5546875" customWidth="1"/>
    <col min="13540" max="13540" width="17.44140625" customWidth="1"/>
    <col min="13541" max="13541" width="30.88671875" customWidth="1"/>
    <col min="13542" max="13542" width="11.88671875" customWidth="1"/>
    <col min="13543" max="13543" width="41.6640625" customWidth="1"/>
    <col min="13544" max="13549" width="30.88671875" bestFit="1" customWidth="1"/>
    <col min="13550" max="13550" width="10.5546875" bestFit="1" customWidth="1"/>
    <col min="13789" max="13789" width="10.109375" bestFit="1" customWidth="1"/>
    <col min="13790" max="13790" width="18.33203125" customWidth="1"/>
    <col min="13791" max="13791" width="11.88671875" bestFit="1" customWidth="1"/>
    <col min="13792" max="13792" width="13.44140625" customWidth="1"/>
    <col min="13793" max="13793" width="30.88671875" bestFit="1" customWidth="1"/>
    <col min="13794" max="13794" width="21.109375" customWidth="1"/>
    <col min="13795" max="13795" width="44.5546875" customWidth="1"/>
    <col min="13796" max="13796" width="17.44140625" customWidth="1"/>
    <col min="13797" max="13797" width="30.88671875" customWidth="1"/>
    <col min="13798" max="13798" width="11.88671875" customWidth="1"/>
    <col min="13799" max="13799" width="41.6640625" customWidth="1"/>
    <col min="13800" max="13805" width="30.88671875" bestFit="1" customWidth="1"/>
    <col min="13806" max="13806" width="10.5546875" bestFit="1" customWidth="1"/>
    <col min="14045" max="14045" width="10.109375" bestFit="1" customWidth="1"/>
    <col min="14046" max="14046" width="18.33203125" customWidth="1"/>
    <col min="14047" max="14047" width="11.88671875" bestFit="1" customWidth="1"/>
    <col min="14048" max="14048" width="13.44140625" customWidth="1"/>
    <col min="14049" max="14049" width="30.88671875" bestFit="1" customWidth="1"/>
    <col min="14050" max="14050" width="21.109375" customWidth="1"/>
    <col min="14051" max="14051" width="44.5546875" customWidth="1"/>
    <col min="14052" max="14052" width="17.44140625" customWidth="1"/>
    <col min="14053" max="14053" width="30.88671875" customWidth="1"/>
    <col min="14054" max="14054" width="11.88671875" customWidth="1"/>
    <col min="14055" max="14055" width="41.6640625" customWidth="1"/>
    <col min="14056" max="14061" width="30.88671875" bestFit="1" customWidth="1"/>
    <col min="14062" max="14062" width="10.5546875" bestFit="1" customWidth="1"/>
    <col min="14301" max="14301" width="10.109375" bestFit="1" customWidth="1"/>
    <col min="14302" max="14302" width="18.33203125" customWidth="1"/>
    <col min="14303" max="14303" width="11.88671875" bestFit="1" customWidth="1"/>
    <col min="14304" max="14304" width="13.44140625" customWidth="1"/>
    <col min="14305" max="14305" width="30.88671875" bestFit="1" customWidth="1"/>
    <col min="14306" max="14306" width="21.109375" customWidth="1"/>
    <col min="14307" max="14307" width="44.5546875" customWidth="1"/>
    <col min="14308" max="14308" width="17.44140625" customWidth="1"/>
    <col min="14309" max="14309" width="30.88671875" customWidth="1"/>
    <col min="14310" max="14310" width="11.88671875" customWidth="1"/>
    <col min="14311" max="14311" width="41.6640625" customWidth="1"/>
    <col min="14312" max="14317" width="30.88671875" bestFit="1" customWidth="1"/>
    <col min="14318" max="14318" width="10.5546875" bestFit="1" customWidth="1"/>
    <col min="14557" max="14557" width="10.109375" bestFit="1" customWidth="1"/>
    <col min="14558" max="14558" width="18.33203125" customWidth="1"/>
    <col min="14559" max="14559" width="11.88671875" bestFit="1" customWidth="1"/>
    <col min="14560" max="14560" width="13.44140625" customWidth="1"/>
    <col min="14561" max="14561" width="30.88671875" bestFit="1" customWidth="1"/>
    <col min="14562" max="14562" width="21.109375" customWidth="1"/>
    <col min="14563" max="14563" width="44.5546875" customWidth="1"/>
    <col min="14564" max="14564" width="17.44140625" customWidth="1"/>
    <col min="14565" max="14565" width="30.88671875" customWidth="1"/>
    <col min="14566" max="14566" width="11.88671875" customWidth="1"/>
    <col min="14567" max="14567" width="41.6640625" customWidth="1"/>
    <col min="14568" max="14573" width="30.88671875" bestFit="1" customWidth="1"/>
    <col min="14574" max="14574" width="10.5546875" bestFit="1" customWidth="1"/>
    <col min="14813" max="14813" width="10.109375" bestFit="1" customWidth="1"/>
    <col min="14814" max="14814" width="18.33203125" customWidth="1"/>
    <col min="14815" max="14815" width="11.88671875" bestFit="1" customWidth="1"/>
    <col min="14816" max="14816" width="13.44140625" customWidth="1"/>
    <col min="14817" max="14817" width="30.88671875" bestFit="1" customWidth="1"/>
    <col min="14818" max="14818" width="21.109375" customWidth="1"/>
    <col min="14819" max="14819" width="44.5546875" customWidth="1"/>
    <col min="14820" max="14820" width="17.44140625" customWidth="1"/>
    <col min="14821" max="14821" width="30.88671875" customWidth="1"/>
    <col min="14822" max="14822" width="11.88671875" customWidth="1"/>
    <col min="14823" max="14823" width="41.6640625" customWidth="1"/>
    <col min="14824" max="14829" width="30.88671875" bestFit="1" customWidth="1"/>
    <col min="14830" max="14830" width="10.5546875" bestFit="1" customWidth="1"/>
    <col min="15069" max="15069" width="10.109375" bestFit="1" customWidth="1"/>
    <col min="15070" max="15070" width="18.33203125" customWidth="1"/>
    <col min="15071" max="15071" width="11.88671875" bestFit="1" customWidth="1"/>
    <col min="15072" max="15072" width="13.44140625" customWidth="1"/>
    <col min="15073" max="15073" width="30.88671875" bestFit="1" customWidth="1"/>
    <col min="15074" max="15074" width="21.109375" customWidth="1"/>
    <col min="15075" max="15075" width="44.5546875" customWidth="1"/>
    <col min="15076" max="15076" width="17.44140625" customWidth="1"/>
    <col min="15077" max="15077" width="30.88671875" customWidth="1"/>
    <col min="15078" max="15078" width="11.88671875" customWidth="1"/>
    <col min="15079" max="15079" width="41.6640625" customWidth="1"/>
    <col min="15080" max="15085" width="30.88671875" bestFit="1" customWidth="1"/>
    <col min="15086" max="15086" width="10.5546875" bestFit="1" customWidth="1"/>
    <col min="15325" max="15325" width="10.109375" bestFit="1" customWidth="1"/>
    <col min="15326" max="15326" width="18.33203125" customWidth="1"/>
    <col min="15327" max="15327" width="11.88671875" bestFit="1" customWidth="1"/>
    <col min="15328" max="15328" width="13.44140625" customWidth="1"/>
    <col min="15329" max="15329" width="30.88671875" bestFit="1" customWidth="1"/>
    <col min="15330" max="15330" width="21.109375" customWidth="1"/>
    <col min="15331" max="15331" width="44.5546875" customWidth="1"/>
    <col min="15332" max="15332" width="17.44140625" customWidth="1"/>
    <col min="15333" max="15333" width="30.88671875" customWidth="1"/>
    <col min="15334" max="15334" width="11.88671875" customWidth="1"/>
    <col min="15335" max="15335" width="41.6640625" customWidth="1"/>
    <col min="15336" max="15341" width="30.88671875" bestFit="1" customWidth="1"/>
    <col min="15342" max="15342" width="10.5546875" bestFit="1" customWidth="1"/>
    <col min="15581" max="15581" width="10.109375" bestFit="1" customWidth="1"/>
    <col min="15582" max="15582" width="18.33203125" customWidth="1"/>
    <col min="15583" max="15583" width="11.88671875" bestFit="1" customWidth="1"/>
    <col min="15584" max="15584" width="13.44140625" customWidth="1"/>
    <col min="15585" max="15585" width="30.88671875" bestFit="1" customWidth="1"/>
    <col min="15586" max="15586" width="21.109375" customWidth="1"/>
    <col min="15587" max="15587" width="44.5546875" customWidth="1"/>
    <col min="15588" max="15588" width="17.44140625" customWidth="1"/>
    <col min="15589" max="15589" width="30.88671875" customWidth="1"/>
    <col min="15590" max="15590" width="11.88671875" customWidth="1"/>
    <col min="15591" max="15591" width="41.6640625" customWidth="1"/>
    <col min="15592" max="15597" width="30.88671875" bestFit="1" customWidth="1"/>
    <col min="15598" max="15598" width="10.5546875" bestFit="1" customWidth="1"/>
    <col min="15837" max="15837" width="10.109375" bestFit="1" customWidth="1"/>
    <col min="15838" max="15838" width="18.33203125" customWidth="1"/>
    <col min="15839" max="15839" width="11.88671875" bestFit="1" customWidth="1"/>
    <col min="15840" max="15840" width="13.44140625" customWidth="1"/>
    <col min="15841" max="15841" width="30.88671875" bestFit="1" customWidth="1"/>
    <col min="15842" max="15842" width="21.109375" customWidth="1"/>
    <col min="15843" max="15843" width="44.5546875" customWidth="1"/>
    <col min="15844" max="15844" width="17.44140625" customWidth="1"/>
    <col min="15845" max="15845" width="30.88671875" customWidth="1"/>
    <col min="15846" max="15846" width="11.88671875" customWidth="1"/>
    <col min="15847" max="15847" width="41.6640625" customWidth="1"/>
    <col min="15848" max="15853" width="30.88671875" bestFit="1" customWidth="1"/>
    <col min="15854" max="15854" width="10.5546875" bestFit="1" customWidth="1"/>
    <col min="16093" max="16093" width="10.109375" bestFit="1" customWidth="1"/>
    <col min="16094" max="16094" width="18.33203125" customWidth="1"/>
    <col min="16095" max="16095" width="11.88671875" bestFit="1" customWidth="1"/>
    <col min="16096" max="16096" width="13.44140625" customWidth="1"/>
    <col min="16097" max="16097" width="30.88671875" bestFit="1" customWidth="1"/>
    <col min="16098" max="16098" width="21.109375" customWidth="1"/>
    <col min="16099" max="16099" width="44.5546875" customWidth="1"/>
    <col min="16100" max="16100" width="17.44140625" customWidth="1"/>
    <col min="16101" max="16101" width="30.88671875" customWidth="1"/>
    <col min="16102" max="16102" width="11.88671875" customWidth="1"/>
    <col min="16103" max="16103" width="41.6640625" customWidth="1"/>
    <col min="16104" max="16109" width="30.88671875" bestFit="1" customWidth="1"/>
    <col min="16110" max="16110" width="10.5546875" bestFit="1" customWidth="1"/>
  </cols>
  <sheetData>
    <row r="1" spans="1:26" x14ac:dyDescent="0.3">
      <c r="A1" s="16" t="s">
        <v>13</v>
      </c>
      <c r="B1" s="32" t="s">
        <v>14</v>
      </c>
      <c r="C1" s="4" t="s">
        <v>18</v>
      </c>
      <c r="D1" s="4" t="s">
        <v>32</v>
      </c>
      <c r="E1" s="3" t="s">
        <v>15</v>
      </c>
      <c r="F1" s="5" t="s">
        <v>16</v>
      </c>
      <c r="G1" s="6" t="s">
        <v>17</v>
      </c>
      <c r="Z1" s="51" t="s">
        <v>48</v>
      </c>
    </row>
    <row r="2" spans="1:26" x14ac:dyDescent="0.3">
      <c r="A2" s="64">
        <v>45576</v>
      </c>
      <c r="B2" s="35">
        <v>-11437574.890000001</v>
      </c>
      <c r="C2" t="s">
        <v>49</v>
      </c>
      <c r="D2" s="25"/>
      <c r="E2" s="26" t="str">
        <f>IF(OR(C2="Transaction",C2="Interests",C2="Misc",C2="Account Transfer"), IF(C2="Transaction", IF(B2&lt;0, "Du no", "Da thanh toan"), IF(C2="Interests", "Lai", IF(C2="Misc", "Phi", IF(C2="Account Transfer", IF(OR(ISNUMBER(SEARCH("Trich lai tra gop the TD", D2)), ISNUMBER(SEARCH("Chuyen lai tra gop con lai sang du no thong thuong khi BadDebt", D2))), IF(B2&lt;0, "Lai tra gop", ""), "" )))))) &amp; " " &amp; IF(C2="Interests", TEXT(EDATE(IF(DAY(A2)&gt;=11, A2, EDATE(A2,-1)), -1),"yyyy-mm"), TEXT(IF(DAY(A2)&gt;=11, A2, EDATE(A2,-1)),"yyyy-mm"))</f>
        <v>Lai 2024-09</v>
      </c>
      <c r="F2" s="27">
        <f>IF(ISNUMBER(B2), ROUND(SUMIFS($B$2:$B$10000, $E$2:$E$10000, E2, $B$2:$B$10000, IF(B2&lt;0, "&lt;0", "&gt;0")), 0), "")</f>
        <v>-12954208</v>
      </c>
      <c r="G2" s="28" t="str">
        <f>IF(F2&gt;0, IF(C2="Transaction", "Da thanh toan", "Duong"), IF(F2&lt;0, IF(C2="Transaction", "Du no", IF(C2="Interests", "Lai phat sinh", IF(C2="Misc", "Phi", IF(C2="Account Transfer", "Lai tra gop", "Am")))), "Bang 0"))</f>
        <v>Lai phat sinh</v>
      </c>
    </row>
    <row r="3" spans="1:26" x14ac:dyDescent="0.3">
      <c r="A3" s="64">
        <v>45576</v>
      </c>
      <c r="B3" s="35">
        <v>-42112.160000000003</v>
      </c>
      <c r="C3" t="s">
        <v>49</v>
      </c>
      <c r="D3" s="25"/>
      <c r="E3" s="26" t="str">
        <f>IF(OR(C3="Transaction",C3="Interests",C3="Misc",C3="Account Transfer"), IF(C3="Transaction", IF(B3&lt;0, "Du no", "Da thanh toan"), IF(C3="Interests", "Lai", IF(C3="Misc", "Phi", IF(C3="Account Transfer", IF(OR(ISNUMBER(SEARCH("Trich lai tra gop the TD", D3)), ISNUMBER(SEARCH("Chuyen lai tra gop con lai sang du no thong thuong khi BadDebt", D3))), IF(B3&lt;0, "Lai tra gop", ""), "" )))))) &amp; " " &amp; IF(C3="Interests", TEXT(EDATE(IF(DAY(A3)&gt;=11, A3, EDATE(A3,-1)), -1),"yyyy-mm"), TEXT(IF(DAY(A3)&gt;=11, A3, EDATE(A3,-1)),"yyyy-mm"))</f>
        <v>Lai 2024-09</v>
      </c>
      <c r="F3" s="27">
        <f>IF(ISNUMBER(B3), ROUND(SUMIFS($B$2:$B$10000, $E$2:$E$10000, E3, $B$2:$B$10000, IF(B3&lt;0, "&lt;0", "&gt;0")), 0), "")</f>
        <v>-12954208</v>
      </c>
      <c r="G3" s="28" t="str">
        <f>IF(F3&gt;0, IF(C3="Transaction", "Da thanh toan", "Duong"), IF(F3&lt;0, IF(C3="Transaction", "Du no", IF(C3="Interests", "Lai phat sinh", IF(C3="Misc", "Phi", IF(C3="Account Transfer", "Lai tra gop", "Am")))), "Bang 0"))</f>
        <v>Lai phat sinh</v>
      </c>
    </row>
    <row r="4" spans="1:26" x14ac:dyDescent="0.3">
      <c r="A4" s="64">
        <v>45576</v>
      </c>
      <c r="B4" s="35">
        <v>-1474520.55</v>
      </c>
      <c r="C4" t="s">
        <v>49</v>
      </c>
      <c r="D4" s="25"/>
      <c r="E4" s="26" t="str">
        <f>IF(OR(C4="Transaction",C4="Interests",C4="Misc",C4="Account Transfer"), IF(C4="Transaction", IF(B4&lt;0, "Du no", "Da thanh toan"), IF(C4="Interests", "Lai", IF(C4="Misc", "Phi", IF(C4="Account Transfer", IF(OR(ISNUMBER(SEARCH("Trich lai tra gop the TD", D4)), ISNUMBER(SEARCH("Chuyen lai tra gop con lai sang du no thong thuong khi BadDebt", D4))), IF(B4&lt;0, "Lai tra gop", ""), "" )))))) &amp; " " &amp; IF(C4="Interests", TEXT(EDATE(IF(DAY(A4)&gt;=11, A4, EDATE(A4,-1)), -1),"yyyy-mm"), TEXT(IF(DAY(A4)&gt;=11, A4, EDATE(A4,-1)),"yyyy-mm"))</f>
        <v>Lai 2024-09</v>
      </c>
      <c r="F4" s="27">
        <f>IF(ISNUMBER(B4), ROUND(SUMIFS($B$2:$B$10000, $E$2:$E$10000, E4, $B$2:$B$10000, IF(B4&lt;0, "&lt;0", "&gt;0")), 0), "")</f>
        <v>-12954208</v>
      </c>
      <c r="G4" s="28" t="str">
        <f>IF(F4&gt;0, IF(C4="Transaction", "Da thanh toan", "Duong"), IF(F4&lt;0, IF(C4="Transaction", "Du no", IF(C4="Interests", "Lai phat sinh", IF(C4="Misc", "Phi", IF(C4="Account Transfer", "Lai tra gop", "Am")))), "Bang 0"))</f>
        <v>Lai phat sinh</v>
      </c>
    </row>
    <row r="5" spans="1:26" x14ac:dyDescent="0.3">
      <c r="A5" s="64">
        <v>45546</v>
      </c>
      <c r="B5" s="35">
        <v>-11422972.73</v>
      </c>
      <c r="C5" t="s">
        <v>49</v>
      </c>
      <c r="D5" s="7"/>
      <c r="E5" s="26" t="str">
        <f>IF(OR(C5="Transaction",C5="Interests",C5="Misc",C5="Account Transfer"), IF(C5="Transaction", IF(B5&lt;0, "Du no", "Da thanh toan"), IF(C5="Interests", "Lai", IF(C5="Misc", "Phi", IF(C5="Account Transfer", IF(OR(ISNUMBER(SEARCH("Trich lai tra gop the TD", D5)), ISNUMBER(SEARCH("Chuyen lai tra gop con lai sang du no thong thuong khi BadDebt", D5))), IF(B5&lt;0, "Lai tra gop", ""), "" )))))) &amp; " " &amp; IF(C5="Interests", TEXT(EDATE(IF(DAY(A5)&gt;=11, A5, EDATE(A5,-1)), -1),"yyyy-mm"), TEXT(IF(DAY(A5)&gt;=11, A5, EDATE(A5,-1)),"yyyy-mm"))</f>
        <v>Lai 2024-08</v>
      </c>
      <c r="F5" s="27">
        <f>IF(ISNUMBER(B5), ROUND(SUMIFS($B$2:$B$10000, $E$2:$E$10000, E5, $B$2:$B$10000, IF(B5&lt;0, "&lt;0", "&gt;0")), 0), "")</f>
        <v>-12990160</v>
      </c>
      <c r="G5" s="28" t="str">
        <f>IF(F5&gt;0, IF(C5="Transaction", "Da thanh toan", "Duong"), IF(F5&lt;0, IF(C5="Transaction", "Du no", IF(C5="Interests", "Lai phat sinh", IF(C5="Misc", "Phi", IF(C5="Account Transfer", "Lai tra gop", "Am")))), "Bang 0"))</f>
        <v>Lai phat sinh</v>
      </c>
    </row>
    <row r="6" spans="1:26" x14ac:dyDescent="0.3">
      <c r="A6" s="64">
        <v>45546</v>
      </c>
      <c r="B6" s="35">
        <v>-43515.9</v>
      </c>
      <c r="C6" t="s">
        <v>49</v>
      </c>
      <c r="D6" s="25"/>
      <c r="E6" s="26" t="str">
        <f>IF(OR(C6="Transaction",C6="Interests",C6="Misc",C6="Account Transfer"), IF(C6="Transaction", IF(B6&lt;0, "Du no", "Da thanh toan"), IF(C6="Interests", "Lai", IF(C6="Misc", "Phi", IF(C6="Account Transfer", IF(OR(ISNUMBER(SEARCH("Trich lai tra gop the TD", D6)), ISNUMBER(SEARCH("Chuyen lai tra gop con lai sang du no thong thuong khi BadDebt", D6))), IF(B6&lt;0, "Lai tra gop", ""), "" )))))) &amp; " " &amp; IF(C6="Interests", TEXT(EDATE(IF(DAY(A6)&gt;=11, A6, EDATE(A6,-1)), -1),"yyyy-mm"), TEXT(IF(DAY(A6)&gt;=11, A6, EDATE(A6,-1)),"yyyy-mm"))</f>
        <v>Lai 2024-08</v>
      </c>
      <c r="F6" s="27">
        <f>IF(ISNUMBER(B6), ROUND(SUMIFS($B$2:$B$10000, $E$2:$E$10000, E6, $B$2:$B$10000, IF(B6&lt;0, "&lt;0", "&gt;0")), 0), "")</f>
        <v>-12990160</v>
      </c>
      <c r="G6" s="28" t="str">
        <f>IF(F6&gt;0, IF(C6="Transaction", "Da thanh toan", "Duong"), IF(F6&lt;0, IF(C6="Transaction", "Du no", IF(C6="Interests", "Lai phat sinh", IF(C6="Misc", "Phi", IF(C6="Account Transfer", "Lai tra gop", "Am")))), "Bang 0"))</f>
        <v>Lai phat sinh</v>
      </c>
    </row>
    <row r="7" spans="1:26" x14ac:dyDescent="0.3">
      <c r="A7" s="64">
        <v>45546</v>
      </c>
      <c r="B7" s="35">
        <v>-1523671.23</v>
      </c>
      <c r="C7" t="s">
        <v>49</v>
      </c>
      <c r="D7" s="25"/>
      <c r="E7" s="26" t="str">
        <f>IF(OR(C7="Transaction",C7="Interests",C7="Misc",C7="Account Transfer"), IF(C7="Transaction", IF(B7&lt;0, "Du no", "Da thanh toan"), IF(C7="Interests", "Lai", IF(C7="Misc", "Phi", IF(C7="Account Transfer", IF(OR(ISNUMBER(SEARCH("Trich lai tra gop the TD", D7)), ISNUMBER(SEARCH("Chuyen lai tra gop con lai sang du no thong thuong khi BadDebt", D7))), IF(B7&lt;0, "Lai tra gop", ""), "" )))))) &amp; " " &amp; IF(C7="Interests", TEXT(EDATE(IF(DAY(A7)&gt;=11, A7, EDATE(A7,-1)), -1),"yyyy-mm"), TEXT(IF(DAY(A7)&gt;=11, A7, EDATE(A7,-1)),"yyyy-mm"))</f>
        <v>Lai 2024-08</v>
      </c>
      <c r="F7" s="27">
        <f>IF(ISNUMBER(B7), ROUND(SUMIFS($B$2:$B$10000, $E$2:$E$10000, E7, $B$2:$B$10000, IF(B7&lt;0, "&lt;0", "&gt;0")), 0), "")</f>
        <v>-12990160</v>
      </c>
      <c r="G7" s="28" t="str">
        <f>IF(F7&gt;0, IF(C7="Transaction", "Da thanh toan", "Duong"), IF(F7&lt;0, IF(C7="Transaction", "Du no", IF(C7="Interests", "Lai phat sinh", IF(C7="Misc", "Phi", IF(C7="Account Transfer", "Lai tra gop", "Am")))), "Bang 0"))</f>
        <v>Lai phat sinh</v>
      </c>
    </row>
    <row r="8" spans="1:26" x14ac:dyDescent="0.3">
      <c r="A8" s="64">
        <v>45515</v>
      </c>
      <c r="B8" s="35">
        <v>-11038824.390000001</v>
      </c>
      <c r="C8" t="s">
        <v>49</v>
      </c>
      <c r="D8" s="25"/>
      <c r="E8" s="26" t="str">
        <f>IF(OR(C8="Transaction",C8="Interests",C8="Misc",C8="Account Transfer"), IF(C8="Transaction", IF(B8&lt;0, "Du no", "Da thanh toan"), IF(C8="Interests", "Lai", IF(C8="Misc", "Phi", IF(C8="Account Transfer", IF(OR(ISNUMBER(SEARCH("Trich lai tra gop the TD", D8)), ISNUMBER(SEARCH("Chuyen lai tra gop con lai sang du no thong thuong khi BadDebt", D8))), IF(B8&lt;0, "Lai tra gop", ""), "" )))))) &amp; " " &amp; IF(C8="Interests", TEXT(EDATE(IF(DAY(A8)&gt;=11, A8, EDATE(A8,-1)), -1),"yyyy-mm"), TEXT(IF(DAY(A8)&gt;=11, A8, EDATE(A8,-1)),"yyyy-mm"))</f>
        <v>Lai 2024-07</v>
      </c>
      <c r="F8" s="27">
        <f>IF(ISNUMBER(B8), ROUND(SUMIFS($B$2:$B$10000, $E$2:$E$10000, E8, $B$2:$B$10000, IF(B8&lt;0, "&lt;0", "&gt;0")), 0), "")</f>
        <v>-12606012</v>
      </c>
      <c r="G8" s="28" t="str">
        <f>IF(F8&gt;0, IF(C8="Transaction", "Da thanh toan", "Duong"), IF(F8&lt;0, IF(C8="Transaction", "Du no", IF(C8="Interests", "Lai phat sinh", IF(C8="Misc", "Phi", IF(C8="Account Transfer", "Lai tra gop", "Am")))), "Bang 0"))</f>
        <v>Lai phat sinh</v>
      </c>
    </row>
    <row r="9" spans="1:26" x14ac:dyDescent="0.3">
      <c r="A9" s="64">
        <v>45515</v>
      </c>
      <c r="B9" s="35">
        <v>-43515.9</v>
      </c>
      <c r="C9" t="s">
        <v>49</v>
      </c>
      <c r="D9" s="25"/>
      <c r="E9" s="26" t="str">
        <f>IF(OR(C9="Transaction",C9="Interests",C9="Misc",C9="Account Transfer"), IF(C9="Transaction", IF(B9&lt;0, "Du no", "Da thanh toan"), IF(C9="Interests", "Lai", IF(C9="Misc", "Phi", IF(C9="Account Transfer", IF(OR(ISNUMBER(SEARCH("Trich lai tra gop the TD", D9)), ISNUMBER(SEARCH("Chuyen lai tra gop con lai sang du no thong thuong khi BadDebt", D9))), IF(B9&lt;0, "Lai tra gop", ""), "" )))))) &amp; " " &amp; IF(C9="Interests", TEXT(EDATE(IF(DAY(A9)&gt;=11, A9, EDATE(A9,-1)), -1),"yyyy-mm"), TEXT(IF(DAY(A9)&gt;=11, A9, EDATE(A9,-1)),"yyyy-mm"))</f>
        <v>Lai 2024-07</v>
      </c>
      <c r="F9" s="27">
        <f>IF(ISNUMBER(B9), ROUND(SUMIFS($B$2:$B$10000, $E$2:$E$10000, E9, $B$2:$B$10000, IF(B9&lt;0, "&lt;0", "&gt;0")), 0), "")</f>
        <v>-12606012</v>
      </c>
      <c r="G9" s="28" t="str">
        <f>IF(F9&gt;0, IF(C9="Transaction", "Da thanh toan", "Duong"), IF(F9&lt;0, IF(C9="Transaction", "Du no", IF(C9="Interests", "Lai phat sinh", IF(C9="Misc", "Phi", IF(C9="Account Transfer", "Lai tra gop", "Am")))), "Bang 0"))</f>
        <v>Lai phat sinh</v>
      </c>
    </row>
    <row r="10" spans="1:26" x14ac:dyDescent="0.3">
      <c r="A10" s="64">
        <v>45515</v>
      </c>
      <c r="B10" s="35">
        <v>-1523671.23</v>
      </c>
      <c r="C10" t="s">
        <v>49</v>
      </c>
      <c r="D10" s="25"/>
      <c r="E10" s="26" t="str">
        <f>IF(OR(C10="Transaction",C10="Interests",C10="Misc",C10="Account Transfer"), IF(C10="Transaction", IF(B10&lt;0, "Du no", "Da thanh toan"), IF(C10="Interests", "Lai", IF(C10="Misc", "Phi", IF(C10="Account Transfer", IF(OR(ISNUMBER(SEARCH("Trich lai tra gop the TD", D10)), ISNUMBER(SEARCH("Chuyen lai tra gop con lai sang du no thong thuong khi BadDebt", D10))), IF(B10&lt;0, "Lai tra gop", ""), "" )))))) &amp; " " &amp; IF(C10="Interests", TEXT(EDATE(IF(DAY(A10)&gt;=11, A10, EDATE(A10,-1)), -1),"yyyy-mm"), TEXT(IF(DAY(A10)&gt;=11, A10, EDATE(A10,-1)),"yyyy-mm"))</f>
        <v>Lai 2024-07</v>
      </c>
      <c r="F10" s="27">
        <f>IF(ISNUMBER(B10), ROUND(SUMIFS($B$2:$B$10000, $E$2:$E$10000, E10, $B$2:$B$10000, IF(B10&lt;0, "&lt;0", "&gt;0")), 0), "")</f>
        <v>-12606012</v>
      </c>
      <c r="G10" s="28" t="str">
        <f>IF(F10&gt;0, IF(C10="Transaction", "Da thanh toan", "Duong"), IF(F10&lt;0, IF(C10="Transaction", "Du no", IF(C10="Interests", "Lai phat sinh", IF(C10="Misc", "Phi", IF(C10="Account Transfer", "Lai tra gop", "Am")))), "Bang 0"))</f>
        <v>Lai phat sinh</v>
      </c>
    </row>
    <row r="11" spans="1:26" ht="16.5" customHeight="1" x14ac:dyDescent="0.3">
      <c r="A11" s="64">
        <v>45484</v>
      </c>
      <c r="B11" s="35">
        <v>-10333274.640000001</v>
      </c>
      <c r="C11" t="s">
        <v>49</v>
      </c>
      <c r="D11" s="25"/>
      <c r="E11" s="26" t="str">
        <f>IF(OR(C11="Transaction",C11="Interests",C11="Misc",C11="Account Transfer"), IF(C11="Transaction", IF(B11&lt;0, "Du no", "Da thanh toan"), IF(C11="Interests", "Lai", IF(C11="Misc", "Phi", IF(C11="Account Transfer", IF(OR(ISNUMBER(SEARCH("Trich lai tra gop the TD", D11)), ISNUMBER(SEARCH("Chuyen lai tra gop con lai sang du no thong thuong khi BadDebt", D11))), IF(B11&lt;0, "Lai tra gop", ""), "" )))))) &amp; " " &amp; IF(C11="Interests", TEXT(EDATE(IF(DAY(A11)&gt;=11, A11, EDATE(A11,-1)), -1),"yyyy-mm"), TEXT(IF(DAY(A11)&gt;=11, A11, EDATE(A11,-1)),"yyyy-mm"))</f>
        <v>Lai 2024-06</v>
      </c>
      <c r="F11" s="27">
        <f>IF(ISNUMBER(B11), ROUND(SUMIFS($B$2:$B$10000, $E$2:$E$10000, E11, $B$2:$B$10000, IF(B11&lt;0, "&lt;0", "&gt;0")), 0), "")</f>
        <v>-11849907</v>
      </c>
      <c r="G11" s="28" t="str">
        <f>IF(F11&gt;0, IF(C11="Transaction", "Da thanh toan", "Duong"), IF(F11&lt;0, IF(C11="Transaction", "Du no", IF(C11="Interests", "Lai phat sinh", IF(C11="Misc", "Phi", IF(C11="Account Transfer", "Lai tra gop", "Am")))), "Bang 0"))</f>
        <v>Lai phat sinh</v>
      </c>
    </row>
    <row r="12" spans="1:26" x14ac:dyDescent="0.3">
      <c r="A12" s="64">
        <v>45484</v>
      </c>
      <c r="B12" s="35">
        <v>-42112.160000000003</v>
      </c>
      <c r="C12" t="s">
        <v>49</v>
      </c>
      <c r="D12" s="25"/>
      <c r="E12" s="26" t="str">
        <f>IF(OR(C12="Transaction",C12="Interests",C12="Misc",C12="Account Transfer"), IF(C12="Transaction", IF(B12&lt;0, "Du no", "Da thanh toan"), IF(C12="Interests", "Lai", IF(C12="Misc", "Phi", IF(C12="Account Transfer", IF(OR(ISNUMBER(SEARCH("Trich lai tra gop the TD", D12)), ISNUMBER(SEARCH("Chuyen lai tra gop con lai sang du no thong thuong khi BadDebt", D12))), IF(B12&lt;0, "Lai tra gop", ""), "" )))))) &amp; " " &amp; IF(C12="Interests", TEXT(EDATE(IF(DAY(A12)&gt;=11, A12, EDATE(A12,-1)), -1),"yyyy-mm"), TEXT(IF(DAY(A12)&gt;=11, A12, EDATE(A12,-1)),"yyyy-mm"))</f>
        <v>Lai 2024-06</v>
      </c>
      <c r="F12" s="27">
        <f>IF(ISNUMBER(B12), ROUND(SUMIFS($B$2:$B$10000, $E$2:$E$10000, E12, $B$2:$B$10000, IF(B12&lt;0, "&lt;0", "&gt;0")), 0), "")</f>
        <v>-11849907</v>
      </c>
      <c r="G12" s="28" t="str">
        <f>IF(F12&gt;0, IF(C12="Transaction", "Da thanh toan", "Duong"), IF(F12&lt;0, IF(C12="Transaction", "Du no", IF(C12="Interests", "Lai phat sinh", IF(C12="Misc", "Phi", IF(C12="Account Transfer", "Lai tra gop", "Am")))), "Bang 0"))</f>
        <v>Lai phat sinh</v>
      </c>
    </row>
    <row r="13" spans="1:26" x14ac:dyDescent="0.3">
      <c r="A13" s="64">
        <v>45484</v>
      </c>
      <c r="B13" s="35">
        <v>-1474520.55</v>
      </c>
      <c r="C13" t="s">
        <v>49</v>
      </c>
      <c r="D13" s="25"/>
      <c r="E13" s="26" t="str">
        <f>IF(OR(C13="Transaction",C13="Interests",C13="Misc",C13="Account Transfer"), IF(C13="Transaction", IF(B13&lt;0, "Du no", "Da thanh toan"), IF(C13="Interests", "Lai", IF(C13="Misc", "Phi", IF(C13="Account Transfer", IF(OR(ISNUMBER(SEARCH("Trich lai tra gop the TD", D13)), ISNUMBER(SEARCH("Chuyen lai tra gop con lai sang du no thong thuong khi BadDebt", D13))), IF(B13&lt;0, "Lai tra gop", ""), "" )))))) &amp; " " &amp; IF(C13="Interests", TEXT(EDATE(IF(DAY(A13)&gt;=11, A13, EDATE(A13,-1)), -1),"yyyy-mm"), TEXT(IF(DAY(A13)&gt;=11, A13, EDATE(A13,-1)),"yyyy-mm"))</f>
        <v>Lai 2024-06</v>
      </c>
      <c r="F13" s="27">
        <f>IF(ISNUMBER(B13), ROUND(SUMIFS($B$2:$B$10000, $E$2:$E$10000, E13, $B$2:$B$10000, IF(B13&lt;0, "&lt;0", "&gt;0")), 0), "")</f>
        <v>-11849907</v>
      </c>
      <c r="G13" s="28" t="str">
        <f>IF(F13&gt;0, IF(C13="Transaction", "Da thanh toan", "Duong"), IF(F13&lt;0, IF(C13="Transaction", "Du no", IF(C13="Interests", "Lai phat sinh", IF(C13="Misc", "Phi", IF(C13="Account Transfer", "Lai tra gop", "Am")))), "Bang 0"))</f>
        <v>Lai phat sinh</v>
      </c>
    </row>
    <row r="14" spans="1:26" x14ac:dyDescent="0.3">
      <c r="A14" s="64">
        <v>45454</v>
      </c>
      <c r="B14" s="35">
        <v>-10315607.68</v>
      </c>
      <c r="C14" t="s">
        <v>49</v>
      </c>
      <c r="D14" s="25"/>
      <c r="E14" s="26" t="str">
        <f>IF(OR(C14="Transaction",C14="Interests",C14="Misc",C14="Account Transfer"), IF(C14="Transaction", IF(B14&lt;0, "Du no", "Da thanh toan"), IF(C14="Interests", "Lai", IF(C14="Misc", "Phi", IF(C14="Account Transfer", IF(OR(ISNUMBER(SEARCH("Trich lai tra gop the TD", D14)), ISNUMBER(SEARCH("Chuyen lai tra gop con lai sang du no thong thuong khi BadDebt", D14))), IF(B14&lt;0, "Lai tra gop", ""), "" )))))) &amp; " " &amp; IF(C14="Interests", TEXT(EDATE(IF(DAY(A14)&gt;=11, A14, EDATE(A14,-1)), -1),"yyyy-mm"), TEXT(IF(DAY(A14)&gt;=11, A14, EDATE(A14,-1)),"yyyy-mm"))</f>
        <v>Lai 2024-05</v>
      </c>
      <c r="F14" s="27">
        <f>IF(ISNUMBER(B14), ROUND(SUMIFS($B$2:$B$10000, $E$2:$E$10000, E14, $B$2:$B$10000, IF(B14&lt;0, "&lt;0", "&gt;0")), 0), "")</f>
        <v>-11882795</v>
      </c>
      <c r="G14" s="28" t="str">
        <f>IF(F14&gt;0, IF(C14="Transaction", "Da thanh toan", "Duong"), IF(F14&lt;0, IF(C14="Transaction", "Du no", IF(C14="Interests", "Lai phat sinh", IF(C14="Misc", "Phi", IF(C14="Account Transfer", "Lai tra gop", "Am")))), "Bang 0"))</f>
        <v>Lai phat sinh</v>
      </c>
    </row>
    <row r="15" spans="1:26" x14ac:dyDescent="0.3">
      <c r="A15" s="64">
        <v>45454</v>
      </c>
      <c r="B15" s="35">
        <v>-43515.9</v>
      </c>
      <c r="C15" t="s">
        <v>49</v>
      </c>
      <c r="D15" s="25"/>
      <c r="E15" s="26" t="str">
        <f>IF(OR(C15="Transaction",C15="Interests",C15="Misc",C15="Account Transfer"), IF(C15="Transaction", IF(B15&lt;0, "Du no", "Da thanh toan"), IF(C15="Interests", "Lai", IF(C15="Misc", "Phi", IF(C15="Account Transfer", IF(OR(ISNUMBER(SEARCH("Trich lai tra gop the TD", D15)), ISNUMBER(SEARCH("Chuyen lai tra gop con lai sang du no thong thuong khi BadDebt", D15))), IF(B15&lt;0, "Lai tra gop", ""), "" )))))) &amp; " " &amp; IF(C15="Interests", TEXT(EDATE(IF(DAY(A15)&gt;=11, A15, EDATE(A15,-1)), -1),"yyyy-mm"), TEXT(IF(DAY(A15)&gt;=11, A15, EDATE(A15,-1)),"yyyy-mm"))</f>
        <v>Lai 2024-05</v>
      </c>
      <c r="F15" s="27">
        <f>IF(ISNUMBER(B15), ROUND(SUMIFS($B$2:$B$10000, $E$2:$E$10000, E15, $B$2:$B$10000, IF(B15&lt;0, "&lt;0", "&gt;0")), 0), "")</f>
        <v>-11882795</v>
      </c>
      <c r="G15" s="28" t="str">
        <f>IF(F15&gt;0, IF(C15="Transaction", "Da thanh toan", "Duong"), IF(F15&lt;0, IF(C15="Transaction", "Du no", IF(C15="Interests", "Lai phat sinh", IF(C15="Misc", "Phi", IF(C15="Account Transfer", "Lai tra gop", "Am")))), "Bang 0"))</f>
        <v>Lai phat sinh</v>
      </c>
    </row>
    <row r="16" spans="1:26" x14ac:dyDescent="0.3">
      <c r="A16" s="64">
        <v>45454</v>
      </c>
      <c r="B16" s="35">
        <v>-1523671.23</v>
      </c>
      <c r="C16" t="s">
        <v>49</v>
      </c>
      <c r="D16" s="25"/>
      <c r="E16" s="26" t="str">
        <f>IF(OR(C16="Transaction",C16="Interests",C16="Misc",C16="Account Transfer"), IF(C16="Transaction", IF(B16&lt;0, "Du no", "Da thanh toan"), IF(C16="Interests", "Lai", IF(C16="Misc", "Phi", IF(C16="Account Transfer", IF(OR(ISNUMBER(SEARCH("Trich lai tra gop the TD", D16)), ISNUMBER(SEARCH("Chuyen lai tra gop con lai sang du no thong thuong khi BadDebt", D16))), IF(B16&lt;0, "Lai tra gop", ""), "" )))))) &amp; " " &amp; IF(C16="Interests", TEXT(EDATE(IF(DAY(A16)&gt;=11, A16, EDATE(A16,-1)), -1),"yyyy-mm"), TEXT(IF(DAY(A16)&gt;=11, A16, EDATE(A16,-1)),"yyyy-mm"))</f>
        <v>Lai 2024-05</v>
      </c>
      <c r="F16" s="27">
        <f>IF(ISNUMBER(B16), ROUND(SUMIFS($B$2:$B$10000, $E$2:$E$10000, E16, $B$2:$B$10000, IF(B16&lt;0, "&lt;0", "&gt;0")), 0), "")</f>
        <v>-11882795</v>
      </c>
      <c r="G16" s="28" t="str">
        <f>IF(F16&gt;0, IF(C16="Transaction", "Da thanh toan", "Duong"), IF(F16&lt;0, IF(C16="Transaction", "Du no", IF(C16="Interests", "Lai phat sinh", IF(C16="Misc", "Phi", IF(C16="Account Transfer", "Lai tra gop", "Am")))), "Bang 0"))</f>
        <v>Lai phat sinh</v>
      </c>
    </row>
    <row r="17" spans="1:7" x14ac:dyDescent="0.3">
      <c r="A17" s="64">
        <v>45423</v>
      </c>
      <c r="B17" s="35">
        <v>-9653436.2200000007</v>
      </c>
      <c r="C17" t="s">
        <v>49</v>
      </c>
      <c r="D17" s="25"/>
      <c r="E17" s="26" t="str">
        <f>IF(OR(C17="Transaction",C17="Interests",C17="Misc",C17="Account Transfer"), IF(C17="Transaction", IF(B17&lt;0, "Du no", "Da thanh toan"), IF(C17="Interests", "Lai", IF(C17="Misc", "Phi", IF(C17="Account Transfer", IF(OR(ISNUMBER(SEARCH("Trich lai tra gop the TD", D17)), ISNUMBER(SEARCH("Chuyen lai tra gop con lai sang du no thong thuong khi BadDebt", D17))), IF(B17&lt;0, "Lai tra gop", ""), "" )))))) &amp; " " &amp; IF(C17="Interests", TEXT(EDATE(IF(DAY(A17)&gt;=11, A17, EDATE(A17,-1)), -1),"yyyy-mm"), TEXT(IF(DAY(A17)&gt;=11, A17, EDATE(A17,-1)),"yyyy-mm"))</f>
        <v>Lai 2024-04</v>
      </c>
      <c r="F17" s="27">
        <f>IF(ISNUMBER(B17), ROUND(SUMIFS($B$2:$B$10000, $E$2:$E$10000, E17, $B$2:$B$10000, IF(B17&lt;0, "&lt;0", "&gt;0")), 0), "")</f>
        <v>-11170069</v>
      </c>
      <c r="G17" s="28" t="str">
        <f>IF(F17&gt;0, IF(C17="Transaction", "Da thanh toan", "Duong"), IF(F17&lt;0, IF(C17="Transaction", "Du no", IF(C17="Interests", "Lai phat sinh", IF(C17="Misc", "Phi", IF(C17="Account Transfer", "Lai tra gop", "Am")))), "Bang 0"))</f>
        <v>Lai phat sinh</v>
      </c>
    </row>
    <row r="18" spans="1:7" x14ac:dyDescent="0.3">
      <c r="A18" s="64">
        <v>45423</v>
      </c>
      <c r="B18" s="35">
        <v>-42112.160000000003</v>
      </c>
      <c r="C18" t="s">
        <v>49</v>
      </c>
      <c r="D18" s="25"/>
      <c r="E18" s="26" t="str">
        <f>IF(OR(C18="Transaction",C18="Interests",C18="Misc",C18="Account Transfer"), IF(C18="Transaction", IF(B18&lt;0, "Du no", "Da thanh toan"), IF(C18="Interests", "Lai", IF(C18="Misc", "Phi", IF(C18="Account Transfer", IF(OR(ISNUMBER(SEARCH("Trich lai tra gop the TD", D18)), ISNUMBER(SEARCH("Chuyen lai tra gop con lai sang du no thong thuong khi BadDebt", D18))), IF(B18&lt;0, "Lai tra gop", ""), "" )))))) &amp; " " &amp; IF(C18="Interests", TEXT(EDATE(IF(DAY(A18)&gt;=11, A18, EDATE(A18,-1)), -1),"yyyy-mm"), TEXT(IF(DAY(A18)&gt;=11, A18, EDATE(A18,-1)),"yyyy-mm"))</f>
        <v>Lai 2024-04</v>
      </c>
      <c r="F18" s="27">
        <f>IF(ISNUMBER(B18), ROUND(SUMIFS($B$2:$B$10000, $E$2:$E$10000, E18, $B$2:$B$10000, IF(B18&lt;0, "&lt;0", "&gt;0")), 0), "")</f>
        <v>-11170069</v>
      </c>
      <c r="G18" s="28" t="str">
        <f>IF(F18&gt;0, IF(C18="Transaction", "Da thanh toan", "Duong"), IF(F18&lt;0, IF(C18="Transaction", "Du no", IF(C18="Interests", "Lai phat sinh", IF(C18="Misc", "Phi", IF(C18="Account Transfer", "Lai tra gop", "Am")))), "Bang 0"))</f>
        <v>Lai phat sinh</v>
      </c>
    </row>
    <row r="19" spans="1:7" x14ac:dyDescent="0.3">
      <c r="A19" s="64">
        <v>45423</v>
      </c>
      <c r="B19" s="35">
        <v>-1474520.55</v>
      </c>
      <c r="C19" t="s">
        <v>49</v>
      </c>
      <c r="D19" s="25"/>
      <c r="E19" s="26" t="str">
        <f>IF(OR(C19="Transaction",C19="Interests",C19="Misc",C19="Account Transfer"), IF(C19="Transaction", IF(B19&lt;0, "Du no", "Da thanh toan"), IF(C19="Interests", "Lai", IF(C19="Misc", "Phi", IF(C19="Account Transfer", IF(OR(ISNUMBER(SEARCH("Trich lai tra gop the TD", D19)), ISNUMBER(SEARCH("Chuyen lai tra gop con lai sang du no thong thuong khi BadDebt", D19))), IF(B19&lt;0, "Lai tra gop", ""), "" )))))) &amp; " " &amp; IF(C19="Interests", TEXT(EDATE(IF(DAY(A19)&gt;=11, A19, EDATE(A19,-1)), -1),"yyyy-mm"), TEXT(IF(DAY(A19)&gt;=11, A19, EDATE(A19,-1)),"yyyy-mm"))</f>
        <v>Lai 2024-04</v>
      </c>
      <c r="F19" s="27">
        <f>IF(ISNUMBER(B19), ROUND(SUMIFS($B$2:$B$10000, $E$2:$E$10000, E19, $B$2:$B$10000, IF(B19&lt;0, "&lt;0", "&gt;0")), 0), "")</f>
        <v>-11170069</v>
      </c>
      <c r="G19" s="28" t="str">
        <f>IF(F19&gt;0, IF(C19="Transaction", "Da thanh toan", "Duong"), IF(F19&lt;0, IF(C19="Transaction", "Du no", IF(C19="Interests", "Lai phat sinh", IF(C19="Misc", "Phi", IF(C19="Account Transfer", "Lai tra gop", "Am")))), "Bang 0"))</f>
        <v>Lai phat sinh</v>
      </c>
    </row>
    <row r="20" spans="1:7" x14ac:dyDescent="0.3">
      <c r="A20" s="64">
        <v>45393</v>
      </c>
      <c r="B20" s="35">
        <v>-9633882.4700000007</v>
      </c>
      <c r="C20" t="s">
        <v>49</v>
      </c>
      <c r="D20" s="17"/>
      <c r="E20" s="26" t="str">
        <f>IF(OR(C20="Transaction",C20="Interests",C20="Misc",C20="Account Transfer"), IF(C20="Transaction", IF(B20&lt;0, "Du no", "Da thanh toan"), IF(C20="Interests", "Lai", IF(C20="Misc", "Phi", IF(C20="Account Transfer", IF(OR(ISNUMBER(SEARCH("Trich lai tra gop the TD", D20)), ISNUMBER(SEARCH("Chuyen lai tra gop con lai sang du no thong thuong khi BadDebt", D20))), IF(B20&lt;0, "Lai tra gop", ""), "" )))))) &amp; " " &amp; IF(C20="Interests", TEXT(EDATE(IF(DAY(A20)&gt;=11, A20, EDATE(A20,-1)), -1),"yyyy-mm"), TEXT(IF(DAY(A20)&gt;=11, A20, EDATE(A20,-1)),"yyyy-mm"))</f>
        <v>Lai 2024-03</v>
      </c>
      <c r="F20" s="27">
        <f>IF(ISNUMBER(B20), ROUND(SUMIFS($B$2:$B$10000, $E$2:$E$10000, E20, $B$2:$B$10000, IF(B20&lt;0, "&lt;0", "&gt;0")), 0), "")</f>
        <v>-11201070</v>
      </c>
      <c r="G20" s="28" t="str">
        <f>IF(F20&gt;0, IF(C20="Transaction", "Da thanh toan", "Duong"), IF(F20&lt;0, IF(C20="Transaction", "Du no", IF(C20="Interests", "Lai phat sinh", IF(C20="Misc", "Phi", IF(C20="Account Transfer", "Lai tra gop", "Am")))), "Bang 0"))</f>
        <v>Lai phat sinh</v>
      </c>
    </row>
    <row r="21" spans="1:7" x14ac:dyDescent="0.3">
      <c r="A21" s="64">
        <v>45393</v>
      </c>
      <c r="B21" s="35">
        <v>-43515.9</v>
      </c>
      <c r="C21" t="s">
        <v>49</v>
      </c>
      <c r="D21" s="17"/>
      <c r="E21" s="26" t="str">
        <f>IF(OR(C21="Transaction",C21="Interests",C21="Misc",C21="Account Transfer"), IF(C21="Transaction", IF(B21&lt;0, "Du no", "Da thanh toan"), IF(C21="Interests", "Lai", IF(C21="Misc", "Phi", IF(C21="Account Transfer", IF(OR(ISNUMBER(SEARCH("Trich lai tra gop the TD", D21)), ISNUMBER(SEARCH("Chuyen lai tra gop con lai sang du no thong thuong khi BadDebt", D21))), IF(B21&lt;0, "Lai tra gop", ""), "" )))))) &amp; " " &amp; IF(C21="Interests", TEXT(EDATE(IF(DAY(A21)&gt;=11, A21, EDATE(A21,-1)), -1),"yyyy-mm"), TEXT(IF(DAY(A21)&gt;=11, A21, EDATE(A21,-1)),"yyyy-mm"))</f>
        <v>Lai 2024-03</v>
      </c>
      <c r="F21" s="27">
        <f>IF(ISNUMBER(B21), ROUND(SUMIFS($B$2:$B$10000, $E$2:$E$10000, E21, $B$2:$B$10000, IF(B21&lt;0, "&lt;0", "&gt;0")), 0), "")</f>
        <v>-11201070</v>
      </c>
      <c r="G21" s="28" t="str">
        <f>IF(F21&gt;0, IF(C21="Transaction", "Da thanh toan", "Duong"), IF(F21&lt;0, IF(C21="Transaction", "Du no", IF(C21="Interests", "Lai phat sinh", IF(C21="Misc", "Phi", IF(C21="Account Transfer", "Lai tra gop", "Am")))), "Bang 0"))</f>
        <v>Lai phat sinh</v>
      </c>
    </row>
    <row r="22" spans="1:7" x14ac:dyDescent="0.3">
      <c r="A22" s="64">
        <v>45393</v>
      </c>
      <c r="B22" s="35">
        <v>-1523671.23</v>
      </c>
      <c r="C22" t="s">
        <v>49</v>
      </c>
      <c r="D22" s="17"/>
      <c r="E22" s="26" t="str">
        <f>IF(OR(C22="Transaction",C22="Interests",C22="Misc",C22="Account Transfer"), IF(C22="Transaction", IF(B22&lt;0, "Du no", "Da thanh toan"), IF(C22="Interests", "Lai", IF(C22="Misc", "Phi", IF(C22="Account Transfer", IF(OR(ISNUMBER(SEARCH("Trich lai tra gop the TD", D22)), ISNUMBER(SEARCH("Chuyen lai tra gop con lai sang du no thong thuong khi BadDebt", D22))), IF(B22&lt;0, "Lai tra gop", ""), "" )))))) &amp; " " &amp; IF(C22="Interests", TEXT(EDATE(IF(DAY(A22)&gt;=11, A22, EDATE(A22,-1)), -1),"yyyy-mm"), TEXT(IF(DAY(A22)&gt;=11, A22, EDATE(A22,-1)),"yyyy-mm"))</f>
        <v>Lai 2024-03</v>
      </c>
      <c r="F22" s="27">
        <f>IF(ISNUMBER(B22), ROUND(SUMIFS($B$2:$B$10000, $E$2:$E$10000, E22, $B$2:$B$10000, IF(B22&lt;0, "&lt;0", "&gt;0")), 0), "")</f>
        <v>-11201070</v>
      </c>
      <c r="G22" s="28" t="str">
        <f>IF(F22&gt;0, IF(C22="Transaction", "Da thanh toan", "Duong"), IF(F22&lt;0, IF(C22="Transaction", "Du no", IF(C22="Interests", "Lai phat sinh", IF(C22="Misc", "Phi", IF(C22="Account Transfer", "Lai tra gop", "Am")))), "Bang 0"))</f>
        <v>Lai phat sinh</v>
      </c>
    </row>
    <row r="23" spans="1:7" x14ac:dyDescent="0.3">
      <c r="A23" s="64">
        <v>45362</v>
      </c>
      <c r="B23" s="35">
        <v>-8721908.6799999997</v>
      </c>
      <c r="C23" t="s">
        <v>49</v>
      </c>
      <c r="D23" s="25"/>
      <c r="E23" s="26" t="str">
        <f>IF(OR(C23="Transaction",C23="Interests",C23="Misc",C23="Account Transfer"), IF(C23="Transaction", IF(B23&lt;0, "Du no", "Da thanh toan"), IF(C23="Interests", "Lai", IF(C23="Misc", "Phi", IF(C23="Account Transfer", IF(OR(ISNUMBER(SEARCH("Trich lai tra gop the TD", D23)), ISNUMBER(SEARCH("Chuyen lai tra gop con lai sang du no thong thuong khi BadDebt", D23))), IF(B23&lt;0, "Lai tra gop", ""), "" )))))) &amp; " " &amp; IF(C23="Interests", TEXT(EDATE(IF(DAY(A23)&gt;=11, A23, EDATE(A23,-1)), -1),"yyyy-mm"), TEXT(IF(DAY(A23)&gt;=11, A23, EDATE(A23,-1)),"yyyy-mm"))</f>
        <v>Lai 2024-02</v>
      </c>
      <c r="F23" s="27">
        <f>IF(ISNUMBER(B23), ROUND(SUMIFS($B$2:$B$10000, $E$2:$E$10000, E23, $B$2:$B$10000, IF(B23&lt;0, "&lt;0", "&gt;0")), 0), "")</f>
        <v>-10187987</v>
      </c>
      <c r="G23" s="28" t="str">
        <f>IF(F23&gt;0, IF(C23="Transaction", "Da thanh toan", "Duong"), IF(F23&lt;0, IF(C23="Transaction", "Du no", IF(C23="Interests", "Lai phat sinh", IF(C23="Misc", "Phi", IF(C23="Account Transfer", "Lai tra gop", "Am")))), "Bang 0"))</f>
        <v>Lai phat sinh</v>
      </c>
    </row>
    <row r="24" spans="1:7" x14ac:dyDescent="0.3">
      <c r="A24" s="64">
        <v>45362</v>
      </c>
      <c r="B24" s="35">
        <v>-40708.42</v>
      </c>
      <c r="C24" t="s">
        <v>49</v>
      </c>
      <c r="D24" s="25"/>
      <c r="E24" s="26" t="str">
        <f>IF(OR(C24="Transaction",C24="Interests",C24="Misc",C24="Account Transfer"), IF(C24="Transaction", IF(B24&lt;0, "Du no", "Da thanh toan"), IF(C24="Interests", "Lai", IF(C24="Misc", "Phi", IF(C24="Account Transfer", IF(OR(ISNUMBER(SEARCH("Trich lai tra gop the TD", D24)), ISNUMBER(SEARCH("Chuyen lai tra gop con lai sang du no thong thuong khi BadDebt", D24))), IF(B24&lt;0, "Lai tra gop", ""), "" )))))) &amp; " " &amp; IF(C24="Interests", TEXT(EDATE(IF(DAY(A24)&gt;=11, A24, EDATE(A24,-1)), -1),"yyyy-mm"), TEXT(IF(DAY(A24)&gt;=11, A24, EDATE(A24,-1)),"yyyy-mm"))</f>
        <v>Lai 2024-02</v>
      </c>
      <c r="F24" s="27">
        <f>IF(ISNUMBER(B24), ROUND(SUMIFS($B$2:$B$10000, $E$2:$E$10000, E24, $B$2:$B$10000, IF(B24&lt;0, "&lt;0", "&gt;0")), 0), "")</f>
        <v>-10187987</v>
      </c>
      <c r="G24" s="28" t="str">
        <f>IF(F24&gt;0, IF(C24="Transaction", "Da thanh toan", "Duong"), IF(F24&lt;0, IF(C24="Transaction", "Du no", IF(C24="Interests", "Lai phat sinh", IF(C24="Misc", "Phi", IF(C24="Account Transfer", "Lai tra gop", "Am")))), "Bang 0"))</f>
        <v>Lai phat sinh</v>
      </c>
    </row>
    <row r="25" spans="1:7" x14ac:dyDescent="0.3">
      <c r="A25" s="64">
        <v>45362</v>
      </c>
      <c r="B25" s="35">
        <v>-1425369.86</v>
      </c>
      <c r="C25" t="s">
        <v>49</v>
      </c>
      <c r="D25" s="25"/>
      <c r="E25" s="26" t="str">
        <f>IF(OR(C25="Transaction",C25="Interests",C25="Misc",C25="Account Transfer"), IF(C25="Transaction", IF(B25&lt;0, "Du no", "Da thanh toan"), IF(C25="Interests", "Lai", IF(C25="Misc", "Phi", IF(C25="Account Transfer", IF(OR(ISNUMBER(SEARCH("Trich lai tra gop the TD", D25)), ISNUMBER(SEARCH("Chuyen lai tra gop con lai sang du no thong thuong khi BadDebt", D25))), IF(B25&lt;0, "Lai tra gop", ""), "" )))))) &amp; " " &amp; IF(C25="Interests", TEXT(EDATE(IF(DAY(A25)&gt;=11, A25, EDATE(A25,-1)), -1),"yyyy-mm"), TEXT(IF(DAY(A25)&gt;=11, A25, EDATE(A25,-1)),"yyyy-mm"))</f>
        <v>Lai 2024-02</v>
      </c>
      <c r="F25" s="27">
        <f>IF(ISNUMBER(B25), ROUND(SUMIFS($B$2:$B$10000, $E$2:$E$10000, E25, $B$2:$B$10000, IF(B25&lt;0, "&lt;0", "&gt;0")), 0), "")</f>
        <v>-10187987</v>
      </c>
      <c r="G25" s="28" t="str">
        <f>IF(F25&gt;0, IF(C25="Transaction", "Da thanh toan", "Duong"), IF(F25&lt;0, IF(C25="Transaction", "Du no", IF(C25="Interests", "Lai phat sinh", IF(C25="Misc", "Phi", IF(C25="Account Transfer", "Lai tra gop", "Am")))), "Bang 0"))</f>
        <v>Lai phat sinh</v>
      </c>
    </row>
    <row r="26" spans="1:7" x14ac:dyDescent="0.3">
      <c r="A26" s="64">
        <v>45333</v>
      </c>
      <c r="B26" s="35">
        <v>-9001359.8000000007</v>
      </c>
      <c r="C26" t="s">
        <v>49</v>
      </c>
      <c r="D26" s="25"/>
      <c r="E26" s="26" t="str">
        <f>IF(OR(C26="Transaction",C26="Interests",C26="Misc",C26="Account Transfer"), IF(C26="Transaction", IF(B26&lt;0, "Du no", "Da thanh toan"), IF(C26="Interests", "Lai", IF(C26="Misc", "Phi", IF(C26="Account Transfer", IF(OR(ISNUMBER(SEARCH("Trich lai tra gop the TD", D26)), ISNUMBER(SEARCH("Chuyen lai tra gop con lai sang du no thong thuong khi BadDebt", D26))), IF(B26&lt;0, "Lai tra gop", ""), "" )))))) &amp; " " &amp; IF(C26="Interests", TEXT(EDATE(IF(DAY(A26)&gt;=11, A26, EDATE(A26,-1)), -1),"yyyy-mm"), TEXT(IF(DAY(A26)&gt;=11, A26, EDATE(A26,-1)),"yyyy-mm"))</f>
        <v>Lai 2024-01</v>
      </c>
      <c r="F26" s="27">
        <f>IF(ISNUMBER(B26), ROUND(SUMIFS($B$2:$B$10000, $E$2:$E$10000, E26, $B$2:$B$10000, IF(B26&lt;0, "&lt;0", "&gt;0")), 0), "")</f>
        <v>-10568547</v>
      </c>
      <c r="G26" s="28" t="str">
        <f>IF(F26&gt;0, IF(C26="Transaction", "Da thanh toan", "Duong"), IF(F26&lt;0, IF(C26="Transaction", "Du no", IF(C26="Interests", "Lai phat sinh", IF(C26="Misc", "Phi", IF(C26="Account Transfer", "Lai tra gop", "Am")))), "Bang 0"))</f>
        <v>Lai phat sinh</v>
      </c>
    </row>
    <row r="27" spans="1:7" x14ac:dyDescent="0.3">
      <c r="A27" s="64">
        <v>45333</v>
      </c>
      <c r="B27" s="35">
        <v>-43515.9</v>
      </c>
      <c r="C27" t="s">
        <v>49</v>
      </c>
      <c r="D27" s="25"/>
      <c r="E27" s="26" t="str">
        <f>IF(OR(C27="Transaction",C27="Interests",C27="Misc",C27="Account Transfer"), IF(C27="Transaction", IF(B27&lt;0, "Du no", "Da thanh toan"), IF(C27="Interests", "Lai", IF(C27="Misc", "Phi", IF(C27="Account Transfer", IF(OR(ISNUMBER(SEARCH("Trich lai tra gop the TD", D27)), ISNUMBER(SEARCH("Chuyen lai tra gop con lai sang du no thong thuong khi BadDebt", D27))), IF(B27&lt;0, "Lai tra gop", ""), "" )))))) &amp; " " &amp; IF(C27="Interests", TEXT(EDATE(IF(DAY(A27)&gt;=11, A27, EDATE(A27,-1)), -1),"yyyy-mm"), TEXT(IF(DAY(A27)&gt;=11, A27, EDATE(A27,-1)),"yyyy-mm"))</f>
        <v>Lai 2024-01</v>
      </c>
      <c r="F27" s="27">
        <f>IF(ISNUMBER(B27), ROUND(SUMIFS($B$2:$B$10000, $E$2:$E$10000, E27, $B$2:$B$10000, IF(B27&lt;0, "&lt;0", "&gt;0")), 0), "")</f>
        <v>-10568547</v>
      </c>
      <c r="G27" s="28" t="str">
        <f>IF(F27&gt;0, IF(C27="Transaction", "Da thanh toan", "Duong"), IF(F27&lt;0, IF(C27="Transaction", "Du no", IF(C27="Interests", "Lai phat sinh", IF(C27="Misc", "Phi", IF(C27="Account Transfer", "Lai tra gop", "Am")))), "Bang 0"))</f>
        <v>Lai phat sinh</v>
      </c>
    </row>
    <row r="28" spans="1:7" x14ac:dyDescent="0.3">
      <c r="A28" s="64">
        <v>45333</v>
      </c>
      <c r="B28" s="35">
        <v>-1523671.23</v>
      </c>
      <c r="C28" t="s">
        <v>49</v>
      </c>
      <c r="D28" s="25"/>
      <c r="E28" s="26" t="str">
        <f>IF(OR(C28="Transaction",C28="Interests",C28="Misc",C28="Account Transfer"), IF(C28="Transaction", IF(B28&lt;0, "Du no", "Da thanh toan"), IF(C28="Interests", "Lai", IF(C28="Misc", "Phi", IF(C28="Account Transfer", IF(OR(ISNUMBER(SEARCH("Trich lai tra gop the TD", D28)), ISNUMBER(SEARCH("Chuyen lai tra gop con lai sang du no thong thuong khi BadDebt", D28))), IF(B28&lt;0, "Lai tra gop", ""), "" )))))) &amp; " " &amp; IF(C28="Interests", TEXT(EDATE(IF(DAY(A28)&gt;=11, A28, EDATE(A28,-1)), -1),"yyyy-mm"), TEXT(IF(DAY(A28)&gt;=11, A28, EDATE(A28,-1)),"yyyy-mm"))</f>
        <v>Lai 2024-01</v>
      </c>
      <c r="F28" s="27">
        <f>IF(ISNUMBER(B28), ROUND(SUMIFS($B$2:$B$10000, $E$2:$E$10000, E28, $B$2:$B$10000, IF(B28&lt;0, "&lt;0", "&gt;0")), 0), "")</f>
        <v>-10568547</v>
      </c>
      <c r="G28" s="28" t="str">
        <f>IF(F28&gt;0, IF(C28="Transaction", "Da thanh toan", "Duong"), IF(F28&lt;0, IF(C28="Transaction", "Du no", IF(C28="Interests", "Lai phat sinh", IF(C28="Misc", "Phi", IF(C28="Account Transfer", "Lai tra gop", "Am")))), "Bang 0"))</f>
        <v>Lai phat sinh</v>
      </c>
    </row>
    <row r="29" spans="1:7" x14ac:dyDescent="0.3">
      <c r="A29" s="64">
        <v>45302</v>
      </c>
      <c r="B29" s="35">
        <v>-8688824.0199999996</v>
      </c>
      <c r="C29" t="s">
        <v>49</v>
      </c>
      <c r="D29" s="25"/>
      <c r="E29" s="26" t="str">
        <f>IF(OR(C29="Transaction",C29="Interests",C29="Misc",C29="Account Transfer"), IF(C29="Transaction", IF(B29&lt;0, "Du no", "Da thanh toan"), IF(C29="Interests", "Lai", IF(C29="Misc", "Phi", IF(C29="Account Transfer", IF(OR(ISNUMBER(SEARCH("Trich lai tra gop the TD", D29)), ISNUMBER(SEARCH("Chuyen lai tra gop con lai sang du no thong thuong khi BadDebt", D29))), IF(B29&lt;0, "Lai tra gop", ""), "" )))))) &amp; " " &amp; IF(C29="Interests", TEXT(EDATE(IF(DAY(A29)&gt;=11, A29, EDATE(A29,-1)), -1),"yyyy-mm"), TEXT(IF(DAY(A29)&gt;=11, A29, EDATE(A29,-1)),"yyyy-mm"))</f>
        <v>Lai 2023-12</v>
      </c>
      <c r="F29" s="27">
        <f>IF(ISNUMBER(B29), ROUND(SUMIFS($B$2:$B$10000, $E$2:$E$10000, E29, $B$2:$B$10000, IF(B29&lt;0, "&lt;0", "&gt;0")), 0), "")</f>
        <v>-10256011</v>
      </c>
      <c r="G29" s="28" t="str">
        <f>IF(F29&gt;0, IF(C29="Transaction", "Da thanh toan", "Duong"), IF(F29&lt;0, IF(C29="Transaction", "Du no", IF(C29="Interests", "Lai phat sinh", IF(C29="Misc", "Phi", IF(C29="Account Transfer", "Lai tra gop", "Am")))), "Bang 0"))</f>
        <v>Lai phat sinh</v>
      </c>
    </row>
    <row r="30" spans="1:7" x14ac:dyDescent="0.3">
      <c r="A30" s="64">
        <v>45302</v>
      </c>
      <c r="B30" s="35">
        <v>-43515.9</v>
      </c>
      <c r="C30" t="s">
        <v>49</v>
      </c>
      <c r="D30" s="25"/>
      <c r="E30" s="26" t="str">
        <f>IF(OR(C30="Transaction",C30="Interests",C30="Misc",C30="Account Transfer"), IF(C30="Transaction", IF(B30&lt;0, "Du no", "Da thanh toan"), IF(C30="Interests", "Lai", IF(C30="Misc", "Phi", IF(C30="Account Transfer", IF(OR(ISNUMBER(SEARCH("Trich lai tra gop the TD", D30)), ISNUMBER(SEARCH("Chuyen lai tra gop con lai sang du no thong thuong khi BadDebt", D30))), IF(B30&lt;0, "Lai tra gop", ""), "" )))))) &amp; " " &amp; IF(C30="Interests", TEXT(EDATE(IF(DAY(A30)&gt;=11, A30, EDATE(A30,-1)), -1),"yyyy-mm"), TEXT(IF(DAY(A30)&gt;=11, A30, EDATE(A30,-1)),"yyyy-mm"))</f>
        <v>Lai 2023-12</v>
      </c>
      <c r="F30" s="27">
        <f>IF(ISNUMBER(B30), ROUND(SUMIFS($B$2:$B$10000, $E$2:$E$10000, E30, $B$2:$B$10000, IF(B30&lt;0, "&lt;0", "&gt;0")), 0), "")</f>
        <v>-10256011</v>
      </c>
      <c r="G30" s="28" t="str">
        <f>IF(F30&gt;0, IF(C30="Transaction", "Da thanh toan", "Duong"), IF(F30&lt;0, IF(C30="Transaction", "Du no", IF(C30="Interests", "Lai phat sinh", IF(C30="Misc", "Phi", IF(C30="Account Transfer", "Lai tra gop", "Am")))), "Bang 0"))</f>
        <v>Lai phat sinh</v>
      </c>
    </row>
    <row r="31" spans="1:7" x14ac:dyDescent="0.3">
      <c r="A31" s="64">
        <v>45302</v>
      </c>
      <c r="B31" s="35">
        <v>-1523671.23</v>
      </c>
      <c r="C31" t="s">
        <v>49</v>
      </c>
      <c r="D31" s="25"/>
      <c r="E31" s="26" t="str">
        <f>IF(OR(C31="Transaction",C31="Interests",C31="Misc",C31="Account Transfer"), IF(C31="Transaction", IF(B31&lt;0, "Du no", "Da thanh toan"), IF(C31="Interests", "Lai", IF(C31="Misc", "Phi", IF(C31="Account Transfer", IF(OR(ISNUMBER(SEARCH("Trich lai tra gop the TD", D31)), ISNUMBER(SEARCH("Chuyen lai tra gop con lai sang du no thong thuong khi BadDebt", D31))), IF(B31&lt;0, "Lai tra gop", ""), "" )))))) &amp; " " &amp; IF(C31="Interests", TEXT(EDATE(IF(DAY(A31)&gt;=11, A31, EDATE(A31,-1)), -1),"yyyy-mm"), TEXT(IF(DAY(A31)&gt;=11, A31, EDATE(A31,-1)),"yyyy-mm"))</f>
        <v>Lai 2023-12</v>
      </c>
      <c r="F31" s="27">
        <f>IF(ISNUMBER(B31), ROUND(SUMIFS($B$2:$B$10000, $E$2:$E$10000, E31, $B$2:$B$10000, IF(B31&lt;0, "&lt;0", "&gt;0")), 0), "")</f>
        <v>-10256011</v>
      </c>
      <c r="G31" s="28" t="str">
        <f>IF(F31&gt;0, IF(C31="Transaction", "Da thanh toan", "Duong"), IF(F31&lt;0, IF(C31="Transaction", "Du no", IF(C31="Interests", "Lai phat sinh", IF(C31="Misc", "Phi", IF(C31="Account Transfer", "Lai tra gop", "Am")))), "Bang 0"))</f>
        <v>Lai phat sinh</v>
      </c>
    </row>
    <row r="32" spans="1:7" x14ac:dyDescent="0.3">
      <c r="A32" s="64">
        <v>45271</v>
      </c>
      <c r="B32" s="35">
        <v>-8124226.4699999997</v>
      </c>
      <c r="C32" t="s">
        <v>49</v>
      </c>
      <c r="D32" s="25"/>
      <c r="E32" s="26" t="str">
        <f>IF(OR(C32="Transaction",C32="Interests",C32="Misc",C32="Account Transfer"), IF(C32="Transaction", IF(B32&lt;0, "Du no", "Da thanh toan"), IF(C32="Interests", "Lai", IF(C32="Misc", "Phi", IF(C32="Account Transfer", IF(OR(ISNUMBER(SEARCH("Trich lai tra gop the TD", D32)), ISNUMBER(SEARCH("Chuyen lai tra gop con lai sang du no thong thuong khi BadDebt", D32))), IF(B32&lt;0, "Lai tra gop", ""), "" )))))) &amp; " " &amp; IF(C32="Interests", TEXT(EDATE(IF(DAY(A32)&gt;=11, A32, EDATE(A32,-1)), -1),"yyyy-mm"), TEXT(IF(DAY(A32)&gt;=11, A32, EDATE(A32,-1)),"yyyy-mm"))</f>
        <v>Lai 2023-11</v>
      </c>
      <c r="F32" s="27">
        <f>IF(ISNUMBER(B32), ROUND(SUMIFS($B$2:$B$10000, $E$2:$E$10000, E32, $B$2:$B$10000, IF(B32&lt;0, "&lt;0", "&gt;0")), 0), "")</f>
        <v>-9640859</v>
      </c>
      <c r="G32" s="28" t="str">
        <f>IF(F32&gt;0, IF(C32="Transaction", "Da thanh toan", "Duong"), IF(F32&lt;0, IF(C32="Transaction", "Du no", IF(C32="Interests", "Lai phat sinh", IF(C32="Misc", "Phi", IF(C32="Account Transfer", "Lai tra gop", "Am")))), "Bang 0"))</f>
        <v>Lai phat sinh</v>
      </c>
    </row>
    <row r="33" spans="1:7" x14ac:dyDescent="0.3">
      <c r="A33" s="64">
        <v>45271</v>
      </c>
      <c r="B33" s="35">
        <v>-42112.160000000003</v>
      </c>
      <c r="C33" t="s">
        <v>49</v>
      </c>
      <c r="D33" s="25"/>
      <c r="E33" s="26" t="str">
        <f>IF(OR(C33="Transaction",C33="Interests",C33="Misc",C33="Account Transfer"), IF(C33="Transaction", IF(B33&lt;0, "Du no", "Da thanh toan"), IF(C33="Interests", "Lai", IF(C33="Misc", "Phi", IF(C33="Account Transfer", IF(OR(ISNUMBER(SEARCH("Trich lai tra gop the TD", D33)), ISNUMBER(SEARCH("Chuyen lai tra gop con lai sang du no thong thuong khi BadDebt", D33))), IF(B33&lt;0, "Lai tra gop", ""), "" )))))) &amp; " " &amp; IF(C33="Interests", TEXT(EDATE(IF(DAY(A33)&gt;=11, A33, EDATE(A33,-1)), -1),"yyyy-mm"), TEXT(IF(DAY(A33)&gt;=11, A33, EDATE(A33,-1)),"yyyy-mm"))</f>
        <v>Lai 2023-11</v>
      </c>
      <c r="F33" s="27">
        <f>IF(ISNUMBER(B33), ROUND(SUMIFS($B$2:$B$10000, $E$2:$E$10000, E33, $B$2:$B$10000, IF(B33&lt;0, "&lt;0", "&gt;0")), 0), "")</f>
        <v>-9640859</v>
      </c>
      <c r="G33" s="28" t="str">
        <f>IF(F33&gt;0, IF(C33="Transaction", "Da thanh toan", "Duong"), IF(F33&lt;0, IF(C33="Transaction", "Du no", IF(C33="Interests", "Lai phat sinh", IF(C33="Misc", "Phi", IF(C33="Account Transfer", "Lai tra gop", "Am")))), "Bang 0"))</f>
        <v>Lai phat sinh</v>
      </c>
    </row>
    <row r="34" spans="1:7" x14ac:dyDescent="0.3">
      <c r="A34" s="64">
        <v>45271</v>
      </c>
      <c r="B34" s="35">
        <v>-1474520.55</v>
      </c>
      <c r="C34" t="s">
        <v>49</v>
      </c>
      <c r="D34" s="25"/>
      <c r="E34" s="26" t="str">
        <f>IF(OR(C34="Transaction",C34="Interests",C34="Misc",C34="Account Transfer"), IF(C34="Transaction", IF(B34&lt;0, "Du no", "Da thanh toan"), IF(C34="Interests", "Lai", IF(C34="Misc", "Phi", IF(C34="Account Transfer", IF(OR(ISNUMBER(SEARCH("Trich lai tra gop the TD", D34)), ISNUMBER(SEARCH("Chuyen lai tra gop con lai sang du no thong thuong khi BadDebt", D34))), IF(B34&lt;0, "Lai tra gop", ""), "" )))))) &amp; " " &amp; IF(C34="Interests", TEXT(EDATE(IF(DAY(A34)&gt;=11, A34, EDATE(A34,-1)), -1),"yyyy-mm"), TEXT(IF(DAY(A34)&gt;=11, A34, EDATE(A34,-1)),"yyyy-mm"))</f>
        <v>Lai 2023-11</v>
      </c>
      <c r="F34" s="27">
        <f>IF(ISNUMBER(B34), ROUND(SUMIFS($B$2:$B$10000, $E$2:$E$10000, E34, $B$2:$B$10000, IF(B34&lt;0, "&lt;0", "&gt;0")), 0), "")</f>
        <v>-9640859</v>
      </c>
      <c r="G34" s="28" t="str">
        <f>IF(F34&gt;0, IF(C34="Transaction", "Da thanh toan", "Duong"), IF(F34&lt;0, IF(C34="Transaction", "Du no", IF(C34="Interests", "Lai phat sinh", IF(C34="Misc", "Phi", IF(C34="Account Transfer", "Lai tra gop", "Am")))), "Bang 0"))</f>
        <v>Lai phat sinh</v>
      </c>
    </row>
    <row r="35" spans="1:7" x14ac:dyDescent="0.3">
      <c r="A35" s="64">
        <v>45241</v>
      </c>
      <c r="B35" s="35">
        <v>-8100428.6600000001</v>
      </c>
      <c r="C35" t="s">
        <v>49</v>
      </c>
      <c r="D35" s="25"/>
      <c r="E35" s="26" t="str">
        <f>IF(OR(C35="Transaction",C35="Interests",C35="Misc",C35="Account Transfer"), IF(C35="Transaction", IF(B35&lt;0, "Du no", "Da thanh toan"), IF(C35="Interests", "Lai", IF(C35="Misc", "Phi", IF(C35="Account Transfer", IF(OR(ISNUMBER(SEARCH("Trich lai tra gop the TD", D35)), ISNUMBER(SEARCH("Chuyen lai tra gop con lai sang du no thong thuong khi BadDebt", D35))), IF(B35&lt;0, "Lai tra gop", ""), "" )))))) &amp; " " &amp; IF(C35="Interests", TEXT(EDATE(IF(DAY(A35)&gt;=11, A35, EDATE(A35,-1)), -1),"yyyy-mm"), TEXT(IF(DAY(A35)&gt;=11, A35, EDATE(A35,-1)),"yyyy-mm"))</f>
        <v>Lai 2023-10</v>
      </c>
      <c r="F35" s="27">
        <f>IF(ISNUMBER(B35), ROUND(SUMIFS($B$2:$B$10000, $E$2:$E$10000, E35, $B$2:$B$10000, IF(B35&lt;0, "&lt;0", "&gt;0")), 0), "")</f>
        <v>-9667616</v>
      </c>
      <c r="G35" s="28" t="str">
        <f>IF(F35&gt;0, IF(C35="Transaction", "Da thanh toan", "Duong"), IF(F35&lt;0, IF(C35="Transaction", "Du no", IF(C35="Interests", "Lai phat sinh", IF(C35="Misc", "Phi", IF(C35="Account Transfer", "Lai tra gop", "Am")))), "Bang 0"))</f>
        <v>Lai phat sinh</v>
      </c>
    </row>
    <row r="36" spans="1:7" x14ac:dyDescent="0.3">
      <c r="A36" s="64">
        <v>45241</v>
      </c>
      <c r="B36" s="35">
        <v>-43515.9</v>
      </c>
      <c r="C36" t="s">
        <v>49</v>
      </c>
      <c r="D36" s="25"/>
      <c r="E36" s="26" t="str">
        <f>IF(OR(C36="Transaction",C36="Interests",C36="Misc",C36="Account Transfer"), IF(C36="Transaction", IF(B36&lt;0, "Du no", "Da thanh toan"), IF(C36="Interests", "Lai", IF(C36="Misc", "Phi", IF(C36="Account Transfer", IF(OR(ISNUMBER(SEARCH("Trich lai tra gop the TD", D36)), ISNUMBER(SEARCH("Chuyen lai tra gop con lai sang du no thong thuong khi BadDebt", D36))), IF(B36&lt;0, "Lai tra gop", ""), "" )))))) &amp; " " &amp; IF(C36="Interests", TEXT(EDATE(IF(DAY(A36)&gt;=11, A36, EDATE(A36,-1)), -1),"yyyy-mm"), TEXT(IF(DAY(A36)&gt;=11, A36, EDATE(A36,-1)),"yyyy-mm"))</f>
        <v>Lai 2023-10</v>
      </c>
      <c r="F36" s="27">
        <f>IF(ISNUMBER(B36), ROUND(SUMIFS($B$2:$B$10000, $E$2:$E$10000, E36, $B$2:$B$10000, IF(B36&lt;0, "&lt;0", "&gt;0")), 0), "")</f>
        <v>-9667616</v>
      </c>
      <c r="G36" s="28" t="str">
        <f>IF(F36&gt;0, IF(C36="Transaction", "Da thanh toan", "Duong"), IF(F36&lt;0, IF(C36="Transaction", "Du no", IF(C36="Interests", "Lai phat sinh", IF(C36="Misc", "Phi", IF(C36="Account Transfer", "Lai tra gop", "Am")))), "Bang 0"))</f>
        <v>Lai phat sinh</v>
      </c>
    </row>
    <row r="37" spans="1:7" x14ac:dyDescent="0.3">
      <c r="A37" s="64">
        <v>45241</v>
      </c>
      <c r="B37" s="35">
        <v>-1523671.23</v>
      </c>
      <c r="C37" t="s">
        <v>49</v>
      </c>
      <c r="D37" s="25"/>
      <c r="E37" s="26" t="str">
        <f>IF(OR(C37="Transaction",C37="Interests",C37="Misc",C37="Account Transfer"), IF(C37="Transaction", IF(B37&lt;0, "Du no", "Da thanh toan"), IF(C37="Interests", "Lai", IF(C37="Misc", "Phi", IF(C37="Account Transfer", IF(OR(ISNUMBER(SEARCH("Trich lai tra gop the TD", D37)), ISNUMBER(SEARCH("Chuyen lai tra gop con lai sang du no thong thuong khi BadDebt", D37))), IF(B37&lt;0, "Lai tra gop", ""), "" )))))) &amp; " " &amp; IF(C37="Interests", TEXT(EDATE(IF(DAY(A37)&gt;=11, A37, EDATE(A37,-1)), -1),"yyyy-mm"), TEXT(IF(DAY(A37)&gt;=11, A37, EDATE(A37,-1)),"yyyy-mm"))</f>
        <v>Lai 2023-10</v>
      </c>
      <c r="F37" s="27">
        <f>IF(ISNUMBER(B37), ROUND(SUMIFS($B$2:$B$10000, $E$2:$E$10000, E37, $B$2:$B$10000, IF(B37&lt;0, "&lt;0", "&gt;0")), 0), "")</f>
        <v>-9667616</v>
      </c>
      <c r="G37" s="28" t="str">
        <f>IF(F37&gt;0, IF(C37="Transaction", "Da thanh toan", "Duong"), IF(F37&lt;0, IF(C37="Transaction", "Du no", IF(C37="Interests", "Lai phat sinh", IF(C37="Misc", "Phi", IF(C37="Account Transfer", "Lai tra gop", "Am")))), "Bang 0"))</f>
        <v>Lai phat sinh</v>
      </c>
    </row>
    <row r="38" spans="1:7" x14ac:dyDescent="0.3">
      <c r="A38" s="64">
        <v>45210</v>
      </c>
      <c r="B38" s="35">
        <v>-7571122.8600000003</v>
      </c>
      <c r="C38" t="s">
        <v>49</v>
      </c>
      <c r="D38" s="25"/>
      <c r="E38" s="26" t="str">
        <f>IF(OR(C38="Transaction",C38="Interests",C38="Misc",C38="Account Transfer"), IF(C38="Transaction", IF(B38&lt;0, "Du no", "Da thanh toan"), IF(C38="Interests", "Lai", IF(C38="Misc", "Phi", IF(C38="Account Transfer", IF(OR(ISNUMBER(SEARCH("Trich lai tra gop the TD", D38)), ISNUMBER(SEARCH("Chuyen lai tra gop con lai sang du no thong thuong khi BadDebt", D38))), IF(B38&lt;0, "Lai tra gop", ""), "" )))))) &amp; " " &amp; IF(C38="Interests", TEXT(EDATE(IF(DAY(A38)&gt;=11, A38, EDATE(A38,-1)), -1),"yyyy-mm"), TEXT(IF(DAY(A38)&gt;=11, A38, EDATE(A38,-1)),"yyyy-mm"))</f>
        <v>Lai 2023-09</v>
      </c>
      <c r="F38" s="27">
        <f>IF(ISNUMBER(B38), ROUND(SUMIFS($B$2:$B$10000, $E$2:$E$10000, E38, $B$2:$B$10000, IF(B38&lt;0, "&lt;0", "&gt;0")), 0), "")</f>
        <v>-9087756</v>
      </c>
      <c r="G38" s="28" t="str">
        <f>IF(F38&gt;0, IF(C38="Transaction", "Da thanh toan", "Duong"), IF(F38&lt;0, IF(C38="Transaction", "Du no", IF(C38="Interests", "Lai phat sinh", IF(C38="Misc", "Phi", IF(C38="Account Transfer", "Lai tra gop", "Am")))), "Bang 0"))</f>
        <v>Lai phat sinh</v>
      </c>
    </row>
    <row r="39" spans="1:7" x14ac:dyDescent="0.3">
      <c r="A39" s="64">
        <v>45210</v>
      </c>
      <c r="B39" s="35">
        <v>-42112.160000000003</v>
      </c>
      <c r="C39" t="s">
        <v>49</v>
      </c>
      <c r="D39" s="25"/>
      <c r="E39" s="26" t="str">
        <f>IF(OR(C39="Transaction",C39="Interests",C39="Misc",C39="Account Transfer"), IF(C39="Transaction", IF(B39&lt;0, "Du no", "Da thanh toan"), IF(C39="Interests", "Lai", IF(C39="Misc", "Phi", IF(C39="Account Transfer", IF(OR(ISNUMBER(SEARCH("Trich lai tra gop the TD", D39)), ISNUMBER(SEARCH("Chuyen lai tra gop con lai sang du no thong thuong khi BadDebt", D39))), IF(B39&lt;0, "Lai tra gop", ""), "" )))))) &amp; " " &amp; IF(C39="Interests", TEXT(EDATE(IF(DAY(A39)&gt;=11, A39, EDATE(A39,-1)), -1),"yyyy-mm"), TEXT(IF(DAY(A39)&gt;=11, A39, EDATE(A39,-1)),"yyyy-mm"))</f>
        <v>Lai 2023-09</v>
      </c>
      <c r="F39" s="27">
        <f>IF(ISNUMBER(B39), ROUND(SUMIFS($B$2:$B$10000, $E$2:$E$10000, E39, $B$2:$B$10000, IF(B39&lt;0, "&lt;0", "&gt;0")), 0), "")</f>
        <v>-9087756</v>
      </c>
      <c r="G39" s="28" t="str">
        <f>IF(F39&gt;0, IF(C39="Transaction", "Da thanh toan", "Duong"), IF(F39&lt;0, IF(C39="Transaction", "Du no", IF(C39="Interests", "Lai phat sinh", IF(C39="Misc", "Phi", IF(C39="Account Transfer", "Lai tra gop", "Am")))), "Bang 0"))</f>
        <v>Lai phat sinh</v>
      </c>
    </row>
    <row r="40" spans="1:7" x14ac:dyDescent="0.3">
      <c r="A40" s="64">
        <v>45210</v>
      </c>
      <c r="B40" s="35">
        <v>-1474520.55</v>
      </c>
      <c r="C40" t="s">
        <v>49</v>
      </c>
      <c r="D40" s="17"/>
      <c r="E40" s="26" t="str">
        <f>IF(OR(C40="Transaction",C40="Interests",C40="Misc",C40="Account Transfer"), IF(C40="Transaction", IF(B40&lt;0, "Du no", "Da thanh toan"), IF(C40="Interests", "Lai", IF(C40="Misc", "Phi", IF(C40="Account Transfer", IF(OR(ISNUMBER(SEARCH("Trich lai tra gop the TD", D40)), ISNUMBER(SEARCH("Chuyen lai tra gop con lai sang du no thong thuong khi BadDebt", D40))), IF(B40&lt;0, "Lai tra gop", ""), "" )))))) &amp; " " &amp; IF(C40="Interests", TEXT(EDATE(IF(DAY(A40)&gt;=11, A40, EDATE(A40,-1)), -1),"yyyy-mm"), TEXT(IF(DAY(A40)&gt;=11, A40, EDATE(A40,-1)),"yyyy-mm"))</f>
        <v>Lai 2023-09</v>
      </c>
      <c r="F40" s="27">
        <f>IF(ISNUMBER(B40), ROUND(SUMIFS($B$2:$B$10000, $E$2:$E$10000, E40, $B$2:$B$10000, IF(B40&lt;0, "&lt;0", "&gt;0")), 0), "")</f>
        <v>-9087756</v>
      </c>
      <c r="G40" s="28" t="str">
        <f>IF(F40&gt;0, IF(C40="Transaction", "Da thanh toan", "Duong"), IF(F40&lt;0, IF(C40="Transaction", "Du no", IF(C40="Interests", "Lai phat sinh", IF(C40="Misc", "Phi", IF(C40="Account Transfer", "Lai tra gop", "Am")))), "Bang 0"))</f>
        <v>Lai phat sinh</v>
      </c>
    </row>
    <row r="41" spans="1:7" x14ac:dyDescent="0.3">
      <c r="A41" s="64">
        <v>45180</v>
      </c>
      <c r="B41" s="35">
        <v>-7545790</v>
      </c>
      <c r="C41" t="s">
        <v>49</v>
      </c>
      <c r="D41" s="17"/>
      <c r="E41" s="26" t="str">
        <f>IF(OR(C41="Transaction",C41="Interests",C41="Misc",C41="Account Transfer"), IF(C41="Transaction", IF(B41&lt;0, "Du no", "Da thanh toan"), IF(C41="Interests", "Lai", IF(C41="Misc", "Phi", IF(C41="Account Transfer", IF(OR(ISNUMBER(SEARCH("Trich lai tra gop the TD", D41)), ISNUMBER(SEARCH("Chuyen lai tra gop con lai sang du no thong thuong khi BadDebt", D41))), IF(B41&lt;0, "Lai tra gop", ""), "" )))))) &amp; " " &amp; IF(C41="Interests", TEXT(EDATE(IF(DAY(A41)&gt;=11, A41, EDATE(A41,-1)), -1),"yyyy-mm"), TEXT(IF(DAY(A41)&gt;=11, A41, EDATE(A41,-1)),"yyyy-mm"))</f>
        <v>Lai 2023-08</v>
      </c>
      <c r="F41" s="27">
        <f>IF(ISNUMBER(B41), ROUND(SUMIFS($B$2:$B$10000, $E$2:$E$10000, E41, $B$2:$B$10000, IF(B41&lt;0, "&lt;0", "&gt;0")), 0), "")</f>
        <v>-9112977</v>
      </c>
      <c r="G41" s="28" t="str">
        <f>IF(F41&gt;0, IF(C41="Transaction", "Da thanh toan", "Duong"), IF(F41&lt;0, IF(C41="Transaction", "Du no", IF(C41="Interests", "Lai phat sinh", IF(C41="Misc", "Phi", IF(C41="Account Transfer", "Lai tra gop", "Am")))), "Bang 0"))</f>
        <v>Lai phat sinh</v>
      </c>
    </row>
    <row r="42" spans="1:7" x14ac:dyDescent="0.3">
      <c r="A42" s="64">
        <v>45180</v>
      </c>
      <c r="B42" s="35">
        <v>-43515.9</v>
      </c>
      <c r="C42" t="s">
        <v>49</v>
      </c>
      <c r="D42" s="25"/>
      <c r="E42" s="26" t="str">
        <f>IF(OR(C42="Transaction",C42="Interests",C42="Misc",C42="Account Transfer"), IF(C42="Transaction", IF(B42&lt;0, "Du no", "Da thanh toan"), IF(C42="Interests", "Lai", IF(C42="Misc", "Phi", IF(C42="Account Transfer", IF(OR(ISNUMBER(SEARCH("Trich lai tra gop the TD", D42)), ISNUMBER(SEARCH("Chuyen lai tra gop con lai sang du no thong thuong khi BadDebt", D42))), IF(B42&lt;0, "Lai tra gop", ""), "" )))))) &amp; " " &amp; IF(C42="Interests", TEXT(EDATE(IF(DAY(A42)&gt;=11, A42, EDATE(A42,-1)), -1),"yyyy-mm"), TEXT(IF(DAY(A42)&gt;=11, A42, EDATE(A42,-1)),"yyyy-mm"))</f>
        <v>Lai 2023-08</v>
      </c>
      <c r="F42" s="27">
        <f>IF(ISNUMBER(B42), ROUND(SUMIFS($B$2:$B$10000, $E$2:$E$10000, E42, $B$2:$B$10000, IF(B42&lt;0, "&lt;0", "&gt;0")), 0), "")</f>
        <v>-9112977</v>
      </c>
      <c r="G42" s="28" t="str">
        <f>IF(F42&gt;0, IF(C42="Transaction", "Da thanh toan", "Duong"), IF(F42&lt;0, IF(C42="Transaction", "Du no", IF(C42="Interests", "Lai phat sinh", IF(C42="Misc", "Phi", IF(C42="Account Transfer", "Lai tra gop", "Am")))), "Bang 0"))</f>
        <v>Lai phat sinh</v>
      </c>
    </row>
    <row r="43" spans="1:7" x14ac:dyDescent="0.3">
      <c r="A43" s="64">
        <v>45180</v>
      </c>
      <c r="B43" s="35">
        <v>-1523671.23</v>
      </c>
      <c r="C43" t="s">
        <v>49</v>
      </c>
      <c r="D43" s="17"/>
      <c r="E43" s="26" t="str">
        <f>IF(OR(C43="Transaction",C43="Interests",C43="Misc",C43="Account Transfer"), IF(C43="Transaction", IF(B43&lt;0, "Du no", "Da thanh toan"), IF(C43="Interests", "Lai", IF(C43="Misc", "Phi", IF(C43="Account Transfer", IF(OR(ISNUMBER(SEARCH("Trich lai tra gop the TD", D43)), ISNUMBER(SEARCH("Chuyen lai tra gop con lai sang du no thong thuong khi BadDebt", D43))), IF(B43&lt;0, "Lai tra gop", ""), "" )))))) &amp; " " &amp; IF(C43="Interests", TEXT(EDATE(IF(DAY(A43)&gt;=11, A43, EDATE(A43,-1)), -1),"yyyy-mm"), TEXT(IF(DAY(A43)&gt;=11, A43, EDATE(A43,-1)),"yyyy-mm"))</f>
        <v>Lai 2023-08</v>
      </c>
      <c r="F43" s="27">
        <f>IF(ISNUMBER(B43), ROUND(SUMIFS($B$2:$B$10000, $E$2:$E$10000, E43, $B$2:$B$10000, IF(B43&lt;0, "&lt;0", "&gt;0")), 0), "")</f>
        <v>-9112977</v>
      </c>
      <c r="G43" s="28" t="str">
        <f>IF(F43&gt;0, IF(C43="Transaction", "Da thanh toan", "Duong"), IF(F43&lt;0, IF(C43="Transaction", "Du no", IF(C43="Interests", "Lai phat sinh", IF(C43="Misc", "Phi", IF(C43="Account Transfer", "Lai tra gop", "Am")))), "Bang 0"))</f>
        <v>Lai phat sinh</v>
      </c>
    </row>
    <row r="44" spans="1:7" x14ac:dyDescent="0.3">
      <c r="A44" s="64">
        <v>45149</v>
      </c>
      <c r="B44" s="35">
        <v>-7276298.7000000002</v>
      </c>
      <c r="C44" t="s">
        <v>49</v>
      </c>
      <c r="D44" s="17"/>
      <c r="E44" s="26" t="str">
        <f>IF(OR(C44="Transaction",C44="Interests",C44="Misc",C44="Account Transfer"), IF(C44="Transaction", IF(B44&lt;0, "Du no", "Da thanh toan"), IF(C44="Interests", "Lai", IF(C44="Misc", "Phi", IF(C44="Account Transfer", IF(OR(ISNUMBER(SEARCH("Trich lai tra gop the TD", D44)), ISNUMBER(SEARCH("Chuyen lai tra gop con lai sang du no thong thuong khi BadDebt", D44))), IF(B44&lt;0, "Lai tra gop", ""), "" )))))) &amp; " " &amp; IF(C44="Interests", TEXT(EDATE(IF(DAY(A44)&gt;=11, A44, EDATE(A44,-1)), -1),"yyyy-mm"), TEXT(IF(DAY(A44)&gt;=11, A44, EDATE(A44,-1)),"yyyy-mm"))</f>
        <v>Lai 2023-07</v>
      </c>
      <c r="F44" s="27">
        <f>IF(ISNUMBER(B44), ROUND(SUMIFS($B$2:$B$10000, $E$2:$E$10000, E44, $B$2:$B$10000, IF(B44&lt;0, "&lt;0", "&gt;0")), 0), "")</f>
        <v>-8843486</v>
      </c>
      <c r="G44" s="28" t="str">
        <f>IF(F44&gt;0, IF(C44="Transaction", "Da thanh toan", "Duong"), IF(F44&lt;0, IF(C44="Transaction", "Du no", IF(C44="Interests", "Lai phat sinh", IF(C44="Misc", "Phi", IF(C44="Account Transfer", "Lai tra gop", "Am")))), "Bang 0"))</f>
        <v>Lai phat sinh</v>
      </c>
    </row>
    <row r="45" spans="1:7" x14ac:dyDescent="0.3">
      <c r="A45" s="64">
        <v>45149</v>
      </c>
      <c r="B45" s="35">
        <v>-43515.9</v>
      </c>
      <c r="C45" t="s">
        <v>49</v>
      </c>
      <c r="D45" s="17"/>
      <c r="E45" s="26" t="str">
        <f>IF(OR(C45="Transaction",C45="Interests",C45="Misc",C45="Account Transfer"), IF(C45="Transaction", IF(B45&lt;0, "Du no", "Da thanh toan"), IF(C45="Interests", "Lai", IF(C45="Misc", "Phi", IF(C45="Account Transfer", IF(OR(ISNUMBER(SEARCH("Trich lai tra gop the TD", D45)), ISNUMBER(SEARCH("Chuyen lai tra gop con lai sang du no thong thuong khi BadDebt", D45))), IF(B45&lt;0, "Lai tra gop", ""), "" )))))) &amp; " " &amp; IF(C45="Interests", TEXT(EDATE(IF(DAY(A45)&gt;=11, A45, EDATE(A45,-1)), -1),"yyyy-mm"), TEXT(IF(DAY(A45)&gt;=11, A45, EDATE(A45,-1)),"yyyy-mm"))</f>
        <v>Lai 2023-07</v>
      </c>
      <c r="F45" s="27">
        <f>IF(ISNUMBER(B45), ROUND(SUMIFS($B$2:$B$10000, $E$2:$E$10000, E45, $B$2:$B$10000, IF(B45&lt;0, "&lt;0", "&gt;0")), 0), "")</f>
        <v>-8843486</v>
      </c>
      <c r="G45" s="28" t="str">
        <f>IF(F45&gt;0, IF(C45="Transaction", "Da thanh toan", "Duong"), IF(F45&lt;0, IF(C45="Transaction", "Du no", IF(C45="Interests", "Lai phat sinh", IF(C45="Misc", "Phi", IF(C45="Account Transfer", "Lai tra gop", "Am")))), "Bang 0"))</f>
        <v>Lai phat sinh</v>
      </c>
    </row>
    <row r="46" spans="1:7" x14ac:dyDescent="0.3">
      <c r="A46" s="64">
        <v>45149</v>
      </c>
      <c r="B46" s="35">
        <v>-1523671.23</v>
      </c>
      <c r="C46" t="s">
        <v>49</v>
      </c>
      <c r="D46" s="17"/>
      <c r="E46" s="26" t="str">
        <f>IF(OR(C46="Transaction",C46="Interests",C46="Misc",C46="Account Transfer"), IF(C46="Transaction", IF(B46&lt;0, "Du no", "Da thanh toan"), IF(C46="Interests", "Lai", IF(C46="Misc", "Phi", IF(C46="Account Transfer", IF(OR(ISNUMBER(SEARCH("Trich lai tra gop the TD", D46)), ISNUMBER(SEARCH("Chuyen lai tra gop con lai sang du no thong thuong khi BadDebt", D46))), IF(B46&lt;0, "Lai tra gop", ""), "" )))))) &amp; " " &amp; IF(C46="Interests", TEXT(EDATE(IF(DAY(A46)&gt;=11, A46, EDATE(A46,-1)), -1),"yyyy-mm"), TEXT(IF(DAY(A46)&gt;=11, A46, EDATE(A46,-1)),"yyyy-mm"))</f>
        <v>Lai 2023-07</v>
      </c>
      <c r="F46" s="27">
        <f>IF(ISNUMBER(B46), ROUND(SUMIFS($B$2:$B$10000, $E$2:$E$10000, E46, $B$2:$B$10000, IF(B46&lt;0, "&lt;0", "&gt;0")), 0), "")</f>
        <v>-8843486</v>
      </c>
      <c r="G46" s="28" t="str">
        <f>IF(F46&gt;0, IF(C46="Transaction", "Da thanh toan", "Duong"), IF(F46&lt;0, IF(C46="Transaction", "Du no", IF(C46="Interests", "Lai phat sinh", IF(C46="Misc", "Phi", IF(C46="Account Transfer", "Lai tra gop", "Am")))), "Bang 0"))</f>
        <v>Lai phat sinh</v>
      </c>
    </row>
    <row r="47" spans="1:7" x14ac:dyDescent="0.3">
      <c r="A47" s="64">
        <v>45118</v>
      </c>
      <c r="B47" s="35">
        <v>-6796423.9299999997</v>
      </c>
      <c r="C47" t="s">
        <v>49</v>
      </c>
      <c r="D47" s="17"/>
      <c r="E47" s="26" t="str">
        <f>IF(OR(C47="Transaction",C47="Interests",C47="Misc",C47="Account Transfer"), IF(C47="Transaction", IF(B47&lt;0, "Du no", "Da thanh toan"), IF(C47="Interests", "Lai", IF(C47="Misc", "Phi", IF(C47="Account Transfer", IF(OR(ISNUMBER(SEARCH("Trich lai tra gop the TD", D47)), ISNUMBER(SEARCH("Chuyen lai tra gop con lai sang du no thong thuong khi BadDebt", D47))), IF(B47&lt;0, "Lai tra gop", ""), "" )))))) &amp; " " &amp; IF(C47="Interests", TEXT(EDATE(IF(DAY(A47)&gt;=11, A47, EDATE(A47,-1)), -1),"yyyy-mm"), TEXT(IF(DAY(A47)&gt;=11, A47, EDATE(A47,-1)),"yyyy-mm"))</f>
        <v>Lai 2023-06</v>
      </c>
      <c r="F47" s="27">
        <f>IF(ISNUMBER(B47), ROUND(SUMIFS($B$2:$B$10000, $E$2:$E$10000, E47, $B$2:$B$10000, IF(B47&lt;0, "&lt;0", "&gt;0")), 0), "")</f>
        <v>-8313057</v>
      </c>
      <c r="G47" s="28" t="str">
        <f>IF(F47&gt;0, IF(C47="Transaction", "Da thanh toan", "Duong"), IF(F47&lt;0, IF(C47="Transaction", "Du no", IF(C47="Interests", "Lai phat sinh", IF(C47="Misc", "Phi", IF(C47="Account Transfer", "Lai tra gop", "Am")))), "Bang 0"))</f>
        <v>Lai phat sinh</v>
      </c>
    </row>
    <row r="48" spans="1:7" x14ac:dyDescent="0.3">
      <c r="A48" s="64">
        <v>45118</v>
      </c>
      <c r="B48" s="35">
        <v>-42112.160000000003</v>
      </c>
      <c r="C48" t="s">
        <v>49</v>
      </c>
      <c r="D48" s="17"/>
      <c r="E48" s="26" t="str">
        <f>IF(OR(C48="Transaction",C48="Interests",C48="Misc",C48="Account Transfer"), IF(C48="Transaction", IF(B48&lt;0, "Du no", "Da thanh toan"), IF(C48="Interests", "Lai", IF(C48="Misc", "Phi", IF(C48="Account Transfer", IF(OR(ISNUMBER(SEARCH("Trich lai tra gop the TD", D48)), ISNUMBER(SEARCH("Chuyen lai tra gop con lai sang du no thong thuong khi BadDebt", D48))), IF(B48&lt;0, "Lai tra gop", ""), "" )))))) &amp; " " &amp; IF(C48="Interests", TEXT(EDATE(IF(DAY(A48)&gt;=11, A48, EDATE(A48,-1)), -1),"yyyy-mm"), TEXT(IF(DAY(A48)&gt;=11, A48, EDATE(A48,-1)),"yyyy-mm"))</f>
        <v>Lai 2023-06</v>
      </c>
      <c r="F48" s="27">
        <f>IF(ISNUMBER(B48), ROUND(SUMIFS($B$2:$B$10000, $E$2:$E$10000, E48, $B$2:$B$10000, IF(B48&lt;0, "&lt;0", "&gt;0")), 0), "")</f>
        <v>-8313057</v>
      </c>
      <c r="G48" s="28" t="str">
        <f>IF(F48&gt;0, IF(C48="Transaction", "Da thanh toan", "Duong"), IF(F48&lt;0, IF(C48="Transaction", "Du no", IF(C48="Interests", "Lai phat sinh", IF(C48="Misc", "Phi", IF(C48="Account Transfer", "Lai tra gop", "Am")))), "Bang 0"))</f>
        <v>Lai phat sinh</v>
      </c>
    </row>
    <row r="49" spans="1:7" x14ac:dyDescent="0.3">
      <c r="A49" s="64">
        <v>45118</v>
      </c>
      <c r="B49" s="35">
        <v>-1474520.55</v>
      </c>
      <c r="C49" t="s">
        <v>49</v>
      </c>
      <c r="D49" s="17"/>
      <c r="E49" s="26" t="str">
        <f>IF(OR(C49="Transaction",C49="Interests",C49="Misc",C49="Account Transfer"), IF(C49="Transaction", IF(B49&lt;0, "Du no", "Da thanh toan"), IF(C49="Interests", "Lai", IF(C49="Misc", "Phi", IF(C49="Account Transfer", IF(OR(ISNUMBER(SEARCH("Trich lai tra gop the TD", D49)), ISNUMBER(SEARCH("Chuyen lai tra gop con lai sang du no thong thuong khi BadDebt", D49))), IF(B49&lt;0, "Lai tra gop", ""), "" )))))) &amp; " " &amp; IF(C49="Interests", TEXT(EDATE(IF(DAY(A49)&gt;=11, A49, EDATE(A49,-1)), -1),"yyyy-mm"), TEXT(IF(DAY(A49)&gt;=11, A49, EDATE(A49,-1)),"yyyy-mm"))</f>
        <v>Lai 2023-06</v>
      </c>
      <c r="F49" s="27">
        <f>IF(ISNUMBER(B49), ROUND(SUMIFS($B$2:$B$10000, $E$2:$E$10000, E49, $B$2:$B$10000, IF(B49&lt;0, "&lt;0", "&gt;0")), 0), "")</f>
        <v>-8313057</v>
      </c>
      <c r="G49" s="28" t="str">
        <f>IF(F49&gt;0, IF(C49="Transaction", "Da thanh toan", "Duong"), IF(F49&lt;0, IF(C49="Transaction", "Du no", IF(C49="Interests", "Lai phat sinh", IF(C49="Misc", "Phi", IF(C49="Account Transfer", "Lai tra gop", "Am")))), "Bang 0"))</f>
        <v>Lai phat sinh</v>
      </c>
    </row>
    <row r="50" spans="1:7" x14ac:dyDescent="0.3">
      <c r="A50" s="64">
        <v>45088</v>
      </c>
      <c r="B50" s="35">
        <v>-6768941.0300000003</v>
      </c>
      <c r="C50" t="s">
        <v>49</v>
      </c>
      <c r="D50" s="25"/>
      <c r="E50" s="26" t="str">
        <f>IF(OR(C50="Transaction",C50="Interests",C50="Misc",C50="Account Transfer"), IF(C50="Transaction", IF(B50&lt;0, "Du no", "Da thanh toan"), IF(C50="Interests", "Lai", IF(C50="Misc", "Phi", IF(C50="Account Transfer", IF(OR(ISNUMBER(SEARCH("Trich lai tra gop the TD", D50)), ISNUMBER(SEARCH("Chuyen lai tra gop con lai sang du no thong thuong khi BadDebt", D50))), IF(B50&lt;0, "Lai tra gop", ""), "" )))))) &amp; " " &amp; IF(C50="Interests", TEXT(EDATE(IF(DAY(A50)&gt;=11, A50, EDATE(A50,-1)), -1),"yyyy-mm"), TEXT(IF(DAY(A50)&gt;=11, A50, EDATE(A50,-1)),"yyyy-mm"))</f>
        <v>Lai 2023-05</v>
      </c>
      <c r="F50" s="27">
        <f>IF(ISNUMBER(B50), ROUND(SUMIFS($B$2:$B$10000, $E$2:$E$10000, E50, $B$2:$B$10000, IF(B50&lt;0, "&lt;0", "&gt;0")), 0), "")</f>
        <v>-8336128</v>
      </c>
      <c r="G50" s="28" t="str">
        <f>IF(F50&gt;0, IF(C50="Transaction", "Da thanh toan", "Duong"), IF(F50&lt;0, IF(C50="Transaction", "Du no", IF(C50="Interests", "Lai phat sinh", IF(C50="Misc", "Phi", IF(C50="Account Transfer", "Lai tra gop", "Am")))), "Bang 0"))</f>
        <v>Lai phat sinh</v>
      </c>
    </row>
    <row r="51" spans="1:7" x14ac:dyDescent="0.3">
      <c r="A51" s="64">
        <v>45088</v>
      </c>
      <c r="B51" s="35">
        <v>-43515.9</v>
      </c>
      <c r="C51" t="s">
        <v>49</v>
      </c>
      <c r="D51" s="25"/>
      <c r="E51" s="26" t="str">
        <f>IF(OR(C51="Transaction",C51="Interests",C51="Misc",C51="Account Transfer"), IF(C51="Transaction", IF(B51&lt;0, "Du no", "Da thanh toan"), IF(C51="Interests", "Lai", IF(C51="Misc", "Phi", IF(C51="Account Transfer", IF(OR(ISNUMBER(SEARCH("Trich lai tra gop the TD", D51)), ISNUMBER(SEARCH("Chuyen lai tra gop con lai sang du no thong thuong khi BadDebt", D51))), IF(B51&lt;0, "Lai tra gop", ""), "" )))))) &amp; " " &amp; IF(C51="Interests", TEXT(EDATE(IF(DAY(A51)&gt;=11, A51, EDATE(A51,-1)), -1),"yyyy-mm"), TEXT(IF(DAY(A51)&gt;=11, A51, EDATE(A51,-1)),"yyyy-mm"))</f>
        <v>Lai 2023-05</v>
      </c>
      <c r="F51" s="27">
        <f>IF(ISNUMBER(B51), ROUND(SUMIFS($B$2:$B$10000, $E$2:$E$10000, E51, $B$2:$B$10000, IF(B51&lt;0, "&lt;0", "&gt;0")), 0), "")</f>
        <v>-8336128</v>
      </c>
      <c r="G51" s="28" t="str">
        <f>IF(F51&gt;0, IF(C51="Transaction", "Da thanh toan", "Duong"), IF(F51&lt;0, IF(C51="Transaction", "Du no", IF(C51="Interests", "Lai phat sinh", IF(C51="Misc", "Phi", IF(C51="Account Transfer", "Lai tra gop", "Am")))), "Bang 0"))</f>
        <v>Lai phat sinh</v>
      </c>
    </row>
    <row r="52" spans="1:7" x14ac:dyDescent="0.3">
      <c r="A52" s="64">
        <v>45088</v>
      </c>
      <c r="B52" s="35">
        <v>-1523671.23</v>
      </c>
      <c r="C52" t="s">
        <v>49</v>
      </c>
      <c r="D52" s="25"/>
      <c r="E52" s="26" t="str">
        <f>IF(OR(C52="Transaction",C52="Interests",C52="Misc",C52="Account Transfer"), IF(C52="Transaction", IF(B52&lt;0, "Du no", "Da thanh toan"), IF(C52="Interests", "Lai", IF(C52="Misc", "Phi", IF(C52="Account Transfer", IF(OR(ISNUMBER(SEARCH("Trich lai tra gop the TD", D52)), ISNUMBER(SEARCH("Chuyen lai tra gop con lai sang du no thong thuong khi BadDebt", D52))), IF(B52&lt;0, "Lai tra gop", ""), "" )))))) &amp; " " &amp; IF(C52="Interests", TEXT(EDATE(IF(DAY(A52)&gt;=11, A52, EDATE(A52,-1)), -1),"yyyy-mm"), TEXT(IF(DAY(A52)&gt;=11, A52, EDATE(A52,-1)),"yyyy-mm"))</f>
        <v>Lai 2023-05</v>
      </c>
      <c r="F52" s="27">
        <f>IF(ISNUMBER(B52), ROUND(SUMIFS($B$2:$B$10000, $E$2:$E$10000, E52, $B$2:$B$10000, IF(B52&lt;0, "&lt;0", "&gt;0")), 0), "")</f>
        <v>-8336128</v>
      </c>
      <c r="G52" s="28" t="str">
        <f>IF(F52&gt;0, IF(C52="Transaction", "Da thanh toan", "Duong"), IF(F52&lt;0, IF(C52="Transaction", "Du no", IF(C52="Interests", "Lai phat sinh", IF(C52="Misc", "Phi", IF(C52="Account Transfer", "Lai tra gop", "Am")))), "Bang 0"))</f>
        <v>Lai phat sinh</v>
      </c>
    </row>
    <row r="53" spans="1:7" x14ac:dyDescent="0.3">
      <c r="A53" s="64">
        <v>45057</v>
      </c>
      <c r="B53" s="35">
        <v>-6319497.3899999997</v>
      </c>
      <c r="C53" t="s">
        <v>49</v>
      </c>
      <c r="D53" s="25"/>
      <c r="E53" s="26" t="str">
        <f>IF(OR(C53="Transaction",C53="Interests",C53="Misc",C53="Account Transfer"), IF(C53="Transaction", IF(B53&lt;0, "Du no", "Da thanh toan"), IF(C53="Interests", "Lai", IF(C53="Misc", "Phi", IF(C53="Account Transfer", IF(OR(ISNUMBER(SEARCH("Trich lai tra gop the TD", D53)), ISNUMBER(SEARCH("Chuyen lai tra gop con lai sang du no thong thuong khi BadDebt", D53))), IF(B53&lt;0, "Lai tra gop", ""), "" )))))) &amp; " " &amp; IF(C53="Interests", TEXT(EDATE(IF(DAY(A53)&gt;=11, A53, EDATE(A53,-1)), -1),"yyyy-mm"), TEXT(IF(DAY(A53)&gt;=11, A53, EDATE(A53,-1)),"yyyy-mm"))</f>
        <v>Lai 2023-04</v>
      </c>
      <c r="F53" s="27">
        <f>IF(ISNUMBER(B53), ROUND(SUMIFS($B$2:$B$10000, $E$2:$E$10000, E53, $B$2:$B$10000, IF(B53&lt;0, "&lt;0", "&gt;0")), 0), "")</f>
        <v>-7836130</v>
      </c>
      <c r="G53" s="28" t="str">
        <f>IF(F53&gt;0, IF(C53="Transaction", "Da thanh toan", "Duong"), IF(F53&lt;0, IF(C53="Transaction", "Du no", IF(C53="Interests", "Lai phat sinh", IF(C53="Misc", "Phi", IF(C53="Account Transfer", "Lai tra gop", "Am")))), "Bang 0"))</f>
        <v>Lai phat sinh</v>
      </c>
    </row>
    <row r="54" spans="1:7" x14ac:dyDescent="0.3">
      <c r="A54" s="64">
        <v>45057</v>
      </c>
      <c r="B54" s="35">
        <v>-42112.160000000003</v>
      </c>
      <c r="C54" t="s">
        <v>49</v>
      </c>
      <c r="D54" s="25"/>
      <c r="E54" s="26" t="str">
        <f>IF(OR(C54="Transaction",C54="Interests",C54="Misc",C54="Account Transfer"), IF(C54="Transaction", IF(B54&lt;0, "Du no", "Da thanh toan"), IF(C54="Interests", "Lai", IF(C54="Misc", "Phi", IF(C54="Account Transfer", IF(OR(ISNUMBER(SEARCH("Trich lai tra gop the TD", D54)), ISNUMBER(SEARCH("Chuyen lai tra gop con lai sang du no thong thuong khi BadDebt", D54))), IF(B54&lt;0, "Lai tra gop", ""), "" )))))) &amp; " " &amp; IF(C54="Interests", TEXT(EDATE(IF(DAY(A54)&gt;=11, A54, EDATE(A54,-1)), -1),"yyyy-mm"), TEXT(IF(DAY(A54)&gt;=11, A54, EDATE(A54,-1)),"yyyy-mm"))</f>
        <v>Lai 2023-04</v>
      </c>
      <c r="F54" s="27">
        <f>IF(ISNUMBER(B54), ROUND(SUMIFS($B$2:$B$10000, $E$2:$E$10000, E54, $B$2:$B$10000, IF(B54&lt;0, "&lt;0", "&gt;0")), 0), "")</f>
        <v>-7836130</v>
      </c>
      <c r="G54" s="28" t="str">
        <f>IF(F54&gt;0, IF(C54="Transaction", "Da thanh toan", "Duong"), IF(F54&lt;0, IF(C54="Transaction", "Du no", IF(C54="Interests", "Lai phat sinh", IF(C54="Misc", "Phi", IF(C54="Account Transfer", "Lai tra gop", "Am")))), "Bang 0"))</f>
        <v>Lai phat sinh</v>
      </c>
    </row>
    <row r="55" spans="1:7" x14ac:dyDescent="0.3">
      <c r="A55" s="64">
        <v>45057</v>
      </c>
      <c r="B55" s="35">
        <v>-1474520.55</v>
      </c>
      <c r="C55" t="s">
        <v>49</v>
      </c>
      <c r="D55" s="17"/>
      <c r="E55" s="26" t="str">
        <f>IF(OR(C55="Transaction",C55="Interests",C55="Misc",C55="Account Transfer"), IF(C55="Transaction", IF(B55&lt;0, "Du no", "Da thanh toan"), IF(C55="Interests", "Lai", IF(C55="Misc", "Phi", IF(C55="Account Transfer", IF(OR(ISNUMBER(SEARCH("Trich lai tra gop the TD", D55)), ISNUMBER(SEARCH("Chuyen lai tra gop con lai sang du no thong thuong khi BadDebt", D55))), IF(B55&lt;0, "Lai tra gop", ""), "" )))))) &amp; " " &amp; IF(C55="Interests", TEXT(EDATE(IF(DAY(A55)&gt;=11, A55, EDATE(A55,-1)), -1),"yyyy-mm"), TEXT(IF(DAY(A55)&gt;=11, A55, EDATE(A55,-1)),"yyyy-mm"))</f>
        <v>Lai 2023-04</v>
      </c>
      <c r="F55" s="27">
        <f>IF(ISNUMBER(B55), ROUND(SUMIFS($B$2:$B$10000, $E$2:$E$10000, E55, $B$2:$B$10000, IF(B55&lt;0, "&lt;0", "&gt;0")), 0), "")</f>
        <v>-7836130</v>
      </c>
      <c r="G55" s="28" t="str">
        <f>IF(F55&gt;0, IF(C55="Transaction", "Da thanh toan", "Duong"), IF(F55&lt;0, IF(C55="Transaction", "Du no", IF(C55="Interests", "Lai phat sinh", IF(C55="Misc", "Phi", IF(C55="Account Transfer", "Lai tra gop", "Am")))), "Bang 0"))</f>
        <v>Lai phat sinh</v>
      </c>
    </row>
    <row r="56" spans="1:7" x14ac:dyDescent="0.3">
      <c r="A56" s="64">
        <v>45027</v>
      </c>
      <c r="B56" s="35">
        <v>-6290690.8499999996</v>
      </c>
      <c r="C56" t="s">
        <v>49</v>
      </c>
      <c r="D56" s="17"/>
      <c r="E56" s="26" t="str">
        <f>IF(OR(C56="Transaction",C56="Interests",C56="Misc",C56="Account Transfer"), IF(C56="Transaction", IF(B56&lt;0, "Du no", "Da thanh toan"), IF(C56="Interests", "Lai", IF(C56="Misc", "Phi", IF(C56="Account Transfer", IF(OR(ISNUMBER(SEARCH("Trich lai tra gop the TD", D56)), ISNUMBER(SEARCH("Chuyen lai tra gop con lai sang du no thong thuong khi BadDebt", D56))), IF(B56&lt;0, "Lai tra gop", ""), "" )))))) &amp; " " &amp; IF(C56="Interests", TEXT(EDATE(IF(DAY(A56)&gt;=11, A56, EDATE(A56,-1)), -1),"yyyy-mm"), TEXT(IF(DAY(A56)&gt;=11, A56, EDATE(A56,-1)),"yyyy-mm"))</f>
        <v>Lai 2023-03</v>
      </c>
      <c r="F56" s="27">
        <f>IF(ISNUMBER(B56), ROUND(SUMIFS($B$2:$B$10000, $E$2:$E$10000, E56, $B$2:$B$10000, IF(B56&lt;0, "&lt;0", "&gt;0")), 0), "")</f>
        <v>-7857878</v>
      </c>
      <c r="G56" s="28" t="str">
        <f>IF(F56&gt;0, IF(C56="Transaction", "Da thanh toan", "Duong"), IF(F56&lt;0, IF(C56="Transaction", "Du no", IF(C56="Interests", "Lai phat sinh", IF(C56="Misc", "Phi", IF(C56="Account Transfer", "Lai tra gop", "Am")))), "Bang 0"))</f>
        <v>Lai phat sinh</v>
      </c>
    </row>
    <row r="57" spans="1:7" x14ac:dyDescent="0.3">
      <c r="A57" s="64">
        <v>45027</v>
      </c>
      <c r="B57" s="35">
        <v>-43515.9</v>
      </c>
      <c r="C57" t="s">
        <v>49</v>
      </c>
      <c r="D57" s="17"/>
      <c r="E57" s="26" t="str">
        <f>IF(OR(C57="Transaction",C57="Interests",C57="Misc",C57="Account Transfer"), IF(C57="Transaction", IF(B57&lt;0, "Du no", "Da thanh toan"), IF(C57="Interests", "Lai", IF(C57="Misc", "Phi", IF(C57="Account Transfer", IF(OR(ISNUMBER(SEARCH("Trich lai tra gop the TD", D57)), ISNUMBER(SEARCH("Chuyen lai tra gop con lai sang du no thong thuong khi BadDebt", D57))), IF(B57&lt;0, "Lai tra gop", ""), "" )))))) &amp; " " &amp; IF(C57="Interests", TEXT(EDATE(IF(DAY(A57)&gt;=11, A57, EDATE(A57,-1)), -1),"yyyy-mm"), TEXT(IF(DAY(A57)&gt;=11, A57, EDATE(A57,-1)),"yyyy-mm"))</f>
        <v>Lai 2023-03</v>
      </c>
      <c r="F57" s="27">
        <f>IF(ISNUMBER(B57), ROUND(SUMIFS($B$2:$B$10000, $E$2:$E$10000, E57, $B$2:$B$10000, IF(B57&lt;0, "&lt;0", "&gt;0")), 0), "")</f>
        <v>-7857878</v>
      </c>
      <c r="G57" s="28" t="str">
        <f>IF(F57&gt;0, IF(C57="Transaction", "Da thanh toan", "Duong"), IF(F57&lt;0, IF(C57="Transaction", "Du no", IF(C57="Interests", "Lai phat sinh", IF(C57="Misc", "Phi", IF(C57="Account Transfer", "Lai tra gop", "Am")))), "Bang 0"))</f>
        <v>Lai phat sinh</v>
      </c>
    </row>
    <row r="58" spans="1:7" x14ac:dyDescent="0.3">
      <c r="A58" s="64">
        <v>45027</v>
      </c>
      <c r="B58" s="35">
        <v>-1523671.23</v>
      </c>
      <c r="C58" t="s">
        <v>49</v>
      </c>
      <c r="D58" s="17"/>
      <c r="E58" s="26" t="str">
        <f>IF(OR(C58="Transaction",C58="Interests",C58="Misc",C58="Account Transfer"), IF(C58="Transaction", IF(B58&lt;0, "Du no", "Da thanh toan"), IF(C58="Interests", "Lai", IF(C58="Misc", "Phi", IF(C58="Account Transfer", IF(OR(ISNUMBER(SEARCH("Trich lai tra gop the TD", D58)), ISNUMBER(SEARCH("Chuyen lai tra gop con lai sang du no thong thuong khi BadDebt", D58))), IF(B58&lt;0, "Lai tra gop", ""), "" )))))) &amp; " " &amp; IF(C58="Interests", TEXT(EDATE(IF(DAY(A58)&gt;=11, A58, EDATE(A58,-1)), -1),"yyyy-mm"), TEXT(IF(DAY(A58)&gt;=11, A58, EDATE(A58,-1)),"yyyy-mm"))</f>
        <v>Lai 2023-03</v>
      </c>
      <c r="F58" s="27">
        <f>IF(ISNUMBER(B58), ROUND(SUMIFS($B$2:$B$10000, $E$2:$E$10000, E58, $B$2:$B$10000, IF(B58&lt;0, "&lt;0", "&gt;0")), 0), "")</f>
        <v>-7857878</v>
      </c>
      <c r="G58" s="28" t="str">
        <f>IF(F58&gt;0, IF(C58="Transaction", "Da thanh toan", "Duong"), IF(F58&lt;0, IF(C58="Transaction", "Du no", IF(C58="Interests", "Lai phat sinh", IF(C58="Misc", "Phi", IF(C58="Account Transfer", "Lai tra gop", "Am")))), "Bang 0"))</f>
        <v>Lai phat sinh</v>
      </c>
    </row>
    <row r="59" spans="1:7" x14ac:dyDescent="0.3">
      <c r="A59" s="64">
        <v>44996</v>
      </c>
      <c r="B59" s="35">
        <v>-5491794.6299999999</v>
      </c>
      <c r="C59" t="s">
        <v>49</v>
      </c>
      <c r="D59" s="17"/>
      <c r="E59" s="26" t="str">
        <f>IF(OR(C59="Transaction",C59="Interests",C59="Misc",C59="Account Transfer"), IF(C59="Transaction", IF(B59&lt;0, "Du no", "Da thanh toan"), IF(C59="Interests", "Lai", IF(C59="Misc", "Phi", IF(C59="Account Transfer", IF(OR(ISNUMBER(SEARCH("Trich lai tra gop the TD", D59)), ISNUMBER(SEARCH("Chuyen lai tra gop con lai sang du no thong thuong khi BadDebt", D59))), IF(B59&lt;0, "Lai tra gop", ""), "" )))))) &amp; " " &amp; IF(C59="Interests", TEXT(EDATE(IF(DAY(A59)&gt;=11, A59, EDATE(A59,-1)), -1),"yyyy-mm"), TEXT(IF(DAY(A59)&gt;=11, A59, EDATE(A59,-1)),"yyyy-mm"))</f>
        <v>Lai 2023-02</v>
      </c>
      <c r="F59" s="27">
        <f>IF(ISNUMBER(B59), ROUND(SUMIFS($B$2:$B$10000, $E$2:$E$10000, E59, $B$2:$B$10000, IF(B59&lt;0, "&lt;0", "&gt;0")), 0), "")</f>
        <v>-6907318</v>
      </c>
      <c r="G59" s="28" t="str">
        <f>IF(F59&gt;0, IF(C59="Transaction", "Da thanh toan", "Duong"), IF(F59&lt;0, IF(C59="Transaction", "Du no", IF(C59="Interests", "Lai phat sinh", IF(C59="Misc", "Phi", IF(C59="Account Transfer", "Lai tra gop", "Am")))), "Bang 0"))</f>
        <v>Lai phat sinh</v>
      </c>
    </row>
    <row r="60" spans="1:7" x14ac:dyDescent="0.3">
      <c r="A60" s="64">
        <v>44996</v>
      </c>
      <c r="B60" s="35">
        <v>-39304.68</v>
      </c>
      <c r="C60" t="s">
        <v>49</v>
      </c>
      <c r="D60" s="25"/>
      <c r="E60" s="26" t="str">
        <f>IF(OR(C60="Transaction",C60="Interests",C60="Misc",C60="Account Transfer"), IF(C60="Transaction", IF(B60&lt;0, "Du no", "Da thanh toan"), IF(C60="Interests", "Lai", IF(C60="Misc", "Phi", IF(C60="Account Transfer", IF(OR(ISNUMBER(SEARCH("Trich lai tra gop the TD", D60)), ISNUMBER(SEARCH("Chuyen lai tra gop con lai sang du no thong thuong khi BadDebt", D60))), IF(B60&lt;0, "Lai tra gop", ""), "" )))))) &amp; " " &amp; IF(C60="Interests", TEXT(EDATE(IF(DAY(A60)&gt;=11, A60, EDATE(A60,-1)), -1),"yyyy-mm"), TEXT(IF(DAY(A60)&gt;=11, A60, EDATE(A60,-1)),"yyyy-mm"))</f>
        <v>Lai 2023-02</v>
      </c>
      <c r="F60" s="27">
        <f>IF(ISNUMBER(B60), ROUND(SUMIFS($B$2:$B$10000, $E$2:$E$10000, E60, $B$2:$B$10000, IF(B60&lt;0, "&lt;0", "&gt;0")), 0), "")</f>
        <v>-6907318</v>
      </c>
      <c r="G60" s="28" t="str">
        <f>IF(F60&gt;0, IF(C60="Transaction", "Da thanh toan", "Duong"), IF(F60&lt;0, IF(C60="Transaction", "Du no", IF(C60="Interests", "Lai phat sinh", IF(C60="Misc", "Phi", IF(C60="Account Transfer", "Lai tra gop", "Am")))), "Bang 0"))</f>
        <v>Lai phat sinh</v>
      </c>
    </row>
    <row r="61" spans="1:7" x14ac:dyDescent="0.3">
      <c r="A61" s="64">
        <v>44996</v>
      </c>
      <c r="B61" s="35">
        <v>-1376219.18</v>
      </c>
      <c r="C61" t="s">
        <v>49</v>
      </c>
      <c r="D61" s="25"/>
      <c r="E61" s="26" t="str">
        <f>IF(OR(C61="Transaction",C61="Interests",C61="Misc",C61="Account Transfer"), IF(C61="Transaction", IF(B61&lt;0, "Du no", "Da thanh toan"), IF(C61="Interests", "Lai", IF(C61="Misc", "Phi", IF(C61="Account Transfer", IF(OR(ISNUMBER(SEARCH("Trich lai tra gop the TD", D61)), ISNUMBER(SEARCH("Chuyen lai tra gop con lai sang du no thong thuong khi BadDebt", D61))), IF(B61&lt;0, "Lai tra gop", ""), "" )))))) &amp; " " &amp; IF(C61="Interests", TEXT(EDATE(IF(DAY(A61)&gt;=11, A61, EDATE(A61,-1)), -1),"yyyy-mm"), TEXT(IF(DAY(A61)&gt;=11, A61, EDATE(A61,-1)),"yyyy-mm"))</f>
        <v>Lai 2023-02</v>
      </c>
      <c r="F61" s="27">
        <f>IF(ISNUMBER(B61), ROUND(SUMIFS($B$2:$B$10000, $E$2:$E$10000, E61, $B$2:$B$10000, IF(B61&lt;0, "&lt;0", "&gt;0")), 0), "")</f>
        <v>-6907318</v>
      </c>
      <c r="G61" s="28" t="str">
        <f>IF(F61&gt;0, IF(C61="Transaction", "Da thanh toan", "Duong"), IF(F61&lt;0, IF(C61="Transaction", "Du no", IF(C61="Interests", "Lai phat sinh", IF(C61="Misc", "Phi", IF(C61="Account Transfer", "Lai tra gop", "Am")))), "Bang 0"))</f>
        <v>Lai phat sinh</v>
      </c>
    </row>
    <row r="62" spans="1:7" x14ac:dyDescent="0.3">
      <c r="A62" s="64">
        <v>44968</v>
      </c>
      <c r="B62" s="35">
        <v>-5854050.6699999999</v>
      </c>
      <c r="C62" t="s">
        <v>49</v>
      </c>
      <c r="D62" s="25"/>
      <c r="E62" s="26" t="str">
        <f>IF(OR(C62="Transaction",C62="Interests",C62="Misc",C62="Account Transfer"), IF(C62="Transaction", IF(B62&lt;0, "Du no", "Da thanh toan"), IF(C62="Interests", "Lai", IF(C62="Misc", "Phi", IF(C62="Account Transfer", IF(OR(ISNUMBER(SEARCH("Trich lai tra gop the TD", D62)), ISNUMBER(SEARCH("Chuyen lai tra gop con lai sang du no thong thuong khi BadDebt", D62))), IF(B62&lt;0, "Lai tra gop", ""), "" )))))) &amp; " " &amp; IF(C62="Interests", TEXT(EDATE(IF(DAY(A62)&gt;=11, A62, EDATE(A62,-1)), -1),"yyyy-mm"), TEXT(IF(DAY(A62)&gt;=11, A62, EDATE(A62,-1)),"yyyy-mm"))</f>
        <v>Lai 2023-01</v>
      </c>
      <c r="F62" s="27">
        <f>IF(ISNUMBER(B62), ROUND(SUMIFS($B$2:$B$10000, $E$2:$E$10000, E62, $B$2:$B$10000, IF(B62&lt;0, "&lt;0", "&gt;0")), 0), "")</f>
        <v>-7421238</v>
      </c>
      <c r="G62" s="28" t="str">
        <f>IF(F62&gt;0, IF(C62="Transaction", "Da thanh toan", "Duong"), IF(F62&lt;0, IF(C62="Transaction", "Du no", IF(C62="Interests", "Lai phat sinh", IF(C62="Misc", "Phi", IF(C62="Account Transfer", "Lai tra gop", "Am")))), "Bang 0"))</f>
        <v>Lai phat sinh</v>
      </c>
    </row>
    <row r="63" spans="1:7" x14ac:dyDescent="0.3">
      <c r="A63" s="64">
        <v>44968</v>
      </c>
      <c r="B63" s="35">
        <v>-43515.9</v>
      </c>
      <c r="C63" t="s">
        <v>49</v>
      </c>
      <c r="D63" s="25"/>
      <c r="E63" s="26" t="str">
        <f>IF(OR(C63="Transaction",C63="Interests",C63="Misc",C63="Account Transfer"), IF(C63="Transaction", IF(B63&lt;0, "Du no", "Da thanh toan"), IF(C63="Interests", "Lai", IF(C63="Misc", "Phi", IF(C63="Account Transfer", IF(OR(ISNUMBER(SEARCH("Trich lai tra gop the TD", D63)), ISNUMBER(SEARCH("Chuyen lai tra gop con lai sang du no thong thuong khi BadDebt", D63))), IF(B63&lt;0, "Lai tra gop", ""), "" )))))) &amp; " " &amp; IF(C63="Interests", TEXT(EDATE(IF(DAY(A63)&gt;=11, A63, EDATE(A63,-1)), -1),"yyyy-mm"), TEXT(IF(DAY(A63)&gt;=11, A63, EDATE(A63,-1)),"yyyy-mm"))</f>
        <v>Lai 2023-01</v>
      </c>
      <c r="F63" s="27">
        <f>IF(ISNUMBER(B63), ROUND(SUMIFS($B$2:$B$10000, $E$2:$E$10000, E63, $B$2:$B$10000, IF(B63&lt;0, "&lt;0", "&gt;0")), 0), "")</f>
        <v>-7421238</v>
      </c>
      <c r="G63" s="28" t="str">
        <f>IF(F63&gt;0, IF(C63="Transaction", "Da thanh toan", "Duong"), IF(F63&lt;0, IF(C63="Transaction", "Du no", IF(C63="Interests", "Lai phat sinh", IF(C63="Misc", "Phi", IF(C63="Account Transfer", "Lai tra gop", "Am")))), "Bang 0"))</f>
        <v>Lai phat sinh</v>
      </c>
    </row>
    <row r="64" spans="1:7" x14ac:dyDescent="0.3">
      <c r="A64" s="64">
        <v>44968</v>
      </c>
      <c r="B64" s="35">
        <v>-1523671.23</v>
      </c>
      <c r="C64" t="s">
        <v>49</v>
      </c>
      <c r="D64" s="25"/>
      <c r="E64" s="26" t="str">
        <f>IF(OR(C64="Transaction",C64="Interests",C64="Misc",C64="Account Transfer"), IF(C64="Transaction", IF(B64&lt;0, "Du no", "Da thanh toan"), IF(C64="Interests", "Lai", IF(C64="Misc", "Phi", IF(C64="Account Transfer", IF(OR(ISNUMBER(SEARCH("Trich lai tra gop the TD", D64)), ISNUMBER(SEARCH("Chuyen lai tra gop con lai sang du no thong thuong khi BadDebt", D64))), IF(B64&lt;0, "Lai tra gop", ""), "" )))))) &amp; " " &amp; IF(C64="Interests", TEXT(EDATE(IF(DAY(A64)&gt;=11, A64, EDATE(A64,-1)), -1),"yyyy-mm"), TEXT(IF(DAY(A64)&gt;=11, A64, EDATE(A64,-1)),"yyyy-mm"))</f>
        <v>Lai 2023-01</v>
      </c>
      <c r="F64" s="27">
        <f>IF(ISNUMBER(B64), ROUND(SUMIFS($B$2:$B$10000, $E$2:$E$10000, E64, $B$2:$B$10000, IF(B64&lt;0, "&lt;0", "&gt;0")), 0), "")</f>
        <v>-7421238</v>
      </c>
      <c r="G64" s="28" t="str">
        <f>IF(F64&gt;0, IF(C64="Transaction", "Da thanh toan", "Duong"), IF(F64&lt;0, IF(C64="Transaction", "Du no", IF(C64="Interests", "Lai phat sinh", IF(C64="Misc", "Phi", IF(C64="Account Transfer", "Lai tra gop", "Am")))), "Bang 0"))</f>
        <v>Lai phat sinh</v>
      </c>
    </row>
    <row r="65" spans="1:7" x14ac:dyDescent="0.3">
      <c r="A65" s="64">
        <v>44937</v>
      </c>
      <c r="B65" s="35">
        <v>-5634587.9199999999</v>
      </c>
      <c r="C65" t="s">
        <v>49</v>
      </c>
      <c r="D65" s="25"/>
      <c r="E65" s="26" t="str">
        <f>IF(OR(C65="Transaction",C65="Interests",C65="Misc",C65="Account Transfer"), IF(C65="Transaction", IF(B65&lt;0, "Du no", "Da thanh toan"), IF(C65="Interests", "Lai", IF(C65="Misc", "Phi", IF(C65="Account Transfer", IF(OR(ISNUMBER(SEARCH("Trich lai tra gop the TD", D65)), ISNUMBER(SEARCH("Chuyen lai tra gop con lai sang du no thong thuong khi BadDebt", D65))), IF(B65&lt;0, "Lai tra gop", ""), "" )))))) &amp; " " &amp; IF(C65="Interests", TEXT(EDATE(IF(DAY(A65)&gt;=11, A65, EDATE(A65,-1)), -1),"yyyy-mm"), TEXT(IF(DAY(A65)&gt;=11, A65, EDATE(A65,-1)),"yyyy-mm"))</f>
        <v>Lai 2022-12</v>
      </c>
      <c r="F65" s="27">
        <f>IF(ISNUMBER(B65), ROUND(SUMIFS($B$2:$B$10000, $E$2:$E$10000, E65, $B$2:$B$10000, IF(B65&lt;0, "&lt;0", "&gt;0")), 0), "")</f>
        <v>-7201775</v>
      </c>
      <c r="G65" s="28" t="str">
        <f>IF(F65&gt;0, IF(C65="Transaction", "Da thanh toan", "Duong"), IF(F65&lt;0, IF(C65="Transaction", "Du no", IF(C65="Interests", "Lai phat sinh", IF(C65="Misc", "Phi", IF(C65="Account Transfer", "Lai tra gop", "Am")))), "Bang 0"))</f>
        <v>Lai phat sinh</v>
      </c>
    </row>
    <row r="66" spans="1:7" x14ac:dyDescent="0.3">
      <c r="A66" s="64">
        <v>44937</v>
      </c>
      <c r="B66" s="35">
        <v>-43515.9</v>
      </c>
      <c r="C66" t="s">
        <v>49</v>
      </c>
      <c r="D66" s="25"/>
      <c r="E66" s="26" t="str">
        <f>IF(OR(C66="Transaction",C66="Interests",C66="Misc",C66="Account Transfer"), IF(C66="Transaction", IF(B66&lt;0, "Du no", "Da thanh toan"), IF(C66="Interests", "Lai", IF(C66="Misc", "Phi", IF(C66="Account Transfer", IF(OR(ISNUMBER(SEARCH("Trich lai tra gop the TD", D66)), ISNUMBER(SEARCH("Chuyen lai tra gop con lai sang du no thong thuong khi BadDebt", D66))), IF(B66&lt;0, "Lai tra gop", ""), "" )))))) &amp; " " &amp; IF(C66="Interests", TEXT(EDATE(IF(DAY(A66)&gt;=11, A66, EDATE(A66,-1)), -1),"yyyy-mm"), TEXT(IF(DAY(A66)&gt;=11, A66, EDATE(A66,-1)),"yyyy-mm"))</f>
        <v>Lai 2022-12</v>
      </c>
      <c r="F66" s="27">
        <f>IF(ISNUMBER(B66), ROUND(SUMIFS($B$2:$B$10000, $E$2:$E$10000, E66, $B$2:$B$10000, IF(B66&lt;0, "&lt;0", "&gt;0")), 0), "")</f>
        <v>-7201775</v>
      </c>
      <c r="G66" s="28" t="str">
        <f>IF(F66&gt;0, IF(C66="Transaction", "Da thanh toan", "Duong"), IF(F66&lt;0, IF(C66="Transaction", "Du no", IF(C66="Interests", "Lai phat sinh", IF(C66="Misc", "Phi", IF(C66="Account Transfer", "Lai tra gop", "Am")))), "Bang 0"))</f>
        <v>Lai phat sinh</v>
      </c>
    </row>
    <row r="67" spans="1:7" x14ac:dyDescent="0.3">
      <c r="A67" s="64">
        <v>44937</v>
      </c>
      <c r="B67" s="35">
        <v>-1523671.23</v>
      </c>
      <c r="C67" t="s">
        <v>49</v>
      </c>
      <c r="D67" s="25"/>
      <c r="E67" s="26" t="str">
        <f>IF(OR(C67="Transaction",C67="Interests",C67="Misc",C67="Account Transfer"), IF(C67="Transaction", IF(B67&lt;0, "Du no", "Da thanh toan"), IF(C67="Interests", "Lai", IF(C67="Misc", "Phi", IF(C67="Account Transfer", IF(OR(ISNUMBER(SEARCH("Trich lai tra gop the TD", D67)), ISNUMBER(SEARCH("Chuyen lai tra gop con lai sang du no thong thuong khi BadDebt", D67))), IF(B67&lt;0, "Lai tra gop", ""), "" )))))) &amp; " " &amp; IF(C67="Interests", TEXT(EDATE(IF(DAY(A67)&gt;=11, A67, EDATE(A67,-1)), -1),"yyyy-mm"), TEXT(IF(DAY(A67)&gt;=11, A67, EDATE(A67,-1)),"yyyy-mm"))</f>
        <v>Lai 2022-12</v>
      </c>
      <c r="F67" s="27">
        <f>IF(ISNUMBER(B67), ROUND(SUMIFS($B$2:$B$10000, $E$2:$E$10000, E67, $B$2:$B$10000, IF(B67&lt;0, "&lt;0", "&gt;0")), 0), "")</f>
        <v>-7201775</v>
      </c>
      <c r="G67" s="28" t="str">
        <f>IF(F67&gt;0, IF(C67="Transaction", "Da thanh toan", "Duong"), IF(F67&lt;0, IF(C67="Transaction", "Du no", IF(C67="Interests", "Lai phat sinh", IF(C67="Misc", "Phi", IF(C67="Account Transfer", "Lai tra gop", "Am")))), "Bang 0"))</f>
        <v>Lai phat sinh</v>
      </c>
    </row>
    <row r="68" spans="1:7" x14ac:dyDescent="0.3">
      <c r="A68" s="64">
        <v>44906</v>
      </c>
      <c r="B68" s="35">
        <v>-5219332.78</v>
      </c>
      <c r="C68" t="s">
        <v>49</v>
      </c>
      <c r="D68" s="17"/>
      <c r="E68" s="26" t="str">
        <f>IF(OR(C68="Transaction",C68="Interests",C68="Misc",C68="Account Transfer"), IF(C68="Transaction", IF(B68&lt;0, "Du no", "Da thanh toan"), IF(C68="Interests", "Lai", IF(C68="Misc", "Phi", IF(C68="Account Transfer", IF(OR(ISNUMBER(SEARCH("Trich lai tra gop the TD", D68)), ISNUMBER(SEARCH("Chuyen lai tra gop con lai sang du no thong thuong khi BadDebt", D68))), IF(B68&lt;0, "Lai tra gop", ""), "" )))))) &amp; " " &amp; IF(C68="Interests", TEXT(EDATE(IF(DAY(A68)&gt;=11, A68, EDATE(A68,-1)), -1),"yyyy-mm"), TEXT(IF(DAY(A68)&gt;=11, A68, EDATE(A68,-1)),"yyyy-mm"))</f>
        <v>Lai 2022-11</v>
      </c>
      <c r="F68" s="27">
        <f>IF(ISNUMBER(B68), ROUND(SUMIFS($B$2:$B$10000, $E$2:$E$10000, E68, $B$2:$B$10000, IF(B68&lt;0, "&lt;0", "&gt;0")), 0), "")</f>
        <v>-6725821</v>
      </c>
      <c r="G68" s="28" t="str">
        <f>IF(F68&gt;0, IF(C68="Transaction", "Da thanh toan", "Duong"), IF(F68&lt;0, IF(C68="Transaction", "Du no", IF(C68="Interests", "Lai phat sinh", IF(C68="Misc", "Phi", IF(C68="Account Transfer", "Lai tra gop", "Am")))), "Bang 0"))</f>
        <v>Lai phat sinh</v>
      </c>
    </row>
    <row r="69" spans="1:7" x14ac:dyDescent="0.3">
      <c r="A69" s="64">
        <v>44906</v>
      </c>
      <c r="B69" s="35">
        <v>-41830.47</v>
      </c>
      <c r="C69" t="s">
        <v>49</v>
      </c>
      <c r="D69" s="17"/>
      <c r="E69" s="26" t="str">
        <f>IF(OR(C69="Transaction",C69="Interests",C69="Misc",C69="Account Transfer"), IF(C69="Transaction", IF(B69&lt;0, "Du no", "Da thanh toan"), IF(C69="Interests", "Lai", IF(C69="Misc", "Phi", IF(C69="Account Transfer", IF(OR(ISNUMBER(SEARCH("Trich lai tra gop the TD", D69)), ISNUMBER(SEARCH("Chuyen lai tra gop con lai sang du no thong thuong khi BadDebt", D69))), IF(B69&lt;0, "Lai tra gop", ""), "" )))))) &amp; " " &amp; IF(C69="Interests", TEXT(EDATE(IF(DAY(A69)&gt;=11, A69, EDATE(A69,-1)), -1),"yyyy-mm"), TEXT(IF(DAY(A69)&gt;=11, A69, EDATE(A69,-1)),"yyyy-mm"))</f>
        <v>Lai 2022-11</v>
      </c>
      <c r="F69" s="27">
        <f>IF(ISNUMBER(B69), ROUND(SUMIFS($B$2:$B$10000, $E$2:$E$10000, E69, $B$2:$B$10000, IF(B69&lt;0, "&lt;0", "&gt;0")), 0), "")</f>
        <v>-6725821</v>
      </c>
      <c r="G69" s="28" t="str">
        <f>IF(F69&gt;0, IF(C69="Transaction", "Da thanh toan", "Duong"), IF(F69&lt;0, IF(C69="Transaction", "Du no", IF(C69="Interests", "Lai phat sinh", IF(C69="Misc", "Phi", IF(C69="Account Transfer", "Lai tra gop", "Am")))), "Bang 0"))</f>
        <v>Lai phat sinh</v>
      </c>
    </row>
    <row r="70" spans="1:7" x14ac:dyDescent="0.3">
      <c r="A70" s="64">
        <v>44906</v>
      </c>
      <c r="B70" s="35">
        <v>-1464657.53</v>
      </c>
      <c r="C70" t="s">
        <v>49</v>
      </c>
      <c r="D70" s="17"/>
      <c r="E70" s="26" t="str">
        <f>IF(OR(C70="Transaction",C70="Interests",C70="Misc",C70="Account Transfer"), IF(C70="Transaction", IF(B70&lt;0, "Du no", "Da thanh toan"), IF(C70="Interests", "Lai", IF(C70="Misc", "Phi", IF(C70="Account Transfer", IF(OR(ISNUMBER(SEARCH("Trich lai tra gop the TD", D70)), ISNUMBER(SEARCH("Chuyen lai tra gop con lai sang du no thong thuong khi BadDebt", D70))), IF(B70&lt;0, "Lai tra gop", ""), "" )))))) &amp; " " &amp; IF(C70="Interests", TEXT(EDATE(IF(DAY(A70)&gt;=11, A70, EDATE(A70,-1)), -1),"yyyy-mm"), TEXT(IF(DAY(A70)&gt;=11, A70, EDATE(A70,-1)),"yyyy-mm"))</f>
        <v>Lai 2022-11</v>
      </c>
      <c r="F70" s="27">
        <f>IF(ISNUMBER(B70), ROUND(SUMIFS($B$2:$B$10000, $E$2:$E$10000, E70, $B$2:$B$10000, IF(B70&lt;0, "&lt;0", "&gt;0")), 0), "")</f>
        <v>-6725821</v>
      </c>
      <c r="G70" s="28" t="str">
        <f>IF(F70&gt;0, IF(C70="Transaction", "Da thanh toan", "Duong"), IF(F70&lt;0, IF(C70="Transaction", "Du no", IF(C70="Interests", "Lai phat sinh", IF(C70="Misc", "Phi", IF(C70="Account Transfer", "Lai tra gop", "Am")))), "Bang 0"))</f>
        <v>Lai phat sinh</v>
      </c>
    </row>
    <row r="71" spans="1:7" x14ac:dyDescent="0.3">
      <c r="A71" s="64">
        <v>44876</v>
      </c>
      <c r="B71" s="35">
        <v>-4885929.24</v>
      </c>
      <c r="C71" t="s">
        <v>49</v>
      </c>
      <c r="D71" s="17"/>
      <c r="E71" s="26" t="str">
        <f>IF(OR(C71="Transaction",C71="Interests",C71="Misc",C71="Account Transfer"), IF(C71="Transaction", IF(B71&lt;0, "Du no", "Da thanh toan"), IF(C71="Interests", "Lai", IF(C71="Misc", "Phi", IF(C71="Account Transfer", IF(OR(ISNUMBER(SEARCH("Trich lai tra gop the TD", D71)), ISNUMBER(SEARCH("Chuyen lai tra gop con lai sang du no thong thuong khi BadDebt", D71))), IF(B71&lt;0, "Lai tra gop", ""), "" )))))) &amp; " " &amp; IF(C71="Interests", TEXT(EDATE(IF(DAY(A71)&gt;=11, A71, EDATE(A71,-1)), -1),"yyyy-mm"), TEXT(IF(DAY(A71)&gt;=11, A71, EDATE(A71,-1)),"yyyy-mm"))</f>
        <v>Lai 2022-10</v>
      </c>
      <c r="F71" s="27">
        <f>IF(ISNUMBER(B71), ROUND(SUMIFS($B$2:$B$10000, $E$2:$E$10000, E71, $B$2:$B$10000, IF(B71&lt;0, "&lt;0", "&gt;0")), 0), "")</f>
        <v>-6348288</v>
      </c>
      <c r="G71" s="28" t="str">
        <f>IF(F71&gt;0, IF(C71="Transaction", "Da thanh toan", "Duong"), IF(F71&lt;0, IF(C71="Transaction", "Du no", IF(C71="Interests", "Lai phat sinh", IF(C71="Misc", "Phi", IF(C71="Account Transfer", "Lai tra gop", "Am")))), "Bang 0"))</f>
        <v>Lai phat sinh</v>
      </c>
    </row>
    <row r="72" spans="1:7" x14ac:dyDescent="0.3">
      <c r="A72" s="64">
        <v>44876</v>
      </c>
      <c r="B72" s="35">
        <v>-40605.14</v>
      </c>
      <c r="C72" t="s">
        <v>49</v>
      </c>
      <c r="D72" s="25"/>
      <c r="E72" s="26" t="str">
        <f>IF(OR(C72="Transaction",C72="Interests",C72="Misc",C72="Account Transfer"), IF(C72="Transaction", IF(B72&lt;0, "Du no", "Da thanh toan"), IF(C72="Interests", "Lai", IF(C72="Misc", "Phi", IF(C72="Account Transfer", IF(OR(ISNUMBER(SEARCH("Trich lai tra gop the TD", D72)), ISNUMBER(SEARCH("Chuyen lai tra gop con lai sang du no thong thuong khi BadDebt", D72))), IF(B72&lt;0, "Lai tra gop", ""), "" )))))) &amp; " " &amp; IF(C72="Interests", TEXT(EDATE(IF(DAY(A72)&gt;=11, A72, EDATE(A72,-1)), -1),"yyyy-mm"), TEXT(IF(DAY(A72)&gt;=11, A72, EDATE(A72,-1)),"yyyy-mm"))</f>
        <v>Lai 2022-10</v>
      </c>
      <c r="F72" s="27">
        <f>IF(ISNUMBER(B72), ROUND(SUMIFS($B$2:$B$10000, $E$2:$E$10000, E72, $B$2:$B$10000, IF(B72&lt;0, "&lt;0", "&gt;0")), 0), "")</f>
        <v>-6348288</v>
      </c>
      <c r="G72" s="28" t="str">
        <f>IF(F72&gt;0, IF(C72="Transaction", "Da thanh toan", "Duong"), IF(F72&lt;0, IF(C72="Transaction", "Du no", IF(C72="Interests", "Lai phat sinh", IF(C72="Misc", "Phi", IF(C72="Account Transfer", "Lai tra gop", "Am")))), "Bang 0"))</f>
        <v>Lai phat sinh</v>
      </c>
    </row>
    <row r="73" spans="1:7" x14ac:dyDescent="0.3">
      <c r="A73" s="64">
        <v>44876</v>
      </c>
      <c r="B73" s="35">
        <v>-1421753.42</v>
      </c>
      <c r="C73" t="s">
        <v>49</v>
      </c>
      <c r="D73" s="25"/>
      <c r="E73" s="26" t="str">
        <f>IF(OR(C73="Transaction",C73="Interests",C73="Misc",C73="Account Transfer"), IF(C73="Transaction", IF(B73&lt;0, "Du no", "Da thanh toan"), IF(C73="Interests", "Lai", IF(C73="Misc", "Phi", IF(C73="Account Transfer", IF(OR(ISNUMBER(SEARCH("Trich lai tra gop the TD", D73)), ISNUMBER(SEARCH("Chuyen lai tra gop con lai sang du no thong thuong khi BadDebt", D73))), IF(B73&lt;0, "Lai tra gop", ""), "" )))))) &amp; " " &amp; IF(C73="Interests", TEXT(EDATE(IF(DAY(A73)&gt;=11, A73, EDATE(A73,-1)), -1),"yyyy-mm"), TEXT(IF(DAY(A73)&gt;=11, A73, EDATE(A73,-1)),"yyyy-mm"))</f>
        <v>Lai 2022-10</v>
      </c>
      <c r="F73" s="27">
        <f>IF(ISNUMBER(B73), ROUND(SUMIFS($B$2:$B$10000, $E$2:$E$10000, E73, $B$2:$B$10000, IF(B73&lt;0, "&lt;0", "&gt;0")), 0), "")</f>
        <v>-6348288</v>
      </c>
      <c r="G73" s="28" t="str">
        <f>IF(F73&gt;0, IF(C73="Transaction", "Da thanh toan", "Duong"), IF(F73&lt;0, IF(C73="Transaction", "Du no", IF(C73="Interests", "Lai phat sinh", IF(C73="Misc", "Phi", IF(C73="Account Transfer", "Lai tra gop", "Am")))), "Bang 0"))</f>
        <v>Lai phat sinh</v>
      </c>
    </row>
    <row r="74" spans="1:7" x14ac:dyDescent="0.3">
      <c r="A74" s="64">
        <v>44845</v>
      </c>
      <c r="B74" s="35">
        <v>-4563790.3</v>
      </c>
      <c r="C74" t="s">
        <v>49</v>
      </c>
      <c r="D74" s="17"/>
      <c r="E74" s="26" t="str">
        <f>IF(OR(C74="Transaction",C74="Interests",C74="Misc",C74="Account Transfer"), IF(C74="Transaction", IF(B74&lt;0, "Du no", "Da thanh toan"), IF(C74="Interests", "Lai", IF(C74="Misc", "Phi", IF(C74="Account Transfer", IF(OR(ISNUMBER(SEARCH("Trich lai tra gop the TD", D74)), ISNUMBER(SEARCH("Chuyen lai tra gop con lai sang du no thong thuong khi BadDebt", D74))), IF(B74&lt;0, "Lai tra gop", ""), "" )))))) &amp; " " &amp; IF(C74="Interests", TEXT(EDATE(IF(DAY(A74)&gt;=11, A74, EDATE(A74,-1)), -1),"yyyy-mm"), TEXT(IF(DAY(A74)&gt;=11, A74, EDATE(A74,-1)),"yyyy-mm"))</f>
        <v>Lai 2022-09</v>
      </c>
      <c r="F74" s="27">
        <f>IF(ISNUMBER(B74), ROUND(SUMIFS($B$2:$B$10000, $E$2:$E$10000, E74, $B$2:$B$10000, IF(B74&lt;0, "&lt;0", "&gt;0")), 0), "")</f>
        <v>-5978976</v>
      </c>
      <c r="G74" s="28" t="str">
        <f>IF(F74&gt;0, IF(C74="Transaction", "Da thanh toan", "Duong"), IF(F74&lt;0, IF(C74="Transaction", "Du no", IF(C74="Interests", "Lai phat sinh", IF(C74="Misc", "Phi", IF(C74="Account Transfer", "Lai tra gop", "Am")))), "Bang 0"))</f>
        <v>Lai phat sinh</v>
      </c>
    </row>
    <row r="75" spans="1:7" x14ac:dyDescent="0.3">
      <c r="A75" s="64">
        <v>44845</v>
      </c>
      <c r="B75" s="35">
        <v>-39295.29</v>
      </c>
      <c r="C75" t="s">
        <v>49</v>
      </c>
      <c r="D75" s="17"/>
      <c r="E75" s="26" t="str">
        <f>IF(OR(C75="Transaction",C75="Interests",C75="Misc",C75="Account Transfer"), IF(C75="Transaction", IF(B75&lt;0, "Du no", "Da thanh toan"), IF(C75="Interests", "Lai", IF(C75="Misc", "Phi", IF(C75="Account Transfer", IF(OR(ISNUMBER(SEARCH("Trich lai tra gop the TD", D75)), ISNUMBER(SEARCH("Chuyen lai tra gop con lai sang du no thong thuong khi BadDebt", D75))), IF(B75&lt;0, "Lai tra gop", ""), "" )))))) &amp; " " &amp; IF(C75="Interests", TEXT(EDATE(IF(DAY(A75)&gt;=11, A75, EDATE(A75,-1)), -1),"yyyy-mm"), TEXT(IF(DAY(A75)&gt;=11, A75, EDATE(A75,-1)),"yyyy-mm"))</f>
        <v>Lai 2022-09</v>
      </c>
      <c r="F75" s="27">
        <f>IF(ISNUMBER(B75), ROUND(SUMIFS($B$2:$B$10000, $E$2:$E$10000, E75, $B$2:$B$10000, IF(B75&lt;0, "&lt;0", "&gt;0")), 0), "")</f>
        <v>-5978976</v>
      </c>
      <c r="G75" s="28" t="str">
        <f>IF(F75&gt;0, IF(C75="Transaction", "Da thanh toan", "Duong"), IF(F75&lt;0, IF(C75="Transaction", "Du no", IF(C75="Interests", "Lai phat sinh", IF(C75="Misc", "Phi", IF(C75="Account Transfer", "Lai tra gop", "Am")))), "Bang 0"))</f>
        <v>Lai phat sinh</v>
      </c>
    </row>
    <row r="76" spans="1:7" x14ac:dyDescent="0.3">
      <c r="A76" s="64">
        <v>44845</v>
      </c>
      <c r="B76" s="35">
        <v>-1375890.41</v>
      </c>
      <c r="C76" t="s">
        <v>49</v>
      </c>
      <c r="D76" s="17"/>
      <c r="E76" s="26" t="str">
        <f>IF(OR(C76="Transaction",C76="Interests",C76="Misc",C76="Account Transfer"), IF(C76="Transaction", IF(B76&lt;0, "Du no", "Da thanh toan"), IF(C76="Interests", "Lai", IF(C76="Misc", "Phi", IF(C76="Account Transfer", IF(OR(ISNUMBER(SEARCH("Trich lai tra gop the TD", D76)), ISNUMBER(SEARCH("Chuyen lai tra gop con lai sang du no thong thuong khi BadDebt", D76))), IF(B76&lt;0, "Lai tra gop", ""), "" )))))) &amp; " " &amp; IF(C76="Interests", TEXT(EDATE(IF(DAY(A76)&gt;=11, A76, EDATE(A76,-1)), -1),"yyyy-mm"), TEXT(IF(DAY(A76)&gt;=11, A76, EDATE(A76,-1)),"yyyy-mm"))</f>
        <v>Lai 2022-09</v>
      </c>
      <c r="F76" s="27">
        <f>IF(ISNUMBER(B76), ROUND(SUMIFS($B$2:$B$10000, $E$2:$E$10000, E76, $B$2:$B$10000, IF(B76&lt;0, "&lt;0", "&gt;0")), 0), "")</f>
        <v>-5978976</v>
      </c>
      <c r="G76" s="28" t="str">
        <f>IF(F76&gt;0, IF(C76="Transaction", "Da thanh toan", "Duong"), IF(F76&lt;0, IF(C76="Transaction", "Du no", IF(C76="Interests", "Lai phat sinh", IF(C76="Misc", "Phi", IF(C76="Account Transfer", "Lai tra gop", "Am")))), "Bang 0"))</f>
        <v>Lai phat sinh</v>
      </c>
    </row>
    <row r="77" spans="1:7" x14ac:dyDescent="0.3">
      <c r="A77" s="64">
        <v>44815</v>
      </c>
      <c r="B77" s="35">
        <v>-4545094.3099999996</v>
      </c>
      <c r="C77" t="s">
        <v>49</v>
      </c>
      <c r="D77" s="17"/>
      <c r="E77" s="26" t="str">
        <f>IF(OR(C77="Transaction",C77="Interests",C77="Misc",C77="Account Transfer"), IF(C77="Transaction", IF(B77&lt;0, "Du no", "Da thanh toan"), IF(C77="Interests", "Lai", IF(C77="Misc", "Phi", IF(C77="Account Transfer", IF(OR(ISNUMBER(SEARCH("Trich lai tra gop the TD", D77)), ISNUMBER(SEARCH("Chuyen lai tra gop con lai sang du no thong thuong khi BadDebt", D77))), IF(B77&lt;0, "Lai tra gop", ""), "" )))))) &amp; " " &amp; IF(C77="Interests", TEXT(EDATE(IF(DAY(A77)&gt;=11, A77, EDATE(A77,-1)), -1),"yyyy-mm"), TEXT(IF(DAY(A77)&gt;=11, A77, EDATE(A77,-1)),"yyyy-mm"))</f>
        <v>Lai 2022-08</v>
      </c>
      <c r="F77" s="27">
        <f>IF(ISNUMBER(B77), ROUND(SUMIFS($B$2:$B$10000, $E$2:$E$10000, E77, $B$2:$B$10000, IF(B77&lt;0, "&lt;0", "&gt;0")), 0), "")</f>
        <v>-6007453</v>
      </c>
      <c r="G77" s="28" t="str">
        <f>IF(F77&gt;0, IF(C77="Transaction", "Da thanh toan", "Duong"), IF(F77&lt;0, IF(C77="Transaction", "Du no", IF(C77="Interests", "Lai phat sinh", IF(C77="Misc", "Phi", IF(C77="Account Transfer", "Lai tra gop", "Am")))), "Bang 0"))</f>
        <v>Lai phat sinh</v>
      </c>
    </row>
    <row r="78" spans="1:7" x14ac:dyDescent="0.3">
      <c r="A78" s="64">
        <v>44815</v>
      </c>
      <c r="B78" s="35">
        <v>-40605.14</v>
      </c>
      <c r="C78" t="s">
        <v>49</v>
      </c>
      <c r="D78" s="17"/>
      <c r="E78" s="26" t="str">
        <f>IF(OR(C78="Transaction",C78="Interests",C78="Misc",C78="Account Transfer"), IF(C78="Transaction", IF(B78&lt;0, "Du no", "Da thanh toan"), IF(C78="Interests", "Lai", IF(C78="Misc", "Phi", IF(C78="Account Transfer", IF(OR(ISNUMBER(SEARCH("Trich lai tra gop the TD", D78)), ISNUMBER(SEARCH("Chuyen lai tra gop con lai sang du no thong thuong khi BadDebt", D78))), IF(B78&lt;0, "Lai tra gop", ""), "" )))))) &amp; " " &amp; IF(C78="Interests", TEXT(EDATE(IF(DAY(A78)&gt;=11, A78, EDATE(A78,-1)), -1),"yyyy-mm"), TEXT(IF(DAY(A78)&gt;=11, A78, EDATE(A78,-1)),"yyyy-mm"))</f>
        <v>Lai 2022-08</v>
      </c>
      <c r="F78" s="27">
        <f>IF(ISNUMBER(B78), ROUND(SUMIFS($B$2:$B$10000, $E$2:$E$10000, E78, $B$2:$B$10000, IF(B78&lt;0, "&lt;0", "&gt;0")), 0), "")</f>
        <v>-6007453</v>
      </c>
      <c r="G78" s="28" t="str">
        <f>IF(F78&gt;0, IF(C78="Transaction", "Da thanh toan", "Duong"), IF(F78&lt;0, IF(C78="Transaction", "Du no", IF(C78="Interests", "Lai phat sinh", IF(C78="Misc", "Phi", IF(C78="Account Transfer", "Lai tra gop", "Am")))), "Bang 0"))</f>
        <v>Lai phat sinh</v>
      </c>
    </row>
    <row r="79" spans="1:7" x14ac:dyDescent="0.3">
      <c r="A79" s="64">
        <v>44815</v>
      </c>
      <c r="B79" s="35">
        <v>-1421753.42</v>
      </c>
      <c r="C79" t="s">
        <v>49</v>
      </c>
      <c r="D79" s="17"/>
      <c r="E79" s="26" t="str">
        <f>IF(OR(C79="Transaction",C79="Interests",C79="Misc",C79="Account Transfer"), IF(C79="Transaction", IF(B79&lt;0, "Du no", "Da thanh toan"), IF(C79="Interests", "Lai", IF(C79="Misc", "Phi", IF(C79="Account Transfer", IF(OR(ISNUMBER(SEARCH("Trich lai tra gop the TD", D79)), ISNUMBER(SEARCH("Chuyen lai tra gop con lai sang du no thong thuong khi BadDebt", D79))), IF(B79&lt;0, "Lai tra gop", ""), "" )))))) &amp; " " &amp; IF(C79="Interests", TEXT(EDATE(IF(DAY(A79)&gt;=11, A79, EDATE(A79,-1)), -1),"yyyy-mm"), TEXT(IF(DAY(A79)&gt;=11, A79, EDATE(A79,-1)),"yyyy-mm"))</f>
        <v>Lai 2022-08</v>
      </c>
      <c r="F79" s="27">
        <f>IF(ISNUMBER(B79), ROUND(SUMIFS($B$2:$B$10000, $E$2:$E$10000, E79, $B$2:$B$10000, IF(B79&lt;0, "&lt;0", "&gt;0")), 0), "")</f>
        <v>-6007453</v>
      </c>
      <c r="G79" s="28" t="str">
        <f>IF(F79&gt;0, IF(C79="Transaction", "Da thanh toan", "Duong"), IF(F79&lt;0, IF(C79="Transaction", "Du no", IF(C79="Interests", "Lai phat sinh", IF(C79="Misc", "Phi", IF(C79="Account Transfer", "Lai tra gop", "Am")))), "Bang 0"))</f>
        <v>Lai phat sinh</v>
      </c>
    </row>
    <row r="80" spans="1:7" x14ac:dyDescent="0.3">
      <c r="A80" s="64">
        <v>44784</v>
      </c>
      <c r="B80" s="35">
        <v>-4378995.0199999996</v>
      </c>
      <c r="C80" t="s">
        <v>49</v>
      </c>
      <c r="D80" s="17"/>
      <c r="E80" s="26" t="str">
        <f>IF(OR(C80="Transaction",C80="Interests",C80="Misc",C80="Account Transfer"), IF(C80="Transaction", IF(B80&lt;0, "Du no", "Da thanh toan"), IF(C80="Interests", "Lai", IF(C80="Misc", "Phi", IF(C80="Account Transfer", IF(OR(ISNUMBER(SEARCH("Trich lai tra gop the TD", D80)), ISNUMBER(SEARCH("Chuyen lai tra gop con lai sang du no thong thuong khi BadDebt", D80))), IF(B80&lt;0, "Lai tra gop", ""), "" )))))) &amp; " " &amp; IF(C80="Interests", TEXT(EDATE(IF(DAY(A80)&gt;=11, A80, EDATE(A80,-1)), -1),"yyyy-mm"), TEXT(IF(DAY(A80)&gt;=11, A80, EDATE(A80,-1)),"yyyy-mm"))</f>
        <v>Lai 2022-07</v>
      </c>
      <c r="F80" s="27">
        <f>IF(ISNUMBER(B80), ROUND(SUMIFS($B$2:$B$10000, $E$2:$E$10000, E80, $B$2:$B$10000, IF(B80&lt;0, "&lt;0", "&gt;0")), 0), "")</f>
        <v>-5841354</v>
      </c>
      <c r="G80" s="28" t="str">
        <f>IF(F80&gt;0, IF(C80="Transaction", "Da thanh toan", "Duong"), IF(F80&lt;0, IF(C80="Transaction", "Du no", IF(C80="Interests", "Lai phat sinh", IF(C80="Misc", "Phi", IF(C80="Account Transfer", "Lai tra gop", "Am")))), "Bang 0"))</f>
        <v>Lai phat sinh</v>
      </c>
    </row>
    <row r="81" spans="1:7" x14ac:dyDescent="0.3">
      <c r="A81" s="64">
        <v>44784</v>
      </c>
      <c r="B81" s="35">
        <v>-40605.14</v>
      </c>
      <c r="C81" t="s">
        <v>49</v>
      </c>
      <c r="D81" s="17"/>
      <c r="E81" s="26" t="str">
        <f>IF(OR(C81="Transaction",C81="Interests",C81="Misc",C81="Account Transfer"), IF(C81="Transaction", IF(B81&lt;0, "Du no", "Da thanh toan"), IF(C81="Interests", "Lai", IF(C81="Misc", "Phi", IF(C81="Account Transfer", IF(OR(ISNUMBER(SEARCH("Trich lai tra gop the TD", D81)), ISNUMBER(SEARCH("Chuyen lai tra gop con lai sang du no thong thuong khi BadDebt", D81))), IF(B81&lt;0, "Lai tra gop", ""), "" )))))) &amp; " " &amp; IF(C81="Interests", TEXT(EDATE(IF(DAY(A81)&gt;=11, A81, EDATE(A81,-1)), -1),"yyyy-mm"), TEXT(IF(DAY(A81)&gt;=11, A81, EDATE(A81,-1)),"yyyy-mm"))</f>
        <v>Lai 2022-07</v>
      </c>
      <c r="F81" s="27">
        <f>IF(ISNUMBER(B81), ROUND(SUMIFS($B$2:$B$10000, $E$2:$E$10000, E81, $B$2:$B$10000, IF(B81&lt;0, "&lt;0", "&gt;0")), 0), "")</f>
        <v>-5841354</v>
      </c>
      <c r="G81" s="28" t="str">
        <f>IF(F81&gt;0, IF(C81="Transaction", "Da thanh toan", "Duong"), IF(F81&lt;0, IF(C81="Transaction", "Du no", IF(C81="Interests", "Lai phat sinh", IF(C81="Misc", "Phi", IF(C81="Account Transfer", "Lai tra gop", "Am")))), "Bang 0"))</f>
        <v>Lai phat sinh</v>
      </c>
    </row>
    <row r="82" spans="1:7" x14ac:dyDescent="0.3">
      <c r="A82" s="64">
        <v>44784</v>
      </c>
      <c r="B82" s="35">
        <v>-1421753.42</v>
      </c>
      <c r="C82" t="s">
        <v>49</v>
      </c>
      <c r="D82" s="17"/>
      <c r="E82" s="26" t="str">
        <f>IF(OR(C82="Transaction",C82="Interests",C82="Misc",C82="Account Transfer"), IF(C82="Transaction", IF(B82&lt;0, "Du no", "Da thanh toan"), IF(C82="Interests", "Lai", IF(C82="Misc", "Phi", IF(C82="Account Transfer", IF(OR(ISNUMBER(SEARCH("Trich lai tra gop the TD", D82)), ISNUMBER(SEARCH("Chuyen lai tra gop con lai sang du no thong thuong khi BadDebt", D82))), IF(B82&lt;0, "Lai tra gop", ""), "" )))))) &amp; " " &amp; IF(C82="Interests", TEXT(EDATE(IF(DAY(A82)&gt;=11, A82, EDATE(A82,-1)), -1),"yyyy-mm"), TEXT(IF(DAY(A82)&gt;=11, A82, EDATE(A82,-1)),"yyyy-mm"))</f>
        <v>Lai 2022-07</v>
      </c>
      <c r="F82" s="27">
        <f>IF(ISNUMBER(B82), ROUND(SUMIFS($B$2:$B$10000, $E$2:$E$10000, E82, $B$2:$B$10000, IF(B82&lt;0, "&lt;0", "&gt;0")), 0), "")</f>
        <v>-5841354</v>
      </c>
      <c r="G82" s="28" t="str">
        <f>IF(F82&gt;0, IF(C82="Transaction", "Da thanh toan", "Duong"), IF(F82&lt;0, IF(C82="Transaction", "Du no", IF(C82="Interests", "Lai phat sinh", IF(C82="Misc", "Phi", IF(C82="Account Transfer", "Lai tra gop", "Am")))), "Bang 0"))</f>
        <v>Lai phat sinh</v>
      </c>
    </row>
    <row r="83" spans="1:7" x14ac:dyDescent="0.3">
      <c r="A83" s="64">
        <v>44753</v>
      </c>
      <c r="B83" s="35">
        <v>-4086347</v>
      </c>
      <c r="C83" t="s">
        <v>49</v>
      </c>
      <c r="D83" s="17"/>
      <c r="E83" s="26" t="str">
        <f>IF(OR(C83="Transaction",C83="Interests",C83="Misc",C83="Account Transfer"), IF(C83="Transaction", IF(B83&lt;0, "Du no", "Da thanh toan"), IF(C83="Interests", "Lai", IF(C83="Misc", "Phi", IF(C83="Account Transfer", IF(OR(ISNUMBER(SEARCH("Trich lai tra gop the TD", D83)), ISNUMBER(SEARCH("Chuyen lai tra gop con lai sang du no thong thuong khi BadDebt", D83))), IF(B83&lt;0, "Lai tra gop", ""), "" )))))) &amp; " " &amp; IF(C83="Interests", TEXT(EDATE(IF(DAY(A83)&gt;=11, A83, EDATE(A83,-1)), -1),"yyyy-mm"), TEXT(IF(DAY(A83)&gt;=11, A83, EDATE(A83,-1)),"yyyy-mm"))</f>
        <v>Lai 2022-06</v>
      </c>
      <c r="F83" s="27">
        <f>IF(ISNUMBER(B83), ROUND(SUMIFS($B$2:$B$10000, $E$2:$E$10000, E83, $B$2:$B$10000, IF(B83&lt;0, "&lt;0", "&gt;0")), 0), "")</f>
        <v>-5501533</v>
      </c>
      <c r="G83" s="28" t="str">
        <f>IF(F83&gt;0, IF(C83="Transaction", "Da thanh toan", "Duong"), IF(F83&lt;0, IF(C83="Transaction", "Du no", IF(C83="Interests", "Lai phat sinh", IF(C83="Misc", "Phi", IF(C83="Account Transfer", "Lai tra gop", "Am")))), "Bang 0"))</f>
        <v>Lai phat sinh</v>
      </c>
    </row>
    <row r="84" spans="1:7" x14ac:dyDescent="0.3">
      <c r="A84" s="64">
        <v>44753</v>
      </c>
      <c r="B84" s="35">
        <v>-39295.29</v>
      </c>
      <c r="C84" t="s">
        <v>49</v>
      </c>
      <c r="D84" s="17"/>
      <c r="E84" s="26" t="str">
        <f>IF(OR(C84="Transaction",C84="Interests",C84="Misc",C84="Account Transfer"), IF(C84="Transaction", IF(B84&lt;0, "Du no", "Da thanh toan"), IF(C84="Interests", "Lai", IF(C84="Misc", "Phi", IF(C84="Account Transfer", IF(OR(ISNUMBER(SEARCH("Trich lai tra gop the TD", D84)), ISNUMBER(SEARCH("Chuyen lai tra gop con lai sang du no thong thuong khi BadDebt", D84))), IF(B84&lt;0, "Lai tra gop", ""), "" )))))) &amp; " " &amp; IF(C84="Interests", TEXT(EDATE(IF(DAY(A84)&gt;=11, A84, EDATE(A84,-1)), -1),"yyyy-mm"), TEXT(IF(DAY(A84)&gt;=11, A84, EDATE(A84,-1)),"yyyy-mm"))</f>
        <v>Lai 2022-06</v>
      </c>
      <c r="F84" s="27">
        <f>IF(ISNUMBER(B84), ROUND(SUMIFS($B$2:$B$10000, $E$2:$E$10000, E84, $B$2:$B$10000, IF(B84&lt;0, "&lt;0", "&gt;0")), 0), "")</f>
        <v>-5501533</v>
      </c>
      <c r="G84" s="28" t="str">
        <f>IF(F84&gt;0, IF(C84="Transaction", "Da thanh toan", "Duong"), IF(F84&lt;0, IF(C84="Transaction", "Du no", IF(C84="Interests", "Lai phat sinh", IF(C84="Misc", "Phi", IF(C84="Account Transfer", "Lai tra gop", "Am")))), "Bang 0"))</f>
        <v>Lai phat sinh</v>
      </c>
    </row>
    <row r="85" spans="1:7" x14ac:dyDescent="0.3">
      <c r="A85" s="64">
        <v>44753</v>
      </c>
      <c r="B85" s="35">
        <v>-1375890.41</v>
      </c>
      <c r="C85" t="s">
        <v>49</v>
      </c>
      <c r="D85" s="17"/>
      <c r="E85" s="26" t="str">
        <f>IF(OR(C85="Transaction",C85="Interests",C85="Misc",C85="Account Transfer"), IF(C85="Transaction", IF(B85&lt;0, "Du no", "Da thanh toan"), IF(C85="Interests", "Lai", IF(C85="Misc", "Phi", IF(C85="Account Transfer", IF(OR(ISNUMBER(SEARCH("Trich lai tra gop the TD", D85)), ISNUMBER(SEARCH("Chuyen lai tra gop con lai sang du no thong thuong khi BadDebt", D85))), IF(B85&lt;0, "Lai tra gop", ""), "" )))))) &amp; " " &amp; IF(C85="Interests", TEXT(EDATE(IF(DAY(A85)&gt;=11, A85, EDATE(A85,-1)), -1),"yyyy-mm"), TEXT(IF(DAY(A85)&gt;=11, A85, EDATE(A85,-1)),"yyyy-mm"))</f>
        <v>Lai 2022-06</v>
      </c>
      <c r="F85" s="27">
        <f>IF(ISNUMBER(B85), ROUND(SUMIFS($B$2:$B$10000, $E$2:$E$10000, E85, $B$2:$B$10000, IF(B85&lt;0, "&lt;0", "&gt;0")), 0), "")</f>
        <v>-5501533</v>
      </c>
      <c r="G85" s="28" t="str">
        <f>IF(F85&gt;0, IF(C85="Transaction", "Da thanh toan", "Duong"), IF(F85&lt;0, IF(C85="Transaction", "Du no", IF(C85="Interests", "Lai phat sinh", IF(C85="Misc", "Phi", IF(C85="Account Transfer", "Lai tra gop", "Am")))), "Bang 0"))</f>
        <v>Lai phat sinh</v>
      </c>
    </row>
    <row r="86" spans="1:7" x14ac:dyDescent="0.3">
      <c r="A86" s="64">
        <v>44723</v>
      </c>
      <c r="B86" s="35">
        <v>-4065377.02</v>
      </c>
      <c r="C86" t="s">
        <v>49</v>
      </c>
      <c r="D86" s="25"/>
      <c r="E86" s="26" t="str">
        <f>IF(OR(C86="Transaction",C86="Interests",C86="Misc",C86="Account Transfer"), IF(C86="Transaction", IF(B86&lt;0, "Du no", "Da thanh toan"), IF(C86="Interests", "Lai", IF(C86="Misc", "Phi", IF(C86="Account Transfer", IF(OR(ISNUMBER(SEARCH("Trich lai tra gop the TD", D86)), ISNUMBER(SEARCH("Chuyen lai tra gop con lai sang du no thong thuong khi BadDebt", D86))), IF(B86&lt;0, "Lai tra gop", ""), "" )))))) &amp; " " &amp; IF(C86="Interests", TEXT(EDATE(IF(DAY(A86)&gt;=11, A86, EDATE(A86,-1)), -1),"yyyy-mm"), TEXT(IF(DAY(A86)&gt;=11, A86, EDATE(A86,-1)),"yyyy-mm"))</f>
        <v>Lai 2022-05</v>
      </c>
      <c r="F86" s="27">
        <f>IF(ISNUMBER(B86), ROUND(SUMIFS($B$2:$B$10000, $E$2:$E$10000, E86, $B$2:$B$10000, IF(B86&lt;0, "&lt;0", "&gt;0")), 0), "")</f>
        <v>-5527736</v>
      </c>
      <c r="G86" s="28" t="str">
        <f>IF(F86&gt;0, IF(C86="Transaction", "Da thanh toan", "Duong"), IF(F86&lt;0, IF(C86="Transaction", "Du no", IF(C86="Interests", "Lai phat sinh", IF(C86="Misc", "Phi", IF(C86="Account Transfer", "Lai tra gop", "Am")))), "Bang 0"))</f>
        <v>Lai phat sinh</v>
      </c>
    </row>
    <row r="87" spans="1:7" x14ac:dyDescent="0.3">
      <c r="A87" s="64">
        <v>44723</v>
      </c>
      <c r="B87" s="35">
        <v>-40605.14</v>
      </c>
      <c r="C87" t="s">
        <v>49</v>
      </c>
      <c r="D87" s="17"/>
      <c r="E87" s="26" t="str">
        <f>IF(OR(C87="Transaction",C87="Interests",C87="Misc",C87="Account Transfer"), IF(C87="Transaction", IF(B87&lt;0, "Du no", "Da thanh toan"), IF(C87="Interests", "Lai", IF(C87="Misc", "Phi", IF(C87="Account Transfer", IF(OR(ISNUMBER(SEARCH("Trich lai tra gop the TD", D87)), ISNUMBER(SEARCH("Chuyen lai tra gop con lai sang du no thong thuong khi BadDebt", D87))), IF(B87&lt;0, "Lai tra gop", ""), "" )))))) &amp; " " &amp; IF(C87="Interests", TEXT(EDATE(IF(DAY(A87)&gt;=11, A87, EDATE(A87,-1)), -1),"yyyy-mm"), TEXT(IF(DAY(A87)&gt;=11, A87, EDATE(A87,-1)),"yyyy-mm"))</f>
        <v>Lai 2022-05</v>
      </c>
      <c r="F87" s="27">
        <f>IF(ISNUMBER(B87), ROUND(SUMIFS($B$2:$B$10000, $E$2:$E$10000, E87, $B$2:$B$10000, IF(B87&lt;0, "&lt;0", "&gt;0")), 0), "")</f>
        <v>-5527736</v>
      </c>
      <c r="G87" s="28" t="str">
        <f>IF(F87&gt;0, IF(C87="Transaction", "Da thanh toan", "Duong"), IF(F87&lt;0, IF(C87="Transaction", "Du no", IF(C87="Interests", "Lai phat sinh", IF(C87="Misc", "Phi", IF(C87="Account Transfer", "Lai tra gop", "Am")))), "Bang 0"))</f>
        <v>Lai phat sinh</v>
      </c>
    </row>
    <row r="88" spans="1:7" x14ac:dyDescent="0.3">
      <c r="A88" s="64">
        <v>44723</v>
      </c>
      <c r="B88" s="35">
        <v>-1421753.42</v>
      </c>
      <c r="C88" t="s">
        <v>49</v>
      </c>
      <c r="D88" s="17"/>
      <c r="E88" s="26" t="str">
        <f>IF(OR(C88="Transaction",C88="Interests",C88="Misc",C88="Account Transfer"), IF(C88="Transaction", IF(B88&lt;0, "Du no", "Da thanh toan"), IF(C88="Interests", "Lai", IF(C88="Misc", "Phi", IF(C88="Account Transfer", IF(OR(ISNUMBER(SEARCH("Trich lai tra gop the TD", D88)), ISNUMBER(SEARCH("Chuyen lai tra gop con lai sang du no thong thuong khi BadDebt", D88))), IF(B88&lt;0, "Lai tra gop", ""), "" )))))) &amp; " " &amp; IF(C88="Interests", TEXT(EDATE(IF(DAY(A88)&gt;=11, A88, EDATE(A88,-1)), -1),"yyyy-mm"), TEXT(IF(DAY(A88)&gt;=11, A88, EDATE(A88,-1)),"yyyy-mm"))</f>
        <v>Lai 2022-05</v>
      </c>
      <c r="F88" s="27">
        <f>IF(ISNUMBER(B88), ROUND(SUMIFS($B$2:$B$10000, $E$2:$E$10000, E88, $B$2:$B$10000, IF(B88&lt;0, "&lt;0", "&gt;0")), 0), "")</f>
        <v>-5527736</v>
      </c>
      <c r="G88" s="28" t="str">
        <f>IF(F88&gt;0, IF(C88="Transaction", "Da thanh toan", "Duong"), IF(F88&lt;0, IF(C88="Transaction", "Du no", IF(C88="Interests", "Lai phat sinh", IF(C88="Misc", "Phi", IF(C88="Account Transfer", "Lai tra gop", "Am")))), "Bang 0"))</f>
        <v>Lai phat sinh</v>
      </c>
    </row>
    <row r="89" spans="1:7" x14ac:dyDescent="0.3">
      <c r="A89" s="64">
        <v>44692</v>
      </c>
      <c r="B89" s="35">
        <v>-3790973.73</v>
      </c>
      <c r="C89" t="s">
        <v>49</v>
      </c>
      <c r="D89" s="17"/>
      <c r="E89" s="26" t="str">
        <f>IF(OR(C89="Transaction",C89="Interests",C89="Misc",C89="Account Transfer"), IF(C89="Transaction", IF(B89&lt;0, "Du no", "Da thanh toan"), IF(C89="Interests", "Lai", IF(C89="Misc", "Phi", IF(C89="Account Transfer", IF(OR(ISNUMBER(SEARCH("Trich lai tra gop the TD", D89)), ISNUMBER(SEARCH("Chuyen lai tra gop con lai sang du no thong thuong khi BadDebt", D89))), IF(B89&lt;0, "Lai tra gop", ""), "" )))))) &amp; " " &amp; IF(C89="Interests", TEXT(EDATE(IF(DAY(A89)&gt;=11, A89, EDATE(A89,-1)), -1),"yyyy-mm"), TEXT(IF(DAY(A89)&gt;=11, A89, EDATE(A89,-1)),"yyyy-mm"))</f>
        <v>Lai 2022-04</v>
      </c>
      <c r="F89" s="27">
        <f>IF(ISNUMBER(B89), ROUND(SUMIFS($B$2:$B$10000, $E$2:$E$10000, E89, $B$2:$B$10000, IF(B89&lt;0, "&lt;0", "&gt;0")), 0), "")</f>
        <v>-5206159</v>
      </c>
      <c r="G89" s="28" t="str">
        <f>IF(F89&gt;0, IF(C89="Transaction", "Da thanh toan", "Duong"), IF(F89&lt;0, IF(C89="Transaction", "Du no", IF(C89="Interests", "Lai phat sinh", IF(C89="Misc", "Phi", IF(C89="Account Transfer", "Lai tra gop", "Am")))), "Bang 0"))</f>
        <v>Lai phat sinh</v>
      </c>
    </row>
    <row r="90" spans="1:7" x14ac:dyDescent="0.3">
      <c r="A90" s="64">
        <v>44692</v>
      </c>
      <c r="B90" s="35">
        <v>-39295.29</v>
      </c>
      <c r="C90" t="s">
        <v>49</v>
      </c>
      <c r="D90" s="17"/>
      <c r="E90" s="26" t="str">
        <f>IF(OR(C90="Transaction",C90="Interests",C90="Misc",C90="Account Transfer"), IF(C90="Transaction", IF(B90&lt;0, "Du no", "Da thanh toan"), IF(C90="Interests", "Lai", IF(C90="Misc", "Phi", IF(C90="Account Transfer", IF(OR(ISNUMBER(SEARCH("Trich lai tra gop the TD", D90)), ISNUMBER(SEARCH("Chuyen lai tra gop con lai sang du no thong thuong khi BadDebt", D90))), IF(B90&lt;0, "Lai tra gop", ""), "" )))))) &amp; " " &amp; IF(C90="Interests", TEXT(EDATE(IF(DAY(A90)&gt;=11, A90, EDATE(A90,-1)), -1),"yyyy-mm"), TEXT(IF(DAY(A90)&gt;=11, A90, EDATE(A90,-1)),"yyyy-mm"))</f>
        <v>Lai 2022-04</v>
      </c>
      <c r="F90" s="27">
        <f>IF(ISNUMBER(B90), ROUND(SUMIFS($B$2:$B$10000, $E$2:$E$10000, E90, $B$2:$B$10000, IF(B90&lt;0, "&lt;0", "&gt;0")), 0), "")</f>
        <v>-5206159</v>
      </c>
      <c r="G90" s="28" t="str">
        <f>IF(F90&gt;0, IF(C90="Transaction", "Da thanh toan", "Duong"), IF(F90&lt;0, IF(C90="Transaction", "Du no", IF(C90="Interests", "Lai phat sinh", IF(C90="Misc", "Phi", IF(C90="Account Transfer", "Lai tra gop", "Am")))), "Bang 0"))</f>
        <v>Lai phat sinh</v>
      </c>
    </row>
    <row r="91" spans="1:7" x14ac:dyDescent="0.3">
      <c r="A91" s="64">
        <v>44692</v>
      </c>
      <c r="B91" s="35">
        <v>-1375890.41</v>
      </c>
      <c r="C91" t="s">
        <v>49</v>
      </c>
      <c r="D91" s="17"/>
      <c r="E91" s="26" t="str">
        <f>IF(OR(C91="Transaction",C91="Interests",C91="Misc",C91="Account Transfer"), IF(C91="Transaction", IF(B91&lt;0, "Du no", "Da thanh toan"), IF(C91="Interests", "Lai", IF(C91="Misc", "Phi", IF(C91="Account Transfer", IF(OR(ISNUMBER(SEARCH("Trich lai tra gop the TD", D91)), ISNUMBER(SEARCH("Chuyen lai tra gop con lai sang du no thong thuong khi BadDebt", D91))), IF(B91&lt;0, "Lai tra gop", ""), "" )))))) &amp; " " &amp; IF(C91="Interests", TEXT(EDATE(IF(DAY(A91)&gt;=11, A91, EDATE(A91,-1)), -1),"yyyy-mm"), TEXT(IF(DAY(A91)&gt;=11, A91, EDATE(A91,-1)),"yyyy-mm"))</f>
        <v>Lai 2022-04</v>
      </c>
      <c r="F91" s="27">
        <f>IF(ISNUMBER(B91), ROUND(SUMIFS($B$2:$B$10000, $E$2:$E$10000, E91, $B$2:$B$10000, IF(B91&lt;0, "&lt;0", "&gt;0")), 0), "")</f>
        <v>-5206159</v>
      </c>
      <c r="G91" s="28" t="str">
        <f>IF(F91&gt;0, IF(C91="Transaction", "Da thanh toan", "Duong"), IF(F91&lt;0, IF(C91="Transaction", "Du no", IF(C91="Interests", "Lai phat sinh", IF(C91="Misc", "Phi", IF(C91="Account Transfer", "Lai tra gop", "Am")))), "Bang 0"))</f>
        <v>Lai phat sinh</v>
      </c>
    </row>
    <row r="92" spans="1:7" x14ac:dyDescent="0.3">
      <c r="A92" s="64">
        <v>44662</v>
      </c>
      <c r="B92" s="35">
        <v>-3768596.94</v>
      </c>
      <c r="C92" t="s">
        <v>49</v>
      </c>
      <c r="D92" s="17"/>
      <c r="E92" s="26" t="str">
        <f>IF(OR(C92="Transaction",C92="Interests",C92="Misc",C92="Account Transfer"), IF(C92="Transaction", IF(B92&lt;0, "Du no", "Da thanh toan"), IF(C92="Interests", "Lai", IF(C92="Misc", "Phi", IF(C92="Account Transfer", IF(OR(ISNUMBER(SEARCH("Trich lai tra gop the TD", D92)), ISNUMBER(SEARCH("Chuyen lai tra gop con lai sang du no thong thuong khi BadDebt", D92))), IF(B92&lt;0, "Lai tra gop", ""), "" )))))) &amp; " " &amp; IF(C92="Interests", TEXT(EDATE(IF(DAY(A92)&gt;=11, A92, EDATE(A92,-1)), -1),"yyyy-mm"), TEXT(IF(DAY(A92)&gt;=11, A92, EDATE(A92,-1)),"yyyy-mm"))</f>
        <v>Lai 2022-03</v>
      </c>
      <c r="F92" s="27">
        <f>IF(ISNUMBER(B92), ROUND(SUMIFS($B$2:$B$10000, $E$2:$E$10000, E92, $B$2:$B$10000, IF(B92&lt;0, "&lt;0", "&gt;0")), 0), "")</f>
        <v>-5230956</v>
      </c>
      <c r="G92" s="28" t="str">
        <f>IF(F92&gt;0, IF(C92="Transaction", "Da thanh toan", "Duong"), IF(F92&lt;0, IF(C92="Transaction", "Du no", IF(C92="Interests", "Lai phat sinh", IF(C92="Misc", "Phi", IF(C92="Account Transfer", "Lai tra gop", "Am")))), "Bang 0"))</f>
        <v>Lai phat sinh</v>
      </c>
    </row>
    <row r="93" spans="1:7" x14ac:dyDescent="0.3">
      <c r="A93" s="64">
        <v>44662</v>
      </c>
      <c r="B93" s="35">
        <v>-40605.14</v>
      </c>
      <c r="C93" t="s">
        <v>49</v>
      </c>
      <c r="D93" s="17"/>
      <c r="E93" s="26" t="str">
        <f>IF(OR(C93="Transaction",C93="Interests",C93="Misc",C93="Account Transfer"), IF(C93="Transaction", IF(B93&lt;0, "Du no", "Da thanh toan"), IF(C93="Interests", "Lai", IF(C93="Misc", "Phi", IF(C93="Account Transfer", IF(OR(ISNUMBER(SEARCH("Trich lai tra gop the TD", D93)), ISNUMBER(SEARCH("Chuyen lai tra gop con lai sang du no thong thuong khi BadDebt", D93))), IF(B93&lt;0, "Lai tra gop", ""), "" )))))) &amp; " " &amp; IF(C93="Interests", TEXT(EDATE(IF(DAY(A93)&gt;=11, A93, EDATE(A93,-1)), -1),"yyyy-mm"), TEXT(IF(DAY(A93)&gt;=11, A93, EDATE(A93,-1)),"yyyy-mm"))</f>
        <v>Lai 2022-03</v>
      </c>
      <c r="F93" s="27">
        <f>IF(ISNUMBER(B93), ROUND(SUMIFS($B$2:$B$10000, $E$2:$E$10000, E93, $B$2:$B$10000, IF(B93&lt;0, "&lt;0", "&gt;0")), 0), "")</f>
        <v>-5230956</v>
      </c>
      <c r="G93" s="28" t="str">
        <f>IF(F93&gt;0, IF(C93="Transaction", "Da thanh toan", "Duong"), IF(F93&lt;0, IF(C93="Transaction", "Du no", IF(C93="Interests", "Lai phat sinh", IF(C93="Misc", "Phi", IF(C93="Account Transfer", "Lai tra gop", "Am")))), "Bang 0"))</f>
        <v>Lai phat sinh</v>
      </c>
    </row>
    <row r="94" spans="1:7" x14ac:dyDescent="0.3">
      <c r="A94" s="64">
        <v>44662</v>
      </c>
      <c r="B94" s="35">
        <v>-1421753.42</v>
      </c>
      <c r="C94" t="s">
        <v>49</v>
      </c>
      <c r="D94" s="17"/>
      <c r="E94" s="26" t="str">
        <f>IF(OR(C94="Transaction",C94="Interests",C94="Misc",C94="Account Transfer"), IF(C94="Transaction", IF(B94&lt;0, "Du no", "Da thanh toan"), IF(C94="Interests", "Lai", IF(C94="Misc", "Phi", IF(C94="Account Transfer", IF(OR(ISNUMBER(SEARCH("Trich lai tra gop the TD", D94)), ISNUMBER(SEARCH("Chuyen lai tra gop con lai sang du no thong thuong khi BadDebt", D94))), IF(B94&lt;0, "Lai tra gop", ""), "" )))))) &amp; " " &amp; IF(C94="Interests", TEXT(EDATE(IF(DAY(A94)&gt;=11, A94, EDATE(A94,-1)), -1),"yyyy-mm"), TEXT(IF(DAY(A94)&gt;=11, A94, EDATE(A94,-1)),"yyyy-mm"))</f>
        <v>Lai 2022-03</v>
      </c>
      <c r="F94" s="27">
        <f>IF(ISNUMBER(B94), ROUND(SUMIFS($B$2:$B$10000, $E$2:$E$10000, E94, $B$2:$B$10000, IF(B94&lt;0, "&lt;0", "&gt;0")), 0), "")</f>
        <v>-5230956</v>
      </c>
      <c r="G94" s="28" t="str">
        <f>IF(F94&gt;0, IF(C94="Transaction", "Da thanh toan", "Duong"), IF(F94&lt;0, IF(C94="Transaction", "Du no", IF(C94="Interests", "Lai phat sinh", IF(C94="Misc", "Phi", IF(C94="Account Transfer", "Lai tra gop", "Am")))), "Bang 0"))</f>
        <v>Lai phat sinh</v>
      </c>
    </row>
    <row r="95" spans="1:7" x14ac:dyDescent="0.3">
      <c r="A95" s="64">
        <v>44631</v>
      </c>
      <c r="B95" s="35">
        <v>-3285585.85</v>
      </c>
      <c r="C95" t="s">
        <v>49</v>
      </c>
      <c r="D95" s="17"/>
      <c r="E95" s="26" t="str">
        <f>IF(OR(C95="Transaction",C95="Interests",C95="Misc",C95="Account Transfer"), IF(C95="Transaction", IF(B95&lt;0, "Du no", "Da thanh toan"), IF(C95="Interests", "Lai", IF(C95="Misc", "Phi", IF(C95="Account Transfer", IF(OR(ISNUMBER(SEARCH("Trich lai tra gop the TD", D95)), ISNUMBER(SEARCH("Chuyen lai tra gop con lai sang du no thong thuong khi BadDebt", D95))), IF(B95&lt;0, "Lai tra gop", ""), "" )))))) &amp; " " &amp; IF(C95="Interests", TEXT(EDATE(IF(DAY(A95)&gt;=11, A95, EDATE(A95,-1)), -1),"yyyy-mm"), TEXT(IF(DAY(A95)&gt;=11, A95, EDATE(A95,-1)),"yyyy-mm"))</f>
        <v>Lai 2022-02</v>
      </c>
      <c r="F95" s="27">
        <f>IF(ISNUMBER(B95), ROUND(SUMIFS($B$2:$B$10000, $E$2:$E$10000, E95, $B$2:$B$10000, IF(B95&lt;0, "&lt;0", "&gt;0")), 0), "")</f>
        <v>-4606426</v>
      </c>
      <c r="G95" s="28" t="str">
        <f>IF(F95&gt;0, IF(C95="Transaction", "Da thanh toan", "Duong"), IF(F95&lt;0, IF(C95="Transaction", "Du no", IF(C95="Interests", "Lai phat sinh", IF(C95="Misc", "Phi", IF(C95="Account Transfer", "Lai tra gop", "Am")))), "Bang 0"))</f>
        <v>Lai phat sinh</v>
      </c>
    </row>
    <row r="96" spans="1:7" x14ac:dyDescent="0.3">
      <c r="A96" s="64">
        <v>44631</v>
      </c>
      <c r="B96" s="35">
        <v>-36675.61</v>
      </c>
      <c r="C96" t="s">
        <v>49</v>
      </c>
      <c r="D96" s="17"/>
      <c r="E96" s="26" t="str">
        <f>IF(OR(C96="Transaction",C96="Interests",C96="Misc",C96="Account Transfer"), IF(C96="Transaction", IF(B96&lt;0, "Du no", "Da thanh toan"), IF(C96="Interests", "Lai", IF(C96="Misc", "Phi", IF(C96="Account Transfer", IF(OR(ISNUMBER(SEARCH("Trich lai tra gop the TD", D96)), ISNUMBER(SEARCH("Chuyen lai tra gop con lai sang du no thong thuong khi BadDebt", D96))), IF(B96&lt;0, "Lai tra gop", ""), "" )))))) &amp; " " &amp; IF(C96="Interests", TEXT(EDATE(IF(DAY(A96)&gt;=11, A96, EDATE(A96,-1)), -1),"yyyy-mm"), TEXT(IF(DAY(A96)&gt;=11, A96, EDATE(A96,-1)),"yyyy-mm"))</f>
        <v>Lai 2022-02</v>
      </c>
      <c r="F96" s="27">
        <f>IF(ISNUMBER(B96), ROUND(SUMIFS($B$2:$B$10000, $E$2:$E$10000, E96, $B$2:$B$10000, IF(B96&lt;0, "&lt;0", "&gt;0")), 0), "")</f>
        <v>-4606426</v>
      </c>
      <c r="G96" s="28" t="str">
        <f>IF(F96&gt;0, IF(C96="Transaction", "Da thanh toan", "Duong"), IF(F96&lt;0, IF(C96="Transaction", "Du no", IF(C96="Interests", "Lai phat sinh", IF(C96="Misc", "Phi", IF(C96="Account Transfer", "Lai tra gop", "Am")))), "Bang 0"))</f>
        <v>Lai phat sinh</v>
      </c>
    </row>
    <row r="97" spans="1:7" x14ac:dyDescent="0.3">
      <c r="A97" s="64">
        <v>44631</v>
      </c>
      <c r="B97" s="35">
        <v>-1284164.3799999999</v>
      </c>
      <c r="C97" t="s">
        <v>49</v>
      </c>
      <c r="D97" s="17"/>
      <c r="E97" s="26" t="str">
        <f>IF(OR(C97="Transaction",C97="Interests",C97="Misc",C97="Account Transfer"), IF(C97="Transaction", IF(B97&lt;0, "Du no", "Da thanh toan"), IF(C97="Interests", "Lai", IF(C97="Misc", "Phi", IF(C97="Account Transfer", IF(OR(ISNUMBER(SEARCH("Trich lai tra gop the TD", D97)), ISNUMBER(SEARCH("Chuyen lai tra gop con lai sang du no thong thuong khi BadDebt", D97))), IF(B97&lt;0, "Lai tra gop", ""), "" )))))) &amp; " " &amp; IF(C97="Interests", TEXT(EDATE(IF(DAY(A97)&gt;=11, A97, EDATE(A97,-1)), -1),"yyyy-mm"), TEXT(IF(DAY(A97)&gt;=11, A97, EDATE(A97,-1)),"yyyy-mm"))</f>
        <v>Lai 2022-02</v>
      </c>
      <c r="F97" s="27">
        <f>IF(ISNUMBER(B97), ROUND(SUMIFS($B$2:$B$10000, $E$2:$E$10000, E97, $B$2:$B$10000, IF(B97&lt;0, "&lt;0", "&gt;0")), 0), "")</f>
        <v>-4606426</v>
      </c>
      <c r="G97" s="28" t="str">
        <f>IF(F97&gt;0, IF(C97="Transaction", "Da thanh toan", "Duong"), IF(F97&lt;0, IF(C97="Transaction", "Du no", IF(C97="Interests", "Lai phat sinh", IF(C97="Misc", "Phi", IF(C97="Account Transfer", "Lai tra gop", "Am")))), "Bang 0"))</f>
        <v>Lai phat sinh</v>
      </c>
    </row>
    <row r="98" spans="1:7" x14ac:dyDescent="0.3">
      <c r="A98" s="64">
        <v>44603</v>
      </c>
      <c r="B98" s="35">
        <v>-3496604.46</v>
      </c>
      <c r="C98" t="s">
        <v>49</v>
      </c>
      <c r="D98" s="17"/>
      <c r="E98" s="26" t="str">
        <f>IF(OR(C98="Transaction",C98="Interests",C98="Misc",C98="Account Transfer"), IF(C98="Transaction", IF(B98&lt;0, "Du no", "Da thanh toan"), IF(C98="Interests", "Lai", IF(C98="Misc", "Phi", IF(C98="Account Transfer", IF(OR(ISNUMBER(SEARCH("Trich lai tra gop the TD", D98)), ISNUMBER(SEARCH("Chuyen lai tra gop con lai sang du no thong thuong khi BadDebt", D98))), IF(B98&lt;0, "Lai tra gop", ""), "" )))))) &amp; " " &amp; IF(C98="Interests", TEXT(EDATE(IF(DAY(A98)&gt;=11, A98, EDATE(A98,-1)), -1),"yyyy-mm"), TEXT(IF(DAY(A98)&gt;=11, A98, EDATE(A98,-1)),"yyyy-mm"))</f>
        <v>Lai 2022-01</v>
      </c>
      <c r="F98" s="27">
        <f>IF(ISNUMBER(B98), ROUND(SUMIFS($B$2:$B$10000, $E$2:$E$10000, E98, $B$2:$B$10000, IF(B98&lt;0, "&lt;0", "&gt;0")), 0), "")</f>
        <v>-4958963</v>
      </c>
      <c r="G98" s="28" t="str">
        <f>IF(F98&gt;0, IF(C98="Transaction", "Da thanh toan", "Duong"), IF(F98&lt;0, IF(C98="Transaction", "Du no", IF(C98="Interests", "Lai phat sinh", IF(C98="Misc", "Phi", IF(C98="Account Transfer", "Lai tra gop", "Am")))), "Bang 0"))</f>
        <v>Lai phat sinh</v>
      </c>
    </row>
    <row r="99" spans="1:7" x14ac:dyDescent="0.3">
      <c r="A99" s="64">
        <v>44603</v>
      </c>
      <c r="B99" s="35">
        <v>-40605.14</v>
      </c>
      <c r="C99" t="s">
        <v>49</v>
      </c>
      <c r="D99" s="17"/>
      <c r="E99" s="26" t="str">
        <f>IF(OR(C99="Transaction",C99="Interests",C99="Misc",C99="Account Transfer"), IF(C99="Transaction", IF(B99&lt;0, "Du no", "Da thanh toan"), IF(C99="Interests", "Lai", IF(C99="Misc", "Phi", IF(C99="Account Transfer", IF(OR(ISNUMBER(SEARCH("Trich lai tra gop the TD", D99)), ISNUMBER(SEARCH("Chuyen lai tra gop con lai sang du no thong thuong khi BadDebt", D99))), IF(B99&lt;0, "Lai tra gop", ""), "" )))))) &amp; " " &amp; IF(C99="Interests", TEXT(EDATE(IF(DAY(A99)&gt;=11, A99, EDATE(A99,-1)), -1),"yyyy-mm"), TEXT(IF(DAY(A99)&gt;=11, A99, EDATE(A99,-1)),"yyyy-mm"))</f>
        <v>Lai 2022-01</v>
      </c>
      <c r="F99" s="27">
        <f>IF(ISNUMBER(B99), ROUND(SUMIFS($B$2:$B$10000, $E$2:$E$10000, E99, $B$2:$B$10000, IF(B99&lt;0, "&lt;0", "&gt;0")), 0), "")</f>
        <v>-4958963</v>
      </c>
      <c r="G99" s="28" t="str">
        <f>IF(F99&gt;0, IF(C99="Transaction", "Da thanh toan", "Duong"), IF(F99&lt;0, IF(C99="Transaction", "Du no", IF(C99="Interests", "Lai phat sinh", IF(C99="Misc", "Phi", IF(C99="Account Transfer", "Lai tra gop", "Am")))), "Bang 0"))</f>
        <v>Lai phat sinh</v>
      </c>
    </row>
    <row r="100" spans="1:7" x14ac:dyDescent="0.3">
      <c r="A100" s="64">
        <v>44603</v>
      </c>
      <c r="B100" s="35">
        <v>-1421753.42</v>
      </c>
      <c r="C100" t="s">
        <v>49</v>
      </c>
      <c r="D100" s="17"/>
      <c r="E100" s="26" t="str">
        <f>IF(OR(C100="Transaction",C100="Interests",C100="Misc",C100="Account Transfer"), IF(C100="Transaction", IF(B100&lt;0, "Du no", "Da thanh toan"), IF(C100="Interests", "Lai", IF(C100="Misc", "Phi", IF(C100="Account Transfer", IF(OR(ISNUMBER(SEARCH("Trich lai tra gop the TD", D100)), ISNUMBER(SEARCH("Chuyen lai tra gop con lai sang du no thong thuong khi BadDebt", D100))), IF(B100&lt;0, "Lai tra gop", ""), "" )))))) &amp; " " &amp; IF(C100="Interests", TEXT(EDATE(IF(DAY(A100)&gt;=11, A100, EDATE(A100,-1)), -1),"yyyy-mm"), TEXT(IF(DAY(A100)&gt;=11, A100, EDATE(A100,-1)),"yyyy-mm"))</f>
        <v>Lai 2022-01</v>
      </c>
      <c r="F100" s="27">
        <f>IF(ISNUMBER(B100), ROUND(SUMIFS($B$2:$B$10000, $E$2:$E$10000, E100, $B$2:$B$10000, IF(B100&lt;0, "&lt;0", "&gt;0")), 0), "")</f>
        <v>-4958963</v>
      </c>
      <c r="G100" s="28" t="str">
        <f>IF(F100&gt;0, IF(C100="Transaction", "Da thanh toan", "Duong"), IF(F100&lt;0, IF(C100="Transaction", "Du no", IF(C100="Interests", "Lai phat sinh", IF(C100="Misc", "Phi", IF(C100="Account Transfer", "Lai tra gop", "Am")))), "Bang 0"))</f>
        <v>Lai phat sinh</v>
      </c>
    </row>
    <row r="101" spans="1:7" x14ac:dyDescent="0.3">
      <c r="A101" s="64">
        <v>44572</v>
      </c>
      <c r="B101" s="35">
        <v>-3359494.73</v>
      </c>
      <c r="C101" t="s">
        <v>49</v>
      </c>
      <c r="D101" s="25"/>
      <c r="E101" s="26" t="str">
        <f>IF(OR(C101="Transaction",C101="Interests",C101="Misc",C101="Account Transfer"), IF(C101="Transaction", IF(B101&lt;0, "Du no", "Da thanh toan"), IF(C101="Interests", "Lai", IF(C101="Misc", "Phi", IF(C101="Account Transfer", IF(OR(ISNUMBER(SEARCH("Trich lai tra gop the TD", D101)), ISNUMBER(SEARCH("Chuyen lai tra gop con lai sang du no thong thuong khi BadDebt", D101))), IF(B101&lt;0, "Lai tra gop", ""), "" )))))) &amp; " " &amp; IF(C101="Interests", TEXT(EDATE(IF(DAY(A101)&gt;=11, A101, EDATE(A101,-1)), -1),"yyyy-mm"), TEXT(IF(DAY(A101)&gt;=11, A101, EDATE(A101,-1)),"yyyy-mm"))</f>
        <v>Lai 2021-12</v>
      </c>
      <c r="F101" s="27">
        <f>IF(ISNUMBER(B101), ROUND(SUMIFS($B$2:$B$10000, $E$2:$E$10000, E101, $B$2:$B$10000, IF(B101&lt;0, "&lt;0", "&gt;0")), 0), "")</f>
        <v>-4821853</v>
      </c>
      <c r="G101" s="28" t="str">
        <f>IF(F101&gt;0, IF(C101="Transaction", "Da thanh toan", "Duong"), IF(F101&lt;0, IF(C101="Transaction", "Du no", IF(C101="Interests", "Lai phat sinh", IF(C101="Misc", "Phi", IF(C101="Account Transfer", "Lai tra gop", "Am")))), "Bang 0"))</f>
        <v>Lai phat sinh</v>
      </c>
    </row>
    <row r="102" spans="1:7" x14ac:dyDescent="0.3">
      <c r="A102" s="64">
        <v>44572</v>
      </c>
      <c r="B102" s="35">
        <v>-40605.14</v>
      </c>
      <c r="C102" t="s">
        <v>49</v>
      </c>
      <c r="D102" s="17"/>
      <c r="E102" s="26" t="str">
        <f>IF(OR(C102="Transaction",C102="Interests",C102="Misc",C102="Account Transfer"), IF(C102="Transaction", IF(B102&lt;0, "Du no", "Da thanh toan"), IF(C102="Interests", "Lai", IF(C102="Misc", "Phi", IF(C102="Account Transfer", IF(OR(ISNUMBER(SEARCH("Trich lai tra gop the TD", D102)), ISNUMBER(SEARCH("Chuyen lai tra gop con lai sang du no thong thuong khi BadDebt", D102))), IF(B102&lt;0, "Lai tra gop", ""), "" )))))) &amp; " " &amp; IF(C102="Interests", TEXT(EDATE(IF(DAY(A102)&gt;=11, A102, EDATE(A102,-1)), -1),"yyyy-mm"), TEXT(IF(DAY(A102)&gt;=11, A102, EDATE(A102,-1)),"yyyy-mm"))</f>
        <v>Lai 2021-12</v>
      </c>
      <c r="F102" s="27">
        <f>IF(ISNUMBER(B102), ROUND(SUMIFS($B$2:$B$10000, $E$2:$E$10000, E102, $B$2:$B$10000, IF(B102&lt;0, "&lt;0", "&gt;0")), 0), "")</f>
        <v>-4821853</v>
      </c>
      <c r="G102" s="28" t="str">
        <f>IF(F102&gt;0, IF(C102="Transaction", "Da thanh toan", "Duong"), IF(F102&lt;0, IF(C102="Transaction", "Du no", IF(C102="Interests", "Lai phat sinh", IF(C102="Misc", "Phi", IF(C102="Account Transfer", "Lai tra gop", "Am")))), "Bang 0"))</f>
        <v>Lai phat sinh</v>
      </c>
    </row>
    <row r="103" spans="1:7" x14ac:dyDescent="0.3">
      <c r="A103" s="64">
        <v>44572</v>
      </c>
      <c r="B103" s="35">
        <v>-1421753.42</v>
      </c>
      <c r="C103" t="s">
        <v>49</v>
      </c>
      <c r="D103" s="17"/>
      <c r="E103" s="26" t="str">
        <f>IF(OR(C103="Transaction",C103="Interests",C103="Misc",C103="Account Transfer"), IF(C103="Transaction", IF(B103&lt;0, "Du no", "Da thanh toan"), IF(C103="Interests", "Lai", IF(C103="Misc", "Phi", IF(C103="Account Transfer", IF(OR(ISNUMBER(SEARCH("Trich lai tra gop the TD", D103)), ISNUMBER(SEARCH("Chuyen lai tra gop con lai sang du no thong thuong khi BadDebt", D103))), IF(B103&lt;0, "Lai tra gop", ""), "" )))))) &amp; " " &amp; IF(C103="Interests", TEXT(EDATE(IF(DAY(A103)&gt;=11, A103, EDATE(A103,-1)), -1),"yyyy-mm"), TEXT(IF(DAY(A103)&gt;=11, A103, EDATE(A103,-1)),"yyyy-mm"))</f>
        <v>Lai 2021-12</v>
      </c>
      <c r="F103" s="27">
        <f>IF(ISNUMBER(B103), ROUND(SUMIFS($B$2:$B$10000, $E$2:$E$10000, E103, $B$2:$B$10000, IF(B103&lt;0, "&lt;0", "&gt;0")), 0), "")</f>
        <v>-4821853</v>
      </c>
      <c r="G103" s="28" t="str">
        <f>IF(F103&gt;0, IF(C103="Transaction", "Da thanh toan", "Duong"), IF(F103&lt;0, IF(C103="Transaction", "Du no", IF(C103="Interests", "Lai phat sinh", IF(C103="Misc", "Phi", IF(C103="Account Transfer", "Lai tra gop", "Am")))), "Bang 0"))</f>
        <v>Lai phat sinh</v>
      </c>
    </row>
    <row r="104" spans="1:7" x14ac:dyDescent="0.3">
      <c r="A104" s="64">
        <v>44541</v>
      </c>
      <c r="B104" s="35">
        <v>-3126156.16</v>
      </c>
      <c r="C104" t="s">
        <v>49</v>
      </c>
      <c r="D104" s="17"/>
      <c r="E104" s="26" t="str">
        <f>IF(OR(C104="Transaction",C104="Interests",C104="Misc",C104="Account Transfer"), IF(C104="Transaction", IF(B104&lt;0, "Du no", "Da thanh toan"), IF(C104="Interests", "Lai", IF(C104="Misc", "Phi", IF(C104="Account Transfer", IF(OR(ISNUMBER(SEARCH("Trich lai tra gop the TD", D104)), ISNUMBER(SEARCH("Chuyen lai tra gop con lai sang du no thong thuong khi BadDebt", D104))), IF(B104&lt;0, "Lai tra gop", ""), "" )))))) &amp; " " &amp; IF(C104="Interests", TEXT(EDATE(IF(DAY(A104)&gt;=11, A104, EDATE(A104,-1)), -1),"yyyy-mm"), TEXT(IF(DAY(A104)&gt;=11, A104, EDATE(A104,-1)),"yyyy-mm"))</f>
        <v>Lai 2021-11</v>
      </c>
      <c r="F104" s="27">
        <f>IF(ISNUMBER(B104), ROUND(SUMIFS($B$2:$B$10000, $E$2:$E$10000, E104, $B$2:$B$10000, IF(B104&lt;0, "&lt;0", "&gt;0")), 0), "")</f>
        <v>-4541342</v>
      </c>
      <c r="G104" s="28" t="str">
        <f>IF(F104&gt;0, IF(C104="Transaction", "Da thanh toan", "Duong"), IF(F104&lt;0, IF(C104="Transaction", "Du no", IF(C104="Interests", "Lai phat sinh", IF(C104="Misc", "Phi", IF(C104="Account Transfer", "Lai tra gop", "Am")))), "Bang 0"))</f>
        <v>Lai phat sinh</v>
      </c>
    </row>
    <row r="105" spans="1:7" x14ac:dyDescent="0.3">
      <c r="A105" s="64">
        <v>44541</v>
      </c>
      <c r="B105" s="35">
        <v>-39295.29</v>
      </c>
      <c r="C105" t="s">
        <v>49</v>
      </c>
      <c r="D105" s="17"/>
      <c r="E105" s="26" t="str">
        <f>IF(OR(C105="Transaction",C105="Interests",C105="Misc",C105="Account Transfer"), IF(C105="Transaction", IF(B105&lt;0, "Du no", "Da thanh toan"), IF(C105="Interests", "Lai", IF(C105="Misc", "Phi", IF(C105="Account Transfer", IF(OR(ISNUMBER(SEARCH("Trich lai tra gop the TD", D105)), ISNUMBER(SEARCH("Chuyen lai tra gop con lai sang du no thong thuong khi BadDebt", D105))), IF(B105&lt;0, "Lai tra gop", ""), "" )))))) &amp; " " &amp; IF(C105="Interests", TEXT(EDATE(IF(DAY(A105)&gt;=11, A105, EDATE(A105,-1)), -1),"yyyy-mm"), TEXT(IF(DAY(A105)&gt;=11, A105, EDATE(A105,-1)),"yyyy-mm"))</f>
        <v>Lai 2021-11</v>
      </c>
      <c r="F105" s="27">
        <f>IF(ISNUMBER(B105), ROUND(SUMIFS($B$2:$B$10000, $E$2:$E$10000, E105, $B$2:$B$10000, IF(B105&lt;0, "&lt;0", "&gt;0")), 0), "")</f>
        <v>-4541342</v>
      </c>
      <c r="G105" s="28" t="str">
        <f>IF(F105&gt;0, IF(C105="Transaction", "Da thanh toan", "Duong"), IF(F105&lt;0, IF(C105="Transaction", "Du no", IF(C105="Interests", "Lai phat sinh", IF(C105="Misc", "Phi", IF(C105="Account Transfer", "Lai tra gop", "Am")))), "Bang 0"))</f>
        <v>Lai phat sinh</v>
      </c>
    </row>
    <row r="106" spans="1:7" x14ac:dyDescent="0.3">
      <c r="A106" s="64">
        <v>44541</v>
      </c>
      <c r="B106" s="35">
        <v>-1375890.41</v>
      </c>
      <c r="C106" t="s">
        <v>49</v>
      </c>
      <c r="D106" s="17"/>
      <c r="E106" s="26" t="str">
        <f>IF(OR(C106="Transaction",C106="Interests",C106="Misc",C106="Account Transfer"), IF(C106="Transaction", IF(B106&lt;0, "Du no", "Da thanh toan"), IF(C106="Interests", "Lai", IF(C106="Misc", "Phi", IF(C106="Account Transfer", IF(OR(ISNUMBER(SEARCH("Trich lai tra gop the TD", D106)), ISNUMBER(SEARCH("Chuyen lai tra gop con lai sang du no thong thuong khi BadDebt", D106))), IF(B106&lt;0, "Lai tra gop", ""), "" )))))) &amp; " " &amp; IF(C106="Interests", TEXT(EDATE(IF(DAY(A106)&gt;=11, A106, EDATE(A106,-1)), -1),"yyyy-mm"), TEXT(IF(DAY(A106)&gt;=11, A106, EDATE(A106,-1)),"yyyy-mm"))</f>
        <v>Lai 2021-11</v>
      </c>
      <c r="F106" s="27">
        <f>IF(ISNUMBER(B106), ROUND(SUMIFS($B$2:$B$10000, $E$2:$E$10000, E106, $B$2:$B$10000, IF(B106&lt;0, "&lt;0", "&gt;0")), 0), "")</f>
        <v>-4541342</v>
      </c>
      <c r="G106" s="28" t="str">
        <f>IF(F106&gt;0, IF(C106="Transaction", "Da thanh toan", "Duong"), IF(F106&lt;0, IF(C106="Transaction", "Du no", IF(C106="Interests", "Lai phat sinh", IF(C106="Misc", "Phi", IF(C106="Account Transfer", "Lai tra gop", "Am")))), "Bang 0"))</f>
        <v>Lai phat sinh</v>
      </c>
    </row>
    <row r="107" spans="1:7" x14ac:dyDescent="0.3">
      <c r="A107" s="64">
        <v>44511</v>
      </c>
      <c r="B107" s="35">
        <v>-3100612.95</v>
      </c>
      <c r="C107" t="s">
        <v>49</v>
      </c>
      <c r="D107" s="17"/>
      <c r="E107" s="26" t="str">
        <f>IF(OR(C107="Transaction",C107="Interests",C107="Misc",C107="Account Transfer"), IF(C107="Transaction", IF(B107&lt;0, "Du no", "Da thanh toan"), IF(C107="Interests", "Lai", IF(C107="Misc", "Phi", IF(C107="Account Transfer", IF(OR(ISNUMBER(SEARCH("Trich lai tra gop the TD", D107)), ISNUMBER(SEARCH("Chuyen lai tra gop con lai sang du no thong thuong khi BadDebt", D107))), IF(B107&lt;0, "Lai tra gop", ""), "" )))))) &amp; " " &amp; IF(C107="Interests", TEXT(EDATE(IF(DAY(A107)&gt;=11, A107, EDATE(A107,-1)), -1),"yyyy-mm"), TEXT(IF(DAY(A107)&gt;=11, A107, EDATE(A107,-1)),"yyyy-mm"))</f>
        <v>Lai 2021-10</v>
      </c>
      <c r="F107" s="27">
        <f>IF(ISNUMBER(B107), ROUND(SUMIFS($B$2:$B$10000, $E$2:$E$10000, E107, $B$2:$B$10000, IF(B107&lt;0, "&lt;0", "&gt;0")), 0), "")</f>
        <v>-4562972</v>
      </c>
      <c r="G107" s="28" t="str">
        <f>IF(F107&gt;0, IF(C107="Transaction", "Da thanh toan", "Duong"), IF(F107&lt;0, IF(C107="Transaction", "Du no", IF(C107="Interests", "Lai phat sinh", IF(C107="Misc", "Phi", IF(C107="Account Transfer", "Lai tra gop", "Am")))), "Bang 0"))</f>
        <v>Lai phat sinh</v>
      </c>
    </row>
    <row r="108" spans="1:7" x14ac:dyDescent="0.3">
      <c r="A108" s="64">
        <v>44511</v>
      </c>
      <c r="B108" s="35">
        <v>-40605.14</v>
      </c>
      <c r="C108" t="s">
        <v>49</v>
      </c>
      <c r="D108" s="17"/>
      <c r="E108" s="26" t="str">
        <f>IF(OR(C108="Transaction",C108="Interests",C108="Misc",C108="Account Transfer"), IF(C108="Transaction", IF(B108&lt;0, "Du no", "Da thanh toan"), IF(C108="Interests", "Lai", IF(C108="Misc", "Phi", IF(C108="Account Transfer", IF(OR(ISNUMBER(SEARCH("Trich lai tra gop the TD", D108)), ISNUMBER(SEARCH("Chuyen lai tra gop con lai sang du no thong thuong khi BadDebt", D108))), IF(B108&lt;0, "Lai tra gop", ""), "" )))))) &amp; " " &amp; IF(C108="Interests", TEXT(EDATE(IF(DAY(A108)&gt;=11, A108, EDATE(A108,-1)), -1),"yyyy-mm"), TEXT(IF(DAY(A108)&gt;=11, A108, EDATE(A108,-1)),"yyyy-mm"))</f>
        <v>Lai 2021-10</v>
      </c>
      <c r="F108" s="27">
        <f>IF(ISNUMBER(B108), ROUND(SUMIFS($B$2:$B$10000, $E$2:$E$10000, E108, $B$2:$B$10000, IF(B108&lt;0, "&lt;0", "&gt;0")), 0), "")</f>
        <v>-4562972</v>
      </c>
      <c r="G108" s="28" t="str">
        <f>IF(F108&gt;0, IF(C108="Transaction", "Da thanh toan", "Duong"), IF(F108&lt;0, IF(C108="Transaction", "Du no", IF(C108="Interests", "Lai phat sinh", IF(C108="Misc", "Phi", IF(C108="Account Transfer", "Lai tra gop", "Am")))), "Bang 0"))</f>
        <v>Lai phat sinh</v>
      </c>
    </row>
    <row r="109" spans="1:7" x14ac:dyDescent="0.3">
      <c r="A109" s="64">
        <v>44511</v>
      </c>
      <c r="B109" s="35">
        <v>-1421753.42</v>
      </c>
      <c r="C109" t="s">
        <v>49</v>
      </c>
      <c r="D109" s="17"/>
      <c r="E109" s="26" t="str">
        <f>IF(OR(C109="Transaction",C109="Interests",C109="Misc",C109="Account Transfer"), IF(C109="Transaction", IF(B109&lt;0, "Du no", "Da thanh toan"), IF(C109="Interests", "Lai", IF(C109="Misc", "Phi", IF(C109="Account Transfer", IF(OR(ISNUMBER(SEARCH("Trich lai tra gop the TD", D109)), ISNUMBER(SEARCH("Chuyen lai tra gop con lai sang du no thong thuong khi BadDebt", D109))), IF(B109&lt;0, "Lai tra gop", ""), "" )))))) &amp; " " &amp; IF(C109="Interests", TEXT(EDATE(IF(DAY(A109)&gt;=11, A109, EDATE(A109,-1)), -1),"yyyy-mm"), TEXT(IF(DAY(A109)&gt;=11, A109, EDATE(A109,-1)),"yyyy-mm"))</f>
        <v>Lai 2021-10</v>
      </c>
      <c r="F109" s="27">
        <f>IF(ISNUMBER(B109), ROUND(SUMIFS($B$2:$B$10000, $E$2:$E$10000, E109, $B$2:$B$10000, IF(B109&lt;0, "&lt;0", "&gt;0")), 0), "")</f>
        <v>-4562972</v>
      </c>
      <c r="G109" s="28" t="str">
        <f>IF(F109&gt;0, IF(C109="Transaction", "Da thanh toan", "Duong"), IF(F109&lt;0, IF(C109="Transaction", "Du no", IF(C109="Interests", "Lai phat sinh", IF(C109="Misc", "Phi", IF(C109="Account Transfer", "Lai tra gop", "Am")))), "Bang 0"))</f>
        <v>Lai phat sinh</v>
      </c>
    </row>
    <row r="110" spans="1:7" x14ac:dyDescent="0.3">
      <c r="A110" s="64">
        <v>44480</v>
      </c>
      <c r="B110" s="35">
        <v>-2882334.84</v>
      </c>
      <c r="C110" t="s">
        <v>49</v>
      </c>
      <c r="D110" s="17"/>
      <c r="E110" s="26" t="str">
        <f>IF(OR(C110="Transaction",C110="Interests",C110="Misc",C110="Account Transfer"), IF(C110="Transaction", IF(B110&lt;0, "Du no", "Da thanh toan"), IF(C110="Interests", "Lai", IF(C110="Misc", "Phi", IF(C110="Account Transfer", IF(OR(ISNUMBER(SEARCH("Trich lai tra gop the TD", D110)), ISNUMBER(SEARCH("Chuyen lai tra gop con lai sang du no thong thuong khi BadDebt", D110))), IF(B110&lt;0, "Lai tra gop", ""), "" )))))) &amp; " " &amp; IF(C110="Interests", TEXT(EDATE(IF(DAY(A110)&gt;=11, A110, EDATE(A110,-1)), -1),"yyyy-mm"), TEXT(IF(DAY(A110)&gt;=11, A110, EDATE(A110,-1)),"yyyy-mm"))</f>
        <v>Lai 2021-09</v>
      </c>
      <c r="F110" s="27">
        <f>IF(ISNUMBER(B110), ROUND(SUMIFS($B$2:$B$10000, $E$2:$E$10000, E110, $B$2:$B$10000, IF(B110&lt;0, "&lt;0", "&gt;0")), 0), "")</f>
        <v>-4297521</v>
      </c>
      <c r="G110" s="28" t="str">
        <f>IF(F110&gt;0, IF(C110="Transaction", "Da thanh toan", "Duong"), IF(F110&lt;0, IF(C110="Transaction", "Du no", IF(C110="Interests", "Lai phat sinh", IF(C110="Misc", "Phi", IF(C110="Account Transfer", "Lai tra gop", "Am")))), "Bang 0"))</f>
        <v>Lai phat sinh</v>
      </c>
    </row>
    <row r="111" spans="1:7" x14ac:dyDescent="0.3">
      <c r="A111" s="64">
        <v>44480</v>
      </c>
      <c r="B111" s="35">
        <v>-39295.29</v>
      </c>
      <c r="C111" t="s">
        <v>49</v>
      </c>
      <c r="D111" s="17"/>
      <c r="E111" s="26" t="str">
        <f>IF(OR(C111="Transaction",C111="Interests",C111="Misc",C111="Account Transfer"), IF(C111="Transaction", IF(B111&lt;0, "Du no", "Da thanh toan"), IF(C111="Interests", "Lai", IF(C111="Misc", "Phi", IF(C111="Account Transfer", IF(OR(ISNUMBER(SEARCH("Trich lai tra gop the TD", D111)), ISNUMBER(SEARCH("Chuyen lai tra gop con lai sang du no thong thuong khi BadDebt", D111))), IF(B111&lt;0, "Lai tra gop", ""), "" )))))) &amp; " " &amp; IF(C111="Interests", TEXT(EDATE(IF(DAY(A111)&gt;=11, A111, EDATE(A111,-1)), -1),"yyyy-mm"), TEXT(IF(DAY(A111)&gt;=11, A111, EDATE(A111,-1)),"yyyy-mm"))</f>
        <v>Lai 2021-09</v>
      </c>
      <c r="F111" s="27">
        <f>IF(ISNUMBER(B111), ROUND(SUMIFS($B$2:$B$10000, $E$2:$E$10000, E111, $B$2:$B$10000, IF(B111&lt;0, "&lt;0", "&gt;0")), 0), "")</f>
        <v>-4297521</v>
      </c>
      <c r="G111" s="28" t="str">
        <f>IF(F111&gt;0, IF(C111="Transaction", "Da thanh toan", "Duong"), IF(F111&lt;0, IF(C111="Transaction", "Du no", IF(C111="Interests", "Lai phat sinh", IF(C111="Misc", "Phi", IF(C111="Account Transfer", "Lai tra gop", "Am")))), "Bang 0"))</f>
        <v>Lai phat sinh</v>
      </c>
    </row>
    <row r="112" spans="1:7" x14ac:dyDescent="0.3">
      <c r="A112" s="64">
        <v>44480</v>
      </c>
      <c r="B112" s="35">
        <v>-1375890.41</v>
      </c>
      <c r="C112" t="s">
        <v>49</v>
      </c>
      <c r="D112" s="17"/>
      <c r="E112" s="26" t="str">
        <f>IF(OR(C112="Transaction",C112="Interests",C112="Misc",C112="Account Transfer"), IF(C112="Transaction", IF(B112&lt;0, "Du no", "Da thanh toan"), IF(C112="Interests", "Lai", IF(C112="Misc", "Phi", IF(C112="Account Transfer", IF(OR(ISNUMBER(SEARCH("Trich lai tra gop the TD", D112)), ISNUMBER(SEARCH("Chuyen lai tra gop con lai sang du no thong thuong khi BadDebt", D112))), IF(B112&lt;0, "Lai tra gop", ""), "" )))))) &amp; " " &amp; IF(C112="Interests", TEXT(EDATE(IF(DAY(A112)&gt;=11, A112, EDATE(A112,-1)), -1),"yyyy-mm"), TEXT(IF(DAY(A112)&gt;=11, A112, EDATE(A112,-1)),"yyyy-mm"))</f>
        <v>Lai 2021-09</v>
      </c>
      <c r="F112" s="27">
        <f>IF(ISNUMBER(B112), ROUND(SUMIFS($B$2:$B$10000, $E$2:$E$10000, E112, $B$2:$B$10000, IF(B112&lt;0, "&lt;0", "&gt;0")), 0), "")</f>
        <v>-4297521</v>
      </c>
      <c r="G112" s="28" t="str">
        <f>IF(F112&gt;0, IF(C112="Transaction", "Da thanh toan", "Duong"), IF(F112&lt;0, IF(C112="Transaction", "Du no", IF(C112="Interests", "Lai phat sinh", IF(C112="Misc", "Phi", IF(C112="Account Transfer", "Lai tra gop", "Am")))), "Bang 0"))</f>
        <v>Lai phat sinh</v>
      </c>
    </row>
    <row r="113" spans="1:7" x14ac:dyDescent="0.3">
      <c r="A113" s="64">
        <v>44450</v>
      </c>
      <c r="B113" s="35">
        <v>-2855630.35</v>
      </c>
      <c r="C113" t="s">
        <v>49</v>
      </c>
      <c r="D113" s="17"/>
      <c r="E113" s="26" t="str">
        <f>IF(OR(C113="Transaction",C113="Interests",C113="Misc",C113="Account Transfer"), IF(C113="Transaction", IF(B113&lt;0, "Du no", "Da thanh toan"), IF(C113="Interests", "Lai", IF(C113="Misc", "Phi", IF(C113="Account Transfer", IF(OR(ISNUMBER(SEARCH("Trich lai tra gop the TD", D113)), ISNUMBER(SEARCH("Chuyen lai tra gop con lai sang du no thong thuong khi BadDebt", D113))), IF(B113&lt;0, "Lai tra gop", ""), "" )))))) &amp; " " &amp; IF(C113="Interests", TEXT(EDATE(IF(DAY(A113)&gt;=11, A113, EDATE(A113,-1)), -1),"yyyy-mm"), TEXT(IF(DAY(A113)&gt;=11, A113, EDATE(A113,-1)),"yyyy-mm"))</f>
        <v>Lai 2021-08</v>
      </c>
      <c r="F113" s="27">
        <f>IF(ISNUMBER(B113), ROUND(SUMIFS($B$2:$B$10000, $E$2:$E$10000, E113, $B$2:$B$10000, IF(B113&lt;0, "&lt;0", "&gt;0")), 0), "")</f>
        <v>-4317989</v>
      </c>
      <c r="G113" s="28" t="str">
        <f>IF(F113&gt;0, IF(C113="Transaction", "Da thanh toan", "Duong"), IF(F113&lt;0, IF(C113="Transaction", "Du no", IF(C113="Interests", "Lai phat sinh", IF(C113="Misc", "Phi", IF(C113="Account Transfer", "Lai tra gop", "Am")))), "Bang 0"))</f>
        <v>Lai phat sinh</v>
      </c>
    </row>
    <row r="114" spans="1:7" x14ac:dyDescent="0.3">
      <c r="A114" s="64">
        <v>44450</v>
      </c>
      <c r="B114" s="35">
        <v>-40605.14</v>
      </c>
      <c r="C114" t="s">
        <v>49</v>
      </c>
      <c r="D114" s="17"/>
      <c r="E114" s="26" t="str">
        <f>IF(OR(C114="Transaction",C114="Interests",C114="Misc",C114="Account Transfer"), IF(C114="Transaction", IF(B114&lt;0, "Du no", "Da thanh toan"), IF(C114="Interests", "Lai", IF(C114="Misc", "Phi", IF(C114="Account Transfer", IF(OR(ISNUMBER(SEARCH("Trich lai tra gop the TD", D114)), ISNUMBER(SEARCH("Chuyen lai tra gop con lai sang du no thong thuong khi BadDebt", D114))), IF(B114&lt;0, "Lai tra gop", ""), "" )))))) &amp; " " &amp; IF(C114="Interests", TEXT(EDATE(IF(DAY(A114)&gt;=11, A114, EDATE(A114,-1)), -1),"yyyy-mm"), TEXT(IF(DAY(A114)&gt;=11, A114, EDATE(A114,-1)),"yyyy-mm"))</f>
        <v>Lai 2021-08</v>
      </c>
      <c r="F114" s="27">
        <f>IF(ISNUMBER(B114), ROUND(SUMIFS($B$2:$B$10000, $E$2:$E$10000, E114, $B$2:$B$10000, IF(B114&lt;0, "&lt;0", "&gt;0")), 0), "")</f>
        <v>-4317989</v>
      </c>
      <c r="G114" s="28" t="str">
        <f>IF(F114&gt;0, IF(C114="Transaction", "Da thanh toan", "Duong"), IF(F114&lt;0, IF(C114="Transaction", "Du no", IF(C114="Interests", "Lai phat sinh", IF(C114="Misc", "Phi", IF(C114="Account Transfer", "Lai tra gop", "Am")))), "Bang 0"))</f>
        <v>Lai phat sinh</v>
      </c>
    </row>
    <row r="115" spans="1:7" x14ac:dyDescent="0.3">
      <c r="A115" s="64">
        <v>44450</v>
      </c>
      <c r="B115" s="35">
        <v>-1421753.42</v>
      </c>
      <c r="C115" t="s">
        <v>49</v>
      </c>
      <c r="D115" s="25"/>
      <c r="E115" s="26" t="str">
        <f>IF(OR(C115="Transaction",C115="Interests",C115="Misc",C115="Account Transfer"), IF(C115="Transaction", IF(B115&lt;0, "Du no", "Da thanh toan"), IF(C115="Interests", "Lai", IF(C115="Misc", "Phi", IF(C115="Account Transfer", IF(OR(ISNUMBER(SEARCH("Trich lai tra gop the TD", D115)), ISNUMBER(SEARCH("Chuyen lai tra gop con lai sang du no thong thuong khi BadDebt", D115))), IF(B115&lt;0, "Lai tra gop", ""), "" )))))) &amp; " " &amp; IF(C115="Interests", TEXT(EDATE(IF(DAY(A115)&gt;=11, A115, EDATE(A115,-1)), -1),"yyyy-mm"), TEXT(IF(DAY(A115)&gt;=11, A115, EDATE(A115,-1)),"yyyy-mm"))</f>
        <v>Lai 2021-08</v>
      </c>
      <c r="F115" s="27">
        <f>IF(ISNUMBER(B115), ROUND(SUMIFS($B$2:$B$10000, $E$2:$E$10000, E115, $B$2:$B$10000, IF(B115&lt;0, "&lt;0", "&gt;0")), 0), "")</f>
        <v>-4317989</v>
      </c>
      <c r="G115" s="28" t="str">
        <f>IF(F115&gt;0, IF(C115="Transaction", "Da thanh toan", "Duong"), IF(F115&lt;0, IF(C115="Transaction", "Du no", IF(C115="Interests", "Lai phat sinh", IF(C115="Misc", "Phi", IF(C115="Account Transfer", "Lai tra gop", "Am")))), "Bang 0"))</f>
        <v>Lai phat sinh</v>
      </c>
    </row>
    <row r="116" spans="1:7" x14ac:dyDescent="0.3">
      <c r="A116" s="64">
        <v>44419</v>
      </c>
      <c r="B116" s="35">
        <v>-2736242.83</v>
      </c>
      <c r="C116" t="s">
        <v>49</v>
      </c>
      <c r="D116" s="17"/>
      <c r="E116" s="26" t="str">
        <f>IF(OR(C116="Transaction",C116="Interests",C116="Misc",C116="Account Transfer"), IF(C116="Transaction", IF(B116&lt;0, "Du no", "Da thanh toan"), IF(C116="Interests", "Lai", IF(C116="Misc", "Phi", IF(C116="Account Transfer", IF(OR(ISNUMBER(SEARCH("Trich lai tra gop the TD", D116)), ISNUMBER(SEARCH("Chuyen lai tra gop con lai sang du no thong thuong khi BadDebt", D116))), IF(B116&lt;0, "Lai tra gop", ""), "" )))))) &amp; " " &amp; IF(C116="Interests", TEXT(EDATE(IF(DAY(A116)&gt;=11, A116, EDATE(A116,-1)), -1),"yyyy-mm"), TEXT(IF(DAY(A116)&gt;=11, A116, EDATE(A116,-1)),"yyyy-mm"))</f>
        <v>Lai 2021-07</v>
      </c>
      <c r="F116" s="27">
        <f>IF(ISNUMBER(B116), ROUND(SUMIFS($B$2:$B$10000, $E$2:$E$10000, E116, $B$2:$B$10000, IF(B116&lt;0, "&lt;0", "&gt;0")), 0), "")</f>
        <v>-4198601</v>
      </c>
      <c r="G116" s="28" t="str">
        <f>IF(F116&gt;0, IF(C116="Transaction", "Da thanh toan", "Duong"), IF(F116&lt;0, IF(C116="Transaction", "Du no", IF(C116="Interests", "Lai phat sinh", IF(C116="Misc", "Phi", IF(C116="Account Transfer", "Lai tra gop", "Am")))), "Bang 0"))</f>
        <v>Lai phat sinh</v>
      </c>
    </row>
    <row r="117" spans="1:7" x14ac:dyDescent="0.3">
      <c r="A117" s="64">
        <v>44419</v>
      </c>
      <c r="B117" s="35">
        <v>-40605.14</v>
      </c>
      <c r="C117" t="s">
        <v>49</v>
      </c>
      <c r="D117" s="17"/>
      <c r="E117" s="26" t="str">
        <f>IF(OR(C117="Transaction",C117="Interests",C117="Misc",C117="Account Transfer"), IF(C117="Transaction", IF(B117&lt;0, "Du no", "Da thanh toan"), IF(C117="Interests", "Lai", IF(C117="Misc", "Phi", IF(C117="Account Transfer", IF(OR(ISNUMBER(SEARCH("Trich lai tra gop the TD", D117)), ISNUMBER(SEARCH("Chuyen lai tra gop con lai sang du no thong thuong khi BadDebt", D117))), IF(B117&lt;0, "Lai tra gop", ""), "" )))))) &amp; " " &amp; IF(C117="Interests", TEXT(EDATE(IF(DAY(A117)&gt;=11, A117, EDATE(A117,-1)), -1),"yyyy-mm"), TEXT(IF(DAY(A117)&gt;=11, A117, EDATE(A117,-1)),"yyyy-mm"))</f>
        <v>Lai 2021-07</v>
      </c>
      <c r="F117" s="27">
        <f>IF(ISNUMBER(B117), ROUND(SUMIFS($B$2:$B$10000, $E$2:$E$10000, E117, $B$2:$B$10000, IF(B117&lt;0, "&lt;0", "&gt;0")), 0), "")</f>
        <v>-4198601</v>
      </c>
      <c r="G117" s="28" t="str">
        <f>IF(F117&gt;0, IF(C117="Transaction", "Da thanh toan", "Duong"), IF(F117&lt;0, IF(C117="Transaction", "Du no", IF(C117="Interests", "Lai phat sinh", IF(C117="Misc", "Phi", IF(C117="Account Transfer", "Lai tra gop", "Am")))), "Bang 0"))</f>
        <v>Lai phat sinh</v>
      </c>
    </row>
    <row r="118" spans="1:7" x14ac:dyDescent="0.3">
      <c r="A118" s="64">
        <v>44419</v>
      </c>
      <c r="B118" s="35">
        <v>-1421753.42</v>
      </c>
      <c r="C118" t="s">
        <v>49</v>
      </c>
      <c r="D118" s="17"/>
      <c r="E118" s="26" t="str">
        <f>IF(OR(C118="Transaction",C118="Interests",C118="Misc",C118="Account Transfer"), IF(C118="Transaction", IF(B118&lt;0, "Du no", "Da thanh toan"), IF(C118="Interests", "Lai", IF(C118="Misc", "Phi", IF(C118="Account Transfer", IF(OR(ISNUMBER(SEARCH("Trich lai tra gop the TD", D118)), ISNUMBER(SEARCH("Chuyen lai tra gop con lai sang du no thong thuong khi BadDebt", D118))), IF(B118&lt;0, "Lai tra gop", ""), "" )))))) &amp; " " &amp; IF(C118="Interests", TEXT(EDATE(IF(DAY(A118)&gt;=11, A118, EDATE(A118,-1)), -1),"yyyy-mm"), TEXT(IF(DAY(A118)&gt;=11, A118, EDATE(A118,-1)),"yyyy-mm"))</f>
        <v>Lai 2021-07</v>
      </c>
      <c r="F118" s="27">
        <f>IF(ISNUMBER(B118), ROUND(SUMIFS($B$2:$B$10000, $E$2:$E$10000, E118, $B$2:$B$10000, IF(B118&lt;0, "&lt;0", "&gt;0")), 0), "")</f>
        <v>-4198601</v>
      </c>
      <c r="G118" s="28" t="str">
        <f>IF(F118&gt;0, IF(C118="Transaction", "Da thanh toan", "Duong"), IF(F118&lt;0, IF(C118="Transaction", "Du no", IF(C118="Interests", "Lai phat sinh", IF(C118="Misc", "Phi", IF(C118="Account Transfer", "Lai tra gop", "Am")))), "Bang 0"))</f>
        <v>Lai phat sinh</v>
      </c>
    </row>
    <row r="119" spans="1:7" x14ac:dyDescent="0.3">
      <c r="A119" s="64">
        <v>44388</v>
      </c>
      <c r="B119" s="35">
        <v>-2539161.96</v>
      </c>
      <c r="C119" t="s">
        <v>49</v>
      </c>
      <c r="D119" s="17"/>
      <c r="E119" s="26" t="str">
        <f>IF(OR(C119="Transaction",C119="Interests",C119="Misc",C119="Account Transfer"), IF(C119="Transaction", IF(B119&lt;0, "Du no", "Da thanh toan"), IF(C119="Interests", "Lai", IF(C119="Misc", "Phi", IF(C119="Account Transfer", IF(OR(ISNUMBER(SEARCH("Trich lai tra gop the TD", D119)), ISNUMBER(SEARCH("Chuyen lai tra gop con lai sang du no thong thuong khi BadDebt", D119))), IF(B119&lt;0, "Lai tra gop", ""), "" )))))) &amp; " " &amp; IF(C119="Interests", TEXT(EDATE(IF(DAY(A119)&gt;=11, A119, EDATE(A119,-1)), -1),"yyyy-mm"), TEXT(IF(DAY(A119)&gt;=11, A119, EDATE(A119,-1)),"yyyy-mm"))</f>
        <v>Lai 2021-06</v>
      </c>
      <c r="F119" s="27">
        <f>IF(ISNUMBER(B119), ROUND(SUMIFS($B$2:$B$10000, $E$2:$E$10000, E119, $B$2:$B$10000, IF(B119&lt;0, "&lt;0", "&gt;0")), 0), "")</f>
        <v>-3954348</v>
      </c>
      <c r="G119" s="28" t="str">
        <f>IF(F119&gt;0, IF(C119="Transaction", "Da thanh toan", "Duong"), IF(F119&lt;0, IF(C119="Transaction", "Du no", IF(C119="Interests", "Lai phat sinh", IF(C119="Misc", "Phi", IF(C119="Account Transfer", "Lai tra gop", "Am")))), "Bang 0"))</f>
        <v>Lai phat sinh</v>
      </c>
    </row>
    <row r="120" spans="1:7" x14ac:dyDescent="0.3">
      <c r="A120" s="64">
        <v>44388</v>
      </c>
      <c r="B120" s="35">
        <v>-39295.29</v>
      </c>
      <c r="C120" t="s">
        <v>49</v>
      </c>
      <c r="D120" s="17"/>
      <c r="E120" s="26" t="str">
        <f>IF(OR(C120="Transaction",C120="Interests",C120="Misc",C120="Account Transfer"), IF(C120="Transaction", IF(B120&lt;0, "Du no", "Da thanh toan"), IF(C120="Interests", "Lai", IF(C120="Misc", "Phi", IF(C120="Account Transfer", IF(OR(ISNUMBER(SEARCH("Trich lai tra gop the TD", D120)), ISNUMBER(SEARCH("Chuyen lai tra gop con lai sang du no thong thuong khi BadDebt", D120))), IF(B120&lt;0, "Lai tra gop", ""), "" )))))) &amp; " " &amp; IF(C120="Interests", TEXT(EDATE(IF(DAY(A120)&gt;=11, A120, EDATE(A120,-1)), -1),"yyyy-mm"), TEXT(IF(DAY(A120)&gt;=11, A120, EDATE(A120,-1)),"yyyy-mm"))</f>
        <v>Lai 2021-06</v>
      </c>
      <c r="F120" s="27">
        <f>IF(ISNUMBER(B120), ROUND(SUMIFS($B$2:$B$10000, $E$2:$E$10000, E120, $B$2:$B$10000, IF(B120&lt;0, "&lt;0", "&gt;0")), 0), "")</f>
        <v>-3954348</v>
      </c>
      <c r="G120" s="28" t="str">
        <f>IF(F120&gt;0, IF(C120="Transaction", "Da thanh toan", "Duong"), IF(F120&lt;0, IF(C120="Transaction", "Du no", IF(C120="Interests", "Lai phat sinh", IF(C120="Misc", "Phi", IF(C120="Account Transfer", "Lai tra gop", "Am")))), "Bang 0"))</f>
        <v>Lai phat sinh</v>
      </c>
    </row>
    <row r="121" spans="1:7" x14ac:dyDescent="0.3">
      <c r="A121" s="64">
        <v>44388</v>
      </c>
      <c r="B121" s="35">
        <v>-1375890.41</v>
      </c>
      <c r="C121" t="s">
        <v>49</v>
      </c>
      <c r="D121" s="17"/>
      <c r="E121" s="26" t="str">
        <f>IF(OR(C121="Transaction",C121="Interests",C121="Misc",C121="Account Transfer"), IF(C121="Transaction", IF(B121&lt;0, "Du no", "Da thanh toan"), IF(C121="Interests", "Lai", IF(C121="Misc", "Phi", IF(C121="Account Transfer", IF(OR(ISNUMBER(SEARCH("Trich lai tra gop the TD", D121)), ISNUMBER(SEARCH("Chuyen lai tra gop con lai sang du no thong thuong khi BadDebt", D121))), IF(B121&lt;0, "Lai tra gop", ""), "" )))))) &amp; " " &amp; IF(C121="Interests", TEXT(EDATE(IF(DAY(A121)&gt;=11, A121, EDATE(A121,-1)), -1),"yyyy-mm"), TEXT(IF(DAY(A121)&gt;=11, A121, EDATE(A121,-1)),"yyyy-mm"))</f>
        <v>Lai 2021-06</v>
      </c>
      <c r="F121" s="27">
        <f>IF(ISNUMBER(B121), ROUND(SUMIFS($B$2:$B$10000, $E$2:$E$10000, E121, $B$2:$B$10000, IF(B121&lt;0, "&lt;0", "&gt;0")), 0), "")</f>
        <v>-3954348</v>
      </c>
      <c r="G121" s="28" t="str">
        <f>IF(F121&gt;0, IF(C121="Transaction", "Da thanh toan", "Duong"), IF(F121&lt;0, IF(C121="Transaction", "Du no", IF(C121="Interests", "Lai phat sinh", IF(C121="Misc", "Phi", IF(C121="Account Transfer", "Lai tra gop", "Am")))), "Bang 0"))</f>
        <v>Lai phat sinh</v>
      </c>
    </row>
    <row r="122" spans="1:7" x14ac:dyDescent="0.3">
      <c r="A122" s="64">
        <v>44358</v>
      </c>
      <c r="B122" s="35">
        <v>-2510823</v>
      </c>
      <c r="C122" t="s">
        <v>49</v>
      </c>
      <c r="D122" s="17"/>
      <c r="E122" s="26" t="str">
        <f>IF(OR(C122="Transaction",C122="Interests",C122="Misc",C122="Account Transfer"), IF(C122="Transaction", IF(B122&lt;0, "Du no", "Da thanh toan"), IF(C122="Interests", "Lai", IF(C122="Misc", "Phi", IF(C122="Account Transfer", IF(OR(ISNUMBER(SEARCH("Trich lai tra gop the TD", D122)), ISNUMBER(SEARCH("Chuyen lai tra gop con lai sang du no thong thuong khi BadDebt", D122))), IF(B122&lt;0, "Lai tra gop", ""), "" )))))) &amp; " " &amp; IF(C122="Interests", TEXT(EDATE(IF(DAY(A122)&gt;=11, A122, EDATE(A122,-1)), -1),"yyyy-mm"), TEXT(IF(DAY(A122)&gt;=11, A122, EDATE(A122,-1)),"yyyy-mm"))</f>
        <v>Lai 2021-05</v>
      </c>
      <c r="F122" s="27">
        <f>IF(ISNUMBER(B122), ROUND(SUMIFS($B$2:$B$10000, $E$2:$E$10000, E122, $B$2:$B$10000, IF(B122&lt;0, "&lt;0", "&gt;0")), 0), "")</f>
        <v>-3973182</v>
      </c>
      <c r="G122" s="28" t="str">
        <f>IF(F122&gt;0, IF(C122="Transaction", "Da thanh toan", "Duong"), IF(F122&lt;0, IF(C122="Transaction", "Du no", IF(C122="Interests", "Lai phat sinh", IF(C122="Misc", "Phi", IF(C122="Account Transfer", "Lai tra gop", "Am")))), "Bang 0"))</f>
        <v>Lai phat sinh</v>
      </c>
    </row>
    <row r="123" spans="1:7" x14ac:dyDescent="0.3">
      <c r="A123" s="64">
        <v>44358</v>
      </c>
      <c r="B123" s="35">
        <v>-40605.14</v>
      </c>
      <c r="C123" t="s">
        <v>49</v>
      </c>
      <c r="D123" s="17"/>
      <c r="E123" s="26" t="str">
        <f>IF(OR(C123="Transaction",C123="Interests",C123="Misc",C123="Account Transfer"), IF(C123="Transaction", IF(B123&lt;0, "Du no", "Da thanh toan"), IF(C123="Interests", "Lai", IF(C123="Misc", "Phi", IF(C123="Account Transfer", IF(OR(ISNUMBER(SEARCH("Trich lai tra gop the TD", D123)), ISNUMBER(SEARCH("Chuyen lai tra gop con lai sang du no thong thuong khi BadDebt", D123))), IF(B123&lt;0, "Lai tra gop", ""), "" )))))) &amp; " " &amp; IF(C123="Interests", TEXT(EDATE(IF(DAY(A123)&gt;=11, A123, EDATE(A123,-1)), -1),"yyyy-mm"), TEXT(IF(DAY(A123)&gt;=11, A123, EDATE(A123,-1)),"yyyy-mm"))</f>
        <v>Lai 2021-05</v>
      </c>
      <c r="F123" s="27">
        <f>IF(ISNUMBER(B123), ROUND(SUMIFS($B$2:$B$10000, $E$2:$E$10000, E123, $B$2:$B$10000, IF(B123&lt;0, "&lt;0", "&gt;0")), 0), "")</f>
        <v>-3973182</v>
      </c>
      <c r="G123" s="28" t="str">
        <f>IF(F123&gt;0, IF(C123="Transaction", "Da thanh toan", "Duong"), IF(F123&lt;0, IF(C123="Transaction", "Du no", IF(C123="Interests", "Lai phat sinh", IF(C123="Misc", "Phi", IF(C123="Account Transfer", "Lai tra gop", "Am")))), "Bang 0"))</f>
        <v>Lai phat sinh</v>
      </c>
    </row>
    <row r="124" spans="1:7" x14ac:dyDescent="0.3">
      <c r="A124" s="64">
        <v>44358</v>
      </c>
      <c r="B124" s="35">
        <v>-1421753.42</v>
      </c>
      <c r="C124" t="s">
        <v>49</v>
      </c>
      <c r="D124" s="17"/>
      <c r="E124" s="26" t="str">
        <f>IF(OR(C124="Transaction",C124="Interests",C124="Misc",C124="Account Transfer"), IF(C124="Transaction", IF(B124&lt;0, "Du no", "Da thanh toan"), IF(C124="Interests", "Lai", IF(C124="Misc", "Phi", IF(C124="Account Transfer", IF(OR(ISNUMBER(SEARCH("Trich lai tra gop the TD", D124)), ISNUMBER(SEARCH("Chuyen lai tra gop con lai sang du no thong thuong khi BadDebt", D124))), IF(B124&lt;0, "Lai tra gop", ""), "" )))))) &amp; " " &amp; IF(C124="Interests", TEXT(EDATE(IF(DAY(A124)&gt;=11, A124, EDATE(A124,-1)), -1),"yyyy-mm"), TEXT(IF(DAY(A124)&gt;=11, A124, EDATE(A124,-1)),"yyyy-mm"))</f>
        <v>Lai 2021-05</v>
      </c>
      <c r="F124" s="27">
        <f>IF(ISNUMBER(B124), ROUND(SUMIFS($B$2:$B$10000, $E$2:$E$10000, E124, $B$2:$B$10000, IF(B124&lt;0, "&lt;0", "&gt;0")), 0), "")</f>
        <v>-3973182</v>
      </c>
      <c r="G124" s="28" t="str">
        <f>IF(F124&gt;0, IF(C124="Transaction", "Da thanh toan", "Duong"), IF(F124&lt;0, IF(C124="Transaction", "Du no", IF(C124="Interests", "Lai phat sinh", IF(C124="Misc", "Phi", IF(C124="Account Transfer", "Lai tra gop", "Am")))), "Bang 0"))</f>
        <v>Lai phat sinh</v>
      </c>
    </row>
    <row r="125" spans="1:7" x14ac:dyDescent="0.3">
      <c r="A125" s="64">
        <v>44327</v>
      </c>
      <c r="B125" s="35">
        <v>-2326855.92</v>
      </c>
      <c r="C125" t="s">
        <v>49</v>
      </c>
      <c r="D125" s="17"/>
      <c r="E125" s="26" t="str">
        <f>IF(OR(C125="Transaction",C125="Interests",C125="Misc",C125="Account Transfer"), IF(C125="Transaction", IF(B125&lt;0, "Du no", "Da thanh toan"), IF(C125="Interests", "Lai", IF(C125="Misc", "Phi", IF(C125="Account Transfer", IF(OR(ISNUMBER(SEARCH("Trich lai tra gop the TD", D125)), ISNUMBER(SEARCH("Chuyen lai tra gop con lai sang du no thong thuong khi BadDebt", D125))), IF(B125&lt;0, "Lai tra gop", ""), "" )))))) &amp; " " &amp; IF(C125="Interests", TEXT(EDATE(IF(DAY(A125)&gt;=11, A125, EDATE(A125,-1)), -1),"yyyy-mm"), TEXT(IF(DAY(A125)&gt;=11, A125, EDATE(A125,-1)),"yyyy-mm"))</f>
        <v>Lai 2021-04</v>
      </c>
      <c r="F125" s="27">
        <f>IF(ISNUMBER(B125), ROUND(SUMIFS($B$2:$B$10000, $E$2:$E$10000, E125, $B$2:$B$10000, IF(B125&lt;0, "&lt;0", "&gt;0")), 0), "")</f>
        <v>-3742042</v>
      </c>
      <c r="G125" s="28" t="str">
        <f>IF(F125&gt;0, IF(C125="Transaction", "Da thanh toan", "Duong"), IF(F125&lt;0, IF(C125="Transaction", "Du no", IF(C125="Interests", "Lai phat sinh", IF(C125="Misc", "Phi", IF(C125="Account Transfer", "Lai tra gop", "Am")))), "Bang 0"))</f>
        <v>Lai phat sinh</v>
      </c>
    </row>
    <row r="126" spans="1:7" x14ac:dyDescent="0.3">
      <c r="A126" s="64">
        <v>44327</v>
      </c>
      <c r="B126" s="35">
        <v>-39295.29</v>
      </c>
      <c r="C126" t="s">
        <v>49</v>
      </c>
      <c r="D126" s="17"/>
      <c r="E126" s="26" t="str">
        <f>IF(OR(C126="Transaction",C126="Interests",C126="Misc",C126="Account Transfer"), IF(C126="Transaction", IF(B126&lt;0, "Du no", "Da thanh toan"), IF(C126="Interests", "Lai", IF(C126="Misc", "Phi", IF(C126="Account Transfer", IF(OR(ISNUMBER(SEARCH("Trich lai tra gop the TD", D126)), ISNUMBER(SEARCH("Chuyen lai tra gop con lai sang du no thong thuong khi BadDebt", D126))), IF(B126&lt;0, "Lai tra gop", ""), "" )))))) &amp; " " &amp; IF(C126="Interests", TEXT(EDATE(IF(DAY(A126)&gt;=11, A126, EDATE(A126,-1)), -1),"yyyy-mm"), TEXT(IF(DAY(A126)&gt;=11, A126, EDATE(A126,-1)),"yyyy-mm"))</f>
        <v>Lai 2021-04</v>
      </c>
      <c r="F126" s="27">
        <f>IF(ISNUMBER(B126), ROUND(SUMIFS($B$2:$B$10000, $E$2:$E$10000, E126, $B$2:$B$10000, IF(B126&lt;0, "&lt;0", "&gt;0")), 0), "")</f>
        <v>-3742042</v>
      </c>
      <c r="G126" s="28" t="str">
        <f>IF(F126&gt;0, IF(C126="Transaction", "Da thanh toan", "Duong"), IF(F126&lt;0, IF(C126="Transaction", "Du no", IF(C126="Interests", "Lai phat sinh", IF(C126="Misc", "Phi", IF(C126="Account Transfer", "Lai tra gop", "Am")))), "Bang 0"))</f>
        <v>Lai phat sinh</v>
      </c>
    </row>
    <row r="127" spans="1:7" x14ac:dyDescent="0.3">
      <c r="A127" s="64">
        <v>44327</v>
      </c>
      <c r="B127" s="35">
        <v>-1375890.41</v>
      </c>
      <c r="C127" t="s">
        <v>49</v>
      </c>
      <c r="D127" s="17"/>
      <c r="E127" s="26" t="str">
        <f>IF(OR(C127="Transaction",C127="Interests",C127="Misc",C127="Account Transfer"), IF(C127="Transaction", IF(B127&lt;0, "Du no", "Da thanh toan"), IF(C127="Interests", "Lai", IF(C127="Misc", "Phi", IF(C127="Account Transfer", IF(OR(ISNUMBER(SEARCH("Trich lai tra gop the TD", D127)), ISNUMBER(SEARCH("Chuyen lai tra gop con lai sang du no thong thuong khi BadDebt", D127))), IF(B127&lt;0, "Lai tra gop", ""), "" )))))) &amp; " " &amp; IF(C127="Interests", TEXT(EDATE(IF(DAY(A127)&gt;=11, A127, EDATE(A127,-1)), -1),"yyyy-mm"), TEXT(IF(DAY(A127)&gt;=11, A127, EDATE(A127,-1)),"yyyy-mm"))</f>
        <v>Lai 2021-04</v>
      </c>
      <c r="F127" s="27">
        <f>IF(ISNUMBER(B127), ROUND(SUMIFS($B$2:$B$10000, $E$2:$E$10000, E127, $B$2:$B$10000, IF(B127&lt;0, "&lt;0", "&gt;0")), 0), "")</f>
        <v>-3742042</v>
      </c>
      <c r="G127" s="28" t="str">
        <f>IF(F127&gt;0, IF(C127="Transaction", "Da thanh toan", "Duong"), IF(F127&lt;0, IF(C127="Transaction", "Du no", IF(C127="Interests", "Lai phat sinh", IF(C127="Misc", "Phi", IF(C127="Account Transfer", "Lai tra gop", "Am")))), "Bang 0"))</f>
        <v>Lai phat sinh</v>
      </c>
    </row>
    <row r="128" spans="1:7" x14ac:dyDescent="0.3">
      <c r="A128" s="64">
        <v>44297</v>
      </c>
      <c r="B128" s="35">
        <v>-2297505.79</v>
      </c>
      <c r="C128" t="s">
        <v>49</v>
      </c>
      <c r="D128" s="17"/>
      <c r="E128" s="26" t="str">
        <f>IF(OR(C128="Transaction",C128="Interests",C128="Misc",C128="Account Transfer"), IF(C128="Transaction", IF(B128&lt;0, "Du no", "Da thanh toan"), IF(C128="Interests", "Lai", IF(C128="Misc", "Phi", IF(C128="Account Transfer", IF(OR(ISNUMBER(SEARCH("Trich lai tra gop the TD", D128)), ISNUMBER(SEARCH("Chuyen lai tra gop con lai sang du no thong thuong khi BadDebt", D128))), IF(B128&lt;0, "Lai tra gop", ""), "" )))))) &amp; " " &amp; IF(C128="Interests", TEXT(EDATE(IF(DAY(A128)&gt;=11, A128, EDATE(A128,-1)), -1),"yyyy-mm"), TEXT(IF(DAY(A128)&gt;=11, A128, EDATE(A128,-1)),"yyyy-mm"))</f>
        <v>Lai 2021-03</v>
      </c>
      <c r="F128" s="27">
        <f>IF(ISNUMBER(B128), ROUND(SUMIFS($B$2:$B$10000, $E$2:$E$10000, E128, $B$2:$B$10000, IF(B128&lt;0, "&lt;0", "&gt;0")), 0), "")</f>
        <v>-3759864</v>
      </c>
      <c r="G128" s="28" t="str">
        <f>IF(F128&gt;0, IF(C128="Transaction", "Da thanh toan", "Duong"), IF(F128&lt;0, IF(C128="Transaction", "Du no", IF(C128="Interests", "Lai phat sinh", IF(C128="Misc", "Phi", IF(C128="Account Transfer", "Lai tra gop", "Am")))), "Bang 0"))</f>
        <v>Lai phat sinh</v>
      </c>
    </row>
    <row r="129" spans="1:7" x14ac:dyDescent="0.3">
      <c r="A129" s="64">
        <v>44297</v>
      </c>
      <c r="B129" s="35">
        <v>-40605.14</v>
      </c>
      <c r="C129" t="s">
        <v>49</v>
      </c>
      <c r="D129" s="17"/>
      <c r="E129" s="26" t="str">
        <f>IF(OR(C129="Transaction",C129="Interests",C129="Misc",C129="Account Transfer"), IF(C129="Transaction", IF(B129&lt;0, "Du no", "Da thanh toan"), IF(C129="Interests", "Lai", IF(C129="Misc", "Phi", IF(C129="Account Transfer", IF(OR(ISNUMBER(SEARCH("Trich lai tra gop the TD", D129)), ISNUMBER(SEARCH("Chuyen lai tra gop con lai sang du no thong thuong khi BadDebt", D129))), IF(B129&lt;0, "Lai tra gop", ""), "" )))))) &amp; " " &amp; IF(C129="Interests", TEXT(EDATE(IF(DAY(A129)&gt;=11, A129, EDATE(A129,-1)), -1),"yyyy-mm"), TEXT(IF(DAY(A129)&gt;=11, A129, EDATE(A129,-1)),"yyyy-mm"))</f>
        <v>Lai 2021-03</v>
      </c>
      <c r="F129" s="27">
        <f>IF(ISNUMBER(B129), ROUND(SUMIFS($B$2:$B$10000, $E$2:$E$10000, E129, $B$2:$B$10000, IF(B129&lt;0, "&lt;0", "&gt;0")), 0), "")</f>
        <v>-3759864</v>
      </c>
      <c r="G129" s="28" t="str">
        <f>IF(F129&gt;0, IF(C129="Transaction", "Da thanh toan", "Duong"), IF(F129&lt;0, IF(C129="Transaction", "Du no", IF(C129="Interests", "Lai phat sinh", IF(C129="Misc", "Phi", IF(C129="Account Transfer", "Lai tra gop", "Am")))), "Bang 0"))</f>
        <v>Lai phat sinh</v>
      </c>
    </row>
    <row r="130" spans="1:7" x14ac:dyDescent="0.3">
      <c r="A130" s="64">
        <v>44297</v>
      </c>
      <c r="B130" s="35">
        <v>-1421753.42</v>
      </c>
      <c r="C130" t="s">
        <v>49</v>
      </c>
      <c r="D130" s="17"/>
      <c r="E130" s="26" t="str">
        <f>IF(OR(C130="Transaction",C130="Interests",C130="Misc",C130="Account Transfer"), IF(C130="Transaction", IF(B130&lt;0, "Du no", "Da thanh toan"), IF(C130="Interests", "Lai", IF(C130="Misc", "Phi", IF(C130="Account Transfer", IF(OR(ISNUMBER(SEARCH("Trich lai tra gop the TD", D130)), ISNUMBER(SEARCH("Chuyen lai tra gop con lai sang du no thong thuong khi BadDebt", D130))), IF(B130&lt;0, "Lai tra gop", ""), "" )))))) &amp; " " &amp; IF(C130="Interests", TEXT(EDATE(IF(DAY(A130)&gt;=11, A130, EDATE(A130,-1)), -1),"yyyy-mm"), TEXT(IF(DAY(A130)&gt;=11, A130, EDATE(A130,-1)),"yyyy-mm"))</f>
        <v>Lai 2021-03</v>
      </c>
      <c r="F130" s="27">
        <f>IF(ISNUMBER(B130), ROUND(SUMIFS($B$2:$B$10000, $E$2:$E$10000, E130, $B$2:$B$10000, IF(B130&lt;0, "&lt;0", "&gt;0")), 0), "")</f>
        <v>-3759864</v>
      </c>
      <c r="G130" s="28" t="str">
        <f>IF(F130&gt;0, IF(C130="Transaction", "Da thanh toan", "Duong"), IF(F130&lt;0, IF(C130="Transaction", "Du no", IF(C130="Interests", "Lai phat sinh", IF(C130="Misc", "Phi", IF(C130="Account Transfer", "Lai tra gop", "Am")))), "Bang 0"))</f>
        <v>Lai phat sinh</v>
      </c>
    </row>
    <row r="131" spans="1:7" x14ac:dyDescent="0.3">
      <c r="A131" s="64">
        <v>44266</v>
      </c>
      <c r="B131" s="35">
        <v>-1990129.93</v>
      </c>
      <c r="C131" t="s">
        <v>49</v>
      </c>
      <c r="D131" s="17"/>
      <c r="E131" s="26" t="str">
        <f>IF(OR(C131="Transaction",C131="Interests",C131="Misc",C131="Account Transfer"), IF(C131="Transaction", IF(B131&lt;0, "Du no", "Da thanh toan"), IF(C131="Interests", "Lai", IF(C131="Misc", "Phi", IF(C131="Account Transfer", IF(OR(ISNUMBER(SEARCH("Trich lai tra gop the TD", D131)), ISNUMBER(SEARCH("Chuyen lai tra gop con lai sang du no thong thuong khi BadDebt", D131))), IF(B131&lt;0, "Lai tra gop", ""), "" )))))) &amp; " " &amp; IF(C131="Interests", TEXT(EDATE(IF(DAY(A131)&gt;=11, A131, EDATE(A131,-1)), -1),"yyyy-mm"), TEXT(IF(DAY(A131)&gt;=11, A131, EDATE(A131,-1)),"yyyy-mm"))</f>
        <v>Lai 2021-02</v>
      </c>
      <c r="F131" s="27">
        <f>IF(ISNUMBER(B131), ROUND(SUMIFS($B$2:$B$10000, $E$2:$E$10000, E131, $B$2:$B$10000, IF(B131&lt;0, "&lt;0", "&gt;0")), 0), "")</f>
        <v>-3310970</v>
      </c>
      <c r="G131" s="28" t="str">
        <f>IF(F131&gt;0, IF(C131="Transaction", "Da thanh toan", "Duong"), IF(F131&lt;0, IF(C131="Transaction", "Du no", IF(C131="Interests", "Lai phat sinh", IF(C131="Misc", "Phi", IF(C131="Account Transfer", "Lai tra gop", "Am")))), "Bang 0"))</f>
        <v>Lai phat sinh</v>
      </c>
    </row>
    <row r="132" spans="1:7" x14ac:dyDescent="0.3">
      <c r="A132" s="64">
        <v>44266</v>
      </c>
      <c r="B132" s="35">
        <v>-36675.61</v>
      </c>
      <c r="C132" t="s">
        <v>49</v>
      </c>
      <c r="D132" s="17"/>
      <c r="E132" s="26" t="str">
        <f>IF(OR(C132="Transaction",C132="Interests",C132="Misc",C132="Account Transfer"), IF(C132="Transaction", IF(B132&lt;0, "Du no", "Da thanh toan"), IF(C132="Interests", "Lai", IF(C132="Misc", "Phi", IF(C132="Account Transfer", IF(OR(ISNUMBER(SEARCH("Trich lai tra gop the TD", D132)), ISNUMBER(SEARCH("Chuyen lai tra gop con lai sang du no thong thuong khi BadDebt", D132))), IF(B132&lt;0, "Lai tra gop", ""), "" )))))) &amp; " " &amp; IF(C132="Interests", TEXT(EDATE(IF(DAY(A132)&gt;=11, A132, EDATE(A132,-1)), -1),"yyyy-mm"), TEXT(IF(DAY(A132)&gt;=11, A132, EDATE(A132,-1)),"yyyy-mm"))</f>
        <v>Lai 2021-02</v>
      </c>
      <c r="F132" s="27">
        <f>IF(ISNUMBER(B132), ROUND(SUMIFS($B$2:$B$10000, $E$2:$E$10000, E132, $B$2:$B$10000, IF(B132&lt;0, "&lt;0", "&gt;0")), 0), "")</f>
        <v>-3310970</v>
      </c>
      <c r="G132" s="28" t="str">
        <f>IF(F132&gt;0, IF(C132="Transaction", "Da thanh toan", "Duong"), IF(F132&lt;0, IF(C132="Transaction", "Du no", IF(C132="Interests", "Lai phat sinh", IF(C132="Misc", "Phi", IF(C132="Account Transfer", "Lai tra gop", "Am")))), "Bang 0"))</f>
        <v>Lai phat sinh</v>
      </c>
    </row>
    <row r="133" spans="1:7" x14ac:dyDescent="0.3">
      <c r="A133" s="64">
        <v>44266</v>
      </c>
      <c r="B133" s="35">
        <v>-1284164.3799999999</v>
      </c>
      <c r="C133" t="s">
        <v>49</v>
      </c>
      <c r="D133" s="17"/>
      <c r="E133" s="26" t="str">
        <f>IF(OR(C133="Transaction",C133="Interests",C133="Misc",C133="Account Transfer"), IF(C133="Transaction", IF(B133&lt;0, "Du no", "Da thanh toan"), IF(C133="Interests", "Lai", IF(C133="Misc", "Phi", IF(C133="Account Transfer", IF(OR(ISNUMBER(SEARCH("Trich lai tra gop the TD", D133)), ISNUMBER(SEARCH("Chuyen lai tra gop con lai sang du no thong thuong khi BadDebt", D133))), IF(B133&lt;0, "Lai tra gop", ""), "" )))))) &amp; " " &amp; IF(C133="Interests", TEXT(EDATE(IF(DAY(A133)&gt;=11, A133, EDATE(A133,-1)), -1),"yyyy-mm"), TEXT(IF(DAY(A133)&gt;=11, A133, EDATE(A133,-1)),"yyyy-mm"))</f>
        <v>Lai 2021-02</v>
      </c>
      <c r="F133" s="27">
        <f>IF(ISNUMBER(B133), ROUND(SUMIFS($B$2:$B$10000, $E$2:$E$10000, E133, $B$2:$B$10000, IF(B133&lt;0, "&lt;0", "&gt;0")), 0), "")</f>
        <v>-3310970</v>
      </c>
      <c r="G133" s="28" t="str">
        <f>IF(F133&gt;0, IF(C133="Transaction", "Da thanh toan", "Duong"), IF(F133&lt;0, IF(C133="Transaction", "Du no", IF(C133="Interests", "Lai phat sinh", IF(C133="Misc", "Phi", IF(C133="Account Transfer", "Lai tra gop", "Am")))), "Bang 0"))</f>
        <v>Lai phat sinh</v>
      </c>
    </row>
    <row r="134" spans="1:7" x14ac:dyDescent="0.3">
      <c r="A134" s="64">
        <v>44238</v>
      </c>
      <c r="B134" s="35">
        <v>-2102005.2000000002</v>
      </c>
      <c r="C134" t="s">
        <v>49</v>
      </c>
      <c r="D134" s="17"/>
      <c r="E134" s="26" t="str">
        <f>IF(OR(C134="Transaction",C134="Interests",C134="Misc",C134="Account Transfer"), IF(C134="Transaction", IF(B134&lt;0, "Du no", "Da thanh toan"), IF(C134="Interests", "Lai", IF(C134="Misc", "Phi", IF(C134="Account Transfer", IF(OR(ISNUMBER(SEARCH("Trich lai tra gop the TD", D134)), ISNUMBER(SEARCH("Chuyen lai tra gop con lai sang du no thong thuong khi BadDebt", D134))), IF(B134&lt;0, "Lai tra gop", ""), "" )))))) &amp; " " &amp; IF(C134="Interests", TEXT(EDATE(IF(DAY(A134)&gt;=11, A134, EDATE(A134,-1)), -1),"yyyy-mm"), TEXT(IF(DAY(A134)&gt;=11, A134, EDATE(A134,-1)),"yyyy-mm"))</f>
        <v>Lai 2021-01</v>
      </c>
      <c r="F134" s="27">
        <f>IF(ISNUMBER(B134), ROUND(SUMIFS($B$2:$B$10000, $E$2:$E$10000, E134, $B$2:$B$10000, IF(B134&lt;0, "&lt;0", "&gt;0")), 0), "")</f>
        <v>-3564364</v>
      </c>
      <c r="G134" s="28" t="str">
        <f>IF(F134&gt;0, IF(C134="Transaction", "Da thanh toan", "Duong"), IF(F134&lt;0, IF(C134="Transaction", "Du no", IF(C134="Interests", "Lai phat sinh", IF(C134="Misc", "Phi", IF(C134="Account Transfer", "Lai tra gop", "Am")))), "Bang 0"))</f>
        <v>Lai phat sinh</v>
      </c>
    </row>
    <row r="135" spans="1:7" x14ac:dyDescent="0.3">
      <c r="A135" s="64">
        <v>44238</v>
      </c>
      <c r="B135" s="35">
        <v>-40605.14</v>
      </c>
      <c r="C135" t="s">
        <v>49</v>
      </c>
      <c r="D135" s="17"/>
      <c r="E135" s="26" t="str">
        <f>IF(OR(C135="Transaction",C135="Interests",C135="Misc",C135="Account Transfer"), IF(C135="Transaction", IF(B135&lt;0, "Du no", "Da thanh toan"), IF(C135="Interests", "Lai", IF(C135="Misc", "Phi", IF(C135="Account Transfer", IF(OR(ISNUMBER(SEARCH("Trich lai tra gop the TD", D135)), ISNUMBER(SEARCH("Chuyen lai tra gop con lai sang du no thong thuong khi BadDebt", D135))), IF(B135&lt;0, "Lai tra gop", ""), "" )))))) &amp; " " &amp; IF(C135="Interests", TEXT(EDATE(IF(DAY(A135)&gt;=11, A135, EDATE(A135,-1)), -1),"yyyy-mm"), TEXT(IF(DAY(A135)&gt;=11, A135, EDATE(A135,-1)),"yyyy-mm"))</f>
        <v>Lai 2021-01</v>
      </c>
      <c r="F135" s="27">
        <f>IF(ISNUMBER(B135), ROUND(SUMIFS($B$2:$B$10000, $E$2:$E$10000, E135, $B$2:$B$10000, IF(B135&lt;0, "&lt;0", "&gt;0")), 0), "")</f>
        <v>-3564364</v>
      </c>
      <c r="G135" s="28" t="str">
        <f>IF(F135&gt;0, IF(C135="Transaction", "Da thanh toan", "Duong"), IF(F135&lt;0, IF(C135="Transaction", "Du no", IF(C135="Interests", "Lai phat sinh", IF(C135="Misc", "Phi", IF(C135="Account Transfer", "Lai tra gop", "Am")))), "Bang 0"))</f>
        <v>Lai phat sinh</v>
      </c>
    </row>
    <row r="136" spans="1:7" x14ac:dyDescent="0.3">
      <c r="A136" s="64">
        <v>44238</v>
      </c>
      <c r="B136" s="35">
        <v>-1421753.42</v>
      </c>
      <c r="C136" t="s">
        <v>49</v>
      </c>
      <c r="D136" s="34"/>
      <c r="E136" s="26" t="str">
        <f>IF(OR(C136="Transaction",C136="Interests",C136="Misc",C136="Account Transfer"), IF(C136="Transaction", IF(B136&lt;0, "Du no", "Da thanh toan"), IF(C136="Interests", "Lai", IF(C136="Misc", "Phi", IF(C136="Account Transfer", IF(OR(ISNUMBER(SEARCH("Trich lai tra gop the TD", D136)), ISNUMBER(SEARCH("Chuyen lai tra gop con lai sang du no thong thuong khi BadDebt", D136))), IF(B136&lt;0, "Lai tra gop", ""), "" )))))) &amp; " " &amp; IF(C136="Interests", TEXT(EDATE(IF(DAY(A136)&gt;=11, A136, EDATE(A136,-1)), -1),"yyyy-mm"), TEXT(IF(DAY(A136)&gt;=11, A136, EDATE(A136,-1)),"yyyy-mm"))</f>
        <v>Lai 2021-01</v>
      </c>
      <c r="F136" s="27">
        <f>IF(ISNUMBER(B136), ROUND(SUMIFS($B$2:$B$10000, $E$2:$E$10000, E136, $B$2:$B$10000, IF(B136&lt;0, "&lt;0", "&gt;0")), 0), "")</f>
        <v>-3564364</v>
      </c>
      <c r="G136" s="28" t="str">
        <f>IF(F136&gt;0, IF(C136="Transaction", "Da thanh toan", "Duong"), IF(F136&lt;0, IF(C136="Transaction", "Du no", IF(C136="Interests", "Lai phat sinh", IF(C136="Misc", "Phi", IF(C136="Account Transfer", "Lai tra gop", "Am")))), "Bang 0"))</f>
        <v>Lai phat sinh</v>
      </c>
    </row>
    <row r="137" spans="1:7" x14ac:dyDescent="0.3">
      <c r="A137" s="64">
        <v>44207</v>
      </c>
      <c r="B137" s="35">
        <v>-2003454.57</v>
      </c>
      <c r="C137" t="s">
        <v>49</v>
      </c>
      <c r="D137" s="17"/>
      <c r="E137" s="26" t="str">
        <f>IF(OR(C137="Transaction",C137="Interests",C137="Misc",C137="Account Transfer"), IF(C137="Transaction", IF(B137&lt;0, "Du no", "Da thanh toan"), IF(C137="Interests", "Lai", IF(C137="Misc", "Phi", IF(C137="Account Transfer", IF(OR(ISNUMBER(SEARCH("Trich lai tra gop the TD", D137)), ISNUMBER(SEARCH("Chuyen lai tra gop con lai sang du no thong thuong khi BadDebt", D137))), IF(B137&lt;0, "Lai tra gop", ""), "" )))))) &amp; " " &amp; IF(C137="Interests", TEXT(EDATE(IF(DAY(A137)&gt;=11, A137, EDATE(A137,-1)), -1),"yyyy-mm"), TEXT(IF(DAY(A137)&gt;=11, A137, EDATE(A137,-1)),"yyyy-mm"))</f>
        <v>Lai 2020-12</v>
      </c>
      <c r="F137" s="27">
        <f>IF(ISNUMBER(B137), ROUND(SUMIFS($B$2:$B$10000, $E$2:$E$10000, E137, $B$2:$B$10000, IF(B137&lt;0, "&lt;0", "&gt;0")), 0), "")</f>
        <v>-3465813</v>
      </c>
      <c r="G137" s="28" t="str">
        <f>IF(F137&gt;0, IF(C137="Transaction", "Da thanh toan", "Duong"), IF(F137&lt;0, IF(C137="Transaction", "Du no", IF(C137="Interests", "Lai phat sinh", IF(C137="Misc", "Phi", IF(C137="Account Transfer", "Lai tra gop", "Am")))), "Bang 0"))</f>
        <v>Lai phat sinh</v>
      </c>
    </row>
    <row r="138" spans="1:7" x14ac:dyDescent="0.3">
      <c r="A138" s="64">
        <v>44207</v>
      </c>
      <c r="B138" s="35">
        <v>-40605.14</v>
      </c>
      <c r="C138" t="s">
        <v>49</v>
      </c>
      <c r="D138" s="17"/>
      <c r="E138" s="26" t="str">
        <f>IF(OR(C138="Transaction",C138="Interests",C138="Misc",C138="Account Transfer"), IF(C138="Transaction", IF(B138&lt;0, "Du no", "Da thanh toan"), IF(C138="Interests", "Lai", IF(C138="Misc", "Phi", IF(C138="Account Transfer", IF(OR(ISNUMBER(SEARCH("Trich lai tra gop the TD", D138)), ISNUMBER(SEARCH("Chuyen lai tra gop con lai sang du no thong thuong khi BadDebt", D138))), IF(B138&lt;0, "Lai tra gop", ""), "" )))))) &amp; " " &amp; IF(C138="Interests", TEXT(EDATE(IF(DAY(A138)&gt;=11, A138, EDATE(A138,-1)), -1),"yyyy-mm"), TEXT(IF(DAY(A138)&gt;=11, A138, EDATE(A138,-1)),"yyyy-mm"))</f>
        <v>Lai 2020-12</v>
      </c>
      <c r="F138" s="27">
        <f>IF(ISNUMBER(B138), ROUND(SUMIFS($B$2:$B$10000, $E$2:$E$10000, E138, $B$2:$B$10000, IF(B138&lt;0, "&lt;0", "&gt;0")), 0), "")</f>
        <v>-3465813</v>
      </c>
      <c r="G138" s="28" t="str">
        <f>IF(F138&gt;0, IF(C138="Transaction", "Da thanh toan", "Duong"), IF(F138&lt;0, IF(C138="Transaction", "Du no", IF(C138="Interests", "Lai phat sinh", IF(C138="Misc", "Phi", IF(C138="Account Transfer", "Lai tra gop", "Am")))), "Bang 0"))</f>
        <v>Lai phat sinh</v>
      </c>
    </row>
    <row r="139" spans="1:7" x14ac:dyDescent="0.3">
      <c r="A139" s="64">
        <v>44207</v>
      </c>
      <c r="B139" s="35">
        <v>-1421753.42</v>
      </c>
      <c r="C139" t="s">
        <v>49</v>
      </c>
      <c r="D139" s="17"/>
      <c r="E139" s="26" t="str">
        <f>IF(OR(C139="Transaction",C139="Interests",C139="Misc",C139="Account Transfer"), IF(C139="Transaction", IF(B139&lt;0, "Du no", "Da thanh toan"), IF(C139="Interests", "Lai", IF(C139="Misc", "Phi", IF(C139="Account Transfer", IF(OR(ISNUMBER(SEARCH("Trich lai tra gop the TD", D139)), ISNUMBER(SEARCH("Chuyen lai tra gop con lai sang du no thong thuong khi BadDebt", D139))), IF(B139&lt;0, "Lai tra gop", ""), "" )))))) &amp; " " &amp; IF(C139="Interests", TEXT(EDATE(IF(DAY(A139)&gt;=11, A139, EDATE(A139,-1)), -1),"yyyy-mm"), TEXT(IF(DAY(A139)&gt;=11, A139, EDATE(A139,-1)),"yyyy-mm"))</f>
        <v>Lai 2020-12</v>
      </c>
      <c r="F139" s="27">
        <f>IF(ISNUMBER(B139), ROUND(SUMIFS($B$2:$B$10000, $E$2:$E$10000, E139, $B$2:$B$10000, IF(B139&lt;0, "&lt;0", "&gt;0")), 0), "")</f>
        <v>-3465813</v>
      </c>
      <c r="G139" s="28" t="str">
        <f>IF(F139&gt;0, IF(C139="Transaction", "Da thanh toan", "Duong"), IF(F139&lt;0, IF(C139="Transaction", "Du no", IF(C139="Interests", "Lai phat sinh", IF(C139="Misc", "Phi", IF(C139="Account Transfer", "Lai tra gop", "Am")))), "Bang 0"))</f>
        <v>Lai phat sinh</v>
      </c>
    </row>
    <row r="140" spans="1:7" x14ac:dyDescent="0.3">
      <c r="A140" s="64">
        <v>44176</v>
      </c>
      <c r="B140" s="35">
        <v>-1849003.67</v>
      </c>
      <c r="C140" t="s">
        <v>49</v>
      </c>
      <c r="D140" s="17"/>
      <c r="E140" s="26" t="str">
        <f>IF(OR(C140="Transaction",C140="Interests",C140="Misc",C140="Account Transfer"), IF(C140="Transaction", IF(B140&lt;0, "Du no", "Da thanh toan"), IF(C140="Interests", "Lai", IF(C140="Misc", "Phi", IF(C140="Account Transfer", IF(OR(ISNUMBER(SEARCH("Trich lai tra gop the TD", D140)), ISNUMBER(SEARCH("Chuyen lai tra gop con lai sang du no thong thuong khi BadDebt", D140))), IF(B140&lt;0, "Lai tra gop", ""), "" )))))) &amp; " " &amp; IF(C140="Interests", TEXT(EDATE(IF(DAY(A140)&gt;=11, A140, EDATE(A140,-1)), -1),"yyyy-mm"), TEXT(IF(DAY(A140)&gt;=11, A140, EDATE(A140,-1)),"yyyy-mm"))</f>
        <v>Lai 2020-11</v>
      </c>
      <c r="F140" s="27">
        <f>IF(ISNUMBER(B140), ROUND(SUMIFS($B$2:$B$10000, $E$2:$E$10000, E140, $B$2:$B$10000, IF(B140&lt;0, "&lt;0", "&gt;0")), 0), "")</f>
        <v>-3264189</v>
      </c>
      <c r="G140" s="28" t="str">
        <f>IF(F140&gt;0, IF(C140="Transaction", "Da thanh toan", "Duong"), IF(F140&lt;0, IF(C140="Transaction", "Du no", IF(C140="Interests", "Lai phat sinh", IF(C140="Misc", "Phi", IF(C140="Account Transfer", "Lai tra gop", "Am")))), "Bang 0"))</f>
        <v>Lai phat sinh</v>
      </c>
    </row>
    <row r="141" spans="1:7" x14ac:dyDescent="0.3">
      <c r="A141" s="64">
        <v>44176</v>
      </c>
      <c r="B141" s="35">
        <v>-39295.29</v>
      </c>
      <c r="C141" t="s">
        <v>49</v>
      </c>
      <c r="D141" s="17"/>
      <c r="E141" s="26" t="str">
        <f>IF(OR(C141="Transaction",C141="Interests",C141="Misc",C141="Account Transfer"), IF(C141="Transaction", IF(B141&lt;0, "Du no", "Da thanh toan"), IF(C141="Interests", "Lai", IF(C141="Misc", "Phi", IF(C141="Account Transfer", IF(OR(ISNUMBER(SEARCH("Trich lai tra gop the TD", D141)), ISNUMBER(SEARCH("Chuyen lai tra gop con lai sang du no thong thuong khi BadDebt", D141))), IF(B141&lt;0, "Lai tra gop", ""), "" )))))) &amp; " " &amp; IF(C141="Interests", TEXT(EDATE(IF(DAY(A141)&gt;=11, A141, EDATE(A141,-1)), -1),"yyyy-mm"), TEXT(IF(DAY(A141)&gt;=11, A141, EDATE(A141,-1)),"yyyy-mm"))</f>
        <v>Lai 2020-11</v>
      </c>
      <c r="F141" s="27">
        <f>IF(ISNUMBER(B141), ROUND(SUMIFS($B$2:$B$10000, $E$2:$E$10000, E141, $B$2:$B$10000, IF(B141&lt;0, "&lt;0", "&gt;0")), 0), "")</f>
        <v>-3264189</v>
      </c>
      <c r="G141" s="28" t="str">
        <f>IF(F141&gt;0, IF(C141="Transaction", "Da thanh toan", "Duong"), IF(F141&lt;0, IF(C141="Transaction", "Du no", IF(C141="Interests", "Lai phat sinh", IF(C141="Misc", "Phi", IF(C141="Account Transfer", "Lai tra gop", "Am")))), "Bang 0"))</f>
        <v>Lai phat sinh</v>
      </c>
    </row>
    <row r="142" spans="1:7" x14ac:dyDescent="0.3">
      <c r="A142" s="64">
        <v>44176</v>
      </c>
      <c r="B142" s="35">
        <v>-1375890.41</v>
      </c>
      <c r="C142" t="s">
        <v>49</v>
      </c>
      <c r="D142" s="17"/>
      <c r="E142" s="26" t="str">
        <f>IF(OR(C142="Transaction",C142="Interests",C142="Misc",C142="Account Transfer"), IF(C142="Transaction", IF(B142&lt;0, "Du no", "Da thanh toan"), IF(C142="Interests", "Lai", IF(C142="Misc", "Phi", IF(C142="Account Transfer", IF(OR(ISNUMBER(SEARCH("Trich lai tra gop the TD", D142)), ISNUMBER(SEARCH("Chuyen lai tra gop con lai sang du no thong thuong khi BadDebt", D142))), IF(B142&lt;0, "Lai tra gop", ""), "" )))))) &amp; " " &amp; IF(C142="Interests", TEXT(EDATE(IF(DAY(A142)&gt;=11, A142, EDATE(A142,-1)), -1),"yyyy-mm"), TEXT(IF(DAY(A142)&gt;=11, A142, EDATE(A142,-1)),"yyyy-mm"))</f>
        <v>Lai 2020-11</v>
      </c>
      <c r="F142" s="27">
        <f>IF(ISNUMBER(B142), ROUND(SUMIFS($B$2:$B$10000, $E$2:$E$10000, E142, $B$2:$B$10000, IF(B142&lt;0, "&lt;0", "&gt;0")), 0), "")</f>
        <v>-3264189</v>
      </c>
      <c r="G142" s="28" t="str">
        <f>IF(F142&gt;0, IF(C142="Transaction", "Da thanh toan", "Duong"), IF(F142&lt;0, IF(C142="Transaction", "Du no", IF(C142="Interests", "Lai phat sinh", IF(C142="Misc", "Phi", IF(C142="Account Transfer", "Lai tra gop", "Am")))), "Bang 0"))</f>
        <v>Lai phat sinh</v>
      </c>
    </row>
    <row r="143" spans="1:7" x14ac:dyDescent="0.3">
      <c r="A143" s="64">
        <v>44146</v>
      </c>
      <c r="B143" s="35">
        <v>-1817377.6</v>
      </c>
      <c r="C143" t="s">
        <v>49</v>
      </c>
      <c r="D143" s="17"/>
      <c r="E143" s="26" t="str">
        <f>IF(OR(C143="Transaction",C143="Interests",C143="Misc",C143="Account Transfer"), IF(C143="Transaction", IF(B143&lt;0, "Du no", "Da thanh toan"), IF(C143="Interests", "Lai", IF(C143="Misc", "Phi", IF(C143="Account Transfer", IF(OR(ISNUMBER(SEARCH("Trich lai tra gop the TD", D143)), ISNUMBER(SEARCH("Chuyen lai tra gop con lai sang du no thong thuong khi BadDebt", D143))), IF(B143&lt;0, "Lai tra gop", ""), "" )))))) &amp; " " &amp; IF(C143="Interests", TEXT(EDATE(IF(DAY(A143)&gt;=11, A143, EDATE(A143,-1)), -1),"yyyy-mm"), TEXT(IF(DAY(A143)&gt;=11, A143, EDATE(A143,-1)),"yyyy-mm"))</f>
        <v>Lai 2020-10</v>
      </c>
      <c r="F143" s="27">
        <f>IF(ISNUMBER(B143), ROUND(SUMIFS($B$2:$B$10000, $E$2:$E$10000, E143, $B$2:$B$10000, IF(B143&lt;0, "&lt;0", "&gt;0")), 0), "")</f>
        <v>-3279736</v>
      </c>
      <c r="G143" s="28" t="str">
        <f>IF(F143&gt;0, IF(C143="Transaction", "Da thanh toan", "Duong"), IF(F143&lt;0, IF(C143="Transaction", "Du no", IF(C143="Interests", "Lai phat sinh", IF(C143="Misc", "Phi", IF(C143="Account Transfer", "Lai tra gop", "Am")))), "Bang 0"))</f>
        <v>Lai phat sinh</v>
      </c>
    </row>
    <row r="144" spans="1:7" x14ac:dyDescent="0.3">
      <c r="A144" s="64">
        <v>44146</v>
      </c>
      <c r="B144" s="35">
        <v>-40605.14</v>
      </c>
      <c r="C144" t="s">
        <v>49</v>
      </c>
      <c r="D144" s="17"/>
      <c r="E144" s="26" t="str">
        <f>IF(OR(C144="Transaction",C144="Interests",C144="Misc",C144="Account Transfer"), IF(C144="Transaction", IF(B144&lt;0, "Du no", "Da thanh toan"), IF(C144="Interests", "Lai", IF(C144="Misc", "Phi", IF(C144="Account Transfer", IF(OR(ISNUMBER(SEARCH("Trich lai tra gop the TD", D144)), ISNUMBER(SEARCH("Chuyen lai tra gop con lai sang du no thong thuong khi BadDebt", D144))), IF(B144&lt;0, "Lai tra gop", ""), "" )))))) &amp; " " &amp; IF(C144="Interests", TEXT(EDATE(IF(DAY(A144)&gt;=11, A144, EDATE(A144,-1)), -1),"yyyy-mm"), TEXT(IF(DAY(A144)&gt;=11, A144, EDATE(A144,-1)),"yyyy-mm"))</f>
        <v>Lai 2020-10</v>
      </c>
      <c r="F144" s="27">
        <f>IF(ISNUMBER(B144), ROUND(SUMIFS($B$2:$B$10000, $E$2:$E$10000, E144, $B$2:$B$10000, IF(B144&lt;0, "&lt;0", "&gt;0")), 0), "")</f>
        <v>-3279736</v>
      </c>
      <c r="G144" s="28" t="str">
        <f>IF(F144&gt;0, IF(C144="Transaction", "Da thanh toan", "Duong"), IF(F144&lt;0, IF(C144="Transaction", "Du no", IF(C144="Interests", "Lai phat sinh", IF(C144="Misc", "Phi", IF(C144="Account Transfer", "Lai tra gop", "Am")))), "Bang 0"))</f>
        <v>Lai phat sinh</v>
      </c>
    </row>
    <row r="145" spans="1:7" x14ac:dyDescent="0.3">
      <c r="A145" s="64">
        <v>44146</v>
      </c>
      <c r="B145" s="35">
        <v>-1421753.42</v>
      </c>
      <c r="C145" t="s">
        <v>49</v>
      </c>
      <c r="D145" s="17"/>
      <c r="E145" s="26" t="str">
        <f>IF(OR(C145="Transaction",C145="Interests",C145="Misc",C145="Account Transfer"), IF(C145="Transaction", IF(B145&lt;0, "Du no", "Da thanh toan"), IF(C145="Interests", "Lai", IF(C145="Misc", "Phi", IF(C145="Account Transfer", IF(OR(ISNUMBER(SEARCH("Trich lai tra gop the TD", D145)), ISNUMBER(SEARCH("Chuyen lai tra gop con lai sang du no thong thuong khi BadDebt", D145))), IF(B145&lt;0, "Lai tra gop", ""), "" )))))) &amp; " " &amp; IF(C145="Interests", TEXT(EDATE(IF(DAY(A145)&gt;=11, A145, EDATE(A145,-1)), -1),"yyyy-mm"), TEXT(IF(DAY(A145)&gt;=11, A145, EDATE(A145,-1)),"yyyy-mm"))</f>
        <v>Lai 2020-10</v>
      </c>
      <c r="F145" s="27">
        <f>IF(ISNUMBER(B145), ROUND(SUMIFS($B$2:$B$10000, $E$2:$E$10000, E145, $B$2:$B$10000, IF(B145&lt;0, "&lt;0", "&gt;0")), 0), "")</f>
        <v>-3279736</v>
      </c>
      <c r="G145" s="28" t="str">
        <f>IF(F145&gt;0, IF(C145="Transaction", "Da thanh toan", "Duong"), IF(F145&lt;0, IF(C145="Transaction", "Du no", IF(C145="Interests", "Lai phat sinh", IF(C145="Misc", "Phi", IF(C145="Account Transfer", "Lai tra gop", "Am")))), "Bang 0"))</f>
        <v>Lai phat sinh</v>
      </c>
    </row>
    <row r="146" spans="1:7" x14ac:dyDescent="0.3">
      <c r="A146" s="64">
        <v>44115</v>
      </c>
      <c r="B146" s="35">
        <v>-1673751.73</v>
      </c>
      <c r="C146" t="s">
        <v>49</v>
      </c>
      <c r="D146" s="17"/>
      <c r="E146" s="26" t="str">
        <f>IF(OR(C146="Transaction",C146="Interests",C146="Misc",C146="Account Transfer"), IF(C146="Transaction", IF(B146&lt;0, "Du no", "Da thanh toan"), IF(C146="Interests", "Lai", IF(C146="Misc", "Phi", IF(C146="Account Transfer", IF(OR(ISNUMBER(SEARCH("Trich lai tra gop the TD", D146)), ISNUMBER(SEARCH("Chuyen lai tra gop con lai sang du no thong thuong khi BadDebt", D146))), IF(B146&lt;0, "Lai tra gop", ""), "" )))))) &amp; " " &amp; IF(C146="Interests", TEXT(EDATE(IF(DAY(A146)&gt;=11, A146, EDATE(A146,-1)), -1),"yyyy-mm"), TEXT(IF(DAY(A146)&gt;=11, A146, EDATE(A146,-1)),"yyyy-mm"))</f>
        <v>Lai 2020-09</v>
      </c>
      <c r="F146" s="27">
        <f>IF(ISNUMBER(B146), ROUND(SUMIFS($B$2:$B$10000, $E$2:$E$10000, E146, $B$2:$B$10000, IF(B146&lt;0, "&lt;0", "&gt;0")), 0), "")</f>
        <v>-3088937</v>
      </c>
      <c r="G146" s="28" t="str">
        <f>IF(F146&gt;0, IF(C146="Transaction", "Da thanh toan", "Duong"), IF(F146&lt;0, IF(C146="Transaction", "Du no", IF(C146="Interests", "Lai phat sinh", IF(C146="Misc", "Phi", IF(C146="Account Transfer", "Lai tra gop", "Am")))), "Bang 0"))</f>
        <v>Lai phat sinh</v>
      </c>
    </row>
    <row r="147" spans="1:7" x14ac:dyDescent="0.3">
      <c r="A147" s="64">
        <v>44115</v>
      </c>
      <c r="B147" s="35">
        <v>-39295.29</v>
      </c>
      <c r="C147" t="s">
        <v>49</v>
      </c>
      <c r="D147" s="17"/>
      <c r="E147" s="26" t="str">
        <f>IF(OR(C147="Transaction",C147="Interests",C147="Misc",C147="Account Transfer"), IF(C147="Transaction", IF(B147&lt;0, "Du no", "Da thanh toan"), IF(C147="Interests", "Lai", IF(C147="Misc", "Phi", IF(C147="Account Transfer", IF(OR(ISNUMBER(SEARCH("Trich lai tra gop the TD", D147)), ISNUMBER(SEARCH("Chuyen lai tra gop con lai sang du no thong thuong khi BadDebt", D147))), IF(B147&lt;0, "Lai tra gop", ""), "" )))))) &amp; " " &amp; IF(C147="Interests", TEXT(EDATE(IF(DAY(A147)&gt;=11, A147, EDATE(A147,-1)), -1),"yyyy-mm"), TEXT(IF(DAY(A147)&gt;=11, A147, EDATE(A147,-1)),"yyyy-mm"))</f>
        <v>Lai 2020-09</v>
      </c>
      <c r="F147" s="27">
        <f>IF(ISNUMBER(B147), ROUND(SUMIFS($B$2:$B$10000, $E$2:$E$10000, E147, $B$2:$B$10000, IF(B147&lt;0, "&lt;0", "&gt;0")), 0), "")</f>
        <v>-3088937</v>
      </c>
      <c r="G147" s="28" t="str">
        <f>IF(F147&gt;0, IF(C147="Transaction", "Da thanh toan", "Duong"), IF(F147&lt;0, IF(C147="Transaction", "Du no", IF(C147="Interests", "Lai phat sinh", IF(C147="Misc", "Phi", IF(C147="Account Transfer", "Lai tra gop", "Am")))), "Bang 0"))</f>
        <v>Lai phat sinh</v>
      </c>
    </row>
    <row r="148" spans="1:7" x14ac:dyDescent="0.3">
      <c r="A148" s="64">
        <v>44115</v>
      </c>
      <c r="B148" s="35">
        <v>-1375890.41</v>
      </c>
      <c r="C148" t="s">
        <v>49</v>
      </c>
      <c r="D148" s="17"/>
      <c r="E148" s="26" t="str">
        <f>IF(OR(C148="Transaction",C148="Interests",C148="Misc",C148="Account Transfer"), IF(C148="Transaction", IF(B148&lt;0, "Du no", "Da thanh toan"), IF(C148="Interests", "Lai", IF(C148="Misc", "Phi", IF(C148="Account Transfer", IF(OR(ISNUMBER(SEARCH("Trich lai tra gop the TD", D148)), ISNUMBER(SEARCH("Chuyen lai tra gop con lai sang du no thong thuong khi BadDebt", D148))), IF(B148&lt;0, "Lai tra gop", ""), "" )))))) &amp; " " &amp; IF(C148="Interests", TEXT(EDATE(IF(DAY(A148)&gt;=11, A148, EDATE(A148,-1)), -1),"yyyy-mm"), TEXT(IF(DAY(A148)&gt;=11, A148, EDATE(A148,-1)),"yyyy-mm"))</f>
        <v>Lai 2020-09</v>
      </c>
      <c r="F148" s="27">
        <f>IF(ISNUMBER(B148), ROUND(SUMIFS($B$2:$B$10000, $E$2:$E$10000, E148, $B$2:$B$10000, IF(B148&lt;0, "&lt;0", "&gt;0")), 0), "")</f>
        <v>-3088937</v>
      </c>
      <c r="G148" s="28" t="str">
        <f>IF(F148&gt;0, IF(C148="Transaction", "Da thanh toan", "Duong"), IF(F148&lt;0, IF(C148="Transaction", "Du no", IF(C148="Interests", "Lai phat sinh", IF(C148="Misc", "Phi", IF(C148="Account Transfer", "Lai tra gop", "Am")))), "Bang 0"))</f>
        <v>Lai phat sinh</v>
      </c>
    </row>
    <row r="149" spans="1:7" x14ac:dyDescent="0.3">
      <c r="A149" s="64">
        <v>44085</v>
      </c>
      <c r="B149" s="35">
        <v>-1641290.97</v>
      </c>
      <c r="C149" t="s">
        <v>49</v>
      </c>
      <c r="D149" s="17"/>
      <c r="E149" s="26" t="str">
        <f>IF(OR(C149="Transaction",C149="Interests",C149="Misc",C149="Account Transfer"), IF(C149="Transaction", IF(B149&lt;0, "Du no", "Da thanh toan"), IF(C149="Interests", "Lai", IF(C149="Misc", "Phi", IF(C149="Account Transfer", IF(OR(ISNUMBER(SEARCH("Trich lai tra gop the TD", D149)), ISNUMBER(SEARCH("Chuyen lai tra gop con lai sang du no thong thuong khi BadDebt", D149))), IF(B149&lt;0, "Lai tra gop", ""), "" )))))) &amp; " " &amp; IF(C149="Interests", TEXT(EDATE(IF(DAY(A149)&gt;=11, A149, EDATE(A149,-1)), -1),"yyyy-mm"), TEXT(IF(DAY(A149)&gt;=11, A149, EDATE(A149,-1)),"yyyy-mm"))</f>
        <v>Lai 2020-08</v>
      </c>
      <c r="F149" s="27">
        <f>IF(ISNUMBER(B149), ROUND(SUMIFS($B$2:$B$10000, $E$2:$E$10000, E149, $B$2:$B$10000, IF(B149&lt;0, "&lt;0", "&gt;0")), 0), "")</f>
        <v>-3103650</v>
      </c>
      <c r="G149" s="28" t="str">
        <f>IF(F149&gt;0, IF(C149="Transaction", "Da thanh toan", "Duong"), IF(F149&lt;0, IF(C149="Transaction", "Du no", IF(C149="Interests", "Lai phat sinh", IF(C149="Misc", "Phi", IF(C149="Account Transfer", "Lai tra gop", "Am")))), "Bang 0"))</f>
        <v>Lai phat sinh</v>
      </c>
    </row>
    <row r="150" spans="1:7" x14ac:dyDescent="0.3">
      <c r="A150" s="64">
        <v>44085</v>
      </c>
      <c r="B150" s="35">
        <v>-40605.14</v>
      </c>
      <c r="C150" t="s">
        <v>49</v>
      </c>
      <c r="D150" s="17"/>
      <c r="E150" s="26" t="str">
        <f>IF(OR(C150="Transaction",C150="Interests",C150="Misc",C150="Account Transfer"), IF(C150="Transaction", IF(B150&lt;0, "Du no", "Da thanh toan"), IF(C150="Interests", "Lai", IF(C150="Misc", "Phi", IF(C150="Account Transfer", IF(OR(ISNUMBER(SEARCH("Trich lai tra gop the TD", D150)), ISNUMBER(SEARCH("Chuyen lai tra gop con lai sang du no thong thuong khi BadDebt", D150))), IF(B150&lt;0, "Lai tra gop", ""), "" )))))) &amp; " " &amp; IF(C150="Interests", TEXT(EDATE(IF(DAY(A150)&gt;=11, A150, EDATE(A150,-1)), -1),"yyyy-mm"), TEXT(IF(DAY(A150)&gt;=11, A150, EDATE(A150,-1)),"yyyy-mm"))</f>
        <v>Lai 2020-08</v>
      </c>
      <c r="F150" s="27">
        <f>IF(ISNUMBER(B150), ROUND(SUMIFS($B$2:$B$10000, $E$2:$E$10000, E150, $B$2:$B$10000, IF(B150&lt;0, "&lt;0", "&gt;0")), 0), "")</f>
        <v>-3103650</v>
      </c>
      <c r="G150" s="28" t="str">
        <f>IF(F150&gt;0, IF(C150="Transaction", "Da thanh toan", "Duong"), IF(F150&lt;0, IF(C150="Transaction", "Du no", IF(C150="Interests", "Lai phat sinh", IF(C150="Misc", "Phi", IF(C150="Account Transfer", "Lai tra gop", "Am")))), "Bang 0"))</f>
        <v>Lai phat sinh</v>
      </c>
    </row>
    <row r="151" spans="1:7" x14ac:dyDescent="0.3">
      <c r="A151" s="64">
        <v>44085</v>
      </c>
      <c r="B151" s="35">
        <v>-1421753.42</v>
      </c>
      <c r="C151" t="s">
        <v>49</v>
      </c>
      <c r="D151" s="17"/>
      <c r="E151" s="26" t="str">
        <f>IF(OR(C151="Transaction",C151="Interests",C151="Misc",C151="Account Transfer"), IF(C151="Transaction", IF(B151&lt;0, "Du no", "Da thanh toan"), IF(C151="Interests", "Lai", IF(C151="Misc", "Phi", IF(C151="Account Transfer", IF(OR(ISNUMBER(SEARCH("Trich lai tra gop the TD", D151)), ISNUMBER(SEARCH("Chuyen lai tra gop con lai sang du no thong thuong khi BadDebt", D151))), IF(B151&lt;0, "Lai tra gop", ""), "" )))))) &amp; " " &amp; IF(C151="Interests", TEXT(EDATE(IF(DAY(A151)&gt;=11, A151, EDATE(A151,-1)), -1),"yyyy-mm"), TEXT(IF(DAY(A151)&gt;=11, A151, EDATE(A151,-1)),"yyyy-mm"))</f>
        <v>Lai 2020-08</v>
      </c>
      <c r="F151" s="27">
        <f>IF(ISNUMBER(B151), ROUND(SUMIFS($B$2:$B$10000, $E$2:$E$10000, E151, $B$2:$B$10000, IF(B151&lt;0, "&lt;0", "&gt;0")), 0), "")</f>
        <v>-3103650</v>
      </c>
      <c r="G151" s="28" t="str">
        <f>IF(F151&gt;0, IF(C151="Transaction", "Da thanh toan", "Duong"), IF(F151&lt;0, IF(C151="Transaction", "Du no", IF(C151="Interests", "Lai phat sinh", IF(C151="Misc", "Phi", IF(C151="Account Transfer", "Lai tra gop", "Am")))), "Bang 0"))</f>
        <v>Lai phat sinh</v>
      </c>
    </row>
    <row r="152" spans="1:7" x14ac:dyDescent="0.3">
      <c r="A152" s="64">
        <v>44054</v>
      </c>
      <c r="B152" s="35">
        <v>-1555478.56</v>
      </c>
      <c r="C152" t="s">
        <v>49</v>
      </c>
      <c r="D152" s="17"/>
      <c r="E152" s="26" t="str">
        <f>IF(OR(C152="Transaction",C152="Interests",C152="Misc",C152="Account Transfer"), IF(C152="Transaction", IF(B152&lt;0, "Du no", "Da thanh toan"), IF(C152="Interests", "Lai", IF(C152="Misc", "Phi", IF(C152="Account Transfer", IF(OR(ISNUMBER(SEARCH("Trich lai tra gop the TD", D152)), ISNUMBER(SEARCH("Chuyen lai tra gop con lai sang du no thong thuong khi BadDebt", D152))), IF(B152&lt;0, "Lai tra gop", ""), "" )))))) &amp; " " &amp; IF(C152="Interests", TEXT(EDATE(IF(DAY(A152)&gt;=11, A152, EDATE(A152,-1)), -1),"yyyy-mm"), TEXT(IF(DAY(A152)&gt;=11, A152, EDATE(A152,-1)),"yyyy-mm"))</f>
        <v>Lai 2020-07</v>
      </c>
      <c r="F152" s="27">
        <f>IF(ISNUMBER(B152), ROUND(SUMIFS($B$2:$B$10000, $E$2:$E$10000, E152, $B$2:$B$10000, IF(B152&lt;0, "&lt;0", "&gt;0")), 0), "")</f>
        <v>-3017837</v>
      </c>
      <c r="G152" s="28" t="str">
        <f>IF(F152&gt;0, IF(C152="Transaction", "Da thanh toan", "Duong"), IF(F152&lt;0, IF(C152="Transaction", "Du no", IF(C152="Interests", "Lai phat sinh", IF(C152="Misc", "Phi", IF(C152="Account Transfer", "Lai tra gop", "Am")))), "Bang 0"))</f>
        <v>Lai phat sinh</v>
      </c>
    </row>
    <row r="153" spans="1:7" x14ac:dyDescent="0.3">
      <c r="A153" s="64">
        <v>44054</v>
      </c>
      <c r="B153" s="35">
        <v>-40605.14</v>
      </c>
      <c r="C153" t="s">
        <v>49</v>
      </c>
      <c r="D153" s="17"/>
      <c r="E153" s="26" t="str">
        <f>IF(OR(C153="Transaction",C153="Interests",C153="Misc",C153="Account Transfer"), IF(C153="Transaction", IF(B153&lt;0, "Du no", "Da thanh toan"), IF(C153="Interests", "Lai", IF(C153="Misc", "Phi", IF(C153="Account Transfer", IF(OR(ISNUMBER(SEARCH("Trich lai tra gop the TD", D153)), ISNUMBER(SEARCH("Chuyen lai tra gop con lai sang du no thong thuong khi BadDebt", D153))), IF(B153&lt;0, "Lai tra gop", ""), "" )))))) &amp; " " &amp; IF(C153="Interests", TEXT(EDATE(IF(DAY(A153)&gt;=11, A153, EDATE(A153,-1)), -1),"yyyy-mm"), TEXT(IF(DAY(A153)&gt;=11, A153, EDATE(A153,-1)),"yyyy-mm"))</f>
        <v>Lai 2020-07</v>
      </c>
      <c r="F153" s="27">
        <f>IF(ISNUMBER(B153), ROUND(SUMIFS($B$2:$B$10000, $E$2:$E$10000, E153, $B$2:$B$10000, IF(B153&lt;0, "&lt;0", "&gt;0")), 0), "")</f>
        <v>-3017837</v>
      </c>
      <c r="G153" s="28" t="str">
        <f>IF(F153&gt;0, IF(C153="Transaction", "Da thanh toan", "Duong"), IF(F153&lt;0, IF(C153="Transaction", "Du no", IF(C153="Interests", "Lai phat sinh", IF(C153="Misc", "Phi", IF(C153="Account Transfer", "Lai tra gop", "Am")))), "Bang 0"))</f>
        <v>Lai phat sinh</v>
      </c>
    </row>
    <row r="154" spans="1:7" x14ac:dyDescent="0.3">
      <c r="A154" s="64">
        <v>44054</v>
      </c>
      <c r="B154" s="35">
        <v>-1421753.42</v>
      </c>
      <c r="C154" t="s">
        <v>49</v>
      </c>
      <c r="D154" s="17"/>
      <c r="E154" s="26" t="str">
        <f>IF(OR(C154="Transaction",C154="Interests",C154="Misc",C154="Account Transfer"), IF(C154="Transaction", IF(B154&lt;0, "Du no", "Da thanh toan"), IF(C154="Interests", "Lai", IF(C154="Misc", "Phi", IF(C154="Account Transfer", IF(OR(ISNUMBER(SEARCH("Trich lai tra gop the TD", D154)), ISNUMBER(SEARCH("Chuyen lai tra gop con lai sang du no thong thuong khi BadDebt", D154))), IF(B154&lt;0, "Lai tra gop", ""), "" )))))) &amp; " " &amp; IF(C154="Interests", TEXT(EDATE(IF(DAY(A154)&gt;=11, A154, EDATE(A154,-1)), -1),"yyyy-mm"), TEXT(IF(DAY(A154)&gt;=11, A154, EDATE(A154,-1)),"yyyy-mm"))</f>
        <v>Lai 2020-07</v>
      </c>
      <c r="F154" s="27">
        <f>IF(ISNUMBER(B154), ROUND(SUMIFS($B$2:$B$10000, $E$2:$E$10000, E154, $B$2:$B$10000, IF(B154&lt;0, "&lt;0", "&gt;0")), 0), "")</f>
        <v>-3017837</v>
      </c>
      <c r="G154" s="28" t="str">
        <f>IF(F154&gt;0, IF(C154="Transaction", "Da thanh toan", "Duong"), IF(F154&lt;0, IF(C154="Transaction", "Du no", IF(C154="Interests", "Lai phat sinh", IF(C154="Misc", "Phi", IF(C154="Account Transfer", "Lai tra gop", "Am")))), "Bang 0"))</f>
        <v>Lai phat sinh</v>
      </c>
    </row>
    <row r="155" spans="1:7" x14ac:dyDescent="0.3">
      <c r="A155" s="64">
        <v>44023</v>
      </c>
      <c r="B155" s="35">
        <v>-1427088.67</v>
      </c>
      <c r="C155" t="s">
        <v>49</v>
      </c>
      <c r="D155" s="17"/>
      <c r="E155" s="26" t="str">
        <f>IF(OR(C155="Transaction",C155="Interests",C155="Misc",C155="Account Transfer"), IF(C155="Transaction", IF(B155&lt;0, "Du no", "Da thanh toan"), IF(C155="Interests", "Lai", IF(C155="Misc", "Phi", IF(C155="Account Transfer", IF(OR(ISNUMBER(SEARCH("Trich lai tra gop the TD", D155)), ISNUMBER(SEARCH("Chuyen lai tra gop con lai sang du no thong thuong khi BadDebt", D155))), IF(B155&lt;0, "Lai tra gop", ""), "" )))))) &amp; " " &amp; IF(C155="Interests", TEXT(EDATE(IF(DAY(A155)&gt;=11, A155, EDATE(A155,-1)), -1),"yyyy-mm"), TEXT(IF(DAY(A155)&gt;=11, A155, EDATE(A155,-1)),"yyyy-mm"))</f>
        <v>Lai 2020-06</v>
      </c>
      <c r="F155" s="27">
        <f>IF(ISNUMBER(B155), ROUND(SUMIFS($B$2:$B$10000, $E$2:$E$10000, E155, $B$2:$B$10000, IF(B155&lt;0, "&lt;0", "&gt;0")), 0), "")</f>
        <v>-2842274</v>
      </c>
      <c r="G155" s="28" t="str">
        <f>IF(F155&gt;0, IF(C155="Transaction", "Da thanh toan", "Duong"), IF(F155&lt;0, IF(C155="Transaction", "Du no", IF(C155="Interests", "Lai phat sinh", IF(C155="Misc", "Phi", IF(C155="Account Transfer", "Lai tra gop", "Am")))), "Bang 0"))</f>
        <v>Lai phat sinh</v>
      </c>
    </row>
    <row r="156" spans="1:7" x14ac:dyDescent="0.3">
      <c r="A156" s="64">
        <v>44023</v>
      </c>
      <c r="B156" s="35">
        <v>-39295.29</v>
      </c>
      <c r="C156" t="s">
        <v>49</v>
      </c>
      <c r="D156" s="17"/>
      <c r="E156" s="26" t="str">
        <f>IF(OR(C156="Transaction",C156="Interests",C156="Misc",C156="Account Transfer"), IF(C156="Transaction", IF(B156&lt;0, "Du no", "Da thanh toan"), IF(C156="Interests", "Lai", IF(C156="Misc", "Phi", IF(C156="Account Transfer", IF(OR(ISNUMBER(SEARCH("Trich lai tra gop the TD", D156)), ISNUMBER(SEARCH("Chuyen lai tra gop con lai sang du no thong thuong khi BadDebt", D156))), IF(B156&lt;0, "Lai tra gop", ""), "" )))))) &amp; " " &amp; IF(C156="Interests", TEXT(EDATE(IF(DAY(A156)&gt;=11, A156, EDATE(A156,-1)), -1),"yyyy-mm"), TEXT(IF(DAY(A156)&gt;=11, A156, EDATE(A156,-1)),"yyyy-mm"))</f>
        <v>Lai 2020-06</v>
      </c>
      <c r="F156" s="27">
        <f>IF(ISNUMBER(B156), ROUND(SUMIFS($B$2:$B$10000, $E$2:$E$10000, E156, $B$2:$B$10000, IF(B156&lt;0, "&lt;0", "&gt;0")), 0), "")</f>
        <v>-2842274</v>
      </c>
      <c r="G156" s="28" t="str">
        <f>IF(F156&gt;0, IF(C156="Transaction", "Da thanh toan", "Duong"), IF(F156&lt;0, IF(C156="Transaction", "Du no", IF(C156="Interests", "Lai phat sinh", IF(C156="Misc", "Phi", IF(C156="Account Transfer", "Lai tra gop", "Am")))), "Bang 0"))</f>
        <v>Lai phat sinh</v>
      </c>
    </row>
    <row r="157" spans="1:7" x14ac:dyDescent="0.3">
      <c r="A157" s="64">
        <v>44023</v>
      </c>
      <c r="B157" s="35">
        <v>-1375890.41</v>
      </c>
      <c r="C157" t="s">
        <v>49</v>
      </c>
      <c r="D157" s="17"/>
      <c r="E157" s="26" t="str">
        <f>IF(OR(C157="Transaction",C157="Interests",C157="Misc",C157="Account Transfer"), IF(C157="Transaction", IF(B157&lt;0, "Du no", "Da thanh toan"), IF(C157="Interests", "Lai", IF(C157="Misc", "Phi", IF(C157="Account Transfer", IF(OR(ISNUMBER(SEARCH("Trich lai tra gop the TD", D157)), ISNUMBER(SEARCH("Chuyen lai tra gop con lai sang du no thong thuong khi BadDebt", D157))), IF(B157&lt;0, "Lai tra gop", ""), "" )))))) &amp; " " &amp; IF(C157="Interests", TEXT(EDATE(IF(DAY(A157)&gt;=11, A157, EDATE(A157,-1)), -1),"yyyy-mm"), TEXT(IF(DAY(A157)&gt;=11, A157, EDATE(A157,-1)),"yyyy-mm"))</f>
        <v>Lai 2020-06</v>
      </c>
      <c r="F157" s="27">
        <f>IF(ISNUMBER(B157), ROUND(SUMIFS($B$2:$B$10000, $E$2:$E$10000, E157, $B$2:$B$10000, IF(B157&lt;0, "&lt;0", "&gt;0")), 0), "")</f>
        <v>-2842274</v>
      </c>
      <c r="G157" s="28" t="str">
        <f>IF(F157&gt;0, IF(C157="Transaction", "Da thanh toan", "Duong"), IF(F157&lt;0, IF(C157="Transaction", "Du no", IF(C157="Interests", "Lai phat sinh", IF(C157="Misc", "Phi", IF(C157="Account Transfer", "Lai tra gop", "Am")))), "Bang 0"))</f>
        <v>Lai phat sinh</v>
      </c>
    </row>
    <row r="158" spans="1:7" x14ac:dyDescent="0.3">
      <c r="A158" s="64">
        <v>43993</v>
      </c>
      <c r="B158" s="35">
        <v>-1393453.09</v>
      </c>
      <c r="C158" t="s">
        <v>49</v>
      </c>
      <c r="D158" s="17"/>
      <c r="E158" s="26" t="str">
        <f>IF(OR(C158="Transaction",C158="Interests",C158="Misc",C158="Account Transfer"), IF(C158="Transaction", IF(B158&lt;0, "Du no", "Da thanh toan"), IF(C158="Interests", "Lai", IF(C158="Misc", "Phi", IF(C158="Account Transfer", IF(OR(ISNUMBER(SEARCH("Trich lai tra gop the TD", D158)), ISNUMBER(SEARCH("Chuyen lai tra gop con lai sang du no thong thuong khi BadDebt", D158))), IF(B158&lt;0, "Lai tra gop", ""), "" )))))) &amp; " " &amp; IF(C158="Interests", TEXT(EDATE(IF(DAY(A158)&gt;=11, A158, EDATE(A158,-1)), -1),"yyyy-mm"), TEXT(IF(DAY(A158)&gt;=11, A158, EDATE(A158,-1)),"yyyy-mm"))</f>
        <v>Lai 2020-05</v>
      </c>
      <c r="F158" s="27">
        <f>IF(ISNUMBER(B158), ROUND(SUMIFS($B$2:$B$10000, $E$2:$E$10000, E158, $B$2:$B$10000, IF(B158&lt;0, "&lt;0", "&gt;0")), 0), "")</f>
        <v>-2855812</v>
      </c>
      <c r="G158" s="28" t="str">
        <f>IF(F158&gt;0, IF(C158="Transaction", "Da thanh toan", "Duong"), IF(F158&lt;0, IF(C158="Transaction", "Du no", IF(C158="Interests", "Lai phat sinh", IF(C158="Misc", "Phi", IF(C158="Account Transfer", "Lai tra gop", "Am")))), "Bang 0"))</f>
        <v>Lai phat sinh</v>
      </c>
    </row>
    <row r="159" spans="1:7" x14ac:dyDescent="0.3">
      <c r="A159" s="64">
        <v>43993</v>
      </c>
      <c r="B159" s="35">
        <v>-40605.14</v>
      </c>
      <c r="C159" t="s">
        <v>49</v>
      </c>
      <c r="D159" s="17"/>
      <c r="E159" s="26" t="str">
        <f>IF(OR(C159="Transaction",C159="Interests",C159="Misc",C159="Account Transfer"), IF(C159="Transaction", IF(B159&lt;0, "Du no", "Da thanh toan"), IF(C159="Interests", "Lai", IF(C159="Misc", "Phi", IF(C159="Account Transfer", IF(OR(ISNUMBER(SEARCH("Trich lai tra gop the TD", D159)), ISNUMBER(SEARCH("Chuyen lai tra gop con lai sang du no thong thuong khi BadDebt", D159))), IF(B159&lt;0, "Lai tra gop", ""), "" )))))) &amp; " " &amp; IF(C159="Interests", TEXT(EDATE(IF(DAY(A159)&gt;=11, A159, EDATE(A159,-1)), -1),"yyyy-mm"), TEXT(IF(DAY(A159)&gt;=11, A159, EDATE(A159,-1)),"yyyy-mm"))</f>
        <v>Lai 2020-05</v>
      </c>
      <c r="F159" s="27">
        <f>IF(ISNUMBER(B159), ROUND(SUMIFS($B$2:$B$10000, $E$2:$E$10000, E159, $B$2:$B$10000, IF(B159&lt;0, "&lt;0", "&gt;0")), 0), "")</f>
        <v>-2855812</v>
      </c>
      <c r="G159" s="28" t="str">
        <f>IF(F159&gt;0, IF(C159="Transaction", "Da thanh toan", "Duong"), IF(F159&lt;0, IF(C159="Transaction", "Du no", IF(C159="Interests", "Lai phat sinh", IF(C159="Misc", "Phi", IF(C159="Account Transfer", "Lai tra gop", "Am")))), "Bang 0"))</f>
        <v>Lai phat sinh</v>
      </c>
    </row>
    <row r="160" spans="1:7" x14ac:dyDescent="0.3">
      <c r="A160" s="64">
        <v>43993</v>
      </c>
      <c r="B160" s="35">
        <v>-1421753.42</v>
      </c>
      <c r="C160" t="s">
        <v>49</v>
      </c>
      <c r="D160" s="17"/>
      <c r="E160" s="26" t="str">
        <f>IF(OR(C160="Transaction",C160="Interests",C160="Misc",C160="Account Transfer"), IF(C160="Transaction", IF(B160&lt;0, "Du no", "Da thanh toan"), IF(C160="Interests", "Lai", IF(C160="Misc", "Phi", IF(C160="Account Transfer", IF(OR(ISNUMBER(SEARCH("Trich lai tra gop the TD", D160)), ISNUMBER(SEARCH("Chuyen lai tra gop con lai sang du no thong thuong khi BadDebt", D160))), IF(B160&lt;0, "Lai tra gop", ""), "" )))))) &amp; " " &amp; IF(C160="Interests", TEXT(EDATE(IF(DAY(A160)&gt;=11, A160, EDATE(A160,-1)), -1),"yyyy-mm"), TEXT(IF(DAY(A160)&gt;=11, A160, EDATE(A160,-1)),"yyyy-mm"))</f>
        <v>Lai 2020-05</v>
      </c>
      <c r="F160" s="27">
        <f>IF(ISNUMBER(B160), ROUND(SUMIFS($B$2:$B$10000, $E$2:$E$10000, E160, $B$2:$B$10000, IF(B160&lt;0, "&lt;0", "&gt;0")), 0), "")</f>
        <v>-2855812</v>
      </c>
      <c r="G160" s="28" t="str">
        <f>IF(F160&gt;0, IF(C160="Transaction", "Da thanh toan", "Duong"), IF(F160&lt;0, IF(C160="Transaction", "Du no", IF(C160="Interests", "Lai phat sinh", IF(C160="Misc", "Phi", IF(C160="Account Transfer", "Lai tra gop", "Am")))), "Bang 0"))</f>
        <v>Lai phat sinh</v>
      </c>
    </row>
    <row r="161" spans="1:7" x14ac:dyDescent="0.3">
      <c r="A161" s="64">
        <v>43962</v>
      </c>
      <c r="B161" s="35">
        <v>-1274489.04</v>
      </c>
      <c r="C161" t="s">
        <v>49</v>
      </c>
      <c r="D161" s="17"/>
      <c r="E161" s="26" t="str">
        <f>IF(OR(C161="Transaction",C161="Interests",C161="Misc",C161="Account Transfer"), IF(C161="Transaction", IF(B161&lt;0, "Du no", "Da thanh toan"), IF(C161="Interests", "Lai", IF(C161="Misc", "Phi", IF(C161="Account Transfer", IF(OR(ISNUMBER(SEARCH("Trich lai tra gop the TD", D161)), ISNUMBER(SEARCH("Chuyen lai tra gop con lai sang du no thong thuong khi BadDebt", D161))), IF(B161&lt;0, "Lai tra gop", ""), "" )))))) &amp; " " &amp; IF(C161="Interests", TEXT(EDATE(IF(DAY(A161)&gt;=11, A161, EDATE(A161,-1)), -1),"yyyy-mm"), TEXT(IF(DAY(A161)&gt;=11, A161, EDATE(A161,-1)),"yyyy-mm"))</f>
        <v>Lai 2020-04</v>
      </c>
      <c r="F161" s="27">
        <f>IF(ISNUMBER(B161), ROUND(SUMIFS($B$2:$B$10000, $E$2:$E$10000, E161, $B$2:$B$10000, IF(B161&lt;0, "&lt;0", "&gt;0")), 0), "")</f>
        <v>-2689675</v>
      </c>
      <c r="G161" s="28" t="str">
        <f>IF(F161&gt;0, IF(C161="Transaction", "Da thanh toan", "Duong"), IF(F161&lt;0, IF(C161="Transaction", "Du no", IF(C161="Interests", "Lai phat sinh", IF(C161="Misc", "Phi", IF(C161="Account Transfer", "Lai tra gop", "Am")))), "Bang 0"))</f>
        <v>Lai phat sinh</v>
      </c>
    </row>
    <row r="162" spans="1:7" x14ac:dyDescent="0.3">
      <c r="A162" s="64">
        <v>43962</v>
      </c>
      <c r="B162" s="35">
        <v>-39295.29</v>
      </c>
      <c r="C162" t="s">
        <v>49</v>
      </c>
      <c r="D162" s="17"/>
      <c r="E162" s="26" t="str">
        <f>IF(OR(C162="Transaction",C162="Interests",C162="Misc",C162="Account Transfer"), IF(C162="Transaction", IF(B162&lt;0, "Du no", "Da thanh toan"), IF(C162="Interests", "Lai", IF(C162="Misc", "Phi", IF(C162="Account Transfer", IF(OR(ISNUMBER(SEARCH("Trich lai tra gop the TD", D162)), ISNUMBER(SEARCH("Chuyen lai tra gop con lai sang du no thong thuong khi BadDebt", D162))), IF(B162&lt;0, "Lai tra gop", ""), "" )))))) &amp; " " &amp; IF(C162="Interests", TEXT(EDATE(IF(DAY(A162)&gt;=11, A162, EDATE(A162,-1)), -1),"yyyy-mm"), TEXT(IF(DAY(A162)&gt;=11, A162, EDATE(A162,-1)),"yyyy-mm"))</f>
        <v>Lai 2020-04</v>
      </c>
      <c r="F162" s="27">
        <f>IF(ISNUMBER(B162), ROUND(SUMIFS($B$2:$B$10000, $E$2:$E$10000, E162, $B$2:$B$10000, IF(B162&lt;0, "&lt;0", "&gt;0")), 0), "")</f>
        <v>-2689675</v>
      </c>
      <c r="G162" s="28" t="str">
        <f>IF(F162&gt;0, IF(C162="Transaction", "Da thanh toan", "Duong"), IF(F162&lt;0, IF(C162="Transaction", "Du no", IF(C162="Interests", "Lai phat sinh", IF(C162="Misc", "Phi", IF(C162="Account Transfer", "Lai tra gop", "Am")))), "Bang 0"))</f>
        <v>Lai phat sinh</v>
      </c>
    </row>
    <row r="163" spans="1:7" x14ac:dyDescent="0.3">
      <c r="A163" s="64">
        <v>43962</v>
      </c>
      <c r="B163" s="35">
        <v>-1375890.41</v>
      </c>
      <c r="C163" t="s">
        <v>49</v>
      </c>
      <c r="D163" s="17"/>
      <c r="E163" s="26" t="str">
        <f>IF(OR(C163="Transaction",C163="Interests",C163="Misc",C163="Account Transfer"), IF(C163="Transaction", IF(B163&lt;0, "Du no", "Da thanh toan"), IF(C163="Interests", "Lai", IF(C163="Misc", "Phi", IF(C163="Account Transfer", IF(OR(ISNUMBER(SEARCH("Trich lai tra gop the TD", D163)), ISNUMBER(SEARCH("Chuyen lai tra gop con lai sang du no thong thuong khi BadDebt", D163))), IF(B163&lt;0, "Lai tra gop", ""), "" )))))) &amp; " " &amp; IF(C163="Interests", TEXT(EDATE(IF(DAY(A163)&gt;=11, A163, EDATE(A163,-1)), -1),"yyyy-mm"), TEXT(IF(DAY(A163)&gt;=11, A163, EDATE(A163,-1)),"yyyy-mm"))</f>
        <v>Lai 2020-04</v>
      </c>
      <c r="F163" s="27">
        <f>IF(ISNUMBER(B163), ROUND(SUMIFS($B$2:$B$10000, $E$2:$E$10000, E163, $B$2:$B$10000, IF(B163&lt;0, "&lt;0", "&gt;0")), 0), "")</f>
        <v>-2689675</v>
      </c>
      <c r="G163" s="28" t="str">
        <f>IF(F163&gt;0, IF(C163="Transaction", "Da thanh toan", "Duong"), IF(F163&lt;0, IF(C163="Transaction", "Du no", IF(C163="Interests", "Lai phat sinh", IF(C163="Misc", "Phi", IF(C163="Account Transfer", "Lai tra gop", "Am")))), "Bang 0"))</f>
        <v>Lai phat sinh</v>
      </c>
    </row>
    <row r="164" spans="1:7" x14ac:dyDescent="0.3">
      <c r="A164" s="64">
        <v>43932</v>
      </c>
      <c r="B164" s="35">
        <v>-1240126.6599999999</v>
      </c>
      <c r="C164" t="s">
        <v>49</v>
      </c>
      <c r="D164" s="17"/>
      <c r="E164" s="26" t="str">
        <f>IF(OR(C164="Transaction",C164="Interests",C164="Misc",C164="Account Transfer"), IF(C164="Transaction", IF(B164&lt;0, "Du no", "Da thanh toan"), IF(C164="Interests", "Lai", IF(C164="Misc", "Phi", IF(C164="Account Transfer", IF(OR(ISNUMBER(SEARCH("Trich lai tra gop the TD", D164)), ISNUMBER(SEARCH("Chuyen lai tra gop con lai sang du no thong thuong khi BadDebt", D164))), IF(B164&lt;0, "Lai tra gop", ""), "" )))))) &amp; " " &amp; IF(C164="Interests", TEXT(EDATE(IF(DAY(A164)&gt;=11, A164, EDATE(A164,-1)), -1),"yyyy-mm"), TEXT(IF(DAY(A164)&gt;=11, A164, EDATE(A164,-1)),"yyyy-mm"))</f>
        <v>Lai 2020-03</v>
      </c>
      <c r="F164" s="27">
        <f>IF(ISNUMBER(B164), ROUND(SUMIFS($B$2:$B$10000, $E$2:$E$10000, E164, $B$2:$B$10000, IF(B164&lt;0, "&lt;0", "&gt;0")), 0), "")</f>
        <v>-2702485</v>
      </c>
      <c r="G164" s="28" t="str">
        <f>IF(F164&gt;0, IF(C164="Transaction", "Da thanh toan", "Duong"), IF(F164&lt;0, IF(C164="Transaction", "Du no", IF(C164="Interests", "Lai phat sinh", IF(C164="Misc", "Phi", IF(C164="Account Transfer", "Lai tra gop", "Am")))), "Bang 0"))</f>
        <v>Lai phat sinh</v>
      </c>
    </row>
    <row r="165" spans="1:7" x14ac:dyDescent="0.3">
      <c r="A165" s="64">
        <v>43932</v>
      </c>
      <c r="B165" s="35">
        <v>-40605.14</v>
      </c>
      <c r="C165" t="s">
        <v>49</v>
      </c>
      <c r="D165" s="17"/>
      <c r="E165" s="26" t="str">
        <f>IF(OR(C165="Transaction",C165="Interests",C165="Misc",C165="Account Transfer"), IF(C165="Transaction", IF(B165&lt;0, "Du no", "Da thanh toan"), IF(C165="Interests", "Lai", IF(C165="Misc", "Phi", IF(C165="Account Transfer", IF(OR(ISNUMBER(SEARCH("Trich lai tra gop the TD", D165)), ISNUMBER(SEARCH("Chuyen lai tra gop con lai sang du no thong thuong khi BadDebt", D165))), IF(B165&lt;0, "Lai tra gop", ""), "" )))))) &amp; " " &amp; IF(C165="Interests", TEXT(EDATE(IF(DAY(A165)&gt;=11, A165, EDATE(A165,-1)), -1),"yyyy-mm"), TEXT(IF(DAY(A165)&gt;=11, A165, EDATE(A165,-1)),"yyyy-mm"))</f>
        <v>Lai 2020-03</v>
      </c>
      <c r="F165" s="27">
        <f>IF(ISNUMBER(B165), ROUND(SUMIFS($B$2:$B$10000, $E$2:$E$10000, E165, $B$2:$B$10000, IF(B165&lt;0, "&lt;0", "&gt;0")), 0), "")</f>
        <v>-2702485</v>
      </c>
      <c r="G165" s="28" t="str">
        <f>IF(F165&gt;0, IF(C165="Transaction", "Da thanh toan", "Duong"), IF(F165&lt;0, IF(C165="Transaction", "Du no", IF(C165="Interests", "Lai phat sinh", IF(C165="Misc", "Phi", IF(C165="Account Transfer", "Lai tra gop", "Am")))), "Bang 0"))</f>
        <v>Lai phat sinh</v>
      </c>
    </row>
    <row r="166" spans="1:7" x14ac:dyDescent="0.3">
      <c r="A166" s="64">
        <v>43932</v>
      </c>
      <c r="B166" s="35">
        <v>-1421753.42</v>
      </c>
      <c r="C166" t="s">
        <v>49</v>
      </c>
      <c r="D166" s="17"/>
      <c r="E166" s="26" t="str">
        <f>IF(OR(C166="Transaction",C166="Interests",C166="Misc",C166="Account Transfer"), IF(C166="Transaction", IF(B166&lt;0, "Du no", "Da thanh toan"), IF(C166="Interests", "Lai", IF(C166="Misc", "Phi", IF(C166="Account Transfer", IF(OR(ISNUMBER(SEARCH("Trich lai tra gop the TD", D166)), ISNUMBER(SEARCH("Chuyen lai tra gop con lai sang du no thong thuong khi BadDebt", D166))), IF(B166&lt;0, "Lai tra gop", ""), "" )))))) &amp; " " &amp; IF(C166="Interests", TEXT(EDATE(IF(DAY(A166)&gt;=11, A166, EDATE(A166,-1)), -1),"yyyy-mm"), TEXT(IF(DAY(A166)&gt;=11, A166, EDATE(A166,-1)),"yyyy-mm"))</f>
        <v>Lai 2020-03</v>
      </c>
      <c r="F166" s="27">
        <f>IF(ISNUMBER(B166), ROUND(SUMIFS($B$2:$B$10000, $E$2:$E$10000, E166, $B$2:$B$10000, IF(B166&lt;0, "&lt;0", "&gt;0")), 0), "")</f>
        <v>-2702485</v>
      </c>
      <c r="G166" s="28" t="str">
        <f>IF(F166&gt;0, IF(C166="Transaction", "Da thanh toan", "Duong"), IF(F166&lt;0, IF(C166="Transaction", "Du no", IF(C166="Interests", "Lai phat sinh", IF(C166="Misc", "Phi", IF(C166="Account Transfer", "Lai tra gop", "Am")))), "Bang 0"))</f>
        <v>Lai phat sinh</v>
      </c>
    </row>
    <row r="167" spans="1:7" x14ac:dyDescent="0.3">
      <c r="A167" s="64">
        <v>43901</v>
      </c>
      <c r="B167" s="35">
        <v>-1094611.33</v>
      </c>
      <c r="C167" t="s">
        <v>49</v>
      </c>
      <c r="D167" s="17"/>
      <c r="E167" s="26" t="str">
        <f>IF(OR(C167="Transaction",C167="Interests",C167="Misc",C167="Account Transfer"), IF(C167="Transaction", IF(B167&lt;0, "Du no", "Da thanh toan"), IF(C167="Interests", "Lai", IF(C167="Misc", "Phi", IF(C167="Account Transfer", IF(OR(ISNUMBER(SEARCH("Trich lai tra gop the TD", D167)), ISNUMBER(SEARCH("Chuyen lai tra gop con lai sang du no thong thuong khi BadDebt", D167))), IF(B167&lt;0, "Lai tra gop", ""), "" )))))) &amp; " " &amp; IF(C167="Interests", TEXT(EDATE(IF(DAY(A167)&gt;=11, A167, EDATE(A167,-1)), -1),"yyyy-mm"), TEXT(IF(DAY(A167)&gt;=11, A167, EDATE(A167,-1)),"yyyy-mm"))</f>
        <v>Lai 2020-02</v>
      </c>
      <c r="F167" s="27">
        <f>IF(ISNUMBER(B167), ROUND(SUMIFS($B$2:$B$10000, $E$2:$E$10000, E167, $B$2:$B$10000, IF(B167&lt;0, "&lt;0", "&gt;0")), 0), "")</f>
        <v>-2462624</v>
      </c>
      <c r="G167" s="28" t="str">
        <f>IF(F167&gt;0, IF(C167="Transaction", "Da thanh toan", "Duong"), IF(F167&lt;0, IF(C167="Transaction", "Du no", IF(C167="Interests", "Lai phat sinh", IF(C167="Misc", "Phi", IF(C167="Account Transfer", "Lai tra gop", "Am")))), "Bang 0"))</f>
        <v>Lai phat sinh</v>
      </c>
    </row>
    <row r="168" spans="1:7" x14ac:dyDescent="0.3">
      <c r="A168" s="64">
        <v>43901</v>
      </c>
      <c r="B168" s="35">
        <v>-37985.449999999997</v>
      </c>
      <c r="C168" t="s">
        <v>49</v>
      </c>
      <c r="D168" s="17"/>
      <c r="E168" s="26" t="str">
        <f>IF(OR(C168="Transaction",C168="Interests",C168="Misc",C168="Account Transfer"), IF(C168="Transaction", IF(B168&lt;0, "Du no", "Da thanh toan"), IF(C168="Interests", "Lai", IF(C168="Misc", "Phi", IF(C168="Account Transfer", IF(OR(ISNUMBER(SEARCH("Trich lai tra gop the TD", D168)), ISNUMBER(SEARCH("Chuyen lai tra gop con lai sang du no thong thuong khi BadDebt", D168))), IF(B168&lt;0, "Lai tra gop", ""), "" )))))) &amp; " " &amp; IF(C168="Interests", TEXT(EDATE(IF(DAY(A168)&gt;=11, A168, EDATE(A168,-1)), -1),"yyyy-mm"), TEXT(IF(DAY(A168)&gt;=11, A168, EDATE(A168,-1)),"yyyy-mm"))</f>
        <v>Lai 2020-02</v>
      </c>
      <c r="F168" s="27">
        <f>IF(ISNUMBER(B168), ROUND(SUMIFS($B$2:$B$10000, $E$2:$E$10000, E168, $B$2:$B$10000, IF(B168&lt;0, "&lt;0", "&gt;0")), 0), "")</f>
        <v>-2462624</v>
      </c>
      <c r="G168" s="28" t="str">
        <f>IF(F168&gt;0, IF(C168="Transaction", "Da thanh toan", "Duong"), IF(F168&lt;0, IF(C168="Transaction", "Du no", IF(C168="Interests", "Lai phat sinh", IF(C168="Misc", "Phi", IF(C168="Account Transfer", "Lai tra gop", "Am")))), "Bang 0"))</f>
        <v>Lai phat sinh</v>
      </c>
    </row>
    <row r="169" spans="1:7" x14ac:dyDescent="0.3">
      <c r="A169" s="64">
        <v>43901</v>
      </c>
      <c r="B169" s="35">
        <v>-1330027.3999999999</v>
      </c>
      <c r="C169" t="s">
        <v>49</v>
      </c>
      <c r="D169" s="17"/>
      <c r="E169" s="26" t="str">
        <f>IF(OR(C169="Transaction",C169="Interests",C169="Misc",C169="Account Transfer"), IF(C169="Transaction", IF(B169&lt;0, "Du no", "Da thanh toan"), IF(C169="Interests", "Lai", IF(C169="Misc", "Phi", IF(C169="Account Transfer", IF(OR(ISNUMBER(SEARCH("Trich lai tra gop the TD", D169)), ISNUMBER(SEARCH("Chuyen lai tra gop con lai sang du no thong thuong khi BadDebt", D169))), IF(B169&lt;0, "Lai tra gop", ""), "" )))))) &amp; " " &amp; IF(C169="Interests", TEXT(EDATE(IF(DAY(A169)&gt;=11, A169, EDATE(A169,-1)), -1),"yyyy-mm"), TEXT(IF(DAY(A169)&gt;=11, A169, EDATE(A169,-1)),"yyyy-mm"))</f>
        <v>Lai 2020-02</v>
      </c>
      <c r="F169" s="27">
        <f>IF(ISNUMBER(B169), ROUND(SUMIFS($B$2:$B$10000, $E$2:$E$10000, E169, $B$2:$B$10000, IF(B169&lt;0, "&lt;0", "&gt;0")), 0), "")</f>
        <v>-2462624</v>
      </c>
      <c r="G169" s="28" t="str">
        <f>IF(F169&gt;0, IF(C169="Transaction", "Da thanh toan", "Duong"), IF(F169&lt;0, IF(C169="Transaction", "Du no", IF(C169="Interests", "Lai phat sinh", IF(C169="Misc", "Phi", IF(C169="Account Transfer", "Lai tra gop", "Am")))), "Bang 0"))</f>
        <v>Lai phat sinh</v>
      </c>
    </row>
    <row r="170" spans="1:7" x14ac:dyDescent="0.3">
      <c r="A170" s="64">
        <v>43872</v>
      </c>
      <c r="B170" s="35">
        <v>-1097317.21</v>
      </c>
      <c r="C170" t="s">
        <v>49</v>
      </c>
      <c r="D170" s="17"/>
      <c r="E170" s="26" t="str">
        <f>IF(OR(C170="Transaction",C170="Interests",C170="Misc",C170="Account Transfer"), IF(C170="Transaction", IF(B170&lt;0, "Du no", "Da thanh toan"), IF(C170="Interests", "Lai", IF(C170="Misc", "Phi", IF(C170="Account Transfer", IF(OR(ISNUMBER(SEARCH("Trich lai tra gop the TD", D170)), ISNUMBER(SEARCH("Chuyen lai tra gop con lai sang du no thong thuong khi BadDebt", D170))), IF(B170&lt;0, "Lai tra gop", ""), "" )))))) &amp; " " &amp; IF(C170="Interests", TEXT(EDATE(IF(DAY(A170)&gt;=11, A170, EDATE(A170,-1)), -1),"yyyy-mm"), TEXT(IF(DAY(A170)&gt;=11, A170, EDATE(A170,-1)),"yyyy-mm"))</f>
        <v>Lai 2020-01</v>
      </c>
      <c r="F170" s="27">
        <f>IF(ISNUMBER(B170), ROUND(SUMIFS($B$2:$B$10000, $E$2:$E$10000, E170, $B$2:$B$10000, IF(B170&lt;0, "&lt;0", "&gt;0")), 0), "")</f>
        <v>-2559676</v>
      </c>
      <c r="G170" s="28" t="str">
        <f>IF(F170&gt;0, IF(C170="Transaction", "Da thanh toan", "Duong"), IF(F170&lt;0, IF(C170="Transaction", "Du no", IF(C170="Interests", "Lai phat sinh", IF(C170="Misc", "Phi", IF(C170="Account Transfer", "Lai tra gop", "Am")))), "Bang 0"))</f>
        <v>Lai phat sinh</v>
      </c>
    </row>
    <row r="171" spans="1:7" x14ac:dyDescent="0.3">
      <c r="A171" s="64">
        <v>43872</v>
      </c>
      <c r="B171" s="35">
        <v>-40605.14</v>
      </c>
      <c r="C171" t="s">
        <v>49</v>
      </c>
      <c r="D171" s="17"/>
      <c r="E171" s="26" t="str">
        <f>IF(OR(C171="Transaction",C171="Interests",C171="Misc",C171="Account Transfer"), IF(C171="Transaction", IF(B171&lt;0, "Du no", "Da thanh toan"), IF(C171="Interests", "Lai", IF(C171="Misc", "Phi", IF(C171="Account Transfer", IF(OR(ISNUMBER(SEARCH("Trich lai tra gop the TD", D171)), ISNUMBER(SEARCH("Chuyen lai tra gop con lai sang du no thong thuong khi BadDebt", D171))), IF(B171&lt;0, "Lai tra gop", ""), "" )))))) &amp; " " &amp; IF(C171="Interests", TEXT(EDATE(IF(DAY(A171)&gt;=11, A171, EDATE(A171,-1)), -1),"yyyy-mm"), TEXT(IF(DAY(A171)&gt;=11, A171, EDATE(A171,-1)),"yyyy-mm"))</f>
        <v>Lai 2020-01</v>
      </c>
      <c r="F171" s="27">
        <f>IF(ISNUMBER(B171), ROUND(SUMIFS($B$2:$B$10000, $E$2:$E$10000, E171, $B$2:$B$10000, IF(B171&lt;0, "&lt;0", "&gt;0")), 0), "")</f>
        <v>-2559676</v>
      </c>
      <c r="G171" s="28" t="str">
        <f>IF(F171&gt;0, IF(C171="Transaction", "Da thanh toan", "Duong"), IF(F171&lt;0, IF(C171="Transaction", "Du no", IF(C171="Interests", "Lai phat sinh", IF(C171="Misc", "Phi", IF(C171="Account Transfer", "Lai tra gop", "Am")))), "Bang 0"))</f>
        <v>Lai phat sinh</v>
      </c>
    </row>
    <row r="172" spans="1:7" x14ac:dyDescent="0.3">
      <c r="A172" s="64">
        <v>43872</v>
      </c>
      <c r="B172" s="35">
        <v>-1421753.42</v>
      </c>
      <c r="C172" t="s">
        <v>49</v>
      </c>
      <c r="D172" s="17"/>
      <c r="E172" s="26" t="str">
        <f>IF(OR(C172="Transaction",C172="Interests",C172="Misc",C172="Account Transfer"), IF(C172="Transaction", IF(B172&lt;0, "Du no", "Da thanh toan"), IF(C172="Interests", "Lai", IF(C172="Misc", "Phi", IF(C172="Account Transfer", IF(OR(ISNUMBER(SEARCH("Trich lai tra gop the TD", D172)), ISNUMBER(SEARCH("Chuyen lai tra gop con lai sang du no thong thuong khi BadDebt", D172))), IF(B172&lt;0, "Lai tra gop", ""), "" )))))) &amp; " " &amp; IF(C172="Interests", TEXT(EDATE(IF(DAY(A172)&gt;=11, A172, EDATE(A172,-1)), -1),"yyyy-mm"), TEXT(IF(DAY(A172)&gt;=11, A172, EDATE(A172,-1)),"yyyy-mm"))</f>
        <v>Lai 2020-01</v>
      </c>
      <c r="F172" s="27">
        <f>IF(ISNUMBER(B172), ROUND(SUMIFS($B$2:$B$10000, $E$2:$E$10000, E172, $B$2:$B$10000, IF(B172&lt;0, "&lt;0", "&gt;0")), 0), "")</f>
        <v>-2559676</v>
      </c>
      <c r="G172" s="28" t="str">
        <f>IF(F172&gt;0, IF(C172="Transaction", "Da thanh toan", "Duong"), IF(F172&lt;0, IF(C172="Transaction", "Du no", IF(C172="Interests", "Lai phat sinh", IF(C172="Misc", "Phi", IF(C172="Account Transfer", "Lai tra gop", "Am")))), "Bang 0"))</f>
        <v>Lai phat sinh</v>
      </c>
    </row>
    <row r="173" spans="1:7" x14ac:dyDescent="0.3">
      <c r="A173" s="64">
        <v>43841</v>
      </c>
      <c r="B173" s="35">
        <v>-1026545.07</v>
      </c>
      <c r="C173" t="s">
        <v>49</v>
      </c>
      <c r="D173" s="17"/>
      <c r="E173" s="26" t="str">
        <f>IF(OR(C173="Transaction",C173="Interests",C173="Misc",C173="Account Transfer"), IF(C173="Transaction", IF(B173&lt;0, "Du no", "Da thanh toan"), IF(C173="Interests", "Lai", IF(C173="Misc", "Phi", IF(C173="Account Transfer", IF(OR(ISNUMBER(SEARCH("Trich lai tra gop the TD", D173)), ISNUMBER(SEARCH("Chuyen lai tra gop con lai sang du no thong thuong khi BadDebt", D173))), IF(B173&lt;0, "Lai tra gop", ""), "" )))))) &amp; " " &amp; IF(C173="Interests", TEXT(EDATE(IF(DAY(A173)&gt;=11, A173, EDATE(A173,-1)), -1),"yyyy-mm"), TEXT(IF(DAY(A173)&gt;=11, A173, EDATE(A173,-1)),"yyyy-mm"))</f>
        <v>Lai 2019-12</v>
      </c>
      <c r="F173" s="27">
        <f>IF(ISNUMBER(B173), ROUND(SUMIFS($B$2:$B$10000, $E$2:$E$10000, E173, $B$2:$B$10000, IF(B173&lt;0, "&lt;0", "&gt;0")), 0), "")</f>
        <v>-2488904</v>
      </c>
      <c r="G173" s="28" t="str">
        <f>IF(F173&gt;0, IF(C173="Transaction", "Da thanh toan", "Duong"), IF(F173&lt;0, IF(C173="Transaction", "Du no", IF(C173="Interests", "Lai phat sinh", IF(C173="Misc", "Phi", IF(C173="Account Transfer", "Lai tra gop", "Am")))), "Bang 0"))</f>
        <v>Lai phat sinh</v>
      </c>
    </row>
    <row r="174" spans="1:7" x14ac:dyDescent="0.3">
      <c r="A174" s="64">
        <v>43841</v>
      </c>
      <c r="B174" s="35">
        <v>-40605.14</v>
      </c>
      <c r="C174" t="s">
        <v>49</v>
      </c>
      <c r="D174" s="17"/>
      <c r="E174" s="26" t="str">
        <f>IF(OR(C174="Transaction",C174="Interests",C174="Misc",C174="Account Transfer"), IF(C174="Transaction", IF(B174&lt;0, "Du no", "Da thanh toan"), IF(C174="Interests", "Lai", IF(C174="Misc", "Phi", IF(C174="Account Transfer", IF(OR(ISNUMBER(SEARCH("Trich lai tra gop the TD", D174)), ISNUMBER(SEARCH("Chuyen lai tra gop con lai sang du no thong thuong khi BadDebt", D174))), IF(B174&lt;0, "Lai tra gop", ""), "" )))))) &amp; " " &amp; IF(C174="Interests", TEXT(EDATE(IF(DAY(A174)&gt;=11, A174, EDATE(A174,-1)), -1),"yyyy-mm"), TEXT(IF(DAY(A174)&gt;=11, A174, EDATE(A174,-1)),"yyyy-mm"))</f>
        <v>Lai 2019-12</v>
      </c>
      <c r="F174" s="27">
        <f>IF(ISNUMBER(B174), ROUND(SUMIFS($B$2:$B$10000, $E$2:$E$10000, E174, $B$2:$B$10000, IF(B174&lt;0, "&lt;0", "&gt;0")), 0), "")</f>
        <v>-2488904</v>
      </c>
      <c r="G174" s="28" t="str">
        <f>IF(F174&gt;0, IF(C174="Transaction", "Da thanh toan", "Duong"), IF(F174&lt;0, IF(C174="Transaction", "Du no", IF(C174="Interests", "Lai phat sinh", IF(C174="Misc", "Phi", IF(C174="Account Transfer", "Lai tra gop", "Am")))), "Bang 0"))</f>
        <v>Lai phat sinh</v>
      </c>
    </row>
    <row r="175" spans="1:7" x14ac:dyDescent="0.3">
      <c r="A175" s="64">
        <v>43841</v>
      </c>
      <c r="B175" s="35">
        <v>-1421753.42</v>
      </c>
      <c r="C175" t="s">
        <v>49</v>
      </c>
      <c r="D175" s="17"/>
      <c r="E175" s="26" t="str">
        <f>IF(OR(C175="Transaction",C175="Interests",C175="Misc",C175="Account Transfer"), IF(C175="Transaction", IF(B175&lt;0, "Du no", "Da thanh toan"), IF(C175="Interests", "Lai", IF(C175="Misc", "Phi", IF(C175="Account Transfer", IF(OR(ISNUMBER(SEARCH("Trich lai tra gop the TD", D175)), ISNUMBER(SEARCH("Chuyen lai tra gop con lai sang du no thong thuong khi BadDebt", D175))), IF(B175&lt;0, "Lai tra gop", ""), "" )))))) &amp; " " &amp; IF(C175="Interests", TEXT(EDATE(IF(DAY(A175)&gt;=11, A175, EDATE(A175,-1)), -1),"yyyy-mm"), TEXT(IF(DAY(A175)&gt;=11, A175, EDATE(A175,-1)),"yyyy-mm"))</f>
        <v>Lai 2019-12</v>
      </c>
      <c r="F175" s="27">
        <f>IF(ISNUMBER(B175), ROUND(SUMIFS($B$2:$B$10000, $E$2:$E$10000, E175, $B$2:$B$10000, IF(B175&lt;0, "&lt;0", "&gt;0")), 0), "")</f>
        <v>-2488904</v>
      </c>
      <c r="G175" s="28" t="str">
        <f>IF(F175&gt;0, IF(C175="Transaction", "Da thanh toan", "Duong"), IF(F175&lt;0, IF(C175="Transaction", "Du no", IF(C175="Interests", "Lai phat sinh", IF(C175="Misc", "Phi", IF(C175="Account Transfer", "Lai tra gop", "Am")))), "Bang 0"))</f>
        <v>Lai phat sinh</v>
      </c>
    </row>
    <row r="176" spans="1:7" x14ac:dyDescent="0.3">
      <c r="A176" s="64">
        <v>43810</v>
      </c>
      <c r="B176" s="35">
        <v>-928925.9</v>
      </c>
      <c r="C176" t="s">
        <v>49</v>
      </c>
      <c r="D176" s="17"/>
      <c r="E176" s="26" t="str">
        <f>IF(OR(C176="Transaction",C176="Interests",C176="Misc",C176="Account Transfer"), IF(C176="Transaction", IF(B176&lt;0, "Du no", "Da thanh toan"), IF(C176="Interests", "Lai", IF(C176="Misc", "Phi", IF(C176="Account Transfer", IF(OR(ISNUMBER(SEARCH("Trich lai tra gop the TD", D176)), ISNUMBER(SEARCH("Chuyen lai tra gop con lai sang du no thong thuong khi BadDebt", D176))), IF(B176&lt;0, "Lai tra gop", ""), "" )))))) &amp; " " &amp; IF(C176="Interests", TEXT(EDATE(IF(DAY(A176)&gt;=11, A176, EDATE(A176,-1)), -1),"yyyy-mm"), TEXT(IF(DAY(A176)&gt;=11, A176, EDATE(A176,-1)),"yyyy-mm"))</f>
        <v>Lai 2019-11</v>
      </c>
      <c r="F176" s="27">
        <f>IF(ISNUMBER(B176), ROUND(SUMIFS($B$2:$B$10000, $E$2:$E$10000, E176, $B$2:$B$10000, IF(B176&lt;0, "&lt;0", "&gt;0")), 0), "")</f>
        <v>-2344112</v>
      </c>
      <c r="G176" s="28" t="str">
        <f>IF(F176&gt;0, IF(C176="Transaction", "Da thanh toan", "Duong"), IF(F176&lt;0, IF(C176="Transaction", "Du no", IF(C176="Interests", "Lai phat sinh", IF(C176="Misc", "Phi", IF(C176="Account Transfer", "Lai tra gop", "Am")))), "Bang 0"))</f>
        <v>Lai phat sinh</v>
      </c>
    </row>
    <row r="177" spans="1:7" x14ac:dyDescent="0.3">
      <c r="A177" s="64">
        <v>43810</v>
      </c>
      <c r="B177" s="35">
        <v>-39295.29</v>
      </c>
      <c r="C177" t="s">
        <v>49</v>
      </c>
      <c r="D177" s="17"/>
      <c r="E177" s="26" t="str">
        <f>IF(OR(C177="Transaction",C177="Interests",C177="Misc",C177="Account Transfer"), IF(C177="Transaction", IF(B177&lt;0, "Du no", "Da thanh toan"), IF(C177="Interests", "Lai", IF(C177="Misc", "Phi", IF(C177="Account Transfer", IF(OR(ISNUMBER(SEARCH("Trich lai tra gop the TD", D177)), ISNUMBER(SEARCH("Chuyen lai tra gop con lai sang du no thong thuong khi BadDebt", D177))), IF(B177&lt;0, "Lai tra gop", ""), "" )))))) &amp; " " &amp; IF(C177="Interests", TEXT(EDATE(IF(DAY(A177)&gt;=11, A177, EDATE(A177,-1)), -1),"yyyy-mm"), TEXT(IF(DAY(A177)&gt;=11, A177, EDATE(A177,-1)),"yyyy-mm"))</f>
        <v>Lai 2019-11</v>
      </c>
      <c r="F177" s="27">
        <f>IF(ISNUMBER(B177), ROUND(SUMIFS($B$2:$B$10000, $E$2:$E$10000, E177, $B$2:$B$10000, IF(B177&lt;0, "&lt;0", "&gt;0")), 0), "")</f>
        <v>-2344112</v>
      </c>
      <c r="G177" s="28" t="str">
        <f>IF(F177&gt;0, IF(C177="Transaction", "Da thanh toan", "Duong"), IF(F177&lt;0, IF(C177="Transaction", "Du no", IF(C177="Interests", "Lai phat sinh", IF(C177="Misc", "Phi", IF(C177="Account Transfer", "Lai tra gop", "Am")))), "Bang 0"))</f>
        <v>Lai phat sinh</v>
      </c>
    </row>
    <row r="178" spans="1:7" x14ac:dyDescent="0.3">
      <c r="A178" s="64">
        <v>43810</v>
      </c>
      <c r="B178" s="35">
        <v>-1375890.41</v>
      </c>
      <c r="C178" t="s">
        <v>49</v>
      </c>
      <c r="D178" s="17"/>
      <c r="E178" s="26" t="str">
        <f>IF(OR(C178="Transaction",C178="Interests",C178="Misc",C178="Account Transfer"), IF(C178="Transaction", IF(B178&lt;0, "Du no", "Da thanh toan"), IF(C178="Interests", "Lai", IF(C178="Misc", "Phi", IF(C178="Account Transfer", IF(OR(ISNUMBER(SEARCH("Trich lai tra gop the TD", D178)), ISNUMBER(SEARCH("Chuyen lai tra gop con lai sang du no thong thuong khi BadDebt", D178))), IF(B178&lt;0, "Lai tra gop", ""), "" )))))) &amp; " " &amp; IF(C178="Interests", TEXT(EDATE(IF(DAY(A178)&gt;=11, A178, EDATE(A178,-1)), -1),"yyyy-mm"), TEXT(IF(DAY(A178)&gt;=11, A178, EDATE(A178,-1)),"yyyy-mm"))</f>
        <v>Lai 2019-11</v>
      </c>
      <c r="F178" s="27">
        <f>IF(ISNUMBER(B178), ROUND(SUMIFS($B$2:$B$10000, $E$2:$E$10000, E178, $B$2:$B$10000, IF(B178&lt;0, "&lt;0", "&gt;0")), 0), "")</f>
        <v>-2344112</v>
      </c>
      <c r="G178" s="28" t="str">
        <f>IF(F178&gt;0, IF(C178="Transaction", "Da thanh toan", "Duong"), IF(F178&lt;0, IF(C178="Transaction", "Du no", IF(C178="Interests", "Lai phat sinh", IF(C178="Misc", "Phi", IF(C178="Account Transfer", "Lai tra gop", "Am")))), "Bang 0"))</f>
        <v>Lai phat sinh</v>
      </c>
    </row>
    <row r="179" spans="1:7" x14ac:dyDescent="0.3">
      <c r="A179" s="64">
        <v>43780</v>
      </c>
      <c r="B179" s="35">
        <v>-892917.65</v>
      </c>
      <c r="C179" t="s">
        <v>49</v>
      </c>
      <c r="D179" s="17"/>
      <c r="E179" s="26" t="str">
        <f>IF(OR(C179="Transaction",C179="Interests",C179="Misc",C179="Account Transfer"), IF(C179="Transaction", IF(B179&lt;0, "Du no", "Da thanh toan"), IF(C179="Interests", "Lai", IF(C179="Misc", "Phi", IF(C179="Account Transfer", IF(OR(ISNUMBER(SEARCH("Trich lai tra gop the TD", D179)), ISNUMBER(SEARCH("Chuyen lai tra gop con lai sang du no thong thuong khi BadDebt", D179))), IF(B179&lt;0, "Lai tra gop", ""), "" )))))) &amp; " " &amp; IF(C179="Interests", TEXT(EDATE(IF(DAY(A179)&gt;=11, A179, EDATE(A179,-1)), -1),"yyyy-mm"), TEXT(IF(DAY(A179)&gt;=11, A179, EDATE(A179,-1)),"yyyy-mm"))</f>
        <v>Lai 2019-10</v>
      </c>
      <c r="F179" s="27">
        <f>IF(ISNUMBER(B179), ROUND(SUMIFS($B$2:$B$10000, $E$2:$E$10000, E179, $B$2:$B$10000, IF(B179&lt;0, "&lt;0", "&gt;0")), 0), "")</f>
        <v>-2355276</v>
      </c>
      <c r="G179" s="28" t="str">
        <f>IF(F179&gt;0, IF(C179="Transaction", "Da thanh toan", "Duong"), IF(F179&lt;0, IF(C179="Transaction", "Du no", IF(C179="Interests", "Lai phat sinh", IF(C179="Misc", "Phi", IF(C179="Account Transfer", "Lai tra gop", "Am")))), "Bang 0"))</f>
        <v>Lai phat sinh</v>
      </c>
    </row>
    <row r="180" spans="1:7" x14ac:dyDescent="0.3">
      <c r="A180" s="64">
        <v>43780</v>
      </c>
      <c r="B180" s="35">
        <v>-40605.14</v>
      </c>
      <c r="C180" t="s">
        <v>49</v>
      </c>
      <c r="D180" s="17"/>
      <c r="E180" s="26" t="str">
        <f>IF(OR(C180="Transaction",C180="Interests",C180="Misc",C180="Account Transfer"), IF(C180="Transaction", IF(B180&lt;0, "Du no", "Da thanh toan"), IF(C180="Interests", "Lai", IF(C180="Misc", "Phi", IF(C180="Account Transfer", IF(OR(ISNUMBER(SEARCH("Trich lai tra gop the TD", D180)), ISNUMBER(SEARCH("Chuyen lai tra gop con lai sang du no thong thuong khi BadDebt", D180))), IF(B180&lt;0, "Lai tra gop", ""), "" )))))) &amp; " " &amp; IF(C180="Interests", TEXT(EDATE(IF(DAY(A180)&gt;=11, A180, EDATE(A180,-1)), -1),"yyyy-mm"), TEXT(IF(DAY(A180)&gt;=11, A180, EDATE(A180,-1)),"yyyy-mm"))</f>
        <v>Lai 2019-10</v>
      </c>
      <c r="F180" s="27">
        <f>IF(ISNUMBER(B180), ROUND(SUMIFS($B$2:$B$10000, $E$2:$E$10000, E180, $B$2:$B$10000, IF(B180&lt;0, "&lt;0", "&gt;0")), 0), "")</f>
        <v>-2355276</v>
      </c>
      <c r="G180" s="28" t="str">
        <f>IF(F180&gt;0, IF(C180="Transaction", "Da thanh toan", "Duong"), IF(F180&lt;0, IF(C180="Transaction", "Du no", IF(C180="Interests", "Lai phat sinh", IF(C180="Misc", "Phi", IF(C180="Account Transfer", "Lai tra gop", "Am")))), "Bang 0"))</f>
        <v>Lai phat sinh</v>
      </c>
    </row>
    <row r="181" spans="1:7" x14ac:dyDescent="0.3">
      <c r="A181" s="64">
        <v>43780</v>
      </c>
      <c r="B181" s="35">
        <v>-1421753.42</v>
      </c>
      <c r="C181" t="s">
        <v>49</v>
      </c>
      <c r="D181" s="17"/>
      <c r="E181" s="26" t="str">
        <f>IF(OR(C181="Transaction",C181="Interests",C181="Misc",C181="Account Transfer"), IF(C181="Transaction", IF(B181&lt;0, "Du no", "Da thanh toan"), IF(C181="Interests", "Lai", IF(C181="Misc", "Phi", IF(C181="Account Transfer", IF(OR(ISNUMBER(SEARCH("Trich lai tra gop the TD", D181)), ISNUMBER(SEARCH("Chuyen lai tra gop con lai sang du no thong thuong khi BadDebt", D181))), IF(B181&lt;0, "Lai tra gop", ""), "" )))))) &amp; " " &amp; IF(C181="Interests", TEXT(EDATE(IF(DAY(A181)&gt;=11, A181, EDATE(A181,-1)), -1),"yyyy-mm"), TEXT(IF(DAY(A181)&gt;=11, A181, EDATE(A181,-1)),"yyyy-mm"))</f>
        <v>Lai 2019-10</v>
      </c>
      <c r="F181" s="27">
        <f>IF(ISNUMBER(B181), ROUND(SUMIFS($B$2:$B$10000, $E$2:$E$10000, E181, $B$2:$B$10000, IF(B181&lt;0, "&lt;0", "&gt;0")), 0), "")</f>
        <v>-2355276</v>
      </c>
      <c r="G181" s="28" t="str">
        <f>IF(F181&gt;0, IF(C181="Transaction", "Da thanh toan", "Duong"), IF(F181&lt;0, IF(C181="Transaction", "Du no", IF(C181="Interests", "Lai phat sinh", IF(C181="Misc", "Phi", IF(C181="Account Transfer", "Lai tra gop", "Am")))), "Bang 0"))</f>
        <v>Lai phat sinh</v>
      </c>
    </row>
    <row r="182" spans="1:7" x14ac:dyDescent="0.3">
      <c r="A182" s="64">
        <v>43749</v>
      </c>
      <c r="B182" s="35">
        <v>-803072.26</v>
      </c>
      <c r="C182" t="s">
        <v>49</v>
      </c>
      <c r="D182" s="17"/>
      <c r="E182" s="26" t="str">
        <f>IF(OR(C182="Transaction",C182="Interests",C182="Misc",C182="Account Transfer"), IF(C182="Transaction", IF(B182&lt;0, "Du no", "Da thanh toan"), IF(C182="Interests", "Lai", IF(C182="Misc", "Phi", IF(C182="Account Transfer", IF(OR(ISNUMBER(SEARCH("Trich lai tra gop the TD", D182)), ISNUMBER(SEARCH("Chuyen lai tra gop con lai sang du no thong thuong khi BadDebt", D182))), IF(B182&lt;0, "Lai tra gop", ""), "" )))))) &amp; " " &amp; IF(C182="Interests", TEXT(EDATE(IF(DAY(A182)&gt;=11, A182, EDATE(A182,-1)), -1),"yyyy-mm"), TEXT(IF(DAY(A182)&gt;=11, A182, EDATE(A182,-1)),"yyyy-mm"))</f>
        <v>Lai 2019-09</v>
      </c>
      <c r="F182" s="27">
        <f>IF(ISNUMBER(B182), ROUND(SUMIFS($B$2:$B$10000, $E$2:$E$10000, E182, $B$2:$B$10000, IF(B182&lt;0, "&lt;0", "&gt;0")), 0), "")</f>
        <v>-2218258</v>
      </c>
      <c r="G182" s="28" t="str">
        <f>IF(F182&gt;0, IF(C182="Transaction", "Da thanh toan", "Duong"), IF(F182&lt;0, IF(C182="Transaction", "Du no", IF(C182="Interests", "Lai phat sinh", IF(C182="Misc", "Phi", IF(C182="Account Transfer", "Lai tra gop", "Am")))), "Bang 0"))</f>
        <v>Lai phat sinh</v>
      </c>
    </row>
    <row r="183" spans="1:7" x14ac:dyDescent="0.3">
      <c r="A183" s="64">
        <v>43749</v>
      </c>
      <c r="B183" s="35">
        <v>-39295.29</v>
      </c>
      <c r="C183" t="s">
        <v>49</v>
      </c>
      <c r="D183" s="17"/>
      <c r="E183" s="26" t="str">
        <f>IF(OR(C183="Transaction",C183="Interests",C183="Misc",C183="Account Transfer"), IF(C183="Transaction", IF(B183&lt;0, "Du no", "Da thanh toan"), IF(C183="Interests", "Lai", IF(C183="Misc", "Phi", IF(C183="Account Transfer", IF(OR(ISNUMBER(SEARCH("Trich lai tra gop the TD", D183)), ISNUMBER(SEARCH("Chuyen lai tra gop con lai sang du no thong thuong khi BadDebt", D183))), IF(B183&lt;0, "Lai tra gop", ""), "" )))))) &amp; " " &amp; IF(C183="Interests", TEXT(EDATE(IF(DAY(A183)&gt;=11, A183, EDATE(A183,-1)), -1),"yyyy-mm"), TEXT(IF(DAY(A183)&gt;=11, A183, EDATE(A183,-1)),"yyyy-mm"))</f>
        <v>Lai 2019-09</v>
      </c>
      <c r="F183" s="27">
        <f>IF(ISNUMBER(B183), ROUND(SUMIFS($B$2:$B$10000, $E$2:$E$10000, E183, $B$2:$B$10000, IF(B183&lt;0, "&lt;0", "&gt;0")), 0), "")</f>
        <v>-2218258</v>
      </c>
      <c r="G183" s="28" t="str">
        <f>IF(F183&gt;0, IF(C183="Transaction", "Da thanh toan", "Duong"), IF(F183&lt;0, IF(C183="Transaction", "Du no", IF(C183="Interests", "Lai phat sinh", IF(C183="Misc", "Phi", IF(C183="Account Transfer", "Lai tra gop", "Am")))), "Bang 0"))</f>
        <v>Lai phat sinh</v>
      </c>
    </row>
    <row r="184" spans="1:7" x14ac:dyDescent="0.3">
      <c r="A184" s="64">
        <v>43749</v>
      </c>
      <c r="B184" s="35">
        <v>-1375890.41</v>
      </c>
      <c r="C184" t="s">
        <v>49</v>
      </c>
      <c r="D184" s="17"/>
      <c r="E184" s="26" t="str">
        <f>IF(OR(C184="Transaction",C184="Interests",C184="Misc",C184="Account Transfer"), IF(C184="Transaction", IF(B184&lt;0, "Du no", "Da thanh toan"), IF(C184="Interests", "Lai", IF(C184="Misc", "Phi", IF(C184="Account Transfer", IF(OR(ISNUMBER(SEARCH("Trich lai tra gop the TD", D184)), ISNUMBER(SEARCH("Chuyen lai tra gop con lai sang du no thong thuong khi BadDebt", D184))), IF(B184&lt;0, "Lai tra gop", ""), "" )))))) &amp; " " &amp; IF(C184="Interests", TEXT(EDATE(IF(DAY(A184)&gt;=11, A184, EDATE(A184,-1)), -1),"yyyy-mm"), TEXT(IF(DAY(A184)&gt;=11, A184, EDATE(A184,-1)),"yyyy-mm"))</f>
        <v>Lai 2019-09</v>
      </c>
      <c r="F184" s="27">
        <f>IF(ISNUMBER(B184), ROUND(SUMIFS($B$2:$B$10000, $E$2:$E$10000, E184, $B$2:$B$10000, IF(B184&lt;0, "&lt;0", "&gt;0")), 0), "")</f>
        <v>-2218258</v>
      </c>
      <c r="G184" s="28" t="str">
        <f>IF(F184&gt;0, IF(C184="Transaction", "Da thanh toan", "Duong"), IF(F184&lt;0, IF(C184="Transaction", "Du no", IF(C184="Interests", "Lai phat sinh", IF(C184="Misc", "Phi", IF(C184="Account Transfer", "Lai tra gop", "Am")))), "Bang 0"))</f>
        <v>Lai phat sinh</v>
      </c>
    </row>
    <row r="185" spans="1:7" x14ac:dyDescent="0.3">
      <c r="A185" s="64">
        <v>43719</v>
      </c>
      <c r="B185" s="35">
        <v>-762129.28</v>
      </c>
      <c r="C185" t="s">
        <v>49</v>
      </c>
      <c r="D185" s="17"/>
      <c r="E185" s="26" t="str">
        <f>IF(OR(C185="Transaction",C185="Interests",C185="Misc",C185="Account Transfer"), IF(C185="Transaction", IF(B185&lt;0, "Du no", "Da thanh toan"), IF(C185="Interests", "Lai", IF(C185="Misc", "Phi", IF(C185="Account Transfer", IF(OR(ISNUMBER(SEARCH("Trich lai tra gop the TD", D185)), ISNUMBER(SEARCH("Chuyen lai tra gop con lai sang du no thong thuong khi BadDebt", D185))), IF(B185&lt;0, "Lai tra gop", ""), "" )))))) &amp; " " &amp; IF(C185="Interests", TEXT(EDATE(IF(DAY(A185)&gt;=11, A185, EDATE(A185,-1)), -1),"yyyy-mm"), TEXT(IF(DAY(A185)&gt;=11, A185, EDATE(A185,-1)),"yyyy-mm"))</f>
        <v>Lai 2019-08</v>
      </c>
      <c r="F185" s="27">
        <f>IF(ISNUMBER(B185), ROUND(SUMIFS($B$2:$B$10000, $E$2:$E$10000, E185, $B$2:$B$10000, IF(B185&lt;0, "&lt;0", "&gt;0")), 0), "")</f>
        <v>-2194054</v>
      </c>
      <c r="G185" s="28" t="str">
        <f>IF(F185&gt;0, IF(C185="Transaction", "Da thanh toan", "Duong"), IF(F185&lt;0, IF(C185="Transaction", "Du no", IF(C185="Interests", "Lai phat sinh", IF(C185="Misc", "Phi", IF(C185="Account Transfer", "Lai tra gop", "Am")))), "Bang 0"))</f>
        <v>Lai phat sinh</v>
      </c>
    </row>
    <row r="186" spans="1:7" x14ac:dyDescent="0.3">
      <c r="A186" s="64">
        <v>43719</v>
      </c>
      <c r="B186" s="35">
        <v>-39760.080000000002</v>
      </c>
      <c r="C186" t="s">
        <v>49</v>
      </c>
      <c r="D186" s="17"/>
      <c r="E186" s="26" t="str">
        <f>IF(OR(C186="Transaction",C186="Interests",C186="Misc",C186="Account Transfer"), IF(C186="Transaction", IF(B186&lt;0, "Du no", "Da thanh toan"), IF(C186="Interests", "Lai", IF(C186="Misc", "Phi", IF(C186="Account Transfer", IF(OR(ISNUMBER(SEARCH("Trich lai tra gop the TD", D186)), ISNUMBER(SEARCH("Chuyen lai tra gop con lai sang du no thong thuong khi BadDebt", D186))), IF(B186&lt;0, "Lai tra gop", ""), "" )))))) &amp; " " &amp; IF(C186="Interests", TEXT(EDATE(IF(DAY(A186)&gt;=11, A186, EDATE(A186,-1)), -1),"yyyy-mm"), TEXT(IF(DAY(A186)&gt;=11, A186, EDATE(A186,-1)),"yyyy-mm"))</f>
        <v>Lai 2019-08</v>
      </c>
      <c r="F186" s="27">
        <f>IF(ISNUMBER(B186), ROUND(SUMIFS($B$2:$B$10000, $E$2:$E$10000, E186, $B$2:$B$10000, IF(B186&lt;0, "&lt;0", "&gt;0")), 0), "")</f>
        <v>-2194054</v>
      </c>
      <c r="G186" s="28" t="str">
        <f>IF(F186&gt;0, IF(C186="Transaction", "Da thanh toan", "Duong"), IF(F186&lt;0, IF(C186="Transaction", "Du no", IF(C186="Interests", "Lai phat sinh", IF(C186="Misc", "Phi", IF(C186="Account Transfer", "Lai tra gop", "Am")))), "Bang 0"))</f>
        <v>Lai phat sinh</v>
      </c>
    </row>
    <row r="187" spans="1:7" x14ac:dyDescent="0.3">
      <c r="A187" s="64">
        <v>43719</v>
      </c>
      <c r="B187" s="35">
        <v>-1392164.38</v>
      </c>
      <c r="C187" t="s">
        <v>49</v>
      </c>
      <c r="D187" s="17"/>
      <c r="E187" s="26" t="str">
        <f>IF(OR(C187="Transaction",C187="Interests",C187="Misc",C187="Account Transfer"), IF(C187="Transaction", IF(B187&lt;0, "Du no", "Da thanh toan"), IF(C187="Interests", "Lai", IF(C187="Misc", "Phi", IF(C187="Account Transfer", IF(OR(ISNUMBER(SEARCH("Trich lai tra gop the TD", D187)), ISNUMBER(SEARCH("Chuyen lai tra gop con lai sang du no thong thuong khi BadDebt", D187))), IF(B187&lt;0, "Lai tra gop", ""), "" )))))) &amp; " " &amp; IF(C187="Interests", TEXT(EDATE(IF(DAY(A187)&gt;=11, A187, EDATE(A187,-1)), -1),"yyyy-mm"), TEXT(IF(DAY(A187)&gt;=11, A187, EDATE(A187,-1)),"yyyy-mm"))</f>
        <v>Lai 2019-08</v>
      </c>
      <c r="F187" s="27">
        <f>IF(ISNUMBER(B187), ROUND(SUMIFS($B$2:$B$10000, $E$2:$E$10000, E187, $B$2:$B$10000, IF(B187&lt;0, "&lt;0", "&gt;0")), 0), "")</f>
        <v>-2194054</v>
      </c>
      <c r="G187" s="28" t="str">
        <f>IF(F187&gt;0, IF(C187="Transaction", "Da thanh toan", "Duong"), IF(F187&lt;0, IF(C187="Transaction", "Du no", IF(C187="Interests", "Lai phat sinh", IF(C187="Misc", "Phi", IF(C187="Account Transfer", "Lai tra gop", "Am")))), "Bang 0"))</f>
        <v>Lai phat sinh</v>
      </c>
    </row>
    <row r="188" spans="1:7" x14ac:dyDescent="0.3">
      <c r="A188" s="64">
        <v>43688</v>
      </c>
      <c r="B188" s="35">
        <v>-504493.15</v>
      </c>
      <c r="C188" t="s">
        <v>49</v>
      </c>
      <c r="D188" s="17"/>
      <c r="E188" s="26" t="str">
        <f>IF(OR(C188="Transaction",C188="Interests",C188="Misc",C188="Account Transfer"), IF(C188="Transaction", IF(B188&lt;0, "Du no", "Da thanh toan"), IF(C188="Interests", "Lai", IF(C188="Misc", "Phi", IF(C188="Account Transfer", IF(OR(ISNUMBER(SEARCH("Trich lai tra gop the TD", D188)), ISNUMBER(SEARCH("Chuyen lai tra gop con lai sang du no thong thuong khi BadDebt", D188))), IF(B188&lt;0, "Lai tra gop", ""), "" )))))) &amp; " " &amp; IF(C188="Interests", TEXT(EDATE(IF(DAY(A188)&gt;=11, A188, EDATE(A188,-1)), -1),"yyyy-mm"), TEXT(IF(DAY(A188)&gt;=11, A188, EDATE(A188,-1)),"yyyy-mm"))</f>
        <v>Lai 2019-07</v>
      </c>
      <c r="F188" s="27">
        <f>IF(ISNUMBER(B188), ROUND(SUMIFS($B$2:$B$10000, $E$2:$E$10000, E188, $B$2:$B$10000, IF(B188&lt;0, "&lt;0", "&gt;0")), 0), "")</f>
        <v>-2067799</v>
      </c>
      <c r="G188" s="28" t="str">
        <f>IF(F188&gt;0, IF(C188="Transaction", "Da thanh toan", "Duong"), IF(F188&lt;0, IF(C188="Transaction", "Du no", IF(C188="Interests", "Lai phat sinh", IF(C188="Misc", "Phi", IF(C188="Account Transfer", "Lai tra gop", "Am")))), "Bang 0"))</f>
        <v>Lai phat sinh</v>
      </c>
    </row>
    <row r="189" spans="1:7" x14ac:dyDescent="0.3">
      <c r="A189" s="64">
        <v>43688</v>
      </c>
      <c r="B189" s="35">
        <v>-14408.27</v>
      </c>
      <c r="C189" t="s">
        <v>49</v>
      </c>
      <c r="D189" s="25"/>
      <c r="E189" s="26" t="str">
        <f>IF(OR(C189="Transaction",C189="Interests",C189="Misc",C189="Account Transfer"), IF(C189="Transaction", IF(B189&lt;0, "Du no", "Da thanh toan"), IF(C189="Interests", "Lai", IF(C189="Misc", "Phi", IF(C189="Account Transfer", IF(OR(ISNUMBER(SEARCH("Trich lai tra gop the TD", D189)), ISNUMBER(SEARCH("Chuyen lai tra gop con lai sang du no thong thuong khi BadDebt", D189))), IF(B189&lt;0, "Lai tra gop", ""), "" )))))) &amp; " " &amp; IF(C189="Interests", TEXT(EDATE(IF(DAY(A189)&gt;=11, A189, EDATE(A189,-1)), -1),"yyyy-mm"), TEXT(IF(DAY(A189)&gt;=11, A189, EDATE(A189,-1)),"yyyy-mm"))</f>
        <v>Lai 2019-07</v>
      </c>
      <c r="F189" s="27">
        <f>IF(ISNUMBER(B189), ROUND(SUMIFS($B$2:$B$10000, $E$2:$E$10000, E189, $B$2:$B$10000, IF(B189&lt;0, "&lt;0", "&gt;0")), 0), "")</f>
        <v>-2067799</v>
      </c>
      <c r="G189" s="28" t="str">
        <f>IF(F189&gt;0, IF(C189="Transaction", "Da thanh toan", "Duong"), IF(F189&lt;0, IF(C189="Transaction", "Du no", IF(C189="Interests", "Lai phat sinh", IF(C189="Misc", "Phi", IF(C189="Account Transfer", "Lai tra gop", "Am")))), "Bang 0"))</f>
        <v>Lai phat sinh</v>
      </c>
    </row>
    <row r="190" spans="1:7" x14ac:dyDescent="0.3">
      <c r="A190" s="64">
        <v>43688</v>
      </c>
      <c r="B190" s="35">
        <v>-250413.19</v>
      </c>
      <c r="C190" t="s">
        <v>49</v>
      </c>
      <c r="D190" s="17"/>
      <c r="E190" s="26" t="str">
        <f>IF(OR(C190="Transaction",C190="Interests",C190="Misc",C190="Account Transfer"), IF(C190="Transaction", IF(B190&lt;0, "Du no", "Da thanh toan"), IF(C190="Interests", "Lai", IF(C190="Misc", "Phi", IF(C190="Account Transfer", IF(OR(ISNUMBER(SEARCH("Trich lai tra gop the TD", D190)), ISNUMBER(SEARCH("Chuyen lai tra gop con lai sang du no thong thuong khi BadDebt", D190))), IF(B190&lt;0, "Lai tra gop", ""), "" )))))) &amp; " " &amp; IF(C190="Interests", TEXT(EDATE(IF(DAY(A190)&gt;=11, A190, EDATE(A190,-1)), -1),"yyyy-mm"), TEXT(IF(DAY(A190)&gt;=11, A190, EDATE(A190,-1)),"yyyy-mm"))</f>
        <v>Lai 2019-07</v>
      </c>
      <c r="F190" s="27">
        <f>IF(ISNUMBER(B190), ROUND(SUMIFS($B$2:$B$10000, $E$2:$E$10000, E190, $B$2:$B$10000, IF(B190&lt;0, "&lt;0", "&gt;0")), 0), "")</f>
        <v>-2067799</v>
      </c>
      <c r="G190" s="28" t="str">
        <f>IF(F190&gt;0, IF(C190="Transaction", "Da thanh toan", "Duong"), IF(F190&lt;0, IF(C190="Transaction", "Du no", IF(C190="Interests", "Lai phat sinh", IF(C190="Misc", "Phi", IF(C190="Account Transfer", "Lai tra gop", "Am")))), "Bang 0"))</f>
        <v>Lai phat sinh</v>
      </c>
    </row>
    <row r="191" spans="1:7" x14ac:dyDescent="0.3">
      <c r="A191" s="64">
        <v>43688</v>
      </c>
      <c r="B191" s="35">
        <v>-422658.95</v>
      </c>
      <c r="C191" t="s">
        <v>49</v>
      </c>
      <c r="D191" s="17"/>
      <c r="E191" s="26" t="str">
        <f>IF(OR(C191="Transaction",C191="Interests",C191="Misc",C191="Account Transfer"), IF(C191="Transaction", IF(B191&lt;0, "Du no", "Da thanh toan"), IF(C191="Interests", "Lai", IF(C191="Misc", "Phi", IF(C191="Account Transfer", IF(OR(ISNUMBER(SEARCH("Trich lai tra gop the TD", D191)), ISNUMBER(SEARCH("Chuyen lai tra gop con lai sang du no thong thuong khi BadDebt", D191))), IF(B191&lt;0, "Lai tra gop", ""), "" )))))) &amp; " " &amp; IF(C191="Interests", TEXT(EDATE(IF(DAY(A191)&gt;=11, A191, EDATE(A191,-1)), -1),"yyyy-mm"), TEXT(IF(DAY(A191)&gt;=11, A191, EDATE(A191,-1)),"yyyy-mm"))</f>
        <v>Lai 2019-07</v>
      </c>
      <c r="F191" s="27">
        <f>IF(ISNUMBER(B191), ROUND(SUMIFS($B$2:$B$10000, $E$2:$E$10000, E191, $B$2:$B$10000, IF(B191&lt;0, "&lt;0", "&gt;0")), 0), "")</f>
        <v>-2067799</v>
      </c>
      <c r="G191" s="28" t="str">
        <f>IF(F191&gt;0, IF(C191="Transaction", "Da thanh toan", "Duong"), IF(F191&lt;0, IF(C191="Transaction", "Du no", IF(C191="Interests", "Lai phat sinh", IF(C191="Misc", "Phi", IF(C191="Account Transfer", "Lai tra gop", "Am")))), "Bang 0"))</f>
        <v>Lai phat sinh</v>
      </c>
    </row>
    <row r="192" spans="1:7" x14ac:dyDescent="0.3">
      <c r="A192" s="64">
        <v>43688</v>
      </c>
      <c r="B192" s="35">
        <v>-24318.95</v>
      </c>
      <c r="C192" t="s">
        <v>49</v>
      </c>
      <c r="D192" s="17"/>
      <c r="E192" s="26" t="str">
        <f>IF(OR(C192="Transaction",C192="Interests",C192="Misc",C192="Account Transfer"), IF(C192="Transaction", IF(B192&lt;0, "Du no", "Da thanh toan"), IF(C192="Interests", "Lai", IF(C192="Misc", "Phi", IF(C192="Account Transfer", IF(OR(ISNUMBER(SEARCH("Trich lai tra gop the TD", D192)), ISNUMBER(SEARCH("Chuyen lai tra gop con lai sang du no thong thuong khi BadDebt", D192))), IF(B192&lt;0, "Lai tra gop", ""), "" )))))) &amp; " " &amp; IF(C192="Interests", TEXT(EDATE(IF(DAY(A192)&gt;=11, A192, EDATE(A192,-1)), -1),"yyyy-mm"), TEXT(IF(DAY(A192)&gt;=11, A192, EDATE(A192,-1)),"yyyy-mm"))</f>
        <v>Lai 2019-07</v>
      </c>
      <c r="F192" s="27">
        <f>IF(ISNUMBER(B192), ROUND(SUMIFS($B$2:$B$10000, $E$2:$E$10000, E192, $B$2:$B$10000, IF(B192&lt;0, "&lt;0", "&gt;0")), 0), "")</f>
        <v>-2067799</v>
      </c>
      <c r="G192" s="28" t="str">
        <f>IF(F192&gt;0, IF(C192="Transaction", "Da thanh toan", "Duong"), IF(F192&lt;0, IF(C192="Transaction", "Du no", IF(C192="Interests", "Lai phat sinh", IF(C192="Misc", "Phi", IF(C192="Account Transfer", "Lai tra gop", "Am")))), "Bang 0"))</f>
        <v>Lai phat sinh</v>
      </c>
    </row>
    <row r="193" spans="1:7" x14ac:dyDescent="0.3">
      <c r="A193" s="64">
        <v>43688</v>
      </c>
      <c r="B193" s="35">
        <v>-851506.85</v>
      </c>
      <c r="C193" t="s">
        <v>49</v>
      </c>
      <c r="D193" s="17"/>
      <c r="E193" s="26" t="str">
        <f>IF(OR(C193="Transaction",C193="Interests",C193="Misc",C193="Account Transfer"), IF(C193="Transaction", IF(B193&lt;0, "Du no", "Da thanh toan"), IF(C193="Interests", "Lai", IF(C193="Misc", "Phi", IF(C193="Account Transfer", IF(OR(ISNUMBER(SEARCH("Trich lai tra gop the TD", D193)), ISNUMBER(SEARCH("Chuyen lai tra gop con lai sang du no thong thuong khi BadDebt", D193))), IF(B193&lt;0, "Lai tra gop", ""), "" )))))) &amp; " " &amp; IF(C193="Interests", TEXT(EDATE(IF(DAY(A193)&gt;=11, A193, EDATE(A193,-1)), -1),"yyyy-mm"), TEXT(IF(DAY(A193)&gt;=11, A193, EDATE(A193,-1)),"yyyy-mm"))</f>
        <v>Lai 2019-07</v>
      </c>
      <c r="F193" s="27">
        <f>IF(ISNUMBER(B193), ROUND(SUMIFS($B$2:$B$10000, $E$2:$E$10000, E193, $B$2:$B$10000, IF(B193&lt;0, "&lt;0", "&gt;0")), 0), "")</f>
        <v>-2067799</v>
      </c>
      <c r="G193" s="28" t="str">
        <f>IF(F193&gt;0, IF(C193="Transaction", "Da thanh toan", "Duong"), IF(F193&lt;0, IF(C193="Transaction", "Du no", IF(C193="Interests", "Lai phat sinh", IF(C193="Misc", "Phi", IF(C193="Account Transfer", "Lai tra gop", "Am")))), "Bang 0"))</f>
        <v>Lai phat sinh</v>
      </c>
    </row>
    <row r="194" spans="1:7" x14ac:dyDescent="0.3">
      <c r="A194" s="64">
        <v>43668</v>
      </c>
      <c r="B194" s="33">
        <v>-103581.89</v>
      </c>
      <c r="C194" t="s">
        <v>49</v>
      </c>
      <c r="E194" t="str">
        <f>IF(OR(C194="Transaction",C194="Interests",C194="Misc",C194="Account Transfer"), IF(C194="Transaction", IF(B194&lt;0, "Du no", "Da thanh toan"), IF(C194="Interests", "Lai", IF(C194="Misc", "Phi", IF(C194="Account Transfer", IF(OR(ISNUMBER(SEARCH("Trich lai tra gop the TD", D194)), ISNUMBER(SEARCH("Chuyen lai tra gop con lai sang du no thong thuong khi BadDebt", D194))), IF(B194&lt;0, "Lai tra gop", ""), "" )))))) &amp; " " &amp; IF(C194="Interests", TEXT(EDATE(IF(DAY(A194)&gt;=11, A194, EDATE(A194,-1)), -1),"yyyy-mm"), TEXT(IF(DAY(A194)&gt;=11, A194, EDATE(A194,-1)),"yyyy-mm"))</f>
        <v>Lai 2019-06</v>
      </c>
      <c r="F194" s="7">
        <f>IF(ISNUMBER(B194), ROUND(SUMIFS($B$2:$B$10000, $E$2:$E$10000, E194, $B$2:$B$10000, IF(B194&lt;0, "&lt;0", "&gt;0")), 0), "")</f>
        <v>-2112268</v>
      </c>
      <c r="G194" s="8" t="str">
        <f>IF(F194&gt;0, IF(C194="Transaction", "Da thanh toan", "Duong"), IF(F194&lt;0, IF(C194="Transaction", "Du no", IF(C194="Interests", "Lai phat sinh", IF(C194="Misc", "Phi", IF(C194="Account Transfer", "Lai tra gop", "Am")))), "Bang 0"))</f>
        <v>Lai phat sinh</v>
      </c>
    </row>
    <row r="195" spans="1:7" x14ac:dyDescent="0.3">
      <c r="A195" s="64">
        <v>43657</v>
      </c>
      <c r="B195" s="33">
        <v>-617171.74</v>
      </c>
      <c r="C195" t="s">
        <v>49</v>
      </c>
      <c r="E195" t="str">
        <f>IF(OR(C195="Transaction",C195="Interests",C195="Misc",C195="Account Transfer"), IF(C195="Transaction", IF(B195&lt;0, "Du no", "Da thanh toan"), IF(C195="Interests", "Lai", IF(C195="Misc", "Phi", IF(C195="Account Transfer", IF(OR(ISNUMBER(SEARCH("Trich lai tra gop the TD", D195)), ISNUMBER(SEARCH("Chuyen lai tra gop con lai sang du no thong thuong khi BadDebt", D195))), IF(B195&lt;0, "Lai tra gop", ""), "" )))))) &amp; " " &amp; IF(C195="Interests", TEXT(EDATE(IF(DAY(A195)&gt;=11, A195, EDATE(A195,-1)), -1),"yyyy-mm"), TEXT(IF(DAY(A195)&gt;=11, A195, EDATE(A195,-1)),"yyyy-mm"))</f>
        <v>Lai 2019-06</v>
      </c>
      <c r="F195" s="7">
        <f>IF(ISNUMBER(B195), ROUND(SUMIFS($B$2:$B$10000, $E$2:$E$10000, E195, $B$2:$B$10000, IF(B195&lt;0, "&lt;0", "&gt;0")), 0), "")</f>
        <v>-2112268</v>
      </c>
      <c r="G195" s="8" t="str">
        <f>IF(F195&gt;0, IF(C195="Transaction", "Da thanh toan", "Duong"), IF(F195&lt;0, IF(C195="Transaction", "Du no", IF(C195="Interests", "Lai phat sinh", IF(C195="Misc", "Phi", IF(C195="Account Transfer", "Lai tra gop", "Am")))), "Bang 0"))</f>
        <v>Lai phat sinh</v>
      </c>
    </row>
    <row r="196" spans="1:7" x14ac:dyDescent="0.3">
      <c r="A196" s="64">
        <v>43657</v>
      </c>
      <c r="B196" s="33">
        <v>-38638.019999999997</v>
      </c>
      <c r="C196" t="s">
        <v>49</v>
      </c>
      <c r="E196" t="str">
        <f>IF(OR(C196="Transaction",C196="Interests",C196="Misc",C196="Account Transfer"), IF(C196="Transaction", IF(B196&lt;0, "Du no", "Da thanh toan"), IF(C196="Interests", "Lai", IF(C196="Misc", "Phi", IF(C196="Account Transfer", IF(OR(ISNUMBER(SEARCH("Trich lai tra gop the TD", D196)), ISNUMBER(SEARCH("Chuyen lai tra gop con lai sang du no thong thuong khi BadDebt", D196))), IF(B196&lt;0, "Lai tra gop", ""), "" )))))) &amp; " " &amp; IF(C196="Interests", TEXT(EDATE(IF(DAY(A196)&gt;=11, A196, EDATE(A196,-1)), -1),"yyyy-mm"), TEXT(IF(DAY(A196)&gt;=11, A196, EDATE(A196,-1)),"yyyy-mm"))</f>
        <v>Lai 2019-06</v>
      </c>
      <c r="F196" s="7">
        <f>IF(ISNUMBER(B196), ROUND(SUMIFS($B$2:$B$10000, $E$2:$E$10000, E196, $B$2:$B$10000, IF(B196&lt;0, "&lt;0", "&gt;0")), 0), "")</f>
        <v>-2112268</v>
      </c>
      <c r="G196" s="8" t="str">
        <f>IF(F196&gt;0, IF(C196="Transaction", "Da thanh toan", "Duong"), IF(F196&lt;0, IF(C196="Transaction", "Du no", IF(C196="Interests", "Lai phat sinh", IF(C196="Misc", "Phi", IF(C196="Account Transfer", "Lai tra gop", "Am")))), "Bang 0"))</f>
        <v>Lai phat sinh</v>
      </c>
    </row>
    <row r="197" spans="1:7" x14ac:dyDescent="0.3">
      <c r="A197" s="64">
        <v>43657</v>
      </c>
      <c r="B197" s="33">
        <v>-1352876.71</v>
      </c>
      <c r="C197" t="s">
        <v>49</v>
      </c>
      <c r="E197" t="str">
        <f>IF(OR(C197="Transaction",C197="Interests",C197="Misc",C197="Account Transfer"), IF(C197="Transaction", IF(B197&lt;0, "Du no", "Da thanh toan"), IF(C197="Interests", "Lai", IF(C197="Misc", "Phi", IF(C197="Account Transfer", IF(OR(ISNUMBER(SEARCH("Trich lai tra gop the TD", D197)), ISNUMBER(SEARCH("Chuyen lai tra gop con lai sang du no thong thuong khi BadDebt", D197))), IF(B197&lt;0, "Lai tra gop", ""), "" )))))) &amp; " " &amp; IF(C197="Interests", TEXT(EDATE(IF(DAY(A197)&gt;=11, A197, EDATE(A197,-1)), -1),"yyyy-mm"), TEXT(IF(DAY(A197)&gt;=11, A197, EDATE(A197,-1)),"yyyy-mm"))</f>
        <v>Lai 2019-06</v>
      </c>
      <c r="F197" s="7">
        <f>IF(ISNUMBER(B197), ROUND(SUMIFS($B$2:$B$10000, $E$2:$E$10000, E197, $B$2:$B$10000, IF(B197&lt;0, "&lt;0", "&gt;0")), 0), "")</f>
        <v>-2112268</v>
      </c>
      <c r="G197" s="8" t="str">
        <f>IF(F197&gt;0, IF(C197="Transaction", "Da thanh toan", "Duong"), IF(F197&lt;0, IF(C197="Transaction", "Du no", IF(C197="Interests", "Lai phat sinh", IF(C197="Misc", "Phi", IF(C197="Account Transfer", "Lai tra gop", "Am")))), "Bang 0"))</f>
        <v>Lai phat sinh</v>
      </c>
    </row>
    <row r="198" spans="1:7" x14ac:dyDescent="0.3">
      <c r="A198" s="64">
        <v>43627</v>
      </c>
      <c r="B198" s="33">
        <v>-551701.22</v>
      </c>
      <c r="C198" t="s">
        <v>49</v>
      </c>
      <c r="E198" t="str">
        <f>IF(OR(C198="Transaction",C198="Interests",C198="Misc",C198="Account Transfer"), IF(C198="Transaction", IF(B198&lt;0, "Du no", "Da thanh toan"), IF(C198="Interests", "Lai", IF(C198="Misc", "Phi", IF(C198="Account Transfer", IF(OR(ISNUMBER(SEARCH("Trich lai tra gop the TD", D198)), ISNUMBER(SEARCH("Chuyen lai tra gop con lai sang du no thong thuong khi BadDebt", D198))), IF(B198&lt;0, "Lai tra gop", ""), "" )))))) &amp; " " &amp; IF(C198="Interests", TEXT(EDATE(IF(DAY(A198)&gt;=11, A198, EDATE(A198,-1)), -1),"yyyy-mm"), TEXT(IF(DAY(A198)&gt;=11, A198, EDATE(A198,-1)),"yyyy-mm"))</f>
        <v>Lai 2019-05</v>
      </c>
      <c r="F198" s="7">
        <f>IF(ISNUMBER(B198), ROUND(SUMIFS($B$2:$B$10000, $E$2:$E$10000, E198, $B$2:$B$10000, IF(B198&lt;0, "&lt;0", "&gt;0")), 0), "")</f>
        <v>-1909231</v>
      </c>
      <c r="G198" s="8" t="str">
        <f>IF(F198&gt;0, IF(C198="Transaction", "Da thanh toan", "Duong"), IF(F198&lt;0, IF(C198="Transaction", "Du no", IF(C198="Interests", "Lai phat sinh", IF(C198="Misc", "Phi", IF(C198="Account Transfer", "Lai tra gop", "Am")))), "Bang 0"))</f>
        <v>Lai phat sinh</v>
      </c>
    </row>
    <row r="199" spans="1:7" x14ac:dyDescent="0.3">
      <c r="A199" s="64">
        <v>43627</v>
      </c>
      <c r="B199" s="33">
        <v>-37694.370000000003</v>
      </c>
      <c r="C199" t="s">
        <v>49</v>
      </c>
      <c r="E199" t="str">
        <f>IF(OR(C199="Transaction",C199="Interests",C199="Misc",C199="Account Transfer"), IF(C199="Transaction", IF(B199&lt;0, "Du no", "Da thanh toan"), IF(C199="Interests", "Lai", IF(C199="Misc", "Phi", IF(C199="Account Transfer", IF(OR(ISNUMBER(SEARCH("Trich lai tra gop the TD", D199)), ISNUMBER(SEARCH("Chuyen lai tra gop con lai sang du no thong thuong khi BadDebt", D199))), IF(B199&lt;0, "Lai tra gop", ""), "" )))))) &amp; " " &amp; IF(C199="Interests", TEXT(EDATE(IF(DAY(A199)&gt;=11, A199, EDATE(A199,-1)), -1),"yyyy-mm"), TEXT(IF(DAY(A199)&gt;=11, A199, EDATE(A199,-1)),"yyyy-mm"))</f>
        <v>Lai 2019-05</v>
      </c>
      <c r="F199" s="7">
        <f>IF(ISNUMBER(B199), ROUND(SUMIFS($B$2:$B$10000, $E$2:$E$10000, E199, $B$2:$B$10000, IF(B199&lt;0, "&lt;0", "&gt;0")), 0), "")</f>
        <v>-1909231</v>
      </c>
      <c r="G199" s="8" t="str">
        <f>IF(F199&gt;0, IF(C199="Transaction", "Da thanh toan", "Duong"), IF(F199&lt;0, IF(C199="Transaction", "Du no", IF(C199="Interests", "Lai phat sinh", IF(C199="Misc", "Phi", IF(C199="Account Transfer", "Lai tra gop", "Am")))), "Bang 0"))</f>
        <v>Lai phat sinh</v>
      </c>
    </row>
    <row r="200" spans="1:7" x14ac:dyDescent="0.3">
      <c r="A200" s="64">
        <v>43627</v>
      </c>
      <c r="B200" s="33">
        <v>-1319835.6200000001</v>
      </c>
      <c r="C200" t="s">
        <v>49</v>
      </c>
      <c r="E200" t="str">
        <f>IF(OR(C200="Transaction",C200="Interests",C200="Misc",C200="Account Transfer"), IF(C200="Transaction", IF(B200&lt;0, "Du no", "Da thanh toan"), IF(C200="Interests", "Lai", IF(C200="Misc", "Phi", IF(C200="Account Transfer", IF(OR(ISNUMBER(SEARCH("Trich lai tra gop the TD", D200)), ISNUMBER(SEARCH("Chuyen lai tra gop con lai sang du no thong thuong khi BadDebt", D200))), IF(B200&lt;0, "Lai tra gop", ""), "" )))))) &amp; " " &amp; IF(C200="Interests", TEXT(EDATE(IF(DAY(A200)&gt;=11, A200, EDATE(A200,-1)), -1),"yyyy-mm"), TEXT(IF(DAY(A200)&gt;=11, A200, EDATE(A200,-1)),"yyyy-mm"))</f>
        <v>Lai 2019-05</v>
      </c>
      <c r="F200" s="7">
        <f>IF(ISNUMBER(B200), ROUND(SUMIFS($B$2:$B$10000, $E$2:$E$10000, E200, $B$2:$B$10000, IF(B200&lt;0, "&lt;0", "&gt;0")), 0), "")</f>
        <v>-1909231</v>
      </c>
      <c r="G200" s="8" t="str">
        <f>IF(F200&gt;0, IF(C200="Transaction", "Da thanh toan", "Duong"), IF(F200&lt;0, IF(C200="Transaction", "Du no", IF(C200="Interests", "Lai phat sinh", IF(C200="Misc", "Phi", IF(C200="Account Transfer", "Lai tra gop", "Am")))), "Bang 0"))</f>
        <v>Lai phat sinh</v>
      </c>
    </row>
    <row r="201" spans="1:7" x14ac:dyDescent="0.3">
      <c r="A201" s="64">
        <v>43596</v>
      </c>
      <c r="B201" s="33">
        <v>-487881.65</v>
      </c>
      <c r="C201" t="s">
        <v>49</v>
      </c>
      <c r="E201" t="str">
        <f>IF(OR(C201="Transaction",C201="Interests",C201="Misc",C201="Account Transfer"), IF(C201="Transaction", IF(B201&lt;0, "Du no", "Da thanh toan"), IF(C201="Interests", "Lai", IF(C201="Misc", "Phi", IF(C201="Account Transfer", IF(OR(ISNUMBER(SEARCH("Trich lai tra gop the TD", D201)), ISNUMBER(SEARCH("Chuyen lai tra gop con lai sang du no thong thuong khi BadDebt", D201))), IF(B201&lt;0, "Lai tra gop", ""), "" )))))) &amp; " " &amp; IF(C201="Interests", TEXT(EDATE(IF(DAY(A201)&gt;=11, A201, EDATE(A201,-1)), -1),"yyyy-mm"), TEXT(IF(DAY(A201)&gt;=11, A201, EDATE(A201,-1)),"yyyy-mm"))</f>
        <v>Lai 2019-04</v>
      </c>
      <c r="F201" s="7">
        <f>IF(ISNUMBER(B201), ROUND(SUMIFS($B$2:$B$10000, $E$2:$E$10000, E201, $B$2:$B$10000, IF(B201&lt;0, "&lt;0", "&gt;0")), 0), "")</f>
        <v>-1801620</v>
      </c>
      <c r="G201" s="8" t="str">
        <f>IF(F201&gt;0, IF(C201="Transaction", "Da thanh toan", "Duong"), IF(F201&lt;0, IF(C201="Transaction", "Du no", IF(C201="Interests", "Lai phat sinh", IF(C201="Misc", "Phi", IF(C201="Account Transfer", "Lai tra gop", "Am")))), "Bang 0"))</f>
        <v>Lai phat sinh</v>
      </c>
    </row>
    <row r="202" spans="1:7" x14ac:dyDescent="0.3">
      <c r="A202" s="64">
        <v>43596</v>
      </c>
      <c r="B202" s="33">
        <v>-36478.43</v>
      </c>
      <c r="C202" t="s">
        <v>49</v>
      </c>
      <c r="E202" t="str">
        <f>IF(OR(C202="Transaction",C202="Interests",C202="Misc",C202="Account Transfer"), IF(C202="Transaction", IF(B202&lt;0, "Du no", "Da thanh toan"), IF(C202="Interests", "Lai", IF(C202="Misc", "Phi", IF(C202="Account Transfer", IF(OR(ISNUMBER(SEARCH("Trich lai tra gop the TD", D202)), ISNUMBER(SEARCH("Chuyen lai tra gop con lai sang du no thong thuong khi BadDebt", D202))), IF(B202&lt;0, "Lai tra gop", ""), "" )))))) &amp; " " &amp; IF(C202="Interests", TEXT(EDATE(IF(DAY(A202)&gt;=11, A202, EDATE(A202,-1)), -1),"yyyy-mm"), TEXT(IF(DAY(A202)&gt;=11, A202, EDATE(A202,-1)),"yyyy-mm"))</f>
        <v>Lai 2019-04</v>
      </c>
      <c r="F202" s="7">
        <f>IF(ISNUMBER(B202), ROUND(SUMIFS($B$2:$B$10000, $E$2:$E$10000, E202, $B$2:$B$10000, IF(B202&lt;0, "&lt;0", "&gt;0")), 0), "")</f>
        <v>-1801620</v>
      </c>
      <c r="G202" s="8" t="str">
        <f>IF(F202&gt;0, IF(C202="Transaction", "Da thanh toan", "Duong"), IF(F202&lt;0, IF(C202="Transaction", "Du no", IF(C202="Interests", "Lai phat sinh", IF(C202="Misc", "Phi", IF(C202="Account Transfer", "Lai tra gop", "Am")))), "Bang 0"))</f>
        <v>Lai phat sinh</v>
      </c>
    </row>
    <row r="203" spans="1:7" x14ac:dyDescent="0.3">
      <c r="A203" s="64">
        <v>43596</v>
      </c>
      <c r="B203" s="33">
        <v>-1277260.27</v>
      </c>
      <c r="C203" t="s">
        <v>49</v>
      </c>
      <c r="E203" t="str">
        <f>IF(OR(C203="Transaction",C203="Interests",C203="Misc",C203="Account Transfer"), IF(C203="Transaction", IF(B203&lt;0, "Du no", "Da thanh toan"), IF(C203="Interests", "Lai", IF(C203="Misc", "Phi", IF(C203="Account Transfer", IF(OR(ISNUMBER(SEARCH("Trich lai tra gop the TD", D203)), ISNUMBER(SEARCH("Chuyen lai tra gop con lai sang du no thong thuong khi BadDebt", D203))), IF(B203&lt;0, "Lai tra gop", ""), "" )))))) &amp; " " &amp; IF(C203="Interests", TEXT(EDATE(IF(DAY(A203)&gt;=11, A203, EDATE(A203,-1)), -1),"yyyy-mm"), TEXT(IF(DAY(A203)&gt;=11, A203, EDATE(A203,-1)),"yyyy-mm"))</f>
        <v>Lai 2019-04</v>
      </c>
      <c r="F203" s="7">
        <f>IF(ISNUMBER(B203), ROUND(SUMIFS($B$2:$B$10000, $E$2:$E$10000, E203, $B$2:$B$10000, IF(B203&lt;0, "&lt;0", "&gt;0")), 0), "")</f>
        <v>-1801620</v>
      </c>
      <c r="G203" s="8" t="str">
        <f>IF(F203&gt;0, IF(C203="Transaction", "Da thanh toan", "Duong"), IF(F203&lt;0, IF(C203="Transaction", "Du no", IF(C203="Interests", "Lai phat sinh", IF(C203="Misc", "Phi", IF(C203="Account Transfer", "Lai tra gop", "Am")))), "Bang 0"))</f>
        <v>Lai phat sinh</v>
      </c>
    </row>
    <row r="204" spans="1:7" x14ac:dyDescent="0.3">
      <c r="A204" s="64">
        <v>43566</v>
      </c>
      <c r="B204" s="33">
        <v>-456266.12</v>
      </c>
      <c r="C204" t="s">
        <v>49</v>
      </c>
      <c r="E204" t="str">
        <f>IF(OR(C204="Transaction",C204="Interests",C204="Misc",C204="Account Transfer"), IF(C204="Transaction", IF(B204&lt;0, "Du no", "Da thanh toan"), IF(C204="Interests", "Lai", IF(C204="Misc", "Phi", IF(C204="Account Transfer", IF(OR(ISNUMBER(SEARCH("Trich lai tra gop the TD", D204)), ISNUMBER(SEARCH("Chuyen lai tra gop con lai sang du no thong thuong khi BadDebt", D204))), IF(B204&lt;0, "Lai tra gop", ""), "" )))))) &amp; " " &amp; IF(C204="Interests", TEXT(EDATE(IF(DAY(A204)&gt;=11, A204, EDATE(A204,-1)), -1),"yyyy-mm"), TEXT(IF(DAY(A204)&gt;=11, A204, EDATE(A204,-1)),"yyyy-mm"))</f>
        <v>Lai 2019-03</v>
      </c>
      <c r="F204" s="7">
        <f>IF(ISNUMBER(B204), ROUND(SUMIFS($B$2:$B$10000, $E$2:$E$10000, E204, $B$2:$B$10000, IF(B204&lt;0, "&lt;0", "&gt;0")), 0), "")</f>
        <v>-1813796</v>
      </c>
      <c r="G204" s="8" t="str">
        <f>IF(F204&gt;0, IF(C204="Transaction", "Da thanh toan", "Duong"), IF(F204&lt;0, IF(C204="Transaction", "Du no", IF(C204="Interests", "Lai phat sinh", IF(C204="Misc", "Phi", IF(C204="Account Transfer", "Lai tra gop", "Am")))), "Bang 0"))</f>
        <v>Lai phat sinh</v>
      </c>
    </row>
    <row r="205" spans="1:7" x14ac:dyDescent="0.3">
      <c r="A205" s="64">
        <v>43566</v>
      </c>
      <c r="B205" s="33">
        <v>-37694.370000000003</v>
      </c>
      <c r="C205" t="s">
        <v>49</v>
      </c>
      <c r="E205" t="str">
        <f>IF(OR(C205="Transaction",C205="Interests",C205="Misc",C205="Account Transfer"), IF(C205="Transaction", IF(B205&lt;0, "Du no", "Da thanh toan"), IF(C205="Interests", "Lai", IF(C205="Misc", "Phi", IF(C205="Account Transfer", IF(OR(ISNUMBER(SEARCH("Trich lai tra gop the TD", D205)), ISNUMBER(SEARCH("Chuyen lai tra gop con lai sang du no thong thuong khi BadDebt", D205))), IF(B205&lt;0, "Lai tra gop", ""), "" )))))) &amp; " " &amp; IF(C205="Interests", TEXT(EDATE(IF(DAY(A205)&gt;=11, A205, EDATE(A205,-1)), -1),"yyyy-mm"), TEXT(IF(DAY(A205)&gt;=11, A205, EDATE(A205,-1)),"yyyy-mm"))</f>
        <v>Lai 2019-03</v>
      </c>
      <c r="F205" s="7">
        <f>IF(ISNUMBER(B205), ROUND(SUMIFS($B$2:$B$10000, $E$2:$E$10000, E205, $B$2:$B$10000, IF(B205&lt;0, "&lt;0", "&gt;0")), 0), "")</f>
        <v>-1813796</v>
      </c>
      <c r="G205" s="8" t="str">
        <f>IF(F205&gt;0, IF(C205="Transaction", "Da thanh toan", "Duong"), IF(F205&lt;0, IF(C205="Transaction", "Du no", IF(C205="Interests", "Lai phat sinh", IF(C205="Misc", "Phi", IF(C205="Account Transfer", "Lai tra gop", "Am")))), "Bang 0"))</f>
        <v>Lai phat sinh</v>
      </c>
    </row>
    <row r="206" spans="1:7" x14ac:dyDescent="0.3">
      <c r="A206" s="64">
        <v>43566</v>
      </c>
      <c r="B206" s="33">
        <v>-1319835.6200000001</v>
      </c>
      <c r="C206" t="s">
        <v>49</v>
      </c>
      <c r="E206" t="str">
        <f>IF(OR(C206="Transaction",C206="Interests",C206="Misc",C206="Account Transfer"), IF(C206="Transaction", IF(B206&lt;0, "Du no", "Da thanh toan"), IF(C206="Interests", "Lai", IF(C206="Misc", "Phi", IF(C206="Account Transfer", IF(OR(ISNUMBER(SEARCH("Trich lai tra gop the TD", D206)), ISNUMBER(SEARCH("Chuyen lai tra gop con lai sang du no thong thuong khi BadDebt", D206))), IF(B206&lt;0, "Lai tra gop", ""), "" )))))) &amp; " " &amp; IF(C206="Interests", TEXT(EDATE(IF(DAY(A206)&gt;=11, A206, EDATE(A206,-1)), -1),"yyyy-mm"), TEXT(IF(DAY(A206)&gt;=11, A206, EDATE(A206,-1)),"yyyy-mm"))</f>
        <v>Lai 2019-03</v>
      </c>
      <c r="F206" s="7">
        <f>IF(ISNUMBER(B206), ROUND(SUMIFS($B$2:$B$10000, $E$2:$E$10000, E206, $B$2:$B$10000, IF(B206&lt;0, "&lt;0", "&gt;0")), 0), "")</f>
        <v>-1813796</v>
      </c>
      <c r="G206" s="8" t="str">
        <f>IF(F206&gt;0, IF(C206="Transaction", "Da thanh toan", "Duong"), IF(F206&lt;0, IF(C206="Transaction", "Du no", IF(C206="Interests", "Lai phat sinh", IF(C206="Misc", "Phi", IF(C206="Account Transfer", "Lai tra gop", "Am")))), "Bang 0"))</f>
        <v>Lai phat sinh</v>
      </c>
    </row>
    <row r="207" spans="1:7" x14ac:dyDescent="0.3">
      <c r="A207" s="64">
        <v>43535</v>
      </c>
      <c r="B207" s="33">
        <v>-373961.03</v>
      </c>
      <c r="C207" t="s">
        <v>49</v>
      </c>
      <c r="E207" t="str">
        <f>IF(OR(C207="Transaction",C207="Interests",C207="Misc",C207="Account Transfer"), IF(C207="Transaction", IF(B207&lt;0, "Du no", "Da thanh toan"), IF(C207="Interests", "Lai", IF(C207="Misc", "Phi", IF(C207="Account Transfer", IF(OR(ISNUMBER(SEARCH("Trich lai tra gop the TD", D207)), ISNUMBER(SEARCH("Chuyen lai tra gop con lai sang du no thong thuong khi BadDebt", D207))), IF(B207&lt;0, "Lai tra gop", ""), "" )))))) &amp; " " &amp; IF(C207="Interests", TEXT(EDATE(IF(DAY(A207)&gt;=11, A207, EDATE(A207,-1)), -1),"yyyy-mm"), TEXT(IF(DAY(A207)&gt;=11, A207, EDATE(A207,-1)),"yyyy-mm"))</f>
        <v>Lai 2019-02</v>
      </c>
      <c r="F207" s="7">
        <f>IF(ISNUMBER(B207), ROUND(SUMIFS($B$2:$B$10000, $E$2:$E$10000, E207, $B$2:$B$10000, IF(B207&lt;0, "&lt;0", "&gt;0")), 0), "")</f>
        <v>-1600117</v>
      </c>
      <c r="G207" s="8" t="str">
        <f>IF(F207&gt;0, IF(C207="Transaction", "Da thanh toan", "Duong"), IF(F207&lt;0, IF(C207="Transaction", "Du no", IF(C207="Interests", "Lai phat sinh", IF(C207="Misc", "Phi", IF(C207="Account Transfer", "Lai tra gop", "Am")))), "Bang 0"))</f>
        <v>Lai phat sinh</v>
      </c>
    </row>
    <row r="208" spans="1:7" x14ac:dyDescent="0.3">
      <c r="A208" s="64">
        <v>43535</v>
      </c>
      <c r="B208" s="33">
        <v>-34046.53</v>
      </c>
      <c r="C208" t="s">
        <v>49</v>
      </c>
      <c r="E208" t="str">
        <f>IF(OR(C208="Transaction",C208="Interests",C208="Misc",C208="Account Transfer"), IF(C208="Transaction", IF(B208&lt;0, "Du no", "Da thanh toan"), IF(C208="Interests", "Lai", IF(C208="Misc", "Phi", IF(C208="Account Transfer", IF(OR(ISNUMBER(SEARCH("Trich lai tra gop the TD", D208)), ISNUMBER(SEARCH("Chuyen lai tra gop con lai sang du no thong thuong khi BadDebt", D208))), IF(B208&lt;0, "Lai tra gop", ""), "" )))))) &amp; " " &amp; IF(C208="Interests", TEXT(EDATE(IF(DAY(A208)&gt;=11, A208, EDATE(A208,-1)), -1),"yyyy-mm"), TEXT(IF(DAY(A208)&gt;=11, A208, EDATE(A208,-1)),"yyyy-mm"))</f>
        <v>Lai 2019-02</v>
      </c>
      <c r="F208" s="7">
        <f>IF(ISNUMBER(B208), ROUND(SUMIFS($B$2:$B$10000, $E$2:$E$10000, E208, $B$2:$B$10000, IF(B208&lt;0, "&lt;0", "&gt;0")), 0), "")</f>
        <v>-1600117</v>
      </c>
      <c r="G208" s="8" t="str">
        <f>IF(F208&gt;0, IF(C208="Transaction", "Da thanh toan", "Duong"), IF(F208&lt;0, IF(C208="Transaction", "Du no", IF(C208="Interests", "Lai phat sinh", IF(C208="Misc", "Phi", IF(C208="Account Transfer", "Lai tra gop", "Am")))), "Bang 0"))</f>
        <v>Lai phat sinh</v>
      </c>
    </row>
    <row r="209" spans="1:7" x14ac:dyDescent="0.3">
      <c r="A209" s="64">
        <v>43535</v>
      </c>
      <c r="B209" s="33">
        <v>-1192109.5900000001</v>
      </c>
      <c r="C209" t="s">
        <v>49</v>
      </c>
      <c r="E209" t="str">
        <f>IF(OR(C209="Transaction",C209="Interests",C209="Misc",C209="Account Transfer"), IF(C209="Transaction", IF(B209&lt;0, "Du no", "Da thanh toan"), IF(C209="Interests", "Lai", IF(C209="Misc", "Phi", IF(C209="Account Transfer", IF(OR(ISNUMBER(SEARCH("Trich lai tra gop the TD", D209)), ISNUMBER(SEARCH("Chuyen lai tra gop con lai sang du no thong thuong khi BadDebt", D209))), IF(B209&lt;0, "Lai tra gop", ""), "" )))))) &amp; " " &amp; IF(C209="Interests", TEXT(EDATE(IF(DAY(A209)&gt;=11, A209, EDATE(A209,-1)), -1),"yyyy-mm"), TEXT(IF(DAY(A209)&gt;=11, A209, EDATE(A209,-1)),"yyyy-mm"))</f>
        <v>Lai 2019-02</v>
      </c>
      <c r="F209" s="7">
        <f>IF(ISNUMBER(B209), ROUND(SUMIFS($B$2:$B$10000, $E$2:$E$10000, E209, $B$2:$B$10000, IF(B209&lt;0, "&lt;0", "&gt;0")), 0), "")</f>
        <v>-1600117</v>
      </c>
      <c r="G209" s="8" t="str">
        <f>IF(F209&gt;0, IF(C209="Transaction", "Da thanh toan", "Duong"), IF(F209&lt;0, IF(C209="Transaction", "Du no", IF(C209="Interests", "Lai phat sinh", IF(C209="Misc", "Phi", IF(C209="Account Transfer", "Lai tra gop", "Am")))), "Bang 0"))</f>
        <v>Lai phat sinh</v>
      </c>
    </row>
    <row r="210" spans="1:7" x14ac:dyDescent="0.3">
      <c r="A210" s="64">
        <v>43507</v>
      </c>
      <c r="B210" s="33">
        <v>-368467.62</v>
      </c>
      <c r="C210" t="s">
        <v>49</v>
      </c>
      <c r="E210" t="str">
        <f>IF(OR(C210="Transaction",C210="Interests",C210="Misc",C210="Account Transfer"), IF(C210="Transaction", IF(B210&lt;0, "Du no", "Da thanh toan"), IF(C210="Interests", "Lai", IF(C210="Misc", "Phi", IF(C210="Account Transfer", IF(OR(ISNUMBER(SEARCH("Trich lai tra gop the TD", D210)), ISNUMBER(SEARCH("Chuyen lai tra gop con lai sang du no thong thuong khi BadDebt", D210))), IF(B210&lt;0, "Lai tra gop", ""), "" )))))) &amp; " " &amp; IF(C210="Interests", TEXT(EDATE(IF(DAY(A210)&gt;=11, A210, EDATE(A210,-1)), -1),"yyyy-mm"), TEXT(IF(DAY(A210)&gt;=11, A210, EDATE(A210,-1)),"yyyy-mm"))</f>
        <v>Lai 2019-01</v>
      </c>
      <c r="F210" s="7">
        <f>IF(ISNUMBER(B210), ROUND(SUMIFS($B$2:$B$10000, $E$2:$E$10000, E210, $B$2:$B$10000, IF(B210&lt;0, "&lt;0", "&gt;0")), 0), "")</f>
        <v>-1725998</v>
      </c>
      <c r="G210" s="8" t="str">
        <f>IF(F210&gt;0, IF(C210="Transaction", "Da thanh toan", "Duong"), IF(F210&lt;0, IF(C210="Transaction", "Du no", IF(C210="Interests", "Lai phat sinh", IF(C210="Misc", "Phi", IF(C210="Account Transfer", "Lai tra gop", "Am")))), "Bang 0"))</f>
        <v>Lai phat sinh</v>
      </c>
    </row>
    <row r="211" spans="1:7" x14ac:dyDescent="0.3">
      <c r="A211" s="64">
        <v>43507</v>
      </c>
      <c r="B211" s="33">
        <v>-37694.370000000003</v>
      </c>
      <c r="C211" t="s">
        <v>49</v>
      </c>
      <c r="E211" t="str">
        <f>IF(OR(C211="Transaction",C211="Interests",C211="Misc",C211="Account Transfer"), IF(C211="Transaction", IF(B211&lt;0, "Du no", "Da thanh toan"), IF(C211="Interests", "Lai", IF(C211="Misc", "Phi", IF(C211="Account Transfer", IF(OR(ISNUMBER(SEARCH("Trich lai tra gop the TD", D211)), ISNUMBER(SEARCH("Chuyen lai tra gop con lai sang du no thong thuong khi BadDebt", D211))), IF(B211&lt;0, "Lai tra gop", ""), "" )))))) &amp; " " &amp; IF(C211="Interests", TEXT(EDATE(IF(DAY(A211)&gt;=11, A211, EDATE(A211,-1)), -1),"yyyy-mm"), TEXT(IF(DAY(A211)&gt;=11, A211, EDATE(A211,-1)),"yyyy-mm"))</f>
        <v>Lai 2019-01</v>
      </c>
      <c r="F211" s="7">
        <f>IF(ISNUMBER(B211), ROUND(SUMIFS($B$2:$B$10000, $E$2:$E$10000, E211, $B$2:$B$10000, IF(B211&lt;0, "&lt;0", "&gt;0")), 0), "")</f>
        <v>-1725998</v>
      </c>
      <c r="G211" s="8" t="str">
        <f>IF(F211&gt;0, IF(C211="Transaction", "Da thanh toan", "Duong"), IF(F211&lt;0, IF(C211="Transaction", "Du no", IF(C211="Interests", "Lai phat sinh", IF(C211="Misc", "Phi", IF(C211="Account Transfer", "Lai tra gop", "Am")))), "Bang 0"))</f>
        <v>Lai phat sinh</v>
      </c>
    </row>
    <row r="212" spans="1:7" x14ac:dyDescent="0.3">
      <c r="A212" s="64">
        <v>43507</v>
      </c>
      <c r="B212" s="33">
        <v>-1319835.6200000001</v>
      </c>
      <c r="C212" t="s">
        <v>49</v>
      </c>
      <c r="E212" t="str">
        <f>IF(OR(C212="Transaction",C212="Interests",C212="Misc",C212="Account Transfer"), IF(C212="Transaction", IF(B212&lt;0, "Du no", "Da thanh toan"), IF(C212="Interests", "Lai", IF(C212="Misc", "Phi", IF(C212="Account Transfer", IF(OR(ISNUMBER(SEARCH("Trich lai tra gop the TD", D212)), ISNUMBER(SEARCH("Chuyen lai tra gop con lai sang du no thong thuong khi BadDebt", D212))), IF(B212&lt;0, "Lai tra gop", ""), "" )))))) &amp; " " &amp; IF(C212="Interests", TEXT(EDATE(IF(DAY(A212)&gt;=11, A212, EDATE(A212,-1)), -1),"yyyy-mm"), TEXT(IF(DAY(A212)&gt;=11, A212, EDATE(A212,-1)),"yyyy-mm"))</f>
        <v>Lai 2019-01</v>
      </c>
      <c r="F212" s="7">
        <f>IF(ISNUMBER(B212), ROUND(SUMIFS($B$2:$B$10000, $E$2:$E$10000, E212, $B$2:$B$10000, IF(B212&lt;0, "&lt;0", "&gt;0")), 0), "")</f>
        <v>-1725998</v>
      </c>
      <c r="G212" s="8" t="str">
        <f>IF(F212&gt;0, IF(C212="Transaction", "Da thanh toan", "Duong"), IF(F212&lt;0, IF(C212="Transaction", "Du no", IF(C212="Interests", "Lai phat sinh", IF(C212="Misc", "Phi", IF(C212="Account Transfer", "Lai tra gop", "Am")))), "Bang 0"))</f>
        <v>Lai phat sinh</v>
      </c>
    </row>
    <row r="213" spans="1:7" x14ac:dyDescent="0.3">
      <c r="A213" s="64">
        <v>43476</v>
      </c>
      <c r="B213" s="33">
        <v>-324078.68</v>
      </c>
      <c r="C213" t="s">
        <v>49</v>
      </c>
      <c r="E213" t="str">
        <f>IF(OR(C213="Transaction",C213="Interests",C213="Misc",C213="Account Transfer"), IF(C213="Transaction", IF(B213&lt;0, "Du no", "Da thanh toan"), IF(C213="Interests", "Lai", IF(C213="Misc", "Phi", IF(C213="Account Transfer", IF(OR(ISNUMBER(SEARCH("Trich lai tra gop the TD", D213)), ISNUMBER(SEARCH("Chuyen lai tra gop con lai sang du no thong thuong khi BadDebt", D213))), IF(B213&lt;0, "Lai tra gop", ""), "" )))))) &amp; " " &amp; IF(C213="Interests", TEXT(EDATE(IF(DAY(A213)&gt;=11, A213, EDATE(A213,-1)), -1),"yyyy-mm"), TEXT(IF(DAY(A213)&gt;=11, A213, EDATE(A213,-1)),"yyyy-mm"))</f>
        <v>Lai 2018-12</v>
      </c>
      <c r="F213" s="7">
        <f>IF(ISNUMBER(B213), ROUND(SUMIFS($B$2:$B$10000, $E$2:$E$10000, E213, $B$2:$B$10000, IF(B213&lt;0, "&lt;0", "&gt;0")), 0), "")</f>
        <v>-1681609</v>
      </c>
      <c r="G213" s="8" t="str">
        <f>IF(F213&gt;0, IF(C213="Transaction", "Da thanh toan", "Duong"), IF(F213&lt;0, IF(C213="Transaction", "Du no", IF(C213="Interests", "Lai phat sinh", IF(C213="Misc", "Phi", IF(C213="Account Transfer", "Lai tra gop", "Am")))), "Bang 0"))</f>
        <v>Lai phat sinh</v>
      </c>
    </row>
    <row r="214" spans="1:7" x14ac:dyDescent="0.3">
      <c r="A214" s="64">
        <v>43476</v>
      </c>
      <c r="B214" s="33">
        <v>-37694.370000000003</v>
      </c>
      <c r="C214" t="s">
        <v>49</v>
      </c>
      <c r="E214" t="str">
        <f>IF(OR(C214="Transaction",C214="Interests",C214="Misc",C214="Account Transfer"), IF(C214="Transaction", IF(B214&lt;0, "Du no", "Da thanh toan"), IF(C214="Interests", "Lai", IF(C214="Misc", "Phi", IF(C214="Account Transfer", IF(OR(ISNUMBER(SEARCH("Trich lai tra gop the TD", D214)), ISNUMBER(SEARCH("Chuyen lai tra gop con lai sang du no thong thuong khi BadDebt", D214))), IF(B214&lt;0, "Lai tra gop", ""), "" )))))) &amp; " " &amp; IF(C214="Interests", TEXT(EDATE(IF(DAY(A214)&gt;=11, A214, EDATE(A214,-1)), -1),"yyyy-mm"), TEXT(IF(DAY(A214)&gt;=11, A214, EDATE(A214,-1)),"yyyy-mm"))</f>
        <v>Lai 2018-12</v>
      </c>
      <c r="F214" s="7">
        <f>IF(ISNUMBER(B214), ROUND(SUMIFS($B$2:$B$10000, $E$2:$E$10000, E214, $B$2:$B$10000, IF(B214&lt;0, "&lt;0", "&gt;0")), 0), "")</f>
        <v>-1681609</v>
      </c>
      <c r="G214" s="8" t="str">
        <f>IF(F214&gt;0, IF(C214="Transaction", "Da thanh toan", "Duong"), IF(F214&lt;0, IF(C214="Transaction", "Du no", IF(C214="Interests", "Lai phat sinh", IF(C214="Misc", "Phi", IF(C214="Account Transfer", "Lai tra gop", "Am")))), "Bang 0"))</f>
        <v>Lai phat sinh</v>
      </c>
    </row>
    <row r="215" spans="1:7" x14ac:dyDescent="0.3">
      <c r="A215" s="64">
        <v>43476</v>
      </c>
      <c r="B215" s="33">
        <v>-1319835.6200000001</v>
      </c>
      <c r="C215" t="s">
        <v>49</v>
      </c>
      <c r="E215" t="str">
        <f>IF(OR(C215="Transaction",C215="Interests",C215="Misc",C215="Account Transfer"), IF(C215="Transaction", IF(B215&lt;0, "Du no", "Da thanh toan"), IF(C215="Interests", "Lai", IF(C215="Misc", "Phi", IF(C215="Account Transfer", IF(OR(ISNUMBER(SEARCH("Trich lai tra gop the TD", D215)), ISNUMBER(SEARCH("Chuyen lai tra gop con lai sang du no thong thuong khi BadDebt", D215))), IF(B215&lt;0, "Lai tra gop", ""), "" )))))) &amp; " " &amp; IF(C215="Interests", TEXT(EDATE(IF(DAY(A215)&gt;=11, A215, EDATE(A215,-1)), -1),"yyyy-mm"), TEXT(IF(DAY(A215)&gt;=11, A215, EDATE(A215,-1)),"yyyy-mm"))</f>
        <v>Lai 2018-12</v>
      </c>
      <c r="F215" s="7">
        <f>IF(ISNUMBER(B215), ROUND(SUMIFS($B$2:$B$10000, $E$2:$E$10000, E215, $B$2:$B$10000, IF(B215&lt;0, "&lt;0", "&gt;0")), 0), "")</f>
        <v>-1681609</v>
      </c>
      <c r="G215" s="8" t="str">
        <f>IF(F215&gt;0, IF(C215="Transaction", "Da thanh toan", "Duong"), IF(F215&lt;0, IF(C215="Transaction", "Du no", IF(C215="Interests", "Lai phat sinh", IF(C215="Misc", "Phi", IF(C215="Account Transfer", "Lai tra gop", "Am")))), "Bang 0"))</f>
        <v>Lai phat sinh</v>
      </c>
    </row>
    <row r="216" spans="1:7" x14ac:dyDescent="0.3">
      <c r="A216" s="64">
        <v>43445</v>
      </c>
      <c r="B216" s="33">
        <v>-9727.58</v>
      </c>
      <c r="C216" t="s">
        <v>49</v>
      </c>
      <c r="E216" t="str">
        <f>IF(OR(C216="Transaction",C216="Interests",C216="Misc",C216="Account Transfer"), IF(C216="Transaction", IF(B216&lt;0, "Du no", "Da thanh toan"), IF(C216="Interests", "Lai", IF(C216="Misc", "Phi", IF(C216="Account Transfer", IF(OR(ISNUMBER(SEARCH("Trich lai tra gop the TD", D216)), ISNUMBER(SEARCH("Chuyen lai tra gop con lai sang du no thong thuong khi BadDebt", D216))), IF(B216&lt;0, "Lai tra gop", ""), "" )))))) &amp; " " &amp; IF(C216="Interests", TEXT(EDATE(IF(DAY(A216)&gt;=11, A216, EDATE(A216,-1)), -1),"yyyy-mm"), TEXT(IF(DAY(A216)&gt;=11, A216, EDATE(A216,-1)),"yyyy-mm"))</f>
        <v>Lai 2018-11</v>
      </c>
      <c r="F216" s="7">
        <f>IF(ISNUMBER(B216), ROUND(SUMIFS($B$2:$B$10000, $E$2:$E$10000, E216, $B$2:$B$10000, IF(B216&lt;0, "&lt;0", "&gt;0")), 0), "")</f>
        <v>-1585433</v>
      </c>
      <c r="G216" s="8" t="str">
        <f>IF(F216&gt;0, IF(C216="Transaction", "Da thanh toan", "Duong"), IF(F216&lt;0, IF(C216="Transaction", "Du no", IF(C216="Interests", "Lai phat sinh", IF(C216="Misc", "Phi", IF(C216="Account Transfer", "Lai tra gop", "Am")))), "Bang 0"))</f>
        <v>Lai phat sinh</v>
      </c>
    </row>
    <row r="217" spans="1:7" x14ac:dyDescent="0.3">
      <c r="A217" s="64">
        <v>43445</v>
      </c>
      <c r="B217" s="33">
        <v>-72833.149999999994</v>
      </c>
      <c r="C217" t="s">
        <v>49</v>
      </c>
      <c r="E217" t="str">
        <f>IF(OR(C217="Transaction",C217="Interests",C217="Misc",C217="Account Transfer"), IF(C217="Transaction", IF(B217&lt;0, "Du no", "Da thanh toan"), IF(C217="Interests", "Lai", IF(C217="Misc", "Phi", IF(C217="Account Transfer", IF(OR(ISNUMBER(SEARCH("Trich lai tra gop the TD", D217)), ISNUMBER(SEARCH("Chuyen lai tra gop con lai sang du no thong thuong khi BadDebt", D217))), IF(B217&lt;0, "Lai tra gop", ""), "" )))))) &amp; " " &amp; IF(C217="Interests", TEXT(EDATE(IF(DAY(A217)&gt;=11, A217, EDATE(A217,-1)), -1),"yyyy-mm"), TEXT(IF(DAY(A217)&gt;=11, A217, EDATE(A217,-1)),"yyyy-mm"))</f>
        <v>Lai 2018-11</v>
      </c>
      <c r="F217" s="7">
        <f>IF(ISNUMBER(B217), ROUND(SUMIFS($B$2:$B$10000, $E$2:$E$10000, E217, $B$2:$B$10000, IF(B217&lt;0, "&lt;0", "&gt;0")), 0), "")</f>
        <v>-1585433</v>
      </c>
      <c r="G217" s="8" t="str">
        <f>IF(F217&gt;0, IF(C217="Transaction", "Da thanh toan", "Duong"), IF(F217&lt;0, IF(C217="Transaction", "Du no", IF(C217="Interests", "Lai phat sinh", IF(C217="Misc", "Phi", IF(C217="Account Transfer", "Lai tra gop", "Am")))), "Bang 0"))</f>
        <v>Lai phat sinh</v>
      </c>
    </row>
    <row r="218" spans="1:7" x14ac:dyDescent="0.3">
      <c r="A218" s="64">
        <v>43445</v>
      </c>
      <c r="B218" s="33">
        <v>-208806.24</v>
      </c>
      <c r="C218" t="s">
        <v>49</v>
      </c>
      <c r="E218" t="str">
        <f>IF(OR(C218="Transaction",C218="Interests",C218="Misc",C218="Account Transfer"), IF(C218="Transaction", IF(B218&lt;0, "Du no", "Da thanh toan"), IF(C218="Interests", "Lai", IF(C218="Misc", "Phi", IF(C218="Account Transfer", IF(OR(ISNUMBER(SEARCH("Trich lai tra gop the TD", D218)), ISNUMBER(SEARCH("Chuyen lai tra gop con lai sang du no thong thuong khi BadDebt", D218))), IF(B218&lt;0, "Lai tra gop", ""), "" )))))) &amp; " " &amp; IF(C218="Interests", TEXT(EDATE(IF(DAY(A218)&gt;=11, A218, EDATE(A218,-1)), -1),"yyyy-mm"), TEXT(IF(DAY(A218)&gt;=11, A218, EDATE(A218,-1)),"yyyy-mm"))</f>
        <v>Lai 2018-11</v>
      </c>
      <c r="F218" s="7">
        <f>IF(ISNUMBER(B218), ROUND(SUMIFS($B$2:$B$10000, $E$2:$E$10000, E218, $B$2:$B$10000, IF(B218&lt;0, "&lt;0", "&gt;0")), 0), "")</f>
        <v>-1585433</v>
      </c>
      <c r="G218" s="8" t="str">
        <f>IF(F218&gt;0, IF(C218="Transaction", "Da thanh toan", "Duong"), IF(F218&lt;0, IF(C218="Transaction", "Du no", IF(C218="Interests", "Lai phat sinh", IF(C218="Misc", "Phi", IF(C218="Account Transfer", "Lai tra gop", "Am")))), "Bang 0"))</f>
        <v>Lai phat sinh</v>
      </c>
    </row>
    <row r="219" spans="1:7" x14ac:dyDescent="0.3">
      <c r="A219" s="64">
        <v>43445</v>
      </c>
      <c r="B219" s="33">
        <v>-16805.3</v>
      </c>
      <c r="C219" t="s">
        <v>49</v>
      </c>
      <c r="E219" t="str">
        <f>IF(OR(C219="Transaction",C219="Interests",C219="Misc",C219="Account Transfer"), IF(C219="Transaction", IF(B219&lt;0, "Du no", "Da thanh toan"), IF(C219="Interests", "Lai", IF(C219="Misc", "Phi", IF(C219="Account Transfer", IF(OR(ISNUMBER(SEARCH("Trich lai tra gop the TD", D219)), ISNUMBER(SEARCH("Chuyen lai tra gop con lai sang du no thong thuong khi BadDebt", D219))), IF(B219&lt;0, "Lai tra gop", ""), "" )))))) &amp; " " &amp; IF(C219="Interests", TEXT(EDATE(IF(DAY(A219)&gt;=11, A219, EDATE(A219,-1)), -1),"yyyy-mm"), TEXT(IF(DAY(A219)&gt;=11, A219, EDATE(A219,-1)),"yyyy-mm"))</f>
        <v>Lai 2018-11</v>
      </c>
      <c r="F219" s="7">
        <f>IF(ISNUMBER(B219), ROUND(SUMIFS($B$2:$B$10000, $E$2:$E$10000, E219, $B$2:$B$10000, IF(B219&lt;0, "&lt;0", "&gt;0")), 0), "")</f>
        <v>-1585433</v>
      </c>
      <c r="G219" s="8" t="str">
        <f>IF(F219&gt;0, IF(C219="Transaction", "Da thanh toan", "Duong"), IF(F219&lt;0, IF(C219="Transaction", "Du no", IF(C219="Interests", "Lai phat sinh", IF(C219="Misc", "Phi", IF(C219="Account Transfer", "Lai tra gop", "Am")))), "Bang 0"))</f>
        <v>Lai phat sinh</v>
      </c>
    </row>
    <row r="220" spans="1:7" x14ac:dyDescent="0.3">
      <c r="A220" s="64">
        <v>43445</v>
      </c>
      <c r="B220" s="33">
        <v>-340602.74</v>
      </c>
      <c r="C220" t="s">
        <v>49</v>
      </c>
      <c r="E220" t="str">
        <f>IF(OR(C220="Transaction",C220="Interests",C220="Misc",C220="Account Transfer"), IF(C220="Transaction", IF(B220&lt;0, "Du no", "Da thanh toan"), IF(C220="Interests", "Lai", IF(C220="Misc", "Phi", IF(C220="Account Transfer", IF(OR(ISNUMBER(SEARCH("Trich lai tra gop the TD", D220)), ISNUMBER(SEARCH("Chuyen lai tra gop con lai sang du no thong thuong khi BadDebt", D220))), IF(B220&lt;0, "Lai tra gop", ""), "" )))))) &amp; " " &amp; IF(C220="Interests", TEXT(EDATE(IF(DAY(A220)&gt;=11, A220, EDATE(A220,-1)), -1),"yyyy-mm"), TEXT(IF(DAY(A220)&gt;=11, A220, EDATE(A220,-1)),"yyyy-mm"))</f>
        <v>Lai 2018-11</v>
      </c>
      <c r="F220" s="7">
        <f>IF(ISNUMBER(B220), ROUND(SUMIFS($B$2:$B$10000, $E$2:$E$10000, E220, $B$2:$B$10000, IF(B220&lt;0, "&lt;0", "&gt;0")), 0), "")</f>
        <v>-1585433</v>
      </c>
      <c r="G220" s="8" t="str">
        <f>IF(F220&gt;0, IF(C220="Transaction", "Da thanh toan", "Duong"), IF(F220&lt;0, IF(C220="Transaction", "Du no", IF(C220="Interests", "Lai phat sinh", IF(C220="Misc", "Phi", IF(C220="Account Transfer", "Lai tra gop", "Am")))), "Bang 0"))</f>
        <v>Lai phat sinh</v>
      </c>
    </row>
    <row r="221" spans="1:7" x14ac:dyDescent="0.3">
      <c r="A221" s="64">
        <v>43445</v>
      </c>
      <c r="B221" s="33">
        <v>-936657.53</v>
      </c>
      <c r="C221" t="s">
        <v>49</v>
      </c>
      <c r="E221" t="str">
        <f>IF(OR(C221="Transaction",C221="Interests",C221="Misc",C221="Account Transfer"), IF(C221="Transaction", IF(B221&lt;0, "Du no", "Da thanh toan"), IF(C221="Interests", "Lai", IF(C221="Misc", "Phi", IF(C221="Account Transfer", IF(OR(ISNUMBER(SEARCH("Trich lai tra gop the TD", D221)), ISNUMBER(SEARCH("Chuyen lai tra gop con lai sang du no thong thuong khi BadDebt", D221))), IF(B221&lt;0, "Lai tra gop", ""), "" )))))) &amp; " " &amp; IF(C221="Interests", TEXT(EDATE(IF(DAY(A221)&gt;=11, A221, EDATE(A221,-1)), -1),"yyyy-mm"), TEXT(IF(DAY(A221)&gt;=11, A221, EDATE(A221,-1)),"yyyy-mm"))</f>
        <v>Lai 2018-11</v>
      </c>
      <c r="F221" s="7">
        <f>IF(ISNUMBER(B221), ROUND(SUMIFS($B$2:$B$10000, $E$2:$E$10000, E221, $B$2:$B$10000, IF(B221&lt;0, "&lt;0", "&gt;0")), 0), "")</f>
        <v>-1585433</v>
      </c>
      <c r="G221" s="8" t="str">
        <f>IF(F221&gt;0, IF(C221="Transaction", "Da thanh toan", "Duong"), IF(F221&lt;0, IF(C221="Transaction", "Du no", IF(C221="Interests", "Lai phat sinh", IF(C221="Misc", "Phi", IF(C221="Account Transfer", "Lai tra gop", "Am")))), "Bang 0"))</f>
        <v>Lai phat sinh</v>
      </c>
    </row>
    <row r="222" spans="1:7" x14ac:dyDescent="0.3">
      <c r="A222" s="64">
        <v>43417</v>
      </c>
      <c r="B222" s="33">
        <v>5000000</v>
      </c>
      <c r="C222" t="s">
        <v>51</v>
      </c>
      <c r="D222" t="s">
        <v>752</v>
      </c>
      <c r="E222" t="str">
        <f>IF(OR(C222="Transaction",C222="Interests",C222="Misc",C222="Account Transfer"), IF(C222="Transaction", IF(B222&lt;0, "Du no", "Da thanh toan"), IF(C222="Interests", "Lai", IF(C222="Misc", "Phi", IF(C222="Account Transfer", IF(OR(ISNUMBER(SEARCH("Trich lai tra gop the TD", D222)), ISNUMBER(SEARCH("Chuyen lai tra gop con lai sang du no thong thuong khi BadDebt", D222))), IF(B222&lt;0, "Lai tra gop", ""), "" )))))) &amp; " " &amp; IF(C222="Interests", TEXT(EDATE(IF(DAY(A222)&gt;=11, A222, EDATE(A222,-1)), -1),"yyyy-mm"), TEXT(IF(DAY(A222)&gt;=11, A222, EDATE(A222,-1)),"yyyy-mm"))</f>
        <v>Da thanh toan 2018-11</v>
      </c>
      <c r="F222" s="7">
        <f>IF(ISNUMBER(B222), ROUND(SUMIFS($B$2:$B$10000, $E$2:$E$10000, E222, $B$2:$B$10000, IF(B222&lt;0, "&lt;0", "&gt;0")), 0), "")</f>
        <v>5000000</v>
      </c>
      <c r="G222" s="8" t="str">
        <f>IF(F222&gt;0, IF(C222="Transaction", "Da thanh toan", "Duong"), IF(F222&lt;0, IF(C222="Transaction", "Du no", IF(C222="Interests", "Lai phat sinh", IF(C222="Misc", "Phi", IF(C222="Account Transfer", "Lai tra gop", "Am")))), "Bang 0"))</f>
        <v>Da thanh toan</v>
      </c>
    </row>
    <row r="223" spans="1:7" x14ac:dyDescent="0.3">
      <c r="A223" s="64">
        <v>43415</v>
      </c>
      <c r="B223" s="33">
        <v>-369007.06</v>
      </c>
      <c r="C223" t="s">
        <v>49</v>
      </c>
      <c r="E223" t="str">
        <f>IF(OR(C223="Transaction",C223="Interests",C223="Misc",C223="Account Transfer"), IF(C223="Transaction", IF(B223&lt;0, "Du no", "Da thanh toan"), IF(C223="Interests", "Lai", IF(C223="Misc", "Phi", IF(C223="Account Transfer", IF(OR(ISNUMBER(SEARCH("Trich lai tra gop the TD", D223)), ISNUMBER(SEARCH("Chuyen lai tra gop con lai sang du no thong thuong khi BadDebt", D223))), IF(B223&lt;0, "Lai tra gop", ""), "" )))))) &amp; " " &amp; IF(C223="Interests", TEXT(EDATE(IF(DAY(A223)&gt;=11, A223, EDATE(A223,-1)), -1),"yyyy-mm"), TEXT(IF(DAY(A223)&gt;=11, A223, EDATE(A223,-1)),"yyyy-mm"))</f>
        <v>Lai 2018-10</v>
      </c>
      <c r="F223" s="7">
        <f>IF(ISNUMBER(B223), ROUND(SUMIFS($B$2:$B$10000, $E$2:$E$10000, E223, $B$2:$B$10000, IF(B223&lt;0, "&lt;0", "&gt;0")), 0), "")</f>
        <v>-1712523</v>
      </c>
      <c r="G223" s="8" t="str">
        <f>IF(F223&gt;0, IF(C223="Transaction", "Da thanh toan", "Duong"), IF(F223&lt;0, IF(C223="Transaction", "Du no", IF(C223="Interests", "Lai phat sinh", IF(C223="Misc", "Phi", IF(C223="Account Transfer", "Lai tra gop", "Am")))), "Bang 0"))</f>
        <v>Lai phat sinh</v>
      </c>
    </row>
    <row r="224" spans="1:7" x14ac:dyDescent="0.3">
      <c r="A224" s="64">
        <v>43415</v>
      </c>
      <c r="B224" s="33">
        <v>-23680.2</v>
      </c>
      <c r="C224" t="s">
        <v>49</v>
      </c>
      <c r="E224" t="str">
        <f>IF(OR(C224="Transaction",C224="Interests",C224="Misc",C224="Account Transfer"), IF(C224="Transaction", IF(B224&lt;0, "Du no", "Da thanh toan"), IF(C224="Interests", "Lai", IF(C224="Misc", "Phi", IF(C224="Account Transfer", IF(OR(ISNUMBER(SEARCH("Trich lai tra gop the TD", D224)), ISNUMBER(SEARCH("Chuyen lai tra gop con lai sang du no thong thuong khi BadDebt", D224))), IF(B224&lt;0, "Lai tra gop", ""), "" )))))) &amp; " " &amp; IF(C224="Interests", TEXT(EDATE(IF(DAY(A224)&gt;=11, A224, EDATE(A224,-1)), -1),"yyyy-mm"), TEXT(IF(DAY(A224)&gt;=11, A224, EDATE(A224,-1)),"yyyy-mm"))</f>
        <v>Lai 2018-10</v>
      </c>
      <c r="F224" s="7">
        <f>IF(ISNUMBER(B224), ROUND(SUMIFS($B$2:$B$10000, $E$2:$E$10000, E224, $B$2:$B$10000, IF(B224&lt;0, "&lt;0", "&gt;0")), 0), "")</f>
        <v>-1712523</v>
      </c>
      <c r="G224" s="8" t="str">
        <f>IF(F224&gt;0, IF(C224="Transaction", "Da thanh toan", "Duong"), IF(F224&lt;0, IF(C224="Transaction", "Du no", IF(C224="Interests", "Lai phat sinh", IF(C224="Misc", "Phi", IF(C224="Account Transfer", "Lai tra gop", "Am")))), "Bang 0"))</f>
        <v>Lai phat sinh</v>
      </c>
    </row>
    <row r="225" spans="1:7" x14ac:dyDescent="0.3">
      <c r="A225" s="64">
        <v>43415</v>
      </c>
      <c r="B225" s="33">
        <v>-1319835.6200000001</v>
      </c>
      <c r="C225" t="s">
        <v>49</v>
      </c>
      <c r="E225" t="str">
        <f>IF(OR(C225="Transaction",C225="Interests",C225="Misc",C225="Account Transfer"), IF(C225="Transaction", IF(B225&lt;0, "Du no", "Da thanh toan"), IF(C225="Interests", "Lai", IF(C225="Misc", "Phi", IF(C225="Account Transfer", IF(OR(ISNUMBER(SEARCH("Trich lai tra gop the TD", D225)), ISNUMBER(SEARCH("Chuyen lai tra gop con lai sang du no thong thuong khi BadDebt", D225))), IF(B225&lt;0, "Lai tra gop", ""), "" )))))) &amp; " " &amp; IF(C225="Interests", TEXT(EDATE(IF(DAY(A225)&gt;=11, A225, EDATE(A225,-1)), -1),"yyyy-mm"), TEXT(IF(DAY(A225)&gt;=11, A225, EDATE(A225,-1)),"yyyy-mm"))</f>
        <v>Lai 2018-10</v>
      </c>
      <c r="F225" s="7">
        <f>IF(ISNUMBER(B225), ROUND(SUMIFS($B$2:$B$10000, $E$2:$E$10000, E225, $B$2:$B$10000, IF(B225&lt;0, "&lt;0", "&gt;0")), 0), "")</f>
        <v>-1712523</v>
      </c>
      <c r="G225" s="8" t="str">
        <f>IF(F225&gt;0, IF(C225="Transaction", "Da thanh toan", "Duong"), IF(F225&lt;0, IF(C225="Transaction", "Du no", IF(C225="Interests", "Lai phat sinh", IF(C225="Misc", "Phi", IF(C225="Account Transfer", "Lai tra gop", "Am")))), "Bang 0"))</f>
        <v>Lai phat sinh</v>
      </c>
    </row>
    <row r="226" spans="1:7" x14ac:dyDescent="0.3">
      <c r="A226" s="64">
        <v>43384</v>
      </c>
      <c r="B226" s="33">
        <v>-315822.58</v>
      </c>
      <c r="C226" t="s">
        <v>49</v>
      </c>
      <c r="E226" t="str">
        <f>IF(OR(C226="Transaction",C226="Interests",C226="Misc",C226="Account Transfer"), IF(C226="Transaction", IF(B226&lt;0, "Du no", "Da thanh toan"), IF(C226="Interests", "Lai", IF(C226="Misc", "Phi", IF(C226="Account Transfer", IF(OR(ISNUMBER(SEARCH("Trich lai tra gop the TD", D226)), ISNUMBER(SEARCH("Chuyen lai tra gop con lai sang du no thong thuong khi BadDebt", D226))), IF(B226&lt;0, "Lai tra gop", ""), "" )))))) &amp; " " &amp; IF(C226="Interests", TEXT(EDATE(IF(DAY(A226)&gt;=11, A226, EDATE(A226,-1)), -1),"yyyy-mm"), TEXT(IF(DAY(A226)&gt;=11, A226, EDATE(A226,-1)),"yyyy-mm"))</f>
        <v>Lai 2018-09</v>
      </c>
      <c r="F226" s="7">
        <f>IF(ISNUMBER(B226), ROUND(SUMIFS($B$2:$B$10000, $E$2:$E$10000, E226, $B$2:$B$10000, IF(B226&lt;0, "&lt;0", "&gt;0")), 0), "")</f>
        <v>-1615999</v>
      </c>
      <c r="G226" s="8" t="str">
        <f>IF(F226&gt;0, IF(C226="Transaction", "Da thanh toan", "Duong"), IF(F226&lt;0, IF(C226="Transaction", "Du no", IF(C226="Interests", "Lai phat sinh", IF(C226="Misc", "Phi", IF(C226="Account Transfer", "Lai tra gop", "Am")))), "Bang 0"))</f>
        <v>Lai phat sinh</v>
      </c>
    </row>
    <row r="227" spans="1:7" x14ac:dyDescent="0.3">
      <c r="A227" s="64">
        <v>43384</v>
      </c>
      <c r="B227" s="33">
        <v>-22916.32</v>
      </c>
      <c r="C227" t="s">
        <v>49</v>
      </c>
      <c r="E227" t="str">
        <f>IF(OR(C227="Transaction",C227="Interests",C227="Misc",C227="Account Transfer"), IF(C227="Transaction", IF(B227&lt;0, "Du no", "Da thanh toan"), IF(C227="Interests", "Lai", IF(C227="Misc", "Phi", IF(C227="Account Transfer", IF(OR(ISNUMBER(SEARCH("Trich lai tra gop the TD", D227)), ISNUMBER(SEARCH("Chuyen lai tra gop con lai sang du no thong thuong khi BadDebt", D227))), IF(B227&lt;0, "Lai tra gop", ""), "" )))))) &amp; " " &amp; IF(C227="Interests", TEXT(EDATE(IF(DAY(A227)&gt;=11, A227, EDATE(A227,-1)), -1),"yyyy-mm"), TEXT(IF(DAY(A227)&gt;=11, A227, EDATE(A227,-1)),"yyyy-mm"))</f>
        <v>Lai 2018-09</v>
      </c>
      <c r="F227" s="7">
        <f>IF(ISNUMBER(B227), ROUND(SUMIFS($B$2:$B$10000, $E$2:$E$10000, E227, $B$2:$B$10000, IF(B227&lt;0, "&lt;0", "&gt;0")), 0), "")</f>
        <v>-1615999</v>
      </c>
      <c r="G227" s="8" t="str">
        <f>IF(F227&gt;0, IF(C227="Transaction", "Da thanh toan", "Duong"), IF(F227&lt;0, IF(C227="Transaction", "Du no", IF(C227="Interests", "Lai phat sinh", IF(C227="Misc", "Phi", IF(C227="Account Transfer", "Lai tra gop", "Am")))), "Bang 0"))</f>
        <v>Lai phat sinh</v>
      </c>
    </row>
    <row r="228" spans="1:7" x14ac:dyDescent="0.3">
      <c r="A228" s="64">
        <v>43384</v>
      </c>
      <c r="B228" s="33">
        <v>-1277260.27</v>
      </c>
      <c r="C228" t="s">
        <v>49</v>
      </c>
      <c r="E228" t="str">
        <f>IF(OR(C228="Transaction",C228="Interests",C228="Misc",C228="Account Transfer"), IF(C228="Transaction", IF(B228&lt;0, "Du no", "Da thanh toan"), IF(C228="Interests", "Lai", IF(C228="Misc", "Phi", IF(C228="Account Transfer", IF(OR(ISNUMBER(SEARCH("Trich lai tra gop the TD", D228)), ISNUMBER(SEARCH("Chuyen lai tra gop con lai sang du no thong thuong khi BadDebt", D228))), IF(B228&lt;0, "Lai tra gop", ""), "" )))))) &amp; " " &amp; IF(C228="Interests", TEXT(EDATE(IF(DAY(A228)&gt;=11, A228, EDATE(A228,-1)), -1),"yyyy-mm"), TEXT(IF(DAY(A228)&gt;=11, A228, EDATE(A228,-1)),"yyyy-mm"))</f>
        <v>Lai 2018-09</v>
      </c>
      <c r="F228" s="7">
        <f>IF(ISNUMBER(B228), ROUND(SUMIFS($B$2:$B$10000, $E$2:$E$10000, E228, $B$2:$B$10000, IF(B228&lt;0, "&lt;0", "&gt;0")), 0), "")</f>
        <v>-1615999</v>
      </c>
      <c r="G228" s="8" t="str">
        <f>IF(F228&gt;0, IF(C228="Transaction", "Da thanh toan", "Duong"), IF(F228&lt;0, IF(C228="Transaction", "Du no", IF(C228="Interests", "Lai phat sinh", IF(C228="Misc", "Phi", IF(C228="Account Transfer", "Lai tra gop", "Am")))), "Bang 0"))</f>
        <v>Lai phat sinh</v>
      </c>
    </row>
    <row r="229" spans="1:7" x14ac:dyDescent="0.3">
      <c r="A229" s="64">
        <v>43354</v>
      </c>
      <c r="B229" s="33">
        <v>-283404.65000000002</v>
      </c>
      <c r="C229" t="s">
        <v>49</v>
      </c>
      <c r="E229" t="str">
        <f>IF(OR(C229="Transaction",C229="Interests",C229="Misc",C229="Account Transfer"), IF(C229="Transaction", IF(B229&lt;0, "Du no", "Da thanh toan"), IF(C229="Interests", "Lai", IF(C229="Misc", "Phi", IF(C229="Account Transfer", IF(OR(ISNUMBER(SEARCH("Trich lai tra gop the TD", D229)), ISNUMBER(SEARCH("Chuyen lai tra gop con lai sang du no thong thuong khi BadDebt", D229))), IF(B229&lt;0, "Lai tra gop", ""), "" )))))) &amp; " " &amp; IF(C229="Interests", TEXT(EDATE(IF(DAY(A229)&gt;=11, A229, EDATE(A229,-1)), -1),"yyyy-mm"), TEXT(IF(DAY(A229)&gt;=11, A229, EDATE(A229,-1)),"yyyy-mm"))</f>
        <v>Lai 2018-08</v>
      </c>
      <c r="F229" s="7">
        <f>IF(ISNUMBER(B229), ROUND(SUMIFS($B$2:$B$10000, $E$2:$E$10000, E229, $B$2:$B$10000, IF(B229&lt;0, "&lt;0", "&gt;0")), 0), "")</f>
        <v>-1626920</v>
      </c>
      <c r="G229" s="8" t="str">
        <f>IF(F229&gt;0, IF(C229="Transaction", "Da thanh toan", "Duong"), IF(F229&lt;0, IF(C229="Transaction", "Du no", IF(C229="Interests", "Lai phat sinh", IF(C229="Misc", "Phi", IF(C229="Account Transfer", "Lai tra gop", "Am")))), "Bang 0"))</f>
        <v>Lai phat sinh</v>
      </c>
    </row>
    <row r="230" spans="1:7" x14ac:dyDescent="0.3">
      <c r="A230" s="64">
        <v>43354</v>
      </c>
      <c r="B230" s="33">
        <v>-23680.2</v>
      </c>
      <c r="C230" t="s">
        <v>49</v>
      </c>
      <c r="E230" t="str">
        <f>IF(OR(C230="Transaction",C230="Interests",C230="Misc",C230="Account Transfer"), IF(C230="Transaction", IF(B230&lt;0, "Du no", "Da thanh toan"), IF(C230="Interests", "Lai", IF(C230="Misc", "Phi", IF(C230="Account Transfer", IF(OR(ISNUMBER(SEARCH("Trich lai tra gop the TD", D230)), ISNUMBER(SEARCH("Chuyen lai tra gop con lai sang du no thong thuong khi BadDebt", D230))), IF(B230&lt;0, "Lai tra gop", ""), "" )))))) &amp; " " &amp; IF(C230="Interests", TEXT(EDATE(IF(DAY(A230)&gt;=11, A230, EDATE(A230,-1)), -1),"yyyy-mm"), TEXT(IF(DAY(A230)&gt;=11, A230, EDATE(A230,-1)),"yyyy-mm"))</f>
        <v>Lai 2018-08</v>
      </c>
      <c r="F230" s="7">
        <f>IF(ISNUMBER(B230), ROUND(SUMIFS($B$2:$B$10000, $E$2:$E$10000, E230, $B$2:$B$10000, IF(B230&lt;0, "&lt;0", "&gt;0")), 0), "")</f>
        <v>-1626920</v>
      </c>
      <c r="G230" s="8" t="str">
        <f>IF(F230&gt;0, IF(C230="Transaction", "Da thanh toan", "Duong"), IF(F230&lt;0, IF(C230="Transaction", "Du no", IF(C230="Interests", "Lai phat sinh", IF(C230="Misc", "Phi", IF(C230="Account Transfer", "Lai tra gop", "Am")))), "Bang 0"))</f>
        <v>Lai phat sinh</v>
      </c>
    </row>
    <row r="231" spans="1:7" x14ac:dyDescent="0.3">
      <c r="A231" s="64">
        <v>43354</v>
      </c>
      <c r="B231" s="33">
        <v>-1319835.6200000001</v>
      </c>
      <c r="C231" t="s">
        <v>49</v>
      </c>
      <c r="E231" t="str">
        <f>IF(OR(C231="Transaction",C231="Interests",C231="Misc",C231="Account Transfer"), IF(C231="Transaction", IF(B231&lt;0, "Du no", "Da thanh toan"), IF(C231="Interests", "Lai", IF(C231="Misc", "Phi", IF(C231="Account Transfer", IF(OR(ISNUMBER(SEARCH("Trich lai tra gop the TD", D231)), ISNUMBER(SEARCH("Chuyen lai tra gop con lai sang du no thong thuong khi BadDebt", D231))), IF(B231&lt;0, "Lai tra gop", ""), "" )))))) &amp; " " &amp; IF(C231="Interests", TEXT(EDATE(IF(DAY(A231)&gt;=11, A231, EDATE(A231,-1)), -1),"yyyy-mm"), TEXT(IF(DAY(A231)&gt;=11, A231, EDATE(A231,-1)),"yyyy-mm"))</f>
        <v>Lai 2018-08</v>
      </c>
      <c r="F231" s="7">
        <f>IF(ISNUMBER(B231), ROUND(SUMIFS($B$2:$B$10000, $E$2:$E$10000, E231, $B$2:$B$10000, IF(B231&lt;0, "&lt;0", "&gt;0")), 0), "")</f>
        <v>-1626920</v>
      </c>
      <c r="G231" s="8" t="str">
        <f>IF(F231&gt;0, IF(C231="Transaction", "Da thanh toan", "Duong"), IF(F231&lt;0, IF(C231="Transaction", "Du no", IF(C231="Interests", "Lai phat sinh", IF(C231="Misc", "Phi", IF(C231="Account Transfer", "Lai tra gop", "Am")))), "Bang 0"))</f>
        <v>Lai phat sinh</v>
      </c>
    </row>
    <row r="232" spans="1:7" x14ac:dyDescent="0.3">
      <c r="A232" s="64">
        <v>43323</v>
      </c>
      <c r="B232" s="33">
        <v>-241563.76</v>
      </c>
      <c r="C232" t="s">
        <v>49</v>
      </c>
      <c r="E232" t="str">
        <f>IF(OR(C232="Transaction",C232="Interests",C232="Misc",C232="Account Transfer"), IF(C232="Transaction", IF(B232&lt;0, "Du no", "Da thanh toan"), IF(C232="Interests", "Lai", IF(C232="Misc", "Phi", IF(C232="Account Transfer", IF(OR(ISNUMBER(SEARCH("Trich lai tra gop the TD", D232)), ISNUMBER(SEARCH("Chuyen lai tra gop con lai sang du no thong thuong khi BadDebt", D232))), IF(B232&lt;0, "Lai tra gop", ""), "" )))))) &amp; " " &amp; IF(C232="Interests", TEXT(EDATE(IF(DAY(A232)&gt;=11, A232, EDATE(A232,-1)), -1),"yyyy-mm"), TEXT(IF(DAY(A232)&gt;=11, A232, EDATE(A232,-1)),"yyyy-mm"))</f>
        <v>Lai 2018-07</v>
      </c>
      <c r="F232" s="7">
        <f>IF(ISNUMBER(B232), ROUND(SUMIFS($B$2:$B$10000, $E$2:$E$10000, E232, $B$2:$B$10000, IF(B232&lt;0, "&lt;0", "&gt;0")), 0), "")</f>
        <v>-1585080</v>
      </c>
      <c r="G232" s="8" t="str">
        <f>IF(F232&gt;0, IF(C232="Transaction", "Da thanh toan", "Duong"), IF(F232&lt;0, IF(C232="Transaction", "Du no", IF(C232="Interests", "Lai phat sinh", IF(C232="Misc", "Phi", IF(C232="Account Transfer", "Lai tra gop", "Am")))), "Bang 0"))</f>
        <v>Lai phat sinh</v>
      </c>
    </row>
    <row r="233" spans="1:7" x14ac:dyDescent="0.3">
      <c r="A233" s="64">
        <v>43323</v>
      </c>
      <c r="B233" s="33">
        <v>-23680.2</v>
      </c>
      <c r="C233" t="s">
        <v>49</v>
      </c>
      <c r="E233" t="str">
        <f>IF(OR(C233="Transaction",C233="Interests",C233="Misc",C233="Account Transfer"), IF(C233="Transaction", IF(B233&lt;0, "Du no", "Da thanh toan"), IF(C233="Interests", "Lai", IF(C233="Misc", "Phi", IF(C233="Account Transfer", IF(OR(ISNUMBER(SEARCH("Trich lai tra gop the TD", D233)), ISNUMBER(SEARCH("Chuyen lai tra gop con lai sang du no thong thuong khi BadDebt", D233))), IF(B233&lt;0, "Lai tra gop", ""), "" )))))) &amp; " " &amp; IF(C233="Interests", TEXT(EDATE(IF(DAY(A233)&gt;=11, A233, EDATE(A233,-1)), -1),"yyyy-mm"), TEXT(IF(DAY(A233)&gt;=11, A233, EDATE(A233,-1)),"yyyy-mm"))</f>
        <v>Lai 2018-07</v>
      </c>
      <c r="F233" s="7">
        <f>IF(ISNUMBER(B233), ROUND(SUMIFS($B$2:$B$10000, $E$2:$E$10000, E233, $B$2:$B$10000, IF(B233&lt;0, "&lt;0", "&gt;0")), 0), "")</f>
        <v>-1585080</v>
      </c>
      <c r="G233" s="8" t="str">
        <f>IF(F233&gt;0, IF(C233="Transaction", "Da thanh toan", "Duong"), IF(F233&lt;0, IF(C233="Transaction", "Du no", IF(C233="Interests", "Lai phat sinh", IF(C233="Misc", "Phi", IF(C233="Account Transfer", "Lai tra gop", "Am")))), "Bang 0"))</f>
        <v>Lai phat sinh</v>
      </c>
    </row>
    <row r="234" spans="1:7" x14ac:dyDescent="0.3">
      <c r="A234" s="64">
        <v>43323</v>
      </c>
      <c r="B234" s="33">
        <v>-1319835.6200000001</v>
      </c>
      <c r="C234" t="s">
        <v>49</v>
      </c>
      <c r="E234" t="str">
        <f>IF(OR(C234="Transaction",C234="Interests",C234="Misc",C234="Account Transfer"), IF(C234="Transaction", IF(B234&lt;0, "Du no", "Da thanh toan"), IF(C234="Interests", "Lai", IF(C234="Misc", "Phi", IF(C234="Account Transfer", IF(OR(ISNUMBER(SEARCH("Trich lai tra gop the TD", D234)), ISNUMBER(SEARCH("Chuyen lai tra gop con lai sang du no thong thuong khi BadDebt", D234))), IF(B234&lt;0, "Lai tra gop", ""), "" )))))) &amp; " " &amp; IF(C234="Interests", TEXT(EDATE(IF(DAY(A234)&gt;=11, A234, EDATE(A234,-1)), -1),"yyyy-mm"), TEXT(IF(DAY(A234)&gt;=11, A234, EDATE(A234,-1)),"yyyy-mm"))</f>
        <v>Lai 2018-07</v>
      </c>
      <c r="F234" s="7">
        <f>IF(ISNUMBER(B234), ROUND(SUMIFS($B$2:$B$10000, $E$2:$E$10000, E234, $B$2:$B$10000, IF(B234&lt;0, "&lt;0", "&gt;0")), 0), "")</f>
        <v>-1585080</v>
      </c>
      <c r="G234" s="8" t="str">
        <f>IF(F234&gt;0, IF(C234="Transaction", "Da thanh toan", "Duong"), IF(F234&lt;0, IF(C234="Transaction", "Du no", IF(C234="Interests", "Lai phat sinh", IF(C234="Misc", "Phi", IF(C234="Account Transfer", "Lai tra gop", "Am")))), "Bang 0"))</f>
        <v>Lai phat sinh</v>
      </c>
    </row>
    <row r="235" spans="1:7" x14ac:dyDescent="0.3">
      <c r="A235" s="64">
        <v>43292</v>
      </c>
      <c r="B235" s="33">
        <v>-195562.42</v>
      </c>
      <c r="C235" t="s">
        <v>49</v>
      </c>
      <c r="E235" t="str">
        <f>IF(OR(C235="Transaction",C235="Interests",C235="Misc",C235="Account Transfer"), IF(C235="Transaction", IF(B235&lt;0, "Du no", "Da thanh toan"), IF(C235="Interests", "Lai", IF(C235="Misc", "Phi", IF(C235="Account Transfer", IF(OR(ISNUMBER(SEARCH("Trich lai tra gop the TD", D235)), ISNUMBER(SEARCH("Chuyen lai tra gop con lai sang du no thong thuong khi BadDebt", D235))), IF(B235&lt;0, "Lai tra gop", ""), "" )))))) &amp; " " &amp; IF(C235="Interests", TEXT(EDATE(IF(DAY(A235)&gt;=11, A235, EDATE(A235,-1)), -1),"yyyy-mm"), TEXT(IF(DAY(A235)&gt;=11, A235, EDATE(A235,-1)),"yyyy-mm"))</f>
        <v>Lai 2018-06</v>
      </c>
      <c r="F235">
        <f>IF(ISNUMBER(B235), ROUND(SUMIFS($B$2:$B$10000, $E$2:$E$10000, E235, $B$2:$B$10000, IF(B235&lt;0, "&lt;0", "&gt;0")), 0), "")</f>
        <v>-1495739</v>
      </c>
      <c r="G235" t="str">
        <f>IF(F235&gt;0, IF(C235="Transaction", "Da thanh toan", "Duong"), IF(F235&lt;0, IF(C235="Transaction", "Du no", IF(C235="Interests", "Lai phat sinh", IF(C235="Misc", "Phi", IF(C235="Account Transfer", "Lai tra gop", "Am")))), "Bang 0"))</f>
        <v>Lai phat sinh</v>
      </c>
    </row>
    <row r="236" spans="1:7" x14ac:dyDescent="0.3">
      <c r="A236" s="64">
        <v>43292</v>
      </c>
      <c r="B236" s="33">
        <v>-22916.32</v>
      </c>
      <c r="C236" t="s">
        <v>49</v>
      </c>
      <c r="E236" t="str">
        <f>IF(OR(C236="Transaction",C236="Interests",C236="Misc",C236="Account Transfer"), IF(C236="Transaction", IF(B236&lt;0, "Du no", "Da thanh toan"), IF(C236="Interests", "Lai", IF(C236="Misc", "Phi", IF(C236="Account Transfer", IF(OR(ISNUMBER(SEARCH("Trich lai tra gop the TD", D236)), ISNUMBER(SEARCH("Chuyen lai tra gop con lai sang du no thong thuong khi BadDebt", D236))), IF(B236&lt;0, "Lai tra gop", ""), "" )))))) &amp; " " &amp; IF(C236="Interests", TEXT(EDATE(IF(DAY(A236)&gt;=11, A236, EDATE(A236,-1)), -1),"yyyy-mm"), TEXT(IF(DAY(A236)&gt;=11, A236, EDATE(A236,-1)),"yyyy-mm"))</f>
        <v>Lai 2018-06</v>
      </c>
      <c r="F236">
        <f>IF(ISNUMBER(B236), ROUND(SUMIFS($B$2:$B$10000, $E$2:$E$10000, E236, $B$2:$B$10000, IF(B236&lt;0, "&lt;0", "&gt;0")), 0), "")</f>
        <v>-1495739</v>
      </c>
      <c r="G236" t="str">
        <f>IF(F236&gt;0, IF(C236="Transaction", "Da thanh toan", "Duong"), IF(F236&lt;0, IF(C236="Transaction", "Du no", IF(C236="Interests", "Lai phat sinh", IF(C236="Misc", "Phi", IF(C236="Account Transfer", "Lai tra gop", "Am")))), "Bang 0"))</f>
        <v>Lai phat sinh</v>
      </c>
    </row>
    <row r="237" spans="1:7" x14ac:dyDescent="0.3">
      <c r="A237" s="64">
        <v>43292</v>
      </c>
      <c r="B237" s="33">
        <v>-1277260.27</v>
      </c>
      <c r="C237" t="s">
        <v>49</v>
      </c>
      <c r="E237" t="str">
        <f>IF(OR(C237="Transaction",C237="Interests",C237="Misc",C237="Account Transfer"), IF(C237="Transaction", IF(B237&lt;0, "Du no", "Da thanh toan"), IF(C237="Interests", "Lai", IF(C237="Misc", "Phi", IF(C237="Account Transfer", IF(OR(ISNUMBER(SEARCH("Trich lai tra gop the TD", D237)), ISNUMBER(SEARCH("Chuyen lai tra gop con lai sang du no thong thuong khi BadDebt", D237))), IF(B237&lt;0, "Lai tra gop", ""), "" )))))) &amp; " " &amp; IF(C237="Interests", TEXT(EDATE(IF(DAY(A237)&gt;=11, A237, EDATE(A237,-1)), -1),"yyyy-mm"), TEXT(IF(DAY(A237)&gt;=11, A237, EDATE(A237,-1)),"yyyy-mm"))</f>
        <v>Lai 2018-06</v>
      </c>
      <c r="F237">
        <f>IF(ISNUMBER(B237), ROUND(SUMIFS($B$2:$B$10000, $E$2:$E$10000, E237, $B$2:$B$10000, IF(B237&lt;0, "&lt;0", "&gt;0")), 0), "")</f>
        <v>-1495739</v>
      </c>
      <c r="G237" t="str">
        <f>IF(F237&gt;0, IF(C237="Transaction", "Da thanh toan", "Duong"), IF(F237&lt;0, IF(C237="Transaction", "Du no", IF(C237="Interests", "Lai phat sinh", IF(C237="Misc", "Phi", IF(C237="Account Transfer", "Lai tra gop", "Am")))), "Bang 0"))</f>
        <v>Lai phat sinh</v>
      </c>
    </row>
    <row r="238" spans="1:7" x14ac:dyDescent="0.3">
      <c r="A238" s="64">
        <v>43262</v>
      </c>
      <c r="B238" s="33">
        <v>-162331.74</v>
      </c>
      <c r="C238" t="s">
        <v>49</v>
      </c>
      <c r="E238" t="str">
        <f>IF(OR(C238="Transaction",C238="Interests",C238="Misc",C238="Account Transfer"), IF(C238="Transaction", IF(B238&lt;0, "Du no", "Da thanh toan"), IF(C238="Interests", "Lai", IF(C238="Misc", "Phi", IF(C238="Account Transfer", IF(OR(ISNUMBER(SEARCH("Trich lai tra gop the TD", D238)), ISNUMBER(SEARCH("Chuyen lai tra gop con lai sang du no thong thuong khi BadDebt", D238))), IF(B238&lt;0, "Lai tra gop", ""), "" )))))) &amp; " " &amp; IF(C238="Interests", TEXT(EDATE(IF(DAY(A238)&gt;=11, A238, EDATE(A238,-1)), -1),"yyyy-mm"), TEXT(IF(DAY(A238)&gt;=11, A238, EDATE(A238,-1)),"yyyy-mm"))</f>
        <v>Lai 2018-05</v>
      </c>
      <c r="F238">
        <f>IF(ISNUMBER(B238), ROUND(SUMIFS($B$2:$B$10000, $E$2:$E$10000, E238, $B$2:$B$10000, IF(B238&lt;0, "&lt;0", "&gt;0")), 0), "")</f>
        <v>-1505848</v>
      </c>
      <c r="G238" t="str">
        <f>IF(F238&gt;0, IF(C238="Transaction", "Da thanh toan", "Duong"), IF(F238&lt;0, IF(C238="Transaction", "Du no", IF(C238="Interests", "Lai phat sinh", IF(C238="Misc", "Phi", IF(C238="Account Transfer", "Lai tra gop", "Am")))), "Bang 0"))</f>
        <v>Lai phat sinh</v>
      </c>
    </row>
    <row r="239" spans="1:7" x14ac:dyDescent="0.3">
      <c r="A239" s="64">
        <v>43262</v>
      </c>
      <c r="B239" s="33">
        <v>-23680.2</v>
      </c>
      <c r="C239" t="s">
        <v>49</v>
      </c>
      <c r="E239" t="str">
        <f>IF(OR(C239="Transaction",C239="Interests",C239="Misc",C239="Account Transfer"), IF(C239="Transaction", IF(B239&lt;0, "Du no", "Da thanh toan"), IF(C239="Interests", "Lai", IF(C239="Misc", "Phi", IF(C239="Account Transfer", IF(OR(ISNUMBER(SEARCH("Trich lai tra gop the TD", D239)), ISNUMBER(SEARCH("Chuyen lai tra gop con lai sang du no thong thuong khi BadDebt", D239))), IF(B239&lt;0, "Lai tra gop", ""), "" )))))) &amp; " " &amp; IF(C239="Interests", TEXT(EDATE(IF(DAY(A239)&gt;=11, A239, EDATE(A239,-1)), -1),"yyyy-mm"), TEXT(IF(DAY(A239)&gt;=11, A239, EDATE(A239,-1)),"yyyy-mm"))</f>
        <v>Lai 2018-05</v>
      </c>
      <c r="F239">
        <f>IF(ISNUMBER(B239), ROUND(SUMIFS($B$2:$B$10000, $E$2:$E$10000, E239, $B$2:$B$10000, IF(B239&lt;0, "&lt;0", "&gt;0")), 0), "")</f>
        <v>-1505848</v>
      </c>
      <c r="G239" t="str">
        <f>IF(F239&gt;0, IF(C239="Transaction", "Da thanh toan", "Duong"), IF(F239&lt;0, IF(C239="Transaction", "Du no", IF(C239="Interests", "Lai phat sinh", IF(C239="Misc", "Phi", IF(C239="Account Transfer", "Lai tra gop", "Am")))), "Bang 0"))</f>
        <v>Lai phat sinh</v>
      </c>
    </row>
    <row r="240" spans="1:7" x14ac:dyDescent="0.3">
      <c r="A240" s="64">
        <v>43262</v>
      </c>
      <c r="B240" s="33">
        <v>-1319835.6200000001</v>
      </c>
      <c r="C240" t="s">
        <v>49</v>
      </c>
      <c r="E240" t="str">
        <f>IF(OR(C240="Transaction",C240="Interests",C240="Misc",C240="Account Transfer"), IF(C240="Transaction", IF(B240&lt;0, "Du no", "Da thanh toan"), IF(C240="Interests", "Lai", IF(C240="Misc", "Phi", IF(C240="Account Transfer", IF(OR(ISNUMBER(SEARCH("Trich lai tra gop the TD", D240)), ISNUMBER(SEARCH("Chuyen lai tra gop con lai sang du no thong thuong khi BadDebt", D240))), IF(B240&lt;0, "Lai tra gop", ""), "" )))))) &amp; " " &amp; IF(C240="Interests", TEXT(EDATE(IF(DAY(A240)&gt;=11, A240, EDATE(A240,-1)), -1),"yyyy-mm"), TEXT(IF(DAY(A240)&gt;=11, A240, EDATE(A240,-1)),"yyyy-mm"))</f>
        <v>Lai 2018-05</v>
      </c>
      <c r="F240">
        <f>IF(ISNUMBER(B240), ROUND(SUMIFS($B$2:$B$10000, $E$2:$E$10000, E240, $B$2:$B$10000, IF(B240&lt;0, "&lt;0", "&gt;0")), 0), "")</f>
        <v>-1505848</v>
      </c>
      <c r="G240" t="str">
        <f>IF(F240&gt;0, IF(C240="Transaction", "Da thanh toan", "Duong"), IF(F240&lt;0, IF(C240="Transaction", "Du no", IF(C240="Interests", "Lai phat sinh", IF(C240="Misc", "Phi", IF(C240="Account Transfer", "Lai tra gop", "Am")))), "Bang 0"))</f>
        <v>Lai phat sinh</v>
      </c>
    </row>
    <row r="241" spans="1:7" x14ac:dyDescent="0.3">
      <c r="A241" s="64">
        <v>43231</v>
      </c>
      <c r="B241" s="33">
        <v>-113995.3</v>
      </c>
      <c r="C241" t="s">
        <v>49</v>
      </c>
      <c r="E241" t="str">
        <f>IF(OR(C241="Transaction",C241="Interests",C241="Misc",C241="Account Transfer"), IF(C241="Transaction", IF(B241&lt;0, "Du no", "Da thanh toan"), IF(C241="Interests", "Lai", IF(C241="Misc", "Phi", IF(C241="Account Transfer", IF(OR(ISNUMBER(SEARCH("Trich lai tra gop the TD", D241)), ISNUMBER(SEARCH("Chuyen lai tra gop con lai sang du no thong thuong khi BadDebt", D241))), IF(B241&lt;0, "Lai tra gop", ""), "" )))))) &amp; " " &amp; IF(C241="Interests", TEXT(EDATE(IF(DAY(A241)&gt;=11, A241, EDATE(A241,-1)), -1),"yyyy-mm"), TEXT(IF(DAY(A241)&gt;=11, A241, EDATE(A241,-1)),"yyyy-mm"))</f>
        <v>Lai 2018-04</v>
      </c>
      <c r="F241">
        <f>IF(ISNUMBER(B241), ROUND(SUMIFS($B$2:$B$10000, $E$2:$E$10000, E241, $B$2:$B$10000, IF(B241&lt;0, "&lt;0", "&gt;0")), 0), "")</f>
        <v>-1313772</v>
      </c>
      <c r="G241" t="str">
        <f>IF(F241&gt;0, IF(C241="Transaction", "Da thanh toan", "Duong"), IF(F241&lt;0, IF(C241="Transaction", "Du no", IF(C241="Interests", "Lai phat sinh", IF(C241="Misc", "Phi", IF(C241="Account Transfer", "Lai tra gop", "Am")))), "Bang 0"))</f>
        <v>Lai phat sinh</v>
      </c>
    </row>
    <row r="242" spans="1:7" x14ac:dyDescent="0.3">
      <c r="A242" s="64">
        <v>43231</v>
      </c>
      <c r="B242" s="33">
        <v>-16223.84</v>
      </c>
      <c r="C242" t="s">
        <v>49</v>
      </c>
      <c r="E242" t="str">
        <f>IF(OR(C242="Transaction",C242="Interests",C242="Misc",C242="Account Transfer"), IF(C242="Transaction", IF(B242&lt;0, "Du no", "Da thanh toan"), IF(C242="Interests", "Lai", IF(C242="Misc", "Phi", IF(C242="Account Transfer", IF(OR(ISNUMBER(SEARCH("Trich lai tra gop the TD", D242)), ISNUMBER(SEARCH("Chuyen lai tra gop con lai sang du no thong thuong khi BadDebt", D242))), IF(B242&lt;0, "Lai tra gop", ""), "" )))))) &amp; " " &amp; IF(C242="Interests", TEXT(EDATE(IF(DAY(A242)&gt;=11, A242, EDATE(A242,-1)), -1),"yyyy-mm"), TEXT(IF(DAY(A242)&gt;=11, A242, EDATE(A242,-1)),"yyyy-mm"))</f>
        <v>Lai 2018-04</v>
      </c>
      <c r="F242">
        <f>IF(ISNUMBER(B242), ROUND(SUMIFS($B$2:$B$10000, $E$2:$E$10000, E242, $B$2:$B$10000, IF(B242&lt;0, "&lt;0", "&gt;0")), 0), "")</f>
        <v>-1313772</v>
      </c>
      <c r="G242" t="str">
        <f>IF(F242&gt;0, IF(C242="Transaction", "Da thanh toan", "Duong"), IF(F242&lt;0, IF(C242="Transaction", "Du no", IF(C242="Interests", "Lai phat sinh", IF(C242="Misc", "Phi", IF(C242="Account Transfer", "Lai tra gop", "Am")))), "Bang 0"))</f>
        <v>Lai phat sinh</v>
      </c>
    </row>
    <row r="243" spans="1:7" x14ac:dyDescent="0.3">
      <c r="A243" s="64">
        <v>43231</v>
      </c>
      <c r="B243" s="33">
        <v>-4922.88</v>
      </c>
      <c r="C243" t="s">
        <v>49</v>
      </c>
      <c r="E243" t="str">
        <f>IF(OR(C243="Transaction",C243="Interests",C243="Misc",C243="Account Transfer"), IF(C243="Transaction", IF(B243&lt;0, "Du no", "Da thanh toan"), IF(C243="Interests", "Lai", IF(C243="Misc", "Phi", IF(C243="Account Transfer", IF(OR(ISNUMBER(SEARCH("Trich lai tra gop the TD", D243)), ISNUMBER(SEARCH("Chuyen lai tra gop con lai sang du no thong thuong khi BadDebt", D243))), IF(B243&lt;0, "Lai tra gop", ""), "" )))))) &amp; " " &amp; IF(C243="Interests", TEXT(EDATE(IF(DAY(A243)&gt;=11, A243, EDATE(A243,-1)), -1),"yyyy-mm"), TEXT(IF(DAY(A243)&gt;=11, A243, EDATE(A243,-1)),"yyyy-mm"))</f>
        <v>Lai 2018-04</v>
      </c>
      <c r="F243">
        <f>IF(ISNUMBER(B243), ROUND(SUMIFS($B$2:$B$10000, $E$2:$E$10000, E243, $B$2:$B$10000, IF(B243&lt;0, "&lt;0", "&gt;0")), 0), "")</f>
        <v>-1313772</v>
      </c>
      <c r="G243" t="str">
        <f>IF(F243&gt;0, IF(C243="Transaction", "Da thanh toan", "Duong"), IF(F243&lt;0, IF(C243="Transaction", "Du no", IF(C243="Interests", "Lai phat sinh", IF(C243="Misc", "Phi", IF(C243="Account Transfer", "Lai tra gop", "Am")))), "Bang 0"))</f>
        <v>Lai phat sinh</v>
      </c>
    </row>
    <row r="244" spans="1:7" x14ac:dyDescent="0.3">
      <c r="A244" s="64">
        <v>43231</v>
      </c>
      <c r="B244" s="33">
        <v>-1178630.1399999999</v>
      </c>
      <c r="C244" t="s">
        <v>49</v>
      </c>
      <c r="E244" t="str">
        <f>IF(OR(C244="Transaction",C244="Interests",C244="Misc",C244="Account Transfer"), IF(C244="Transaction", IF(B244&lt;0, "Du no", "Da thanh toan"), IF(C244="Interests", "Lai", IF(C244="Misc", "Phi", IF(C244="Account Transfer", IF(OR(ISNUMBER(SEARCH("Trich lai tra gop the TD", D244)), ISNUMBER(SEARCH("Chuyen lai tra gop con lai sang du no thong thuong khi BadDebt", D244))), IF(B244&lt;0, "Lai tra gop", ""), "" )))))) &amp; " " &amp; IF(C244="Interests", TEXT(EDATE(IF(DAY(A244)&gt;=11, A244, EDATE(A244,-1)), -1),"yyyy-mm"), TEXT(IF(DAY(A244)&gt;=11, A244, EDATE(A244,-1)),"yyyy-mm"))</f>
        <v>Lai 2018-04</v>
      </c>
      <c r="F244">
        <f>IF(ISNUMBER(B244), ROUND(SUMIFS($B$2:$B$10000, $E$2:$E$10000, E244, $B$2:$B$10000, IF(B244&lt;0, "&lt;0", "&gt;0")), 0), "")</f>
        <v>-1313772</v>
      </c>
      <c r="G244" t="str">
        <f>IF(F244&gt;0, IF(C244="Transaction", "Da thanh toan", "Duong"), IF(F244&lt;0, IF(C244="Transaction", "Du no", IF(C244="Interests", "Lai phat sinh", IF(C244="Misc", "Phi", IF(C244="Account Transfer", "Lai tra gop", "Am")))), "Bang 0"))</f>
        <v>Lai phat sinh</v>
      </c>
    </row>
    <row r="245" spans="1:7" x14ac:dyDescent="0.3">
      <c r="A245" s="64">
        <v>43217</v>
      </c>
      <c r="B245" s="33">
        <v>-530905.94999999995</v>
      </c>
      <c r="C245" t="s">
        <v>50</v>
      </c>
      <c r="E245" t="str">
        <f>IF(OR(C245="Transaction",C245="Interests",C245="Misc",C245="Account Transfer"), IF(C245="Transaction", IF(B245&lt;0, "Du no", "Da thanh toan"), IF(C245="Interests", "Lai", IF(C245="Misc", "Phi", IF(C245="Account Transfer", IF(OR(ISNUMBER(SEARCH("Trich lai tra gop the TD", D245)), ISNUMBER(SEARCH("Chuyen lai tra gop con lai sang du no thong thuong khi BadDebt", D245))), IF(B245&lt;0, "Lai tra gop", ""), "" )))))) &amp; " " &amp; IF(C245="Interests", TEXT(EDATE(IF(DAY(A245)&gt;=11, A245, EDATE(A245,-1)), -1),"yyyy-mm"), TEXT(IF(DAY(A245)&gt;=11, A245, EDATE(A245,-1)),"yyyy-mm"))</f>
        <v>Phi 2018-04</v>
      </c>
      <c r="F245">
        <f>IF(ISNUMBER(B245), ROUND(SUMIFS($B$2:$B$10000, $E$2:$E$10000, E245, $B$2:$B$10000, IF(B245&lt;0, "&lt;0", "&gt;0")), 0), "")</f>
        <v>-530906</v>
      </c>
      <c r="G245" t="str">
        <f>IF(F245&gt;0, IF(C245="Transaction", "Da thanh toan", "Duong"), IF(F245&lt;0, IF(C245="Transaction", "Du no", IF(C245="Interests", "Lai phat sinh", IF(C245="Misc", "Phi", IF(C245="Account Transfer", "Lai tra gop", "Am")))), "Bang 0"))</f>
        <v>Phi</v>
      </c>
    </row>
    <row r="246" spans="1:7" x14ac:dyDescent="0.3">
      <c r="A246" s="64">
        <v>43201</v>
      </c>
      <c r="B246" s="33">
        <v>-85682.72</v>
      </c>
      <c r="C246" t="s">
        <v>49</v>
      </c>
      <c r="E246" t="str">
        <f>IF(OR(C246="Transaction",C246="Interests",C246="Misc",C246="Account Transfer"), IF(C246="Transaction", IF(B246&lt;0, "Du no", "Da thanh toan"), IF(C246="Interests", "Lai", IF(C246="Misc", "Phi", IF(C246="Account Transfer", IF(OR(ISNUMBER(SEARCH("Trich lai tra gop the TD", D246)), ISNUMBER(SEARCH("Chuyen lai tra gop con lai sang du no thong thuong khi BadDebt", D246))), IF(B246&lt;0, "Lai tra gop", ""), "" )))))) &amp; " " &amp; IF(C246="Interests", TEXT(EDATE(IF(DAY(A246)&gt;=11, A246, EDATE(A246,-1)), -1),"yyyy-mm"), TEXT(IF(DAY(A246)&gt;=11, A246, EDATE(A246,-1)),"yyyy-mm"))</f>
        <v>Lai 2018-03</v>
      </c>
      <c r="F246">
        <f>IF(ISNUMBER(B246), ROUND(SUMIFS($B$2:$B$10000, $E$2:$E$10000, E246, $B$2:$B$10000, IF(B246&lt;0, "&lt;0", "&gt;0")), 0), "")</f>
        <v>-1318333</v>
      </c>
      <c r="G246" t="str">
        <f>IF(F246&gt;0, IF(C246="Transaction", "Da thanh toan", "Duong"), IF(F246&lt;0, IF(C246="Transaction", "Du no", IF(C246="Interests", "Lai phat sinh", IF(C246="Misc", "Phi", IF(C246="Account Transfer", "Lai tra gop", "Am")))), "Bang 0"))</f>
        <v>Lai phat sinh</v>
      </c>
    </row>
    <row r="247" spans="1:7" x14ac:dyDescent="0.3">
      <c r="A247" s="64">
        <v>43201</v>
      </c>
      <c r="B247" s="33">
        <v>-2418.6999999999998</v>
      </c>
      <c r="C247" t="s">
        <v>49</v>
      </c>
      <c r="E247" t="str">
        <f>IF(OR(C247="Transaction",C247="Interests",C247="Misc",C247="Account Transfer"), IF(C247="Transaction", IF(B247&lt;0, "Du no", "Da thanh toan"), IF(C247="Interests", "Lai", IF(C247="Misc", "Phi", IF(C247="Account Transfer", IF(OR(ISNUMBER(SEARCH("Trich lai tra gop the TD", D247)), ISNUMBER(SEARCH("Chuyen lai tra gop con lai sang du no thong thuong khi BadDebt", D247))), IF(B247&lt;0, "Lai tra gop", ""), "" )))))) &amp; " " &amp; IF(C247="Interests", TEXT(EDATE(IF(DAY(A247)&gt;=11, A247, EDATE(A247,-1)), -1),"yyyy-mm"), TEXT(IF(DAY(A247)&gt;=11, A247, EDATE(A247,-1)),"yyyy-mm"))</f>
        <v>Lai 2018-03</v>
      </c>
      <c r="F247">
        <f>IF(ISNUMBER(B247), ROUND(SUMIFS($B$2:$B$10000, $E$2:$E$10000, E247, $B$2:$B$10000, IF(B247&lt;0, "&lt;0", "&gt;0")), 0), "")</f>
        <v>-1318333</v>
      </c>
      <c r="G247" t="str">
        <f>IF(F247&gt;0, IF(C247="Transaction", "Da thanh toan", "Duong"), IF(F247&lt;0, IF(C247="Transaction", "Du no", IF(C247="Interests", "Lai phat sinh", IF(C247="Misc", "Phi", IF(C247="Account Transfer", "Lai tra gop", "Am")))), "Bang 0"))</f>
        <v>Lai phat sinh</v>
      </c>
    </row>
    <row r="248" spans="1:7" x14ac:dyDescent="0.3">
      <c r="A248" s="64">
        <v>43201</v>
      </c>
      <c r="B248" s="33">
        <v>-9088.6</v>
      </c>
      <c r="C248" t="s">
        <v>49</v>
      </c>
      <c r="E248" t="str">
        <f>IF(OR(C248="Transaction",C248="Interests",C248="Misc",C248="Account Transfer"), IF(C248="Transaction", IF(B248&lt;0, "Du no", "Da thanh toan"), IF(C248="Interests", "Lai", IF(C248="Misc", "Phi", IF(C248="Account Transfer", IF(OR(ISNUMBER(SEARCH("Trich lai tra gop the TD", D248)), ISNUMBER(SEARCH("Chuyen lai tra gop con lai sang du no thong thuong khi BadDebt", D248))), IF(B248&lt;0, "Lai tra gop", ""), "" )))))) &amp; " " &amp; IF(C248="Interests", TEXT(EDATE(IF(DAY(A248)&gt;=11, A248, EDATE(A248,-1)), -1),"yyyy-mm"), TEXT(IF(DAY(A248)&gt;=11, A248, EDATE(A248,-1)),"yyyy-mm"))</f>
        <v>Lai 2018-03</v>
      </c>
      <c r="F248">
        <f>IF(ISNUMBER(B248), ROUND(SUMIFS($B$2:$B$10000, $E$2:$E$10000, E248, $B$2:$B$10000, IF(B248&lt;0, "&lt;0", "&gt;0")), 0), "")</f>
        <v>-1318333</v>
      </c>
      <c r="G248" t="str">
        <f>IF(F248&gt;0, IF(C248="Transaction", "Da thanh toan", "Duong"), IF(F248&lt;0, IF(C248="Transaction", "Du no", IF(C248="Interests", "Lai phat sinh", IF(C248="Misc", "Phi", IF(C248="Account Transfer", "Lai tra gop", "Am")))), "Bang 0"))</f>
        <v>Lai phat sinh</v>
      </c>
    </row>
    <row r="249" spans="1:7" x14ac:dyDescent="0.3">
      <c r="A249" s="64">
        <v>43201</v>
      </c>
      <c r="B249" s="33">
        <v>-3224.93</v>
      </c>
      <c r="C249" t="s">
        <v>49</v>
      </c>
      <c r="E249" t="str">
        <f>IF(OR(C249="Transaction",C249="Interests",C249="Misc",C249="Account Transfer"), IF(C249="Transaction", IF(B249&lt;0, "Du no", "Da thanh toan"), IF(C249="Interests", "Lai", IF(C249="Misc", "Phi", IF(C249="Account Transfer", IF(OR(ISNUMBER(SEARCH("Trich lai tra gop the TD", D249)), ISNUMBER(SEARCH("Chuyen lai tra gop con lai sang du no thong thuong khi BadDebt", D249))), IF(B249&lt;0, "Lai tra gop", ""), "" )))))) &amp; " " &amp; IF(C249="Interests", TEXT(EDATE(IF(DAY(A249)&gt;=11, A249, EDATE(A249,-1)), -1),"yyyy-mm"), TEXT(IF(DAY(A249)&gt;=11, A249, EDATE(A249,-1)),"yyyy-mm"))</f>
        <v>Lai 2018-03</v>
      </c>
      <c r="F249">
        <f>IF(ISNUMBER(B249), ROUND(SUMIFS($B$2:$B$10000, $E$2:$E$10000, E249, $B$2:$B$10000, IF(B249&lt;0, "&lt;0", "&gt;0")), 0), "")</f>
        <v>-1318333</v>
      </c>
      <c r="G249" t="str">
        <f>IF(F249&gt;0, IF(C249="Transaction", "Da thanh toan", "Duong"), IF(F249&lt;0, IF(C249="Transaction", "Du no", IF(C249="Interests", "Lai phat sinh", IF(C249="Misc", "Phi", IF(C249="Account Transfer", "Lai tra gop", "Am")))), "Bang 0"))</f>
        <v>Lai phat sinh</v>
      </c>
    </row>
    <row r="250" spans="1:7" x14ac:dyDescent="0.3">
      <c r="A250" s="64">
        <v>43201</v>
      </c>
      <c r="B250" s="33">
        <v>-1217917.81</v>
      </c>
      <c r="C250" t="s">
        <v>49</v>
      </c>
      <c r="E250" t="str">
        <f>IF(OR(C250="Transaction",C250="Interests",C250="Misc",C250="Account Transfer"), IF(C250="Transaction", IF(B250&lt;0, "Du no", "Da thanh toan"), IF(C250="Interests", "Lai", IF(C250="Misc", "Phi", IF(C250="Account Transfer", IF(OR(ISNUMBER(SEARCH("Trich lai tra gop the TD", D250)), ISNUMBER(SEARCH("Chuyen lai tra gop con lai sang du no thong thuong khi BadDebt", D250))), IF(B250&lt;0, "Lai tra gop", ""), "" )))))) &amp; " " &amp; IF(C250="Interests", TEXT(EDATE(IF(DAY(A250)&gt;=11, A250, EDATE(A250,-1)), -1),"yyyy-mm"), TEXT(IF(DAY(A250)&gt;=11, A250, EDATE(A250,-1)),"yyyy-mm"))</f>
        <v>Lai 2018-03</v>
      </c>
      <c r="F250">
        <f>IF(ISNUMBER(B250), ROUND(SUMIFS($B$2:$B$10000, $E$2:$E$10000, E250, $B$2:$B$10000, IF(B250&lt;0, "&lt;0", "&gt;0")), 0), "")</f>
        <v>-1318333</v>
      </c>
      <c r="G250" t="str">
        <f>IF(F250&gt;0, IF(C250="Transaction", "Da thanh toan", "Duong"), IF(F250&lt;0, IF(C250="Transaction", "Du no", IF(C250="Interests", "Lai phat sinh", IF(C250="Misc", "Phi", IF(C250="Account Transfer", "Lai tra gop", "Am")))), "Bang 0"))</f>
        <v>Lai phat sinh</v>
      </c>
    </row>
    <row r="251" spans="1:7" x14ac:dyDescent="0.3">
      <c r="A251" s="64">
        <v>43186</v>
      </c>
      <c r="B251" s="33">
        <v>-391573.42</v>
      </c>
      <c r="C251" t="s">
        <v>50</v>
      </c>
      <c r="E251" t="str">
        <f>IF(OR(C251="Transaction",C251="Interests",C251="Misc",C251="Account Transfer"), IF(C251="Transaction", IF(B251&lt;0, "Du no", "Da thanh toan"), IF(C251="Interests", "Lai", IF(C251="Misc", "Phi", IF(C251="Account Transfer", IF(OR(ISNUMBER(SEARCH("Trich lai tra gop the TD", D251)), ISNUMBER(SEARCH("Chuyen lai tra gop con lai sang du no thong thuong khi BadDebt", D251))), IF(B251&lt;0, "Lai tra gop", ""), "" )))))) &amp; " " &amp; IF(C251="Interests", TEXT(EDATE(IF(DAY(A251)&gt;=11, A251, EDATE(A251,-1)), -1),"yyyy-mm"), TEXT(IF(DAY(A251)&gt;=11, A251, EDATE(A251,-1)),"yyyy-mm"))</f>
        <v>Phi 2018-03</v>
      </c>
      <c r="F251">
        <f>IF(ISNUMBER(B251), ROUND(SUMIFS($B$2:$B$10000, $E$2:$E$10000, E251, $B$2:$B$10000, IF(B251&lt;0, "&lt;0", "&gt;0")), 0), "")</f>
        <v>-391573</v>
      </c>
      <c r="G251" t="str">
        <f>IF(F251&gt;0, IF(C251="Transaction", "Da thanh toan", "Duong"), IF(F251&lt;0, IF(C251="Transaction", "Du no", IF(C251="Interests", "Lai phat sinh", IF(C251="Misc", "Phi", IF(C251="Account Transfer", "Lai tra gop", "Am")))), "Bang 0"))</f>
        <v>Phi</v>
      </c>
    </row>
    <row r="252" spans="1:7" x14ac:dyDescent="0.3">
      <c r="A252" s="64">
        <v>43170</v>
      </c>
      <c r="B252" s="33">
        <v>-51862.31</v>
      </c>
      <c r="C252" t="s">
        <v>49</v>
      </c>
      <c r="E252" t="str">
        <f>IF(OR(C252="Transaction",C252="Interests",C252="Misc",C252="Account Transfer"), IF(C252="Transaction", IF(B252&lt;0, "Du no", "Da thanh toan"), IF(C252="Interests", "Lai", IF(C252="Misc", "Phi", IF(C252="Account Transfer", IF(OR(ISNUMBER(SEARCH("Trich lai tra gop the TD", D252)), ISNUMBER(SEARCH("Chuyen lai tra gop con lai sang du no thong thuong khi BadDebt", D252))), IF(B252&lt;0, "Lai tra gop", ""), "" )))))) &amp; " " &amp; IF(C252="Interests", TEXT(EDATE(IF(DAY(A252)&gt;=11, A252, EDATE(A252,-1)), -1),"yyyy-mm"), TEXT(IF(DAY(A252)&gt;=11, A252, EDATE(A252,-1)),"yyyy-mm"))</f>
        <v>Lai 2018-02</v>
      </c>
      <c r="F252">
        <f>IF(ISNUMBER(B252), ROUND(SUMIFS($B$2:$B$10000, $E$2:$E$10000, E252, $B$2:$B$10000, IF(B252&lt;0, "&lt;0", "&gt;0")), 0), "")</f>
        <v>-1160330</v>
      </c>
      <c r="G252" t="str">
        <f>IF(F252&gt;0, IF(C252="Transaction", "Da thanh toan", "Duong"), IF(F252&lt;0, IF(C252="Transaction", "Du no", IF(C252="Interests", "Lai phat sinh", IF(C252="Misc", "Phi", IF(C252="Account Transfer", "Lai tra gop", "Am")))), "Bang 0"))</f>
        <v>Lai phat sinh</v>
      </c>
    </row>
    <row r="253" spans="1:7" x14ac:dyDescent="0.3">
      <c r="A253" s="64">
        <v>43170</v>
      </c>
      <c r="B253" s="33">
        <v>-2934.79</v>
      </c>
      <c r="C253" t="s">
        <v>49</v>
      </c>
      <c r="E253" t="str">
        <f>IF(OR(C253="Transaction",C253="Interests",C253="Misc",C253="Account Transfer"), IF(C253="Transaction", IF(B253&lt;0, "Du no", "Da thanh toan"), IF(C253="Interests", "Lai", IF(C253="Misc", "Phi", IF(C253="Account Transfer", IF(OR(ISNUMBER(SEARCH("Trich lai tra gop the TD", D253)), ISNUMBER(SEARCH("Chuyen lai tra gop con lai sang du no thong thuong khi BadDebt", D253))), IF(B253&lt;0, "Lai tra gop", ""), "" )))))) &amp; " " &amp; IF(C253="Interests", TEXT(EDATE(IF(DAY(A253)&gt;=11, A253, EDATE(A253,-1)), -1),"yyyy-mm"), TEXT(IF(DAY(A253)&gt;=11, A253, EDATE(A253,-1)),"yyyy-mm"))</f>
        <v>Lai 2018-02</v>
      </c>
      <c r="F253">
        <f>IF(ISNUMBER(B253), ROUND(SUMIFS($B$2:$B$10000, $E$2:$E$10000, E253, $B$2:$B$10000, IF(B253&lt;0, "&lt;0", "&gt;0")), 0), "")</f>
        <v>-1160330</v>
      </c>
      <c r="G253" t="str">
        <f>IF(F253&gt;0, IF(C253="Transaction", "Da thanh toan", "Duong"), IF(F253&lt;0, IF(C253="Transaction", "Du no", IF(C253="Interests", "Lai phat sinh", IF(C253="Misc", "Phi", IF(C253="Account Transfer", "Lai tra gop", "Am")))), "Bang 0"))</f>
        <v>Lai phat sinh</v>
      </c>
    </row>
    <row r="254" spans="1:7" x14ac:dyDescent="0.3">
      <c r="A254" s="64">
        <v>43170</v>
      </c>
      <c r="B254" s="33">
        <v>-2347.83</v>
      </c>
      <c r="C254" t="s">
        <v>49</v>
      </c>
      <c r="E254" t="str">
        <f>IF(OR(C254="Transaction",C254="Interests",C254="Misc",C254="Account Transfer"), IF(C254="Transaction", IF(B254&lt;0, "Du no", "Da thanh toan"), IF(C254="Interests", "Lai", IF(C254="Misc", "Phi", IF(C254="Account Transfer", IF(OR(ISNUMBER(SEARCH("Trich lai tra gop the TD", D254)), ISNUMBER(SEARCH("Chuyen lai tra gop con lai sang du no thong thuong khi BadDebt", D254))), IF(B254&lt;0, "Lai tra gop", ""), "" )))))) &amp; " " &amp; IF(C254="Interests", TEXT(EDATE(IF(DAY(A254)&gt;=11, A254, EDATE(A254,-1)), -1),"yyyy-mm"), TEXT(IF(DAY(A254)&gt;=11, A254, EDATE(A254,-1)),"yyyy-mm"))</f>
        <v>Lai 2018-02</v>
      </c>
      <c r="F254">
        <f>IF(ISNUMBER(B254), ROUND(SUMIFS($B$2:$B$10000, $E$2:$E$10000, E254, $B$2:$B$10000, IF(B254&lt;0, "&lt;0", "&gt;0")), 0), "")</f>
        <v>-1160330</v>
      </c>
      <c r="G254" t="str">
        <f>IF(F254&gt;0, IF(C254="Transaction", "Da thanh toan", "Duong"), IF(F254&lt;0, IF(C254="Transaction", "Du no", IF(C254="Interests", "Lai phat sinh", IF(C254="Misc", "Phi", IF(C254="Account Transfer", "Lai tra gop", "Am")))), "Bang 0"))</f>
        <v>Lai phat sinh</v>
      </c>
    </row>
    <row r="255" spans="1:7" x14ac:dyDescent="0.3">
      <c r="A255" s="64">
        <v>43170</v>
      </c>
      <c r="B255" s="33">
        <v>-3130.44</v>
      </c>
      <c r="C255" t="s">
        <v>49</v>
      </c>
      <c r="E255" t="str">
        <f>IF(OR(C255="Transaction",C255="Interests",C255="Misc",C255="Account Transfer"), IF(C255="Transaction", IF(B255&lt;0, "Du no", "Da thanh toan"), IF(C255="Interests", "Lai", IF(C255="Misc", "Phi", IF(C255="Account Transfer", IF(OR(ISNUMBER(SEARCH("Trich lai tra gop the TD", D255)), ISNUMBER(SEARCH("Chuyen lai tra gop con lai sang du no thong thuong khi BadDebt", D255))), IF(B255&lt;0, "Lai tra gop", ""), "" )))))) &amp; " " &amp; IF(C255="Interests", TEXT(EDATE(IF(DAY(A255)&gt;=11, A255, EDATE(A255,-1)), -1),"yyyy-mm"), TEXT(IF(DAY(A255)&gt;=11, A255, EDATE(A255,-1)),"yyyy-mm"))</f>
        <v>Lai 2018-02</v>
      </c>
      <c r="F255">
        <f>IF(ISNUMBER(B255), ROUND(SUMIFS($B$2:$B$10000, $E$2:$E$10000, E255, $B$2:$B$10000, IF(B255&lt;0, "&lt;0", "&gt;0")), 0), "")</f>
        <v>-1160330</v>
      </c>
      <c r="G255" t="str">
        <f>IF(F255&gt;0, IF(C255="Transaction", "Da thanh toan", "Duong"), IF(F255&lt;0, IF(C255="Transaction", "Du no", IF(C255="Interests", "Lai phat sinh", IF(C255="Misc", "Phi", IF(C255="Account Transfer", "Lai tra gop", "Am")))), "Bang 0"))</f>
        <v>Lai phat sinh</v>
      </c>
    </row>
    <row r="256" spans="1:7" x14ac:dyDescent="0.3">
      <c r="A256" s="64">
        <v>43170</v>
      </c>
      <c r="B256" s="33">
        <v>-1100054.79</v>
      </c>
      <c r="C256" t="s">
        <v>49</v>
      </c>
      <c r="E256" t="str">
        <f>IF(OR(C256="Transaction",C256="Interests",C256="Misc",C256="Account Transfer"), IF(C256="Transaction", IF(B256&lt;0, "Du no", "Da thanh toan"), IF(C256="Interests", "Lai", IF(C256="Misc", "Phi", IF(C256="Account Transfer", IF(OR(ISNUMBER(SEARCH("Trich lai tra gop the TD", D256)), ISNUMBER(SEARCH("Chuyen lai tra gop con lai sang du no thong thuong khi BadDebt", D256))), IF(B256&lt;0, "Lai tra gop", ""), "" )))))) &amp; " " &amp; IF(C256="Interests", TEXT(EDATE(IF(DAY(A256)&gt;=11, A256, EDATE(A256,-1)), -1),"yyyy-mm"), TEXT(IF(DAY(A256)&gt;=11, A256, EDATE(A256,-1)),"yyyy-mm"))</f>
        <v>Lai 2018-02</v>
      </c>
      <c r="F256">
        <f>IF(ISNUMBER(B256), ROUND(SUMIFS($B$2:$B$10000, $E$2:$E$10000, E256, $B$2:$B$10000, IF(B256&lt;0, "&lt;0", "&gt;0")), 0), "")</f>
        <v>-1160330</v>
      </c>
      <c r="G256" t="str">
        <f>IF(F256&gt;0, IF(C256="Transaction", "Da thanh toan", "Duong"), IF(F256&lt;0, IF(C256="Transaction", "Du no", IF(C256="Interests", "Lai phat sinh", IF(C256="Misc", "Phi", IF(C256="Account Transfer", "Lai tra gop", "Am")))), "Bang 0"))</f>
        <v>Lai phat sinh</v>
      </c>
    </row>
    <row r="257" spans="1:7" x14ac:dyDescent="0.3">
      <c r="A257" s="64">
        <v>43158</v>
      </c>
      <c r="B257" s="33">
        <v>-256515.65</v>
      </c>
      <c r="C257" t="s">
        <v>50</v>
      </c>
      <c r="E257" t="str">
        <f>IF(OR(C257="Transaction",C257="Interests",C257="Misc",C257="Account Transfer"), IF(C257="Transaction", IF(B257&lt;0, "Du no", "Da thanh toan"), IF(C257="Interests", "Lai", IF(C257="Misc", "Phi", IF(C257="Account Transfer", IF(OR(ISNUMBER(SEARCH("Trich lai tra gop the TD", D257)), ISNUMBER(SEARCH("Chuyen lai tra gop con lai sang du no thong thuong khi BadDebt", D257))), IF(B257&lt;0, "Lai tra gop", ""), "" )))))) &amp; " " &amp; IF(C257="Interests", TEXT(EDATE(IF(DAY(A257)&gt;=11, A257, EDATE(A257,-1)), -1),"yyyy-mm"), TEXT(IF(DAY(A257)&gt;=11, A257, EDATE(A257,-1)),"yyyy-mm"))</f>
        <v>Phi 2018-02</v>
      </c>
      <c r="F257">
        <f>IF(ISNUMBER(B257), ROUND(SUMIFS($B$2:$B$10000, $E$2:$E$10000, E257, $B$2:$B$10000, IF(B257&lt;0, "&lt;0", "&gt;0")), 0), "")</f>
        <v>-256516</v>
      </c>
      <c r="G257" t="str">
        <f>IF(F257&gt;0, IF(C257="Transaction", "Da thanh toan", "Duong"), IF(F257&lt;0, IF(C257="Transaction", "Du no", IF(C257="Interests", "Lai phat sinh", IF(C257="Misc", "Phi", IF(C257="Account Transfer", "Lai tra gop", "Am")))), "Bang 0"))</f>
        <v>Phi</v>
      </c>
    </row>
    <row r="258" spans="1:7" x14ac:dyDescent="0.3">
      <c r="A258" s="64">
        <v>43142</v>
      </c>
      <c r="B258" s="33">
        <v>-589315.06999999995</v>
      </c>
      <c r="C258" t="s">
        <v>49</v>
      </c>
      <c r="E258" t="str">
        <f>IF(OR(C258="Transaction",C258="Interests",C258="Misc",C258="Account Transfer"), IF(C258="Transaction", IF(B258&lt;0, "Du no", "Da thanh toan"), IF(C258="Interests", "Lai", IF(C258="Misc", "Phi", IF(C258="Account Transfer", IF(OR(ISNUMBER(SEARCH("Trich lai tra gop the TD", D258)), ISNUMBER(SEARCH("Chuyen lai tra gop con lai sang du no thong thuong khi BadDebt", D258))), IF(B258&lt;0, "Lai tra gop", ""), "" )))))) &amp; " " &amp; IF(C258="Interests", TEXT(EDATE(IF(DAY(A258)&gt;=11, A258, EDATE(A258,-1)), -1),"yyyy-mm"), TEXT(IF(DAY(A258)&gt;=11, A258, EDATE(A258,-1)),"yyyy-mm"))</f>
        <v>Lai 2018-01</v>
      </c>
      <c r="F258">
        <f>IF(ISNUMBER(B258), ROUND(SUMIFS($B$2:$B$10000, $E$2:$E$10000, E258, $B$2:$B$10000, IF(B258&lt;0, "&lt;0", "&gt;0")), 0), "")</f>
        <v>-2357260</v>
      </c>
      <c r="G258" t="str">
        <f>IF(F258&gt;0, IF(C258="Transaction", "Da thanh toan", "Duong"), IF(F258&lt;0, IF(C258="Transaction", "Du no", IF(C258="Interests", "Lai phat sinh", IF(C258="Misc", "Phi", IF(C258="Account Transfer", "Lai tra gop", "Am")))), "Bang 0"))</f>
        <v>Lai phat sinh</v>
      </c>
    </row>
    <row r="259" spans="1:7" x14ac:dyDescent="0.3">
      <c r="A259" s="64">
        <v>43142</v>
      </c>
      <c r="B259" s="33">
        <v>-628602.74</v>
      </c>
      <c r="C259" t="s">
        <v>49</v>
      </c>
      <c r="E259" t="str">
        <f>IF(OR(C259="Transaction",C259="Interests",C259="Misc",C259="Account Transfer"), IF(C259="Transaction", IF(B259&lt;0, "Du no", "Da thanh toan"), IF(C259="Interests", "Lai", IF(C259="Misc", "Phi", IF(C259="Account Transfer", IF(OR(ISNUMBER(SEARCH("Trich lai tra gop the TD", D259)), ISNUMBER(SEARCH("Chuyen lai tra gop con lai sang du no thong thuong khi BadDebt", D259))), IF(B259&lt;0, "Lai tra gop", ""), "" )))))) &amp; " " &amp; IF(C259="Interests", TEXT(EDATE(IF(DAY(A259)&gt;=11, A259, EDATE(A259,-1)), -1),"yyyy-mm"), TEXT(IF(DAY(A259)&gt;=11, A259, EDATE(A259,-1)),"yyyy-mm"))</f>
        <v>Lai 2018-01</v>
      </c>
      <c r="F259">
        <f>IF(ISNUMBER(B259), ROUND(SUMIFS($B$2:$B$10000, $E$2:$E$10000, E259, $B$2:$B$10000, IF(B259&lt;0, "&lt;0", "&gt;0")), 0), "")</f>
        <v>-2357260</v>
      </c>
      <c r="G259" t="str">
        <f>IF(F259&gt;0, IF(C259="Transaction", "Da thanh toan", "Duong"), IF(F259&lt;0, IF(C259="Transaction", "Du no", IF(C259="Interests", "Lai phat sinh", IF(C259="Misc", "Phi", IF(C259="Account Transfer", "Lai tra gop", "Am")))), "Bang 0"))</f>
        <v>Lai phat sinh</v>
      </c>
    </row>
    <row r="260" spans="1:7" x14ac:dyDescent="0.3">
      <c r="A260" s="64">
        <v>43142</v>
      </c>
      <c r="B260" s="33">
        <v>-1139342.47</v>
      </c>
      <c r="C260" t="s">
        <v>49</v>
      </c>
      <c r="E260" t="str">
        <f>IF(OR(C260="Transaction",C260="Interests",C260="Misc",C260="Account Transfer"), IF(C260="Transaction", IF(B260&lt;0, "Du no", "Da thanh toan"), IF(C260="Interests", "Lai", IF(C260="Misc", "Phi", IF(C260="Account Transfer", IF(OR(ISNUMBER(SEARCH("Trich lai tra gop the TD", D260)), ISNUMBER(SEARCH("Chuyen lai tra gop con lai sang du no thong thuong khi BadDebt", D260))), IF(B260&lt;0, "Lai tra gop", ""), "" )))))) &amp; " " &amp; IF(C260="Interests", TEXT(EDATE(IF(DAY(A260)&gt;=11, A260, EDATE(A260,-1)), -1),"yyyy-mm"), TEXT(IF(DAY(A260)&gt;=11, A260, EDATE(A260,-1)),"yyyy-mm"))</f>
        <v>Lai 2018-01</v>
      </c>
      <c r="F260">
        <f>IF(ISNUMBER(B260), ROUND(SUMIFS($B$2:$B$10000, $E$2:$E$10000, E260, $B$2:$B$10000, IF(B260&lt;0, "&lt;0", "&gt;0")), 0), "")</f>
        <v>-2357260</v>
      </c>
      <c r="G260" t="str">
        <f>IF(F260&gt;0, IF(C260="Transaction", "Da thanh toan", "Duong"), IF(F260&lt;0, IF(C260="Transaction", "Du no", IF(C260="Interests", "Lai phat sinh", IF(C260="Misc", "Phi", IF(C260="Account Transfer", "Lai tra gop", "Am")))), "Bang 0"))</f>
        <v>Lai phat sinh</v>
      </c>
    </row>
    <row r="261" spans="1:7" x14ac:dyDescent="0.3">
      <c r="A261" s="64">
        <v>43127</v>
      </c>
      <c r="B261" s="33">
        <v>-249000</v>
      </c>
      <c r="C261" t="s">
        <v>50</v>
      </c>
      <c r="E261" t="str">
        <f>IF(OR(C261="Transaction",C261="Interests",C261="Misc",C261="Account Transfer"), IF(C261="Transaction", IF(B261&lt;0, "Du no", "Da thanh toan"), IF(C261="Interests", "Lai", IF(C261="Misc", "Phi", IF(C261="Account Transfer", IF(OR(ISNUMBER(SEARCH("Trich lai tra gop the TD", D261)), ISNUMBER(SEARCH("Chuyen lai tra gop con lai sang du no thong thuong khi BadDebt", D261))), IF(B261&lt;0, "Lai tra gop", ""), "" )))))) &amp; " " &amp; IF(C261="Interests", TEXT(EDATE(IF(DAY(A261)&gt;=11, A261, EDATE(A261,-1)), -1),"yyyy-mm"), TEXT(IF(DAY(A261)&gt;=11, A261, EDATE(A261,-1)),"yyyy-mm"))</f>
        <v>Phi 2018-01</v>
      </c>
      <c r="F261">
        <f>IF(ISNUMBER(B261), ROUND(SUMIFS($B$2:$B$10000, $E$2:$E$10000, E261, $B$2:$B$10000, IF(B261&lt;0, "&lt;0", "&gt;0")), 0), "")</f>
        <v>-249000</v>
      </c>
      <c r="G261" t="str">
        <f>IF(F261&gt;0, IF(C261="Transaction", "Da thanh toan", "Duong"), IF(F261&lt;0, IF(C261="Transaction", "Du no", IF(C261="Interests", "Lai phat sinh", IF(C261="Misc", "Phi", IF(C261="Account Transfer", "Lai tra gop", "Am")))), "Bang 0"))</f>
        <v>Phi</v>
      </c>
    </row>
    <row r="262" spans="1:7" x14ac:dyDescent="0.3">
      <c r="A262" s="64">
        <v>43082</v>
      </c>
      <c r="B262" s="33">
        <v>-50000000</v>
      </c>
      <c r="C262" t="s">
        <v>51</v>
      </c>
      <c r="D262" t="s">
        <v>753</v>
      </c>
      <c r="E262" t="str">
        <f>IF(OR(C262="Transaction",C262="Interests",C262="Misc",C262="Account Transfer"), IF(C262="Transaction", IF(B262&lt;0, "Du no", "Da thanh toan"), IF(C262="Interests", "Lai", IF(C262="Misc", "Phi", IF(C262="Account Transfer", IF(OR(ISNUMBER(SEARCH("Trich lai tra gop the TD", D262)), ISNUMBER(SEARCH("Chuyen lai tra gop con lai sang du no thong thuong khi BadDebt", D262))), IF(B262&lt;0, "Lai tra gop", ""), "" )))))) &amp; " " &amp; IF(C262="Interests", TEXT(EDATE(IF(DAY(A262)&gt;=11, A262, EDATE(A262,-1)), -1),"yyyy-mm"), TEXT(IF(DAY(A262)&gt;=11, A262, EDATE(A262,-1)),"yyyy-mm"))</f>
        <v>Du no 2017-12</v>
      </c>
      <c r="F262">
        <f>IF(ISNUMBER(B262), ROUND(SUMIFS($B$2:$B$10000, $E$2:$E$10000, E262, $B$2:$B$10000, IF(B262&lt;0, "&lt;0", "&gt;0")), 0), "")</f>
        <v>-50000000</v>
      </c>
      <c r="G262" t="str">
        <f>IF(F262&gt;0, IF(C262="Transaction", "Da thanh toan", "Duong"), IF(F262&lt;0, IF(C262="Transaction", "Du no", IF(C262="Interests", "Lai phat sinh", IF(C262="Misc", "Phi", IF(C262="Account Transfer", "Lai tra gop", "Am")))), "Bang 0"))</f>
        <v>Du no</v>
      </c>
    </row>
    <row r="263" spans="1:7" x14ac:dyDescent="0.3">
      <c r="A263" s="64">
        <v>43081</v>
      </c>
      <c r="B263" s="33">
        <v>50000000</v>
      </c>
      <c r="C263" t="s">
        <v>51</v>
      </c>
      <c r="D263" t="s">
        <v>52</v>
      </c>
      <c r="E263" t="str">
        <f>IF(OR(C263="Transaction",C263="Interests",C263="Misc",C263="Account Transfer"), IF(C263="Transaction", IF(B263&lt;0, "Du no", "Da thanh toan"), IF(C263="Interests", "Lai", IF(C263="Misc", "Phi", IF(C263="Account Transfer", IF(OR(ISNUMBER(SEARCH("Trich lai tra gop the TD", D263)), ISNUMBER(SEARCH("Chuyen lai tra gop con lai sang du no thong thuong khi BadDebt", D263))), IF(B263&lt;0, "Lai tra gop", ""), "" )))))) &amp; " " &amp; IF(C263="Interests", TEXT(EDATE(IF(DAY(A263)&gt;=11, A263, EDATE(A263,-1)), -1),"yyyy-mm"), TEXT(IF(DAY(A263)&gt;=11, A263, EDATE(A263,-1)),"yyyy-mm"))</f>
        <v>Da thanh toan 2017-12</v>
      </c>
      <c r="F263">
        <f>IF(ISNUMBER(B263), ROUND(SUMIFS($B$2:$B$10000, $E$2:$E$10000, E263, $B$2:$B$10000, IF(B263&lt;0, "&lt;0", "&gt;0")), 0), "")</f>
        <v>50000000</v>
      </c>
      <c r="G263" t="str">
        <f>IF(F263&gt;0, IF(C263="Transaction", "Da thanh toan", "Duong"), IF(F263&lt;0, IF(C263="Transaction", "Du no", IF(C263="Interests", "Lai phat sinh", IF(C263="Misc", "Phi", IF(C263="Account Transfer", "Lai tra gop", "Am")))), "Bang 0"))</f>
        <v>Da thanh toan</v>
      </c>
    </row>
    <row r="264" spans="1:7" x14ac:dyDescent="0.3">
      <c r="A264" s="64">
        <v>43056</v>
      </c>
      <c r="B264" s="33">
        <v>-50000000</v>
      </c>
      <c r="C264" t="s">
        <v>51</v>
      </c>
      <c r="D264" t="s">
        <v>754</v>
      </c>
      <c r="E264" t="str">
        <f>IF(OR(C264="Transaction",C264="Interests",C264="Misc",C264="Account Transfer"), IF(C264="Transaction", IF(B264&lt;0, "Du no", "Da thanh toan"), IF(C264="Interests", "Lai", IF(C264="Misc", "Phi", IF(C264="Account Transfer", IF(OR(ISNUMBER(SEARCH("Trich lai tra gop the TD", D264)), ISNUMBER(SEARCH("Chuyen lai tra gop con lai sang du no thong thuong khi BadDebt", D264))), IF(B264&lt;0, "Lai tra gop", ""), "" )))))) &amp; " " &amp; IF(C264="Interests", TEXT(EDATE(IF(DAY(A264)&gt;=11, A264, EDATE(A264,-1)), -1),"yyyy-mm"), TEXT(IF(DAY(A264)&gt;=11, A264, EDATE(A264,-1)),"yyyy-mm"))</f>
        <v>Du no 2017-11</v>
      </c>
      <c r="F264">
        <f>IF(ISNUMBER(B264), ROUND(SUMIFS($B$2:$B$10000, $E$2:$E$10000, E264, $B$2:$B$10000, IF(B264&lt;0, "&lt;0", "&gt;0")), 0), "")</f>
        <v>-50000000</v>
      </c>
      <c r="G264" t="str">
        <f>IF(F264&gt;0, IF(C264="Transaction", "Da thanh toan", "Duong"), IF(F264&lt;0, IF(C264="Transaction", "Du no", IF(C264="Interests", "Lai phat sinh", IF(C264="Misc", "Phi", IF(C264="Account Transfer", "Lai tra gop", "Am")))), "Bang 0"))</f>
        <v>Du no</v>
      </c>
    </row>
    <row r="265" spans="1:7" x14ac:dyDescent="0.3">
      <c r="A265" s="64">
        <v>43054</v>
      </c>
      <c r="B265" s="33">
        <v>50000000</v>
      </c>
      <c r="C265" t="s">
        <v>51</v>
      </c>
      <c r="D265" t="s">
        <v>52</v>
      </c>
      <c r="E265" t="str">
        <f>IF(OR(C265="Transaction",C265="Interests",C265="Misc",C265="Account Transfer"), IF(C265="Transaction", IF(B265&lt;0, "Du no", "Da thanh toan"), IF(C265="Interests", "Lai", IF(C265="Misc", "Phi", IF(C265="Account Transfer", IF(OR(ISNUMBER(SEARCH("Trich lai tra gop the TD", D265)), ISNUMBER(SEARCH("Chuyen lai tra gop con lai sang du no thong thuong khi BadDebt", D265))), IF(B265&lt;0, "Lai tra gop", ""), "" )))))) &amp; " " &amp; IF(C265="Interests", TEXT(EDATE(IF(DAY(A265)&gt;=11, A265, EDATE(A265,-1)), -1),"yyyy-mm"), TEXT(IF(DAY(A265)&gt;=11, A265, EDATE(A265,-1)),"yyyy-mm"))</f>
        <v>Da thanh toan 2017-11</v>
      </c>
      <c r="F265">
        <f>IF(ISNUMBER(B265), ROUND(SUMIFS($B$2:$B$10000, $E$2:$E$10000, E265, $B$2:$B$10000, IF(B265&lt;0, "&lt;0", "&gt;0")), 0), "")</f>
        <v>50000000</v>
      </c>
      <c r="G265" t="str">
        <f>IF(F265&gt;0, IF(C265="Transaction", "Da thanh toan", "Duong"), IF(F265&lt;0, IF(C265="Transaction", "Du no", IF(C265="Interests", "Lai phat sinh", IF(C265="Misc", "Phi", IF(C265="Account Transfer", "Lai tra gop", "Am")))), "Bang 0"))</f>
        <v>Da thanh toan</v>
      </c>
    </row>
    <row r="266" spans="1:7" x14ac:dyDescent="0.3">
      <c r="A266" s="64">
        <v>43035</v>
      </c>
      <c r="B266" s="33">
        <v>-50000000</v>
      </c>
      <c r="C266" t="s">
        <v>51</v>
      </c>
      <c r="D266" t="s">
        <v>755</v>
      </c>
      <c r="E266" t="str">
        <f>IF(OR(C266="Transaction",C266="Interests",C266="Misc",C266="Account Transfer"), IF(C266="Transaction", IF(B266&lt;0, "Du no", "Da thanh toan"), IF(C266="Interests", "Lai", IF(C266="Misc", "Phi", IF(C266="Account Transfer", IF(OR(ISNUMBER(SEARCH("Trich lai tra gop the TD", D266)), ISNUMBER(SEARCH("Chuyen lai tra gop con lai sang du no thong thuong khi BadDebt", D266))), IF(B266&lt;0, "Lai tra gop", ""), "" )))))) &amp; " " &amp; IF(C266="Interests", TEXT(EDATE(IF(DAY(A266)&gt;=11, A266, EDATE(A266,-1)), -1),"yyyy-mm"), TEXT(IF(DAY(A266)&gt;=11, A266, EDATE(A266,-1)),"yyyy-mm"))</f>
        <v>Du no 2017-10</v>
      </c>
      <c r="F266">
        <f>IF(ISNUMBER(B266), ROUND(SUMIFS($B$2:$B$10000, $E$2:$E$10000, E266, $B$2:$B$10000, IF(B266&lt;0, "&lt;0", "&gt;0")), 0), "")</f>
        <v>-50000000</v>
      </c>
      <c r="G266" t="str">
        <f>IF(F266&gt;0, IF(C266="Transaction", "Da thanh toan", "Duong"), IF(F266&lt;0, IF(C266="Transaction", "Du no", IF(C266="Interests", "Lai phat sinh", IF(C266="Misc", "Phi", IF(C266="Account Transfer", "Lai tra gop", "Am")))), "Bang 0"))</f>
        <v>Du no</v>
      </c>
    </row>
    <row r="267" spans="1:7" x14ac:dyDescent="0.3">
      <c r="A267" s="64">
        <v>43033</v>
      </c>
      <c r="B267" s="33">
        <v>50000000</v>
      </c>
      <c r="C267" t="s">
        <v>51</v>
      </c>
      <c r="D267" t="s">
        <v>52</v>
      </c>
      <c r="E267" t="str">
        <f>IF(OR(C267="Transaction",C267="Interests",C267="Misc",C267="Account Transfer"), IF(C267="Transaction", IF(B267&lt;0, "Du no", "Da thanh toan"), IF(C267="Interests", "Lai", IF(C267="Misc", "Phi", IF(C267="Account Transfer", IF(OR(ISNUMBER(SEARCH("Trich lai tra gop the TD", D267)), ISNUMBER(SEARCH("Chuyen lai tra gop con lai sang du no thong thuong khi BadDebt", D267))), IF(B267&lt;0, "Lai tra gop", ""), "" )))))) &amp; " " &amp; IF(C267="Interests", TEXT(EDATE(IF(DAY(A267)&gt;=11, A267, EDATE(A267,-1)), -1),"yyyy-mm"), TEXT(IF(DAY(A267)&gt;=11, A267, EDATE(A267,-1)),"yyyy-mm"))</f>
        <v>Da thanh toan 2017-10</v>
      </c>
      <c r="F267">
        <f>IF(ISNUMBER(B267), ROUND(SUMIFS($B$2:$B$10000, $E$2:$E$10000, E267, $B$2:$B$10000, IF(B267&lt;0, "&lt;0", "&gt;0")), 0), "")</f>
        <v>50000000</v>
      </c>
      <c r="G267" t="str">
        <f>IF(F267&gt;0, IF(C267="Transaction", "Da thanh toan", "Duong"), IF(F267&lt;0, IF(C267="Transaction", "Du no", IF(C267="Interests", "Lai phat sinh", IF(C267="Misc", "Phi", IF(C267="Account Transfer", "Lai tra gop", "Am")))), "Bang 0"))</f>
        <v>Da thanh toan</v>
      </c>
    </row>
    <row r="268" spans="1:7" x14ac:dyDescent="0.3">
      <c r="A268" s="64">
        <v>42992</v>
      </c>
      <c r="B268" s="33">
        <v>-50000000</v>
      </c>
      <c r="C268" t="s">
        <v>51</v>
      </c>
      <c r="D268" t="s">
        <v>756</v>
      </c>
      <c r="E268" t="str">
        <f>IF(OR(C268="Transaction",C268="Interests",C268="Misc",C268="Account Transfer"), IF(C268="Transaction", IF(B268&lt;0, "Du no", "Da thanh toan"), IF(C268="Interests", "Lai", IF(C268="Misc", "Phi", IF(C268="Account Transfer", IF(OR(ISNUMBER(SEARCH("Trich lai tra gop the TD", D268)), ISNUMBER(SEARCH("Chuyen lai tra gop con lai sang du no thong thuong khi BadDebt", D268))), IF(B268&lt;0, "Lai tra gop", ""), "" )))))) &amp; " " &amp; IF(C268="Interests", TEXT(EDATE(IF(DAY(A268)&gt;=11, A268, EDATE(A268,-1)), -1),"yyyy-mm"), TEXT(IF(DAY(A268)&gt;=11, A268, EDATE(A268,-1)),"yyyy-mm"))</f>
        <v>Du no 2017-09</v>
      </c>
      <c r="F268">
        <f>IF(ISNUMBER(B268), ROUND(SUMIFS($B$2:$B$10000, $E$2:$E$10000, E268, $B$2:$B$10000, IF(B268&lt;0, "&lt;0", "&gt;0")), 0), "")</f>
        <v>-50000000</v>
      </c>
      <c r="G268" t="str">
        <f>IF(F268&gt;0, IF(C268="Transaction", "Da thanh toan", "Duong"), IF(F268&lt;0, IF(C268="Transaction", "Du no", IF(C268="Interests", "Lai phat sinh", IF(C268="Misc", "Phi", IF(C268="Account Transfer", "Lai tra gop", "Am")))), "Bang 0"))</f>
        <v>Du no</v>
      </c>
    </row>
    <row r="269" spans="1:7" x14ac:dyDescent="0.3">
      <c r="A269" s="64">
        <v>42991</v>
      </c>
      <c r="B269" s="33">
        <v>50000000</v>
      </c>
      <c r="C269" t="s">
        <v>51</v>
      </c>
      <c r="D269" t="s">
        <v>52</v>
      </c>
      <c r="E269" t="str">
        <f>IF(OR(C269="Transaction",C269="Interests",C269="Misc",C269="Account Transfer"), IF(C269="Transaction", IF(B269&lt;0, "Du no", "Da thanh toan"), IF(C269="Interests", "Lai", IF(C269="Misc", "Phi", IF(C269="Account Transfer", IF(OR(ISNUMBER(SEARCH("Trich lai tra gop the TD", D269)), ISNUMBER(SEARCH("Chuyen lai tra gop con lai sang du no thong thuong khi BadDebt", D269))), IF(B269&lt;0, "Lai tra gop", ""), "" )))))) &amp; " " &amp; IF(C269="Interests", TEXT(EDATE(IF(DAY(A269)&gt;=11, A269, EDATE(A269,-1)), -1),"yyyy-mm"), TEXT(IF(DAY(A269)&gt;=11, A269, EDATE(A269,-1)),"yyyy-mm"))</f>
        <v>Da thanh toan 2017-09</v>
      </c>
      <c r="F269">
        <f>IF(ISNUMBER(B269), ROUND(SUMIFS($B$2:$B$10000, $E$2:$E$10000, E269, $B$2:$B$10000, IF(B269&lt;0, "&lt;0", "&gt;0")), 0), "")</f>
        <v>50000000</v>
      </c>
      <c r="G269" t="str">
        <f>IF(F269&gt;0, IF(C269="Transaction", "Da thanh toan", "Duong"), IF(F269&lt;0, IF(C269="Transaction", "Du no", IF(C269="Interests", "Lai phat sinh", IF(C269="Misc", "Phi", IF(C269="Account Transfer", "Lai tra gop", "Am")))), "Bang 0"))</f>
        <v>Da thanh toan</v>
      </c>
    </row>
    <row r="270" spans="1:7" x14ac:dyDescent="0.3">
      <c r="A270" s="64">
        <v>42959</v>
      </c>
      <c r="B270" s="33">
        <v>-50000000</v>
      </c>
      <c r="C270" t="s">
        <v>51</v>
      </c>
      <c r="D270" t="s">
        <v>757</v>
      </c>
      <c r="E270" t="str">
        <f>IF(OR(C270="Transaction",C270="Interests",C270="Misc",C270="Account Transfer"), IF(C270="Transaction", IF(B270&lt;0, "Du no", "Da thanh toan"), IF(C270="Interests", "Lai", IF(C270="Misc", "Phi", IF(C270="Account Transfer", IF(OR(ISNUMBER(SEARCH("Trich lai tra gop the TD", D270)), ISNUMBER(SEARCH("Chuyen lai tra gop con lai sang du no thong thuong khi BadDebt", D270))), IF(B270&lt;0, "Lai tra gop", ""), "" )))))) &amp; " " &amp; IF(C270="Interests", TEXT(EDATE(IF(DAY(A270)&gt;=11, A270, EDATE(A270,-1)), -1),"yyyy-mm"), TEXT(IF(DAY(A270)&gt;=11, A270, EDATE(A270,-1)),"yyyy-mm"))</f>
        <v>Du no 2017-08</v>
      </c>
      <c r="F270">
        <f>IF(ISNUMBER(B270), ROUND(SUMIFS($B$2:$B$10000, $E$2:$E$10000, E270, $B$2:$B$10000, IF(B270&lt;0, "&lt;0", "&gt;0")), 0), "")</f>
        <v>-50000000</v>
      </c>
      <c r="G270" t="str">
        <f>IF(F270&gt;0, IF(C270="Transaction", "Da thanh toan", "Duong"), IF(F270&lt;0, IF(C270="Transaction", "Du no", IF(C270="Interests", "Lai phat sinh", IF(C270="Misc", "Phi", IF(C270="Account Transfer", "Lai tra gop", "Am")))), "Bang 0"))</f>
        <v>Du no</v>
      </c>
    </row>
    <row r="271" spans="1:7" x14ac:dyDescent="0.3">
      <c r="A271" s="64">
        <v>42958</v>
      </c>
      <c r="B271" s="33">
        <v>50000000</v>
      </c>
      <c r="C271" t="s">
        <v>51</v>
      </c>
      <c r="D271" t="s">
        <v>52</v>
      </c>
      <c r="E271" t="str">
        <f>IF(OR(C271="Transaction",C271="Interests",C271="Misc",C271="Account Transfer"), IF(C271="Transaction", IF(B271&lt;0, "Du no", "Da thanh toan"), IF(C271="Interests", "Lai", IF(C271="Misc", "Phi", IF(C271="Account Transfer", IF(OR(ISNUMBER(SEARCH("Trich lai tra gop the TD", D271)), ISNUMBER(SEARCH("Chuyen lai tra gop con lai sang du no thong thuong khi BadDebt", D271))), IF(B271&lt;0, "Lai tra gop", ""), "" )))))) &amp; " " &amp; IF(C271="Interests", TEXT(EDATE(IF(DAY(A271)&gt;=11, A271, EDATE(A271,-1)), -1),"yyyy-mm"), TEXT(IF(DAY(A271)&gt;=11, A271, EDATE(A271,-1)),"yyyy-mm"))</f>
        <v>Da thanh toan 2017-08</v>
      </c>
      <c r="F271">
        <f>IF(ISNUMBER(B271), ROUND(SUMIFS($B$2:$B$10000, $E$2:$E$10000, E271, $B$2:$B$10000, IF(B271&lt;0, "&lt;0", "&gt;0")), 0), "")</f>
        <v>50000000</v>
      </c>
      <c r="G271" t="str">
        <f>IF(F271&gt;0, IF(C271="Transaction", "Da thanh toan", "Duong"), IF(F271&lt;0, IF(C271="Transaction", "Du no", IF(C271="Interests", "Lai phat sinh", IF(C271="Misc", "Phi", IF(C271="Account Transfer", "Lai tra gop", "Am")))), "Bang 0"))</f>
        <v>Da thanh toan</v>
      </c>
    </row>
    <row r="272" spans="1:7" x14ac:dyDescent="0.3">
      <c r="A272" s="64">
        <v>42928</v>
      </c>
      <c r="B272" s="33">
        <v>-50000000</v>
      </c>
      <c r="C272" t="s">
        <v>51</v>
      </c>
      <c r="D272" t="s">
        <v>758</v>
      </c>
      <c r="E272" t="str">
        <f>IF(OR(C272="Transaction",C272="Interests",C272="Misc",C272="Account Transfer"), IF(C272="Transaction", IF(B272&lt;0, "Du no", "Da thanh toan"), IF(C272="Interests", "Lai", IF(C272="Misc", "Phi", IF(C272="Account Transfer", IF(OR(ISNUMBER(SEARCH("Trich lai tra gop the TD", D272)), ISNUMBER(SEARCH("Chuyen lai tra gop con lai sang du no thong thuong khi BadDebt", D272))), IF(B272&lt;0, "Lai tra gop", ""), "" )))))) &amp; " " &amp; IF(C272="Interests", TEXT(EDATE(IF(DAY(A272)&gt;=11, A272, EDATE(A272,-1)), -1),"yyyy-mm"), TEXT(IF(DAY(A272)&gt;=11, A272, EDATE(A272,-1)),"yyyy-mm"))</f>
        <v>Du no 2017-07</v>
      </c>
      <c r="F272">
        <f>IF(ISNUMBER(B272), ROUND(SUMIFS($B$2:$B$10000, $E$2:$E$10000, E272, $B$2:$B$10000, IF(B272&lt;0, "&lt;0", "&gt;0")), 0), "")</f>
        <v>-50000000</v>
      </c>
      <c r="G272" t="str">
        <f>IF(F272&gt;0, IF(C272="Transaction", "Da thanh toan", "Duong"), IF(F272&lt;0, IF(C272="Transaction", "Du no", IF(C272="Interests", "Lai phat sinh", IF(C272="Misc", "Phi", IF(C272="Account Transfer", "Lai tra gop", "Am")))), "Bang 0"))</f>
        <v>Du no</v>
      </c>
    </row>
    <row r="273" spans="1:7" x14ac:dyDescent="0.3">
      <c r="A273" s="64">
        <v>42927</v>
      </c>
      <c r="B273" s="33">
        <v>50000000</v>
      </c>
      <c r="C273" t="s">
        <v>51</v>
      </c>
      <c r="D273" t="s">
        <v>52</v>
      </c>
      <c r="E273" t="str">
        <f>IF(OR(C273="Transaction",C273="Interests",C273="Misc",C273="Account Transfer"), IF(C273="Transaction", IF(B273&lt;0, "Du no", "Da thanh toan"), IF(C273="Interests", "Lai", IF(C273="Misc", "Phi", IF(C273="Account Transfer", IF(OR(ISNUMBER(SEARCH("Trich lai tra gop the TD", D273)), ISNUMBER(SEARCH("Chuyen lai tra gop con lai sang du no thong thuong khi BadDebt", D273))), IF(B273&lt;0, "Lai tra gop", ""), "" )))))) &amp; " " &amp; IF(C273="Interests", TEXT(EDATE(IF(DAY(A273)&gt;=11, A273, EDATE(A273,-1)), -1),"yyyy-mm"), TEXT(IF(DAY(A273)&gt;=11, A273, EDATE(A273,-1)),"yyyy-mm"))</f>
        <v>Da thanh toan 2017-07</v>
      </c>
      <c r="F273">
        <f>IF(ISNUMBER(B273), ROUND(SUMIFS($B$2:$B$10000, $E$2:$E$10000, E273, $B$2:$B$10000, IF(B273&lt;0, "&lt;0", "&gt;0")), 0), "")</f>
        <v>50000000</v>
      </c>
      <c r="G273" t="str">
        <f>IF(F273&gt;0, IF(C273="Transaction", "Da thanh toan", "Duong"), IF(F273&lt;0, IF(C273="Transaction", "Du no", IF(C273="Interests", "Lai phat sinh", IF(C273="Misc", "Phi", IF(C273="Account Transfer", "Lai tra gop", "Am")))), "Bang 0"))</f>
        <v>Da thanh toan</v>
      </c>
    </row>
    <row r="274" spans="1:7" x14ac:dyDescent="0.3">
      <c r="A274" s="64">
        <v>42898</v>
      </c>
      <c r="B274" s="33">
        <v>50000000</v>
      </c>
      <c r="C274" t="s">
        <v>51</v>
      </c>
      <c r="D274" t="s">
        <v>52</v>
      </c>
      <c r="E274" t="str">
        <f>IF(OR(C274="Transaction",C274="Interests",C274="Misc",C274="Account Transfer"), IF(C274="Transaction", IF(B274&lt;0, "Du no", "Da thanh toan"), IF(C274="Interests", "Lai", IF(C274="Misc", "Phi", IF(C274="Account Transfer", IF(OR(ISNUMBER(SEARCH("Trich lai tra gop the TD", D274)), ISNUMBER(SEARCH("Chuyen lai tra gop con lai sang du no thong thuong khi BadDebt", D274))), IF(B274&lt;0, "Lai tra gop", ""), "" )))))) &amp; " " &amp; IF(C274="Interests", TEXT(EDATE(IF(DAY(A274)&gt;=11, A274, EDATE(A274,-1)), -1),"yyyy-mm"), TEXT(IF(DAY(A274)&gt;=11, A274, EDATE(A274,-1)),"yyyy-mm"))</f>
        <v>Da thanh toan 2017-06</v>
      </c>
      <c r="F274">
        <f>IF(ISNUMBER(B274), ROUND(SUMIFS($B$2:$B$10000, $E$2:$E$10000, E274, $B$2:$B$10000, IF(B274&lt;0, "&lt;0", "&gt;0")), 0), "")</f>
        <v>50000000</v>
      </c>
      <c r="G274" t="str">
        <f>IF(F274&gt;0, IF(C274="Transaction", "Da thanh toan", "Duong"), IF(F274&lt;0, IF(C274="Transaction", "Du no", IF(C274="Interests", "Lai phat sinh", IF(C274="Misc", "Phi", IF(C274="Account Transfer", "Lai tra gop", "Am")))), "Bang 0"))</f>
        <v>Da thanh toan</v>
      </c>
    </row>
    <row r="275" spans="1:7" x14ac:dyDescent="0.3">
      <c r="A275" s="64">
        <v>42898</v>
      </c>
      <c r="B275" s="33">
        <v>-50000000</v>
      </c>
      <c r="C275" t="s">
        <v>51</v>
      </c>
      <c r="D275" t="s">
        <v>758</v>
      </c>
      <c r="E275" t="str">
        <f>IF(OR(C275="Transaction",C275="Interests",C275="Misc",C275="Account Transfer"), IF(C275="Transaction", IF(B275&lt;0, "Du no", "Da thanh toan"), IF(C275="Interests", "Lai", IF(C275="Misc", "Phi", IF(C275="Account Transfer", IF(OR(ISNUMBER(SEARCH("Trich lai tra gop the TD", D275)), ISNUMBER(SEARCH("Chuyen lai tra gop con lai sang du no thong thuong khi BadDebt", D275))), IF(B275&lt;0, "Lai tra gop", ""), "" )))))) &amp; " " &amp; IF(C275="Interests", TEXT(EDATE(IF(DAY(A275)&gt;=11, A275, EDATE(A275,-1)), -1),"yyyy-mm"), TEXT(IF(DAY(A275)&gt;=11, A275, EDATE(A275,-1)),"yyyy-mm"))</f>
        <v>Du no 2017-06</v>
      </c>
      <c r="F275">
        <f>IF(ISNUMBER(B275), ROUND(SUMIFS($B$2:$B$10000, $E$2:$E$10000, E275, $B$2:$B$10000, IF(B275&lt;0, "&lt;0", "&gt;0")), 0), "")</f>
        <v>-50000000</v>
      </c>
      <c r="G275" t="str">
        <f>IF(F275&gt;0, IF(C275="Transaction", "Da thanh toan", "Duong"), IF(F275&lt;0, IF(C275="Transaction", "Du no", IF(C275="Interests", "Lai phat sinh", IF(C275="Misc", "Phi", IF(C275="Account Transfer", "Lai tra gop", "Am")))), "Bang 0"))</f>
        <v>Du no</v>
      </c>
    </row>
    <row r="276" spans="1:7" x14ac:dyDescent="0.3">
      <c r="A276" s="64">
        <v>42867</v>
      </c>
      <c r="B276" s="33">
        <v>-50000000</v>
      </c>
      <c r="C276" t="s">
        <v>51</v>
      </c>
      <c r="D276" t="s">
        <v>759</v>
      </c>
      <c r="E276" t="str">
        <f>IF(OR(C276="Transaction",C276="Interests",C276="Misc",C276="Account Transfer"), IF(C276="Transaction", IF(B276&lt;0, "Du no", "Da thanh toan"), IF(C276="Interests", "Lai", IF(C276="Misc", "Phi", IF(C276="Account Transfer", IF(OR(ISNUMBER(SEARCH("Trich lai tra gop the TD", D276)), ISNUMBER(SEARCH("Chuyen lai tra gop con lai sang du no thong thuong khi BadDebt", D276))), IF(B276&lt;0, "Lai tra gop", ""), "" )))))) &amp; " " &amp; IF(C276="Interests", TEXT(EDATE(IF(DAY(A276)&gt;=11, A276, EDATE(A276,-1)), -1),"yyyy-mm"), TEXT(IF(DAY(A276)&gt;=11, A276, EDATE(A276,-1)),"yyyy-mm"))</f>
        <v>Du no 2017-05</v>
      </c>
      <c r="F276">
        <f>IF(ISNUMBER(B276), ROUND(SUMIFS($B$2:$B$10000, $E$2:$E$10000, E276, $B$2:$B$10000, IF(B276&lt;0, "&lt;0", "&gt;0")), 0), "")</f>
        <v>-50000000</v>
      </c>
      <c r="G276" t="str">
        <f>IF(F276&gt;0, IF(C276="Transaction", "Da thanh toan", "Duong"), IF(F276&lt;0, IF(C276="Transaction", "Du no", IF(C276="Interests", "Lai phat sinh", IF(C276="Misc", "Phi", IF(C276="Account Transfer", "Lai tra gop", "Am")))), "Bang 0"))</f>
        <v>Du no</v>
      </c>
    </row>
    <row r="277" spans="1:7" x14ac:dyDescent="0.3">
      <c r="A277" s="64">
        <v>42866</v>
      </c>
      <c r="B277" s="33">
        <v>50000000</v>
      </c>
      <c r="C277" t="s">
        <v>51</v>
      </c>
      <c r="D277" t="s">
        <v>52</v>
      </c>
      <c r="E277" t="str">
        <f>IF(OR(C277="Transaction",C277="Interests",C277="Misc",C277="Account Transfer"), IF(C277="Transaction", IF(B277&lt;0, "Du no", "Da thanh toan"), IF(C277="Interests", "Lai", IF(C277="Misc", "Phi", IF(C277="Account Transfer", IF(OR(ISNUMBER(SEARCH("Trich lai tra gop the TD", D277)), ISNUMBER(SEARCH("Chuyen lai tra gop con lai sang du no thong thuong khi BadDebt", D277))), IF(B277&lt;0, "Lai tra gop", ""), "" )))))) &amp; " " &amp; IF(C277="Interests", TEXT(EDATE(IF(DAY(A277)&gt;=11, A277, EDATE(A277,-1)), -1),"yyyy-mm"), TEXT(IF(DAY(A277)&gt;=11, A277, EDATE(A277,-1)),"yyyy-mm"))</f>
        <v>Da thanh toan 2017-05</v>
      </c>
      <c r="F277">
        <f>IF(ISNUMBER(B277), ROUND(SUMIFS($B$2:$B$10000, $E$2:$E$10000, E277, $B$2:$B$10000, IF(B277&lt;0, "&lt;0", "&gt;0")), 0), "")</f>
        <v>50000000</v>
      </c>
      <c r="G277" t="str">
        <f>IF(F277&gt;0, IF(C277="Transaction", "Da thanh toan", "Duong"), IF(F277&lt;0, IF(C277="Transaction", "Du no", IF(C277="Interests", "Lai phat sinh", IF(C277="Misc", "Phi", IF(C277="Account Transfer", "Lai tra gop", "Am")))), "Bang 0"))</f>
        <v>Da thanh toan</v>
      </c>
    </row>
    <row r="278" spans="1:7" x14ac:dyDescent="0.3">
      <c r="A278" s="64">
        <v>42838</v>
      </c>
      <c r="B278" s="33">
        <v>-50000000</v>
      </c>
      <c r="C278" t="s">
        <v>51</v>
      </c>
      <c r="D278" t="s">
        <v>759</v>
      </c>
      <c r="E278" t="str">
        <f>IF(OR(C278="Transaction",C278="Interests",C278="Misc",C278="Account Transfer"), IF(C278="Transaction", IF(B278&lt;0, "Du no", "Da thanh toan"), IF(C278="Interests", "Lai", IF(C278="Misc", "Phi", IF(C278="Account Transfer", IF(OR(ISNUMBER(SEARCH("Trich lai tra gop the TD", D278)), ISNUMBER(SEARCH("Chuyen lai tra gop con lai sang du no thong thuong khi BadDebt", D278))), IF(B278&lt;0, "Lai tra gop", ""), "" )))))) &amp; " " &amp; IF(C278="Interests", TEXT(EDATE(IF(DAY(A278)&gt;=11, A278, EDATE(A278,-1)), -1),"yyyy-mm"), TEXT(IF(DAY(A278)&gt;=11, A278, EDATE(A278,-1)),"yyyy-mm"))</f>
        <v>Du no 2017-04</v>
      </c>
      <c r="F278">
        <f>IF(ISNUMBER(B278), ROUND(SUMIFS($B$2:$B$10000, $E$2:$E$10000, E278, $B$2:$B$10000, IF(B278&lt;0, "&lt;0", "&gt;0")), 0), "")</f>
        <v>-50000000</v>
      </c>
      <c r="G278" t="str">
        <f>IF(F278&gt;0, IF(C278="Transaction", "Da thanh toan", "Duong"), IF(F278&lt;0, IF(C278="Transaction", "Du no", IF(C278="Interests", "Lai phat sinh", IF(C278="Misc", "Phi", IF(C278="Account Transfer", "Lai tra gop", "Am")))), "Bang 0"))</f>
        <v>Du no</v>
      </c>
    </row>
    <row r="279" spans="1:7" x14ac:dyDescent="0.3">
      <c r="A279" s="64">
        <v>42837</v>
      </c>
      <c r="B279" s="33">
        <v>50000000</v>
      </c>
      <c r="C279" t="s">
        <v>51</v>
      </c>
      <c r="D279" t="s">
        <v>52</v>
      </c>
      <c r="E279" t="str">
        <f>IF(OR(C279="Transaction",C279="Interests",C279="Misc",C279="Account Transfer"), IF(C279="Transaction", IF(B279&lt;0, "Du no", "Da thanh toan"), IF(C279="Interests", "Lai", IF(C279="Misc", "Phi", IF(C279="Account Transfer", IF(OR(ISNUMBER(SEARCH("Trich lai tra gop the TD", D279)), ISNUMBER(SEARCH("Chuyen lai tra gop con lai sang du no thong thuong khi BadDebt", D279))), IF(B279&lt;0, "Lai tra gop", ""), "" )))))) &amp; " " &amp; IF(C279="Interests", TEXT(EDATE(IF(DAY(A279)&gt;=11, A279, EDATE(A279,-1)), -1),"yyyy-mm"), TEXT(IF(DAY(A279)&gt;=11, A279, EDATE(A279,-1)),"yyyy-mm"))</f>
        <v>Da thanh toan 2017-04</v>
      </c>
      <c r="F279">
        <f>IF(ISNUMBER(B279), ROUND(SUMIFS($B$2:$B$10000, $E$2:$E$10000, E279, $B$2:$B$10000, IF(B279&lt;0, "&lt;0", "&gt;0")), 0), "")</f>
        <v>50000000</v>
      </c>
      <c r="G279" t="str">
        <f>IF(F279&gt;0, IF(C279="Transaction", "Da thanh toan", "Duong"), IF(F279&lt;0, IF(C279="Transaction", "Du no", IF(C279="Interests", "Lai phat sinh", IF(C279="Misc", "Phi", IF(C279="Account Transfer", "Lai tra gop", "Am")))), "Bang 0"))</f>
        <v>Da thanh toan</v>
      </c>
    </row>
    <row r="280" spans="1:7" x14ac:dyDescent="0.3">
      <c r="A280" s="64">
        <v>42808</v>
      </c>
      <c r="B280" s="33">
        <v>-50000000</v>
      </c>
      <c r="C280" t="s">
        <v>51</v>
      </c>
      <c r="D280" t="s">
        <v>759</v>
      </c>
      <c r="E280" t="str">
        <f>IF(OR(C280="Transaction",C280="Interests",C280="Misc",C280="Account Transfer"), IF(C280="Transaction", IF(B280&lt;0, "Du no", "Da thanh toan"), IF(C280="Interests", "Lai", IF(C280="Misc", "Phi", IF(C280="Account Transfer", IF(OR(ISNUMBER(SEARCH("Trich lai tra gop the TD", D280)), ISNUMBER(SEARCH("Chuyen lai tra gop con lai sang du no thong thuong khi BadDebt", D280))), IF(B280&lt;0, "Lai tra gop", ""), "" )))))) &amp; " " &amp; IF(C280="Interests", TEXT(EDATE(IF(DAY(A280)&gt;=11, A280, EDATE(A280,-1)), -1),"yyyy-mm"), TEXT(IF(DAY(A280)&gt;=11, A280, EDATE(A280,-1)),"yyyy-mm"))</f>
        <v>Du no 2017-03</v>
      </c>
      <c r="F280">
        <f>IF(ISNUMBER(B280), ROUND(SUMIFS($B$2:$B$10000, $E$2:$E$10000, E280, $B$2:$B$10000, IF(B280&lt;0, "&lt;0", "&gt;0")), 0), "")</f>
        <v>-50000000</v>
      </c>
      <c r="G280" t="str">
        <f>IF(F280&gt;0, IF(C280="Transaction", "Da thanh toan", "Duong"), IF(F280&lt;0, IF(C280="Transaction", "Du no", IF(C280="Interests", "Lai phat sinh", IF(C280="Misc", "Phi", IF(C280="Account Transfer", "Lai tra gop", "Am")))), "Bang 0"))</f>
        <v>Du no</v>
      </c>
    </row>
    <row r="281" spans="1:7" x14ac:dyDescent="0.3">
      <c r="A281" s="64">
        <v>42807</v>
      </c>
      <c r="B281" s="33">
        <v>50000000</v>
      </c>
      <c r="C281" t="s">
        <v>51</v>
      </c>
      <c r="D281" t="s">
        <v>52</v>
      </c>
      <c r="E281" t="str">
        <f>IF(OR(C281="Transaction",C281="Interests",C281="Misc",C281="Account Transfer"), IF(C281="Transaction", IF(B281&lt;0, "Du no", "Da thanh toan"), IF(C281="Interests", "Lai", IF(C281="Misc", "Phi", IF(C281="Account Transfer", IF(OR(ISNUMBER(SEARCH("Trich lai tra gop the TD", D281)), ISNUMBER(SEARCH("Chuyen lai tra gop con lai sang du no thong thuong khi BadDebt", D281))), IF(B281&lt;0, "Lai tra gop", ""), "" )))))) &amp; " " &amp; IF(C281="Interests", TEXT(EDATE(IF(DAY(A281)&gt;=11, A281, EDATE(A281,-1)), -1),"yyyy-mm"), TEXT(IF(DAY(A281)&gt;=11, A281, EDATE(A281,-1)),"yyyy-mm"))</f>
        <v>Da thanh toan 2017-03</v>
      </c>
      <c r="F281">
        <f>IF(ISNUMBER(B281), ROUND(SUMIFS($B$2:$B$10000, $E$2:$E$10000, E281, $B$2:$B$10000, IF(B281&lt;0, "&lt;0", "&gt;0")), 0), "")</f>
        <v>50000000</v>
      </c>
      <c r="G281" t="str">
        <f>IF(F281&gt;0, IF(C281="Transaction", "Da thanh toan", "Duong"), IF(F281&lt;0, IF(C281="Transaction", "Du no", IF(C281="Interests", "Lai phat sinh", IF(C281="Misc", "Phi", IF(C281="Account Transfer", "Lai tra gop", "Am")))), "Bang 0"))</f>
        <v>Da thanh toan</v>
      </c>
    </row>
    <row r="282" spans="1:7" x14ac:dyDescent="0.3">
      <c r="A282" s="64">
        <v>42780</v>
      </c>
      <c r="B282" s="33">
        <v>-50000000</v>
      </c>
      <c r="C282" t="s">
        <v>51</v>
      </c>
      <c r="D282" t="s">
        <v>759</v>
      </c>
      <c r="E282" t="str">
        <f>IF(OR(C282="Transaction",C282="Interests",C282="Misc",C282="Account Transfer"), IF(C282="Transaction", IF(B282&lt;0, "Du no", "Da thanh toan"), IF(C282="Interests", "Lai", IF(C282="Misc", "Phi", IF(C282="Account Transfer", IF(OR(ISNUMBER(SEARCH("Trich lai tra gop the TD", D282)), ISNUMBER(SEARCH("Chuyen lai tra gop con lai sang du no thong thuong khi BadDebt", D282))), IF(B282&lt;0, "Lai tra gop", ""), "" )))))) &amp; " " &amp; IF(C282="Interests", TEXT(EDATE(IF(DAY(A282)&gt;=11, A282, EDATE(A282,-1)), -1),"yyyy-mm"), TEXT(IF(DAY(A282)&gt;=11, A282, EDATE(A282,-1)),"yyyy-mm"))</f>
        <v>Du no 2017-02</v>
      </c>
      <c r="F282">
        <f>IF(ISNUMBER(B282), ROUND(SUMIFS($B$2:$B$10000, $E$2:$E$10000, E282, $B$2:$B$10000, IF(B282&lt;0, "&lt;0", "&gt;0")), 0), "")</f>
        <v>-50000000</v>
      </c>
      <c r="G282" t="str">
        <f>IF(F282&gt;0, IF(C282="Transaction", "Da thanh toan", "Duong"), IF(F282&lt;0, IF(C282="Transaction", "Du no", IF(C282="Interests", "Lai phat sinh", IF(C282="Misc", "Phi", IF(C282="Account Transfer", "Lai tra gop", "Am")))), "Bang 0"))</f>
        <v>Du no</v>
      </c>
    </row>
    <row r="283" spans="1:7" x14ac:dyDescent="0.3">
      <c r="A283" s="64">
        <v>42779</v>
      </c>
      <c r="B283" s="33">
        <v>50000000</v>
      </c>
      <c r="C283" t="s">
        <v>51</v>
      </c>
      <c r="D283" t="s">
        <v>52</v>
      </c>
      <c r="E283" t="str">
        <f>IF(OR(C283="Transaction",C283="Interests",C283="Misc",C283="Account Transfer"), IF(C283="Transaction", IF(B283&lt;0, "Du no", "Da thanh toan"), IF(C283="Interests", "Lai", IF(C283="Misc", "Phi", IF(C283="Account Transfer", IF(OR(ISNUMBER(SEARCH("Trich lai tra gop the TD", D283)), ISNUMBER(SEARCH("Chuyen lai tra gop con lai sang du no thong thuong khi BadDebt", D283))), IF(B283&lt;0, "Lai tra gop", ""), "" )))))) &amp; " " &amp; IF(C283="Interests", TEXT(EDATE(IF(DAY(A283)&gt;=11, A283, EDATE(A283,-1)), -1),"yyyy-mm"), TEXT(IF(DAY(A283)&gt;=11, A283, EDATE(A283,-1)),"yyyy-mm"))</f>
        <v>Da thanh toan 2017-02</v>
      </c>
      <c r="F283">
        <f>IF(ISNUMBER(B283), ROUND(SUMIFS($B$2:$B$10000, $E$2:$E$10000, E283, $B$2:$B$10000, IF(B283&lt;0, "&lt;0", "&gt;0")), 0), "")</f>
        <v>50000000</v>
      </c>
      <c r="G283" t="str">
        <f>IF(F283&gt;0, IF(C283="Transaction", "Da thanh toan", "Duong"), IF(F283&lt;0, IF(C283="Transaction", "Du no", IF(C283="Interests", "Lai phat sinh", IF(C283="Misc", "Phi", IF(C283="Account Transfer", "Lai tra gop", "Am")))), "Bang 0"))</f>
        <v>Da thanh toan</v>
      </c>
    </row>
    <row r="284" spans="1:7" x14ac:dyDescent="0.3">
      <c r="A284" s="64">
        <v>42747</v>
      </c>
      <c r="B284" s="33">
        <v>-50000000</v>
      </c>
      <c r="C284" t="s">
        <v>51</v>
      </c>
      <c r="D284" t="s">
        <v>760</v>
      </c>
      <c r="E284" t="str">
        <f>IF(OR(C284="Transaction",C284="Interests",C284="Misc",C284="Account Transfer"), IF(C284="Transaction", IF(B284&lt;0, "Du no", "Da thanh toan"), IF(C284="Interests", "Lai", IF(C284="Misc", "Phi", IF(C284="Account Transfer", IF(OR(ISNUMBER(SEARCH("Trich lai tra gop the TD", D284)), ISNUMBER(SEARCH("Chuyen lai tra gop con lai sang du no thong thuong khi BadDebt", D284))), IF(B284&lt;0, "Lai tra gop", ""), "" )))))) &amp; " " &amp; IF(C284="Interests", TEXT(EDATE(IF(DAY(A284)&gt;=11, A284, EDATE(A284,-1)), -1),"yyyy-mm"), TEXT(IF(DAY(A284)&gt;=11, A284, EDATE(A284,-1)),"yyyy-mm"))</f>
        <v>Du no 2017-01</v>
      </c>
      <c r="F284">
        <f>IF(ISNUMBER(B284), ROUND(SUMIFS($B$2:$B$10000, $E$2:$E$10000, E284, $B$2:$B$10000, IF(B284&lt;0, "&lt;0", "&gt;0")), 0), "")</f>
        <v>-50000000</v>
      </c>
      <c r="G284" t="str">
        <f>IF(F284&gt;0, IF(C284="Transaction", "Da thanh toan", "Duong"), IF(F284&lt;0, IF(C284="Transaction", "Du no", IF(C284="Interests", "Lai phat sinh", IF(C284="Misc", "Phi", IF(C284="Account Transfer", "Lai tra gop", "Am")))), "Bang 0"))</f>
        <v>Du no</v>
      </c>
    </row>
    <row r="285" spans="1:7" x14ac:dyDescent="0.3">
      <c r="A285" s="64">
        <v>42746</v>
      </c>
      <c r="B285" s="33">
        <v>50000000</v>
      </c>
      <c r="C285" t="s">
        <v>51</v>
      </c>
      <c r="E285" t="str">
        <f>IF(OR(C285="Transaction",C285="Interests",C285="Misc",C285="Account Transfer"), IF(C285="Transaction", IF(B285&lt;0, "Du no", "Da thanh toan"), IF(C285="Interests", "Lai", IF(C285="Misc", "Phi", IF(C285="Account Transfer", IF(OR(ISNUMBER(SEARCH("Trich lai tra gop the TD", D285)), ISNUMBER(SEARCH("Chuyen lai tra gop con lai sang du no thong thuong khi BadDebt", D285))), IF(B285&lt;0, "Lai tra gop", ""), "" )))))) &amp; " " &amp; IF(C285="Interests", TEXT(EDATE(IF(DAY(A285)&gt;=11, A285, EDATE(A285,-1)), -1),"yyyy-mm"), TEXT(IF(DAY(A285)&gt;=11, A285, EDATE(A285,-1)),"yyyy-mm"))</f>
        <v>Da thanh toan 2017-01</v>
      </c>
      <c r="F285">
        <f>IF(ISNUMBER(B285), ROUND(SUMIFS($B$2:$B$10000, $E$2:$E$10000, E285, $B$2:$B$10000, IF(B285&lt;0, "&lt;0", "&gt;0")), 0), "")</f>
        <v>50000000</v>
      </c>
      <c r="G285" t="str">
        <f>IF(F285&gt;0, IF(C285="Transaction", "Da thanh toan", "Duong"), IF(F285&lt;0, IF(C285="Transaction", "Du no", IF(C285="Interests", "Lai phat sinh", IF(C285="Misc", "Phi", IF(C285="Account Transfer", "Lai tra gop", "Am")))), "Bang 0"))</f>
        <v>Da thanh toan</v>
      </c>
    </row>
    <row r="286" spans="1:7" x14ac:dyDescent="0.3">
      <c r="A286" s="64">
        <v>42718</v>
      </c>
      <c r="B286" s="33">
        <v>-50000000</v>
      </c>
      <c r="C286" t="s">
        <v>51</v>
      </c>
      <c r="D286" t="s">
        <v>760</v>
      </c>
      <c r="E286" t="str">
        <f>IF(OR(C286="Transaction",C286="Interests",C286="Misc",C286="Account Transfer"), IF(C286="Transaction", IF(B286&lt;0, "Du no", "Da thanh toan"), IF(C286="Interests", "Lai", IF(C286="Misc", "Phi", IF(C286="Account Transfer", IF(OR(ISNUMBER(SEARCH("Trich lai tra gop the TD", D286)), ISNUMBER(SEARCH("Chuyen lai tra gop con lai sang du no thong thuong khi BadDebt", D286))), IF(B286&lt;0, "Lai tra gop", ""), "" )))))) &amp; " " &amp; IF(C286="Interests", TEXT(EDATE(IF(DAY(A286)&gt;=11, A286, EDATE(A286,-1)), -1),"yyyy-mm"), TEXT(IF(DAY(A286)&gt;=11, A286, EDATE(A286,-1)),"yyyy-mm"))</f>
        <v>Du no 2016-12</v>
      </c>
      <c r="F286">
        <f>IF(ISNUMBER(B286), ROUND(SUMIFS($B$2:$B$10000, $E$2:$E$10000, E286, $B$2:$B$10000, IF(B286&lt;0, "&lt;0", "&gt;0")), 0), "")</f>
        <v>-50000000</v>
      </c>
      <c r="G286" t="str">
        <f>IF(F286&gt;0, IF(C286="Transaction", "Da thanh toan", "Duong"), IF(F286&lt;0, IF(C286="Transaction", "Du no", IF(C286="Interests", "Lai phat sinh", IF(C286="Misc", "Phi", IF(C286="Account Transfer", "Lai tra gop", "Am")))), "Bang 0"))</f>
        <v>Du no</v>
      </c>
    </row>
    <row r="287" spans="1:7" x14ac:dyDescent="0.3">
      <c r="A287" s="64">
        <v>42717</v>
      </c>
      <c r="B287" s="33">
        <v>50000000</v>
      </c>
      <c r="C287" t="s">
        <v>51</v>
      </c>
      <c r="D287" t="s">
        <v>52</v>
      </c>
      <c r="E287" t="str">
        <f>IF(OR(C287="Transaction",C287="Interests",C287="Misc",C287="Account Transfer"), IF(C287="Transaction", IF(B287&lt;0, "Du no", "Da thanh toan"), IF(C287="Interests", "Lai", IF(C287="Misc", "Phi", IF(C287="Account Transfer", IF(OR(ISNUMBER(SEARCH("Trich lai tra gop the TD", D287)), ISNUMBER(SEARCH("Chuyen lai tra gop con lai sang du no thong thuong khi BadDebt", D287))), IF(B287&lt;0, "Lai tra gop", ""), "" )))))) &amp; " " &amp; IF(C287="Interests", TEXT(EDATE(IF(DAY(A287)&gt;=11, A287, EDATE(A287,-1)), -1),"yyyy-mm"), TEXT(IF(DAY(A287)&gt;=11, A287, EDATE(A287,-1)),"yyyy-mm"))</f>
        <v>Da thanh toan 2016-12</v>
      </c>
      <c r="F287">
        <f>IF(ISNUMBER(B287), ROUND(SUMIFS($B$2:$B$10000, $E$2:$E$10000, E287, $B$2:$B$10000, IF(B287&lt;0, "&lt;0", "&gt;0")), 0), "")</f>
        <v>50000000</v>
      </c>
      <c r="G287" t="str">
        <f>IF(F287&gt;0, IF(C287="Transaction", "Da thanh toan", "Duong"), IF(F287&lt;0, IF(C287="Transaction", "Du no", IF(C287="Interests", "Lai phat sinh", IF(C287="Misc", "Phi", IF(C287="Account Transfer", "Lai tra gop", "Am")))), "Bang 0"))</f>
        <v>Da thanh toan</v>
      </c>
    </row>
    <row r="288" spans="1:7" x14ac:dyDescent="0.3">
      <c r="A288" s="64">
        <v>42689</v>
      </c>
      <c r="B288" s="33">
        <v>-50000000</v>
      </c>
      <c r="C288" t="s">
        <v>51</v>
      </c>
      <c r="D288" t="s">
        <v>761</v>
      </c>
      <c r="E288" t="str">
        <f>IF(OR(C288="Transaction",C288="Interests",C288="Misc",C288="Account Transfer"), IF(C288="Transaction", IF(B288&lt;0, "Du no", "Da thanh toan"), IF(C288="Interests", "Lai", IF(C288="Misc", "Phi", IF(C288="Account Transfer", IF(OR(ISNUMBER(SEARCH("Trich lai tra gop the TD", D288)), ISNUMBER(SEARCH("Chuyen lai tra gop con lai sang du no thong thuong khi BadDebt", D288))), IF(B288&lt;0, "Lai tra gop", ""), "" )))))) &amp; " " &amp; IF(C288="Interests", TEXT(EDATE(IF(DAY(A288)&gt;=11, A288, EDATE(A288,-1)), -1),"yyyy-mm"), TEXT(IF(DAY(A288)&gt;=11, A288, EDATE(A288,-1)),"yyyy-mm"))</f>
        <v>Du no 2016-11</v>
      </c>
      <c r="F288">
        <f>IF(ISNUMBER(B288), ROUND(SUMIFS($B$2:$B$10000, $E$2:$E$10000, E288, $B$2:$B$10000, IF(B288&lt;0, "&lt;0", "&gt;0")), 0), "")</f>
        <v>-50000000</v>
      </c>
      <c r="G288" t="str">
        <f>IF(F288&gt;0, IF(C288="Transaction", "Da thanh toan", "Duong"), IF(F288&lt;0, IF(C288="Transaction", "Du no", IF(C288="Interests", "Lai phat sinh", IF(C288="Misc", "Phi", IF(C288="Account Transfer", "Lai tra gop", "Am")))), "Bang 0"))</f>
        <v>Du no</v>
      </c>
    </row>
    <row r="289" spans="1:7" x14ac:dyDescent="0.3">
      <c r="A289" s="64">
        <v>42685</v>
      </c>
      <c r="B289" s="33">
        <v>50000000</v>
      </c>
      <c r="C289" t="s">
        <v>51</v>
      </c>
      <c r="D289" t="s">
        <v>52</v>
      </c>
      <c r="E289" t="str">
        <f>IF(OR(C289="Transaction",C289="Interests",C289="Misc",C289="Account Transfer"), IF(C289="Transaction", IF(B289&lt;0, "Du no", "Da thanh toan"), IF(C289="Interests", "Lai", IF(C289="Misc", "Phi", IF(C289="Account Transfer", IF(OR(ISNUMBER(SEARCH("Trich lai tra gop the TD", D289)), ISNUMBER(SEARCH("Chuyen lai tra gop con lai sang du no thong thuong khi BadDebt", D289))), IF(B289&lt;0, "Lai tra gop", ""), "" )))))) &amp; " " &amp; IF(C289="Interests", TEXT(EDATE(IF(DAY(A289)&gt;=11, A289, EDATE(A289,-1)), -1),"yyyy-mm"), TEXT(IF(DAY(A289)&gt;=11, A289, EDATE(A289,-1)),"yyyy-mm"))</f>
        <v>Da thanh toan 2016-11</v>
      </c>
      <c r="F289">
        <f>IF(ISNUMBER(B289), ROUND(SUMIFS($B$2:$B$10000, $E$2:$E$10000, E289, $B$2:$B$10000, IF(B289&lt;0, "&lt;0", "&gt;0")), 0), "")</f>
        <v>50000000</v>
      </c>
      <c r="G289" t="str">
        <f>IF(F289&gt;0, IF(C289="Transaction", "Da thanh toan", "Duong"), IF(F289&lt;0, IF(C289="Transaction", "Du no", IF(C289="Interests", "Lai phat sinh", IF(C289="Misc", "Phi", IF(C289="Account Transfer", "Lai tra gop", "Am")))), "Bang 0"))</f>
        <v>Da thanh toan</v>
      </c>
    </row>
    <row r="290" spans="1:7" x14ac:dyDescent="0.3">
      <c r="A290" s="64">
        <v>42668</v>
      </c>
      <c r="B290" s="33">
        <v>-50000000</v>
      </c>
      <c r="C290" t="s">
        <v>51</v>
      </c>
      <c r="D290" t="s">
        <v>761</v>
      </c>
      <c r="E290" t="str">
        <f>IF(OR(C290="Transaction",C290="Interests",C290="Misc",C290="Account Transfer"), IF(C290="Transaction", IF(B290&lt;0, "Du no", "Da thanh toan"), IF(C290="Interests", "Lai", IF(C290="Misc", "Phi", IF(C290="Account Transfer", IF(OR(ISNUMBER(SEARCH("Trich lai tra gop the TD", D290)), ISNUMBER(SEARCH("Chuyen lai tra gop con lai sang du no thong thuong khi BadDebt", D290))), IF(B290&lt;0, "Lai tra gop", ""), "" )))))) &amp; " " &amp; IF(C290="Interests", TEXT(EDATE(IF(DAY(A290)&gt;=11, A290, EDATE(A290,-1)), -1),"yyyy-mm"), TEXT(IF(DAY(A290)&gt;=11, A290, EDATE(A290,-1)),"yyyy-mm"))</f>
        <v>Du no 2016-10</v>
      </c>
      <c r="F290">
        <f>IF(ISNUMBER(B290), ROUND(SUMIFS($B$2:$B$10000, $E$2:$E$10000, E290, $B$2:$B$10000, IF(B290&lt;0, "&lt;0", "&gt;0")), 0), "")</f>
        <v>-50000000</v>
      </c>
      <c r="G290" t="str">
        <f>IF(F290&gt;0, IF(C290="Transaction", "Da thanh toan", "Duong"), IF(F290&lt;0, IF(C290="Transaction", "Du no", IF(C290="Interests", "Lai phat sinh", IF(C290="Misc", "Phi", IF(C290="Account Transfer", "Lai tra gop", "Am")))), "Bang 0"))</f>
        <v>Du no</v>
      </c>
    </row>
    <row r="291" spans="1:7" x14ac:dyDescent="0.3">
      <c r="A291" s="64">
        <v>42667</v>
      </c>
      <c r="B291" s="33">
        <v>50000000</v>
      </c>
      <c r="C291" t="s">
        <v>51</v>
      </c>
      <c r="D291" t="s">
        <v>52</v>
      </c>
      <c r="E291" t="str">
        <f>IF(OR(C291="Transaction",C291="Interests",C291="Misc",C291="Account Transfer"), IF(C291="Transaction", IF(B291&lt;0, "Du no", "Da thanh toan"), IF(C291="Interests", "Lai", IF(C291="Misc", "Phi", IF(C291="Account Transfer", IF(OR(ISNUMBER(SEARCH("Trich lai tra gop the TD", D291)), ISNUMBER(SEARCH("Chuyen lai tra gop con lai sang du no thong thuong khi BadDebt", D291))), IF(B291&lt;0, "Lai tra gop", ""), "" )))))) &amp; " " &amp; IF(C291="Interests", TEXT(EDATE(IF(DAY(A291)&gt;=11, A291, EDATE(A291,-1)), -1),"yyyy-mm"), TEXT(IF(DAY(A291)&gt;=11, A291, EDATE(A291,-1)),"yyyy-mm"))</f>
        <v>Da thanh toan 2016-10</v>
      </c>
      <c r="F291">
        <f>IF(ISNUMBER(B291), ROUND(SUMIFS($B$2:$B$10000, $E$2:$E$10000, E291, $B$2:$B$10000, IF(B291&lt;0, "&lt;0", "&gt;0")), 0), "")</f>
        <v>50000000</v>
      </c>
      <c r="G291" t="str">
        <f>IF(F291&gt;0, IF(C291="Transaction", "Da thanh toan", "Duong"), IF(F291&lt;0, IF(C291="Transaction", "Du no", IF(C291="Interests", "Lai phat sinh", IF(C291="Misc", "Phi", IF(C291="Account Transfer", "Lai tra gop", "Am")))), "Bang 0"))</f>
        <v>Da thanh toan</v>
      </c>
    </row>
    <row r="292" spans="1:7" x14ac:dyDescent="0.3">
      <c r="A292" s="64">
        <v>42642</v>
      </c>
      <c r="B292" s="33">
        <v>-30000000</v>
      </c>
      <c r="C292" t="s">
        <v>51</v>
      </c>
      <c r="D292" t="s">
        <v>761</v>
      </c>
      <c r="E292" t="str">
        <f>IF(OR(C292="Transaction",C292="Interests",C292="Misc",C292="Account Transfer"), IF(C292="Transaction", IF(B292&lt;0, "Du no", "Da thanh toan"), IF(C292="Interests", "Lai", IF(C292="Misc", "Phi", IF(C292="Account Transfer", IF(OR(ISNUMBER(SEARCH("Trich lai tra gop the TD", D292)), ISNUMBER(SEARCH("Chuyen lai tra gop con lai sang du no thong thuong khi BadDebt", D292))), IF(B292&lt;0, "Lai tra gop", ""), "" )))))) &amp; " " &amp; IF(C292="Interests", TEXT(EDATE(IF(DAY(A292)&gt;=11, A292, EDATE(A292,-1)), -1),"yyyy-mm"), TEXT(IF(DAY(A292)&gt;=11, A292, EDATE(A292,-1)),"yyyy-mm"))</f>
        <v>Du no 2016-09</v>
      </c>
      <c r="F292">
        <f>IF(ISNUMBER(B292), ROUND(SUMIFS($B$2:$B$10000, $E$2:$E$10000, E292, $B$2:$B$10000, IF(B292&lt;0, "&lt;0", "&gt;0")), 0), "")</f>
        <v>-50000000</v>
      </c>
      <c r="G292" t="str">
        <f>IF(F292&gt;0, IF(C292="Transaction", "Da thanh toan", "Duong"), IF(F292&lt;0, IF(C292="Transaction", "Du no", IF(C292="Interests", "Lai phat sinh", IF(C292="Misc", "Phi", IF(C292="Account Transfer", "Lai tra gop", "Am")))), "Bang 0"))</f>
        <v>Du no</v>
      </c>
    </row>
    <row r="293" spans="1:7" x14ac:dyDescent="0.3">
      <c r="A293" s="64">
        <v>42639</v>
      </c>
      <c r="B293" s="33">
        <v>30000000</v>
      </c>
      <c r="C293" t="s">
        <v>51</v>
      </c>
      <c r="D293" t="s">
        <v>52</v>
      </c>
      <c r="E293" t="str">
        <f>IF(OR(C293="Transaction",C293="Interests",C293="Misc",C293="Account Transfer"), IF(C293="Transaction", IF(B293&lt;0, "Du no", "Da thanh toan"), IF(C293="Interests", "Lai", IF(C293="Misc", "Phi", IF(C293="Account Transfer", IF(OR(ISNUMBER(SEARCH("Trich lai tra gop the TD", D293)), ISNUMBER(SEARCH("Chuyen lai tra gop con lai sang du no thong thuong khi BadDebt", D293))), IF(B293&lt;0, "Lai tra gop", ""), "" )))))) &amp; " " &amp; IF(C293="Interests", TEXT(EDATE(IF(DAY(A293)&gt;=11, A293, EDATE(A293,-1)), -1),"yyyy-mm"), TEXT(IF(DAY(A293)&gt;=11, A293, EDATE(A293,-1)),"yyyy-mm"))</f>
        <v>Da thanh toan 2016-09</v>
      </c>
      <c r="F293">
        <f>IF(ISNUMBER(B293), ROUND(SUMIFS($B$2:$B$10000, $E$2:$E$10000, E293, $B$2:$B$10000, IF(B293&lt;0, "&lt;0", "&gt;0")), 0), "")</f>
        <v>30000000</v>
      </c>
      <c r="G293" t="str">
        <f>IF(F293&gt;0, IF(C293="Transaction", "Da thanh toan", "Duong"), IF(F293&lt;0, IF(C293="Transaction", "Du no", IF(C293="Interests", "Lai phat sinh", IF(C293="Misc", "Phi", IF(C293="Account Transfer", "Lai tra gop", "Am")))), "Bang 0"))</f>
        <v>Da thanh toan</v>
      </c>
    </row>
    <row r="294" spans="1:7" x14ac:dyDescent="0.3">
      <c r="A294" s="64">
        <v>42629</v>
      </c>
      <c r="B294" s="33">
        <v>-20000000</v>
      </c>
      <c r="C294" t="s">
        <v>51</v>
      </c>
      <c r="D294" t="s">
        <v>761</v>
      </c>
      <c r="E294" t="str">
        <f>IF(OR(C294="Transaction",C294="Interests",C294="Misc",C294="Account Transfer"), IF(C294="Transaction", IF(B294&lt;0, "Du no", "Da thanh toan"), IF(C294="Interests", "Lai", IF(C294="Misc", "Phi", IF(C294="Account Transfer", IF(OR(ISNUMBER(SEARCH("Trich lai tra gop the TD", D294)), ISNUMBER(SEARCH("Chuyen lai tra gop con lai sang du no thong thuong khi BadDebt", D294))), IF(B294&lt;0, "Lai tra gop", ""), "" )))))) &amp; " " &amp; IF(C294="Interests", TEXT(EDATE(IF(DAY(A294)&gt;=11, A294, EDATE(A294,-1)), -1),"yyyy-mm"), TEXT(IF(DAY(A294)&gt;=11, A294, EDATE(A294,-1)),"yyyy-mm"))</f>
        <v>Du no 2016-09</v>
      </c>
      <c r="F294">
        <f>IF(ISNUMBER(B294), ROUND(SUMIFS($B$2:$B$10000, $E$2:$E$10000, E294, $B$2:$B$10000, IF(B294&lt;0, "&lt;0", "&gt;0")), 0), "")</f>
        <v>-50000000</v>
      </c>
      <c r="G294" t="str">
        <f>IF(F294&gt;0, IF(C294="Transaction", "Da thanh toan", "Duong"), IF(F294&lt;0, IF(C294="Transaction", "Du no", IF(C294="Interests", "Lai phat sinh", IF(C294="Misc", "Phi", IF(C294="Account Transfer", "Lai tra gop", "Am")))), "Bang 0"))</f>
        <v>Du no</v>
      </c>
    </row>
    <row r="295" spans="1:7" x14ac:dyDescent="0.3">
      <c r="A295" s="64">
        <v>42621</v>
      </c>
      <c r="B295" s="33">
        <v>-30000000</v>
      </c>
      <c r="C295" t="s">
        <v>51</v>
      </c>
      <c r="D295" t="s">
        <v>761</v>
      </c>
      <c r="E295" t="str">
        <f>IF(OR(C295="Transaction",C295="Interests",C295="Misc",C295="Account Transfer"), IF(C295="Transaction", IF(B295&lt;0, "Du no", "Da thanh toan"), IF(C295="Interests", "Lai", IF(C295="Misc", "Phi", IF(C295="Account Transfer", IF(OR(ISNUMBER(SEARCH("Trich lai tra gop the TD", D295)), ISNUMBER(SEARCH("Chuyen lai tra gop con lai sang du no thong thuong khi BadDebt", D295))), IF(B295&lt;0, "Lai tra gop", ""), "" )))))) &amp; " " &amp; IF(C295="Interests", TEXT(EDATE(IF(DAY(A295)&gt;=11, A295, EDATE(A295,-1)), -1),"yyyy-mm"), TEXT(IF(DAY(A295)&gt;=11, A295, EDATE(A295,-1)),"yyyy-mm"))</f>
        <v>Du no 2016-08</v>
      </c>
      <c r="F295">
        <f>IF(ISNUMBER(B295), ROUND(SUMIFS($B$2:$B$10000, $E$2:$E$10000, E295, $B$2:$B$10000, IF(B295&lt;0, "&lt;0", "&gt;0")), 0), "")</f>
        <v>-30000000</v>
      </c>
      <c r="G295" t="str">
        <f>IF(F295&gt;0, IF(C295="Transaction", "Da thanh toan", "Duong"), IF(F295&lt;0, IF(C295="Transaction", "Du no", IF(C295="Interests", "Lai phat sinh", IF(C295="Misc", "Phi", IF(C295="Account Transfer", "Lai tra gop", "Am")))), "Bang 0"))</f>
        <v>Du no</v>
      </c>
    </row>
    <row r="296" spans="1:7" x14ac:dyDescent="0.3">
      <c r="A296" s="64">
        <v>46002</v>
      </c>
      <c r="B296" s="33">
        <v>-27284570.550000001</v>
      </c>
      <c r="C296" t="s">
        <v>49</v>
      </c>
      <c r="E296" t="str">
        <f>IF(OR(C296="Transaction",C296="Interests",C296="Misc",C296="Account Transfer"), IF(C296="Transaction", IF(B296&lt;0, "Du no", "Da thanh toan"), IF(C296="Interests", "Lai", IF(C296="Misc", "Phi", IF(C296="Account Transfer", IF(OR(ISNUMBER(SEARCH("Trich lai tra gop the TD", D296)), ISNUMBER(SEARCH("Chuyen lai tra gop con lai sang du no thong thuong khi BadDebt", D296))), IF(B296&lt;0, "Lai tra gop", ""), "" )))))) &amp; " " &amp; IF(C296="Interests", TEXT(EDATE(IF(DAY(A296)&gt;=11, A296, EDATE(A296,-1)), -1),"yyyy-mm"), TEXT(IF(DAY(A296)&gt;=11, A296, EDATE(A296,-1)),"yyyy-mm"))</f>
        <v>Lai 2025-11</v>
      </c>
      <c r="F296">
        <f>IF(ISNUMBER(B296), ROUND(SUMIFS($B$2:$B$10000, $E$2:$E$10000, E296, $B$2:$B$10000, IF(B296&lt;0, "&lt;0", "&gt;0")), 0), "")</f>
        <v>-29308438</v>
      </c>
      <c r="G296" t="str">
        <f>IF(F296&gt;0, IF(C296="Transaction", "Da thanh toan", "Duong"), IF(F296&lt;0, IF(C296="Transaction", "Du no", IF(C296="Interests", "Lai phat sinh", IF(C296="Misc", "Phi", IF(C296="Account Transfer", "Lai tra gop", "Am")))), "Bang 0"))</f>
        <v>Lai phat sinh</v>
      </c>
    </row>
    <row r="297" spans="1:7" x14ac:dyDescent="0.3">
      <c r="A297" s="64">
        <v>46002</v>
      </c>
      <c r="B297" s="33">
        <v>-56196.49</v>
      </c>
      <c r="C297" t="s">
        <v>49</v>
      </c>
      <c r="E297" t="str">
        <f>IF(OR(C297="Transaction",C297="Interests",C297="Misc",C297="Account Transfer"), IF(C297="Transaction", IF(B297&lt;0, "Du no", "Da thanh toan"), IF(C297="Interests", "Lai", IF(C297="Misc", "Phi", IF(C297="Account Transfer", IF(OR(ISNUMBER(SEARCH("Trich lai tra gop the TD", D297)), ISNUMBER(SEARCH("Chuyen lai tra gop con lai sang du no thong thuong khi BadDebt", D297))), IF(B297&lt;0, "Lai tra gop", ""), "" )))))) &amp; " " &amp; IF(C297="Interests", TEXT(EDATE(IF(DAY(A297)&gt;=11, A297, EDATE(A297,-1)), -1),"yyyy-mm"), TEXT(IF(DAY(A297)&gt;=11, A297, EDATE(A297,-1)),"yyyy-mm"))</f>
        <v>Lai 2025-11</v>
      </c>
      <c r="F297">
        <f>IF(ISNUMBER(B297), ROUND(SUMIFS($B$2:$B$10000, $E$2:$E$10000, E297, $B$2:$B$10000, IF(B297&lt;0, "&lt;0", "&gt;0")), 0), "")</f>
        <v>-29308438</v>
      </c>
      <c r="G297" t="str">
        <f>IF(F297&gt;0, IF(C297="Transaction", "Da thanh toan", "Duong"), IF(F297&lt;0, IF(C297="Transaction", "Du no", IF(C297="Interests", "Lai phat sinh", IF(C297="Misc", "Phi", IF(C297="Account Transfer", "Lai tra gop", "Am")))), "Bang 0"))</f>
        <v>Lai phat sinh</v>
      </c>
    </row>
    <row r="298" spans="1:7" x14ac:dyDescent="0.3">
      <c r="A298" s="64">
        <v>46002</v>
      </c>
      <c r="B298" s="33">
        <v>-1967671.23</v>
      </c>
      <c r="C298" t="s">
        <v>49</v>
      </c>
      <c r="E298" t="str">
        <f>IF(OR(C298="Transaction",C298="Interests",C298="Misc",C298="Account Transfer"), IF(C298="Transaction", IF(B298&lt;0, "Du no", "Da thanh toan"), IF(C298="Interests", "Lai", IF(C298="Misc", "Phi", IF(C298="Account Transfer", IF(OR(ISNUMBER(SEARCH("Trich lai tra gop the TD", D298)), ISNUMBER(SEARCH("Chuyen lai tra gop con lai sang du no thong thuong khi BadDebt", D298))), IF(B298&lt;0, "Lai tra gop", ""), "" )))))) &amp; " " &amp; IF(C298="Interests", TEXT(EDATE(IF(DAY(A298)&gt;=11, A298, EDATE(A298,-1)), -1),"yyyy-mm"), TEXT(IF(DAY(A298)&gt;=11, A298, EDATE(A298,-1)),"yyyy-mm"))</f>
        <v>Lai 2025-11</v>
      </c>
      <c r="F298">
        <f>IF(ISNUMBER(B298), ROUND(SUMIFS($B$2:$B$10000, $E$2:$E$10000, E298, $B$2:$B$10000, IF(B298&lt;0, "&lt;0", "&gt;0")), 0), "")</f>
        <v>-29308438</v>
      </c>
      <c r="G298" t="str">
        <f>IF(F298&gt;0, IF(C298="Transaction", "Da thanh toan", "Duong"), IF(F298&lt;0, IF(C298="Transaction", "Du no", IF(C298="Interests", "Lai phat sinh", IF(C298="Misc", "Phi", IF(C298="Account Transfer", "Lai tra gop", "Am")))), "Bang 0"))</f>
        <v>Lai phat sinh</v>
      </c>
    </row>
    <row r="299" spans="1:7" x14ac:dyDescent="0.3">
      <c r="A299" s="64">
        <v>45972</v>
      </c>
      <c r="B299" s="33">
        <v>-27010619.48</v>
      </c>
      <c r="C299" t="s">
        <v>49</v>
      </c>
      <c r="E299" t="str">
        <f>IF(OR(C299="Transaction",C299="Interests",C299="Misc",C299="Account Transfer"), IF(C299="Transaction", IF(B299&lt;0, "Du no", "Da thanh toan"), IF(C299="Interests", "Lai", IF(C299="Misc", "Phi", IF(C299="Account Transfer", IF(OR(ISNUMBER(SEARCH("Trich lai tra gop the TD", D299)), ISNUMBER(SEARCH("Chuyen lai tra gop con lai sang du no thong thuong khi BadDebt", D299))), IF(B299&lt;0, "Lai tra gop", ""), "" )))))) &amp; " " &amp; IF(C299="Interests", TEXT(EDATE(IF(DAY(A299)&gt;=11, A299, EDATE(A299,-1)), -1),"yyyy-mm"), TEXT(IF(DAY(A299)&gt;=11, A299, EDATE(A299,-1)),"yyyy-mm"))</f>
        <v>Lai 2025-10</v>
      </c>
      <c r="F299">
        <f>IF(ISNUMBER(B299), ROUND(SUMIFS($B$2:$B$10000, $E$2:$E$10000, E299, $B$2:$B$10000, IF(B299&lt;0, "&lt;0", "&gt;0")), 0), "")</f>
        <v>-29101949</v>
      </c>
      <c r="G299" t="str">
        <f>IF(F299&gt;0, IF(C299="Transaction", "Da thanh toan", "Duong"), IF(F299&lt;0, IF(C299="Transaction", "Du no", IF(C299="Interests", "Lai phat sinh", IF(C299="Misc", "Phi", IF(C299="Account Transfer", "Lai tra gop", "Am")))), "Bang 0"))</f>
        <v>Lai phat sinh</v>
      </c>
    </row>
    <row r="300" spans="1:7" x14ac:dyDescent="0.3">
      <c r="A300" s="64">
        <v>45972</v>
      </c>
      <c r="B300" s="33">
        <v>-58069.71</v>
      </c>
      <c r="C300" t="s">
        <v>49</v>
      </c>
      <c r="E300" t="str">
        <f>IF(OR(C300="Transaction",C300="Interests",C300="Misc",C300="Account Transfer"), IF(C300="Transaction", IF(B300&lt;0, "Du no", "Da thanh toan"), IF(C300="Interests", "Lai", IF(C300="Misc", "Phi", IF(C300="Account Transfer", IF(OR(ISNUMBER(SEARCH("Trich lai tra gop the TD", D300)), ISNUMBER(SEARCH("Chuyen lai tra gop con lai sang du no thong thuong khi BadDebt", D300))), IF(B300&lt;0, "Lai tra gop", ""), "" )))))) &amp; " " &amp; IF(C300="Interests", TEXT(EDATE(IF(DAY(A300)&gt;=11, A300, EDATE(A300,-1)), -1),"yyyy-mm"), TEXT(IF(DAY(A300)&gt;=11, A300, EDATE(A300,-1)),"yyyy-mm"))</f>
        <v>Lai 2025-10</v>
      </c>
      <c r="F300">
        <f>IF(ISNUMBER(B300), ROUND(SUMIFS($B$2:$B$10000, $E$2:$E$10000, E300, $B$2:$B$10000, IF(B300&lt;0, "&lt;0", "&gt;0")), 0), "")</f>
        <v>-29101949</v>
      </c>
      <c r="G300" t="str">
        <f>IF(F300&gt;0, IF(C300="Transaction", "Da thanh toan", "Duong"), IF(F300&lt;0, IF(C300="Transaction", "Du no", IF(C300="Interests", "Lai phat sinh", IF(C300="Misc", "Phi", IF(C300="Account Transfer", "Lai tra gop", "Am")))), "Bang 0"))</f>
        <v>Lai phat sinh</v>
      </c>
    </row>
    <row r="301" spans="1:7" x14ac:dyDescent="0.3">
      <c r="A301" s="64">
        <v>45972</v>
      </c>
      <c r="B301" s="33">
        <v>-2033260.27</v>
      </c>
      <c r="C301" t="s">
        <v>49</v>
      </c>
      <c r="E301" t="str">
        <f>IF(OR(C301="Transaction",C301="Interests",C301="Misc",C301="Account Transfer"), IF(C301="Transaction", IF(B301&lt;0, "Du no", "Da thanh toan"), IF(C301="Interests", "Lai", IF(C301="Misc", "Phi", IF(C301="Account Transfer", IF(OR(ISNUMBER(SEARCH("Trich lai tra gop the TD", D301)), ISNUMBER(SEARCH("Chuyen lai tra gop con lai sang du no thong thuong khi BadDebt", D301))), IF(B301&lt;0, "Lai tra gop", ""), "" )))))) &amp; " " &amp; IF(C301="Interests", TEXT(EDATE(IF(DAY(A301)&gt;=11, A301, EDATE(A301,-1)), -1),"yyyy-mm"), TEXT(IF(DAY(A301)&gt;=11, A301, EDATE(A301,-1)),"yyyy-mm"))</f>
        <v>Lai 2025-10</v>
      </c>
      <c r="F301">
        <f>IF(ISNUMBER(B301), ROUND(SUMIFS($B$2:$B$10000, $E$2:$E$10000, E301, $B$2:$B$10000, IF(B301&lt;0, "&lt;0", "&gt;0")), 0), "")</f>
        <v>-29101949</v>
      </c>
      <c r="G301" t="str">
        <f>IF(F301&gt;0, IF(C301="Transaction", "Da thanh toan", "Duong"), IF(F301&lt;0, IF(C301="Transaction", "Du no", IF(C301="Interests", "Lai phat sinh", IF(C301="Misc", "Phi", IF(C301="Account Transfer", "Lai tra gop", "Am")))), "Bang 0"))</f>
        <v>Lai phat sinh</v>
      </c>
    </row>
    <row r="302" spans="1:7" x14ac:dyDescent="0.3">
      <c r="A302" s="64">
        <v>45941</v>
      </c>
      <c r="B302" s="33">
        <v>-25072956.350000001</v>
      </c>
      <c r="C302" t="s">
        <v>49</v>
      </c>
      <c r="E302" t="str">
        <f>IF(OR(C302="Transaction",C302="Interests",C302="Misc",C302="Account Transfer"), IF(C302="Transaction", IF(B302&lt;0, "Du no", "Da thanh toan"), IF(C302="Interests", "Lai", IF(C302="Misc", "Phi", IF(C302="Account Transfer", IF(OR(ISNUMBER(SEARCH("Trich lai tra gop the TD", D302)), ISNUMBER(SEARCH("Chuyen lai tra gop con lai sang du no thong thuong khi BadDebt", D302))), IF(B302&lt;0, "Lai tra gop", ""), "" )))))) &amp; " " &amp; IF(C302="Interests", TEXT(EDATE(IF(DAY(A302)&gt;=11, A302, EDATE(A302,-1)), -1),"yyyy-mm"), TEXT(IF(DAY(A302)&gt;=11, A302, EDATE(A302,-1)),"yyyy-mm"))</f>
        <v>Lai 2025-09</v>
      </c>
      <c r="F302">
        <f>IF(ISNUMBER(B302), ROUND(SUMIFS($B$2:$B$10000, $E$2:$E$10000, E302, $B$2:$B$10000, IF(B302&lt;0, "&lt;0", "&gt;0")), 0), "")</f>
        <v>-27096824</v>
      </c>
      <c r="G302" t="str">
        <f>IF(F302&gt;0, IF(C302="Transaction", "Da thanh toan", "Duong"), IF(F302&lt;0, IF(C302="Transaction", "Du no", IF(C302="Interests", "Lai phat sinh", IF(C302="Misc", "Phi", IF(C302="Account Transfer", "Lai tra gop", "Am")))), "Bang 0"))</f>
        <v>Lai phat sinh</v>
      </c>
    </row>
    <row r="303" spans="1:7" x14ac:dyDescent="0.3">
      <c r="A303" s="64">
        <v>45941</v>
      </c>
      <c r="B303" s="33">
        <v>-56196.49</v>
      </c>
      <c r="C303" t="s">
        <v>49</v>
      </c>
      <c r="E303" t="str">
        <f>IF(OR(C303="Transaction",C303="Interests",C303="Misc",C303="Account Transfer"), IF(C303="Transaction", IF(B303&lt;0, "Du no", "Da thanh toan"), IF(C303="Interests", "Lai", IF(C303="Misc", "Phi", IF(C303="Account Transfer", IF(OR(ISNUMBER(SEARCH("Trich lai tra gop the TD", D303)), ISNUMBER(SEARCH("Chuyen lai tra gop con lai sang du no thong thuong khi BadDebt", D303))), IF(B303&lt;0, "Lai tra gop", ""), "" )))))) &amp; " " &amp; IF(C303="Interests", TEXT(EDATE(IF(DAY(A303)&gt;=11, A303, EDATE(A303,-1)), -1),"yyyy-mm"), TEXT(IF(DAY(A303)&gt;=11, A303, EDATE(A303,-1)),"yyyy-mm"))</f>
        <v>Lai 2025-09</v>
      </c>
      <c r="F303">
        <f>IF(ISNUMBER(B303), ROUND(SUMIFS($B$2:$B$10000, $E$2:$E$10000, E303, $B$2:$B$10000, IF(B303&lt;0, "&lt;0", "&gt;0")), 0), "")</f>
        <v>-27096824</v>
      </c>
      <c r="G303" t="str">
        <f>IF(F303&gt;0, IF(C303="Transaction", "Da thanh toan", "Duong"), IF(F303&lt;0, IF(C303="Transaction", "Du no", IF(C303="Interests", "Lai phat sinh", IF(C303="Misc", "Phi", IF(C303="Account Transfer", "Lai tra gop", "Am")))), "Bang 0"))</f>
        <v>Lai phat sinh</v>
      </c>
    </row>
    <row r="304" spans="1:7" x14ac:dyDescent="0.3">
      <c r="A304" s="64">
        <v>45941</v>
      </c>
      <c r="B304" s="33">
        <v>-1967671.23</v>
      </c>
      <c r="C304" t="s">
        <v>49</v>
      </c>
      <c r="E304" t="str">
        <f>IF(OR(C304="Transaction",C304="Interests",C304="Misc",C304="Account Transfer"), IF(C304="Transaction", IF(B304&lt;0, "Du no", "Da thanh toan"), IF(C304="Interests", "Lai", IF(C304="Misc", "Phi", IF(C304="Account Transfer", IF(OR(ISNUMBER(SEARCH("Trich lai tra gop the TD", D304)), ISNUMBER(SEARCH("Chuyen lai tra gop con lai sang du no thong thuong khi BadDebt", D304))), IF(B304&lt;0, "Lai tra gop", ""), "" )))))) &amp; " " &amp; IF(C304="Interests", TEXT(EDATE(IF(DAY(A304)&gt;=11, A304, EDATE(A304,-1)), -1),"yyyy-mm"), TEXT(IF(DAY(A304)&gt;=11, A304, EDATE(A304,-1)),"yyyy-mm"))</f>
        <v>Lai 2025-09</v>
      </c>
      <c r="F304">
        <f>IF(ISNUMBER(B304), ROUND(SUMIFS($B$2:$B$10000, $E$2:$E$10000, E304, $B$2:$B$10000, IF(B304&lt;0, "&lt;0", "&gt;0")), 0), "")</f>
        <v>-27096824</v>
      </c>
      <c r="G304" t="str">
        <f>IF(F304&gt;0, IF(C304="Transaction", "Da thanh toan", "Duong"), IF(F304&lt;0, IF(C304="Transaction", "Du no", IF(C304="Interests", "Lai phat sinh", IF(C304="Misc", "Phi", IF(C304="Account Transfer", "Lai tra gop", "Am")))), "Bang 0"))</f>
        <v>Lai phat sinh</v>
      </c>
    </row>
    <row r="305" spans="1:7" x14ac:dyDescent="0.3">
      <c r="A305" s="64">
        <v>45911</v>
      </c>
      <c r="B305" s="33">
        <v>-24814586.920000002</v>
      </c>
      <c r="C305" t="s">
        <v>49</v>
      </c>
      <c r="E305" t="str">
        <f>IF(OR(C305="Transaction",C305="Interests",C305="Misc",C305="Account Transfer"), IF(C305="Transaction", IF(B305&lt;0, "Du no", "Da thanh toan"), IF(C305="Interests", "Lai", IF(C305="Misc", "Phi", IF(C305="Account Transfer", IF(OR(ISNUMBER(SEARCH("Trich lai tra gop the TD", D305)), ISNUMBER(SEARCH("Chuyen lai tra gop con lai sang du no thong thuong khi BadDebt", D305))), IF(B305&lt;0, "Lai tra gop", ""), "" )))))) &amp; " " &amp; IF(C305="Interests", TEXT(EDATE(IF(DAY(A305)&gt;=11, A305, EDATE(A305,-1)), -1),"yyyy-mm"), TEXT(IF(DAY(A305)&gt;=11, A305, EDATE(A305,-1)),"yyyy-mm"))</f>
        <v>Lai 2025-08</v>
      </c>
      <c r="F305">
        <f>IF(ISNUMBER(B305), ROUND(SUMIFS($B$2:$B$10000, $E$2:$E$10000, E305, $B$2:$B$10000, IF(B305&lt;0, "&lt;0", "&gt;0")), 0), "")</f>
        <v>-26905917</v>
      </c>
      <c r="G305" t="str">
        <f>IF(F305&gt;0, IF(C305="Transaction", "Da thanh toan", "Duong"), IF(F305&lt;0, IF(C305="Transaction", "Du no", IF(C305="Interests", "Lai phat sinh", IF(C305="Misc", "Phi", IF(C305="Account Transfer", "Lai tra gop", "Am")))), "Bang 0"))</f>
        <v>Lai phat sinh</v>
      </c>
    </row>
    <row r="306" spans="1:7" x14ac:dyDescent="0.3">
      <c r="A306" s="64">
        <v>45911</v>
      </c>
      <c r="B306" s="33">
        <v>-58069.71</v>
      </c>
      <c r="C306" t="s">
        <v>49</v>
      </c>
      <c r="E306" t="str">
        <f>IF(OR(C306="Transaction",C306="Interests",C306="Misc",C306="Account Transfer"), IF(C306="Transaction", IF(B306&lt;0, "Du no", "Da thanh toan"), IF(C306="Interests", "Lai", IF(C306="Misc", "Phi", IF(C306="Account Transfer", IF(OR(ISNUMBER(SEARCH("Trich lai tra gop the TD", D306)), ISNUMBER(SEARCH("Chuyen lai tra gop con lai sang du no thong thuong khi BadDebt", D306))), IF(B306&lt;0, "Lai tra gop", ""), "" )))))) &amp; " " &amp; IF(C306="Interests", TEXT(EDATE(IF(DAY(A306)&gt;=11, A306, EDATE(A306,-1)), -1),"yyyy-mm"), TEXT(IF(DAY(A306)&gt;=11, A306, EDATE(A306,-1)),"yyyy-mm"))</f>
        <v>Lai 2025-08</v>
      </c>
      <c r="F306">
        <f>IF(ISNUMBER(B306), ROUND(SUMIFS($B$2:$B$10000, $E$2:$E$10000, E306, $B$2:$B$10000, IF(B306&lt;0, "&lt;0", "&gt;0")), 0), "")</f>
        <v>-26905917</v>
      </c>
      <c r="G306" t="str">
        <f>IF(F306&gt;0, IF(C306="Transaction", "Da thanh toan", "Duong"), IF(F306&lt;0, IF(C306="Transaction", "Du no", IF(C306="Interests", "Lai phat sinh", IF(C306="Misc", "Phi", IF(C306="Account Transfer", "Lai tra gop", "Am")))), "Bang 0"))</f>
        <v>Lai phat sinh</v>
      </c>
    </row>
    <row r="307" spans="1:7" x14ac:dyDescent="0.3">
      <c r="A307" s="64">
        <v>45911</v>
      </c>
      <c r="B307" s="33">
        <v>-2033260.27</v>
      </c>
      <c r="C307" t="s">
        <v>49</v>
      </c>
      <c r="E307" t="str">
        <f>IF(OR(C307="Transaction",C307="Interests",C307="Misc",C307="Account Transfer"), IF(C307="Transaction", IF(B307&lt;0, "Du no", "Da thanh toan"), IF(C307="Interests", "Lai", IF(C307="Misc", "Phi", IF(C307="Account Transfer", IF(OR(ISNUMBER(SEARCH("Trich lai tra gop the TD", D307)), ISNUMBER(SEARCH("Chuyen lai tra gop con lai sang du no thong thuong khi BadDebt", D307))), IF(B307&lt;0, "Lai tra gop", ""), "" )))))) &amp; " " &amp; IF(C307="Interests", TEXT(EDATE(IF(DAY(A307)&gt;=11, A307, EDATE(A307,-1)), -1),"yyyy-mm"), TEXT(IF(DAY(A307)&gt;=11, A307, EDATE(A307,-1)),"yyyy-mm"))</f>
        <v>Lai 2025-08</v>
      </c>
      <c r="F307">
        <f>IF(ISNUMBER(B307), ROUND(SUMIFS($B$2:$B$10000, $E$2:$E$10000, E307, $B$2:$B$10000, IF(B307&lt;0, "&lt;0", "&gt;0")), 0), "")</f>
        <v>-26905917</v>
      </c>
      <c r="G307" t="str">
        <f>IF(F307&gt;0, IF(C307="Transaction", "Da thanh toan", "Duong"), IF(F307&lt;0, IF(C307="Transaction", "Du no", IF(C307="Interests", "Lai phat sinh", IF(C307="Misc", "Phi", IF(C307="Account Transfer", "Lai tra gop", "Am")))), "Bang 0"))</f>
        <v>Lai phat sinh</v>
      </c>
    </row>
    <row r="308" spans="1:7" x14ac:dyDescent="0.3">
      <c r="A308" s="64">
        <v>45880</v>
      </c>
      <c r="B308" s="33">
        <v>-23763206.870000001</v>
      </c>
      <c r="C308" t="s">
        <v>49</v>
      </c>
      <c r="E308" t="str">
        <f>IF(OR(C308="Transaction",C308="Interests",C308="Misc",C308="Account Transfer"), IF(C308="Transaction", IF(B308&lt;0, "Du no", "Da thanh toan"), IF(C308="Interests", "Lai", IF(C308="Misc", "Phi", IF(C308="Account Transfer", IF(OR(ISNUMBER(SEARCH("Trich lai tra gop the TD", D308)), ISNUMBER(SEARCH("Chuyen lai tra gop con lai sang du no thong thuong khi BadDebt", D308))), IF(B308&lt;0, "Lai tra gop", ""), "" )))))) &amp; " " &amp; IF(C308="Interests", TEXT(EDATE(IF(DAY(A308)&gt;=11, A308, EDATE(A308,-1)), -1),"yyyy-mm"), TEXT(IF(DAY(A308)&gt;=11, A308, EDATE(A308,-1)),"yyyy-mm"))</f>
        <v>Lai 2025-07</v>
      </c>
      <c r="F308">
        <f>IF(ISNUMBER(B308), ROUND(SUMIFS($B$2:$B$10000, $E$2:$E$10000, E308, $B$2:$B$10000, IF(B308&lt;0, "&lt;0", "&gt;0")), 0), "")</f>
        <v>-25854537</v>
      </c>
      <c r="G308" t="str">
        <f>IF(F308&gt;0, IF(C308="Transaction", "Da thanh toan", "Duong"), IF(F308&lt;0, IF(C308="Transaction", "Du no", IF(C308="Interests", "Lai phat sinh", IF(C308="Misc", "Phi", IF(C308="Account Transfer", "Lai tra gop", "Am")))), "Bang 0"))</f>
        <v>Lai phat sinh</v>
      </c>
    </row>
    <row r="309" spans="1:7" x14ac:dyDescent="0.3">
      <c r="A309" s="64">
        <v>45880</v>
      </c>
      <c r="B309" s="33">
        <v>-58069.71</v>
      </c>
      <c r="C309" t="s">
        <v>49</v>
      </c>
      <c r="E309" t="str">
        <f>IF(OR(C309="Transaction",C309="Interests",C309="Misc",C309="Account Transfer"), IF(C309="Transaction", IF(B309&lt;0, "Du no", "Da thanh toan"), IF(C309="Interests", "Lai", IF(C309="Misc", "Phi", IF(C309="Account Transfer", IF(OR(ISNUMBER(SEARCH("Trich lai tra gop the TD", D309)), ISNUMBER(SEARCH("Chuyen lai tra gop con lai sang du no thong thuong khi BadDebt", D309))), IF(B309&lt;0, "Lai tra gop", ""), "" )))))) &amp; " " &amp; IF(C309="Interests", TEXT(EDATE(IF(DAY(A309)&gt;=11, A309, EDATE(A309,-1)), -1),"yyyy-mm"), TEXT(IF(DAY(A309)&gt;=11, A309, EDATE(A309,-1)),"yyyy-mm"))</f>
        <v>Lai 2025-07</v>
      </c>
      <c r="F309">
        <f>IF(ISNUMBER(B309), ROUND(SUMIFS($B$2:$B$10000, $E$2:$E$10000, E309, $B$2:$B$10000, IF(B309&lt;0, "&lt;0", "&gt;0")), 0), "")</f>
        <v>-25854537</v>
      </c>
      <c r="G309" t="str">
        <f>IF(F309&gt;0, IF(C309="Transaction", "Da thanh toan", "Duong"), IF(F309&lt;0, IF(C309="Transaction", "Du no", IF(C309="Interests", "Lai phat sinh", IF(C309="Misc", "Phi", IF(C309="Account Transfer", "Lai tra gop", "Am")))), "Bang 0"))</f>
        <v>Lai phat sinh</v>
      </c>
    </row>
    <row r="310" spans="1:7" x14ac:dyDescent="0.3">
      <c r="A310" s="64">
        <v>45880</v>
      </c>
      <c r="B310" s="33">
        <v>-2033260.27</v>
      </c>
      <c r="C310" t="s">
        <v>49</v>
      </c>
      <c r="E310" t="str">
        <f>IF(OR(C310="Transaction",C310="Interests",C310="Misc",C310="Account Transfer"), IF(C310="Transaction", IF(B310&lt;0, "Du no", "Da thanh toan"), IF(C310="Interests", "Lai", IF(C310="Misc", "Phi", IF(C310="Account Transfer", IF(OR(ISNUMBER(SEARCH("Trich lai tra gop the TD", D310)), ISNUMBER(SEARCH("Chuyen lai tra gop con lai sang du no thong thuong khi BadDebt", D310))), IF(B310&lt;0, "Lai tra gop", ""), "" )))))) &amp; " " &amp; IF(C310="Interests", TEXT(EDATE(IF(DAY(A310)&gt;=11, A310, EDATE(A310,-1)), -1),"yyyy-mm"), TEXT(IF(DAY(A310)&gt;=11, A310, EDATE(A310,-1)),"yyyy-mm"))</f>
        <v>Lai 2025-07</v>
      </c>
      <c r="F310">
        <f>IF(ISNUMBER(B310), ROUND(SUMIFS($B$2:$B$10000, $E$2:$E$10000, E310, $B$2:$B$10000, IF(B310&lt;0, "&lt;0", "&gt;0")), 0), "")</f>
        <v>-25854537</v>
      </c>
      <c r="G310" t="str">
        <f>IF(F310&gt;0, IF(C310="Transaction", "Da thanh toan", "Duong"), IF(F310&lt;0, IF(C310="Transaction", "Du no", IF(C310="Interests", "Lai phat sinh", IF(C310="Misc", "Phi", IF(C310="Account Transfer", "Lai tra gop", "Am")))), "Bang 0"))</f>
        <v>Lai phat sinh</v>
      </c>
    </row>
    <row r="311" spans="1:7" x14ac:dyDescent="0.3">
      <c r="A311" s="64">
        <v>45849</v>
      </c>
      <c r="B311" s="33">
        <v>-22049290.59</v>
      </c>
      <c r="C311" t="s">
        <v>49</v>
      </c>
      <c r="E311" t="str">
        <f>IF(OR(C311="Transaction",C311="Interests",C311="Misc",C311="Account Transfer"), IF(C311="Transaction", IF(B311&lt;0, "Du no", "Da thanh toan"), IF(C311="Interests", "Lai", IF(C311="Misc", "Phi", IF(C311="Account Transfer", IF(OR(ISNUMBER(SEARCH("Trich lai tra gop the TD", D311)), ISNUMBER(SEARCH("Chuyen lai tra gop con lai sang du no thong thuong khi BadDebt", D311))), IF(B311&lt;0, "Lai tra gop", ""), "" )))))) &amp; " " &amp; IF(C311="Interests", TEXT(EDATE(IF(DAY(A311)&gt;=11, A311, EDATE(A311,-1)), -1),"yyyy-mm"), TEXT(IF(DAY(A311)&gt;=11, A311, EDATE(A311,-1)),"yyyy-mm"))</f>
        <v>Lai 2025-06</v>
      </c>
      <c r="F311">
        <f>IF(ISNUMBER(B311), ROUND(SUMIFS($B$2:$B$10000, $E$2:$E$10000, E311, $B$2:$B$10000, IF(B311&lt;0, "&lt;0", "&gt;0")), 0), "")</f>
        <v>-24073158</v>
      </c>
      <c r="G311" t="str">
        <f>IF(F311&gt;0, IF(C311="Transaction", "Da thanh toan", "Duong"), IF(F311&lt;0, IF(C311="Transaction", "Du no", IF(C311="Interests", "Lai phat sinh", IF(C311="Misc", "Phi", IF(C311="Account Transfer", "Lai tra gop", "Am")))), "Bang 0"))</f>
        <v>Lai phat sinh</v>
      </c>
    </row>
    <row r="312" spans="1:7" x14ac:dyDescent="0.3">
      <c r="A312" s="64">
        <v>45849</v>
      </c>
      <c r="B312" s="33">
        <v>-56196.49</v>
      </c>
      <c r="C312" t="s">
        <v>49</v>
      </c>
      <c r="E312" t="str">
        <f>IF(OR(C312="Transaction",C312="Interests",C312="Misc",C312="Account Transfer"), IF(C312="Transaction", IF(B312&lt;0, "Du no", "Da thanh toan"), IF(C312="Interests", "Lai", IF(C312="Misc", "Phi", IF(C312="Account Transfer", IF(OR(ISNUMBER(SEARCH("Trich lai tra gop the TD", D312)), ISNUMBER(SEARCH("Chuyen lai tra gop con lai sang du no thong thuong khi BadDebt", D312))), IF(B312&lt;0, "Lai tra gop", ""), "" )))))) &amp; " " &amp; IF(C312="Interests", TEXT(EDATE(IF(DAY(A312)&gt;=11, A312, EDATE(A312,-1)), -1),"yyyy-mm"), TEXT(IF(DAY(A312)&gt;=11, A312, EDATE(A312,-1)),"yyyy-mm"))</f>
        <v>Lai 2025-06</v>
      </c>
      <c r="F312">
        <f>IF(ISNUMBER(B312), ROUND(SUMIFS($B$2:$B$10000, $E$2:$E$10000, E312, $B$2:$B$10000, IF(B312&lt;0, "&lt;0", "&gt;0")), 0), "")</f>
        <v>-24073158</v>
      </c>
      <c r="G312" t="str">
        <f>IF(F312&gt;0, IF(C312="Transaction", "Da thanh toan", "Duong"), IF(F312&lt;0, IF(C312="Transaction", "Du no", IF(C312="Interests", "Lai phat sinh", IF(C312="Misc", "Phi", IF(C312="Account Transfer", "Lai tra gop", "Am")))), "Bang 0"))</f>
        <v>Lai phat sinh</v>
      </c>
    </row>
    <row r="313" spans="1:7" x14ac:dyDescent="0.3">
      <c r="A313" s="64">
        <v>45849</v>
      </c>
      <c r="B313" s="33">
        <v>-1967671.23</v>
      </c>
      <c r="C313" t="s">
        <v>49</v>
      </c>
      <c r="E313" t="str">
        <f>IF(OR(C313="Transaction",C313="Interests",C313="Misc",C313="Account Transfer"), IF(C313="Transaction", IF(B313&lt;0, "Du no", "Da thanh toan"), IF(C313="Interests", "Lai", IF(C313="Misc", "Phi", IF(C313="Account Transfer", IF(OR(ISNUMBER(SEARCH("Trich lai tra gop the TD", D313)), ISNUMBER(SEARCH("Chuyen lai tra gop con lai sang du no thong thuong khi BadDebt", D313))), IF(B313&lt;0, "Lai tra gop", ""), "" )))))) &amp; " " &amp; IF(C313="Interests", TEXT(EDATE(IF(DAY(A313)&gt;=11, A313, EDATE(A313,-1)), -1),"yyyy-mm"), TEXT(IF(DAY(A313)&gt;=11, A313, EDATE(A313,-1)),"yyyy-mm"))</f>
        <v>Lai 2025-06</v>
      </c>
      <c r="F313">
        <f>IF(ISNUMBER(B313), ROUND(SUMIFS($B$2:$B$10000, $E$2:$E$10000, E313, $B$2:$B$10000, IF(B313&lt;0, "&lt;0", "&gt;0")), 0), "")</f>
        <v>-24073158</v>
      </c>
      <c r="G313" t="str">
        <f>IF(F313&gt;0, IF(C313="Transaction", "Da thanh toan", "Duong"), IF(F313&lt;0, IF(C313="Transaction", "Du no", IF(C313="Interests", "Lai phat sinh", IF(C313="Misc", "Phi", IF(C313="Account Transfer", "Lai tra gop", "Am")))), "Bang 0"))</f>
        <v>Lai phat sinh</v>
      </c>
    </row>
    <row r="314" spans="1:7" x14ac:dyDescent="0.3">
      <c r="A314" s="64">
        <v>45819</v>
      </c>
      <c r="B314" s="33">
        <v>-21812224.010000002</v>
      </c>
      <c r="C314" t="s">
        <v>49</v>
      </c>
      <c r="E314" t="str">
        <f>IF(OR(C314="Transaction",C314="Interests",C314="Misc",C314="Account Transfer"), IF(C314="Transaction", IF(B314&lt;0, "Du no", "Da thanh toan"), IF(C314="Interests", "Lai", IF(C314="Misc", "Phi", IF(C314="Account Transfer", IF(OR(ISNUMBER(SEARCH("Trich lai tra gop the TD", D314)), ISNUMBER(SEARCH("Chuyen lai tra gop con lai sang du no thong thuong khi BadDebt", D314))), IF(B314&lt;0, "Lai tra gop", ""), "" )))))) &amp; " " &amp; IF(C314="Interests", TEXT(EDATE(IF(DAY(A314)&gt;=11, A314, EDATE(A314,-1)), -1),"yyyy-mm"), TEXT(IF(DAY(A314)&gt;=11, A314, EDATE(A314,-1)),"yyyy-mm"))</f>
        <v>Lai 2025-05</v>
      </c>
      <c r="F314">
        <f>IF(ISNUMBER(B314), ROUND(SUMIFS($B$2:$B$10000, $E$2:$E$10000, E314, $B$2:$B$10000, IF(B314&lt;0, "&lt;0", "&gt;0")), 0), "")</f>
        <v>-23903554</v>
      </c>
      <c r="G314" t="str">
        <f>IF(F314&gt;0, IF(C314="Transaction", "Da thanh toan", "Duong"), IF(F314&lt;0, IF(C314="Transaction", "Du no", IF(C314="Interests", "Lai phat sinh", IF(C314="Misc", "Phi", IF(C314="Account Transfer", "Lai tra gop", "Am")))), "Bang 0"))</f>
        <v>Lai phat sinh</v>
      </c>
    </row>
    <row r="315" spans="1:7" x14ac:dyDescent="0.3">
      <c r="A315" s="64">
        <v>45819</v>
      </c>
      <c r="B315" s="33">
        <v>-58069.71</v>
      </c>
      <c r="C315" t="s">
        <v>49</v>
      </c>
      <c r="E315" t="str">
        <f>IF(OR(C315="Transaction",C315="Interests",C315="Misc",C315="Account Transfer"), IF(C315="Transaction", IF(B315&lt;0, "Du no", "Da thanh toan"), IF(C315="Interests", "Lai", IF(C315="Misc", "Phi", IF(C315="Account Transfer", IF(OR(ISNUMBER(SEARCH("Trich lai tra gop the TD", D315)), ISNUMBER(SEARCH("Chuyen lai tra gop con lai sang du no thong thuong khi BadDebt", D315))), IF(B315&lt;0, "Lai tra gop", ""), "" )))))) &amp; " " &amp; IF(C315="Interests", TEXT(EDATE(IF(DAY(A315)&gt;=11, A315, EDATE(A315,-1)), -1),"yyyy-mm"), TEXT(IF(DAY(A315)&gt;=11, A315, EDATE(A315,-1)),"yyyy-mm"))</f>
        <v>Lai 2025-05</v>
      </c>
      <c r="F315">
        <f>IF(ISNUMBER(B315), ROUND(SUMIFS($B$2:$B$10000, $E$2:$E$10000, E315, $B$2:$B$10000, IF(B315&lt;0, "&lt;0", "&gt;0")), 0), "")</f>
        <v>-23903554</v>
      </c>
      <c r="G315" t="str">
        <f>IF(F315&gt;0, IF(C315="Transaction", "Da thanh toan", "Duong"), IF(F315&lt;0, IF(C315="Transaction", "Du no", IF(C315="Interests", "Lai phat sinh", IF(C315="Misc", "Phi", IF(C315="Account Transfer", "Lai tra gop", "Am")))), "Bang 0"))</f>
        <v>Lai phat sinh</v>
      </c>
    </row>
    <row r="316" spans="1:7" x14ac:dyDescent="0.3">
      <c r="A316" s="64">
        <v>45819</v>
      </c>
      <c r="B316" s="33">
        <v>-2033260.27</v>
      </c>
      <c r="C316" t="s">
        <v>49</v>
      </c>
      <c r="E316" t="str">
        <f>IF(OR(C316="Transaction",C316="Interests",C316="Misc",C316="Account Transfer"), IF(C316="Transaction", IF(B316&lt;0, "Du no", "Da thanh toan"), IF(C316="Interests", "Lai", IF(C316="Misc", "Phi", IF(C316="Account Transfer", IF(OR(ISNUMBER(SEARCH("Trich lai tra gop the TD", D316)), ISNUMBER(SEARCH("Chuyen lai tra gop con lai sang du no thong thuong khi BadDebt", D316))), IF(B316&lt;0, "Lai tra gop", ""), "" )))))) &amp; " " &amp; IF(C316="Interests", TEXT(EDATE(IF(DAY(A316)&gt;=11, A316, EDATE(A316,-1)), -1),"yyyy-mm"), TEXT(IF(DAY(A316)&gt;=11, A316, EDATE(A316,-1)),"yyyy-mm"))</f>
        <v>Lai 2025-05</v>
      </c>
      <c r="F316">
        <f>IF(ISNUMBER(B316), ROUND(SUMIFS($B$2:$B$10000, $E$2:$E$10000, E316, $B$2:$B$10000, IF(B316&lt;0, "&lt;0", "&gt;0")), 0), "")</f>
        <v>-23903554</v>
      </c>
      <c r="G316" t="str">
        <f>IF(F316&gt;0, IF(C316="Transaction", "Da thanh toan", "Duong"), IF(F316&lt;0, IF(C316="Transaction", "Du no", IF(C316="Interests", "Lai phat sinh", IF(C316="Misc", "Phi", IF(C316="Account Transfer", "Lai tra gop", "Am")))), "Bang 0"))</f>
        <v>Lai phat sinh</v>
      </c>
    </row>
    <row r="317" spans="1:7" x14ac:dyDescent="0.3">
      <c r="A317" s="64">
        <v>45788</v>
      </c>
      <c r="B317" s="33">
        <v>-20232730.52</v>
      </c>
      <c r="C317" t="s">
        <v>49</v>
      </c>
      <c r="E317" t="str">
        <f>IF(OR(C317="Transaction",C317="Interests",C317="Misc",C317="Account Transfer"), IF(C317="Transaction", IF(B317&lt;0, "Du no", "Da thanh toan"), IF(C317="Interests", "Lai", IF(C317="Misc", "Phi", IF(C317="Account Transfer", IF(OR(ISNUMBER(SEARCH("Trich lai tra gop the TD", D317)), ISNUMBER(SEARCH("Chuyen lai tra gop con lai sang du no thong thuong khi BadDebt", D317))), IF(B317&lt;0, "Lai tra gop", ""), "" )))))) &amp; " " &amp; IF(C317="Interests", TEXT(EDATE(IF(DAY(A317)&gt;=11, A317, EDATE(A317,-1)), -1),"yyyy-mm"), TEXT(IF(DAY(A317)&gt;=11, A317, EDATE(A317,-1)),"yyyy-mm"))</f>
        <v>Lai 2025-04</v>
      </c>
      <c r="F317">
        <f>IF(ISNUMBER(B317), ROUND(SUMIFS($B$2:$B$10000, $E$2:$E$10000, E317, $B$2:$B$10000, IF(B317&lt;0, "&lt;0", "&gt;0")), 0), "")</f>
        <v>-22256598</v>
      </c>
      <c r="G317" t="str">
        <f>IF(F317&gt;0, IF(C317="Transaction", "Da thanh toan", "Duong"), IF(F317&lt;0, IF(C317="Transaction", "Du no", IF(C317="Interests", "Lai phat sinh", IF(C317="Misc", "Phi", IF(C317="Account Transfer", "Lai tra gop", "Am")))), "Bang 0"))</f>
        <v>Lai phat sinh</v>
      </c>
    </row>
    <row r="318" spans="1:7" x14ac:dyDescent="0.3">
      <c r="A318" s="64">
        <v>45788</v>
      </c>
      <c r="B318" s="33">
        <v>-56196.49</v>
      </c>
      <c r="C318" t="s">
        <v>49</v>
      </c>
      <c r="E318" t="str">
        <f>IF(OR(C318="Transaction",C318="Interests",C318="Misc",C318="Account Transfer"), IF(C318="Transaction", IF(B318&lt;0, "Du no", "Da thanh toan"), IF(C318="Interests", "Lai", IF(C318="Misc", "Phi", IF(C318="Account Transfer", IF(OR(ISNUMBER(SEARCH("Trich lai tra gop the TD", D318)), ISNUMBER(SEARCH("Chuyen lai tra gop con lai sang du no thong thuong khi BadDebt", D318))), IF(B318&lt;0, "Lai tra gop", ""), "" )))))) &amp; " " &amp; IF(C318="Interests", TEXT(EDATE(IF(DAY(A318)&gt;=11, A318, EDATE(A318,-1)), -1),"yyyy-mm"), TEXT(IF(DAY(A318)&gt;=11, A318, EDATE(A318,-1)),"yyyy-mm"))</f>
        <v>Lai 2025-04</v>
      </c>
      <c r="F318">
        <f>IF(ISNUMBER(B318), ROUND(SUMIFS($B$2:$B$10000, $E$2:$E$10000, E318, $B$2:$B$10000, IF(B318&lt;0, "&lt;0", "&gt;0")), 0), "")</f>
        <v>-22256598</v>
      </c>
      <c r="G318" t="str">
        <f>IF(F318&gt;0, IF(C318="Transaction", "Da thanh toan", "Duong"), IF(F318&lt;0, IF(C318="Transaction", "Du no", IF(C318="Interests", "Lai phat sinh", IF(C318="Misc", "Phi", IF(C318="Account Transfer", "Lai tra gop", "Am")))), "Bang 0"))</f>
        <v>Lai phat sinh</v>
      </c>
    </row>
    <row r="319" spans="1:7" x14ac:dyDescent="0.3">
      <c r="A319" s="64">
        <v>45788</v>
      </c>
      <c r="B319" s="33">
        <v>-1967671.23</v>
      </c>
      <c r="C319" t="s">
        <v>49</v>
      </c>
      <c r="E319" t="str">
        <f>IF(OR(C319="Transaction",C319="Interests",C319="Misc",C319="Account Transfer"), IF(C319="Transaction", IF(B319&lt;0, "Du no", "Da thanh toan"), IF(C319="Interests", "Lai", IF(C319="Misc", "Phi", IF(C319="Account Transfer", IF(OR(ISNUMBER(SEARCH("Trich lai tra gop the TD", D319)), ISNUMBER(SEARCH("Chuyen lai tra gop con lai sang du no thong thuong khi BadDebt", D319))), IF(B319&lt;0, "Lai tra gop", ""), "" )))))) &amp; " " &amp; IF(C319="Interests", TEXT(EDATE(IF(DAY(A319)&gt;=11, A319, EDATE(A319,-1)), -1),"yyyy-mm"), TEXT(IF(DAY(A319)&gt;=11, A319, EDATE(A319,-1)),"yyyy-mm"))</f>
        <v>Lai 2025-04</v>
      </c>
      <c r="F319">
        <f>IF(ISNUMBER(B319), ROUND(SUMIFS($B$2:$B$10000, $E$2:$E$10000, E319, $B$2:$B$10000, IF(B319&lt;0, "&lt;0", "&gt;0")), 0), "")</f>
        <v>-22256598</v>
      </c>
      <c r="G319" t="str">
        <f>IF(F319&gt;0, IF(C319="Transaction", "Da thanh toan", "Duong"), IF(F319&lt;0, IF(C319="Transaction", "Du no", IF(C319="Interests", "Lai phat sinh", IF(C319="Misc", "Phi", IF(C319="Account Transfer", "Lai tra gop", "Am")))), "Bang 0"))</f>
        <v>Lai phat sinh</v>
      </c>
    </row>
    <row r="320" spans="1:7" x14ac:dyDescent="0.3">
      <c r="A320" s="64">
        <v>45758</v>
      </c>
      <c r="B320" s="33">
        <v>-20008462.27</v>
      </c>
      <c r="C320" t="s">
        <v>49</v>
      </c>
      <c r="E320" t="str">
        <f>IF(OR(C320="Transaction",C320="Interests",C320="Misc",C320="Account Transfer"), IF(C320="Transaction", IF(B320&lt;0, "Du no", "Da thanh toan"), IF(C320="Interests", "Lai", IF(C320="Misc", "Phi", IF(C320="Account Transfer", IF(OR(ISNUMBER(SEARCH("Trich lai tra gop the TD", D320)), ISNUMBER(SEARCH("Chuyen lai tra gop con lai sang du no thong thuong khi BadDebt", D320))), IF(B320&lt;0, "Lai tra gop", ""), "" )))))) &amp; " " &amp; IF(C320="Interests", TEXT(EDATE(IF(DAY(A320)&gt;=11, A320, EDATE(A320,-1)), -1),"yyyy-mm"), TEXT(IF(DAY(A320)&gt;=11, A320, EDATE(A320,-1)),"yyyy-mm"))</f>
        <v>Lai 2025-03</v>
      </c>
      <c r="F320">
        <f>IF(ISNUMBER(B320), ROUND(SUMIFS($B$2:$B$10000, $E$2:$E$10000, E320, $B$2:$B$10000, IF(B320&lt;0, "&lt;0", "&gt;0")), 0), "")</f>
        <v>-22099792</v>
      </c>
      <c r="G320" t="str">
        <f>IF(F320&gt;0, IF(C320="Transaction", "Da thanh toan", "Duong"), IF(F320&lt;0, IF(C320="Transaction", "Du no", IF(C320="Interests", "Lai phat sinh", IF(C320="Misc", "Phi", IF(C320="Account Transfer", "Lai tra gop", "Am")))), "Bang 0"))</f>
        <v>Lai phat sinh</v>
      </c>
    </row>
    <row r="321" spans="1:7" x14ac:dyDescent="0.3">
      <c r="A321" s="64">
        <v>45758</v>
      </c>
      <c r="B321" s="33">
        <v>-58069.71</v>
      </c>
      <c r="C321" t="s">
        <v>49</v>
      </c>
      <c r="E321" t="str">
        <f>IF(OR(C321="Transaction",C321="Interests",C321="Misc",C321="Account Transfer"), IF(C321="Transaction", IF(B321&lt;0, "Du no", "Da thanh toan"), IF(C321="Interests", "Lai", IF(C321="Misc", "Phi", IF(C321="Account Transfer", IF(OR(ISNUMBER(SEARCH("Trich lai tra gop the TD", D321)), ISNUMBER(SEARCH("Chuyen lai tra gop con lai sang du no thong thuong khi BadDebt", D321))), IF(B321&lt;0, "Lai tra gop", ""), "" )))))) &amp; " " &amp; IF(C321="Interests", TEXT(EDATE(IF(DAY(A321)&gt;=11, A321, EDATE(A321,-1)), -1),"yyyy-mm"), TEXT(IF(DAY(A321)&gt;=11, A321, EDATE(A321,-1)),"yyyy-mm"))</f>
        <v>Lai 2025-03</v>
      </c>
      <c r="F321">
        <f>IF(ISNUMBER(B321), ROUND(SUMIFS($B$2:$B$10000, $E$2:$E$10000, E321, $B$2:$B$10000, IF(B321&lt;0, "&lt;0", "&gt;0")), 0), "")</f>
        <v>-22099792</v>
      </c>
      <c r="G321" t="str">
        <f>IF(F321&gt;0, IF(C321="Transaction", "Da thanh toan", "Duong"), IF(F321&lt;0, IF(C321="Transaction", "Du no", IF(C321="Interests", "Lai phat sinh", IF(C321="Misc", "Phi", IF(C321="Account Transfer", "Lai tra gop", "Am")))), "Bang 0"))</f>
        <v>Lai phat sinh</v>
      </c>
    </row>
    <row r="322" spans="1:7" x14ac:dyDescent="0.3">
      <c r="A322" s="64">
        <v>45758</v>
      </c>
      <c r="B322" s="33">
        <v>-2033260.27</v>
      </c>
      <c r="C322" t="s">
        <v>49</v>
      </c>
      <c r="E322" t="str">
        <f>IF(OR(C322="Transaction",C322="Interests",C322="Misc",C322="Account Transfer"), IF(C322="Transaction", IF(B322&lt;0, "Du no", "Da thanh toan"), IF(C322="Interests", "Lai", IF(C322="Misc", "Phi", IF(C322="Account Transfer", IF(OR(ISNUMBER(SEARCH("Trich lai tra gop the TD", D322)), ISNUMBER(SEARCH("Chuyen lai tra gop con lai sang du no thong thuong khi BadDebt", D322))), IF(B322&lt;0, "Lai tra gop", ""), "" )))))) &amp; " " &amp; IF(C322="Interests", TEXT(EDATE(IF(DAY(A322)&gt;=11, A322, EDATE(A322,-1)), -1),"yyyy-mm"), TEXT(IF(DAY(A322)&gt;=11, A322, EDATE(A322,-1)),"yyyy-mm"))</f>
        <v>Lai 2025-03</v>
      </c>
      <c r="F322">
        <f>IF(ISNUMBER(B322), ROUND(SUMIFS($B$2:$B$10000, $E$2:$E$10000, E322, $B$2:$B$10000, IF(B322&lt;0, "&lt;0", "&gt;0")), 0), "")</f>
        <v>-22099792</v>
      </c>
      <c r="G322" t="str">
        <f>IF(F322&gt;0, IF(C322="Transaction", "Da thanh toan", "Duong"), IF(F322&lt;0, IF(C322="Transaction", "Du no", IF(C322="Interests", "Lai phat sinh", IF(C322="Misc", "Phi", IF(C322="Account Transfer", "Lai tra gop", "Am")))), "Bang 0"))</f>
        <v>Lai phat sinh</v>
      </c>
    </row>
    <row r="323" spans="1:7" x14ac:dyDescent="0.3">
      <c r="A323" s="64">
        <v>45727</v>
      </c>
      <c r="B323" s="33">
        <v>-17364966.02</v>
      </c>
      <c r="C323" t="s">
        <v>49</v>
      </c>
      <c r="E323" t="str">
        <f>IF(OR(C323="Transaction",C323="Interests",C323="Misc",C323="Account Transfer"), IF(C323="Transaction", IF(B323&lt;0, "Du no", "Da thanh toan"), IF(C323="Interests", "Lai", IF(C323="Misc", "Phi", IF(C323="Account Transfer", IF(OR(ISNUMBER(SEARCH("Trich lai tra gop the TD", D323)), ISNUMBER(SEARCH("Chuyen lai tra gop con lai sang du no thong thuong khi BadDebt", D323))), IF(B323&lt;0, "Lai tra gop", ""), "" )))))) &amp; " " &amp; IF(C323="Interests", TEXT(EDATE(IF(DAY(A323)&gt;=11, A323, EDATE(A323,-1)), -1),"yyyy-mm"), TEXT(IF(DAY(A323)&gt;=11, A323, EDATE(A323,-1)),"yyyy-mm"))</f>
        <v>Lai 2025-02</v>
      </c>
      <c r="F323">
        <f>IF(ISNUMBER(B323), ROUND(SUMIFS($B$2:$B$10000, $E$2:$E$10000, E323, $B$2:$B$10000, IF(B323&lt;0, "&lt;0", "&gt;0")), 0), "")</f>
        <v>-19253909</v>
      </c>
      <c r="G323" t="str">
        <f>IF(F323&gt;0, IF(C323="Transaction", "Da thanh toan", "Duong"), IF(F323&lt;0, IF(C323="Transaction", "Du no", IF(C323="Interests", "Lai phat sinh", IF(C323="Misc", "Phi", IF(C323="Account Transfer", "Lai tra gop", "Am")))), "Bang 0"))</f>
        <v>Lai phat sinh</v>
      </c>
    </row>
    <row r="324" spans="1:7" x14ac:dyDescent="0.3">
      <c r="A324" s="64">
        <v>45727</v>
      </c>
      <c r="B324" s="33">
        <v>-52450.06</v>
      </c>
      <c r="C324" t="s">
        <v>49</v>
      </c>
      <c r="E324" t="str">
        <f>IF(OR(C324="Transaction",C324="Interests",C324="Misc",C324="Account Transfer"), IF(C324="Transaction", IF(B324&lt;0, "Du no", "Da thanh toan"), IF(C324="Interests", "Lai", IF(C324="Misc", "Phi", IF(C324="Account Transfer", IF(OR(ISNUMBER(SEARCH("Trich lai tra gop the TD", D324)), ISNUMBER(SEARCH("Chuyen lai tra gop con lai sang du no thong thuong khi BadDebt", D324))), IF(B324&lt;0, "Lai tra gop", ""), "" )))))) &amp; " " &amp; IF(C324="Interests", TEXT(EDATE(IF(DAY(A324)&gt;=11, A324, EDATE(A324,-1)), -1),"yyyy-mm"), TEXT(IF(DAY(A324)&gt;=11, A324, EDATE(A324,-1)),"yyyy-mm"))</f>
        <v>Lai 2025-02</v>
      </c>
      <c r="F324">
        <f>IF(ISNUMBER(B324), ROUND(SUMIFS($B$2:$B$10000, $E$2:$E$10000, E324, $B$2:$B$10000, IF(B324&lt;0, "&lt;0", "&gt;0")), 0), "")</f>
        <v>-19253909</v>
      </c>
      <c r="G324" t="str">
        <f>IF(F324&gt;0, IF(C324="Transaction", "Da thanh toan", "Duong"), IF(F324&lt;0, IF(C324="Transaction", "Du no", IF(C324="Interests", "Lai phat sinh", IF(C324="Misc", "Phi", IF(C324="Account Transfer", "Lai tra gop", "Am")))), "Bang 0"))</f>
        <v>Lai phat sinh</v>
      </c>
    </row>
    <row r="325" spans="1:7" x14ac:dyDescent="0.3">
      <c r="A325" s="64">
        <v>45727</v>
      </c>
      <c r="B325" s="33">
        <v>-1836493.15</v>
      </c>
      <c r="C325" t="s">
        <v>49</v>
      </c>
      <c r="E325" t="str">
        <f>IF(OR(C325="Transaction",C325="Interests",C325="Misc",C325="Account Transfer"), IF(C325="Transaction", IF(B325&lt;0, "Du no", "Da thanh toan"), IF(C325="Interests", "Lai", IF(C325="Misc", "Phi", IF(C325="Account Transfer", IF(OR(ISNUMBER(SEARCH("Trich lai tra gop the TD", D325)), ISNUMBER(SEARCH("Chuyen lai tra gop con lai sang du no thong thuong khi BadDebt", D325))), IF(B325&lt;0, "Lai tra gop", ""), "" )))))) &amp; " " &amp; IF(C325="Interests", TEXT(EDATE(IF(DAY(A325)&gt;=11, A325, EDATE(A325,-1)), -1),"yyyy-mm"), TEXT(IF(DAY(A325)&gt;=11, A325, EDATE(A325,-1)),"yyyy-mm"))</f>
        <v>Lai 2025-02</v>
      </c>
      <c r="F325">
        <f>IF(ISNUMBER(B325), ROUND(SUMIFS($B$2:$B$10000, $E$2:$E$10000, E325, $B$2:$B$10000, IF(B325&lt;0, "&lt;0", "&gt;0")), 0), "")</f>
        <v>-19253909</v>
      </c>
      <c r="G325" t="str">
        <f>IF(F325&gt;0, IF(C325="Transaction", "Da thanh toan", "Duong"), IF(F325&lt;0, IF(C325="Transaction", "Du no", IF(C325="Interests", "Lai phat sinh", IF(C325="Misc", "Phi", IF(C325="Account Transfer", "Lai tra gop", "Am")))), "Bang 0"))</f>
        <v>Lai phat sinh</v>
      </c>
    </row>
    <row r="326" spans="1:7" x14ac:dyDescent="0.3">
      <c r="A326" s="64">
        <v>45699</v>
      </c>
      <c r="B326" s="33">
        <v>-18392518.199999999</v>
      </c>
      <c r="C326" t="s">
        <v>49</v>
      </c>
      <c r="E326" t="str">
        <f>IF(OR(C326="Transaction",C326="Interests",C326="Misc",C326="Account Transfer"), IF(C326="Transaction", IF(B326&lt;0, "Du no", "Da thanh toan"), IF(C326="Interests", "Lai", IF(C326="Misc", "Phi", IF(C326="Account Transfer", IF(OR(ISNUMBER(SEARCH("Trich lai tra gop the TD", D326)), ISNUMBER(SEARCH("Chuyen lai tra gop con lai sang du no thong thuong khi BadDebt", D326))), IF(B326&lt;0, "Lai tra gop", ""), "" )))))) &amp; " " &amp; IF(C326="Interests", TEXT(EDATE(IF(DAY(A326)&gt;=11, A326, EDATE(A326,-1)), -1),"yyyy-mm"), TEXT(IF(DAY(A326)&gt;=11, A326, EDATE(A326,-1)),"yyyy-mm"))</f>
        <v>Lai 2025-01</v>
      </c>
      <c r="F326">
        <f>IF(ISNUMBER(B326), ROUND(SUMIFS($B$2:$B$10000, $E$2:$E$10000, E326, $B$2:$B$10000, IF(B326&lt;0, "&lt;0", "&gt;0")), 0), "")</f>
        <v>-20483848</v>
      </c>
      <c r="G326" t="str">
        <f>IF(F326&gt;0, IF(C326="Transaction", "Da thanh toan", "Duong"), IF(F326&lt;0, IF(C326="Transaction", "Du no", IF(C326="Interests", "Lai phat sinh", IF(C326="Misc", "Phi", IF(C326="Account Transfer", "Lai tra gop", "Am")))), "Bang 0"))</f>
        <v>Lai phat sinh</v>
      </c>
    </row>
    <row r="327" spans="1:7" x14ac:dyDescent="0.3">
      <c r="A327" s="64">
        <v>45699</v>
      </c>
      <c r="B327" s="33">
        <v>-58069.71</v>
      </c>
      <c r="C327" t="s">
        <v>49</v>
      </c>
      <c r="E327" t="str">
        <f>IF(OR(C327="Transaction",C327="Interests",C327="Misc",C327="Account Transfer"), IF(C327="Transaction", IF(B327&lt;0, "Du no", "Da thanh toan"), IF(C327="Interests", "Lai", IF(C327="Misc", "Phi", IF(C327="Account Transfer", IF(OR(ISNUMBER(SEARCH("Trich lai tra gop the TD", D327)), ISNUMBER(SEARCH("Chuyen lai tra gop con lai sang du no thong thuong khi BadDebt", D327))), IF(B327&lt;0, "Lai tra gop", ""), "" )))))) &amp; " " &amp; IF(C327="Interests", TEXT(EDATE(IF(DAY(A327)&gt;=11, A327, EDATE(A327,-1)), -1),"yyyy-mm"), TEXT(IF(DAY(A327)&gt;=11, A327, EDATE(A327,-1)),"yyyy-mm"))</f>
        <v>Lai 2025-01</v>
      </c>
      <c r="F327">
        <f>IF(ISNUMBER(B327), ROUND(SUMIFS($B$2:$B$10000, $E$2:$E$10000, E327, $B$2:$B$10000, IF(B327&lt;0, "&lt;0", "&gt;0")), 0), "")</f>
        <v>-20483848</v>
      </c>
      <c r="G327" t="str">
        <f>IF(F327&gt;0, IF(C327="Transaction", "Da thanh toan", "Duong"), IF(F327&lt;0, IF(C327="Transaction", "Du no", IF(C327="Interests", "Lai phat sinh", IF(C327="Misc", "Phi", IF(C327="Account Transfer", "Lai tra gop", "Am")))), "Bang 0"))</f>
        <v>Lai phat sinh</v>
      </c>
    </row>
    <row r="328" spans="1:7" x14ac:dyDescent="0.3">
      <c r="A328" s="64">
        <v>45699</v>
      </c>
      <c r="B328" s="33">
        <v>-2033260.27</v>
      </c>
      <c r="C328" t="s">
        <v>49</v>
      </c>
      <c r="E328" t="str">
        <f>IF(OR(C328="Transaction",C328="Interests",C328="Misc",C328="Account Transfer"), IF(C328="Transaction", IF(B328&lt;0, "Du no", "Da thanh toan"), IF(C328="Interests", "Lai", IF(C328="Misc", "Phi", IF(C328="Account Transfer", IF(OR(ISNUMBER(SEARCH("Trich lai tra gop the TD", D328)), ISNUMBER(SEARCH("Chuyen lai tra gop con lai sang du no thong thuong khi BadDebt", D328))), IF(B328&lt;0, "Lai tra gop", ""), "" )))))) &amp; " " &amp; IF(C328="Interests", TEXT(EDATE(IF(DAY(A328)&gt;=11, A328, EDATE(A328,-1)), -1),"yyyy-mm"), TEXT(IF(DAY(A328)&gt;=11, A328, EDATE(A328,-1)),"yyyy-mm"))</f>
        <v>Lai 2025-01</v>
      </c>
      <c r="F328">
        <f>IF(ISNUMBER(B328), ROUND(SUMIFS($B$2:$B$10000, $E$2:$E$10000, E328, $B$2:$B$10000, IF(B328&lt;0, "&lt;0", "&gt;0")), 0), "")</f>
        <v>-20483848</v>
      </c>
      <c r="G328" t="str">
        <f>IF(F328&gt;0, IF(C328="Transaction", "Da thanh toan", "Duong"), IF(F328&lt;0, IF(C328="Transaction", "Du no", IF(C328="Interests", "Lai phat sinh", IF(C328="Misc", "Phi", IF(C328="Account Transfer", "Lai tra gop", "Am")))), "Bang 0"))</f>
        <v>Lai phat sinh</v>
      </c>
    </row>
    <row r="329" spans="1:7" x14ac:dyDescent="0.3">
      <c r="A329" s="64">
        <v>45668</v>
      </c>
      <c r="B329" s="33">
        <v>-17592087.969999999</v>
      </c>
      <c r="C329" t="s">
        <v>49</v>
      </c>
      <c r="E329" t="str">
        <f>IF(OR(C329="Transaction",C329="Interests",C329="Misc",C329="Account Transfer"), IF(C329="Transaction", IF(B329&lt;0, "Du no", "Da thanh toan"), IF(C329="Interests", "Lai", IF(C329="Misc", "Phi", IF(C329="Account Transfer", IF(OR(ISNUMBER(SEARCH("Trich lai tra gop the TD", D329)), ISNUMBER(SEARCH("Chuyen lai tra gop con lai sang du no thong thuong khi BadDebt", D329))), IF(B329&lt;0, "Lai tra gop", ""), "" )))))) &amp; " " &amp; IF(C329="Interests", TEXT(EDATE(IF(DAY(A329)&gt;=11, A329, EDATE(A329,-1)), -1),"yyyy-mm"), TEXT(IF(DAY(A329)&gt;=11, A329, EDATE(A329,-1)),"yyyy-mm"))</f>
        <v>Lai 2024-12</v>
      </c>
      <c r="F329">
        <f>IF(ISNUMBER(B329), ROUND(SUMIFS($B$2:$B$10000, $E$2:$E$10000, E329, $B$2:$B$10000, IF(B329&lt;0, "&lt;0", "&gt;0")), 0), "")</f>
        <v>-19683418</v>
      </c>
      <c r="G329" t="str">
        <f>IF(F329&gt;0, IF(C329="Transaction", "Da thanh toan", "Duong"), IF(F329&lt;0, IF(C329="Transaction", "Du no", IF(C329="Interests", "Lai phat sinh", IF(C329="Misc", "Phi", IF(C329="Account Transfer", "Lai tra gop", "Am")))), "Bang 0"))</f>
        <v>Lai phat sinh</v>
      </c>
    </row>
    <row r="330" spans="1:7" x14ac:dyDescent="0.3">
      <c r="A330" s="64">
        <v>45668</v>
      </c>
      <c r="B330" s="33">
        <v>-58069.71</v>
      </c>
      <c r="C330" t="s">
        <v>49</v>
      </c>
      <c r="E330" t="str">
        <f>IF(OR(C330="Transaction",C330="Interests",C330="Misc",C330="Account Transfer"), IF(C330="Transaction", IF(B330&lt;0, "Du no", "Da thanh toan"), IF(C330="Interests", "Lai", IF(C330="Misc", "Phi", IF(C330="Account Transfer", IF(OR(ISNUMBER(SEARCH("Trich lai tra gop the TD", D330)), ISNUMBER(SEARCH("Chuyen lai tra gop con lai sang du no thong thuong khi BadDebt", D330))), IF(B330&lt;0, "Lai tra gop", ""), "" )))))) &amp; " " &amp; IF(C330="Interests", TEXT(EDATE(IF(DAY(A330)&gt;=11, A330, EDATE(A330,-1)), -1),"yyyy-mm"), TEXT(IF(DAY(A330)&gt;=11, A330, EDATE(A330,-1)),"yyyy-mm"))</f>
        <v>Lai 2024-12</v>
      </c>
      <c r="F330">
        <f>IF(ISNUMBER(B330), ROUND(SUMIFS($B$2:$B$10000, $E$2:$E$10000, E330, $B$2:$B$10000, IF(B330&lt;0, "&lt;0", "&gt;0")), 0), "")</f>
        <v>-19683418</v>
      </c>
      <c r="G330" t="str">
        <f>IF(F330&gt;0, IF(C330="Transaction", "Da thanh toan", "Duong"), IF(F330&lt;0, IF(C330="Transaction", "Du no", IF(C330="Interests", "Lai phat sinh", IF(C330="Misc", "Phi", IF(C330="Account Transfer", "Lai tra gop", "Am")))), "Bang 0"))</f>
        <v>Lai phat sinh</v>
      </c>
    </row>
    <row r="331" spans="1:7" x14ac:dyDescent="0.3">
      <c r="A331" s="64">
        <v>45668</v>
      </c>
      <c r="B331" s="33">
        <v>-2033260.27</v>
      </c>
      <c r="C331" t="s">
        <v>49</v>
      </c>
      <c r="E331" t="str">
        <f>IF(OR(C331="Transaction",C331="Interests",C331="Misc",C331="Account Transfer"), IF(C331="Transaction", IF(B331&lt;0, "Du no", "Da thanh toan"), IF(C331="Interests", "Lai", IF(C331="Misc", "Phi", IF(C331="Account Transfer", IF(OR(ISNUMBER(SEARCH("Trich lai tra gop the TD", D331)), ISNUMBER(SEARCH("Chuyen lai tra gop con lai sang du no thong thuong khi BadDebt", D331))), IF(B331&lt;0, "Lai tra gop", ""), "" )))))) &amp; " " &amp; IF(C331="Interests", TEXT(EDATE(IF(DAY(A331)&gt;=11, A331, EDATE(A331,-1)), -1),"yyyy-mm"), TEXT(IF(DAY(A331)&gt;=11, A331, EDATE(A331,-1)),"yyyy-mm"))</f>
        <v>Lai 2024-12</v>
      </c>
      <c r="F331">
        <f>IF(ISNUMBER(B331), ROUND(SUMIFS($B$2:$B$10000, $E$2:$E$10000, E331, $B$2:$B$10000, IF(B331&lt;0, "&lt;0", "&gt;0")), 0), "")</f>
        <v>-19683418</v>
      </c>
      <c r="G331" t="str">
        <f>IF(F331&gt;0, IF(C331="Transaction", "Da thanh toan", "Duong"), IF(F331&lt;0, IF(C331="Transaction", "Du no", IF(C331="Interests", "Lai phat sinh", IF(C331="Misc", "Phi", IF(C331="Account Transfer", "Lai tra gop", "Am")))), "Bang 0"))</f>
        <v>Lai phat sinh</v>
      </c>
    </row>
    <row r="332" spans="1:7" x14ac:dyDescent="0.3">
      <c r="A332" s="64">
        <v>45637</v>
      </c>
      <c r="B332" s="33">
        <v>-16042366.279999999</v>
      </c>
      <c r="C332" t="s">
        <v>49</v>
      </c>
      <c r="E332" t="str">
        <f>IF(OR(C332="Transaction",C332="Interests",C332="Misc",C332="Account Transfer"), IF(C332="Transaction", IF(B332&lt;0, "Du no", "Da thanh toan"), IF(C332="Interests", "Lai", IF(C332="Misc", "Phi", IF(C332="Account Transfer", IF(OR(ISNUMBER(SEARCH("Trich lai tra gop the TD", D332)), ISNUMBER(SEARCH("Chuyen lai tra gop con lai sang du no thong thuong khi BadDebt", D332))), IF(B332&lt;0, "Lai tra gop", ""), "" )))))) &amp; " " &amp; IF(C332="Interests", TEXT(EDATE(IF(DAY(A332)&gt;=11, A332, EDATE(A332,-1)), -1),"yyyy-mm"), TEXT(IF(DAY(A332)&gt;=11, A332, EDATE(A332,-1)),"yyyy-mm"))</f>
        <v>Lai 2024-11</v>
      </c>
      <c r="F332">
        <f>IF(ISNUMBER(B332), ROUND(SUMIFS($B$2:$B$10000, $E$2:$E$10000, E332, $B$2:$B$10000, IF(B332&lt;0, "&lt;0", "&gt;0")), 0), "")</f>
        <v>-18032418</v>
      </c>
      <c r="G332" t="str">
        <f>IF(F332&gt;0, IF(C332="Transaction", "Da thanh toan", "Duong"), IF(F332&lt;0, IF(C332="Transaction", "Du no", IF(C332="Interests", "Lai phat sinh", IF(C332="Misc", "Phi", IF(C332="Account Transfer", "Lai tra gop", "Am")))), "Bang 0"))</f>
        <v>Lai phat sinh</v>
      </c>
    </row>
    <row r="333" spans="1:7" x14ac:dyDescent="0.3">
      <c r="A333" s="64">
        <v>45637</v>
      </c>
      <c r="B333" s="33">
        <v>-55257.54</v>
      </c>
      <c r="C333" t="s">
        <v>49</v>
      </c>
      <c r="E333" t="str">
        <f>IF(OR(C333="Transaction",C333="Interests",C333="Misc",C333="Account Transfer"), IF(C333="Transaction", IF(B333&lt;0, "Du no", "Da thanh toan"), IF(C333="Interests", "Lai", IF(C333="Misc", "Phi", IF(C333="Account Transfer", IF(OR(ISNUMBER(SEARCH("Trich lai tra gop the TD", D333)), ISNUMBER(SEARCH("Chuyen lai tra gop con lai sang du no thong thuong khi BadDebt", D333))), IF(B333&lt;0, "Lai tra gop", ""), "" )))))) &amp; " " &amp; IF(C333="Interests", TEXT(EDATE(IF(DAY(A333)&gt;=11, A333, EDATE(A333,-1)), -1),"yyyy-mm"), TEXT(IF(DAY(A333)&gt;=11, A333, EDATE(A333,-1)),"yyyy-mm"))</f>
        <v>Lai 2024-11</v>
      </c>
      <c r="F333">
        <f>IF(ISNUMBER(B333), ROUND(SUMIFS($B$2:$B$10000, $E$2:$E$10000, E333, $B$2:$B$10000, IF(B333&lt;0, "&lt;0", "&gt;0")), 0), "")</f>
        <v>-18032418</v>
      </c>
      <c r="G333" t="str">
        <f>IF(F333&gt;0, IF(C333="Transaction", "Da thanh toan", "Duong"), IF(F333&lt;0, IF(C333="Transaction", "Du no", IF(C333="Interests", "Lai phat sinh", IF(C333="Misc", "Phi", IF(C333="Account Transfer", "Lai tra gop", "Am")))), "Bang 0"))</f>
        <v>Lai phat sinh</v>
      </c>
    </row>
    <row r="334" spans="1:7" x14ac:dyDescent="0.3">
      <c r="A334" s="64">
        <v>45637</v>
      </c>
      <c r="B334" s="33">
        <v>-1934794.52</v>
      </c>
      <c r="C334" t="s">
        <v>49</v>
      </c>
      <c r="E334" t="str">
        <f>IF(OR(C334="Transaction",C334="Interests",C334="Misc",C334="Account Transfer"), IF(C334="Transaction", IF(B334&lt;0, "Du no", "Da thanh toan"), IF(C334="Interests", "Lai", IF(C334="Misc", "Phi", IF(C334="Account Transfer", IF(OR(ISNUMBER(SEARCH("Trich lai tra gop the TD", D334)), ISNUMBER(SEARCH("Chuyen lai tra gop con lai sang du no thong thuong khi BadDebt", D334))), IF(B334&lt;0, "Lai tra gop", ""), "" )))))) &amp; " " &amp; IF(C334="Interests", TEXT(EDATE(IF(DAY(A334)&gt;=11, A334, EDATE(A334,-1)), -1),"yyyy-mm"), TEXT(IF(DAY(A334)&gt;=11, A334, EDATE(A334,-1)),"yyyy-mm"))</f>
        <v>Lai 2024-11</v>
      </c>
      <c r="F334">
        <f>IF(ISNUMBER(B334), ROUND(SUMIFS($B$2:$B$10000, $E$2:$E$10000, E334, $B$2:$B$10000, IF(B334&lt;0, "&lt;0", "&gt;0")), 0), "")</f>
        <v>-18032418</v>
      </c>
      <c r="G334" t="str">
        <f>IF(F334&gt;0, IF(C334="Transaction", "Da thanh toan", "Duong"), IF(F334&lt;0, IF(C334="Transaction", "Du no", IF(C334="Interests", "Lai phat sinh", IF(C334="Misc", "Phi", IF(C334="Account Transfer", "Lai tra gop", "Am")))), "Bang 0"))</f>
        <v>Lai phat sinh</v>
      </c>
    </row>
    <row r="335" spans="1:7" x14ac:dyDescent="0.3">
      <c r="A335" s="64">
        <v>45607</v>
      </c>
      <c r="B335" s="33">
        <v>-12213586.460000001</v>
      </c>
      <c r="C335" t="s">
        <v>49</v>
      </c>
      <c r="E335" t="str">
        <f>IF(OR(C335="Transaction",C335="Interests",C335="Misc",C335="Account Transfer"), IF(C335="Transaction", IF(B335&lt;0, "Du no", "Da thanh toan"), IF(C335="Interests", "Lai", IF(C335="Misc", "Phi", IF(C335="Account Transfer", IF(OR(ISNUMBER(SEARCH("Trich lai tra gop the TD", D335)), ISNUMBER(SEARCH("Chuyen lai tra gop con lai sang du no thong thuong khi BadDebt", D335))), IF(B335&lt;0, "Lai tra gop", ""), "" )))))) &amp; " " &amp; IF(C335="Interests", TEXT(EDATE(IF(DAY(A335)&gt;=11, A335, EDATE(A335,-1)), -1),"yyyy-mm"), TEXT(IF(DAY(A335)&gt;=11, A335, EDATE(A335,-1)),"yyyy-mm"))</f>
        <v>Lai 2024-10</v>
      </c>
      <c r="F335">
        <f>IF(ISNUMBER(B335), ROUND(SUMIFS($B$2:$B$10000, $E$2:$E$10000, E335, $B$2:$B$10000, IF(B335&lt;0, "&lt;0", "&gt;0")), 0), "")</f>
        <v>-13780774</v>
      </c>
      <c r="G335" t="str">
        <f>IF(F335&gt;0, IF(C335="Transaction", "Da thanh toan", "Duong"), IF(F335&lt;0, IF(C335="Transaction", "Du no", IF(C335="Interests", "Lai phat sinh", IF(C335="Misc", "Phi", IF(C335="Account Transfer", "Lai tra gop", "Am")))), "Bang 0"))</f>
        <v>Lai phat sinh</v>
      </c>
    </row>
    <row r="336" spans="1:7" x14ac:dyDescent="0.3">
      <c r="A336" s="64">
        <v>45607</v>
      </c>
      <c r="B336" s="33">
        <v>-43515.9</v>
      </c>
      <c r="C336" t="s">
        <v>49</v>
      </c>
      <c r="E336" t="str">
        <f>IF(OR(C336="Transaction",C336="Interests",C336="Misc",C336="Account Transfer"), IF(C336="Transaction", IF(B336&lt;0, "Du no", "Da thanh toan"), IF(C336="Interests", "Lai", IF(C336="Misc", "Phi", IF(C336="Account Transfer", IF(OR(ISNUMBER(SEARCH("Trich lai tra gop the TD", D336)), ISNUMBER(SEARCH("Chuyen lai tra gop con lai sang du no thong thuong khi BadDebt", D336))), IF(B336&lt;0, "Lai tra gop", ""), "" )))))) &amp; " " &amp; IF(C336="Interests", TEXT(EDATE(IF(DAY(A336)&gt;=11, A336, EDATE(A336,-1)), -1),"yyyy-mm"), TEXT(IF(DAY(A336)&gt;=11, A336, EDATE(A336,-1)),"yyyy-mm"))</f>
        <v>Lai 2024-10</v>
      </c>
      <c r="F336">
        <f>IF(ISNUMBER(B336), ROUND(SUMIFS($B$2:$B$10000, $E$2:$E$10000, E336, $B$2:$B$10000, IF(B336&lt;0, "&lt;0", "&gt;0")), 0), "")</f>
        <v>-13780774</v>
      </c>
      <c r="G336" t="str">
        <f>IF(F336&gt;0, IF(C336="Transaction", "Da thanh toan", "Duong"), IF(F336&lt;0, IF(C336="Transaction", "Du no", IF(C336="Interests", "Lai phat sinh", IF(C336="Misc", "Phi", IF(C336="Account Transfer", "Lai tra gop", "Am")))), "Bang 0"))</f>
        <v>Lai phat sinh</v>
      </c>
    </row>
    <row r="337" spans="1:7" x14ac:dyDescent="0.3">
      <c r="A337" s="64">
        <v>45607</v>
      </c>
      <c r="B337" s="33">
        <v>-1523671.23</v>
      </c>
      <c r="C337" t="s">
        <v>49</v>
      </c>
      <c r="E337" t="str">
        <f>IF(OR(C337="Transaction",C337="Interests",C337="Misc",C337="Account Transfer"), IF(C337="Transaction", IF(B337&lt;0, "Du no", "Da thanh toan"), IF(C337="Interests", "Lai", IF(C337="Misc", "Phi", IF(C337="Account Transfer", IF(OR(ISNUMBER(SEARCH("Trich lai tra gop the TD", D337)), ISNUMBER(SEARCH("Chuyen lai tra gop con lai sang du no thong thuong khi BadDebt", D337))), IF(B337&lt;0, "Lai tra gop", ""), "" )))))) &amp; " " &amp; IF(C337="Interests", TEXT(EDATE(IF(DAY(A337)&gt;=11, A337, EDATE(A337,-1)), -1),"yyyy-mm"), TEXT(IF(DAY(A337)&gt;=11, A337, EDATE(A337,-1)),"yyyy-mm"))</f>
        <v>Lai 2024-10</v>
      </c>
      <c r="F337">
        <f>IF(ISNUMBER(B337), ROUND(SUMIFS($B$2:$B$10000, $E$2:$E$10000, E337, $B$2:$B$10000, IF(B337&lt;0, "&lt;0", "&gt;0")), 0), "")</f>
        <v>-13780774</v>
      </c>
      <c r="G337" t="str">
        <f>IF(F337&gt;0, IF(C337="Transaction", "Da thanh toan", "Duong"), IF(F337&lt;0, IF(C337="Transaction", "Du no", IF(C337="Interests", "Lai phat sinh", IF(C337="Misc", "Phi", IF(C337="Account Transfer", "Lai tra gop", "Am")))), "Bang 0"))</f>
        <v>Lai phat sinh</v>
      </c>
    </row>
    <row r="338" spans="1:7" x14ac:dyDescent="0.3">
      <c r="A338" s="59"/>
    </row>
    <row r="339" spans="1:7" x14ac:dyDescent="0.3">
      <c r="A339" s="59"/>
    </row>
    <row r="340" spans="1:7" x14ac:dyDescent="0.3">
      <c r="A340" s="59"/>
    </row>
    <row r="341" spans="1:7" x14ac:dyDescent="0.3">
      <c r="A341" s="59"/>
    </row>
    <row r="342" spans="1:7" x14ac:dyDescent="0.3">
      <c r="A342" s="59"/>
    </row>
    <row r="343" spans="1:7" x14ac:dyDescent="0.3">
      <c r="A343" s="59"/>
    </row>
    <row r="344" spans="1:7" x14ac:dyDescent="0.3">
      <c r="A344" s="59"/>
    </row>
    <row r="345" spans="1:7" x14ac:dyDescent="0.3">
      <c r="A345" s="59"/>
    </row>
    <row r="346" spans="1:7" x14ac:dyDescent="0.3">
      <c r="A346" s="59"/>
    </row>
    <row r="347" spans="1:7" x14ac:dyDescent="0.3">
      <c r="A347" s="59"/>
    </row>
    <row r="348" spans="1:7" x14ac:dyDescent="0.3">
      <c r="A348" s="59"/>
    </row>
    <row r="349" spans="1:7" x14ac:dyDescent="0.3">
      <c r="A349" s="59"/>
    </row>
    <row r="350" spans="1:7" x14ac:dyDescent="0.3">
      <c r="A350" s="59"/>
    </row>
    <row r="351" spans="1:7" x14ac:dyDescent="0.3">
      <c r="A351" s="59"/>
    </row>
    <row r="352" spans="1:7" x14ac:dyDescent="0.3">
      <c r="A352" s="59"/>
    </row>
    <row r="353" spans="1:1" x14ac:dyDescent="0.3">
      <c r="A353" s="59"/>
    </row>
    <row r="354" spans="1:1" x14ac:dyDescent="0.3">
      <c r="A354" s="59"/>
    </row>
    <row r="355" spans="1:1" x14ac:dyDescent="0.3">
      <c r="A355" s="59"/>
    </row>
    <row r="356" spans="1:1" x14ac:dyDescent="0.3">
      <c r="A356" s="59"/>
    </row>
    <row r="357" spans="1:1" x14ac:dyDescent="0.3">
      <c r="A357" s="59"/>
    </row>
    <row r="358" spans="1:1" x14ac:dyDescent="0.3">
      <c r="A358" s="59"/>
    </row>
    <row r="359" spans="1:1" x14ac:dyDescent="0.3">
      <c r="A359" s="59"/>
    </row>
    <row r="360" spans="1:1" x14ac:dyDescent="0.3">
      <c r="A360" s="59"/>
    </row>
    <row r="361" spans="1:1" x14ac:dyDescent="0.3">
      <c r="A361" s="59"/>
    </row>
    <row r="362" spans="1:1" x14ac:dyDescent="0.3">
      <c r="A362" s="59"/>
    </row>
    <row r="363" spans="1:1" x14ac:dyDescent="0.3">
      <c r="A363" s="59"/>
    </row>
    <row r="364" spans="1:1" x14ac:dyDescent="0.3">
      <c r="A364" s="59"/>
    </row>
    <row r="365" spans="1:1" x14ac:dyDescent="0.3">
      <c r="A365" s="59"/>
    </row>
    <row r="366" spans="1:1" x14ac:dyDescent="0.3">
      <c r="A366" s="59"/>
    </row>
    <row r="367" spans="1:1" x14ac:dyDescent="0.3">
      <c r="A367" s="59"/>
    </row>
    <row r="368" spans="1:1" x14ac:dyDescent="0.3">
      <c r="A368" s="59"/>
    </row>
    <row r="369" spans="1:1" x14ac:dyDescent="0.3">
      <c r="A369" s="59"/>
    </row>
    <row r="370" spans="1:1" x14ac:dyDescent="0.3">
      <c r="A370" s="59"/>
    </row>
    <row r="371" spans="1:1" x14ac:dyDescent="0.3">
      <c r="A371" s="59"/>
    </row>
    <row r="372" spans="1:1" x14ac:dyDescent="0.3">
      <c r="A372" s="59"/>
    </row>
    <row r="373" spans="1:1" x14ac:dyDescent="0.3">
      <c r="A373" s="59"/>
    </row>
    <row r="374" spans="1:1" x14ac:dyDescent="0.3">
      <c r="A374" s="59"/>
    </row>
    <row r="375" spans="1:1" x14ac:dyDescent="0.3">
      <c r="A375" s="59"/>
    </row>
    <row r="376" spans="1:1" x14ac:dyDescent="0.3">
      <c r="A376" s="59"/>
    </row>
    <row r="377" spans="1:1" x14ac:dyDescent="0.3">
      <c r="A377" s="59"/>
    </row>
    <row r="378" spans="1:1" x14ac:dyDescent="0.3">
      <c r="A378" s="59"/>
    </row>
    <row r="379" spans="1:1" x14ac:dyDescent="0.3">
      <c r="A379" s="59"/>
    </row>
    <row r="380" spans="1:1" x14ac:dyDescent="0.3">
      <c r="A380" s="59"/>
    </row>
    <row r="381" spans="1:1" x14ac:dyDescent="0.3">
      <c r="A381" s="59"/>
    </row>
    <row r="382" spans="1:1" x14ac:dyDescent="0.3">
      <c r="A382" s="59"/>
    </row>
    <row r="383" spans="1:1" x14ac:dyDescent="0.3">
      <c r="A383" s="59"/>
    </row>
    <row r="384" spans="1:1" x14ac:dyDescent="0.3">
      <c r="A384" s="59"/>
    </row>
    <row r="385" spans="1:1" x14ac:dyDescent="0.3">
      <c r="A385" s="59"/>
    </row>
    <row r="386" spans="1:1" x14ac:dyDescent="0.3">
      <c r="A386" s="59"/>
    </row>
    <row r="387" spans="1:1" x14ac:dyDescent="0.3">
      <c r="A387" s="59"/>
    </row>
    <row r="388" spans="1:1" x14ac:dyDescent="0.3">
      <c r="A388" s="59"/>
    </row>
    <row r="389" spans="1:1" x14ac:dyDescent="0.3">
      <c r="A389" s="59"/>
    </row>
    <row r="390" spans="1:1" x14ac:dyDescent="0.3">
      <c r="A390" s="59"/>
    </row>
    <row r="391" spans="1:1" x14ac:dyDescent="0.3">
      <c r="A391" s="59"/>
    </row>
    <row r="392" spans="1:1" x14ac:dyDescent="0.3">
      <c r="A392" s="59"/>
    </row>
    <row r="393" spans="1:1" x14ac:dyDescent="0.3">
      <c r="A393" s="59"/>
    </row>
    <row r="394" spans="1:1" x14ac:dyDescent="0.3">
      <c r="A394" s="59"/>
    </row>
    <row r="395" spans="1:1" x14ac:dyDescent="0.3">
      <c r="A395" s="59"/>
    </row>
    <row r="396" spans="1:1" x14ac:dyDescent="0.3">
      <c r="A396" s="59"/>
    </row>
    <row r="397" spans="1:1" x14ac:dyDescent="0.3">
      <c r="A397" s="59"/>
    </row>
    <row r="398" spans="1:1" x14ac:dyDescent="0.3">
      <c r="A398" s="59"/>
    </row>
    <row r="399" spans="1:1" x14ac:dyDescent="0.3">
      <c r="A399" s="59"/>
    </row>
    <row r="400" spans="1:1" x14ac:dyDescent="0.3">
      <c r="A400" s="59"/>
    </row>
    <row r="401" spans="1:1" x14ac:dyDescent="0.3">
      <c r="A401" s="59"/>
    </row>
    <row r="402" spans="1:1" x14ac:dyDescent="0.3">
      <c r="A402" s="59"/>
    </row>
    <row r="403" spans="1:1" x14ac:dyDescent="0.3">
      <c r="A403" s="59"/>
    </row>
    <row r="404" spans="1:1" x14ac:dyDescent="0.3">
      <c r="A404" s="59"/>
    </row>
    <row r="405" spans="1:1" x14ac:dyDescent="0.3">
      <c r="A405" s="59"/>
    </row>
    <row r="406" spans="1:1" x14ac:dyDescent="0.3">
      <c r="A406" s="59"/>
    </row>
    <row r="407" spans="1:1" x14ac:dyDescent="0.3">
      <c r="A407" s="59"/>
    </row>
    <row r="408" spans="1:1" x14ac:dyDescent="0.3">
      <c r="A408" s="59"/>
    </row>
    <row r="409" spans="1:1" x14ac:dyDescent="0.3">
      <c r="A409" s="59"/>
    </row>
    <row r="410" spans="1:1" x14ac:dyDescent="0.3">
      <c r="A410" s="59"/>
    </row>
    <row r="411" spans="1:1" x14ac:dyDescent="0.3">
      <c r="A411" s="59"/>
    </row>
    <row r="412" spans="1:1" x14ac:dyDescent="0.3">
      <c r="A412" s="59"/>
    </row>
    <row r="413" spans="1:1" x14ac:dyDescent="0.3">
      <c r="A413" s="59"/>
    </row>
    <row r="414" spans="1:1" x14ac:dyDescent="0.3">
      <c r="A414" s="59"/>
    </row>
    <row r="415" spans="1:1" x14ac:dyDescent="0.3">
      <c r="A415" s="59"/>
    </row>
    <row r="416" spans="1:1" x14ac:dyDescent="0.3">
      <c r="A416" s="59"/>
    </row>
    <row r="417" spans="1:1" x14ac:dyDescent="0.3">
      <c r="A417" s="59"/>
    </row>
    <row r="418" spans="1:1" x14ac:dyDescent="0.3">
      <c r="A418" s="59"/>
    </row>
    <row r="419" spans="1:1" x14ac:dyDescent="0.3">
      <c r="A419" s="59"/>
    </row>
    <row r="420" spans="1:1" x14ac:dyDescent="0.3">
      <c r="A420" s="59"/>
    </row>
    <row r="421" spans="1:1" x14ac:dyDescent="0.3">
      <c r="A421" s="59"/>
    </row>
    <row r="422" spans="1:1" x14ac:dyDescent="0.3">
      <c r="A422" s="59"/>
    </row>
    <row r="423" spans="1:1" x14ac:dyDescent="0.3">
      <c r="A423" s="59"/>
    </row>
    <row r="424" spans="1:1" x14ac:dyDescent="0.3">
      <c r="A424" s="59"/>
    </row>
    <row r="425" spans="1:1" x14ac:dyDescent="0.3">
      <c r="A425" s="59"/>
    </row>
    <row r="426" spans="1:1" x14ac:dyDescent="0.3">
      <c r="A426" s="59"/>
    </row>
    <row r="427" spans="1:1" x14ac:dyDescent="0.3">
      <c r="A427" s="59"/>
    </row>
    <row r="428" spans="1:1" x14ac:dyDescent="0.3">
      <c r="A428" s="59"/>
    </row>
    <row r="429" spans="1:1" x14ac:dyDescent="0.3">
      <c r="A429" s="59"/>
    </row>
    <row r="430" spans="1:1" x14ac:dyDescent="0.3">
      <c r="A430" s="59"/>
    </row>
    <row r="431" spans="1:1" x14ac:dyDescent="0.3">
      <c r="A431" s="59"/>
    </row>
    <row r="432" spans="1:1" x14ac:dyDescent="0.3">
      <c r="A432" s="59"/>
    </row>
    <row r="433" spans="1:1" x14ac:dyDescent="0.3">
      <c r="A433" s="59"/>
    </row>
    <row r="434" spans="1:1" x14ac:dyDescent="0.3">
      <c r="A434" s="59"/>
    </row>
    <row r="435" spans="1:1" x14ac:dyDescent="0.3">
      <c r="A435" s="59"/>
    </row>
    <row r="436" spans="1:1" x14ac:dyDescent="0.3">
      <c r="A436" s="59"/>
    </row>
    <row r="437" spans="1:1" x14ac:dyDescent="0.3">
      <c r="A437" s="59"/>
    </row>
    <row r="438" spans="1:1" x14ac:dyDescent="0.3">
      <c r="A438" s="59"/>
    </row>
    <row r="439" spans="1:1" x14ac:dyDescent="0.3">
      <c r="A439" s="59"/>
    </row>
    <row r="440" spans="1:1" x14ac:dyDescent="0.3">
      <c r="A440" s="59"/>
    </row>
    <row r="441" spans="1:1" x14ac:dyDescent="0.3">
      <c r="A441" s="59"/>
    </row>
    <row r="442" spans="1:1" x14ac:dyDescent="0.3">
      <c r="A442" s="59"/>
    </row>
    <row r="443" spans="1:1" x14ac:dyDescent="0.3">
      <c r="A443" s="59"/>
    </row>
    <row r="444" spans="1:1" x14ac:dyDescent="0.3">
      <c r="A444" s="59"/>
    </row>
    <row r="445" spans="1:1" x14ac:dyDescent="0.3">
      <c r="A445" s="59"/>
    </row>
    <row r="446" spans="1:1" x14ac:dyDescent="0.3">
      <c r="A446" s="59"/>
    </row>
    <row r="447" spans="1:1" x14ac:dyDescent="0.3">
      <c r="A447" s="59"/>
    </row>
    <row r="448" spans="1:1" x14ac:dyDescent="0.3">
      <c r="A448" s="59"/>
    </row>
    <row r="449" spans="1:1" x14ac:dyDescent="0.3">
      <c r="A449" s="59"/>
    </row>
    <row r="450" spans="1:1" x14ac:dyDescent="0.3">
      <c r="A450" s="59"/>
    </row>
    <row r="451" spans="1:1" x14ac:dyDescent="0.3">
      <c r="A451" s="59"/>
    </row>
    <row r="452" spans="1:1" x14ac:dyDescent="0.3">
      <c r="A452" s="59"/>
    </row>
    <row r="453" spans="1:1" x14ac:dyDescent="0.3">
      <c r="A453" s="59"/>
    </row>
    <row r="454" spans="1:1" x14ac:dyDescent="0.3">
      <c r="A454" s="59"/>
    </row>
    <row r="455" spans="1:1" x14ac:dyDescent="0.3">
      <c r="A455" s="59"/>
    </row>
    <row r="456" spans="1:1" x14ac:dyDescent="0.3">
      <c r="A456" s="59"/>
    </row>
    <row r="457" spans="1:1" x14ac:dyDescent="0.3">
      <c r="A457" s="59"/>
    </row>
    <row r="458" spans="1:1" x14ac:dyDescent="0.3">
      <c r="A458" s="59"/>
    </row>
    <row r="459" spans="1:1" x14ac:dyDescent="0.3">
      <c r="A459" s="59"/>
    </row>
    <row r="460" spans="1:1" x14ac:dyDescent="0.3">
      <c r="A460" s="59"/>
    </row>
    <row r="461" spans="1:1" x14ac:dyDescent="0.3">
      <c r="A461" s="59"/>
    </row>
    <row r="462" spans="1:1" x14ac:dyDescent="0.3">
      <c r="A462" s="59"/>
    </row>
    <row r="463" spans="1:1" x14ac:dyDescent="0.3">
      <c r="A463" s="59"/>
    </row>
    <row r="464" spans="1:1" x14ac:dyDescent="0.3">
      <c r="A464" s="59"/>
    </row>
    <row r="465" spans="1:1" x14ac:dyDescent="0.3">
      <c r="A465" s="59"/>
    </row>
    <row r="466" spans="1:1" x14ac:dyDescent="0.3">
      <c r="A466" s="59"/>
    </row>
    <row r="467" spans="1:1" x14ac:dyDescent="0.3">
      <c r="A467" s="59"/>
    </row>
    <row r="468" spans="1:1" x14ac:dyDescent="0.3">
      <c r="A468" s="59"/>
    </row>
    <row r="469" spans="1:1" x14ac:dyDescent="0.3">
      <c r="A469" s="59"/>
    </row>
    <row r="470" spans="1:1" x14ac:dyDescent="0.3">
      <c r="A470" s="59"/>
    </row>
    <row r="471" spans="1:1" x14ac:dyDescent="0.3">
      <c r="A471" s="59"/>
    </row>
    <row r="472" spans="1:1" x14ac:dyDescent="0.3">
      <c r="A472" s="59"/>
    </row>
    <row r="473" spans="1:1" x14ac:dyDescent="0.3">
      <c r="A473" s="59"/>
    </row>
    <row r="474" spans="1:1" x14ac:dyDescent="0.3">
      <c r="A474" s="59"/>
    </row>
    <row r="475" spans="1:1" x14ac:dyDescent="0.3">
      <c r="A475" s="59"/>
    </row>
    <row r="476" spans="1:1" x14ac:dyDescent="0.3">
      <c r="A476" s="59"/>
    </row>
    <row r="477" spans="1:1" x14ac:dyDescent="0.3">
      <c r="A477" s="59"/>
    </row>
    <row r="478" spans="1:1" x14ac:dyDescent="0.3">
      <c r="A478" s="59"/>
    </row>
    <row r="479" spans="1:1" x14ac:dyDescent="0.3">
      <c r="A479" s="59"/>
    </row>
    <row r="480" spans="1:1" x14ac:dyDescent="0.3">
      <c r="A480" s="59"/>
    </row>
    <row r="481" spans="1:1" x14ac:dyDescent="0.3">
      <c r="A481" s="59"/>
    </row>
    <row r="482" spans="1:1" x14ac:dyDescent="0.3">
      <c r="A482" s="59"/>
    </row>
    <row r="483" spans="1:1" x14ac:dyDescent="0.3">
      <c r="A483" s="59"/>
    </row>
    <row r="484" spans="1:1" x14ac:dyDescent="0.3">
      <c r="A484" s="59"/>
    </row>
    <row r="485" spans="1:1" x14ac:dyDescent="0.3">
      <c r="A485" s="59"/>
    </row>
    <row r="486" spans="1:1" x14ac:dyDescent="0.3">
      <c r="A486" s="59"/>
    </row>
    <row r="487" spans="1:1" x14ac:dyDescent="0.3">
      <c r="A487" s="59"/>
    </row>
    <row r="488" spans="1:1" x14ac:dyDescent="0.3">
      <c r="A488" s="59"/>
    </row>
    <row r="489" spans="1:1" x14ac:dyDescent="0.3">
      <c r="A489" s="59"/>
    </row>
    <row r="490" spans="1:1" x14ac:dyDescent="0.3">
      <c r="A490" s="59"/>
    </row>
    <row r="491" spans="1:1" x14ac:dyDescent="0.3">
      <c r="A491" s="59"/>
    </row>
    <row r="492" spans="1:1" x14ac:dyDescent="0.3">
      <c r="A492" s="59"/>
    </row>
    <row r="493" spans="1:1" x14ac:dyDescent="0.3">
      <c r="A493" s="59"/>
    </row>
    <row r="494" spans="1:1" x14ac:dyDescent="0.3">
      <c r="A494" s="59"/>
    </row>
    <row r="495" spans="1:1" x14ac:dyDescent="0.3">
      <c r="A495" s="59"/>
    </row>
    <row r="496" spans="1:1" x14ac:dyDescent="0.3">
      <c r="A496" s="59"/>
    </row>
    <row r="497" spans="1:1" x14ac:dyDescent="0.3">
      <c r="A497" s="59"/>
    </row>
    <row r="498" spans="1:1" x14ac:dyDescent="0.3">
      <c r="A498" s="59"/>
    </row>
    <row r="499" spans="1:1" x14ac:dyDescent="0.3">
      <c r="A499" s="59"/>
    </row>
    <row r="500" spans="1:1" x14ac:dyDescent="0.3">
      <c r="A500" s="59"/>
    </row>
    <row r="501" spans="1:1" x14ac:dyDescent="0.3">
      <c r="A501" s="59"/>
    </row>
    <row r="502" spans="1:1" x14ac:dyDescent="0.3">
      <c r="A502" s="59"/>
    </row>
    <row r="503" spans="1:1" x14ac:dyDescent="0.3">
      <c r="A503" s="59"/>
    </row>
    <row r="504" spans="1:1" x14ac:dyDescent="0.3">
      <c r="A504" s="59"/>
    </row>
    <row r="505" spans="1:1" x14ac:dyDescent="0.3">
      <c r="A505" s="59"/>
    </row>
    <row r="506" spans="1:1" x14ac:dyDescent="0.3">
      <c r="A506" s="59"/>
    </row>
    <row r="507" spans="1:1" x14ac:dyDescent="0.3">
      <c r="A507" s="59"/>
    </row>
    <row r="508" spans="1:1" x14ac:dyDescent="0.3">
      <c r="A508" s="59"/>
    </row>
    <row r="509" spans="1:1" x14ac:dyDescent="0.3">
      <c r="A509" s="59"/>
    </row>
    <row r="510" spans="1:1" x14ac:dyDescent="0.3">
      <c r="A510" s="59"/>
    </row>
    <row r="511" spans="1:1" x14ac:dyDescent="0.3">
      <c r="A511" s="59"/>
    </row>
    <row r="512" spans="1:1" x14ac:dyDescent="0.3">
      <c r="A512" s="59"/>
    </row>
    <row r="513" spans="1:1" x14ac:dyDescent="0.3">
      <c r="A513" s="59"/>
    </row>
    <row r="514" spans="1:1" x14ac:dyDescent="0.3">
      <c r="A514" s="59"/>
    </row>
    <row r="515" spans="1:1" x14ac:dyDescent="0.3">
      <c r="A515" s="59"/>
    </row>
    <row r="516" spans="1:1" x14ac:dyDescent="0.3">
      <c r="A516" s="59"/>
    </row>
    <row r="517" spans="1:1" x14ac:dyDescent="0.3">
      <c r="A517" s="59"/>
    </row>
    <row r="518" spans="1:1" x14ac:dyDescent="0.3">
      <c r="A518" s="59"/>
    </row>
    <row r="519" spans="1:1" x14ac:dyDescent="0.3">
      <c r="A519" s="59"/>
    </row>
    <row r="520" spans="1:1" x14ac:dyDescent="0.3">
      <c r="A520" s="59"/>
    </row>
    <row r="521" spans="1:1" x14ac:dyDescent="0.3">
      <c r="A521" s="59"/>
    </row>
    <row r="522" spans="1:1" x14ac:dyDescent="0.3">
      <c r="A522" s="59"/>
    </row>
    <row r="523" spans="1:1" x14ac:dyDescent="0.3">
      <c r="A523" s="59"/>
    </row>
    <row r="524" spans="1:1" x14ac:dyDescent="0.3">
      <c r="A524" s="59"/>
    </row>
    <row r="525" spans="1:1" x14ac:dyDescent="0.3">
      <c r="A525" s="59"/>
    </row>
    <row r="526" spans="1:1" x14ac:dyDescent="0.3">
      <c r="A526" s="59"/>
    </row>
    <row r="527" spans="1:1" x14ac:dyDescent="0.3">
      <c r="A527" s="59"/>
    </row>
    <row r="528" spans="1:1" x14ac:dyDescent="0.3">
      <c r="A528" s="59"/>
    </row>
    <row r="529" spans="1:1" x14ac:dyDescent="0.3">
      <c r="A529" s="59"/>
    </row>
    <row r="530" spans="1:1" x14ac:dyDescent="0.3">
      <c r="A530" s="59"/>
    </row>
    <row r="531" spans="1:1" x14ac:dyDescent="0.3">
      <c r="A531" s="59"/>
    </row>
    <row r="532" spans="1:1" x14ac:dyDescent="0.3">
      <c r="A532" s="59"/>
    </row>
    <row r="533" spans="1:1" x14ac:dyDescent="0.3">
      <c r="A533" s="59"/>
    </row>
    <row r="534" spans="1:1" x14ac:dyDescent="0.3">
      <c r="A534" s="59"/>
    </row>
    <row r="535" spans="1:1" x14ac:dyDescent="0.3">
      <c r="A535" s="59"/>
    </row>
    <row r="536" spans="1:1" x14ac:dyDescent="0.3">
      <c r="A536" s="59"/>
    </row>
    <row r="537" spans="1:1" x14ac:dyDescent="0.3">
      <c r="A537" s="59"/>
    </row>
    <row r="538" spans="1:1" x14ac:dyDescent="0.3">
      <c r="A538" s="59"/>
    </row>
    <row r="539" spans="1:1" x14ac:dyDescent="0.3">
      <c r="A539" s="59"/>
    </row>
    <row r="540" spans="1:1" x14ac:dyDescent="0.3">
      <c r="A540" s="59"/>
    </row>
    <row r="541" spans="1:1" x14ac:dyDescent="0.3">
      <c r="A541" s="59"/>
    </row>
    <row r="542" spans="1:1" x14ac:dyDescent="0.3">
      <c r="A542" s="59"/>
    </row>
    <row r="543" spans="1:1" x14ac:dyDescent="0.3">
      <c r="A543" s="59"/>
    </row>
    <row r="544" spans="1:1" x14ac:dyDescent="0.3">
      <c r="A544" s="59"/>
    </row>
    <row r="545" spans="1:1" x14ac:dyDescent="0.3">
      <c r="A545" s="59"/>
    </row>
    <row r="546" spans="1:1" x14ac:dyDescent="0.3">
      <c r="A546" s="59"/>
    </row>
    <row r="547" spans="1:1" x14ac:dyDescent="0.3">
      <c r="A547" s="59"/>
    </row>
    <row r="548" spans="1:1" x14ac:dyDescent="0.3">
      <c r="A548" s="59"/>
    </row>
    <row r="549" spans="1:1" x14ac:dyDescent="0.3">
      <c r="A549" s="59"/>
    </row>
    <row r="550" spans="1:1" x14ac:dyDescent="0.3">
      <c r="A550" s="59"/>
    </row>
    <row r="551" spans="1:1" x14ac:dyDescent="0.3">
      <c r="A551" s="59"/>
    </row>
    <row r="552" spans="1:1" x14ac:dyDescent="0.3">
      <c r="A552" s="59"/>
    </row>
    <row r="553" spans="1:1" x14ac:dyDescent="0.3">
      <c r="A553" s="59"/>
    </row>
    <row r="554" spans="1:1" x14ac:dyDescent="0.3">
      <c r="A554" s="59"/>
    </row>
    <row r="555" spans="1:1" x14ac:dyDescent="0.3">
      <c r="A555" s="59"/>
    </row>
    <row r="556" spans="1:1" x14ac:dyDescent="0.3">
      <c r="A556" s="59"/>
    </row>
    <row r="557" spans="1:1" x14ac:dyDescent="0.3">
      <c r="A557" s="59"/>
    </row>
    <row r="558" spans="1:1" x14ac:dyDescent="0.3">
      <c r="A558" s="59"/>
    </row>
    <row r="559" spans="1:1" x14ac:dyDescent="0.3">
      <c r="A559" s="59"/>
    </row>
    <row r="560" spans="1:1" x14ac:dyDescent="0.3">
      <c r="A560" s="59"/>
    </row>
    <row r="561" spans="1:1" x14ac:dyDescent="0.3">
      <c r="A561" s="59"/>
    </row>
    <row r="562" spans="1:1" x14ac:dyDescent="0.3">
      <c r="A562" s="59"/>
    </row>
    <row r="563" spans="1:1" x14ac:dyDescent="0.3">
      <c r="A563" s="59"/>
    </row>
    <row r="564" spans="1:1" x14ac:dyDescent="0.3">
      <c r="A564" s="59"/>
    </row>
    <row r="565" spans="1:1" x14ac:dyDescent="0.3">
      <c r="A565" s="59"/>
    </row>
    <row r="566" spans="1:1" x14ac:dyDescent="0.3">
      <c r="A566" s="59"/>
    </row>
    <row r="567" spans="1:1" x14ac:dyDescent="0.3">
      <c r="A567" s="59"/>
    </row>
    <row r="568" spans="1:1" x14ac:dyDescent="0.3">
      <c r="A568" s="59"/>
    </row>
    <row r="569" spans="1:1" x14ac:dyDescent="0.3">
      <c r="A569" s="59"/>
    </row>
    <row r="570" spans="1:1" x14ac:dyDescent="0.3">
      <c r="A570" s="59"/>
    </row>
    <row r="571" spans="1:1" x14ac:dyDescent="0.3">
      <c r="A571" s="59"/>
    </row>
    <row r="572" spans="1:1" x14ac:dyDescent="0.3">
      <c r="A572" s="59"/>
    </row>
    <row r="573" spans="1:1" x14ac:dyDescent="0.3">
      <c r="A573" s="59"/>
    </row>
    <row r="574" spans="1:1" x14ac:dyDescent="0.3">
      <c r="A574" s="59"/>
    </row>
    <row r="575" spans="1:1" x14ac:dyDescent="0.3">
      <c r="A575" s="59"/>
    </row>
    <row r="576" spans="1:1" x14ac:dyDescent="0.3">
      <c r="A576" s="59"/>
    </row>
    <row r="577" spans="1:1" x14ac:dyDescent="0.3">
      <c r="A577" s="59"/>
    </row>
    <row r="578" spans="1:1" x14ac:dyDescent="0.3">
      <c r="A578" s="59"/>
    </row>
    <row r="579" spans="1:1" x14ac:dyDescent="0.3">
      <c r="A579" s="59"/>
    </row>
    <row r="580" spans="1:1" x14ac:dyDescent="0.3">
      <c r="A580" s="59"/>
    </row>
    <row r="581" spans="1:1" x14ac:dyDescent="0.3">
      <c r="A581" s="59"/>
    </row>
    <row r="582" spans="1:1" x14ac:dyDescent="0.3">
      <c r="A582" s="59"/>
    </row>
    <row r="583" spans="1:1" x14ac:dyDescent="0.3">
      <c r="A583" s="59"/>
    </row>
    <row r="584" spans="1:1" x14ac:dyDescent="0.3">
      <c r="A584" s="59"/>
    </row>
    <row r="585" spans="1:1" x14ac:dyDescent="0.3">
      <c r="A585" s="59"/>
    </row>
    <row r="586" spans="1:1" x14ac:dyDescent="0.3">
      <c r="A586" s="59"/>
    </row>
    <row r="587" spans="1:1" x14ac:dyDescent="0.3">
      <c r="A587" s="59"/>
    </row>
    <row r="588" spans="1:1" x14ac:dyDescent="0.3">
      <c r="A588" s="59"/>
    </row>
    <row r="589" spans="1:1" x14ac:dyDescent="0.3">
      <c r="A589" s="59"/>
    </row>
    <row r="590" spans="1:1" x14ac:dyDescent="0.3">
      <c r="A590" s="59"/>
    </row>
    <row r="591" spans="1:1" x14ac:dyDescent="0.3">
      <c r="A591" s="59"/>
    </row>
    <row r="592" spans="1:1" x14ac:dyDescent="0.3">
      <c r="A592" s="59"/>
    </row>
    <row r="593" spans="1:1" x14ac:dyDescent="0.3">
      <c r="A593" s="59"/>
    </row>
    <row r="594" spans="1:1" x14ac:dyDescent="0.3">
      <c r="A594" s="59"/>
    </row>
    <row r="595" spans="1:1" x14ac:dyDescent="0.3">
      <c r="A595" s="59"/>
    </row>
    <row r="596" spans="1:1" x14ac:dyDescent="0.3">
      <c r="A596" s="59"/>
    </row>
    <row r="597" spans="1:1" x14ac:dyDescent="0.3">
      <c r="A597" s="59"/>
    </row>
    <row r="598" spans="1:1" x14ac:dyDescent="0.3">
      <c r="A598" s="59"/>
    </row>
    <row r="599" spans="1:1" x14ac:dyDescent="0.3">
      <c r="A599" s="59"/>
    </row>
    <row r="600" spans="1:1" x14ac:dyDescent="0.3">
      <c r="A600" s="59"/>
    </row>
    <row r="601" spans="1:1" x14ac:dyDescent="0.3">
      <c r="A601" s="59"/>
    </row>
    <row r="602" spans="1:1" x14ac:dyDescent="0.3">
      <c r="A602" s="59"/>
    </row>
    <row r="603" spans="1:1" x14ac:dyDescent="0.3">
      <c r="A603" s="59"/>
    </row>
    <row r="604" spans="1:1" x14ac:dyDescent="0.3">
      <c r="A604" s="59"/>
    </row>
    <row r="605" spans="1:1" x14ac:dyDescent="0.3">
      <c r="A605" s="59"/>
    </row>
    <row r="606" spans="1:1" x14ac:dyDescent="0.3">
      <c r="A606" s="59"/>
    </row>
    <row r="607" spans="1:1" x14ac:dyDescent="0.3">
      <c r="A607" s="59"/>
    </row>
    <row r="608" spans="1:1" x14ac:dyDescent="0.3">
      <c r="A608" s="59"/>
    </row>
    <row r="609" spans="1:1" x14ac:dyDescent="0.3">
      <c r="A609" s="59"/>
    </row>
    <row r="610" spans="1:1" x14ac:dyDescent="0.3">
      <c r="A610" s="59"/>
    </row>
    <row r="611" spans="1:1" x14ac:dyDescent="0.3">
      <c r="A611" s="59"/>
    </row>
    <row r="612" spans="1:1" x14ac:dyDescent="0.3">
      <c r="A612" s="59"/>
    </row>
    <row r="613" spans="1:1" x14ac:dyDescent="0.3">
      <c r="A613" s="59"/>
    </row>
    <row r="614" spans="1:1" x14ac:dyDescent="0.3">
      <c r="A614" s="59"/>
    </row>
    <row r="615" spans="1:1" x14ac:dyDescent="0.3">
      <c r="A615" s="59"/>
    </row>
    <row r="616" spans="1:1" x14ac:dyDescent="0.3">
      <c r="A616" s="59"/>
    </row>
    <row r="617" spans="1:1" x14ac:dyDescent="0.3">
      <c r="A617" s="59"/>
    </row>
    <row r="618" spans="1:1" x14ac:dyDescent="0.3">
      <c r="A618" s="59"/>
    </row>
    <row r="619" spans="1:1" x14ac:dyDescent="0.3">
      <c r="A619" s="59"/>
    </row>
    <row r="620" spans="1:1" x14ac:dyDescent="0.3">
      <c r="A620" s="59"/>
    </row>
    <row r="621" spans="1:1" x14ac:dyDescent="0.3">
      <c r="A621" s="59"/>
    </row>
    <row r="622" spans="1:1" x14ac:dyDescent="0.3">
      <c r="A622" s="59"/>
    </row>
    <row r="623" spans="1:1" x14ac:dyDescent="0.3">
      <c r="A623" s="59"/>
    </row>
    <row r="624" spans="1:1" x14ac:dyDescent="0.3">
      <c r="A624" s="59"/>
    </row>
    <row r="625" spans="1:1" x14ac:dyDescent="0.3">
      <c r="A625" s="59"/>
    </row>
    <row r="626" spans="1:1" x14ac:dyDescent="0.3">
      <c r="A626" s="59"/>
    </row>
    <row r="627" spans="1:1" x14ac:dyDescent="0.3">
      <c r="A627" s="59"/>
    </row>
    <row r="628" spans="1:1" x14ac:dyDescent="0.3">
      <c r="A628" s="59"/>
    </row>
    <row r="629" spans="1:1" x14ac:dyDescent="0.3">
      <c r="A629" s="59"/>
    </row>
    <row r="630" spans="1:1" x14ac:dyDescent="0.3">
      <c r="A630" s="5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BKTL</vt:lpstr>
      <vt:lpstr>THTT</vt:lpstr>
      <vt:lpstr>saokethe</vt:lpstr>
      <vt:lpstr>tinhnhanh</vt:lpstr>
      <vt:lpstr>saokethe!QT_IMPORT_SAOKETHE</vt:lpstr>
      <vt:lpstr>saokethe!QT_IMPORT_SAOKETHE_1</vt:lpstr>
      <vt:lpstr>saokethe!QT_IMPORT_SAOKETHE_2</vt:lpstr>
      <vt:lpstr>saokethe!QT_IMPORT_SAOKETHE_3</vt:lpstr>
      <vt:lpstr>saokethe!QT_IMPORT_SAOKETHE_4</vt:lpstr>
      <vt:lpstr>saokethe!QT_IMPORT_SAOKETHE_5</vt:lpstr>
      <vt:lpstr>saokethe!QT_IMPORT_SAOKETHE_6</vt:lpstr>
      <vt:lpstr>saokethe!QT_IMPORT_SAOKETHE_7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2025-12-28T16:07:17Z</dcterms:modified>
</cp:coreProperties>
</file>