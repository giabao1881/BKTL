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dell\Desktop\"/>
    </mc:Choice>
  </mc:AlternateContent>
  <bookViews>
    <workbookView xWindow="0" yWindow="0" windowWidth="23040" windowHeight="8496" firstSheet="1" activeTab="1"/>
  </bookViews>
  <sheets>
    <sheet name="BANGTINH" sheetId="1" state="hidden" r:id="rId1"/>
    <sheet name="THTT" sheetId="3" r:id="rId2"/>
    <sheet name="LKGD" sheetId="20" r:id="rId3"/>
    <sheet name="LKLS" sheetId="22" r:id="rId4"/>
    <sheet name="_LKLS_LOG" sheetId="21" state="veryHidden" r:id="rId5"/>
  </sheets>
  <definedNames>
    <definedName name="__AUTH_CACHE_OK__">FALSE</definedName>
    <definedName name="__AUTH_CACHE_TS__">"2025-09-07 03:21:58"</definedName>
    <definedName name="__RUN_ONCE_INIT__">TRUE</definedName>
    <definedName name="_xlnm.Print_Area" localSheetId="0">BANGTINH!$A$1:$K$509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" l="1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498" i="1" l="1"/>
  <c r="E499" i="1" s="1"/>
  <c r="I11" i="3"/>
  <c r="I4" i="3"/>
  <c r="I8" i="3"/>
  <c r="I7" i="3"/>
  <c r="I12" i="3"/>
  <c r="I19" i="3"/>
  <c r="I18" i="3"/>
  <c r="I10" i="3"/>
  <c r="I16" i="3"/>
  <c r="I17" i="3"/>
  <c r="I20" i="3"/>
  <c r="I13" i="3"/>
  <c r="I14" i="3"/>
  <c r="I6" i="3"/>
  <c r="I15" i="3"/>
  <c r="I5" i="3"/>
  <c r="I9" i="3"/>
  <c r="E15" i="1" l="1"/>
  <c r="E16" i="1" s="1"/>
  <c r="E17" i="1" s="1"/>
  <c r="E18" i="1" s="1"/>
  <c r="E19" i="1" s="1"/>
  <c r="E20" i="1" s="1"/>
  <c r="E21" i="1" s="1"/>
  <c r="E22" i="1" s="1"/>
  <c r="E23" i="1" s="1"/>
  <c r="E24" i="1" s="1"/>
  <c r="E25" i="1" s="1"/>
  <c r="E26" i="1" s="1"/>
  <c r="E27" i="1" s="1"/>
  <c r="E28" i="1" s="1"/>
  <c r="E29" i="1" s="1"/>
  <c r="E30" i="1" s="1"/>
  <c r="E31" i="1" s="1"/>
  <c r="E32" i="1" s="1"/>
  <c r="E33" i="1" s="1"/>
  <c r="E34" i="1" s="1"/>
  <c r="E35" i="1" s="1"/>
  <c r="E36" i="1" s="1"/>
  <c r="E37" i="1" s="1"/>
  <c r="E38" i="1" s="1"/>
  <c r="E39" i="1" s="1"/>
  <c r="E40" i="1" s="1"/>
  <c r="E41" i="1" s="1"/>
  <c r="E42" i="1" s="1"/>
  <c r="E43" i="1" s="1"/>
  <c r="E44" i="1" s="1"/>
  <c r="E45" i="1" s="1"/>
  <c r="E46" i="1" s="1"/>
  <c r="E47" i="1" s="1"/>
  <c r="E48" i="1" s="1"/>
  <c r="E49" i="1" s="1"/>
  <c r="E50" i="1" s="1"/>
  <c r="E51" i="1" s="1"/>
  <c r="E52" i="1" s="1"/>
  <c r="E53" i="1" s="1"/>
  <c r="E54" i="1" s="1"/>
  <c r="E55" i="1" s="1"/>
  <c r="E56" i="1" s="1"/>
  <c r="E57" i="1" l="1"/>
  <c r="H6" i="3"/>
  <c r="F9" i="3"/>
  <c r="G10" i="3"/>
  <c r="H11" i="3"/>
  <c r="H13" i="3"/>
  <c r="F15" i="3"/>
  <c r="G16" i="3"/>
  <c r="F19" i="3"/>
  <c r="E3" i="3"/>
  <c r="I3" i="3"/>
  <c r="A7" i="3" l="1"/>
  <c r="E58" i="1"/>
  <c r="F8" i="3"/>
  <c r="F17" i="3"/>
  <c r="F18" i="3"/>
  <c r="F6" i="3"/>
  <c r="G14" i="3"/>
  <c r="H16" i="3"/>
  <c r="F16" i="3"/>
  <c r="G6" i="3"/>
  <c r="H14" i="3"/>
  <c r="F14" i="3"/>
  <c r="F13" i="3"/>
  <c r="G18" i="3"/>
  <c r="F10" i="3"/>
  <c r="H18" i="3"/>
  <c r="H10" i="3"/>
  <c r="H7" i="3"/>
  <c r="F7" i="3"/>
  <c r="G15" i="3"/>
  <c r="H15" i="3"/>
  <c r="G13" i="3"/>
  <c r="G7" i="3"/>
  <c r="G19" i="3"/>
  <c r="H19" i="3"/>
  <c r="H9" i="3"/>
  <c r="G11" i="3"/>
  <c r="H17" i="3"/>
  <c r="H8" i="3"/>
  <c r="F11" i="3"/>
  <c r="G17" i="3"/>
  <c r="G8" i="3"/>
  <c r="G9" i="3"/>
  <c r="F20" i="3"/>
  <c r="F12" i="3"/>
  <c r="G20" i="3"/>
  <c r="G12" i="3"/>
  <c r="H20" i="3"/>
  <c r="H12" i="3"/>
  <c r="H506" i="1"/>
  <c r="H3" i="3"/>
  <c r="F5" i="3"/>
  <c r="F4" i="3"/>
  <c r="F3" i="3"/>
  <c r="E59" i="1" l="1"/>
  <c r="F21" i="3"/>
  <c r="J500" i="1"/>
  <c r="E60" i="1" l="1"/>
  <c r="K500" i="1"/>
  <c r="E5" i="1"/>
  <c r="H5" i="1"/>
  <c r="E61" i="1" l="1"/>
  <c r="B10" i="1"/>
  <c r="B9" i="1"/>
  <c r="C35" i="1" l="1"/>
  <c r="C43" i="1"/>
  <c r="C51" i="1"/>
  <c r="C59" i="1"/>
  <c r="C67" i="1"/>
  <c r="C75" i="1"/>
  <c r="D75" i="1" s="1"/>
  <c r="C83" i="1"/>
  <c r="C91" i="1"/>
  <c r="D91" i="1" s="1"/>
  <c r="C99" i="1"/>
  <c r="C107" i="1"/>
  <c r="C115" i="1"/>
  <c r="C123" i="1"/>
  <c r="C131" i="1"/>
  <c r="C139" i="1"/>
  <c r="D139" i="1" s="1"/>
  <c r="C147" i="1"/>
  <c r="C155" i="1"/>
  <c r="D155" i="1" s="1"/>
  <c r="C163" i="1"/>
  <c r="C171" i="1"/>
  <c r="C179" i="1"/>
  <c r="C187" i="1"/>
  <c r="C195" i="1"/>
  <c r="C203" i="1"/>
  <c r="D203" i="1" s="1"/>
  <c r="C211" i="1"/>
  <c r="C219" i="1"/>
  <c r="D219" i="1" s="1"/>
  <c r="C227" i="1"/>
  <c r="C235" i="1"/>
  <c r="C243" i="1"/>
  <c r="C251" i="1"/>
  <c r="C259" i="1"/>
  <c r="C267" i="1"/>
  <c r="D267" i="1" s="1"/>
  <c r="C275" i="1"/>
  <c r="C283" i="1"/>
  <c r="D283" i="1" s="1"/>
  <c r="C291" i="1"/>
  <c r="C299" i="1"/>
  <c r="C307" i="1"/>
  <c r="C315" i="1"/>
  <c r="C323" i="1"/>
  <c r="C331" i="1"/>
  <c r="D331" i="1" s="1"/>
  <c r="C339" i="1"/>
  <c r="C347" i="1"/>
  <c r="D347" i="1" s="1"/>
  <c r="C355" i="1"/>
  <c r="C363" i="1"/>
  <c r="C371" i="1"/>
  <c r="C379" i="1"/>
  <c r="C387" i="1"/>
  <c r="C395" i="1"/>
  <c r="D395" i="1" s="1"/>
  <c r="C403" i="1"/>
  <c r="C411" i="1"/>
  <c r="D411" i="1" s="1"/>
  <c r="C419" i="1"/>
  <c r="C427" i="1"/>
  <c r="D427" i="1" s="1"/>
  <c r="C435" i="1"/>
  <c r="C443" i="1"/>
  <c r="C451" i="1"/>
  <c r="C459" i="1"/>
  <c r="D459" i="1" s="1"/>
  <c r="C467" i="1"/>
  <c r="C475" i="1"/>
  <c r="D475" i="1" s="1"/>
  <c r="C483" i="1"/>
  <c r="C491" i="1"/>
  <c r="D491" i="1" s="1"/>
  <c r="C499" i="1"/>
  <c r="D499" i="1" s="1"/>
  <c r="C86" i="1"/>
  <c r="C142" i="1"/>
  <c r="C166" i="1"/>
  <c r="D166" i="1" s="1"/>
  <c r="C286" i="1"/>
  <c r="C334" i="1"/>
  <c r="D334" i="1" s="1"/>
  <c r="C358" i="1"/>
  <c r="C382" i="1"/>
  <c r="C414" i="1"/>
  <c r="C446" i="1"/>
  <c r="C478" i="1"/>
  <c r="C168" i="1"/>
  <c r="D168" i="1" s="1"/>
  <c r="C208" i="1"/>
  <c r="C240" i="1"/>
  <c r="D240" i="1" s="1"/>
  <c r="C280" i="1"/>
  <c r="C320" i="1"/>
  <c r="D320" i="1" s="1"/>
  <c r="C344" i="1"/>
  <c r="C384" i="1"/>
  <c r="C424" i="1"/>
  <c r="C456" i="1"/>
  <c r="D456" i="1" s="1"/>
  <c r="C496" i="1"/>
  <c r="C57" i="1"/>
  <c r="D57" i="1" s="1"/>
  <c r="C97" i="1"/>
  <c r="C129" i="1"/>
  <c r="C36" i="1"/>
  <c r="C44" i="1"/>
  <c r="C52" i="1"/>
  <c r="C60" i="1"/>
  <c r="D60" i="1" s="1"/>
  <c r="C68" i="1"/>
  <c r="C76" i="1"/>
  <c r="D76" i="1" s="1"/>
  <c r="C84" i="1"/>
  <c r="C92" i="1"/>
  <c r="C100" i="1"/>
  <c r="C108" i="1"/>
  <c r="C116" i="1"/>
  <c r="C124" i="1"/>
  <c r="D124" i="1" s="1"/>
  <c r="C132" i="1"/>
  <c r="C140" i="1"/>
  <c r="D140" i="1" s="1"/>
  <c r="C148" i="1"/>
  <c r="C156" i="1"/>
  <c r="C164" i="1"/>
  <c r="C172" i="1"/>
  <c r="C180" i="1"/>
  <c r="C188" i="1"/>
  <c r="D188" i="1" s="1"/>
  <c r="C196" i="1"/>
  <c r="C204" i="1"/>
  <c r="D204" i="1" s="1"/>
  <c r="C212" i="1"/>
  <c r="C220" i="1"/>
  <c r="C228" i="1"/>
  <c r="C236" i="1"/>
  <c r="C244" i="1"/>
  <c r="C252" i="1"/>
  <c r="D252" i="1" s="1"/>
  <c r="C260" i="1"/>
  <c r="C268" i="1"/>
  <c r="D268" i="1" s="1"/>
  <c r="C276" i="1"/>
  <c r="C284" i="1"/>
  <c r="C292" i="1"/>
  <c r="C300" i="1"/>
  <c r="C308" i="1"/>
  <c r="C316" i="1"/>
  <c r="D316" i="1" s="1"/>
  <c r="C324" i="1"/>
  <c r="C332" i="1"/>
  <c r="D332" i="1" s="1"/>
  <c r="C340" i="1"/>
  <c r="C348" i="1"/>
  <c r="C356" i="1"/>
  <c r="C364" i="1"/>
  <c r="C372" i="1"/>
  <c r="C380" i="1"/>
  <c r="D380" i="1" s="1"/>
  <c r="C388" i="1"/>
  <c r="C396" i="1"/>
  <c r="D396" i="1" s="1"/>
  <c r="C404" i="1"/>
  <c r="C412" i="1"/>
  <c r="C420" i="1"/>
  <c r="C428" i="1"/>
  <c r="C436" i="1"/>
  <c r="C444" i="1"/>
  <c r="D444" i="1" s="1"/>
  <c r="C452" i="1"/>
  <c r="C460" i="1"/>
  <c r="D460" i="1" s="1"/>
  <c r="C468" i="1"/>
  <c r="C476" i="1"/>
  <c r="D476" i="1" s="1"/>
  <c r="C484" i="1"/>
  <c r="C492" i="1"/>
  <c r="C94" i="1"/>
  <c r="C150" i="1"/>
  <c r="D150" i="1" s="1"/>
  <c r="C174" i="1"/>
  <c r="C198" i="1"/>
  <c r="D198" i="1" s="1"/>
  <c r="C214" i="1"/>
  <c r="C238" i="1"/>
  <c r="C254" i="1"/>
  <c r="C278" i="1"/>
  <c r="C310" i="1"/>
  <c r="C342" i="1"/>
  <c r="D342" i="1" s="1"/>
  <c r="C374" i="1"/>
  <c r="C406" i="1"/>
  <c r="C430" i="1"/>
  <c r="C462" i="1"/>
  <c r="D462" i="1" s="1"/>
  <c r="C494" i="1"/>
  <c r="C192" i="1"/>
  <c r="C224" i="1"/>
  <c r="C264" i="1"/>
  <c r="D264" i="1" s="1"/>
  <c r="C304" i="1"/>
  <c r="C336" i="1"/>
  <c r="D336" i="1" s="1"/>
  <c r="C376" i="1"/>
  <c r="C400" i="1"/>
  <c r="C440" i="1"/>
  <c r="C480" i="1"/>
  <c r="C49" i="1"/>
  <c r="C89" i="1"/>
  <c r="D89" i="1" s="1"/>
  <c r="C37" i="1"/>
  <c r="C45" i="1"/>
  <c r="D45" i="1" s="1"/>
  <c r="C53" i="1"/>
  <c r="C61" i="1"/>
  <c r="C69" i="1"/>
  <c r="C77" i="1"/>
  <c r="C85" i="1"/>
  <c r="C93" i="1"/>
  <c r="D93" i="1" s="1"/>
  <c r="C101" i="1"/>
  <c r="C109" i="1"/>
  <c r="D109" i="1" s="1"/>
  <c r="C117" i="1"/>
  <c r="C125" i="1"/>
  <c r="C133" i="1"/>
  <c r="C141" i="1"/>
  <c r="C149" i="1"/>
  <c r="C157" i="1"/>
  <c r="C165" i="1"/>
  <c r="C173" i="1"/>
  <c r="D173" i="1" s="1"/>
  <c r="C181" i="1"/>
  <c r="C189" i="1"/>
  <c r="C197" i="1"/>
  <c r="C205" i="1"/>
  <c r="C213" i="1"/>
  <c r="C221" i="1"/>
  <c r="D221" i="1" s="1"/>
  <c r="C229" i="1"/>
  <c r="C237" i="1"/>
  <c r="D237" i="1" s="1"/>
  <c r="C245" i="1"/>
  <c r="C253" i="1"/>
  <c r="C261" i="1"/>
  <c r="C269" i="1"/>
  <c r="C277" i="1"/>
  <c r="C285" i="1"/>
  <c r="C293" i="1"/>
  <c r="C301" i="1"/>
  <c r="D301" i="1" s="1"/>
  <c r="C309" i="1"/>
  <c r="C317" i="1"/>
  <c r="C325" i="1"/>
  <c r="C333" i="1"/>
  <c r="C341" i="1"/>
  <c r="C349" i="1"/>
  <c r="D349" i="1" s="1"/>
  <c r="C357" i="1"/>
  <c r="C365" i="1"/>
  <c r="D365" i="1" s="1"/>
  <c r="C373" i="1"/>
  <c r="C381" i="1"/>
  <c r="C389" i="1"/>
  <c r="C397" i="1"/>
  <c r="C405" i="1"/>
  <c r="C413" i="1"/>
  <c r="D413" i="1" s="1"/>
  <c r="C421" i="1"/>
  <c r="C429" i="1"/>
  <c r="D429" i="1" s="1"/>
  <c r="C437" i="1"/>
  <c r="C445" i="1"/>
  <c r="D445" i="1" s="1"/>
  <c r="C453" i="1"/>
  <c r="C461" i="1"/>
  <c r="C469" i="1"/>
  <c r="C477" i="1"/>
  <c r="D477" i="1" s="1"/>
  <c r="C485" i="1"/>
  <c r="C493" i="1"/>
  <c r="D493" i="1" s="1"/>
  <c r="C78" i="1"/>
  <c r="C190" i="1"/>
  <c r="C230" i="1"/>
  <c r="C262" i="1"/>
  <c r="C294" i="1"/>
  <c r="C318" i="1"/>
  <c r="D318" i="1" s="1"/>
  <c r="C350" i="1"/>
  <c r="C390" i="1"/>
  <c r="D390" i="1" s="1"/>
  <c r="C422" i="1"/>
  <c r="C454" i="1"/>
  <c r="D454" i="1" s="1"/>
  <c r="C486" i="1"/>
  <c r="C184" i="1"/>
  <c r="C256" i="1"/>
  <c r="C288" i="1"/>
  <c r="C328" i="1"/>
  <c r="C368" i="1"/>
  <c r="D368" i="1" s="1"/>
  <c r="C416" i="1"/>
  <c r="C448" i="1"/>
  <c r="D448" i="1" s="1"/>
  <c r="C488" i="1"/>
  <c r="C73" i="1"/>
  <c r="C121" i="1"/>
  <c r="C38" i="1"/>
  <c r="D38" i="1" s="1"/>
  <c r="C46" i="1"/>
  <c r="C54" i="1"/>
  <c r="D54" i="1" s="1"/>
  <c r="C62" i="1"/>
  <c r="C70" i="1"/>
  <c r="C102" i="1"/>
  <c r="C110" i="1"/>
  <c r="C118" i="1"/>
  <c r="C126" i="1"/>
  <c r="D126" i="1" s="1"/>
  <c r="C134" i="1"/>
  <c r="C158" i="1"/>
  <c r="C182" i="1"/>
  <c r="C206" i="1"/>
  <c r="C222" i="1"/>
  <c r="C246" i="1"/>
  <c r="C270" i="1"/>
  <c r="C302" i="1"/>
  <c r="D302" i="1" s="1"/>
  <c r="C326" i="1"/>
  <c r="C366" i="1"/>
  <c r="D366" i="1" s="1"/>
  <c r="C398" i="1"/>
  <c r="C438" i="1"/>
  <c r="C470" i="1"/>
  <c r="C176" i="1"/>
  <c r="C232" i="1"/>
  <c r="C272" i="1"/>
  <c r="D272" i="1" s="1"/>
  <c r="C312" i="1"/>
  <c r="C352" i="1"/>
  <c r="D352" i="1" s="1"/>
  <c r="C392" i="1"/>
  <c r="C432" i="1"/>
  <c r="D432" i="1" s="1"/>
  <c r="C472" i="1"/>
  <c r="C41" i="1"/>
  <c r="C105" i="1"/>
  <c r="C145" i="1"/>
  <c r="D145" i="1" s="1"/>
  <c r="C39" i="1"/>
  <c r="C47" i="1"/>
  <c r="D47" i="1" s="1"/>
  <c r="C55" i="1"/>
  <c r="C63" i="1"/>
  <c r="D63" i="1" s="1"/>
  <c r="C71" i="1"/>
  <c r="C79" i="1"/>
  <c r="C87" i="1"/>
  <c r="C95" i="1"/>
  <c r="D95" i="1" s="1"/>
  <c r="C103" i="1"/>
  <c r="C111" i="1"/>
  <c r="D111" i="1" s="1"/>
  <c r="C119" i="1"/>
  <c r="C127" i="1"/>
  <c r="D127" i="1" s="1"/>
  <c r="C135" i="1"/>
  <c r="C143" i="1"/>
  <c r="C151" i="1"/>
  <c r="C159" i="1"/>
  <c r="D159" i="1" s="1"/>
  <c r="C167" i="1"/>
  <c r="C175" i="1"/>
  <c r="D175" i="1" s="1"/>
  <c r="C183" i="1"/>
  <c r="C191" i="1"/>
  <c r="D191" i="1" s="1"/>
  <c r="C199" i="1"/>
  <c r="C207" i="1"/>
  <c r="C215" i="1"/>
  <c r="C223" i="1"/>
  <c r="D223" i="1" s="1"/>
  <c r="C231" i="1"/>
  <c r="C239" i="1"/>
  <c r="D239" i="1" s="1"/>
  <c r="C247" i="1"/>
  <c r="C255" i="1"/>
  <c r="C263" i="1"/>
  <c r="C271" i="1"/>
  <c r="C279" i="1"/>
  <c r="C287" i="1"/>
  <c r="D287" i="1" s="1"/>
  <c r="C295" i="1"/>
  <c r="C303" i="1"/>
  <c r="C311" i="1"/>
  <c r="C319" i="1"/>
  <c r="D319" i="1" s="1"/>
  <c r="C327" i="1"/>
  <c r="C335" i="1"/>
  <c r="C343" i="1"/>
  <c r="C351" i="1"/>
  <c r="C359" i="1"/>
  <c r="C367" i="1"/>
  <c r="D367" i="1" s="1"/>
  <c r="C375" i="1"/>
  <c r="C383" i="1"/>
  <c r="D383" i="1" s="1"/>
  <c r="C391" i="1"/>
  <c r="C399" i="1"/>
  <c r="C407" i="1"/>
  <c r="C415" i="1"/>
  <c r="D415" i="1" s="1"/>
  <c r="C423" i="1"/>
  <c r="C431" i="1"/>
  <c r="D431" i="1" s="1"/>
  <c r="C439" i="1"/>
  <c r="C447" i="1"/>
  <c r="D447" i="1" s="1"/>
  <c r="C455" i="1"/>
  <c r="C463" i="1"/>
  <c r="C471" i="1"/>
  <c r="C479" i="1"/>
  <c r="D479" i="1" s="1"/>
  <c r="C487" i="1"/>
  <c r="C495" i="1"/>
  <c r="D495" i="1" s="1"/>
  <c r="C40" i="1"/>
  <c r="C48" i="1"/>
  <c r="C56" i="1"/>
  <c r="C64" i="1"/>
  <c r="C72" i="1"/>
  <c r="C80" i="1"/>
  <c r="D80" i="1" s="1"/>
  <c r="C88" i="1"/>
  <c r="C96" i="1"/>
  <c r="D96" i="1" s="1"/>
  <c r="C104" i="1"/>
  <c r="C112" i="1"/>
  <c r="C120" i="1"/>
  <c r="C128" i="1"/>
  <c r="C136" i="1"/>
  <c r="C144" i="1"/>
  <c r="D144" i="1" s="1"/>
  <c r="C152" i="1"/>
  <c r="C160" i="1"/>
  <c r="D160" i="1" s="1"/>
  <c r="C200" i="1"/>
  <c r="C216" i="1"/>
  <c r="D216" i="1" s="1"/>
  <c r="C248" i="1"/>
  <c r="C296" i="1"/>
  <c r="C360" i="1"/>
  <c r="C408" i="1"/>
  <c r="D408" i="1" s="1"/>
  <c r="C464" i="1"/>
  <c r="C65" i="1"/>
  <c r="D65" i="1" s="1"/>
  <c r="C81" i="1"/>
  <c r="C113" i="1"/>
  <c r="D113" i="1" s="1"/>
  <c r="C50" i="1"/>
  <c r="C114" i="1"/>
  <c r="C161" i="1"/>
  <c r="C193" i="1"/>
  <c r="D193" i="1" s="1"/>
  <c r="C225" i="1"/>
  <c r="C257" i="1"/>
  <c r="C289" i="1"/>
  <c r="C321" i="1"/>
  <c r="D321" i="1" s="1"/>
  <c r="C353" i="1"/>
  <c r="C385" i="1"/>
  <c r="C417" i="1"/>
  <c r="C449" i="1"/>
  <c r="D449" i="1" s="1"/>
  <c r="C481" i="1"/>
  <c r="C130" i="1"/>
  <c r="D130" i="1" s="1"/>
  <c r="C169" i="1"/>
  <c r="C233" i="1"/>
  <c r="D233" i="1" s="1"/>
  <c r="C297" i="1"/>
  <c r="C361" i="1"/>
  <c r="D361" i="1" s="1"/>
  <c r="C393" i="1"/>
  <c r="C457" i="1"/>
  <c r="D457" i="1" s="1"/>
  <c r="C394" i="1"/>
  <c r="C82" i="1"/>
  <c r="D82" i="1" s="1"/>
  <c r="C209" i="1"/>
  <c r="C305" i="1"/>
  <c r="D305" i="1" s="1"/>
  <c r="C401" i="1"/>
  <c r="C497" i="1"/>
  <c r="C178" i="1"/>
  <c r="C306" i="1"/>
  <c r="D306" i="1" s="1"/>
  <c r="C402" i="1"/>
  <c r="C466" i="1"/>
  <c r="D466" i="1" s="1"/>
  <c r="C153" i="1"/>
  <c r="C249" i="1"/>
  <c r="D249" i="1" s="1"/>
  <c r="C377" i="1"/>
  <c r="C42" i="1"/>
  <c r="C250" i="1"/>
  <c r="C346" i="1"/>
  <c r="D346" i="1" s="1"/>
  <c r="C474" i="1"/>
  <c r="C58" i="1"/>
  <c r="D58" i="1" s="1"/>
  <c r="C122" i="1"/>
  <c r="C162" i="1"/>
  <c r="C194" i="1"/>
  <c r="C226" i="1"/>
  <c r="C258" i="1"/>
  <c r="C290" i="1"/>
  <c r="D290" i="1" s="1"/>
  <c r="C322" i="1"/>
  <c r="C354" i="1"/>
  <c r="D354" i="1" s="1"/>
  <c r="C386" i="1"/>
  <c r="C418" i="1"/>
  <c r="D418" i="1" s="1"/>
  <c r="C450" i="1"/>
  <c r="C482" i="1"/>
  <c r="C66" i="1"/>
  <c r="C201" i="1"/>
  <c r="D201" i="1" s="1"/>
  <c r="C265" i="1"/>
  <c r="C329" i="1"/>
  <c r="D329" i="1" s="1"/>
  <c r="C425" i="1"/>
  <c r="C489" i="1"/>
  <c r="C426" i="1"/>
  <c r="C490" i="1"/>
  <c r="C138" i="1"/>
  <c r="C241" i="1"/>
  <c r="D241" i="1" s="1"/>
  <c r="C337" i="1"/>
  <c r="C433" i="1"/>
  <c r="D433" i="1" s="1"/>
  <c r="C146" i="1"/>
  <c r="C242" i="1"/>
  <c r="C338" i="1"/>
  <c r="C498" i="1"/>
  <c r="D498" i="1" s="1"/>
  <c r="C185" i="1"/>
  <c r="C281" i="1"/>
  <c r="D281" i="1" s="1"/>
  <c r="C345" i="1"/>
  <c r="C441" i="1"/>
  <c r="D441" i="1" s="1"/>
  <c r="C106" i="1"/>
  <c r="C218" i="1"/>
  <c r="D218" i="1" s="1"/>
  <c r="C314" i="1"/>
  <c r="C410" i="1"/>
  <c r="C74" i="1"/>
  <c r="C137" i="1"/>
  <c r="D137" i="1" s="1"/>
  <c r="C170" i="1"/>
  <c r="C202" i="1"/>
  <c r="D202" i="1" s="1"/>
  <c r="C234" i="1"/>
  <c r="C266" i="1"/>
  <c r="D266" i="1" s="1"/>
  <c r="C298" i="1"/>
  <c r="C330" i="1"/>
  <c r="C362" i="1"/>
  <c r="C458" i="1"/>
  <c r="D458" i="1" s="1"/>
  <c r="C177" i="1"/>
  <c r="C273" i="1"/>
  <c r="D273" i="1" s="1"/>
  <c r="C369" i="1"/>
  <c r="C465" i="1"/>
  <c r="C90" i="1"/>
  <c r="C210" i="1"/>
  <c r="C274" i="1"/>
  <c r="C370" i="1"/>
  <c r="D370" i="1" s="1"/>
  <c r="C434" i="1"/>
  <c r="C98" i="1"/>
  <c r="D98" i="1" s="1"/>
  <c r="C217" i="1"/>
  <c r="C313" i="1"/>
  <c r="D313" i="1" s="1"/>
  <c r="C409" i="1"/>
  <c r="C473" i="1"/>
  <c r="C154" i="1"/>
  <c r="C186" i="1"/>
  <c r="D186" i="1" s="1"/>
  <c r="C282" i="1"/>
  <c r="C378" i="1"/>
  <c r="D378" i="1" s="1"/>
  <c r="C442" i="1"/>
  <c r="A498" i="1"/>
  <c r="A499" i="1"/>
  <c r="A316" i="1"/>
  <c r="A321" i="1"/>
  <c r="A326" i="1"/>
  <c r="A333" i="1"/>
  <c r="A349" i="1"/>
  <c r="A359" i="1"/>
  <c r="A381" i="1"/>
  <c r="A390" i="1"/>
  <c r="A395" i="1"/>
  <c r="A397" i="1"/>
  <c r="A404" i="1"/>
  <c r="A413" i="1"/>
  <c r="A435" i="1"/>
  <c r="A440" i="1"/>
  <c r="A442" i="1"/>
  <c r="A451" i="1"/>
  <c r="A454" i="1"/>
  <c r="A488" i="1"/>
  <c r="A495" i="1"/>
  <c r="A309" i="1"/>
  <c r="A314" i="1"/>
  <c r="A319" i="1"/>
  <c r="A331" i="1"/>
  <c r="A336" i="1"/>
  <c r="A338" i="1"/>
  <c r="A340" i="1"/>
  <c r="A347" i="1"/>
  <c r="A352" i="1"/>
  <c r="A354" i="1"/>
  <c r="A366" i="1"/>
  <c r="A370" i="1"/>
  <c r="A372" i="1"/>
  <c r="A377" i="1"/>
  <c r="A388" i="1"/>
  <c r="A400" i="1"/>
  <c r="A407" i="1"/>
  <c r="A409" i="1"/>
  <c r="A411" i="1"/>
  <c r="A426" i="1"/>
  <c r="A429" i="1"/>
  <c r="A431" i="1"/>
  <c r="A433" i="1"/>
  <c r="A438" i="1"/>
  <c r="A461" i="1"/>
  <c r="A465" i="1"/>
  <c r="A470" i="1"/>
  <c r="A472" i="1"/>
  <c r="A479" i="1"/>
  <c r="A490" i="1"/>
  <c r="A302" i="1"/>
  <c r="A307" i="1"/>
  <c r="A312" i="1"/>
  <c r="A324" i="1"/>
  <c r="A357" i="1"/>
  <c r="A368" i="1"/>
  <c r="A375" i="1"/>
  <c r="A384" i="1"/>
  <c r="A393" i="1"/>
  <c r="A402" i="1"/>
  <c r="A414" i="1"/>
  <c r="A420" i="1"/>
  <c r="A423" i="1"/>
  <c r="A445" i="1"/>
  <c r="A452" i="1"/>
  <c r="A455" i="1"/>
  <c r="A467" i="1"/>
  <c r="A474" i="1"/>
  <c r="A477" i="1"/>
  <c r="A481" i="1"/>
  <c r="A483" i="1"/>
  <c r="A486" i="1"/>
  <c r="A493" i="1"/>
  <c r="A303" i="1"/>
  <c r="A310" i="1"/>
  <c r="A315" i="1"/>
  <c r="A320" i="1"/>
  <c r="A339" i="1"/>
  <c r="A341" i="1"/>
  <c r="A343" i="1"/>
  <c r="A345" i="1"/>
  <c r="A373" i="1"/>
  <c r="A376" i="1"/>
  <c r="A378" i="1"/>
  <c r="A380" i="1"/>
  <c r="A389" i="1"/>
  <c r="A391" i="1"/>
  <c r="A396" i="1"/>
  <c r="A405" i="1"/>
  <c r="A425" i="1"/>
  <c r="A427" i="1"/>
  <c r="A430" i="1"/>
  <c r="A432" i="1"/>
  <c r="A434" i="1"/>
  <c r="A436" i="1"/>
  <c r="A441" i="1"/>
  <c r="A448" i="1"/>
  <c r="A459" i="1"/>
  <c r="A462" i="1"/>
  <c r="A464" i="1"/>
  <c r="A468" i="1"/>
  <c r="A471" i="1"/>
  <c r="A325" i="1"/>
  <c r="A332" i="1"/>
  <c r="A348" i="1"/>
  <c r="A358" i="1"/>
  <c r="A371" i="1"/>
  <c r="A394" i="1"/>
  <c r="A399" i="1"/>
  <c r="A401" i="1"/>
  <c r="A403" i="1"/>
  <c r="A408" i="1"/>
  <c r="A412" i="1"/>
  <c r="A419" i="1"/>
  <c r="A421" i="1"/>
  <c r="A443" i="1"/>
  <c r="A446" i="1"/>
  <c r="A453" i="1"/>
  <c r="A466" i="1"/>
  <c r="A475" i="1"/>
  <c r="A489" i="1"/>
  <c r="A323" i="1"/>
  <c r="A329" i="1"/>
  <c r="A415" i="1"/>
  <c r="A439" i="1"/>
  <c r="A444" i="1"/>
  <c r="A457" i="1"/>
  <c r="A463" i="1"/>
  <c r="A469" i="1"/>
  <c r="A484" i="1"/>
  <c r="A305" i="1"/>
  <c r="A311" i="1"/>
  <c r="A337" i="1"/>
  <c r="A362" i="1"/>
  <c r="A374" i="1"/>
  <c r="A398" i="1"/>
  <c r="A416" i="1"/>
  <c r="A458" i="1"/>
  <c r="A480" i="1"/>
  <c r="A497" i="1"/>
  <c r="A350" i="1"/>
  <c r="A363" i="1"/>
  <c r="A304" i="1"/>
  <c r="A317" i="1"/>
  <c r="A330" i="1"/>
  <c r="A342" i="1"/>
  <c r="A355" i="1"/>
  <c r="A361" i="1"/>
  <c r="A367" i="1"/>
  <c r="A379" i="1"/>
  <c r="A385" i="1"/>
  <c r="A318" i="1"/>
  <c r="A392" i="1"/>
  <c r="A410" i="1"/>
  <c r="A422" i="1"/>
  <c r="A494" i="1"/>
  <c r="A356" i="1"/>
  <c r="A386" i="1"/>
  <c r="A428" i="1"/>
  <c r="A447" i="1"/>
  <c r="A306" i="1"/>
  <c r="A313" i="1"/>
  <c r="A344" i="1"/>
  <c r="A351" i="1"/>
  <c r="A369" i="1"/>
  <c r="A417" i="1"/>
  <c r="A460" i="1"/>
  <c r="A327" i="1"/>
  <c r="A364" i="1"/>
  <c r="A382" i="1"/>
  <c r="A387" i="1"/>
  <c r="A406" i="1"/>
  <c r="A418" i="1"/>
  <c r="A424" i="1"/>
  <c r="A487" i="1"/>
  <c r="A491" i="1"/>
  <c r="A301" i="1"/>
  <c r="A308" i="1"/>
  <c r="A328" i="1"/>
  <c r="A334" i="1"/>
  <c r="A360" i="1"/>
  <c r="A437" i="1"/>
  <c r="A456" i="1"/>
  <c r="A473" i="1"/>
  <c r="A485" i="1"/>
  <c r="A496" i="1"/>
  <c r="A365" i="1"/>
  <c r="A322" i="1"/>
  <c r="A476" i="1"/>
  <c r="A478" i="1"/>
  <c r="A450" i="1"/>
  <c r="A335" i="1"/>
  <c r="A383" i="1"/>
  <c r="A449" i="1"/>
  <c r="A492" i="1"/>
  <c r="A346" i="1"/>
  <c r="A482" i="1"/>
  <c r="A353" i="1"/>
  <c r="D304" i="1"/>
  <c r="D311" i="1"/>
  <c r="D344" i="1"/>
  <c r="D356" i="1"/>
  <c r="D379" i="1"/>
  <c r="D387" i="1"/>
  <c r="D406" i="1"/>
  <c r="D417" i="1"/>
  <c r="D422" i="1"/>
  <c r="D424" i="1"/>
  <c r="D428" i="1"/>
  <c r="D463" i="1"/>
  <c r="D485" i="1"/>
  <c r="D492" i="1"/>
  <c r="D326" i="1"/>
  <c r="D333" i="1"/>
  <c r="D359" i="1"/>
  <c r="D381" i="1"/>
  <c r="D397" i="1"/>
  <c r="D404" i="1"/>
  <c r="D435" i="1"/>
  <c r="D440" i="1"/>
  <c r="D442" i="1"/>
  <c r="D451" i="1"/>
  <c r="D488" i="1"/>
  <c r="D309" i="1"/>
  <c r="D314" i="1"/>
  <c r="D338" i="1"/>
  <c r="D340" i="1"/>
  <c r="D372" i="1"/>
  <c r="D377" i="1"/>
  <c r="D388" i="1"/>
  <c r="D400" i="1"/>
  <c r="D407" i="1"/>
  <c r="D409" i="1"/>
  <c r="D426" i="1"/>
  <c r="D438" i="1"/>
  <c r="D461" i="1"/>
  <c r="D465" i="1"/>
  <c r="D470" i="1"/>
  <c r="D472" i="1"/>
  <c r="D490" i="1"/>
  <c r="D317" i="1"/>
  <c r="D322" i="1"/>
  <c r="D327" i="1"/>
  <c r="D350" i="1"/>
  <c r="D355" i="1"/>
  <c r="D360" i="1"/>
  <c r="D362" i="1"/>
  <c r="D364" i="1"/>
  <c r="D382" i="1"/>
  <c r="D386" i="1"/>
  <c r="D398" i="1"/>
  <c r="D416" i="1"/>
  <c r="D439" i="1"/>
  <c r="D450" i="1"/>
  <c r="D303" i="1"/>
  <c r="D310" i="1"/>
  <c r="D315" i="1"/>
  <c r="D339" i="1"/>
  <c r="D341" i="1"/>
  <c r="D343" i="1"/>
  <c r="D345" i="1"/>
  <c r="D373" i="1"/>
  <c r="D376" i="1"/>
  <c r="D389" i="1"/>
  <c r="D391" i="1"/>
  <c r="D405" i="1"/>
  <c r="D425" i="1"/>
  <c r="D430" i="1"/>
  <c r="D434" i="1"/>
  <c r="D436" i="1"/>
  <c r="D464" i="1"/>
  <c r="D468" i="1"/>
  <c r="D471" i="1"/>
  <c r="D484" i="1"/>
  <c r="D487" i="1"/>
  <c r="D401" i="1"/>
  <c r="D335" i="1"/>
  <c r="D353" i="1"/>
  <c r="D384" i="1"/>
  <c r="D402" i="1"/>
  <c r="D420" i="1"/>
  <c r="D474" i="1"/>
  <c r="D483" i="1"/>
  <c r="D496" i="1"/>
  <c r="D469" i="1"/>
  <c r="D324" i="1"/>
  <c r="D330" i="1"/>
  <c r="D385" i="1"/>
  <c r="D446" i="1"/>
  <c r="D489" i="1"/>
  <c r="D312" i="1"/>
  <c r="D325" i="1"/>
  <c r="D374" i="1"/>
  <c r="D392" i="1"/>
  <c r="D410" i="1"/>
  <c r="D423" i="1"/>
  <c r="D323" i="1"/>
  <c r="D348" i="1"/>
  <c r="D403" i="1"/>
  <c r="D421" i="1"/>
  <c r="D452" i="1"/>
  <c r="D337" i="1"/>
  <c r="D399" i="1"/>
  <c r="D357" i="1"/>
  <c r="D363" i="1"/>
  <c r="D375" i="1"/>
  <c r="D393" i="1"/>
  <c r="D481" i="1"/>
  <c r="D486" i="1"/>
  <c r="D307" i="1"/>
  <c r="D351" i="1"/>
  <c r="D358" i="1"/>
  <c r="D369" i="1"/>
  <c r="D394" i="1"/>
  <c r="D412" i="1"/>
  <c r="D455" i="1"/>
  <c r="D308" i="1"/>
  <c r="D371" i="1"/>
  <c r="D419" i="1"/>
  <c r="D480" i="1"/>
  <c r="D473" i="1"/>
  <c r="D328" i="1"/>
  <c r="D443" i="1"/>
  <c r="D437" i="1"/>
  <c r="D478" i="1"/>
  <c r="D497" i="1"/>
  <c r="D453" i="1"/>
  <c r="D467" i="1"/>
  <c r="D494" i="1"/>
  <c r="D482" i="1"/>
  <c r="D414" i="1"/>
  <c r="A39" i="1"/>
  <c r="A47" i="1"/>
  <c r="A53" i="1"/>
  <c r="A65" i="1"/>
  <c r="A82" i="1"/>
  <c r="A48" i="1"/>
  <c r="A51" i="1"/>
  <c r="A57" i="1"/>
  <c r="A70" i="1"/>
  <c r="A76" i="1"/>
  <c r="A79" i="1"/>
  <c r="A88" i="1"/>
  <c r="A103" i="1"/>
  <c r="A111" i="1"/>
  <c r="A120" i="1"/>
  <c r="A128" i="1"/>
  <c r="A136" i="1"/>
  <c r="A40" i="1"/>
  <c r="A43" i="1"/>
  <c r="A45" i="1"/>
  <c r="A62" i="1"/>
  <c r="A68" i="1"/>
  <c r="A74" i="1"/>
  <c r="A85" i="1"/>
  <c r="A93" i="1"/>
  <c r="A96" i="1"/>
  <c r="A104" i="1"/>
  <c r="A112" i="1"/>
  <c r="A131" i="1"/>
  <c r="A133" i="1"/>
  <c r="A139" i="1"/>
  <c r="A49" i="1"/>
  <c r="A60" i="1"/>
  <c r="A66" i="1"/>
  <c r="A71" i="1"/>
  <c r="A77" i="1"/>
  <c r="A80" i="1"/>
  <c r="A83" i="1"/>
  <c r="A91" i="1"/>
  <c r="A101" i="1"/>
  <c r="A109" i="1"/>
  <c r="A117" i="1"/>
  <c r="A125" i="1"/>
  <c r="A129" i="1"/>
  <c r="A137" i="1"/>
  <c r="A41" i="1"/>
  <c r="A54" i="1"/>
  <c r="A58" i="1"/>
  <c r="A63" i="1"/>
  <c r="A72" i="1"/>
  <c r="A52" i="1"/>
  <c r="A64" i="1"/>
  <c r="A69" i="1"/>
  <c r="A75" i="1"/>
  <c r="A81" i="1"/>
  <c r="A97" i="1"/>
  <c r="A105" i="1"/>
  <c r="A113" i="1"/>
  <c r="A134" i="1"/>
  <c r="A46" i="1"/>
  <c r="A50" i="1"/>
  <c r="A55" i="1"/>
  <c r="A61" i="1"/>
  <c r="A67" i="1"/>
  <c r="A86" i="1"/>
  <c r="A94" i="1"/>
  <c r="A118" i="1"/>
  <c r="A126" i="1"/>
  <c r="A130" i="1"/>
  <c r="A132" i="1"/>
  <c r="A138" i="1"/>
  <c r="A140" i="1"/>
  <c r="A42" i="1"/>
  <c r="A84" i="1"/>
  <c r="A98" i="1"/>
  <c r="A119" i="1"/>
  <c r="A141" i="1"/>
  <c r="A166" i="1"/>
  <c r="A178" i="1"/>
  <c r="A183" i="1"/>
  <c r="A206" i="1"/>
  <c r="A210" i="1"/>
  <c r="A218" i="1"/>
  <c r="A223" i="1"/>
  <c r="A254" i="1"/>
  <c r="A258" i="1"/>
  <c r="A260" i="1"/>
  <c r="A264" i="1"/>
  <c r="A269" i="1"/>
  <c r="A273" i="1"/>
  <c r="A275" i="1"/>
  <c r="A281" i="1"/>
  <c r="A292" i="1"/>
  <c r="A44" i="1"/>
  <c r="A92" i="1"/>
  <c r="A99" i="1"/>
  <c r="A106" i="1"/>
  <c r="A121" i="1"/>
  <c r="A127" i="1"/>
  <c r="A145" i="1"/>
  <c r="A147" i="1"/>
  <c r="A150" i="1"/>
  <c r="A170" i="1"/>
  <c r="A184" i="1"/>
  <c r="A187" i="1"/>
  <c r="A193" i="1"/>
  <c r="A204" i="1"/>
  <c r="A215" i="1"/>
  <c r="A224" i="1"/>
  <c r="A227" i="1"/>
  <c r="A233" i="1"/>
  <c r="A238" i="1"/>
  <c r="A242" i="1"/>
  <c r="A244" i="1"/>
  <c r="A246" i="1"/>
  <c r="A287" i="1"/>
  <c r="A290" i="1"/>
  <c r="A296" i="1"/>
  <c r="A299" i="1"/>
  <c r="A107" i="1"/>
  <c r="A114" i="1"/>
  <c r="A135" i="1"/>
  <c r="A154" i="1"/>
  <c r="A156" i="1"/>
  <c r="A162" i="1"/>
  <c r="A164" i="1"/>
  <c r="A167" i="1"/>
  <c r="A173" i="1"/>
  <c r="A175" i="1"/>
  <c r="A181" i="1"/>
  <c r="A73" i="1"/>
  <c r="A100" i="1"/>
  <c r="A115" i="1"/>
  <c r="A122" i="1"/>
  <c r="A142" i="1"/>
  <c r="A159" i="1"/>
  <c r="A171" i="1"/>
  <c r="A176" i="1"/>
  <c r="A179" i="1"/>
  <c r="A185" i="1"/>
  <c r="A190" i="1"/>
  <c r="A196" i="1"/>
  <c r="A208" i="1"/>
  <c r="A211" i="1"/>
  <c r="A213" i="1"/>
  <c r="A219" i="1"/>
  <c r="A225" i="1"/>
  <c r="A230" i="1"/>
  <c r="A236" i="1"/>
  <c r="A239" i="1"/>
  <c r="A256" i="1"/>
  <c r="A261" i="1"/>
  <c r="A288" i="1"/>
  <c r="A87" i="1"/>
  <c r="A108" i="1"/>
  <c r="A123" i="1"/>
  <c r="A151" i="1"/>
  <c r="A157" i="1"/>
  <c r="A168" i="1"/>
  <c r="A194" i="1"/>
  <c r="A199" i="1"/>
  <c r="A205" i="1"/>
  <c r="A234" i="1"/>
  <c r="A240" i="1"/>
  <c r="A247" i="1"/>
  <c r="A253" i="1"/>
  <c r="A259" i="1"/>
  <c r="A274" i="1"/>
  <c r="A276" i="1"/>
  <c r="A279" i="1"/>
  <c r="A282" i="1"/>
  <c r="A291" i="1"/>
  <c r="A294" i="1"/>
  <c r="A297" i="1"/>
  <c r="A56" i="1"/>
  <c r="A78" i="1"/>
  <c r="A89" i="1"/>
  <c r="A95" i="1"/>
  <c r="A102" i="1"/>
  <c r="A116" i="1"/>
  <c r="A146" i="1"/>
  <c r="A148" i="1"/>
  <c r="A152" i="1"/>
  <c r="A160" i="1"/>
  <c r="A177" i="1"/>
  <c r="A188" i="1"/>
  <c r="A191" i="1"/>
  <c r="A200" i="1"/>
  <c r="A203" i="1"/>
  <c r="A209" i="1"/>
  <c r="A217" i="1"/>
  <c r="A228" i="1"/>
  <c r="A231" i="1"/>
  <c r="A237" i="1"/>
  <c r="A243" i="1"/>
  <c r="A245" i="1"/>
  <c r="A248" i="1"/>
  <c r="A262" i="1"/>
  <c r="A271" i="1"/>
  <c r="A280" i="1"/>
  <c r="A285" i="1"/>
  <c r="A300" i="1"/>
  <c r="A59" i="1"/>
  <c r="A90" i="1"/>
  <c r="A110" i="1"/>
  <c r="A124" i="1"/>
  <c r="A143" i="1"/>
  <c r="A155" i="1"/>
  <c r="A163" i="1"/>
  <c r="A165" i="1"/>
  <c r="A174" i="1"/>
  <c r="A182" i="1"/>
  <c r="A186" i="1"/>
  <c r="A197" i="1"/>
  <c r="A222" i="1"/>
  <c r="A226" i="1"/>
  <c r="A232" i="1"/>
  <c r="A251" i="1"/>
  <c r="A257" i="1"/>
  <c r="A266" i="1"/>
  <c r="A268" i="1"/>
  <c r="A272" i="1"/>
  <c r="A277" i="1"/>
  <c r="A283" i="1"/>
  <c r="A289" i="1"/>
  <c r="A298" i="1"/>
  <c r="A169" i="1"/>
  <c r="A198" i="1"/>
  <c r="A221" i="1"/>
  <c r="A255" i="1"/>
  <c r="A267" i="1"/>
  <c r="A278" i="1"/>
  <c r="A158" i="1"/>
  <c r="A250" i="1"/>
  <c r="A195" i="1"/>
  <c r="A263" i="1"/>
  <c r="A207" i="1"/>
  <c r="A220" i="1"/>
  <c r="A149" i="1"/>
  <c r="A172" i="1"/>
  <c r="A189" i="1"/>
  <c r="A201" i="1"/>
  <c r="A212" i="1"/>
  <c r="A235" i="1"/>
  <c r="A229" i="1"/>
  <c r="A153" i="1"/>
  <c r="A202" i="1"/>
  <c r="A270" i="1"/>
  <c r="A293" i="1"/>
  <c r="A180" i="1"/>
  <c r="A284" i="1"/>
  <c r="A252" i="1"/>
  <c r="A192" i="1"/>
  <c r="A214" i="1"/>
  <c r="A249" i="1"/>
  <c r="A295" i="1"/>
  <c r="A216" i="1"/>
  <c r="A286" i="1"/>
  <c r="A144" i="1"/>
  <c r="A161" i="1"/>
  <c r="A241" i="1"/>
  <c r="A265" i="1"/>
  <c r="C16" i="1"/>
  <c r="C24" i="1"/>
  <c r="D24" i="1" s="1"/>
  <c r="C32" i="1"/>
  <c r="D40" i="1"/>
  <c r="D48" i="1"/>
  <c r="D56" i="1"/>
  <c r="D64" i="1"/>
  <c r="D72" i="1"/>
  <c r="D88" i="1"/>
  <c r="D104" i="1"/>
  <c r="D112" i="1"/>
  <c r="D120" i="1"/>
  <c r="D128" i="1"/>
  <c r="D136" i="1"/>
  <c r="D152" i="1"/>
  <c r="D176" i="1"/>
  <c r="D184" i="1"/>
  <c r="D192" i="1"/>
  <c r="D200" i="1"/>
  <c r="D208" i="1"/>
  <c r="D224" i="1"/>
  <c r="D232" i="1"/>
  <c r="D248" i="1"/>
  <c r="D256" i="1"/>
  <c r="D280" i="1"/>
  <c r="D288" i="1"/>
  <c r="D296" i="1"/>
  <c r="C17" i="1"/>
  <c r="D17" i="1" s="1"/>
  <c r="C25" i="1"/>
  <c r="C33" i="1"/>
  <c r="D41" i="1"/>
  <c r="D49" i="1"/>
  <c r="D73" i="1"/>
  <c r="D81" i="1"/>
  <c r="D97" i="1"/>
  <c r="D105" i="1"/>
  <c r="D121" i="1"/>
  <c r="D129" i="1"/>
  <c r="D153" i="1"/>
  <c r="D161" i="1"/>
  <c r="D169" i="1"/>
  <c r="D177" i="1"/>
  <c r="D185" i="1"/>
  <c r="D209" i="1"/>
  <c r="D217" i="1"/>
  <c r="D225" i="1"/>
  <c r="D257" i="1"/>
  <c r="D265" i="1"/>
  <c r="D289" i="1"/>
  <c r="D297" i="1"/>
  <c r="C18" i="1"/>
  <c r="C26" i="1"/>
  <c r="D26" i="1" s="1"/>
  <c r="C34" i="1"/>
  <c r="D34" i="1" s="1"/>
  <c r="D42" i="1"/>
  <c r="D50" i="1"/>
  <c r="D66" i="1"/>
  <c r="D74" i="1"/>
  <c r="D90" i="1"/>
  <c r="D106" i="1"/>
  <c r="D114" i="1"/>
  <c r="D122" i="1"/>
  <c r="D138" i="1"/>
  <c r="D146" i="1"/>
  <c r="D154" i="1"/>
  <c r="D162" i="1"/>
  <c r="D170" i="1"/>
  <c r="D178" i="1"/>
  <c r="D194" i="1"/>
  <c r="D210" i="1"/>
  <c r="D226" i="1"/>
  <c r="D234" i="1"/>
  <c r="D242" i="1"/>
  <c r="D250" i="1"/>
  <c r="D258" i="1"/>
  <c r="D274" i="1"/>
  <c r="D282" i="1"/>
  <c r="D298" i="1"/>
  <c r="C19" i="1"/>
  <c r="C27" i="1"/>
  <c r="D43" i="1"/>
  <c r="D51" i="1"/>
  <c r="D59" i="1"/>
  <c r="D67" i="1"/>
  <c r="D83" i="1"/>
  <c r="D99" i="1"/>
  <c r="D107" i="1"/>
  <c r="D115" i="1"/>
  <c r="D123" i="1"/>
  <c r="D131" i="1"/>
  <c r="D147" i="1"/>
  <c r="D163" i="1"/>
  <c r="D171" i="1"/>
  <c r="D179" i="1"/>
  <c r="D187" i="1"/>
  <c r="D195" i="1"/>
  <c r="D211" i="1"/>
  <c r="D227" i="1"/>
  <c r="D235" i="1"/>
  <c r="D243" i="1"/>
  <c r="D251" i="1"/>
  <c r="D259" i="1"/>
  <c r="D275" i="1"/>
  <c r="D291" i="1"/>
  <c r="D299" i="1"/>
  <c r="C20" i="1"/>
  <c r="D20" i="1" s="1"/>
  <c r="C28" i="1"/>
  <c r="D28" i="1" s="1"/>
  <c r="D36" i="1"/>
  <c r="D44" i="1"/>
  <c r="D52" i="1"/>
  <c r="D68" i="1"/>
  <c r="D84" i="1"/>
  <c r="D92" i="1"/>
  <c r="D100" i="1"/>
  <c r="D108" i="1"/>
  <c r="D116" i="1"/>
  <c r="D132" i="1"/>
  <c r="D148" i="1"/>
  <c r="D156" i="1"/>
  <c r="D164" i="1"/>
  <c r="D172" i="1"/>
  <c r="D180" i="1"/>
  <c r="D196" i="1"/>
  <c r="D212" i="1"/>
  <c r="D220" i="1"/>
  <c r="D228" i="1"/>
  <c r="D236" i="1"/>
  <c r="D244" i="1"/>
  <c r="D260" i="1"/>
  <c r="D276" i="1"/>
  <c r="D284" i="1"/>
  <c r="D292" i="1"/>
  <c r="D300" i="1"/>
  <c r="C21" i="1"/>
  <c r="D21" i="1" s="1"/>
  <c r="C29" i="1"/>
  <c r="D29" i="1" s="1"/>
  <c r="D53" i="1"/>
  <c r="D61" i="1"/>
  <c r="D69" i="1"/>
  <c r="D77" i="1"/>
  <c r="D85" i="1"/>
  <c r="D101" i="1"/>
  <c r="D117" i="1"/>
  <c r="D125" i="1"/>
  <c r="D133" i="1"/>
  <c r="D141" i="1"/>
  <c r="D149" i="1"/>
  <c r="D157" i="1"/>
  <c r="D165" i="1"/>
  <c r="D181" i="1"/>
  <c r="D189" i="1"/>
  <c r="D197" i="1"/>
  <c r="D205" i="1"/>
  <c r="D213" i="1"/>
  <c r="D229" i="1"/>
  <c r="D245" i="1"/>
  <c r="D253" i="1"/>
  <c r="D261" i="1"/>
  <c r="D269" i="1"/>
  <c r="D277" i="1"/>
  <c r="D285" i="1"/>
  <c r="D293" i="1"/>
  <c r="C22" i="1"/>
  <c r="D22" i="1" s="1"/>
  <c r="C30" i="1"/>
  <c r="D30" i="1" s="1"/>
  <c r="D46" i="1"/>
  <c r="D62" i="1"/>
  <c r="D70" i="1"/>
  <c r="D78" i="1"/>
  <c r="D86" i="1"/>
  <c r="D94" i="1"/>
  <c r="D102" i="1"/>
  <c r="D110" i="1"/>
  <c r="D118" i="1"/>
  <c r="D134" i="1"/>
  <c r="D142" i="1"/>
  <c r="D158" i="1"/>
  <c r="D174" i="1"/>
  <c r="D182" i="1"/>
  <c r="D190" i="1"/>
  <c r="D206" i="1"/>
  <c r="D214" i="1"/>
  <c r="D222" i="1"/>
  <c r="D230" i="1"/>
  <c r="D238" i="1"/>
  <c r="D246" i="1"/>
  <c r="D254" i="1"/>
  <c r="D262" i="1"/>
  <c r="D270" i="1"/>
  <c r="D278" i="1"/>
  <c r="D286" i="1"/>
  <c r="D294" i="1"/>
  <c r="C23" i="1"/>
  <c r="D23" i="1" s="1"/>
  <c r="D87" i="1"/>
  <c r="D151" i="1"/>
  <c r="D215" i="1"/>
  <c r="D279" i="1"/>
  <c r="C31" i="1"/>
  <c r="D31" i="1" s="1"/>
  <c r="D39" i="1"/>
  <c r="D103" i="1"/>
  <c r="D167" i="1"/>
  <c r="D231" i="1"/>
  <c r="D295" i="1"/>
  <c r="D55" i="1"/>
  <c r="D119" i="1"/>
  <c r="D183" i="1"/>
  <c r="D247" i="1"/>
  <c r="D255" i="1"/>
  <c r="D71" i="1"/>
  <c r="D135" i="1"/>
  <c r="D199" i="1"/>
  <c r="D263" i="1"/>
  <c r="D143" i="1"/>
  <c r="D207" i="1"/>
  <c r="D79" i="1"/>
  <c r="D271" i="1"/>
  <c r="E62" i="1"/>
  <c r="C14" i="1"/>
  <c r="D14" i="1" s="1"/>
  <c r="C15" i="1"/>
  <c r="D15" i="1" s="1"/>
  <c r="D35" i="1"/>
  <c r="D16" i="1"/>
  <c r="D19" i="1"/>
  <c r="D18" i="1"/>
  <c r="D37" i="1"/>
  <c r="D25" i="1"/>
  <c r="D32" i="1"/>
  <c r="D27" i="1"/>
  <c r="D33" i="1"/>
  <c r="A21" i="1"/>
  <c r="A14" i="1"/>
  <c r="A18" i="1"/>
  <c r="A25" i="1"/>
  <c r="A29" i="1"/>
  <c r="A15" i="1"/>
  <c r="A19" i="1"/>
  <c r="A22" i="1"/>
  <c r="A26" i="1"/>
  <c r="A33" i="1"/>
  <c r="A37" i="1"/>
  <c r="A16" i="1"/>
  <c r="A20" i="1"/>
  <c r="A23" i="1"/>
  <c r="A30" i="1"/>
  <c r="A38" i="1"/>
  <c r="A27" i="1"/>
  <c r="A35" i="1"/>
  <c r="A17" i="1"/>
  <c r="A28" i="1"/>
  <c r="A36" i="1"/>
  <c r="A32" i="1"/>
  <c r="A31" i="1"/>
  <c r="A24" i="1"/>
  <c r="A34" i="1"/>
  <c r="C13" i="1"/>
  <c r="D13" i="1" s="1"/>
  <c r="A13" i="1"/>
  <c r="H499" i="1" l="1"/>
  <c r="G499" i="1"/>
  <c r="I499" i="1" s="1"/>
  <c r="G498" i="1"/>
  <c r="H498" i="1"/>
  <c r="I498" i="1"/>
  <c r="G335" i="1"/>
  <c r="H335" i="1"/>
  <c r="G473" i="1"/>
  <c r="H473" i="1"/>
  <c r="G491" i="1"/>
  <c r="H491" i="1"/>
  <c r="G327" i="1"/>
  <c r="H327" i="1"/>
  <c r="H306" i="1"/>
  <c r="G306" i="1"/>
  <c r="G392" i="1"/>
  <c r="H392" i="1"/>
  <c r="H330" i="1"/>
  <c r="G330" i="1"/>
  <c r="G416" i="1"/>
  <c r="H416" i="1"/>
  <c r="H469" i="1"/>
  <c r="G469" i="1"/>
  <c r="H489" i="1"/>
  <c r="G489" i="1"/>
  <c r="G412" i="1"/>
  <c r="H412" i="1"/>
  <c r="G348" i="1"/>
  <c r="H348" i="1"/>
  <c r="H448" i="1"/>
  <c r="G448" i="1"/>
  <c r="H405" i="1"/>
  <c r="G405" i="1"/>
  <c r="G345" i="1"/>
  <c r="H345" i="1"/>
  <c r="H493" i="1"/>
  <c r="G493" i="1"/>
  <c r="G452" i="1"/>
  <c r="H452" i="1"/>
  <c r="G375" i="1"/>
  <c r="H375" i="1"/>
  <c r="H479" i="1"/>
  <c r="G479" i="1"/>
  <c r="G429" i="1"/>
  <c r="H429" i="1"/>
  <c r="G372" i="1"/>
  <c r="H372" i="1"/>
  <c r="G336" i="1"/>
  <c r="H336" i="1"/>
  <c r="G451" i="1"/>
  <c r="H451" i="1"/>
  <c r="G390" i="1"/>
  <c r="H390" i="1"/>
  <c r="G450" i="1"/>
  <c r="H450" i="1"/>
  <c r="G456" i="1"/>
  <c r="H456" i="1"/>
  <c r="G487" i="1"/>
  <c r="H487" i="1"/>
  <c r="G447" i="1"/>
  <c r="H447" i="1"/>
  <c r="G318" i="1"/>
  <c r="H318" i="1"/>
  <c r="H317" i="1"/>
  <c r="G317" i="1"/>
  <c r="H398" i="1"/>
  <c r="G398" i="1"/>
  <c r="G463" i="1"/>
  <c r="H463" i="1"/>
  <c r="H475" i="1"/>
  <c r="G475" i="1"/>
  <c r="H408" i="1"/>
  <c r="G408" i="1"/>
  <c r="G332" i="1"/>
  <c r="H332" i="1"/>
  <c r="G441" i="1"/>
  <c r="H441" i="1"/>
  <c r="G396" i="1"/>
  <c r="H396" i="1"/>
  <c r="G343" i="1"/>
  <c r="H343" i="1"/>
  <c r="H486" i="1"/>
  <c r="G486" i="1"/>
  <c r="H445" i="1"/>
  <c r="G445" i="1"/>
  <c r="G368" i="1"/>
  <c r="H368" i="1"/>
  <c r="G472" i="1"/>
  <c r="H472" i="1"/>
  <c r="G426" i="1"/>
  <c r="H426" i="1"/>
  <c r="H370" i="1"/>
  <c r="G370" i="1"/>
  <c r="H331" i="1"/>
  <c r="G331" i="1"/>
  <c r="H442" i="1"/>
  <c r="G442" i="1"/>
  <c r="H381" i="1"/>
  <c r="G381" i="1"/>
  <c r="G353" i="1"/>
  <c r="H353" i="1"/>
  <c r="H478" i="1"/>
  <c r="G478" i="1"/>
  <c r="H437" i="1"/>
  <c r="G437" i="1"/>
  <c r="G424" i="1"/>
  <c r="H424" i="1"/>
  <c r="G460" i="1"/>
  <c r="H460" i="1"/>
  <c r="G428" i="1"/>
  <c r="H428" i="1"/>
  <c r="G385" i="1"/>
  <c r="H385" i="1"/>
  <c r="H304" i="1"/>
  <c r="G304" i="1"/>
  <c r="G374" i="1"/>
  <c r="H374" i="1"/>
  <c r="G457" i="1"/>
  <c r="H457" i="1"/>
  <c r="G466" i="1"/>
  <c r="H466" i="1"/>
  <c r="G403" i="1"/>
  <c r="H403" i="1"/>
  <c r="H325" i="1"/>
  <c r="G325" i="1"/>
  <c r="H436" i="1"/>
  <c r="G436" i="1"/>
  <c r="G391" i="1"/>
  <c r="H391" i="1"/>
  <c r="H341" i="1"/>
  <c r="G341" i="1"/>
  <c r="G483" i="1"/>
  <c r="H483" i="1"/>
  <c r="G423" i="1"/>
  <c r="H423" i="1"/>
  <c r="H357" i="1"/>
  <c r="G357" i="1"/>
  <c r="H470" i="1"/>
  <c r="G470" i="1"/>
  <c r="G411" i="1"/>
  <c r="H411" i="1"/>
  <c r="G366" i="1"/>
  <c r="H366" i="1"/>
  <c r="G319" i="1"/>
  <c r="H319" i="1"/>
  <c r="H440" i="1"/>
  <c r="G440" i="1"/>
  <c r="G359" i="1"/>
  <c r="H359" i="1"/>
  <c r="G482" i="1"/>
  <c r="H482" i="1"/>
  <c r="G476" i="1"/>
  <c r="H476" i="1"/>
  <c r="G360" i="1"/>
  <c r="H360" i="1"/>
  <c r="H418" i="1"/>
  <c r="G418" i="1"/>
  <c r="H417" i="1"/>
  <c r="G417" i="1"/>
  <c r="G386" i="1"/>
  <c r="H386" i="1"/>
  <c r="G379" i="1"/>
  <c r="H379" i="1"/>
  <c r="G363" i="1"/>
  <c r="H363" i="1"/>
  <c r="H362" i="1"/>
  <c r="G362" i="1"/>
  <c r="H444" i="1"/>
  <c r="G444" i="1"/>
  <c r="H453" i="1"/>
  <c r="G453" i="1"/>
  <c r="G401" i="1"/>
  <c r="H401" i="1"/>
  <c r="H471" i="1"/>
  <c r="G471" i="1"/>
  <c r="G434" i="1"/>
  <c r="H434" i="1"/>
  <c r="H389" i="1"/>
  <c r="G389" i="1"/>
  <c r="H339" i="1"/>
  <c r="G339" i="1"/>
  <c r="H481" i="1"/>
  <c r="G481" i="1"/>
  <c r="G420" i="1"/>
  <c r="H420" i="1"/>
  <c r="G324" i="1"/>
  <c r="H324" i="1"/>
  <c r="H465" i="1"/>
  <c r="G465" i="1"/>
  <c r="G409" i="1"/>
  <c r="H409" i="1"/>
  <c r="H354" i="1"/>
  <c r="G354" i="1"/>
  <c r="H314" i="1"/>
  <c r="G314" i="1"/>
  <c r="G435" i="1"/>
  <c r="H435" i="1"/>
  <c r="H349" i="1"/>
  <c r="G349" i="1"/>
  <c r="H346" i="1"/>
  <c r="G346" i="1"/>
  <c r="H322" i="1"/>
  <c r="G322" i="1"/>
  <c r="G334" i="1"/>
  <c r="H334" i="1"/>
  <c r="G406" i="1"/>
  <c r="H406" i="1"/>
  <c r="G369" i="1"/>
  <c r="H369" i="1"/>
  <c r="H356" i="1"/>
  <c r="G356" i="1"/>
  <c r="G367" i="1"/>
  <c r="H367" i="1"/>
  <c r="G350" i="1"/>
  <c r="H350" i="1"/>
  <c r="G337" i="1"/>
  <c r="H337" i="1"/>
  <c r="G439" i="1"/>
  <c r="H439" i="1"/>
  <c r="G446" i="1"/>
  <c r="H446" i="1"/>
  <c r="H399" i="1"/>
  <c r="G399" i="1"/>
  <c r="G468" i="1"/>
  <c r="H468" i="1"/>
  <c r="H432" i="1"/>
  <c r="G432" i="1"/>
  <c r="G380" i="1"/>
  <c r="H380" i="1"/>
  <c r="H320" i="1"/>
  <c r="G320" i="1"/>
  <c r="H477" i="1"/>
  <c r="G477" i="1"/>
  <c r="H414" i="1"/>
  <c r="G414" i="1"/>
  <c r="H312" i="1"/>
  <c r="G312" i="1"/>
  <c r="G461" i="1"/>
  <c r="H461" i="1"/>
  <c r="H407" i="1"/>
  <c r="G407" i="1"/>
  <c r="G352" i="1"/>
  <c r="H352" i="1"/>
  <c r="H309" i="1"/>
  <c r="G309" i="1"/>
  <c r="H413" i="1"/>
  <c r="G413" i="1"/>
  <c r="H333" i="1"/>
  <c r="G333" i="1"/>
  <c r="H492" i="1"/>
  <c r="G492" i="1"/>
  <c r="H365" i="1"/>
  <c r="G365" i="1"/>
  <c r="G328" i="1"/>
  <c r="H328" i="1"/>
  <c r="G387" i="1"/>
  <c r="H387" i="1"/>
  <c r="G351" i="1"/>
  <c r="H351" i="1"/>
  <c r="H494" i="1"/>
  <c r="G494" i="1"/>
  <c r="H361" i="1"/>
  <c r="G361" i="1"/>
  <c r="G497" i="1"/>
  <c r="H497" i="1"/>
  <c r="G311" i="1"/>
  <c r="H311" i="1"/>
  <c r="G415" i="1"/>
  <c r="H415" i="1"/>
  <c r="G443" i="1"/>
  <c r="H443" i="1"/>
  <c r="H394" i="1"/>
  <c r="G394" i="1"/>
  <c r="H464" i="1"/>
  <c r="G464" i="1"/>
  <c r="H430" i="1"/>
  <c r="G430" i="1"/>
  <c r="H378" i="1"/>
  <c r="G378" i="1"/>
  <c r="H315" i="1"/>
  <c r="G315" i="1"/>
  <c r="G474" i="1"/>
  <c r="H474" i="1"/>
  <c r="G402" i="1"/>
  <c r="H402" i="1"/>
  <c r="G307" i="1"/>
  <c r="H307" i="1"/>
  <c r="G438" i="1"/>
  <c r="H438" i="1"/>
  <c r="H400" i="1"/>
  <c r="G400" i="1"/>
  <c r="H347" i="1"/>
  <c r="G347" i="1"/>
  <c r="G495" i="1"/>
  <c r="H495" i="1"/>
  <c r="G404" i="1"/>
  <c r="H404" i="1"/>
  <c r="G326" i="1"/>
  <c r="H326" i="1"/>
  <c r="G449" i="1"/>
  <c r="H449" i="1"/>
  <c r="H496" i="1"/>
  <c r="G496" i="1"/>
  <c r="G308" i="1"/>
  <c r="H308" i="1"/>
  <c r="G382" i="1"/>
  <c r="H382" i="1"/>
  <c r="G344" i="1"/>
  <c r="H344" i="1"/>
  <c r="H422" i="1"/>
  <c r="G422" i="1"/>
  <c r="G355" i="1"/>
  <c r="H355" i="1"/>
  <c r="G480" i="1"/>
  <c r="H480" i="1"/>
  <c r="G305" i="1"/>
  <c r="H305" i="1"/>
  <c r="G329" i="1"/>
  <c r="H329" i="1"/>
  <c r="G421" i="1"/>
  <c r="H421" i="1"/>
  <c r="H371" i="1"/>
  <c r="G371" i="1"/>
  <c r="G462" i="1"/>
  <c r="H462" i="1"/>
  <c r="G427" i="1"/>
  <c r="H427" i="1"/>
  <c r="H376" i="1"/>
  <c r="G376" i="1"/>
  <c r="G310" i="1"/>
  <c r="H310" i="1"/>
  <c r="G467" i="1"/>
  <c r="H467" i="1"/>
  <c r="G393" i="1"/>
  <c r="H393" i="1"/>
  <c r="G302" i="1"/>
  <c r="H302" i="1"/>
  <c r="G433" i="1"/>
  <c r="H433" i="1"/>
  <c r="G388" i="1"/>
  <c r="H388" i="1"/>
  <c r="G340" i="1"/>
  <c r="H340" i="1"/>
  <c r="G488" i="1"/>
  <c r="H488" i="1"/>
  <c r="H397" i="1"/>
  <c r="G397" i="1"/>
  <c r="G321" i="1"/>
  <c r="H321" i="1"/>
  <c r="G383" i="1"/>
  <c r="H383" i="1"/>
  <c r="G485" i="1"/>
  <c r="H485" i="1"/>
  <c r="G301" i="1"/>
  <c r="H301" i="1"/>
  <c r="G364" i="1"/>
  <c r="H364" i="1"/>
  <c r="G313" i="1"/>
  <c r="H313" i="1"/>
  <c r="H410" i="1"/>
  <c r="G410" i="1"/>
  <c r="G342" i="1"/>
  <c r="H342" i="1"/>
  <c r="G458" i="1"/>
  <c r="H458" i="1"/>
  <c r="H484" i="1"/>
  <c r="G484" i="1"/>
  <c r="G323" i="1"/>
  <c r="H323" i="1"/>
  <c r="G419" i="1"/>
  <c r="H419" i="1"/>
  <c r="G358" i="1"/>
  <c r="H358" i="1"/>
  <c r="H459" i="1"/>
  <c r="G459" i="1"/>
  <c r="H425" i="1"/>
  <c r="G425" i="1"/>
  <c r="G373" i="1"/>
  <c r="H373" i="1"/>
  <c r="G303" i="1"/>
  <c r="H303" i="1"/>
  <c r="G455" i="1"/>
  <c r="H455" i="1"/>
  <c r="G384" i="1"/>
  <c r="H384" i="1"/>
  <c r="G490" i="1"/>
  <c r="H490" i="1"/>
  <c r="H431" i="1"/>
  <c r="G431" i="1"/>
  <c r="G377" i="1"/>
  <c r="H377" i="1"/>
  <c r="G338" i="1"/>
  <c r="H338" i="1"/>
  <c r="G454" i="1"/>
  <c r="H454" i="1"/>
  <c r="H395" i="1"/>
  <c r="G395" i="1"/>
  <c r="G316" i="1"/>
  <c r="H316" i="1"/>
  <c r="G286" i="1"/>
  <c r="H286" i="1"/>
  <c r="H160" i="1"/>
  <c r="G160" i="1"/>
  <c r="G205" i="1"/>
  <c r="H205" i="1"/>
  <c r="G142" i="1"/>
  <c r="H142" i="1"/>
  <c r="H215" i="1"/>
  <c r="G215" i="1"/>
  <c r="G183" i="1"/>
  <c r="H183" i="1"/>
  <c r="G128" i="1"/>
  <c r="H128" i="1"/>
  <c r="G220" i="1"/>
  <c r="H220" i="1"/>
  <c r="G257" i="1"/>
  <c r="H257" i="1"/>
  <c r="H196" i="1"/>
  <c r="G196" i="1"/>
  <c r="G54" i="1"/>
  <c r="I54" i="1" s="1"/>
  <c r="H54" i="1"/>
  <c r="H293" i="1"/>
  <c r="G293" i="1"/>
  <c r="H58" i="1"/>
  <c r="G58" i="1"/>
  <c r="I58" i="1" s="1"/>
  <c r="G81" i="1"/>
  <c r="H81" i="1"/>
  <c r="H139" i="1"/>
  <c r="G139" i="1"/>
  <c r="G265" i="1"/>
  <c r="H265" i="1"/>
  <c r="G192" i="1"/>
  <c r="H192" i="1"/>
  <c r="H202" i="1"/>
  <c r="G202" i="1"/>
  <c r="G195" i="1"/>
  <c r="H195" i="1"/>
  <c r="H255" i="1"/>
  <c r="G255" i="1"/>
  <c r="G298" i="1"/>
  <c r="H298" i="1"/>
  <c r="G251" i="1"/>
  <c r="H251" i="1"/>
  <c r="G165" i="1"/>
  <c r="H165" i="1"/>
  <c r="G262" i="1"/>
  <c r="H262" i="1"/>
  <c r="G209" i="1"/>
  <c r="H209" i="1"/>
  <c r="G148" i="1"/>
  <c r="H148" i="1"/>
  <c r="G274" i="1"/>
  <c r="H274" i="1"/>
  <c r="H194" i="1"/>
  <c r="G194" i="1"/>
  <c r="G236" i="1"/>
  <c r="H236" i="1"/>
  <c r="G190" i="1"/>
  <c r="H190" i="1"/>
  <c r="G115" i="1"/>
  <c r="H115" i="1"/>
  <c r="G162" i="1"/>
  <c r="H162" i="1"/>
  <c r="G244" i="1"/>
  <c r="H244" i="1"/>
  <c r="G193" i="1"/>
  <c r="H193" i="1"/>
  <c r="G121" i="1"/>
  <c r="H121" i="1"/>
  <c r="H258" i="1"/>
  <c r="G258" i="1"/>
  <c r="H166" i="1"/>
  <c r="G166" i="1"/>
  <c r="H132" i="1"/>
  <c r="G132" i="1"/>
  <c r="G55" i="1"/>
  <c r="I55" i="1" s="1"/>
  <c r="H55" i="1"/>
  <c r="H75" i="1"/>
  <c r="G75" i="1"/>
  <c r="G41" i="1"/>
  <c r="I41" i="1" s="1"/>
  <c r="H41" i="1"/>
  <c r="G83" i="1"/>
  <c r="H83" i="1"/>
  <c r="H133" i="1"/>
  <c r="G133" i="1"/>
  <c r="H68" i="1"/>
  <c r="G68" i="1"/>
  <c r="G111" i="1"/>
  <c r="H111" i="1"/>
  <c r="G48" i="1"/>
  <c r="I48" i="1" s="1"/>
  <c r="H48" i="1"/>
  <c r="G57" i="1"/>
  <c r="I57" i="1" s="1"/>
  <c r="H57" i="1"/>
  <c r="H144" i="1"/>
  <c r="G144" i="1"/>
  <c r="H263" i="1"/>
  <c r="G263" i="1"/>
  <c r="G174" i="1"/>
  <c r="H174" i="1"/>
  <c r="H152" i="1"/>
  <c r="G152" i="1"/>
  <c r="H138" i="1"/>
  <c r="G138" i="1"/>
  <c r="G61" i="1"/>
  <c r="I61" i="1" s="1"/>
  <c r="H61" i="1"/>
  <c r="H74" i="1"/>
  <c r="G74" i="1"/>
  <c r="G232" i="1"/>
  <c r="H232" i="1"/>
  <c r="H146" i="1"/>
  <c r="G146" i="1"/>
  <c r="G230" i="1"/>
  <c r="H230" i="1"/>
  <c r="G185" i="1"/>
  <c r="H185" i="1"/>
  <c r="H100" i="1"/>
  <c r="G100" i="1"/>
  <c r="H156" i="1"/>
  <c r="G156" i="1"/>
  <c r="G242" i="1"/>
  <c r="H242" i="1"/>
  <c r="H292" i="1"/>
  <c r="G292" i="1"/>
  <c r="H130" i="1"/>
  <c r="G130" i="1"/>
  <c r="H50" i="1"/>
  <c r="G50" i="1"/>
  <c r="I50" i="1"/>
  <c r="H69" i="1"/>
  <c r="G69" i="1"/>
  <c r="G137" i="1"/>
  <c r="H137" i="1"/>
  <c r="G80" i="1"/>
  <c r="H80" i="1"/>
  <c r="H131" i="1"/>
  <c r="G131" i="1"/>
  <c r="G62" i="1"/>
  <c r="H62" i="1"/>
  <c r="G103" i="1"/>
  <c r="H103" i="1"/>
  <c r="H82" i="1"/>
  <c r="G82" i="1"/>
  <c r="G254" i="1"/>
  <c r="H254" i="1"/>
  <c r="G216" i="1"/>
  <c r="H216" i="1"/>
  <c r="G212" i="1"/>
  <c r="H212" i="1"/>
  <c r="G207" i="1"/>
  <c r="H207" i="1"/>
  <c r="G198" i="1"/>
  <c r="H198" i="1"/>
  <c r="G283" i="1"/>
  <c r="H283" i="1"/>
  <c r="H226" i="1"/>
  <c r="G226" i="1"/>
  <c r="G155" i="1"/>
  <c r="H155" i="1"/>
  <c r="H245" i="1"/>
  <c r="G245" i="1"/>
  <c r="G200" i="1"/>
  <c r="H200" i="1"/>
  <c r="H116" i="1"/>
  <c r="G116" i="1"/>
  <c r="G297" i="1"/>
  <c r="H297" i="1"/>
  <c r="G253" i="1"/>
  <c r="H253" i="1"/>
  <c r="H157" i="1"/>
  <c r="G157" i="1"/>
  <c r="G225" i="1"/>
  <c r="H225" i="1"/>
  <c r="G179" i="1"/>
  <c r="H179" i="1"/>
  <c r="G73" i="1"/>
  <c r="H73" i="1"/>
  <c r="G154" i="1"/>
  <c r="H154" i="1"/>
  <c r="G238" i="1"/>
  <c r="H238" i="1"/>
  <c r="G184" i="1"/>
  <c r="H184" i="1"/>
  <c r="G99" i="1"/>
  <c r="H99" i="1"/>
  <c r="H281" i="1"/>
  <c r="G281" i="1"/>
  <c r="G223" i="1"/>
  <c r="H223" i="1"/>
  <c r="G119" i="1"/>
  <c r="H119" i="1"/>
  <c r="G126" i="1"/>
  <c r="H126" i="1"/>
  <c r="G46" i="1"/>
  <c r="I46" i="1"/>
  <c r="H46" i="1"/>
  <c r="G64" i="1"/>
  <c r="H64" i="1"/>
  <c r="H129" i="1"/>
  <c r="G129" i="1"/>
  <c r="G77" i="1"/>
  <c r="H77" i="1"/>
  <c r="G112" i="1"/>
  <c r="H112" i="1"/>
  <c r="G45" i="1"/>
  <c r="H45" i="1"/>
  <c r="G88" i="1"/>
  <c r="H88" i="1"/>
  <c r="G65" i="1"/>
  <c r="H65" i="1"/>
  <c r="H249" i="1"/>
  <c r="G249" i="1"/>
  <c r="G278" i="1"/>
  <c r="H278" i="1"/>
  <c r="G182" i="1"/>
  <c r="H182" i="1"/>
  <c r="G90" i="1"/>
  <c r="H90" i="1"/>
  <c r="G279" i="1"/>
  <c r="H279" i="1"/>
  <c r="G208" i="1"/>
  <c r="H208" i="1"/>
  <c r="H287" i="1"/>
  <c r="G287" i="1"/>
  <c r="H264" i="1"/>
  <c r="G264" i="1"/>
  <c r="G97" i="1"/>
  <c r="H97" i="1"/>
  <c r="G49" i="1"/>
  <c r="I49" i="1" s="1"/>
  <c r="H49" i="1"/>
  <c r="G267" i="1"/>
  <c r="H267" i="1"/>
  <c r="G59" i="1"/>
  <c r="H59" i="1"/>
  <c r="I59" i="1"/>
  <c r="H56" i="1"/>
  <c r="G56" i="1"/>
  <c r="I56" i="1" s="1"/>
  <c r="H239" i="1"/>
  <c r="G239" i="1"/>
  <c r="G204" i="1"/>
  <c r="H204" i="1"/>
  <c r="H178" i="1"/>
  <c r="G178" i="1"/>
  <c r="G120" i="1"/>
  <c r="H120" i="1"/>
  <c r="G153" i="1"/>
  <c r="H153" i="1"/>
  <c r="G221" i="1"/>
  <c r="H221" i="1"/>
  <c r="H248" i="1"/>
  <c r="G248" i="1"/>
  <c r="G259" i="1"/>
  <c r="H259" i="1"/>
  <c r="G106" i="1"/>
  <c r="H106" i="1"/>
  <c r="H241" i="1"/>
  <c r="G241" i="1"/>
  <c r="G284" i="1"/>
  <c r="H284" i="1"/>
  <c r="G201" i="1"/>
  <c r="H201" i="1"/>
  <c r="G250" i="1"/>
  <c r="H250" i="1"/>
  <c r="G169" i="1"/>
  <c r="H169" i="1"/>
  <c r="G277" i="1"/>
  <c r="H277" i="1"/>
  <c r="G222" i="1"/>
  <c r="H222" i="1"/>
  <c r="G143" i="1"/>
  <c r="H143" i="1"/>
  <c r="H243" i="1"/>
  <c r="G243" i="1"/>
  <c r="G191" i="1"/>
  <c r="H191" i="1"/>
  <c r="G102" i="1"/>
  <c r="H102" i="1"/>
  <c r="H294" i="1"/>
  <c r="G294" i="1"/>
  <c r="G247" i="1"/>
  <c r="H247" i="1"/>
  <c r="H151" i="1"/>
  <c r="G151" i="1"/>
  <c r="G219" i="1"/>
  <c r="H219" i="1"/>
  <c r="G176" i="1"/>
  <c r="H176" i="1"/>
  <c r="G181" i="1"/>
  <c r="H181" i="1"/>
  <c r="H135" i="1"/>
  <c r="G135" i="1"/>
  <c r="G299" i="1"/>
  <c r="H299" i="1"/>
  <c r="G233" i="1"/>
  <c r="H233" i="1"/>
  <c r="G170" i="1"/>
  <c r="H170" i="1"/>
  <c r="H92" i="1"/>
  <c r="G92" i="1"/>
  <c r="H275" i="1"/>
  <c r="G275" i="1"/>
  <c r="H218" i="1"/>
  <c r="G218" i="1"/>
  <c r="G98" i="1"/>
  <c r="H98" i="1"/>
  <c r="G118" i="1"/>
  <c r="H118" i="1"/>
  <c r="G134" i="1"/>
  <c r="H134" i="1"/>
  <c r="H52" i="1"/>
  <c r="G52" i="1"/>
  <c r="I52" i="1" s="1"/>
  <c r="G125" i="1"/>
  <c r="H125" i="1"/>
  <c r="G71" i="1"/>
  <c r="H71" i="1"/>
  <c r="G104" i="1"/>
  <c r="H104" i="1"/>
  <c r="G43" i="1"/>
  <c r="I43" i="1" s="1"/>
  <c r="H43" i="1"/>
  <c r="G79" i="1"/>
  <c r="H79" i="1"/>
  <c r="G53" i="1"/>
  <c r="I53" i="1" s="1"/>
  <c r="H53" i="1"/>
  <c r="H149" i="1"/>
  <c r="G149" i="1"/>
  <c r="G228" i="1"/>
  <c r="H228" i="1"/>
  <c r="G87" i="1"/>
  <c r="H87" i="1"/>
  <c r="G167" i="1"/>
  <c r="H167" i="1"/>
  <c r="G145" i="1"/>
  <c r="H145" i="1"/>
  <c r="G140" i="1"/>
  <c r="H140" i="1"/>
  <c r="G101" i="1"/>
  <c r="H101" i="1"/>
  <c r="G270" i="1"/>
  <c r="H270" i="1"/>
  <c r="G271" i="1"/>
  <c r="H271" i="1"/>
  <c r="G199" i="1"/>
  <c r="H199" i="1"/>
  <c r="G164" i="1"/>
  <c r="H164" i="1"/>
  <c r="G127" i="1"/>
  <c r="H127" i="1"/>
  <c r="G91" i="1"/>
  <c r="H91" i="1"/>
  <c r="G235" i="1"/>
  <c r="H235" i="1"/>
  <c r="G163" i="1"/>
  <c r="H163" i="1"/>
  <c r="G141" i="1"/>
  <c r="H141" i="1"/>
  <c r="H161" i="1"/>
  <c r="G161" i="1"/>
  <c r="G252" i="1"/>
  <c r="H252" i="1"/>
  <c r="H180" i="1"/>
  <c r="G180" i="1"/>
  <c r="G229" i="1"/>
  <c r="H229" i="1"/>
  <c r="G189" i="1"/>
  <c r="H189" i="1"/>
  <c r="G158" i="1"/>
  <c r="H158" i="1"/>
  <c r="H272" i="1"/>
  <c r="G272" i="1"/>
  <c r="G197" i="1"/>
  <c r="H197" i="1"/>
  <c r="H124" i="1"/>
  <c r="G124" i="1"/>
  <c r="H300" i="1"/>
  <c r="G300" i="1"/>
  <c r="H237" i="1"/>
  <c r="G237" i="1"/>
  <c r="H188" i="1"/>
  <c r="G188" i="1"/>
  <c r="G95" i="1"/>
  <c r="H95" i="1"/>
  <c r="G291" i="1"/>
  <c r="H291" i="1"/>
  <c r="G240" i="1"/>
  <c r="H240" i="1"/>
  <c r="G123" i="1"/>
  <c r="H123" i="1"/>
  <c r="G288" i="1"/>
  <c r="H288" i="1"/>
  <c r="G213" i="1"/>
  <c r="H213" i="1"/>
  <c r="G171" i="1"/>
  <c r="H171" i="1"/>
  <c r="G175" i="1"/>
  <c r="H175" i="1"/>
  <c r="G114" i="1"/>
  <c r="H114" i="1"/>
  <c r="H296" i="1"/>
  <c r="G296" i="1"/>
  <c r="G227" i="1"/>
  <c r="H227" i="1"/>
  <c r="G150" i="1"/>
  <c r="H150" i="1"/>
  <c r="H44" i="1"/>
  <c r="G44" i="1"/>
  <c r="I44" i="1" s="1"/>
  <c r="H273" i="1"/>
  <c r="G273" i="1"/>
  <c r="H210" i="1"/>
  <c r="G210" i="1"/>
  <c r="H84" i="1"/>
  <c r="G84" i="1"/>
  <c r="G94" i="1"/>
  <c r="H94" i="1"/>
  <c r="G113" i="1"/>
  <c r="H113" i="1"/>
  <c r="G72" i="1"/>
  <c r="H72" i="1"/>
  <c r="G117" i="1"/>
  <c r="H117" i="1"/>
  <c r="H66" i="1"/>
  <c r="G66" i="1"/>
  <c r="G96" i="1"/>
  <c r="H96" i="1"/>
  <c r="G40" i="1"/>
  <c r="I40" i="1" s="1"/>
  <c r="H40" i="1"/>
  <c r="H76" i="1"/>
  <c r="G76" i="1"/>
  <c r="G47" i="1"/>
  <c r="I47" i="1" s="1"/>
  <c r="H47" i="1"/>
  <c r="G266" i="1"/>
  <c r="H266" i="1"/>
  <c r="G280" i="1"/>
  <c r="H280" i="1"/>
  <c r="G78" i="1"/>
  <c r="H78" i="1"/>
  <c r="G256" i="1"/>
  <c r="H256" i="1"/>
  <c r="G67" i="1"/>
  <c r="H67" i="1"/>
  <c r="H85" i="1"/>
  <c r="G85" i="1"/>
  <c r="G214" i="1"/>
  <c r="H214" i="1"/>
  <c r="G217" i="1"/>
  <c r="H217" i="1"/>
  <c r="G276" i="1"/>
  <c r="H276" i="1"/>
  <c r="G122" i="1"/>
  <c r="H122" i="1"/>
  <c r="G246" i="1"/>
  <c r="H246" i="1"/>
  <c r="H260" i="1"/>
  <c r="G260" i="1"/>
  <c r="G51" i="1"/>
  <c r="I51" i="1" s="1"/>
  <c r="H51" i="1"/>
  <c r="I45" i="1"/>
  <c r="G289" i="1"/>
  <c r="H289" i="1"/>
  <c r="H203" i="1"/>
  <c r="G203" i="1"/>
  <c r="H168" i="1"/>
  <c r="G168" i="1"/>
  <c r="G187" i="1"/>
  <c r="H187" i="1"/>
  <c r="G295" i="1"/>
  <c r="H295" i="1"/>
  <c r="H172" i="1"/>
  <c r="G172" i="1"/>
  <c r="G268" i="1"/>
  <c r="H268" i="1"/>
  <c r="H186" i="1"/>
  <c r="G186" i="1"/>
  <c r="G110" i="1"/>
  <c r="H110" i="1"/>
  <c r="G285" i="1"/>
  <c r="H285" i="1"/>
  <c r="G231" i="1"/>
  <c r="H231" i="1"/>
  <c r="G177" i="1"/>
  <c r="H177" i="1"/>
  <c r="G89" i="1"/>
  <c r="H89" i="1"/>
  <c r="H282" i="1"/>
  <c r="G282" i="1"/>
  <c r="H234" i="1"/>
  <c r="G234" i="1"/>
  <c r="H108" i="1"/>
  <c r="G108" i="1"/>
  <c r="G261" i="1"/>
  <c r="H261" i="1"/>
  <c r="G211" i="1"/>
  <c r="H211" i="1"/>
  <c r="G159" i="1"/>
  <c r="H159" i="1"/>
  <c r="G173" i="1"/>
  <c r="H173" i="1"/>
  <c r="G107" i="1"/>
  <c r="H107" i="1"/>
  <c r="G290" i="1"/>
  <c r="H290" i="1"/>
  <c r="G224" i="1"/>
  <c r="H224" i="1"/>
  <c r="G147" i="1"/>
  <c r="H147" i="1"/>
  <c r="G269" i="1"/>
  <c r="H269" i="1"/>
  <c r="G206" i="1"/>
  <c r="H206" i="1"/>
  <c r="H42" i="1"/>
  <c r="G42" i="1"/>
  <c r="I42" i="1" s="1"/>
  <c r="H86" i="1"/>
  <c r="G86" i="1"/>
  <c r="G105" i="1"/>
  <c r="H105" i="1"/>
  <c r="G63" i="1"/>
  <c r="H63" i="1"/>
  <c r="G109" i="1"/>
  <c r="H109" i="1"/>
  <c r="H60" i="1"/>
  <c r="G60" i="1"/>
  <c r="I60" i="1" s="1"/>
  <c r="H93" i="1"/>
  <c r="G93" i="1"/>
  <c r="G136" i="1"/>
  <c r="H136" i="1"/>
  <c r="G70" i="1"/>
  <c r="H70" i="1"/>
  <c r="G39" i="1"/>
  <c r="I39" i="1" s="1"/>
  <c r="H39" i="1"/>
  <c r="I62" i="1"/>
  <c r="E63" i="1"/>
  <c r="G23" i="1"/>
  <c r="H23" i="1"/>
  <c r="G20" i="1"/>
  <c r="H20" i="1"/>
  <c r="G22" i="1"/>
  <c r="H22" i="1"/>
  <c r="G16" i="1"/>
  <c r="H16" i="1"/>
  <c r="G19" i="1"/>
  <c r="H19" i="1"/>
  <c r="G21" i="1"/>
  <c r="H21" i="1"/>
  <c r="G36" i="1"/>
  <c r="H36" i="1"/>
  <c r="G37" i="1"/>
  <c r="H37" i="1"/>
  <c r="G15" i="1"/>
  <c r="H15" i="1"/>
  <c r="G28" i="1"/>
  <c r="H28" i="1"/>
  <c r="G29" i="1"/>
  <c r="H29" i="1"/>
  <c r="G26" i="1"/>
  <c r="H26" i="1"/>
  <c r="G38" i="1"/>
  <c r="H38" i="1"/>
  <c r="G34" i="1"/>
  <c r="H34" i="1"/>
  <c r="G35" i="1"/>
  <c r="H35" i="1"/>
  <c r="G30" i="1"/>
  <c r="H30" i="1"/>
  <c r="G18" i="1"/>
  <c r="H18" i="1"/>
  <c r="G31" i="1"/>
  <c r="H31" i="1"/>
  <c r="G32" i="1"/>
  <c r="H32" i="1"/>
  <c r="G17" i="1"/>
  <c r="H17" i="1"/>
  <c r="G25" i="1"/>
  <c r="H25" i="1"/>
  <c r="G24" i="1"/>
  <c r="H24" i="1"/>
  <c r="G27" i="1"/>
  <c r="H27" i="1"/>
  <c r="G33" i="1"/>
  <c r="H33" i="1"/>
  <c r="G14" i="1"/>
  <c r="H14" i="1"/>
  <c r="G13" i="1"/>
  <c r="I13" i="1" s="1"/>
  <c r="E8" i="1"/>
  <c r="E7" i="1"/>
  <c r="E13" i="1"/>
  <c r="E14" i="1" s="1"/>
  <c r="E64" i="1" l="1"/>
  <c r="I63" i="1"/>
  <c r="I14" i="1"/>
  <c r="H13" i="1"/>
  <c r="H7" i="1" s="1"/>
  <c r="E65" i="1" l="1"/>
  <c r="I64" i="1"/>
  <c r="I15" i="1"/>
  <c r="H500" i="1"/>
  <c r="E6" i="1"/>
  <c r="E9" i="1" s="1"/>
  <c r="E66" i="1" l="1"/>
  <c r="I65" i="1"/>
  <c r="I16" i="1"/>
  <c r="E67" i="1" l="1"/>
  <c r="I66" i="1"/>
  <c r="I17" i="1"/>
  <c r="E68" i="1" l="1"/>
  <c r="I67" i="1"/>
  <c r="I18" i="1"/>
  <c r="E69" i="1" l="1"/>
  <c r="I68" i="1"/>
  <c r="I19" i="1"/>
  <c r="E70" i="1" l="1"/>
  <c r="I69" i="1"/>
  <c r="I20" i="1"/>
  <c r="E71" i="1" l="1"/>
  <c r="I70" i="1"/>
  <c r="I21" i="1"/>
  <c r="E72" i="1" l="1"/>
  <c r="I71" i="1"/>
  <c r="I22" i="1"/>
  <c r="E73" i="1" l="1"/>
  <c r="I72" i="1"/>
  <c r="I23" i="1"/>
  <c r="E74" i="1" l="1"/>
  <c r="I73" i="1"/>
  <c r="I24" i="1"/>
  <c r="E75" i="1" l="1"/>
  <c r="I74" i="1"/>
  <c r="I25" i="1"/>
  <c r="E76" i="1" l="1"/>
  <c r="I75" i="1"/>
  <c r="I26" i="1"/>
  <c r="E77" i="1" l="1"/>
  <c r="I76" i="1"/>
  <c r="I27" i="1"/>
  <c r="E78" i="1" l="1"/>
  <c r="I77" i="1"/>
  <c r="I28" i="1"/>
  <c r="E79" i="1" l="1"/>
  <c r="I78" i="1"/>
  <c r="I29" i="1"/>
  <c r="E80" i="1" l="1"/>
  <c r="I79" i="1"/>
  <c r="I30" i="1"/>
  <c r="E81" i="1" l="1"/>
  <c r="I80" i="1"/>
  <c r="I31" i="1"/>
  <c r="E82" i="1" l="1"/>
  <c r="I81" i="1"/>
  <c r="I32" i="1"/>
  <c r="E83" i="1" l="1"/>
  <c r="I82" i="1"/>
  <c r="I33" i="1"/>
  <c r="E84" i="1" l="1"/>
  <c r="I83" i="1"/>
  <c r="I34" i="1"/>
  <c r="E85" i="1" l="1"/>
  <c r="I84" i="1"/>
  <c r="I35" i="1"/>
  <c r="E86" i="1" l="1"/>
  <c r="I85" i="1"/>
  <c r="I36" i="1"/>
  <c r="E87" i="1" l="1"/>
  <c r="I86" i="1"/>
  <c r="I37" i="1"/>
  <c r="E88" i="1" l="1"/>
  <c r="I87" i="1"/>
  <c r="I38" i="1"/>
  <c r="E89" i="1" l="1"/>
  <c r="I88" i="1"/>
  <c r="E90" i="1" l="1"/>
  <c r="I89" i="1"/>
  <c r="G3" i="3"/>
  <c r="G5" i="3"/>
  <c r="H5" i="3"/>
  <c r="G4" i="3"/>
  <c r="I90" i="1" l="1"/>
  <c r="E91" i="1"/>
  <c r="G21" i="3"/>
  <c r="H4" i="3"/>
  <c r="E92" i="1" l="1"/>
  <c r="I91" i="1"/>
  <c r="H21" i="3"/>
  <c r="E93" i="1" l="1"/>
  <c r="I92" i="1"/>
  <c r="E94" i="1" l="1"/>
  <c r="I93" i="1"/>
  <c r="E95" i="1" l="1"/>
  <c r="I94" i="1"/>
  <c r="E96" i="1" l="1"/>
  <c r="I95" i="1"/>
  <c r="E97" i="1" l="1"/>
  <c r="I96" i="1"/>
  <c r="E98" i="1" l="1"/>
  <c r="I97" i="1"/>
  <c r="I98" i="1" l="1"/>
  <c r="E99" i="1"/>
  <c r="E100" i="1" l="1"/>
  <c r="I99" i="1"/>
  <c r="E101" i="1" l="1"/>
  <c r="I100" i="1"/>
  <c r="E102" i="1" l="1"/>
  <c r="I101" i="1"/>
  <c r="E103" i="1" l="1"/>
  <c r="I102" i="1"/>
  <c r="E104" i="1" l="1"/>
  <c r="I103" i="1"/>
  <c r="E105" i="1" l="1"/>
  <c r="I104" i="1"/>
  <c r="E106" i="1" l="1"/>
  <c r="I105" i="1"/>
  <c r="I106" i="1" l="1"/>
  <c r="E107" i="1"/>
  <c r="E108" i="1" l="1"/>
  <c r="I107" i="1"/>
  <c r="E109" i="1" l="1"/>
  <c r="I108" i="1"/>
  <c r="E110" i="1" l="1"/>
  <c r="I109" i="1"/>
  <c r="E111" i="1" l="1"/>
  <c r="I110" i="1"/>
  <c r="E112" i="1" l="1"/>
  <c r="I111" i="1"/>
  <c r="E113" i="1" l="1"/>
  <c r="I112" i="1"/>
  <c r="E114" i="1" l="1"/>
  <c r="I113" i="1"/>
  <c r="I114" i="1" l="1"/>
  <c r="E115" i="1"/>
  <c r="I115" i="1" l="1"/>
  <c r="E116" i="1"/>
  <c r="E117" i="1" l="1"/>
  <c r="I116" i="1"/>
  <c r="E118" i="1" l="1"/>
  <c r="I117" i="1"/>
  <c r="E119" i="1" l="1"/>
  <c r="I118" i="1"/>
  <c r="E120" i="1" l="1"/>
  <c r="I119" i="1"/>
  <c r="E121" i="1" l="1"/>
  <c r="I120" i="1"/>
  <c r="E122" i="1" l="1"/>
  <c r="I121" i="1"/>
  <c r="E123" i="1" l="1"/>
  <c r="I122" i="1"/>
  <c r="E124" i="1" l="1"/>
  <c r="I123" i="1"/>
  <c r="E125" i="1" l="1"/>
  <c r="I124" i="1"/>
  <c r="E126" i="1" l="1"/>
  <c r="I125" i="1"/>
  <c r="E127" i="1" l="1"/>
  <c r="I126" i="1"/>
  <c r="I127" i="1" l="1"/>
  <c r="E128" i="1"/>
  <c r="E129" i="1" l="1"/>
  <c r="I128" i="1"/>
  <c r="E130" i="1" l="1"/>
  <c r="I129" i="1"/>
  <c r="E131" i="1" l="1"/>
  <c r="I130" i="1"/>
  <c r="I131" i="1" l="1"/>
  <c r="E132" i="1"/>
  <c r="E133" i="1" l="1"/>
  <c r="I132" i="1"/>
  <c r="E134" i="1" l="1"/>
  <c r="I133" i="1"/>
  <c r="E135" i="1" l="1"/>
  <c r="I134" i="1"/>
  <c r="E136" i="1" l="1"/>
  <c r="I135" i="1"/>
  <c r="E137" i="1" l="1"/>
  <c r="I136" i="1"/>
  <c r="E138" i="1" l="1"/>
  <c r="I137" i="1"/>
  <c r="I138" i="1" l="1"/>
  <c r="E139" i="1"/>
  <c r="I139" i="1" l="1"/>
  <c r="E140" i="1"/>
  <c r="E141" i="1" l="1"/>
  <c r="I140" i="1"/>
  <c r="E142" i="1" l="1"/>
  <c r="I141" i="1"/>
  <c r="E143" i="1" l="1"/>
  <c r="I142" i="1"/>
  <c r="E144" i="1" l="1"/>
  <c r="I143" i="1"/>
  <c r="E145" i="1" l="1"/>
  <c r="I144" i="1"/>
  <c r="E146" i="1" l="1"/>
  <c r="I145" i="1"/>
  <c r="E147" i="1" l="1"/>
  <c r="I146" i="1"/>
  <c r="E148" i="1" l="1"/>
  <c r="I147" i="1"/>
  <c r="E149" i="1" l="1"/>
  <c r="I148" i="1"/>
  <c r="E150" i="1" l="1"/>
  <c r="I149" i="1"/>
  <c r="I150" i="1" l="1"/>
  <c r="E151" i="1"/>
  <c r="E152" i="1" l="1"/>
  <c r="I151" i="1"/>
  <c r="E153" i="1" l="1"/>
  <c r="I152" i="1"/>
  <c r="E154" i="1" l="1"/>
  <c r="I153" i="1"/>
  <c r="E155" i="1" l="1"/>
  <c r="I154" i="1"/>
  <c r="E156" i="1" l="1"/>
  <c r="I155" i="1"/>
  <c r="E157" i="1" l="1"/>
  <c r="I156" i="1"/>
  <c r="E158" i="1" l="1"/>
  <c r="I157" i="1"/>
  <c r="I158" i="1" l="1"/>
  <c r="E159" i="1"/>
  <c r="E160" i="1" l="1"/>
  <c r="I159" i="1"/>
  <c r="E161" i="1" l="1"/>
  <c r="I160" i="1"/>
  <c r="E162" i="1" l="1"/>
  <c r="I161" i="1"/>
  <c r="E163" i="1" l="1"/>
  <c r="I162" i="1"/>
  <c r="I163" i="1" l="1"/>
  <c r="E164" i="1"/>
  <c r="I164" i="1" l="1"/>
  <c r="E165" i="1"/>
  <c r="E166" i="1" l="1"/>
  <c r="I165" i="1"/>
  <c r="E167" i="1" l="1"/>
  <c r="I166" i="1"/>
  <c r="E168" i="1" l="1"/>
  <c r="I167" i="1"/>
  <c r="E169" i="1" l="1"/>
  <c r="I168" i="1"/>
  <c r="E170" i="1" l="1"/>
  <c r="I169" i="1"/>
  <c r="E171" i="1" l="1"/>
  <c r="I170" i="1"/>
  <c r="E172" i="1" l="1"/>
  <c r="I171" i="1"/>
  <c r="E173" i="1" l="1"/>
  <c r="I172" i="1"/>
  <c r="E174" i="1" l="1"/>
  <c r="I173" i="1"/>
  <c r="E175" i="1" l="1"/>
  <c r="I174" i="1"/>
  <c r="E176" i="1" l="1"/>
  <c r="I175" i="1"/>
  <c r="E177" i="1" l="1"/>
  <c r="I176" i="1"/>
  <c r="E178" i="1" l="1"/>
  <c r="I177" i="1"/>
  <c r="E179" i="1" l="1"/>
  <c r="I178" i="1"/>
  <c r="E180" i="1" l="1"/>
  <c r="I179" i="1"/>
  <c r="E181" i="1" l="1"/>
  <c r="I180" i="1"/>
  <c r="E182" i="1" l="1"/>
  <c r="I181" i="1"/>
  <c r="E183" i="1" l="1"/>
  <c r="I182" i="1"/>
  <c r="E184" i="1" l="1"/>
  <c r="I183" i="1"/>
  <c r="E185" i="1" l="1"/>
  <c r="I184" i="1"/>
  <c r="E186" i="1" l="1"/>
  <c r="I185" i="1"/>
  <c r="E187" i="1" l="1"/>
  <c r="I186" i="1"/>
  <c r="E188" i="1" l="1"/>
  <c r="I187" i="1"/>
  <c r="E189" i="1" l="1"/>
  <c r="I188" i="1"/>
  <c r="E190" i="1" l="1"/>
  <c r="I189" i="1"/>
  <c r="I190" i="1" l="1"/>
  <c r="E191" i="1"/>
  <c r="E192" i="1" l="1"/>
  <c r="I191" i="1"/>
  <c r="E193" i="1" l="1"/>
  <c r="I192" i="1"/>
  <c r="E194" i="1" l="1"/>
  <c r="I193" i="1"/>
  <c r="E195" i="1" l="1"/>
  <c r="I194" i="1"/>
  <c r="E196" i="1" l="1"/>
  <c r="I195" i="1"/>
  <c r="E197" i="1" l="1"/>
  <c r="I196" i="1"/>
  <c r="E198" i="1" l="1"/>
  <c r="I197" i="1"/>
  <c r="E199" i="1" l="1"/>
  <c r="I198" i="1"/>
  <c r="E200" i="1" l="1"/>
  <c r="I199" i="1"/>
  <c r="E201" i="1" l="1"/>
  <c r="I200" i="1"/>
  <c r="E202" i="1" l="1"/>
  <c r="I201" i="1"/>
  <c r="E203" i="1" l="1"/>
  <c r="I202" i="1"/>
  <c r="E204" i="1" l="1"/>
  <c r="I203" i="1"/>
  <c r="E205" i="1" l="1"/>
  <c r="I204" i="1"/>
  <c r="E206" i="1" l="1"/>
  <c r="I205" i="1"/>
  <c r="I206" i="1" l="1"/>
  <c r="E207" i="1"/>
  <c r="E208" i="1" l="1"/>
  <c r="I207" i="1"/>
  <c r="E209" i="1" l="1"/>
  <c r="I208" i="1"/>
  <c r="E210" i="1" l="1"/>
  <c r="I209" i="1"/>
  <c r="I210" i="1" l="1"/>
  <c r="E211" i="1"/>
  <c r="E212" i="1" l="1"/>
  <c r="I211" i="1"/>
  <c r="E213" i="1" l="1"/>
  <c r="I212" i="1"/>
  <c r="E214" i="1" l="1"/>
  <c r="I213" i="1"/>
  <c r="E215" i="1" l="1"/>
  <c r="I214" i="1"/>
  <c r="E216" i="1" l="1"/>
  <c r="I215" i="1"/>
  <c r="E217" i="1" l="1"/>
  <c r="I216" i="1"/>
  <c r="E218" i="1" l="1"/>
  <c r="I217" i="1"/>
  <c r="E219" i="1" l="1"/>
  <c r="I218" i="1"/>
  <c r="E220" i="1" l="1"/>
  <c r="I219" i="1"/>
  <c r="E221" i="1" l="1"/>
  <c r="I220" i="1"/>
  <c r="E222" i="1" l="1"/>
  <c r="I221" i="1"/>
  <c r="E223" i="1" l="1"/>
  <c r="I222" i="1"/>
  <c r="E224" i="1" l="1"/>
  <c r="I223" i="1"/>
  <c r="E225" i="1" l="1"/>
  <c r="I224" i="1"/>
  <c r="E226" i="1" l="1"/>
  <c r="I225" i="1"/>
  <c r="I226" i="1" l="1"/>
  <c r="E227" i="1"/>
  <c r="E228" i="1" l="1"/>
  <c r="I227" i="1"/>
  <c r="E229" i="1" l="1"/>
  <c r="I228" i="1"/>
  <c r="E230" i="1" l="1"/>
  <c r="I229" i="1"/>
  <c r="E231" i="1" l="1"/>
  <c r="I230" i="1"/>
  <c r="E232" i="1" l="1"/>
  <c r="I231" i="1"/>
  <c r="E233" i="1" l="1"/>
  <c r="I232" i="1"/>
  <c r="E234" i="1" l="1"/>
  <c r="I233" i="1"/>
  <c r="E235" i="1" l="1"/>
  <c r="I234" i="1"/>
  <c r="E236" i="1" l="1"/>
  <c r="I235" i="1"/>
  <c r="E237" i="1" l="1"/>
  <c r="I236" i="1"/>
  <c r="E238" i="1" l="1"/>
  <c r="I237" i="1"/>
  <c r="E239" i="1" l="1"/>
  <c r="I238" i="1"/>
  <c r="E240" i="1" l="1"/>
  <c r="I239" i="1"/>
  <c r="E241" i="1" l="1"/>
  <c r="I240" i="1"/>
  <c r="E242" i="1" l="1"/>
  <c r="I241" i="1"/>
  <c r="E243" i="1" l="1"/>
  <c r="I242" i="1"/>
  <c r="E244" i="1" l="1"/>
  <c r="I243" i="1"/>
  <c r="E245" i="1" l="1"/>
  <c r="I244" i="1"/>
  <c r="E246" i="1" l="1"/>
  <c r="I245" i="1"/>
  <c r="E247" i="1" l="1"/>
  <c r="I246" i="1"/>
  <c r="E248" i="1" l="1"/>
  <c r="I247" i="1"/>
  <c r="E249" i="1" l="1"/>
  <c r="I248" i="1"/>
  <c r="E250" i="1" l="1"/>
  <c r="I249" i="1"/>
  <c r="E251" i="1" l="1"/>
  <c r="I250" i="1"/>
  <c r="E252" i="1" l="1"/>
  <c r="I251" i="1"/>
  <c r="E253" i="1" l="1"/>
  <c r="I252" i="1"/>
  <c r="E254" i="1" l="1"/>
  <c r="I253" i="1"/>
  <c r="E255" i="1" l="1"/>
  <c r="I254" i="1"/>
  <c r="E256" i="1" l="1"/>
  <c r="I255" i="1"/>
  <c r="E257" i="1" l="1"/>
  <c r="I256" i="1"/>
  <c r="E258" i="1" l="1"/>
  <c r="I257" i="1"/>
  <c r="E259" i="1" l="1"/>
  <c r="I258" i="1"/>
  <c r="I259" i="1" l="1"/>
  <c r="E260" i="1"/>
  <c r="E261" i="1" l="1"/>
  <c r="I260" i="1"/>
  <c r="E262" i="1" l="1"/>
  <c r="I261" i="1"/>
  <c r="E263" i="1" l="1"/>
  <c r="I262" i="1"/>
  <c r="E264" i="1" l="1"/>
  <c r="I263" i="1"/>
  <c r="E265" i="1" l="1"/>
  <c r="I264" i="1"/>
  <c r="E266" i="1" l="1"/>
  <c r="I265" i="1"/>
  <c r="E267" i="1" l="1"/>
  <c r="I266" i="1"/>
  <c r="E268" i="1" l="1"/>
  <c r="I267" i="1"/>
  <c r="E269" i="1" l="1"/>
  <c r="I268" i="1"/>
  <c r="E270" i="1" l="1"/>
  <c r="I269" i="1"/>
  <c r="E271" i="1" l="1"/>
  <c r="I270" i="1"/>
  <c r="E272" i="1" l="1"/>
  <c r="I271" i="1"/>
  <c r="E273" i="1" l="1"/>
  <c r="I272" i="1"/>
  <c r="E274" i="1" l="1"/>
  <c r="I273" i="1"/>
  <c r="E275" i="1" l="1"/>
  <c r="I274" i="1"/>
  <c r="E276" i="1" l="1"/>
  <c r="I275" i="1"/>
  <c r="E277" i="1" l="1"/>
  <c r="I276" i="1"/>
  <c r="E278" i="1" l="1"/>
  <c r="I277" i="1"/>
  <c r="E279" i="1" l="1"/>
  <c r="I278" i="1"/>
  <c r="E280" i="1" l="1"/>
  <c r="I279" i="1"/>
  <c r="E281" i="1" l="1"/>
  <c r="I280" i="1"/>
  <c r="E282" i="1" l="1"/>
  <c r="I281" i="1"/>
  <c r="E283" i="1" l="1"/>
  <c r="I282" i="1"/>
  <c r="E284" i="1" l="1"/>
  <c r="I283" i="1"/>
  <c r="E285" i="1" l="1"/>
  <c r="I284" i="1"/>
  <c r="E286" i="1" l="1"/>
  <c r="I285" i="1"/>
  <c r="E287" i="1" l="1"/>
  <c r="I286" i="1"/>
  <c r="E288" i="1" l="1"/>
  <c r="I287" i="1"/>
  <c r="E289" i="1" l="1"/>
  <c r="I288" i="1"/>
  <c r="E290" i="1" l="1"/>
  <c r="I289" i="1"/>
  <c r="E291" i="1" l="1"/>
  <c r="I290" i="1"/>
  <c r="E292" i="1" l="1"/>
  <c r="I291" i="1"/>
  <c r="E293" i="1" l="1"/>
  <c r="I292" i="1"/>
  <c r="E294" i="1" l="1"/>
  <c r="I293" i="1"/>
  <c r="E295" i="1" l="1"/>
  <c r="I294" i="1"/>
  <c r="E296" i="1" l="1"/>
  <c r="I295" i="1"/>
  <c r="E297" i="1" l="1"/>
  <c r="I296" i="1"/>
  <c r="E298" i="1" l="1"/>
  <c r="I297" i="1"/>
  <c r="E299" i="1" l="1"/>
  <c r="I298" i="1"/>
  <c r="E300" i="1" l="1"/>
  <c r="E301" i="1" s="1"/>
  <c r="I299" i="1"/>
  <c r="E302" i="1" l="1"/>
  <c r="I301" i="1"/>
  <c r="I300" i="1"/>
  <c r="E303" i="1" l="1"/>
  <c r="I302" i="1"/>
  <c r="E304" i="1" l="1"/>
  <c r="I303" i="1"/>
  <c r="E305" i="1" l="1"/>
  <c r="I304" i="1"/>
  <c r="E306" i="1" l="1"/>
  <c r="I305" i="1"/>
  <c r="E307" i="1" l="1"/>
  <c r="I306" i="1"/>
  <c r="E308" i="1" l="1"/>
  <c r="I307" i="1"/>
  <c r="E309" i="1" l="1"/>
  <c r="I308" i="1"/>
  <c r="E310" i="1" l="1"/>
  <c r="I309" i="1"/>
  <c r="E311" i="1" l="1"/>
  <c r="I310" i="1"/>
  <c r="E312" i="1" l="1"/>
  <c r="I311" i="1"/>
  <c r="E313" i="1" l="1"/>
  <c r="I312" i="1"/>
  <c r="E314" i="1" l="1"/>
  <c r="I313" i="1"/>
  <c r="E315" i="1" l="1"/>
  <c r="I314" i="1"/>
  <c r="E316" i="1" l="1"/>
  <c r="I315" i="1"/>
  <c r="E317" i="1" l="1"/>
  <c r="I316" i="1"/>
  <c r="E318" i="1" l="1"/>
  <c r="I317" i="1"/>
  <c r="E319" i="1" l="1"/>
  <c r="I318" i="1"/>
  <c r="E320" i="1" l="1"/>
  <c r="I319" i="1"/>
  <c r="E321" i="1" l="1"/>
  <c r="I320" i="1"/>
  <c r="E322" i="1" l="1"/>
  <c r="I321" i="1"/>
  <c r="E323" i="1" l="1"/>
  <c r="I322" i="1"/>
  <c r="I323" i="1" l="1"/>
  <c r="E324" i="1"/>
  <c r="E325" i="1" l="1"/>
  <c r="I324" i="1"/>
  <c r="E326" i="1" l="1"/>
  <c r="I325" i="1"/>
  <c r="E327" i="1" l="1"/>
  <c r="I326" i="1"/>
  <c r="E328" i="1" l="1"/>
  <c r="I327" i="1"/>
  <c r="I328" i="1" l="1"/>
  <c r="E329" i="1"/>
  <c r="E330" i="1" l="1"/>
  <c r="I329" i="1"/>
  <c r="I330" i="1" l="1"/>
  <c r="E331" i="1"/>
  <c r="E332" i="1" l="1"/>
  <c r="I331" i="1"/>
  <c r="I332" i="1" l="1"/>
  <c r="E333" i="1"/>
  <c r="I333" i="1" l="1"/>
  <c r="E334" i="1"/>
  <c r="E335" i="1" l="1"/>
  <c r="I334" i="1"/>
  <c r="E336" i="1" l="1"/>
  <c r="I335" i="1"/>
  <c r="E337" i="1" l="1"/>
  <c r="I336" i="1"/>
  <c r="E338" i="1" l="1"/>
  <c r="I337" i="1"/>
  <c r="I338" i="1" l="1"/>
  <c r="E339" i="1"/>
  <c r="E340" i="1" l="1"/>
  <c r="I339" i="1"/>
  <c r="E341" i="1" l="1"/>
  <c r="I340" i="1"/>
  <c r="I341" i="1" l="1"/>
  <c r="E342" i="1"/>
  <c r="I342" i="1" l="1"/>
  <c r="E343" i="1"/>
  <c r="I343" i="1" l="1"/>
  <c r="E344" i="1"/>
  <c r="E345" i="1" l="1"/>
  <c r="I344" i="1"/>
  <c r="I345" i="1" l="1"/>
  <c r="E346" i="1"/>
  <c r="I346" i="1" l="1"/>
  <c r="E347" i="1"/>
  <c r="E348" i="1" l="1"/>
  <c r="I347" i="1"/>
  <c r="I348" i="1" l="1"/>
  <c r="E349" i="1"/>
  <c r="E350" i="1" l="1"/>
  <c r="I349" i="1"/>
  <c r="I350" i="1" l="1"/>
  <c r="E351" i="1"/>
  <c r="E352" i="1" l="1"/>
  <c r="I351" i="1"/>
  <c r="E353" i="1" l="1"/>
  <c r="I352" i="1"/>
  <c r="E354" i="1" l="1"/>
  <c r="I353" i="1"/>
  <c r="I354" i="1" l="1"/>
  <c r="E355" i="1"/>
  <c r="E356" i="1" l="1"/>
  <c r="I355" i="1"/>
  <c r="E357" i="1" l="1"/>
  <c r="I356" i="1"/>
  <c r="E358" i="1" l="1"/>
  <c r="I357" i="1"/>
  <c r="E359" i="1" l="1"/>
  <c r="I358" i="1"/>
  <c r="E360" i="1" l="1"/>
  <c r="I359" i="1"/>
  <c r="I360" i="1" l="1"/>
  <c r="E361" i="1"/>
  <c r="E362" i="1" l="1"/>
  <c r="I361" i="1"/>
  <c r="E363" i="1" l="1"/>
  <c r="I362" i="1"/>
  <c r="I363" i="1" l="1"/>
  <c r="E364" i="1"/>
  <c r="E365" i="1" l="1"/>
  <c r="I364" i="1"/>
  <c r="E366" i="1" l="1"/>
  <c r="I365" i="1"/>
  <c r="I366" i="1" l="1"/>
  <c r="E367" i="1"/>
  <c r="I367" i="1" l="1"/>
  <c r="E368" i="1"/>
  <c r="E369" i="1" l="1"/>
  <c r="I368" i="1"/>
  <c r="E370" i="1" l="1"/>
  <c r="I369" i="1"/>
  <c r="I370" i="1" l="1"/>
  <c r="E371" i="1"/>
  <c r="I371" i="1" l="1"/>
  <c r="E372" i="1"/>
  <c r="I372" i="1" l="1"/>
  <c r="E373" i="1"/>
  <c r="E374" i="1" l="1"/>
  <c r="I373" i="1"/>
  <c r="I374" i="1" l="1"/>
  <c r="E375" i="1"/>
  <c r="E376" i="1" l="1"/>
  <c r="I375" i="1"/>
  <c r="I376" i="1" l="1"/>
  <c r="E377" i="1"/>
  <c r="E378" i="1" l="1"/>
  <c r="I377" i="1"/>
  <c r="E379" i="1" l="1"/>
  <c r="I378" i="1"/>
  <c r="E380" i="1" l="1"/>
  <c r="I379" i="1"/>
  <c r="I380" i="1" l="1"/>
  <c r="E381" i="1"/>
  <c r="E382" i="1" l="1"/>
  <c r="I381" i="1"/>
  <c r="I382" i="1" l="1"/>
  <c r="E383" i="1"/>
  <c r="E384" i="1" l="1"/>
  <c r="I383" i="1"/>
  <c r="E385" i="1" l="1"/>
  <c r="I384" i="1"/>
  <c r="E386" i="1" l="1"/>
  <c r="I385" i="1"/>
  <c r="E387" i="1" l="1"/>
  <c r="I386" i="1"/>
  <c r="E388" i="1" l="1"/>
  <c r="I387" i="1"/>
  <c r="I388" i="1" l="1"/>
  <c r="E389" i="1"/>
  <c r="I389" i="1" l="1"/>
  <c r="E390" i="1"/>
  <c r="E391" i="1" l="1"/>
  <c r="I390" i="1"/>
  <c r="E392" i="1" l="1"/>
  <c r="I391" i="1"/>
  <c r="E393" i="1" l="1"/>
  <c r="I392" i="1"/>
  <c r="E394" i="1" l="1"/>
  <c r="I393" i="1"/>
  <c r="E395" i="1" l="1"/>
  <c r="I394" i="1"/>
  <c r="E396" i="1" l="1"/>
  <c r="I395" i="1"/>
  <c r="I396" i="1" l="1"/>
  <c r="E397" i="1"/>
  <c r="I397" i="1" l="1"/>
  <c r="E398" i="1"/>
  <c r="E399" i="1" l="1"/>
  <c r="I398" i="1"/>
  <c r="E400" i="1" l="1"/>
  <c r="I399" i="1"/>
  <c r="I400" i="1" l="1"/>
  <c r="E401" i="1"/>
  <c r="I401" i="1" l="1"/>
  <c r="E402" i="1"/>
  <c r="E403" i="1" l="1"/>
  <c r="I402" i="1"/>
  <c r="E404" i="1" l="1"/>
  <c r="I403" i="1"/>
  <c r="I404" i="1" l="1"/>
  <c r="E405" i="1"/>
  <c r="E406" i="1" l="1"/>
  <c r="I405" i="1"/>
  <c r="I406" i="1" l="1"/>
  <c r="E407" i="1"/>
  <c r="E408" i="1" l="1"/>
  <c r="I407" i="1"/>
  <c r="I408" i="1" l="1"/>
  <c r="E409" i="1"/>
  <c r="E410" i="1" l="1"/>
  <c r="I409" i="1"/>
  <c r="I410" i="1" l="1"/>
  <c r="E411" i="1"/>
  <c r="I411" i="1" l="1"/>
  <c r="E412" i="1"/>
  <c r="E413" i="1" l="1"/>
  <c r="I412" i="1"/>
  <c r="E414" i="1" l="1"/>
  <c r="I413" i="1"/>
  <c r="E415" i="1" l="1"/>
  <c r="I414" i="1"/>
  <c r="E416" i="1" l="1"/>
  <c r="I415" i="1"/>
  <c r="E417" i="1" l="1"/>
  <c r="I416" i="1"/>
  <c r="I417" i="1" l="1"/>
  <c r="E418" i="1"/>
  <c r="E419" i="1" l="1"/>
  <c r="I418" i="1"/>
  <c r="E420" i="1" l="1"/>
  <c r="I419" i="1"/>
  <c r="E421" i="1" l="1"/>
  <c r="I420" i="1"/>
  <c r="E422" i="1" l="1"/>
  <c r="I421" i="1"/>
  <c r="E423" i="1" l="1"/>
  <c r="I422" i="1"/>
  <c r="E424" i="1" l="1"/>
  <c r="I423" i="1"/>
  <c r="E425" i="1" l="1"/>
  <c r="I424" i="1"/>
  <c r="I425" i="1" l="1"/>
  <c r="E426" i="1"/>
  <c r="E427" i="1" l="1"/>
  <c r="I426" i="1"/>
  <c r="E428" i="1" l="1"/>
  <c r="I427" i="1"/>
  <c r="E429" i="1" l="1"/>
  <c r="I428" i="1"/>
  <c r="E430" i="1" l="1"/>
  <c r="I429" i="1"/>
  <c r="E431" i="1" l="1"/>
  <c r="I430" i="1"/>
  <c r="E432" i="1" l="1"/>
  <c r="I431" i="1"/>
  <c r="I432" i="1" l="1"/>
  <c r="E433" i="1"/>
  <c r="I433" i="1" l="1"/>
  <c r="E434" i="1"/>
  <c r="E435" i="1" l="1"/>
  <c r="I434" i="1"/>
  <c r="E436" i="1" l="1"/>
  <c r="I435" i="1"/>
  <c r="E437" i="1" l="1"/>
  <c r="I436" i="1"/>
  <c r="E438" i="1" l="1"/>
  <c r="I437" i="1"/>
  <c r="E439" i="1" l="1"/>
  <c r="I438" i="1"/>
  <c r="E440" i="1" l="1"/>
  <c r="I439" i="1"/>
  <c r="E441" i="1" l="1"/>
  <c r="I440" i="1"/>
  <c r="E442" i="1" l="1"/>
  <c r="I441" i="1"/>
  <c r="E443" i="1" l="1"/>
  <c r="I442" i="1"/>
  <c r="E444" i="1" l="1"/>
  <c r="I443" i="1"/>
  <c r="E445" i="1" l="1"/>
  <c r="I444" i="1"/>
  <c r="E446" i="1" l="1"/>
  <c r="I445" i="1"/>
  <c r="I446" i="1" l="1"/>
  <c r="E447" i="1"/>
  <c r="E448" i="1" l="1"/>
  <c r="I447" i="1"/>
  <c r="E449" i="1" l="1"/>
  <c r="I448" i="1"/>
  <c r="E450" i="1" l="1"/>
  <c r="I449" i="1"/>
  <c r="E451" i="1" l="1"/>
  <c r="I450" i="1"/>
  <c r="E452" i="1" l="1"/>
  <c r="I451" i="1"/>
  <c r="E453" i="1" l="1"/>
  <c r="I452" i="1"/>
  <c r="E454" i="1" l="1"/>
  <c r="I453" i="1"/>
  <c r="E455" i="1" l="1"/>
  <c r="I454" i="1"/>
  <c r="E456" i="1" l="1"/>
  <c r="I455" i="1"/>
  <c r="E457" i="1" l="1"/>
  <c r="I456" i="1"/>
  <c r="E458" i="1" l="1"/>
  <c r="I457" i="1"/>
  <c r="E459" i="1" l="1"/>
  <c r="I458" i="1"/>
  <c r="E460" i="1" l="1"/>
  <c r="I459" i="1"/>
  <c r="E461" i="1" l="1"/>
  <c r="I460" i="1"/>
  <c r="E462" i="1" l="1"/>
  <c r="I461" i="1"/>
  <c r="I462" i="1" l="1"/>
  <c r="E463" i="1"/>
  <c r="E464" i="1" l="1"/>
  <c r="I463" i="1"/>
  <c r="E465" i="1" l="1"/>
  <c r="I464" i="1"/>
  <c r="E466" i="1" l="1"/>
  <c r="I465" i="1"/>
  <c r="E467" i="1" l="1"/>
  <c r="I466" i="1"/>
  <c r="E468" i="1" l="1"/>
  <c r="I467" i="1"/>
  <c r="E469" i="1" l="1"/>
  <c r="I468" i="1"/>
  <c r="I469" i="1" l="1"/>
  <c r="E470" i="1"/>
  <c r="E471" i="1" l="1"/>
  <c r="I470" i="1"/>
  <c r="E472" i="1" l="1"/>
  <c r="I471" i="1"/>
  <c r="E473" i="1" l="1"/>
  <c r="I472" i="1"/>
  <c r="E474" i="1" l="1"/>
  <c r="I473" i="1"/>
  <c r="E475" i="1" l="1"/>
  <c r="I474" i="1"/>
  <c r="E476" i="1" l="1"/>
  <c r="I475" i="1"/>
  <c r="I476" i="1" l="1"/>
  <c r="E477" i="1"/>
  <c r="E478" i="1" l="1"/>
  <c r="I477" i="1"/>
  <c r="E479" i="1" l="1"/>
  <c r="I478" i="1"/>
  <c r="E480" i="1" l="1"/>
  <c r="I479" i="1"/>
  <c r="E481" i="1" l="1"/>
  <c r="I480" i="1"/>
  <c r="E482" i="1" l="1"/>
  <c r="I481" i="1"/>
  <c r="E483" i="1" l="1"/>
  <c r="I482" i="1"/>
  <c r="E484" i="1" l="1"/>
  <c r="I483" i="1"/>
  <c r="E485" i="1" l="1"/>
  <c r="I484" i="1"/>
  <c r="E486" i="1" l="1"/>
  <c r="I485" i="1"/>
  <c r="E487" i="1" l="1"/>
  <c r="I486" i="1"/>
  <c r="E488" i="1" l="1"/>
  <c r="I487" i="1"/>
  <c r="I488" i="1" l="1"/>
  <c r="E489" i="1"/>
  <c r="E490" i="1" l="1"/>
  <c r="I489" i="1"/>
  <c r="E491" i="1" l="1"/>
  <c r="I490" i="1"/>
  <c r="E492" i="1" l="1"/>
  <c r="I491" i="1"/>
  <c r="E493" i="1" l="1"/>
  <c r="I492" i="1"/>
  <c r="E494" i="1" l="1"/>
  <c r="I493" i="1"/>
  <c r="E495" i="1" l="1"/>
  <c r="I494" i="1"/>
  <c r="E496" i="1" l="1"/>
  <c r="I495" i="1"/>
  <c r="E497" i="1" l="1"/>
  <c r="I496" i="1"/>
  <c r="I497" i="1" l="1"/>
  <c r="E500" i="1" l="1"/>
  <c r="H8" i="1" l="1"/>
  <c r="H6" i="1" s="1"/>
  <c r="H9" i="1" s="1"/>
  <c r="I500" i="1"/>
</calcChain>
</file>

<file path=xl/comments1.xml><?xml version="1.0" encoding="utf-8"?>
<comments xmlns="http://schemas.openxmlformats.org/spreadsheetml/2006/main">
  <authors>
    <author>dell</author>
  </authors>
  <commentList>
    <comment ref="A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  <comment ref="B2" authorId="0" shapeId="0">
      <text>
        <r>
          <rPr>
            <b/>
            <sz val="9"/>
            <color indexed="81"/>
            <rFont val="Tahoma"/>
            <family val="2"/>
          </rPr>
          <t>Lưu ý nhỏ:
- Thay đổi "ngày quá hạn hoặc cập nhật LKGD hoặc LKLS" thì nên xóa sheet tính đi và bấm vào robot lại cho chính xác
- Thay đổi "Người lập bảng" thì tự động sẽ cập nhật tất cả các bảng tính
- Thay đổi "ngày cần tính" thì tự động sẽ cập nhật tất cả các bảng kê đã tính</t>
        </r>
      </text>
    </comment>
  </commentList>
</comments>
</file>

<file path=xl/sharedStrings.xml><?xml version="1.0" encoding="utf-8"?>
<sst xmlns="http://schemas.openxmlformats.org/spreadsheetml/2006/main" count="178" uniqueCount="76">
  <si>
    <t>Tổng hợp thông tin hợp đồng</t>
  </si>
  <si>
    <t>Tên khách hàng</t>
  </si>
  <si>
    <t>Mã khách hàng</t>
  </si>
  <si>
    <t>Số hợp đồng</t>
  </si>
  <si>
    <t>Số tiền vay</t>
  </si>
  <si>
    <t>Ngày phát vay</t>
  </si>
  <si>
    <t>Ngày quá hạn</t>
  </si>
  <si>
    <t>Trạng thái</t>
  </si>
  <si>
    <t>Đến ngày</t>
  </si>
  <si>
    <t>Số ngày tính lãi</t>
  </si>
  <si>
    <t>Nợ Gốc</t>
  </si>
  <si>
    <t>Lãi suất TH (%)</t>
  </si>
  <si>
    <t>Lãi trong hạn</t>
  </si>
  <si>
    <t>Lãi quá hạn</t>
  </si>
  <si>
    <t>Gốc đã trả</t>
  </si>
  <si>
    <t>Lãi đã trả</t>
  </si>
  <si>
    <t>Tổng</t>
  </si>
  <si>
    <t>Ngày cần tính</t>
  </si>
  <si>
    <t>- Nợ gốc</t>
  </si>
  <si>
    <t>- Nợ lãi</t>
  </si>
  <si>
    <t>- Gốc đã trả</t>
  </si>
  <si>
    <t>- Lãi đã trả</t>
  </si>
  <si>
    <t>Từ ngày</t>
  </si>
  <si>
    <t xml:space="preserve">BẢNG TÓM TẮT SAO KÊ    </t>
  </si>
  <si>
    <t>Thống kê</t>
  </si>
  <si>
    <t>Sao kê</t>
  </si>
  <si>
    <t>* Nợ gốc = Số tiền phát vay - Gốc đã trả</t>
  </si>
  <si>
    <t xml:space="preserve">     + Nợ lãi TH</t>
  </si>
  <si>
    <t xml:space="preserve">     + Nợ lãi QH</t>
  </si>
  <si>
    <t>* Lãi suất QH = Lãi Suất TH * 150%</t>
  </si>
  <si>
    <t>Lãi suất QH (%)</t>
  </si>
  <si>
    <t>BAOTG10</t>
  </si>
  <si>
    <t>BAO</t>
  </si>
  <si>
    <t>TG10</t>
  </si>
  <si>
    <t>- Tổng dư nợ</t>
  </si>
  <si>
    <t>* Nợ lãi TH = Tổng lãi TH - Lãi TH đã trả</t>
  </si>
  <si>
    <t xml:space="preserve">     + Lãi TH đã trả</t>
  </si>
  <si>
    <t xml:space="preserve">     + Lãi QH đã trả</t>
  </si>
  <si>
    <t>* Nợ lãi QH= Tổng lãi QH - Lãi QH đã trả</t>
  </si>
  <si>
    <t>* Nợ lãi = Nợ lãi TH + Nợ lãi QH</t>
  </si>
  <si>
    <t>Tổng tiền đã trả</t>
  </si>
  <si>
    <t>* Tổng dư nợ = Nợ gốc + Nợ lãi</t>
  </si>
  <si>
    <t>LD2320800279</t>
  </si>
  <si>
    <t>LD2320800347</t>
  </si>
  <si>
    <t>LD2424301291</t>
  </si>
  <si>
    <t>LD2429901150</t>
  </si>
  <si>
    <t>LD2431900537</t>
  </si>
  <si>
    <t>B3_ID</t>
  </si>
  <si>
    <t>FilePath</t>
  </si>
  <si>
    <t>LastModified</t>
  </si>
  <si>
    <t>StartCol</t>
  </si>
  <si>
    <t>C:\Users\dell\Desktop\New folder (2)\New folder (3)\New Microsoft Excel Worksheet - Copy (3).csv</t>
  </si>
  <si>
    <t>ADDED</t>
  </si>
  <si>
    <t>Thêm kh?i m?i</t>
  </si>
  <si>
    <t>C:\Users\dell\Desktop\New folder (2)\New folder (3)\New Microsoft Excel Worksheet - Copy (4).csv</t>
  </si>
  <si>
    <t>C:\Users\dell\Desktop\New folder (2)\New folder (3)\New Microsoft Excel Worksheet - Copy.csv</t>
  </si>
  <si>
    <t>C:\Users\dell\Desktop\New folder (2)\New folder (3)\New Microsoft Excel Worksheet.csv</t>
  </si>
  <si>
    <t>C:\Users\dell\Desktop\New folder (2)\New folder (3)\New Microsoft Excel Worksheet - Copy (2).csv</t>
  </si>
  <si>
    <t>C:\Users\dell\Desktop\New folder (3)\New Microsoft Excel Worksheet.csv</t>
  </si>
  <si>
    <t>C:\Users\dell\Desktop\New folder (3)\New Microsoft Excel Worksheet - Copy (2).csv</t>
  </si>
  <si>
    <t>C:\Users\dell\Desktop\New folder (3)\New Microsoft Excel Worksheet - Copy (3).csv</t>
  </si>
  <si>
    <t>C:\Users\dell\Desktop\New folder (3)\New Microsoft Excel Worksheet - Copy (4).csv</t>
  </si>
  <si>
    <t>C:\Users\dell\Desktop\New folder (3)\New Microsoft Excel Worksheet - Copy.csv</t>
  </si>
  <si>
    <t>UPDATED</t>
  </si>
  <si>
    <t>C?p nh?t kh?i cu</t>
  </si>
  <si>
    <t>Người lập bảng</t>
  </si>
  <si>
    <t>Hợp đồng số</t>
  </si>
  <si>
    <t>Nợ gốc</t>
  </si>
  <si>
    <t>Nợ lãi</t>
  </si>
  <si>
    <t>CHATBOX TỰ ĐỘNG</t>
  </si>
  <si>
    <t>baotg10</t>
  </si>
  <si>
    <t>📁 UP FILE HTML
LKGD</t>
  </si>
  <si>
    <t>📁 UP FILE HTML
LKLS</t>
  </si>
  <si>
    <r>
      <rPr>
        <b/>
        <sz val="15"/>
        <color rgb="FF143F8F"/>
        <rFont val="Segoe UI"/>
        <family val="2"/>
      </rPr>
      <t>⚙</t>
    </r>
    <r>
      <rPr>
        <b/>
        <sz val="15"/>
        <color rgb="FF0B3B8F"/>
        <rFont val="Segoe UI"/>
        <family val="2"/>
      </rPr>
      <t xml:space="preserve"> TẠO BKTL</t>
    </r>
  </si>
  <si>
    <t>BẢNG KÊ TÍNH LÃI KHOẢN VAY</t>
  </si>
  <si>
    <r>
      <t xml:space="preserve">⚠ LƯU Ý: File sao kê tải về phải được đặt trong thư mục Download.
- Có thể UP nhiều file cùng một lúc
- Bấm vào sheet LKLS để điều chỉnh lãi suất nếu cần
- </t>
    </r>
    <r>
      <rPr>
        <b/>
        <sz val="9"/>
        <color rgb="FFFF0000"/>
        <rFont val="Segoe UI"/>
        <family val="2"/>
      </rPr>
      <t>Khi bấm tạo BKTL lần 2 để cập nhật thì xóa sheet cũ đi để không bị mất dòng tổng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</si>
</sst>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43" formatCode="_-* #,##0.00_-;\-* #,##0.00_-;_-* &quot;-&quot;??_-;_-@_-"/>
    <numFmt numFmtId="164" formatCode="_(* #,##0.00_);_(* \(#,##0.00\);_(* &quot;-&quot;??_);_(@_)"/>
    <numFmt numFmtId="165" formatCode="_-* #,##0_-;\-* #,##0_-;_-* &quot;-&quot;??_-;_-@_-"/>
    <numFmt numFmtId="166" formatCode="#,##0_ ;\-#,##0\ "/>
    <numFmt numFmtId="167" formatCode="0.0%"/>
    <numFmt numFmtId="168" formatCode="#,##0;[Red]\(#,##0\);\-"/>
  </numFmts>
  <fonts count="28" x14ac:knownFonts="1">
    <font>
      <sz val="11"/>
      <color theme="1"/>
      <name val="Calibri"/>
      <family val="2"/>
      <charset val="163"/>
      <scheme val="minor"/>
    </font>
    <font>
      <sz val="11"/>
      <color theme="1"/>
      <name val="Calibri"/>
      <family val="2"/>
      <charset val="163"/>
      <scheme val="minor"/>
    </font>
    <font>
      <b/>
      <sz val="10"/>
      <color theme="1"/>
      <name val="Calibri"/>
      <family val="1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1"/>
      <scheme val="minor"/>
    </font>
    <font>
      <sz val="10"/>
      <color theme="1"/>
      <name val="Calibri"/>
      <family val="2"/>
      <charset val="163"/>
      <scheme val="minor"/>
    </font>
    <font>
      <i/>
      <sz val="9"/>
      <color rgb="FFFF0000"/>
      <name val="Calibri"/>
      <family val="2"/>
      <scheme val="minor"/>
    </font>
    <font>
      <b/>
      <sz val="9.5"/>
      <color theme="1"/>
      <name val="Calibri"/>
      <family val="2"/>
      <charset val="163"/>
      <scheme val="minor"/>
    </font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1"/>
      <color theme="1"/>
      <name val="Segoe UI"/>
      <family val="2"/>
    </font>
    <font>
      <sz val="9"/>
      <color theme="1"/>
      <name val="Segoe UI"/>
      <family val="2"/>
    </font>
    <font>
      <b/>
      <sz val="9"/>
      <color rgb="FFFF0000"/>
      <name val="Segoe UI"/>
      <family val="2"/>
    </font>
    <font>
      <b/>
      <sz val="14"/>
      <color rgb="FFFFFFFF"/>
      <name val="Segoe UI"/>
      <family val="2"/>
    </font>
    <font>
      <b/>
      <sz val="11"/>
      <color theme="0"/>
      <name val="Segoe UI"/>
      <family val="2"/>
    </font>
    <font>
      <b/>
      <sz val="14"/>
      <color rgb="FF143F8F"/>
      <name val="Segoe UI"/>
      <family val="2"/>
    </font>
    <font>
      <b/>
      <sz val="15"/>
      <color rgb="FF0B3B8F"/>
      <name val="Segoe UI"/>
      <family val="2"/>
    </font>
    <font>
      <b/>
      <sz val="15"/>
      <color rgb="FF143F8F"/>
      <name val="Segoe UI"/>
      <family val="2"/>
    </font>
    <font>
      <b/>
      <sz val="9"/>
      <color theme="0"/>
      <name val="Segoe UI"/>
      <family val="2"/>
    </font>
    <font>
      <sz val="11"/>
      <color rgb="FF243447"/>
      <name val="Calibri"/>
      <family val="2"/>
    </font>
    <font>
      <b/>
      <sz val="11"/>
      <color rgb="FF143F8F"/>
      <name val="Calibri"/>
      <family val="2"/>
    </font>
    <font>
      <b/>
      <sz val="10"/>
      <color rgb="FF143F8F"/>
      <name val="Segoe UI"/>
      <family val="2"/>
    </font>
    <font>
      <sz val="11"/>
      <color rgb="FF143F8F"/>
      <name val="Calibri"/>
      <family val="2"/>
    </font>
    <font>
      <b/>
      <sz val="11"/>
      <color rgb="FFFF0000"/>
      <name val="Calibri"/>
      <family val="2"/>
    </font>
    <font>
      <b/>
      <sz val="9"/>
      <color rgb="FF8A6A00"/>
      <name val="Segoe UI"/>
      <family val="2"/>
    </font>
  </fonts>
  <fills count="1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B3B8F"/>
      </patternFill>
    </fill>
    <fill>
      <patternFill patternType="solid">
        <fgColor rgb="FF143F8F"/>
        <bgColor indexed="64"/>
      </patternFill>
    </fill>
    <fill>
      <patternFill patternType="solid">
        <fgColor rgb="FFEAF3FF"/>
      </patternFill>
    </fill>
    <fill>
      <patternFill patternType="solid">
        <fgColor rgb="FFFFF7D6"/>
      </patternFill>
    </fill>
    <fill>
      <patternFill patternType="solid">
        <fgColor rgb="FFF4F6FA"/>
      </patternFill>
    </fill>
  </fills>
  <borders count="22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rgb="FF143F8F"/>
      </left>
      <right style="medium">
        <color rgb="FF143F8F"/>
      </right>
      <top style="medium">
        <color rgb="FF143F8F"/>
      </top>
      <bottom style="medium">
        <color rgb="FF143F8F"/>
      </bottom>
      <diagonal/>
    </border>
    <border>
      <left/>
      <right/>
      <top/>
      <bottom style="thick">
        <color rgb="FF143F8F"/>
      </bottom>
      <diagonal/>
    </border>
    <border>
      <left style="thin">
        <color rgb="FFD9E2F2"/>
      </left>
      <right style="thin">
        <color rgb="FFD9E2F2"/>
      </right>
      <top style="thin">
        <color rgb="FFD9E2F2"/>
      </top>
      <bottom style="thin">
        <color rgb="FFD9E2F2"/>
      </bottom>
      <diagonal/>
    </border>
    <border>
      <left style="thin">
        <color rgb="FFD9E2F2"/>
      </left>
      <right style="thin">
        <color rgb="FFD9E2F2"/>
      </right>
      <top/>
      <bottom style="thin">
        <color rgb="FFD9E2F2"/>
      </bottom>
      <diagonal/>
    </border>
    <border>
      <left/>
      <right/>
      <top style="thin">
        <color rgb="FF143F8F"/>
      </top>
      <bottom/>
      <diagonal/>
    </border>
    <border>
      <left style="thick">
        <color rgb="FF143F8F"/>
      </left>
      <right/>
      <top style="thick">
        <color rgb="FF143F8F"/>
      </top>
      <bottom style="thin">
        <color rgb="FF143F8F"/>
      </bottom>
      <diagonal/>
    </border>
    <border>
      <left/>
      <right/>
      <top style="thick">
        <color rgb="FF143F8F"/>
      </top>
      <bottom style="thin">
        <color rgb="FF143F8F"/>
      </bottom>
      <diagonal/>
    </border>
    <border>
      <left/>
      <right style="thick">
        <color rgb="FF143F8F"/>
      </right>
      <top style="thick">
        <color rgb="FF143F8F"/>
      </top>
      <bottom style="thin">
        <color rgb="FF143F8F"/>
      </bottom>
      <diagonal/>
    </border>
    <border>
      <left style="thick">
        <color rgb="FF143F8F"/>
      </left>
      <right/>
      <top style="thin">
        <color rgb="FF143F8F"/>
      </top>
      <bottom/>
      <diagonal/>
    </border>
    <border>
      <left/>
      <right style="thick">
        <color rgb="FF143F8F"/>
      </right>
      <top style="thin">
        <color rgb="FF143F8F"/>
      </top>
      <bottom/>
      <diagonal/>
    </border>
    <border>
      <left style="thick">
        <color rgb="FF143F8F"/>
      </left>
      <right/>
      <top/>
      <bottom/>
      <diagonal/>
    </border>
    <border>
      <left/>
      <right style="thick">
        <color rgb="FF143F8F"/>
      </right>
      <top/>
      <bottom/>
      <diagonal/>
    </border>
    <border>
      <left style="thick">
        <color rgb="FF143F8F"/>
      </left>
      <right/>
      <top/>
      <bottom style="thick">
        <color rgb="FF143F8F"/>
      </bottom>
      <diagonal/>
    </border>
    <border>
      <left/>
      <right style="thick">
        <color rgb="FF143F8F"/>
      </right>
      <top/>
      <bottom style="thick">
        <color rgb="FF143F8F"/>
      </bottom>
      <diagonal/>
    </border>
    <border>
      <left style="thin">
        <color rgb="FF2B3F7B"/>
      </left>
      <right style="thick">
        <color rgb="FF2B3F7B"/>
      </right>
      <top style="thin">
        <color rgb="FF143F8F"/>
      </top>
      <bottom style="thin">
        <color rgb="FF143F8F"/>
      </bottom>
      <diagonal/>
    </border>
    <border>
      <left style="thin">
        <color rgb="FF2B3F7B"/>
      </left>
      <right style="thin">
        <color rgb="FF2B3F7B"/>
      </right>
      <top style="thin">
        <color rgb="FF143F8F"/>
      </top>
      <bottom style="thin">
        <color rgb="FF143F8F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1" fontId="1" fillId="0" borderId="0" applyFont="0" applyFill="0" applyBorder="0" applyAlignment="0" applyProtection="0"/>
  </cellStyleXfs>
  <cellXfs count="137">
    <xf numFmtId="0" fontId="0" fillId="0" borderId="0" xfId="0"/>
    <xf numFmtId="0" fontId="0" fillId="0" borderId="0" xfId="0" applyNumberFormat="1" applyFont="1" applyFill="1" applyBorder="1" applyProtection="1"/>
    <xf numFmtId="0" fontId="0" fillId="0" borderId="0" xfId="0" applyNumberFormat="1" applyFont="1" applyFill="1" applyBorder="1" applyAlignment="1" applyProtection="1">
      <alignment horizontal="center"/>
    </xf>
    <xf numFmtId="164" fontId="0" fillId="0" borderId="0" xfId="1" applyNumberFormat="1" applyFont="1" applyFill="1" applyBorder="1" applyProtection="1"/>
    <xf numFmtId="0" fontId="3" fillId="0" borderId="0" xfId="0" applyNumberFormat="1" applyFont="1" applyFill="1" applyBorder="1" applyProtection="1"/>
    <xf numFmtId="0" fontId="2" fillId="0" borderId="0" xfId="0" applyNumberFormat="1" applyFont="1" applyFill="1" applyBorder="1" applyProtection="1"/>
    <xf numFmtId="0" fontId="2" fillId="0" borderId="0" xfId="0" applyNumberFormat="1" applyFont="1" applyFill="1" applyBorder="1" applyAlignment="1" applyProtection="1">
      <alignment horizontal="center"/>
    </xf>
    <xf numFmtId="164" fontId="3" fillId="0" borderId="0" xfId="1" applyNumberFormat="1" applyFont="1" applyFill="1" applyBorder="1" applyProtection="1"/>
    <xf numFmtId="3" fontId="2" fillId="0" borderId="0" xfId="0" applyNumberFormat="1" applyFont="1" applyFill="1" applyBorder="1" applyAlignment="1" applyProtection="1">
      <alignment horizontal="center"/>
    </xf>
    <xf numFmtId="164" fontId="2" fillId="0" borderId="0" xfId="1" applyNumberFormat="1" applyFont="1" applyFill="1" applyBorder="1" applyProtection="1"/>
    <xf numFmtId="0" fontId="0" fillId="3" borderId="0" xfId="0" applyNumberFormat="1" applyFont="1" applyFill="1" applyBorder="1" applyProtection="1"/>
    <xf numFmtId="10" fontId="1" fillId="0" borderId="0" xfId="1" applyNumberFormat="1" applyFill="1"/>
    <xf numFmtId="10" fontId="1" fillId="0" borderId="0" xfId="1" applyNumberFormat="1"/>
    <xf numFmtId="0" fontId="5" fillId="0" borderId="0" xfId="0" applyNumberFormat="1" applyFont="1" applyFill="1" applyBorder="1" applyProtection="1"/>
    <xf numFmtId="0" fontId="0" fillId="0" borderId="4" xfId="0" applyBorder="1"/>
    <xf numFmtId="14" fontId="3" fillId="0" borderId="0" xfId="0" applyNumberFormat="1" applyFont="1" applyFill="1" applyBorder="1" applyAlignment="1" applyProtection="1">
      <alignment horizontal="center" vertical="center"/>
    </xf>
    <xf numFmtId="0" fontId="4" fillId="0" borderId="4" xfId="0" applyNumberFormat="1" applyFont="1" applyFill="1" applyBorder="1" applyProtection="1"/>
    <xf numFmtId="0" fontId="6" fillId="0" borderId="0" xfId="0" applyFont="1" applyAlignment="1">
      <alignment vertical="center"/>
    </xf>
    <xf numFmtId="0" fontId="0" fillId="0" borderId="0" xfId="0" applyNumberFormat="1" applyFont="1" applyFill="1" applyBorder="1" applyAlignment="1" applyProtection="1">
      <alignment horizontal="center" vertical="center"/>
    </xf>
    <xf numFmtId="0" fontId="0" fillId="0" borderId="0" xfId="0" applyNumberFormat="1" applyFont="1" applyFill="1" applyBorder="1" applyAlignment="1" applyProtection="1">
      <alignment vertical="center"/>
    </xf>
    <xf numFmtId="165" fontId="3" fillId="0" borderId="4" xfId="1" applyNumberFormat="1" applyFont="1" applyFill="1" applyBorder="1" applyAlignment="1">
      <alignment horizontal="center" vertical="center"/>
    </xf>
    <xf numFmtId="0" fontId="4" fillId="0" borderId="4" xfId="0" applyNumberFormat="1" applyFont="1" applyFill="1" applyBorder="1" applyAlignment="1" applyProtection="1">
      <alignment horizontal="center" vertical="center"/>
    </xf>
    <xf numFmtId="14" fontId="4" fillId="0" borderId="4" xfId="0" applyNumberFormat="1" applyFont="1" applyFill="1" applyBorder="1" applyAlignment="1" applyProtection="1">
      <alignment horizontal="center" vertical="center"/>
    </xf>
    <xf numFmtId="0" fontId="4" fillId="0" borderId="5" xfId="0" applyNumberFormat="1" applyFont="1" applyBorder="1" applyAlignment="1">
      <alignment horizontal="center" vertical="center"/>
    </xf>
    <xf numFmtId="14" fontId="4" fillId="0" borderId="5" xfId="0" applyNumberFormat="1" applyFont="1" applyBorder="1" applyAlignment="1">
      <alignment horizontal="center" vertical="center"/>
    </xf>
    <xf numFmtId="3" fontId="4" fillId="0" borderId="5" xfId="0" applyNumberFormat="1" applyFont="1" applyBorder="1" applyAlignment="1">
      <alignment horizontal="center" vertical="center"/>
    </xf>
    <xf numFmtId="165" fontId="4" fillId="0" borderId="5" xfId="0" applyNumberFormat="1" applyFont="1" applyBorder="1" applyAlignment="1">
      <alignment horizontal="center" vertical="center"/>
    </xf>
    <xf numFmtId="10" fontId="4" fillId="0" borderId="5" xfId="0" applyNumberFormat="1" applyFont="1" applyBorder="1" applyAlignment="1">
      <alignment horizontal="center" vertical="center"/>
    </xf>
    <xf numFmtId="165" fontId="4" fillId="0" borderId="4" xfId="0" applyNumberFormat="1" applyFont="1" applyBorder="1" applyAlignment="1">
      <alignment horizontal="center" vertical="center"/>
    </xf>
    <xf numFmtId="10" fontId="3" fillId="0" borderId="4" xfId="2" applyNumberFormat="1" applyFont="1" applyFill="1" applyBorder="1" applyAlignment="1">
      <alignment horizontal="center" vertical="center"/>
    </xf>
    <xf numFmtId="10" fontId="3" fillId="0" borderId="4" xfId="0" applyNumberFormat="1" applyFont="1" applyFill="1" applyBorder="1" applyAlignment="1">
      <alignment horizontal="center" vertical="center"/>
    </xf>
    <xf numFmtId="41" fontId="8" fillId="0" borderId="4" xfId="3" applyFont="1" applyBorder="1"/>
    <xf numFmtId="166" fontId="8" fillId="0" borderId="4" xfId="3" applyNumberFormat="1" applyFont="1" applyBorder="1"/>
    <xf numFmtId="0" fontId="8" fillId="0" borderId="4" xfId="0" quotePrefix="1" applyFont="1" applyBorder="1"/>
    <xf numFmtId="3" fontId="3" fillId="0" borderId="4" xfId="0" applyNumberFormat="1" applyFont="1" applyFill="1" applyBorder="1" applyAlignment="1">
      <alignment horizontal="center" vertical="center"/>
    </xf>
    <xf numFmtId="0" fontId="3" fillId="0" borderId="4" xfId="0" applyNumberFormat="1" applyFont="1" applyFill="1" applyBorder="1" applyAlignment="1">
      <alignment horizontal="center" vertical="center"/>
    </xf>
    <xf numFmtId="14" fontId="3" fillId="0" borderId="4" xfId="0" applyNumberFormat="1" applyFont="1" applyFill="1" applyBorder="1" applyAlignment="1">
      <alignment horizontal="center" vertical="center"/>
    </xf>
    <xf numFmtId="0" fontId="10" fillId="2" borderId="4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left" vertical="center"/>
    </xf>
    <xf numFmtId="0" fontId="3" fillId="0" borderId="0" xfId="0" applyNumberFormat="1" applyFont="1" applyFill="1" applyBorder="1" applyAlignment="1" applyProtection="1">
      <alignment vertical="center"/>
    </xf>
    <xf numFmtId="0" fontId="4" fillId="0" borderId="4" xfId="0" quotePrefix="1" applyFont="1" applyBorder="1"/>
    <xf numFmtId="41" fontId="4" fillId="0" borderId="4" xfId="0" applyNumberFormat="1" applyFont="1" applyBorder="1" applyAlignment="1">
      <alignment horizontal="left"/>
    </xf>
    <xf numFmtId="0" fontId="4" fillId="0" borderId="4" xfId="0" applyNumberFormat="1" applyFont="1" applyFill="1" applyBorder="1" applyAlignment="1" applyProtection="1">
      <alignment horizontal="center"/>
    </xf>
    <xf numFmtId="166" fontId="0" fillId="0" borderId="4" xfId="0" applyNumberFormat="1" applyBorder="1"/>
    <xf numFmtId="0" fontId="6" fillId="0" borderId="4" xfId="0" applyFont="1" applyBorder="1"/>
    <xf numFmtId="4" fontId="0" fillId="0" borderId="4" xfId="0" applyNumberFormat="1" applyBorder="1"/>
    <xf numFmtId="22" fontId="0" fillId="0" borderId="0" xfId="0" applyNumberFormat="1"/>
    <xf numFmtId="14" fontId="0" fillId="0" borderId="4" xfId="0" applyNumberFormat="1" applyBorder="1"/>
    <xf numFmtId="167" fontId="11" fillId="0" borderId="0" xfId="0" applyNumberFormat="1" applyFont="1" applyFill="1"/>
    <xf numFmtId="0" fontId="11" fillId="0" borderId="0" xfId="0" applyFont="1" applyFill="1"/>
    <xf numFmtId="167" fontId="11" fillId="0" borderId="4" xfId="0" applyNumberFormat="1" applyFont="1" applyFill="1" applyBorder="1"/>
    <xf numFmtId="14" fontId="0" fillId="0" borderId="4" xfId="0" applyNumberFormat="1" applyBorder="1"/>
    <xf numFmtId="3" fontId="4" fillId="0" borderId="4" xfId="0" applyNumberFormat="1" applyFont="1" applyFill="1" applyBorder="1" applyAlignment="1" applyProtection="1">
      <alignment horizontal="center" vertical="center"/>
    </xf>
    <xf numFmtId="14" fontId="0" fillId="0" borderId="4" xfId="0" applyNumberFormat="1" applyBorder="1"/>
    <xf numFmtId="14" fontId="11" fillId="0" borderId="4" xfId="0" applyNumberFormat="1" applyFont="1" applyFill="1" applyBorder="1"/>
    <xf numFmtId="14" fontId="11" fillId="4" borderId="4" xfId="0" applyNumberFormat="1" applyFont="1" applyFill="1" applyBorder="1"/>
    <xf numFmtId="14" fontId="11" fillId="5" borderId="4" xfId="0" applyNumberFormat="1" applyFont="1" applyFill="1" applyBorder="1"/>
    <xf numFmtId="167" fontId="11" fillId="6" borderId="4" xfId="0" applyNumberFormat="1" applyFont="1" applyFill="1" applyBorder="1"/>
    <xf numFmtId="14" fontId="0" fillId="0" borderId="4" xfId="0" applyNumberFormat="1" applyBorder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11" fillId="4" borderId="4" xfId="0" applyNumberFormat="1" applyFont="1" applyFill="1" applyBorder="1"/>
    <xf numFmtId="14" fontId="11" fillId="0" borderId="4" xfId="0" applyNumberFormat="1" applyFont="1" applyFill="1" applyBorder="1"/>
    <xf numFmtId="14" fontId="11" fillId="5" borderId="4" xfId="0" applyNumberFormat="1" applyFont="1" applyFill="1" applyBorder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14" fontId="11" fillId="5" borderId="4" xfId="0" applyNumberFormat="1" applyFont="1" applyFill="1" applyBorder="1"/>
    <xf numFmtId="49" fontId="11" fillId="5" borderId="4" xfId="0" applyNumberFormat="1" applyFont="1" applyFill="1" applyBorder="1"/>
    <xf numFmtId="14" fontId="0" fillId="0" borderId="4" xfId="0" applyNumberFormat="1" applyBorder="1"/>
    <xf numFmtId="14" fontId="11" fillId="5" borderId="4" xfId="0" applyNumberFormat="1" applyFont="1" applyFill="1" applyBorder="1"/>
    <xf numFmtId="14" fontId="0" fillId="0" borderId="4" xfId="0" applyNumberFormat="1" applyBorder="1"/>
    <xf numFmtId="14" fontId="0" fillId="0" borderId="0" xfId="0" applyNumberFormat="1"/>
    <xf numFmtId="4" fontId="0" fillId="0" borderId="0" xfId="0" applyNumberFormat="1"/>
    <xf numFmtId="14" fontId="11" fillId="0" borderId="0" xfId="0" applyNumberFormat="1" applyFont="1" applyFill="1"/>
    <xf numFmtId="14" fontId="0" fillId="0" borderId="4" xfId="0" applyNumberFormat="1" applyBorder="1"/>
    <xf numFmtId="14" fontId="11" fillId="5" borderId="4" xfId="0" applyNumberFormat="1" applyFont="1" applyFill="1" applyBorder="1"/>
    <xf numFmtId="3" fontId="8" fillId="0" borderId="4" xfId="3" applyNumberFormat="1" applyFont="1" applyBorder="1"/>
    <xf numFmtId="0" fontId="13" fillId="0" borderId="0" xfId="0" applyFont="1"/>
    <xf numFmtId="0" fontId="14" fillId="0" borderId="0" xfId="0" applyFont="1"/>
    <xf numFmtId="0" fontId="13" fillId="0" borderId="0" xfId="0" applyNumberFormat="1" applyFont="1"/>
    <xf numFmtId="0" fontId="22" fillId="12" borderId="0" xfId="0" applyFont="1" applyFill="1"/>
    <xf numFmtId="0" fontId="21" fillId="7" borderId="6" xfId="0" applyNumberFormat="1" applyFont="1" applyFill="1" applyBorder="1" applyAlignment="1">
      <alignment horizontal="center" vertical="center"/>
    </xf>
    <xf numFmtId="0" fontId="21" fillId="7" borderId="6" xfId="0" applyFont="1" applyFill="1" applyBorder="1" applyAlignment="1">
      <alignment horizontal="center" vertical="center"/>
    </xf>
    <xf numFmtId="0" fontId="0" fillId="0" borderId="0" xfId="0" applyBorder="1"/>
    <xf numFmtId="0" fontId="23" fillId="3" borderId="8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168" fontId="26" fillId="3" borderId="8" xfId="0" applyNumberFormat="1" applyFont="1" applyFill="1" applyBorder="1" applyAlignment="1">
      <alignment horizontal="right" vertical="center"/>
    </xf>
    <xf numFmtId="0" fontId="17" fillId="9" borderId="11" xfId="0" applyFont="1" applyFill="1" applyBorder="1" applyAlignment="1">
      <alignment horizontal="center" vertical="center"/>
    </xf>
    <xf numFmtId="0" fontId="17" fillId="9" borderId="12" xfId="0" applyFont="1" applyFill="1" applyBorder="1" applyAlignment="1">
      <alignment horizontal="center" vertical="center"/>
    </xf>
    <xf numFmtId="0" fontId="17" fillId="9" borderId="13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3" fontId="25" fillId="3" borderId="9" xfId="3" applyNumberFormat="1" applyFont="1" applyFill="1" applyBorder="1" applyAlignment="1">
      <alignment horizontal="right" vertical="center"/>
    </xf>
    <xf numFmtId="3" fontId="25" fillId="3" borderId="8" xfId="3" applyNumberFormat="1" applyFont="1" applyFill="1" applyBorder="1" applyAlignment="1">
      <alignment horizontal="right" vertical="center"/>
    </xf>
    <xf numFmtId="14" fontId="4" fillId="0" borderId="21" xfId="0" applyNumberFormat="1" applyFont="1" applyBorder="1" applyAlignment="1">
      <alignment horizontal="center"/>
    </xf>
    <xf numFmtId="0" fontId="4" fillId="0" borderId="20" xfId="0" applyFont="1" applyBorder="1" applyAlignment="1">
      <alignment horizontal="center" vertical="center"/>
    </xf>
    <xf numFmtId="14" fontId="0" fillId="0" borderId="4" xfId="0" applyNumberFormat="1" applyBorder="1"/>
    <xf numFmtId="14" fontId="11" fillId="5" borderId="4" xfId="0" applyNumberFormat="1" applyFont="1" applyFill="1" applyBorder="1"/>
    <xf numFmtId="0" fontId="5" fillId="0" borderId="0" xfId="0" applyNumberFormat="1" applyFont="1" applyFill="1" applyBorder="1" applyAlignment="1" applyProtection="1">
      <alignment horizontal="center" vertical="center"/>
    </xf>
    <xf numFmtId="0" fontId="6" fillId="0" borderId="0" xfId="0" applyNumberFormat="1" applyFont="1" applyFill="1" applyBorder="1" applyAlignment="1" applyProtection="1">
      <alignment horizontal="center"/>
    </xf>
    <xf numFmtId="0" fontId="7" fillId="2" borderId="0" xfId="0" applyNumberFormat="1" applyFont="1" applyFill="1" applyBorder="1" applyAlignment="1" applyProtection="1">
      <alignment horizontal="center" vertical="center"/>
    </xf>
    <xf numFmtId="0" fontId="2" fillId="2" borderId="1" xfId="0" applyNumberFormat="1" applyFont="1" applyFill="1" applyBorder="1" applyAlignment="1" applyProtection="1">
      <alignment horizontal="center"/>
    </xf>
    <xf numFmtId="0" fontId="2" fillId="2" borderId="2" xfId="0" applyNumberFormat="1" applyFont="1" applyFill="1" applyBorder="1" applyAlignment="1" applyProtection="1">
      <alignment horizontal="center"/>
    </xf>
    <xf numFmtId="0" fontId="6" fillId="2" borderId="5" xfId="0" applyNumberFormat="1" applyFont="1" applyFill="1" applyBorder="1" applyAlignment="1" applyProtection="1">
      <alignment horizontal="center"/>
    </xf>
    <xf numFmtId="0" fontId="6" fillId="2" borderId="3" xfId="0" applyNumberFormat="1" applyFont="1" applyFill="1" applyBorder="1" applyAlignment="1" applyProtection="1">
      <alignment horizontal="center"/>
    </xf>
    <xf numFmtId="0" fontId="6" fillId="2" borderId="5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  <xf numFmtId="0" fontId="16" fillId="8" borderId="16" xfId="0" applyFont="1" applyFill="1" applyBorder="1" applyAlignment="1">
      <alignment horizontal="center" vertical="center" wrapText="1"/>
    </xf>
    <xf numFmtId="0" fontId="16" fillId="8" borderId="0" xfId="0" applyFont="1" applyFill="1" applyBorder="1" applyAlignment="1">
      <alignment horizontal="center" vertical="center" wrapText="1"/>
    </xf>
    <xf numFmtId="0" fontId="16" fillId="8" borderId="17" xfId="0" applyFont="1" applyFill="1" applyBorder="1" applyAlignment="1">
      <alignment horizontal="center" vertical="center" wrapText="1"/>
    </xf>
    <xf numFmtId="0" fontId="15" fillId="0" borderId="16" xfId="0" applyFont="1" applyFill="1" applyBorder="1" applyAlignment="1">
      <alignment vertical="center" wrapText="1"/>
    </xf>
    <xf numFmtId="0" fontId="15" fillId="0" borderId="0" xfId="0" applyFont="1" applyFill="1" applyBorder="1" applyAlignment="1">
      <alignment vertical="center" wrapText="1"/>
    </xf>
    <xf numFmtId="0" fontId="15" fillId="0" borderId="17" xfId="0" applyFont="1" applyFill="1" applyBorder="1" applyAlignment="1">
      <alignment vertical="center" wrapText="1"/>
    </xf>
    <xf numFmtId="0" fontId="27" fillId="11" borderId="16" xfId="0" applyFont="1" applyFill="1" applyBorder="1" applyAlignment="1">
      <alignment horizontal="left" vertical="center" wrapText="1"/>
    </xf>
    <xf numFmtId="0" fontId="27" fillId="11" borderId="0" xfId="0" applyFont="1" applyFill="1" applyBorder="1" applyAlignment="1">
      <alignment horizontal="left" vertical="center" wrapText="1"/>
    </xf>
    <xf numFmtId="0" fontId="27" fillId="11" borderId="17" xfId="0" applyFont="1" applyFill="1" applyBorder="1" applyAlignment="1">
      <alignment horizontal="left" vertical="center" wrapText="1"/>
    </xf>
    <xf numFmtId="0" fontId="27" fillId="11" borderId="18" xfId="0" applyFont="1" applyFill="1" applyBorder="1" applyAlignment="1">
      <alignment horizontal="left" vertical="center" wrapText="1"/>
    </xf>
    <xf numFmtId="0" fontId="27" fillId="11" borderId="7" xfId="0" applyFont="1" applyFill="1" applyBorder="1" applyAlignment="1">
      <alignment horizontal="left" vertical="center" wrapText="1"/>
    </xf>
    <xf numFmtId="0" fontId="27" fillId="11" borderId="19" xfId="0" applyFont="1" applyFill="1" applyBorder="1" applyAlignment="1">
      <alignment horizontal="left" vertical="center" wrapText="1"/>
    </xf>
    <xf numFmtId="0" fontId="24" fillId="4" borderId="6" xfId="0" applyFont="1" applyFill="1" applyBorder="1" applyAlignment="1">
      <alignment horizontal="center" vertical="center"/>
    </xf>
    <xf numFmtId="0" fontId="20" fillId="10" borderId="16" xfId="0" applyFont="1" applyFill="1" applyBorder="1" applyAlignment="1">
      <alignment horizontal="center" vertical="center" wrapText="1"/>
    </xf>
    <xf numFmtId="0" fontId="0" fillId="10" borderId="16" xfId="0" applyFill="1" applyBorder="1"/>
    <xf numFmtId="0" fontId="20" fillId="10" borderId="0" xfId="0" applyFont="1" applyFill="1" applyBorder="1" applyAlignment="1">
      <alignment horizontal="center" vertical="center" wrapText="1"/>
    </xf>
    <xf numFmtId="0" fontId="0" fillId="10" borderId="0" xfId="0" applyFill="1" applyBorder="1"/>
    <xf numFmtId="0" fontId="19" fillId="10" borderId="17" xfId="0" applyFont="1" applyFill="1" applyBorder="1" applyAlignment="1">
      <alignment horizontal="center" vertical="center" wrapText="1"/>
    </xf>
    <xf numFmtId="0" fontId="0" fillId="10" borderId="17" xfId="0" applyFill="1" applyBorder="1"/>
    <xf numFmtId="0" fontId="18" fillId="0" borderId="14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5" xfId="0" applyFont="1" applyBorder="1" applyAlignment="1">
      <alignment horizontal="center" vertical="center"/>
    </xf>
    <xf numFmtId="0" fontId="18" fillId="0" borderId="16" xfId="0" applyFont="1" applyBorder="1" applyAlignment="1">
      <alignment horizontal="center" vertical="center"/>
    </xf>
    <xf numFmtId="0" fontId="18" fillId="0" borderId="0" xfId="0" applyFont="1" applyBorder="1" applyAlignment="1">
      <alignment horizontal="center" vertical="center"/>
    </xf>
    <xf numFmtId="0" fontId="18" fillId="0" borderId="17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</cellXfs>
  <cellStyles count="4">
    <cellStyle name="Comma" xfId="1" builtinId="3"/>
    <cellStyle name="Comma [0]" xfId="3" builtinId="6"/>
    <cellStyle name="Normal" xfId="0" builtinId="0"/>
    <cellStyle name="Percent" xfId="2" builtinId="5"/>
  </cellStyles>
  <dxfs count="9">
    <dxf>
      <border>
        <left style="thin">
          <color theme="6"/>
        </left>
      </border>
    </dxf>
    <dxf>
      <border>
        <left style="thin">
          <color theme="6"/>
        </left>
      </border>
    </dxf>
    <dxf>
      <border>
        <top style="thin">
          <color theme="6"/>
        </top>
      </border>
    </dxf>
    <dxf>
      <border>
        <top style="thin">
          <color theme="6"/>
        </top>
      </border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6"/>
        </top>
      </border>
    </dxf>
    <dxf>
      <font>
        <b/>
        <color theme="0"/>
      </font>
      <fill>
        <patternFill patternType="solid">
          <fgColor rgb="FF008445"/>
          <bgColor rgb="FF008B44"/>
        </patternFill>
      </fill>
    </dxf>
    <dxf>
      <font>
        <color theme="1"/>
      </font>
      <border>
        <left style="thin">
          <color theme="6"/>
        </left>
        <right style="thin">
          <color theme="6"/>
        </right>
        <top style="thin">
          <color theme="6"/>
        </top>
        <bottom style="thin">
          <color theme="6"/>
        </bottom>
      </border>
    </dxf>
  </dxfs>
  <tableStyles count="1" defaultTableStyle="TableStyleMedium2" defaultPivotStyle="PivotStyleLight16">
    <tableStyle name="VpbankTable" pivot="0" count="9">
      <tableStyleElement type="wholeTable" dxfId="8"/>
      <tableStyleElement type="headerRow" dxfId="7"/>
      <tableStyleElement type="totalRow" dxfId="6"/>
      <tableStyleElement type="firstColumn" dxfId="5"/>
      <tableStyleElement type="lastColumn" dxfId="4"/>
      <tableStyleElement type="firstRowStripe" dxfId="3"/>
      <tableStyleElement type="secondRowStripe" dxfId="2"/>
      <tableStyleElement type="firstColumnStripe" dxfId="1"/>
      <tableStyleElement type="secondColumnStripe" dxfId="0"/>
    </tableStyle>
  </tableStyles>
  <colors>
    <mruColors>
      <color rgb="FF2B3F7B"/>
      <color rgb="FF143F8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13</xdr:row>
      <xdr:rowOff>0</xdr:rowOff>
    </xdr:from>
    <xdr:to>
      <xdr:col>1</xdr:col>
      <xdr:colOff>7620</xdr:colOff>
      <xdr:row>16</xdr:row>
      <xdr:rowOff>7620</xdr:rowOff>
    </xdr:to>
    <xdr:pic macro="[0]!LKGD"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727960"/>
          <a:ext cx="1775460" cy="685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12</xdr:row>
      <xdr:rowOff>0</xdr:rowOff>
    </xdr:from>
    <xdr:to>
      <xdr:col>2</xdr:col>
      <xdr:colOff>7620</xdr:colOff>
      <xdr:row>16</xdr:row>
      <xdr:rowOff>7620</xdr:rowOff>
    </xdr:to>
    <xdr:pic macro="[0]!LKLS_Upload_V2_ChangesOnly_Incremental">
      <xdr:nvPicPr>
        <xdr:cNvPr id="1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4520" y="2522220"/>
          <a:ext cx="185928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12</xdr:row>
      <xdr:rowOff>0</xdr:rowOff>
    </xdr:from>
    <xdr:to>
      <xdr:col>3</xdr:col>
      <xdr:colOff>7620</xdr:colOff>
      <xdr:row>16</xdr:row>
      <xdr:rowOff>7620</xdr:rowOff>
    </xdr:to>
    <xdr:pic macro="[0]!Run_Module11">
      <xdr:nvPicPr>
        <xdr:cNvPr id="12" name="Picture 1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26180" y="2522220"/>
          <a:ext cx="1882140" cy="6553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53340</xdr:colOff>
      <xdr:row>2</xdr:row>
      <xdr:rowOff>30480</xdr:rowOff>
    </xdr:from>
    <xdr:to>
      <xdr:col>0</xdr:col>
      <xdr:colOff>977416</xdr:colOff>
      <xdr:row>3</xdr:row>
      <xdr:rowOff>137160</xdr:rowOff>
    </xdr:to>
    <xdr:pic>
      <xdr:nvPicPr>
        <xdr:cNvPr id="5" name="Picture 4"/>
        <xdr:cNvPicPr>
          <a:picLocks noChangeAspect="1"/>
        </xdr:cNvPicPr>
      </xdr:nvPicPr>
      <xdr:blipFill rotWithShape="1"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2222" t="31624" r="23362" b="41453"/>
        <a:stretch/>
      </xdr:blipFill>
      <xdr:spPr>
        <a:xfrm>
          <a:off x="53340" y="472440"/>
          <a:ext cx="924076" cy="3048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BJ506"/>
  <sheetViews>
    <sheetView showGridLines="0" topLeftCell="A472" zoomScale="81" zoomScaleNormal="100" workbookViewId="0">
      <selection activeCell="D499" sqref="D499"/>
    </sheetView>
  </sheetViews>
  <sheetFormatPr defaultColWidth="9.109375" defaultRowHeight="14.4" x14ac:dyDescent="0.3"/>
  <cols>
    <col min="1" max="1" width="12.88671875" style="1" customWidth="1"/>
    <col min="2" max="2" width="18.88671875" style="2" customWidth="1"/>
    <col min="3" max="3" width="12.109375" style="1" customWidth="1"/>
    <col min="4" max="4" width="14.33203125" style="1" customWidth="1"/>
    <col min="5" max="5" width="15.5546875" style="1" customWidth="1"/>
    <col min="6" max="6" width="9.109375" style="1" customWidth="1"/>
    <col min="7" max="7" width="13.33203125" style="1" customWidth="1"/>
    <col min="8" max="8" width="17.109375" style="1" customWidth="1"/>
    <col min="9" max="9" width="14.33203125" style="1" customWidth="1"/>
    <col min="10" max="10" width="13.109375" style="1" customWidth="1"/>
    <col min="11" max="11" width="12.6640625" style="1" customWidth="1"/>
    <col min="12" max="13" width="9.109375" style="1"/>
    <col min="14" max="14" width="9.6640625" style="1" bestFit="1" customWidth="1"/>
    <col min="15" max="16384" width="9.109375" style="1"/>
  </cols>
  <sheetData>
    <row r="1" spans="1:62" x14ac:dyDescent="0.3">
      <c r="A1" s="103" t="s">
        <v>23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</row>
    <row r="2" spans="1:62" x14ac:dyDescent="0.3">
      <c r="J2" s="3"/>
      <c r="K2" s="3"/>
    </row>
    <row r="3" spans="1:62" x14ac:dyDescent="0.3">
      <c r="A3" s="104" t="s">
        <v>0</v>
      </c>
      <c r="B3" s="105"/>
      <c r="C3" s="4"/>
      <c r="D3" s="4"/>
      <c r="E3"/>
      <c r="F3"/>
      <c r="H3"/>
      <c r="I3"/>
      <c r="J3" s="17"/>
      <c r="K3" s="6"/>
    </row>
    <row r="4" spans="1:62" x14ac:dyDescent="0.3">
      <c r="A4" s="16" t="s">
        <v>1</v>
      </c>
      <c r="B4" s="21"/>
      <c r="C4" s="4"/>
      <c r="D4" s="106" t="s">
        <v>25</v>
      </c>
      <c r="E4" s="107"/>
      <c r="G4" s="108" t="s">
        <v>24</v>
      </c>
      <c r="H4" s="109"/>
      <c r="I4" s="38" t="s">
        <v>26</v>
      </c>
      <c r="J4" s="15"/>
      <c r="K4" s="15"/>
    </row>
    <row r="5" spans="1:62" x14ac:dyDescent="0.3">
      <c r="A5" s="16" t="s">
        <v>2</v>
      </c>
      <c r="B5" s="21"/>
      <c r="C5" s="4"/>
      <c r="D5" s="33" t="s">
        <v>20</v>
      </c>
      <c r="E5" s="32">
        <f>SUM(J13:J499)</f>
        <v>0</v>
      </c>
      <c r="G5" s="33" t="s">
        <v>18</v>
      </c>
      <c r="H5" s="31">
        <f>B7-SUM(J13:J499)</f>
        <v>0</v>
      </c>
      <c r="I5" s="38" t="s">
        <v>29</v>
      </c>
      <c r="J5" s="39"/>
      <c r="K5" s="4"/>
    </row>
    <row r="6" spans="1:62" x14ac:dyDescent="0.3">
      <c r="A6" s="16" t="s">
        <v>3</v>
      </c>
      <c r="B6" s="21"/>
      <c r="C6" s="4"/>
      <c r="D6" s="33" t="s">
        <v>21</v>
      </c>
      <c r="E6" s="32">
        <f>E7+E8</f>
        <v>0</v>
      </c>
      <c r="G6" s="33" t="s">
        <v>19</v>
      </c>
      <c r="H6" s="31">
        <f>H7+H8</f>
        <v>0</v>
      </c>
      <c r="I6" s="38" t="s">
        <v>35</v>
      </c>
      <c r="J6" s="4"/>
      <c r="K6" s="4"/>
    </row>
    <row r="7" spans="1:62" x14ac:dyDescent="0.3">
      <c r="A7" s="16" t="s">
        <v>4</v>
      </c>
      <c r="B7" s="52"/>
      <c r="C7" s="4"/>
      <c r="D7" s="33" t="s">
        <v>36</v>
      </c>
      <c r="E7" s="32">
        <f>SUMIF($A$13:$A$499,"TRONG HẠN",$K$13:$K$499)</f>
        <v>0</v>
      </c>
      <c r="G7" s="33" t="s">
        <v>27</v>
      </c>
      <c r="H7" s="79">
        <f>ROUND(SUM(H13:H499)-E7, 0)</f>
        <v>0</v>
      </c>
      <c r="I7" s="38" t="s">
        <v>38</v>
      </c>
      <c r="J7" s="5"/>
      <c r="K7" s="5"/>
    </row>
    <row r="8" spans="1:62" x14ac:dyDescent="0.3">
      <c r="A8" s="16" t="s">
        <v>5</v>
      </c>
      <c r="B8" s="22"/>
      <c r="C8" s="4"/>
      <c r="D8" s="33" t="s">
        <v>37</v>
      </c>
      <c r="E8" s="32">
        <f>SUMIF($A$13:$A$499,"QUÁ HẠN",$K$13:$K$499)</f>
        <v>0</v>
      </c>
      <c r="G8" s="33" t="s">
        <v>28</v>
      </c>
      <c r="H8" s="79">
        <f>ROUND(SUM(I13:I499)-E8, 0)</f>
        <v>0</v>
      </c>
      <c r="I8" s="38" t="s">
        <v>39</v>
      </c>
      <c r="J8" s="9"/>
      <c r="K8" s="8"/>
    </row>
    <row r="9" spans="1:62" x14ac:dyDescent="0.3">
      <c r="A9" s="16" t="s">
        <v>6</v>
      </c>
      <c r="B9" s="22">
        <f>THTT!A2</f>
        <v>0</v>
      </c>
      <c r="C9" s="4"/>
      <c r="D9" s="42" t="s">
        <v>40</v>
      </c>
      <c r="E9" s="43">
        <f>E5+E6</f>
        <v>0</v>
      </c>
      <c r="G9" s="40" t="s">
        <v>34</v>
      </c>
      <c r="H9" s="41">
        <f>H5+H6</f>
        <v>0</v>
      </c>
      <c r="I9" s="38" t="s">
        <v>41</v>
      </c>
      <c r="J9" s="7"/>
      <c r="K9" s="7"/>
    </row>
    <row r="10" spans="1:62" x14ac:dyDescent="0.3">
      <c r="A10" s="16" t="s">
        <v>17</v>
      </c>
      <c r="B10" s="22">
        <f>THTT!B2</f>
        <v>0</v>
      </c>
      <c r="C10" s="4"/>
      <c r="D10" s="4"/>
      <c r="E10"/>
      <c r="G10"/>
      <c r="H10"/>
      <c r="I10"/>
      <c r="J10" s="7"/>
      <c r="K10" s="7"/>
    </row>
    <row r="11" spans="1:62" x14ac:dyDescent="0.3">
      <c r="E11"/>
      <c r="F11"/>
      <c r="G11"/>
      <c r="H11"/>
      <c r="J11" s="3"/>
      <c r="K11" s="3"/>
    </row>
    <row r="12" spans="1:62" ht="39" customHeight="1" x14ac:dyDescent="0.3">
      <c r="A12" s="37" t="s">
        <v>7</v>
      </c>
      <c r="B12" s="37" t="s">
        <v>22</v>
      </c>
      <c r="C12" s="37" t="s">
        <v>8</v>
      </c>
      <c r="D12" s="37" t="s">
        <v>9</v>
      </c>
      <c r="E12" s="37" t="s">
        <v>10</v>
      </c>
      <c r="F12" s="37" t="s">
        <v>11</v>
      </c>
      <c r="G12" s="37" t="s">
        <v>30</v>
      </c>
      <c r="H12" s="37" t="s">
        <v>12</v>
      </c>
      <c r="I12" s="37" t="s">
        <v>13</v>
      </c>
      <c r="J12" s="37" t="s">
        <v>14</v>
      </c>
      <c r="K12" s="37" t="s">
        <v>15</v>
      </c>
    </row>
    <row r="13" spans="1:62" s="10" customFormat="1" x14ac:dyDescent="0.3">
      <c r="A13" s="35" t="str">
        <f>IF(B13&gt;=$B$9,"QUÁ HẠN", "TRONG HẠN")</f>
        <v>QUÁ HẠN</v>
      </c>
      <c r="B13" s="36"/>
      <c r="C13" s="36">
        <f>IFERROR(IF(B14="", $B$10, B14-1), $B$10)</f>
        <v>0</v>
      </c>
      <c r="D13" s="34">
        <f>C13-B13+1</f>
        <v>1</v>
      </c>
      <c r="E13" s="20">
        <f>B7</f>
        <v>0</v>
      </c>
      <c r="F13" s="29"/>
      <c r="G13" s="30">
        <f>IF(A13="QUÁ HẠN", F13*1.5,"")</f>
        <v>0</v>
      </c>
      <c r="H13" s="20" t="str">
        <f>IF(A13="TRONG HẠN",D13*E13*F13/365,"")</f>
        <v/>
      </c>
      <c r="I13" s="20">
        <f>IF(A13="QUÁ HẠN",D13*E13*G13/365,"")</f>
        <v>0</v>
      </c>
      <c r="J13" s="20"/>
      <c r="K13" s="20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</row>
    <row r="14" spans="1:62" s="10" customFormat="1" x14ac:dyDescent="0.3">
      <c r="A14" s="35" t="str">
        <f t="shared" ref="A14:A38" si="0">IF(B14&gt;=$B$9,"QUÁ HẠN", "TRONG HẠN")</f>
        <v>QUÁ HẠN</v>
      </c>
      <c r="B14" s="36"/>
      <c r="C14" s="36">
        <f t="shared" ref="C14:C34" si="1">IFERROR(IF(B15="", $B$10, B15-1), $B$10)</f>
        <v>0</v>
      </c>
      <c r="D14" s="34">
        <f t="shared" ref="D14:D38" si="2">C14-B14+1</f>
        <v>1</v>
      </c>
      <c r="E14" s="20">
        <f>E13-J14</f>
        <v>0</v>
      </c>
      <c r="F14" s="29"/>
      <c r="G14" s="30">
        <f t="shared" ref="G14:G38" si="3">IF(A14="QUÁ HẠN", F14*1.5,"")</f>
        <v>0</v>
      </c>
      <c r="H14" s="20" t="str">
        <f t="shared" ref="H14:H38" si="4">IF(A14="TRONG HẠN",D14*E14*F14/365,"")</f>
        <v/>
      </c>
      <c r="I14" s="20">
        <f t="shared" ref="I14:I38" si="5">IF(A14="QUÁ HẠN",D14*E14*G14/365,"")</f>
        <v>0</v>
      </c>
      <c r="J14" s="20"/>
      <c r="K14" s="20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</row>
    <row r="15" spans="1:62" s="10" customFormat="1" x14ac:dyDescent="0.3">
      <c r="A15" s="35" t="str">
        <f t="shared" si="0"/>
        <v>QUÁ HẠN</v>
      </c>
      <c r="B15" s="36"/>
      <c r="C15" s="36">
        <f t="shared" si="1"/>
        <v>0</v>
      </c>
      <c r="D15" s="34">
        <f t="shared" si="2"/>
        <v>1</v>
      </c>
      <c r="E15" s="20">
        <f t="shared" ref="E15:E38" si="6">E14-J15</f>
        <v>0</v>
      </c>
      <c r="F15" s="29"/>
      <c r="G15" s="30">
        <f t="shared" si="3"/>
        <v>0</v>
      </c>
      <c r="H15" s="20" t="str">
        <f t="shared" si="4"/>
        <v/>
      </c>
      <c r="I15" s="20">
        <f t="shared" si="5"/>
        <v>0</v>
      </c>
      <c r="J15" s="20"/>
      <c r="K15" s="20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</row>
    <row r="16" spans="1:62" x14ac:dyDescent="0.3">
      <c r="A16" s="35" t="str">
        <f t="shared" si="0"/>
        <v>QUÁ HẠN</v>
      </c>
      <c r="B16" s="36"/>
      <c r="C16" s="36">
        <f t="shared" si="1"/>
        <v>0</v>
      </c>
      <c r="D16" s="34">
        <f t="shared" si="2"/>
        <v>1</v>
      </c>
      <c r="E16" s="20">
        <f t="shared" si="6"/>
        <v>0</v>
      </c>
      <c r="F16" s="29"/>
      <c r="G16" s="30">
        <f t="shared" si="3"/>
        <v>0</v>
      </c>
      <c r="H16" s="20" t="str">
        <f t="shared" si="4"/>
        <v/>
      </c>
      <c r="I16" s="20">
        <f t="shared" si="5"/>
        <v>0</v>
      </c>
      <c r="J16" s="20"/>
      <c r="K16" s="20"/>
    </row>
    <row r="17" spans="1:14" x14ac:dyDescent="0.3">
      <c r="A17" s="35" t="str">
        <f t="shared" si="0"/>
        <v>QUÁ HẠN</v>
      </c>
      <c r="B17" s="36"/>
      <c r="C17" s="36">
        <f t="shared" si="1"/>
        <v>0</v>
      </c>
      <c r="D17" s="34">
        <f t="shared" si="2"/>
        <v>1</v>
      </c>
      <c r="E17" s="20">
        <f t="shared" si="6"/>
        <v>0</v>
      </c>
      <c r="F17" s="29"/>
      <c r="G17" s="30">
        <f t="shared" si="3"/>
        <v>0</v>
      </c>
      <c r="H17" s="20" t="str">
        <f t="shared" si="4"/>
        <v/>
      </c>
      <c r="I17" s="20">
        <f t="shared" si="5"/>
        <v>0</v>
      </c>
      <c r="J17" s="20"/>
      <c r="K17" s="20"/>
    </row>
    <row r="18" spans="1:14" x14ac:dyDescent="0.3">
      <c r="A18" s="35" t="str">
        <f t="shared" si="0"/>
        <v>QUÁ HẠN</v>
      </c>
      <c r="B18" s="36"/>
      <c r="C18" s="36">
        <f t="shared" si="1"/>
        <v>0</v>
      </c>
      <c r="D18" s="34">
        <f t="shared" si="2"/>
        <v>1</v>
      </c>
      <c r="E18" s="20">
        <f t="shared" si="6"/>
        <v>0</v>
      </c>
      <c r="F18" s="29"/>
      <c r="G18" s="30">
        <f t="shared" si="3"/>
        <v>0</v>
      </c>
      <c r="H18" s="20" t="str">
        <f t="shared" si="4"/>
        <v/>
      </c>
      <c r="I18" s="20">
        <f t="shared" si="5"/>
        <v>0</v>
      </c>
      <c r="J18" s="20"/>
      <c r="K18" s="20"/>
    </row>
    <row r="19" spans="1:14" x14ac:dyDescent="0.3">
      <c r="A19" s="35" t="str">
        <f t="shared" si="0"/>
        <v>QUÁ HẠN</v>
      </c>
      <c r="B19" s="36"/>
      <c r="C19" s="36">
        <f t="shared" si="1"/>
        <v>0</v>
      </c>
      <c r="D19" s="34">
        <f t="shared" si="2"/>
        <v>1</v>
      </c>
      <c r="E19" s="20">
        <f t="shared" si="6"/>
        <v>0</v>
      </c>
      <c r="F19" s="29"/>
      <c r="G19" s="30">
        <f t="shared" si="3"/>
        <v>0</v>
      </c>
      <c r="H19" s="20" t="str">
        <f t="shared" si="4"/>
        <v/>
      </c>
      <c r="I19" s="20">
        <f t="shared" si="5"/>
        <v>0</v>
      </c>
      <c r="J19" s="20"/>
      <c r="K19" s="20"/>
    </row>
    <row r="20" spans="1:14" x14ac:dyDescent="0.3">
      <c r="A20" s="35" t="str">
        <f t="shared" si="0"/>
        <v>QUÁ HẠN</v>
      </c>
      <c r="B20" s="36"/>
      <c r="C20" s="36">
        <f t="shared" si="1"/>
        <v>0</v>
      </c>
      <c r="D20" s="34">
        <f t="shared" si="2"/>
        <v>1</v>
      </c>
      <c r="E20" s="20">
        <f t="shared" si="6"/>
        <v>0</v>
      </c>
      <c r="F20" s="29"/>
      <c r="G20" s="30">
        <f t="shared" si="3"/>
        <v>0</v>
      </c>
      <c r="H20" s="20" t="str">
        <f t="shared" si="4"/>
        <v/>
      </c>
      <c r="I20" s="20">
        <f t="shared" si="5"/>
        <v>0</v>
      </c>
      <c r="J20" s="20"/>
      <c r="K20" s="20"/>
    </row>
    <row r="21" spans="1:14" x14ac:dyDescent="0.3">
      <c r="A21" s="35" t="str">
        <f t="shared" si="0"/>
        <v>QUÁ HẠN</v>
      </c>
      <c r="B21" s="36"/>
      <c r="C21" s="36">
        <f t="shared" si="1"/>
        <v>0</v>
      </c>
      <c r="D21" s="34">
        <f t="shared" si="2"/>
        <v>1</v>
      </c>
      <c r="E21" s="20">
        <f t="shared" si="6"/>
        <v>0</v>
      </c>
      <c r="F21" s="29"/>
      <c r="G21" s="30">
        <f t="shared" si="3"/>
        <v>0</v>
      </c>
      <c r="H21" s="20" t="str">
        <f t="shared" si="4"/>
        <v/>
      </c>
      <c r="I21" s="20">
        <f t="shared" si="5"/>
        <v>0</v>
      </c>
      <c r="J21" s="20"/>
      <c r="K21" s="20"/>
    </row>
    <row r="22" spans="1:14" x14ac:dyDescent="0.3">
      <c r="A22" s="35" t="str">
        <f t="shared" si="0"/>
        <v>QUÁ HẠN</v>
      </c>
      <c r="B22" s="36"/>
      <c r="C22" s="36">
        <f t="shared" si="1"/>
        <v>0</v>
      </c>
      <c r="D22" s="34">
        <f t="shared" si="2"/>
        <v>1</v>
      </c>
      <c r="E22" s="20">
        <f t="shared" si="6"/>
        <v>0</v>
      </c>
      <c r="F22" s="29"/>
      <c r="G22" s="30">
        <f t="shared" si="3"/>
        <v>0</v>
      </c>
      <c r="H22" s="20" t="str">
        <f t="shared" si="4"/>
        <v/>
      </c>
      <c r="I22" s="20">
        <f t="shared" si="5"/>
        <v>0</v>
      </c>
      <c r="J22" s="20"/>
      <c r="K22" s="20"/>
    </row>
    <row r="23" spans="1:14" x14ac:dyDescent="0.3">
      <c r="A23" s="35" t="str">
        <f t="shared" si="0"/>
        <v>QUÁ HẠN</v>
      </c>
      <c r="B23" s="36"/>
      <c r="C23" s="36">
        <f t="shared" si="1"/>
        <v>0</v>
      </c>
      <c r="D23" s="34">
        <f t="shared" si="2"/>
        <v>1</v>
      </c>
      <c r="E23" s="20">
        <f t="shared" si="6"/>
        <v>0</v>
      </c>
      <c r="F23" s="29"/>
      <c r="G23" s="30">
        <f t="shared" si="3"/>
        <v>0</v>
      </c>
      <c r="H23" s="20" t="str">
        <f t="shared" si="4"/>
        <v/>
      </c>
      <c r="I23" s="20">
        <f t="shared" si="5"/>
        <v>0</v>
      </c>
      <c r="J23" s="20"/>
      <c r="K23" s="20"/>
    </row>
    <row r="24" spans="1:14" x14ac:dyDescent="0.3">
      <c r="A24" s="35" t="str">
        <f t="shared" si="0"/>
        <v>QUÁ HẠN</v>
      </c>
      <c r="B24" s="36"/>
      <c r="C24" s="36">
        <f t="shared" si="1"/>
        <v>0</v>
      </c>
      <c r="D24" s="34">
        <f t="shared" si="2"/>
        <v>1</v>
      </c>
      <c r="E24" s="20">
        <f t="shared" si="6"/>
        <v>0</v>
      </c>
      <c r="F24" s="29"/>
      <c r="G24" s="30">
        <f t="shared" si="3"/>
        <v>0</v>
      </c>
      <c r="H24" s="20" t="str">
        <f t="shared" si="4"/>
        <v/>
      </c>
      <c r="I24" s="20">
        <f t="shared" si="5"/>
        <v>0</v>
      </c>
      <c r="J24" s="20"/>
      <c r="K24" s="20"/>
    </row>
    <row r="25" spans="1:14" x14ac:dyDescent="0.3">
      <c r="A25" s="35" t="str">
        <f t="shared" si="0"/>
        <v>QUÁ HẠN</v>
      </c>
      <c r="B25" s="36"/>
      <c r="C25" s="36">
        <f t="shared" si="1"/>
        <v>0</v>
      </c>
      <c r="D25" s="34">
        <f t="shared" si="2"/>
        <v>1</v>
      </c>
      <c r="E25" s="20">
        <f t="shared" si="6"/>
        <v>0</v>
      </c>
      <c r="F25" s="29"/>
      <c r="G25" s="30">
        <f t="shared" si="3"/>
        <v>0</v>
      </c>
      <c r="H25" s="20" t="str">
        <f t="shared" si="4"/>
        <v/>
      </c>
      <c r="I25" s="20">
        <f t="shared" si="5"/>
        <v>0</v>
      </c>
      <c r="J25" s="20"/>
      <c r="K25" s="20"/>
    </row>
    <row r="26" spans="1:14" x14ac:dyDescent="0.3">
      <c r="A26" s="35" t="str">
        <f t="shared" si="0"/>
        <v>QUÁ HẠN</v>
      </c>
      <c r="B26" s="36"/>
      <c r="C26" s="36">
        <f t="shared" si="1"/>
        <v>0</v>
      </c>
      <c r="D26" s="34">
        <f t="shared" si="2"/>
        <v>1</v>
      </c>
      <c r="E26" s="20">
        <f t="shared" si="6"/>
        <v>0</v>
      </c>
      <c r="F26" s="29"/>
      <c r="G26" s="30">
        <f t="shared" si="3"/>
        <v>0</v>
      </c>
      <c r="H26" s="20" t="str">
        <f t="shared" si="4"/>
        <v/>
      </c>
      <c r="I26" s="20">
        <f t="shared" si="5"/>
        <v>0</v>
      </c>
      <c r="J26" s="20"/>
      <c r="K26" s="20"/>
    </row>
    <row r="27" spans="1:14" x14ac:dyDescent="0.3">
      <c r="A27" s="35" t="str">
        <f t="shared" si="0"/>
        <v>QUÁ HẠN</v>
      </c>
      <c r="B27" s="36"/>
      <c r="C27" s="36">
        <f t="shared" si="1"/>
        <v>0</v>
      </c>
      <c r="D27" s="34">
        <f t="shared" si="2"/>
        <v>1</v>
      </c>
      <c r="E27" s="20">
        <f t="shared" si="6"/>
        <v>0</v>
      </c>
      <c r="F27" s="29"/>
      <c r="G27" s="30">
        <f t="shared" si="3"/>
        <v>0</v>
      </c>
      <c r="H27" s="20" t="str">
        <f t="shared" si="4"/>
        <v/>
      </c>
      <c r="I27" s="20">
        <f t="shared" si="5"/>
        <v>0</v>
      </c>
      <c r="J27" s="20"/>
      <c r="K27" s="20"/>
    </row>
    <row r="28" spans="1:14" x14ac:dyDescent="0.3">
      <c r="A28" s="35" t="str">
        <f t="shared" si="0"/>
        <v>QUÁ HẠN</v>
      </c>
      <c r="B28" s="36"/>
      <c r="C28" s="36">
        <f t="shared" si="1"/>
        <v>0</v>
      </c>
      <c r="D28" s="34">
        <f t="shared" si="2"/>
        <v>1</v>
      </c>
      <c r="E28" s="20">
        <f t="shared" si="6"/>
        <v>0</v>
      </c>
      <c r="F28" s="29"/>
      <c r="G28" s="30">
        <f t="shared" si="3"/>
        <v>0</v>
      </c>
      <c r="H28" s="20" t="str">
        <f t="shared" si="4"/>
        <v/>
      </c>
      <c r="I28" s="20">
        <f t="shared" si="5"/>
        <v>0</v>
      </c>
      <c r="J28" s="20"/>
      <c r="K28" s="20"/>
    </row>
    <row r="29" spans="1:14" x14ac:dyDescent="0.3">
      <c r="A29" s="35" t="str">
        <f t="shared" si="0"/>
        <v>QUÁ HẠN</v>
      </c>
      <c r="B29" s="36"/>
      <c r="C29" s="36">
        <f t="shared" si="1"/>
        <v>0</v>
      </c>
      <c r="D29" s="34">
        <f t="shared" si="2"/>
        <v>1</v>
      </c>
      <c r="E29" s="20">
        <f t="shared" si="6"/>
        <v>0</v>
      </c>
      <c r="F29" s="29"/>
      <c r="G29" s="30">
        <f t="shared" si="3"/>
        <v>0</v>
      </c>
      <c r="H29" s="20" t="str">
        <f t="shared" si="4"/>
        <v/>
      </c>
      <c r="I29" s="20">
        <f t="shared" si="5"/>
        <v>0</v>
      </c>
      <c r="J29" s="20"/>
      <c r="K29" s="20"/>
    </row>
    <row r="30" spans="1:14" x14ac:dyDescent="0.3">
      <c r="A30" s="35" t="str">
        <f t="shared" si="0"/>
        <v>QUÁ HẠN</v>
      </c>
      <c r="B30" s="36"/>
      <c r="C30" s="36">
        <f t="shared" si="1"/>
        <v>0</v>
      </c>
      <c r="D30" s="34">
        <f t="shared" si="2"/>
        <v>1</v>
      </c>
      <c r="E30" s="20">
        <f t="shared" si="6"/>
        <v>0</v>
      </c>
      <c r="F30" s="29"/>
      <c r="G30" s="30">
        <f t="shared" si="3"/>
        <v>0</v>
      </c>
      <c r="H30" s="20" t="str">
        <f t="shared" si="4"/>
        <v/>
      </c>
      <c r="I30" s="20">
        <f t="shared" si="5"/>
        <v>0</v>
      </c>
      <c r="J30" s="20"/>
      <c r="K30" s="20"/>
    </row>
    <row r="31" spans="1:14" x14ac:dyDescent="0.3">
      <c r="A31" s="35" t="str">
        <f t="shared" si="0"/>
        <v>QUÁ HẠN</v>
      </c>
      <c r="B31" s="36"/>
      <c r="C31" s="36">
        <f t="shared" si="1"/>
        <v>0</v>
      </c>
      <c r="D31" s="34">
        <f t="shared" si="2"/>
        <v>1</v>
      </c>
      <c r="E31" s="20">
        <f t="shared" si="6"/>
        <v>0</v>
      </c>
      <c r="F31" s="29"/>
      <c r="G31" s="30">
        <f t="shared" si="3"/>
        <v>0</v>
      </c>
      <c r="H31" s="20" t="str">
        <f t="shared" si="4"/>
        <v/>
      </c>
      <c r="I31" s="20">
        <f t="shared" si="5"/>
        <v>0</v>
      </c>
      <c r="J31" s="20"/>
      <c r="K31" s="20"/>
      <c r="N31" s="11"/>
    </row>
    <row r="32" spans="1:14" x14ac:dyDescent="0.3">
      <c r="A32" s="35" t="str">
        <f t="shared" si="0"/>
        <v>QUÁ HẠN</v>
      </c>
      <c r="B32" s="36"/>
      <c r="C32" s="36">
        <f t="shared" si="1"/>
        <v>0</v>
      </c>
      <c r="D32" s="34">
        <f t="shared" si="2"/>
        <v>1</v>
      </c>
      <c r="E32" s="20">
        <f t="shared" si="6"/>
        <v>0</v>
      </c>
      <c r="F32" s="29"/>
      <c r="G32" s="30">
        <f t="shared" si="3"/>
        <v>0</v>
      </c>
      <c r="H32" s="20" t="str">
        <f t="shared" si="4"/>
        <v/>
      </c>
      <c r="I32" s="20">
        <f t="shared" si="5"/>
        <v>0</v>
      </c>
      <c r="J32" s="20"/>
      <c r="K32" s="20"/>
      <c r="N32" s="11"/>
    </row>
    <row r="33" spans="1:14" x14ac:dyDescent="0.3">
      <c r="A33" s="35" t="str">
        <f t="shared" si="0"/>
        <v>QUÁ HẠN</v>
      </c>
      <c r="B33" s="36"/>
      <c r="C33" s="36">
        <f t="shared" si="1"/>
        <v>0</v>
      </c>
      <c r="D33" s="34">
        <f t="shared" si="2"/>
        <v>1</v>
      </c>
      <c r="E33" s="20">
        <f t="shared" si="6"/>
        <v>0</v>
      </c>
      <c r="F33" s="29"/>
      <c r="G33" s="30">
        <f t="shared" si="3"/>
        <v>0</v>
      </c>
      <c r="H33" s="20" t="str">
        <f t="shared" si="4"/>
        <v/>
      </c>
      <c r="I33" s="20">
        <f t="shared" si="5"/>
        <v>0</v>
      </c>
      <c r="J33" s="20"/>
      <c r="K33" s="20"/>
      <c r="N33" s="11"/>
    </row>
    <row r="34" spans="1:14" x14ac:dyDescent="0.3">
      <c r="A34" s="35" t="str">
        <f t="shared" si="0"/>
        <v>QUÁ HẠN</v>
      </c>
      <c r="B34" s="36"/>
      <c r="C34" s="36">
        <f t="shared" si="1"/>
        <v>0</v>
      </c>
      <c r="D34" s="34">
        <f t="shared" si="2"/>
        <v>1</v>
      </c>
      <c r="E34" s="20">
        <f t="shared" si="6"/>
        <v>0</v>
      </c>
      <c r="F34" s="29"/>
      <c r="G34" s="30">
        <f t="shared" si="3"/>
        <v>0</v>
      </c>
      <c r="H34" s="20" t="str">
        <f t="shared" si="4"/>
        <v/>
      </c>
      <c r="I34" s="20">
        <f t="shared" si="5"/>
        <v>0</v>
      </c>
      <c r="J34" s="20"/>
      <c r="K34" s="20"/>
      <c r="N34" s="11"/>
    </row>
    <row r="35" spans="1:14" x14ac:dyDescent="0.3">
      <c r="A35" s="35" t="str">
        <f t="shared" si="0"/>
        <v>QUÁ HẠN</v>
      </c>
      <c r="B35" s="36"/>
      <c r="C35" s="36">
        <f t="shared" ref="C35:C98" si="7">IFERROR(IF(B36="", $B$10, B36-1), $B$10)</f>
        <v>0</v>
      </c>
      <c r="D35" s="34">
        <f t="shared" si="2"/>
        <v>1</v>
      </c>
      <c r="E35" s="20">
        <f t="shared" si="6"/>
        <v>0</v>
      </c>
      <c r="F35" s="29"/>
      <c r="G35" s="30">
        <f t="shared" si="3"/>
        <v>0</v>
      </c>
      <c r="H35" s="20" t="str">
        <f t="shared" si="4"/>
        <v/>
      </c>
      <c r="I35" s="20">
        <f t="shared" si="5"/>
        <v>0</v>
      </c>
      <c r="J35" s="20"/>
      <c r="K35" s="20"/>
      <c r="N35" s="11"/>
    </row>
    <row r="36" spans="1:14" x14ac:dyDescent="0.3">
      <c r="A36" s="35" t="str">
        <f t="shared" si="0"/>
        <v>QUÁ HẠN</v>
      </c>
      <c r="B36" s="36"/>
      <c r="C36" s="36">
        <f t="shared" si="7"/>
        <v>0</v>
      </c>
      <c r="D36" s="34">
        <f t="shared" si="2"/>
        <v>1</v>
      </c>
      <c r="E36" s="20">
        <f t="shared" si="6"/>
        <v>0</v>
      </c>
      <c r="F36" s="29"/>
      <c r="G36" s="30">
        <f t="shared" si="3"/>
        <v>0</v>
      </c>
      <c r="H36" s="20" t="str">
        <f t="shared" si="4"/>
        <v/>
      </c>
      <c r="I36" s="20">
        <f t="shared" si="5"/>
        <v>0</v>
      </c>
      <c r="J36" s="20"/>
      <c r="K36" s="20"/>
      <c r="N36" s="11"/>
    </row>
    <row r="37" spans="1:14" x14ac:dyDescent="0.3">
      <c r="A37" s="35" t="str">
        <f t="shared" si="0"/>
        <v>QUÁ HẠN</v>
      </c>
      <c r="B37" s="36"/>
      <c r="C37" s="36">
        <f t="shared" si="7"/>
        <v>0</v>
      </c>
      <c r="D37" s="34">
        <f t="shared" si="2"/>
        <v>1</v>
      </c>
      <c r="E37" s="20">
        <f t="shared" si="6"/>
        <v>0</v>
      </c>
      <c r="F37" s="29"/>
      <c r="G37" s="30">
        <f t="shared" si="3"/>
        <v>0</v>
      </c>
      <c r="H37" s="20" t="str">
        <f t="shared" si="4"/>
        <v/>
      </c>
      <c r="I37" s="20">
        <f t="shared" si="5"/>
        <v>0</v>
      </c>
      <c r="J37" s="20"/>
      <c r="K37" s="20"/>
      <c r="N37" s="11"/>
    </row>
    <row r="38" spans="1:14" x14ac:dyDescent="0.3">
      <c r="A38" s="35" t="str">
        <f t="shared" si="0"/>
        <v>QUÁ HẠN</v>
      </c>
      <c r="B38" s="36"/>
      <c r="C38" s="36">
        <f t="shared" si="7"/>
        <v>0</v>
      </c>
      <c r="D38" s="34">
        <f t="shared" si="2"/>
        <v>1</v>
      </c>
      <c r="E38" s="20">
        <f t="shared" si="6"/>
        <v>0</v>
      </c>
      <c r="F38" s="29"/>
      <c r="G38" s="30">
        <f t="shared" si="3"/>
        <v>0</v>
      </c>
      <c r="H38" s="20" t="str">
        <f t="shared" si="4"/>
        <v/>
      </c>
      <c r="I38" s="20">
        <f t="shared" si="5"/>
        <v>0</v>
      </c>
      <c r="J38" s="20"/>
      <c r="K38" s="20"/>
      <c r="N38" s="11"/>
    </row>
    <row r="39" spans="1:14" x14ac:dyDescent="0.3">
      <c r="A39" s="35" t="str">
        <f t="shared" ref="A39:A102" si="8">IF(B39&gt;=$B$9,"QUÁ HẠN", "TRONG HẠN")</f>
        <v>QUÁ HẠN</v>
      </c>
      <c r="B39" s="36"/>
      <c r="C39" s="36">
        <f t="shared" si="7"/>
        <v>0</v>
      </c>
      <c r="D39" s="34">
        <f t="shared" ref="D39:D102" si="9">C39-B39+1</f>
        <v>1</v>
      </c>
      <c r="E39" s="20">
        <f t="shared" ref="E39:E102" si="10">E38-J39</f>
        <v>0</v>
      </c>
      <c r="F39" s="29"/>
      <c r="G39" s="30">
        <f t="shared" ref="G39:G102" si="11">IF(A39="QUÁ HẠN", F39*1.5,"")</f>
        <v>0</v>
      </c>
      <c r="H39" s="20" t="str">
        <f t="shared" ref="H39:H102" si="12">IF(A39="TRONG HẠN",D39*E39*F39/365,"")</f>
        <v/>
      </c>
      <c r="I39" s="20">
        <f t="shared" ref="I39:I102" si="13">IF(A39="QUÁ HẠN",D39*E39*G39/365,"")</f>
        <v>0</v>
      </c>
      <c r="J39" s="20"/>
      <c r="K39" s="20"/>
      <c r="N39" s="11"/>
    </row>
    <row r="40" spans="1:14" x14ac:dyDescent="0.3">
      <c r="A40" s="35" t="str">
        <f t="shared" si="8"/>
        <v>QUÁ HẠN</v>
      </c>
      <c r="B40" s="36"/>
      <c r="C40" s="36">
        <f t="shared" si="7"/>
        <v>0</v>
      </c>
      <c r="D40" s="34">
        <f t="shared" si="9"/>
        <v>1</v>
      </c>
      <c r="E40" s="20">
        <f t="shared" si="10"/>
        <v>0</v>
      </c>
      <c r="F40" s="29"/>
      <c r="G40" s="30">
        <f t="shared" si="11"/>
        <v>0</v>
      </c>
      <c r="H40" s="20" t="str">
        <f t="shared" si="12"/>
        <v/>
      </c>
      <c r="I40" s="20">
        <f t="shared" si="13"/>
        <v>0</v>
      </c>
      <c r="J40" s="20"/>
      <c r="K40" s="20"/>
      <c r="N40" s="11"/>
    </row>
    <row r="41" spans="1:14" x14ac:dyDescent="0.3">
      <c r="A41" s="35" t="str">
        <f t="shared" si="8"/>
        <v>QUÁ HẠN</v>
      </c>
      <c r="B41" s="36"/>
      <c r="C41" s="36">
        <f t="shared" si="7"/>
        <v>0</v>
      </c>
      <c r="D41" s="34">
        <f t="shared" si="9"/>
        <v>1</v>
      </c>
      <c r="E41" s="20">
        <f t="shared" si="10"/>
        <v>0</v>
      </c>
      <c r="F41" s="29"/>
      <c r="G41" s="30">
        <f t="shared" si="11"/>
        <v>0</v>
      </c>
      <c r="H41" s="20" t="str">
        <f t="shared" si="12"/>
        <v/>
      </c>
      <c r="I41" s="20">
        <f t="shared" si="13"/>
        <v>0</v>
      </c>
      <c r="J41" s="20"/>
      <c r="K41" s="20"/>
      <c r="N41" s="11"/>
    </row>
    <row r="42" spans="1:14" x14ac:dyDescent="0.3">
      <c r="A42" s="35" t="str">
        <f t="shared" si="8"/>
        <v>QUÁ HẠN</v>
      </c>
      <c r="B42" s="36"/>
      <c r="C42" s="36">
        <f t="shared" si="7"/>
        <v>0</v>
      </c>
      <c r="D42" s="34">
        <f t="shared" si="9"/>
        <v>1</v>
      </c>
      <c r="E42" s="20">
        <f t="shared" si="10"/>
        <v>0</v>
      </c>
      <c r="F42" s="29"/>
      <c r="G42" s="30">
        <f t="shared" si="11"/>
        <v>0</v>
      </c>
      <c r="H42" s="20" t="str">
        <f t="shared" si="12"/>
        <v/>
      </c>
      <c r="I42" s="20">
        <f t="shared" si="13"/>
        <v>0</v>
      </c>
      <c r="J42" s="20"/>
      <c r="K42" s="20"/>
      <c r="N42" s="11"/>
    </row>
    <row r="43" spans="1:14" x14ac:dyDescent="0.3">
      <c r="A43" s="35" t="str">
        <f t="shared" si="8"/>
        <v>QUÁ HẠN</v>
      </c>
      <c r="B43" s="36"/>
      <c r="C43" s="36">
        <f t="shared" si="7"/>
        <v>0</v>
      </c>
      <c r="D43" s="34">
        <f t="shared" si="9"/>
        <v>1</v>
      </c>
      <c r="E43" s="20">
        <f t="shared" si="10"/>
        <v>0</v>
      </c>
      <c r="F43" s="29"/>
      <c r="G43" s="30">
        <f t="shared" si="11"/>
        <v>0</v>
      </c>
      <c r="H43" s="20" t="str">
        <f t="shared" si="12"/>
        <v/>
      </c>
      <c r="I43" s="20">
        <f t="shared" si="13"/>
        <v>0</v>
      </c>
      <c r="J43" s="20"/>
      <c r="K43" s="20"/>
      <c r="N43" s="11"/>
    </row>
    <row r="44" spans="1:14" x14ac:dyDescent="0.3">
      <c r="A44" s="35" t="str">
        <f t="shared" si="8"/>
        <v>QUÁ HẠN</v>
      </c>
      <c r="B44" s="36"/>
      <c r="C44" s="36">
        <f t="shared" si="7"/>
        <v>0</v>
      </c>
      <c r="D44" s="34">
        <f t="shared" si="9"/>
        <v>1</v>
      </c>
      <c r="E44" s="20">
        <f t="shared" si="10"/>
        <v>0</v>
      </c>
      <c r="F44" s="29"/>
      <c r="G44" s="30">
        <f t="shared" si="11"/>
        <v>0</v>
      </c>
      <c r="H44" s="20" t="str">
        <f t="shared" si="12"/>
        <v/>
      </c>
      <c r="I44" s="20">
        <f t="shared" si="13"/>
        <v>0</v>
      </c>
      <c r="J44" s="20"/>
      <c r="K44" s="20"/>
      <c r="N44" s="11"/>
    </row>
    <row r="45" spans="1:14" x14ac:dyDescent="0.3">
      <c r="A45" s="35" t="str">
        <f t="shared" si="8"/>
        <v>QUÁ HẠN</v>
      </c>
      <c r="B45" s="36"/>
      <c r="C45" s="36">
        <f t="shared" si="7"/>
        <v>0</v>
      </c>
      <c r="D45" s="34">
        <f t="shared" si="9"/>
        <v>1</v>
      </c>
      <c r="E45" s="20">
        <f t="shared" si="10"/>
        <v>0</v>
      </c>
      <c r="F45" s="29"/>
      <c r="G45" s="30">
        <f t="shared" si="11"/>
        <v>0</v>
      </c>
      <c r="H45" s="20" t="str">
        <f t="shared" si="12"/>
        <v/>
      </c>
      <c r="I45" s="20">
        <f t="shared" si="13"/>
        <v>0</v>
      </c>
      <c r="J45" s="20"/>
      <c r="K45" s="20"/>
      <c r="N45" s="11"/>
    </row>
    <row r="46" spans="1:14" x14ac:dyDescent="0.3">
      <c r="A46" s="35" t="str">
        <f t="shared" si="8"/>
        <v>QUÁ HẠN</v>
      </c>
      <c r="B46" s="36"/>
      <c r="C46" s="36">
        <f t="shared" si="7"/>
        <v>0</v>
      </c>
      <c r="D46" s="34">
        <f t="shared" si="9"/>
        <v>1</v>
      </c>
      <c r="E46" s="20">
        <f t="shared" si="10"/>
        <v>0</v>
      </c>
      <c r="F46" s="29"/>
      <c r="G46" s="30">
        <f t="shared" si="11"/>
        <v>0</v>
      </c>
      <c r="H46" s="20" t="str">
        <f t="shared" si="12"/>
        <v/>
      </c>
      <c r="I46" s="20">
        <f t="shared" si="13"/>
        <v>0</v>
      </c>
      <c r="J46" s="20"/>
      <c r="K46" s="20"/>
      <c r="N46" s="11"/>
    </row>
    <row r="47" spans="1:14" x14ac:dyDescent="0.3">
      <c r="A47" s="35" t="str">
        <f t="shared" si="8"/>
        <v>QUÁ HẠN</v>
      </c>
      <c r="B47" s="36"/>
      <c r="C47" s="36">
        <f t="shared" si="7"/>
        <v>0</v>
      </c>
      <c r="D47" s="34">
        <f t="shared" si="9"/>
        <v>1</v>
      </c>
      <c r="E47" s="20">
        <f t="shared" si="10"/>
        <v>0</v>
      </c>
      <c r="F47" s="29"/>
      <c r="G47" s="30">
        <f t="shared" si="11"/>
        <v>0</v>
      </c>
      <c r="H47" s="20" t="str">
        <f t="shared" si="12"/>
        <v/>
      </c>
      <c r="I47" s="20">
        <f t="shared" si="13"/>
        <v>0</v>
      </c>
      <c r="J47" s="20"/>
      <c r="K47" s="20"/>
      <c r="N47" s="11"/>
    </row>
    <row r="48" spans="1:14" x14ac:dyDescent="0.3">
      <c r="A48" s="35" t="str">
        <f t="shared" si="8"/>
        <v>QUÁ HẠN</v>
      </c>
      <c r="B48" s="36"/>
      <c r="C48" s="36">
        <f t="shared" si="7"/>
        <v>0</v>
      </c>
      <c r="D48" s="34">
        <f t="shared" si="9"/>
        <v>1</v>
      </c>
      <c r="E48" s="20">
        <f t="shared" si="10"/>
        <v>0</v>
      </c>
      <c r="F48" s="29"/>
      <c r="G48" s="30">
        <f t="shared" si="11"/>
        <v>0</v>
      </c>
      <c r="H48" s="20" t="str">
        <f t="shared" si="12"/>
        <v/>
      </c>
      <c r="I48" s="20">
        <f t="shared" si="13"/>
        <v>0</v>
      </c>
      <c r="J48" s="20"/>
      <c r="K48" s="20"/>
      <c r="N48" s="11"/>
    </row>
    <row r="49" spans="1:14" x14ac:dyDescent="0.3">
      <c r="A49" s="35" t="str">
        <f t="shared" si="8"/>
        <v>QUÁ HẠN</v>
      </c>
      <c r="B49" s="36"/>
      <c r="C49" s="36">
        <f t="shared" si="7"/>
        <v>0</v>
      </c>
      <c r="D49" s="34">
        <f t="shared" si="9"/>
        <v>1</v>
      </c>
      <c r="E49" s="20">
        <f t="shared" si="10"/>
        <v>0</v>
      </c>
      <c r="F49" s="29"/>
      <c r="G49" s="30">
        <f t="shared" si="11"/>
        <v>0</v>
      </c>
      <c r="H49" s="20" t="str">
        <f t="shared" si="12"/>
        <v/>
      </c>
      <c r="I49" s="20">
        <f t="shared" si="13"/>
        <v>0</v>
      </c>
      <c r="J49" s="20"/>
      <c r="K49" s="20"/>
      <c r="N49" s="11"/>
    </row>
    <row r="50" spans="1:14" x14ac:dyDescent="0.3">
      <c r="A50" s="35" t="str">
        <f t="shared" si="8"/>
        <v>QUÁ HẠN</v>
      </c>
      <c r="B50" s="36"/>
      <c r="C50" s="36">
        <f t="shared" si="7"/>
        <v>0</v>
      </c>
      <c r="D50" s="34">
        <f t="shared" si="9"/>
        <v>1</v>
      </c>
      <c r="E50" s="20">
        <f t="shared" si="10"/>
        <v>0</v>
      </c>
      <c r="F50" s="29"/>
      <c r="G50" s="30">
        <f t="shared" si="11"/>
        <v>0</v>
      </c>
      <c r="H50" s="20" t="str">
        <f t="shared" si="12"/>
        <v/>
      </c>
      <c r="I50" s="20">
        <f t="shared" si="13"/>
        <v>0</v>
      </c>
      <c r="J50" s="20"/>
      <c r="K50" s="20"/>
      <c r="N50" s="11"/>
    </row>
    <row r="51" spans="1:14" x14ac:dyDescent="0.3">
      <c r="A51" s="35" t="str">
        <f t="shared" si="8"/>
        <v>QUÁ HẠN</v>
      </c>
      <c r="B51" s="36"/>
      <c r="C51" s="36">
        <f t="shared" si="7"/>
        <v>0</v>
      </c>
      <c r="D51" s="34">
        <f t="shared" si="9"/>
        <v>1</v>
      </c>
      <c r="E51" s="20">
        <f t="shared" si="10"/>
        <v>0</v>
      </c>
      <c r="F51" s="29"/>
      <c r="G51" s="30">
        <f t="shared" si="11"/>
        <v>0</v>
      </c>
      <c r="H51" s="20" t="str">
        <f t="shared" si="12"/>
        <v/>
      </c>
      <c r="I51" s="20">
        <f t="shared" si="13"/>
        <v>0</v>
      </c>
      <c r="J51" s="20"/>
      <c r="K51" s="20"/>
      <c r="N51" s="11"/>
    </row>
    <row r="52" spans="1:14" x14ac:dyDescent="0.3">
      <c r="A52" s="35" t="str">
        <f t="shared" si="8"/>
        <v>QUÁ HẠN</v>
      </c>
      <c r="B52" s="36"/>
      <c r="C52" s="36">
        <f t="shared" si="7"/>
        <v>0</v>
      </c>
      <c r="D52" s="34">
        <f t="shared" si="9"/>
        <v>1</v>
      </c>
      <c r="E52" s="20">
        <f t="shared" si="10"/>
        <v>0</v>
      </c>
      <c r="F52" s="29"/>
      <c r="G52" s="30">
        <f t="shared" si="11"/>
        <v>0</v>
      </c>
      <c r="H52" s="20" t="str">
        <f t="shared" si="12"/>
        <v/>
      </c>
      <c r="I52" s="20">
        <f t="shared" si="13"/>
        <v>0</v>
      </c>
      <c r="J52" s="20"/>
      <c r="K52" s="20"/>
      <c r="N52" s="11"/>
    </row>
    <row r="53" spans="1:14" x14ac:dyDescent="0.3">
      <c r="A53" s="35" t="str">
        <f t="shared" si="8"/>
        <v>QUÁ HẠN</v>
      </c>
      <c r="B53" s="36"/>
      <c r="C53" s="36">
        <f t="shared" si="7"/>
        <v>0</v>
      </c>
      <c r="D53" s="34">
        <f t="shared" si="9"/>
        <v>1</v>
      </c>
      <c r="E53" s="20">
        <f t="shared" si="10"/>
        <v>0</v>
      </c>
      <c r="F53" s="29"/>
      <c r="G53" s="30">
        <f t="shared" si="11"/>
        <v>0</v>
      </c>
      <c r="H53" s="20" t="str">
        <f t="shared" si="12"/>
        <v/>
      </c>
      <c r="I53" s="20">
        <f t="shared" si="13"/>
        <v>0</v>
      </c>
      <c r="J53" s="20"/>
      <c r="K53" s="20"/>
      <c r="N53" s="11"/>
    </row>
    <row r="54" spans="1:14" x14ac:dyDescent="0.3">
      <c r="A54" s="35" t="str">
        <f t="shared" si="8"/>
        <v>QUÁ HẠN</v>
      </c>
      <c r="B54" s="36"/>
      <c r="C54" s="36">
        <f t="shared" si="7"/>
        <v>0</v>
      </c>
      <c r="D54" s="34">
        <f t="shared" si="9"/>
        <v>1</v>
      </c>
      <c r="E54" s="20">
        <f t="shared" si="10"/>
        <v>0</v>
      </c>
      <c r="F54" s="29"/>
      <c r="G54" s="30">
        <f t="shared" si="11"/>
        <v>0</v>
      </c>
      <c r="H54" s="20" t="str">
        <f t="shared" si="12"/>
        <v/>
      </c>
      <c r="I54" s="20">
        <f t="shared" si="13"/>
        <v>0</v>
      </c>
      <c r="J54" s="20"/>
      <c r="K54" s="20"/>
      <c r="N54" s="11"/>
    </row>
    <row r="55" spans="1:14" x14ac:dyDescent="0.3">
      <c r="A55" s="35" t="str">
        <f t="shared" si="8"/>
        <v>QUÁ HẠN</v>
      </c>
      <c r="B55" s="36"/>
      <c r="C55" s="36">
        <f t="shared" si="7"/>
        <v>0</v>
      </c>
      <c r="D55" s="34">
        <f t="shared" si="9"/>
        <v>1</v>
      </c>
      <c r="E55" s="20">
        <f t="shared" si="10"/>
        <v>0</v>
      </c>
      <c r="F55" s="29"/>
      <c r="G55" s="30">
        <f t="shared" si="11"/>
        <v>0</v>
      </c>
      <c r="H55" s="20" t="str">
        <f t="shared" si="12"/>
        <v/>
      </c>
      <c r="I55" s="20">
        <f t="shared" si="13"/>
        <v>0</v>
      </c>
      <c r="J55" s="20"/>
      <c r="K55" s="20"/>
      <c r="N55" s="11"/>
    </row>
    <row r="56" spans="1:14" x14ac:dyDescent="0.3">
      <c r="A56" s="35" t="str">
        <f t="shared" si="8"/>
        <v>QUÁ HẠN</v>
      </c>
      <c r="B56" s="36"/>
      <c r="C56" s="36">
        <f t="shared" si="7"/>
        <v>0</v>
      </c>
      <c r="D56" s="34">
        <f t="shared" si="9"/>
        <v>1</v>
      </c>
      <c r="E56" s="20">
        <f t="shared" si="10"/>
        <v>0</v>
      </c>
      <c r="F56" s="29"/>
      <c r="G56" s="30">
        <f t="shared" si="11"/>
        <v>0</v>
      </c>
      <c r="H56" s="20" t="str">
        <f t="shared" si="12"/>
        <v/>
      </c>
      <c r="I56" s="20">
        <f t="shared" si="13"/>
        <v>0</v>
      </c>
      <c r="J56" s="20"/>
      <c r="K56" s="20"/>
      <c r="N56" s="11"/>
    </row>
    <row r="57" spans="1:14" x14ac:dyDescent="0.3">
      <c r="A57" s="35" t="str">
        <f t="shared" si="8"/>
        <v>QUÁ HẠN</v>
      </c>
      <c r="B57" s="36"/>
      <c r="C57" s="36">
        <f t="shared" si="7"/>
        <v>0</v>
      </c>
      <c r="D57" s="34">
        <f t="shared" si="9"/>
        <v>1</v>
      </c>
      <c r="E57" s="20">
        <f t="shared" si="10"/>
        <v>0</v>
      </c>
      <c r="F57" s="29"/>
      <c r="G57" s="30">
        <f t="shared" si="11"/>
        <v>0</v>
      </c>
      <c r="H57" s="20" t="str">
        <f t="shared" si="12"/>
        <v/>
      </c>
      <c r="I57" s="20">
        <f t="shared" si="13"/>
        <v>0</v>
      </c>
      <c r="J57" s="20"/>
      <c r="K57" s="20"/>
      <c r="N57" s="11"/>
    </row>
    <row r="58" spans="1:14" x14ac:dyDescent="0.3">
      <c r="A58" s="35" t="str">
        <f t="shared" si="8"/>
        <v>QUÁ HẠN</v>
      </c>
      <c r="B58" s="36"/>
      <c r="C58" s="36">
        <f t="shared" si="7"/>
        <v>0</v>
      </c>
      <c r="D58" s="34">
        <f t="shared" si="9"/>
        <v>1</v>
      </c>
      <c r="E58" s="20">
        <f t="shared" si="10"/>
        <v>0</v>
      </c>
      <c r="F58" s="29"/>
      <c r="G58" s="30">
        <f t="shared" si="11"/>
        <v>0</v>
      </c>
      <c r="H58" s="20" t="str">
        <f t="shared" si="12"/>
        <v/>
      </c>
      <c r="I58" s="20">
        <f t="shared" si="13"/>
        <v>0</v>
      </c>
      <c r="J58" s="20"/>
      <c r="K58" s="20"/>
      <c r="N58" s="11"/>
    </row>
    <row r="59" spans="1:14" x14ac:dyDescent="0.3">
      <c r="A59" s="35" t="str">
        <f t="shared" si="8"/>
        <v>QUÁ HẠN</v>
      </c>
      <c r="B59" s="36"/>
      <c r="C59" s="36">
        <f t="shared" si="7"/>
        <v>0</v>
      </c>
      <c r="D59" s="34">
        <f t="shared" si="9"/>
        <v>1</v>
      </c>
      <c r="E59" s="20">
        <f t="shared" si="10"/>
        <v>0</v>
      </c>
      <c r="F59" s="29"/>
      <c r="G59" s="30">
        <f t="shared" si="11"/>
        <v>0</v>
      </c>
      <c r="H59" s="20" t="str">
        <f t="shared" si="12"/>
        <v/>
      </c>
      <c r="I59" s="20">
        <f t="shared" si="13"/>
        <v>0</v>
      </c>
      <c r="J59" s="20"/>
      <c r="K59" s="20"/>
      <c r="N59" s="11"/>
    </row>
    <row r="60" spans="1:14" x14ac:dyDescent="0.3">
      <c r="A60" s="35" t="str">
        <f t="shared" si="8"/>
        <v>QUÁ HẠN</v>
      </c>
      <c r="B60" s="36"/>
      <c r="C60" s="36">
        <f t="shared" si="7"/>
        <v>0</v>
      </c>
      <c r="D60" s="34">
        <f t="shared" si="9"/>
        <v>1</v>
      </c>
      <c r="E60" s="20">
        <f t="shared" si="10"/>
        <v>0</v>
      </c>
      <c r="F60" s="29"/>
      <c r="G60" s="30">
        <f t="shared" si="11"/>
        <v>0</v>
      </c>
      <c r="H60" s="20" t="str">
        <f t="shared" si="12"/>
        <v/>
      </c>
      <c r="I60" s="20">
        <f t="shared" si="13"/>
        <v>0</v>
      </c>
      <c r="J60" s="20"/>
      <c r="K60" s="20"/>
      <c r="N60" s="11"/>
    </row>
    <row r="61" spans="1:14" x14ac:dyDescent="0.3">
      <c r="A61" s="35" t="str">
        <f t="shared" si="8"/>
        <v>QUÁ HẠN</v>
      </c>
      <c r="B61" s="36"/>
      <c r="C61" s="36">
        <f t="shared" si="7"/>
        <v>0</v>
      </c>
      <c r="D61" s="34">
        <f t="shared" si="9"/>
        <v>1</v>
      </c>
      <c r="E61" s="20">
        <f t="shared" si="10"/>
        <v>0</v>
      </c>
      <c r="F61" s="29"/>
      <c r="G61" s="30">
        <f t="shared" si="11"/>
        <v>0</v>
      </c>
      <c r="H61" s="20" t="str">
        <f t="shared" si="12"/>
        <v/>
      </c>
      <c r="I61" s="20">
        <f t="shared" si="13"/>
        <v>0</v>
      </c>
      <c r="J61" s="20"/>
      <c r="K61" s="20"/>
      <c r="N61" s="11"/>
    </row>
    <row r="62" spans="1:14" x14ac:dyDescent="0.3">
      <c r="A62" s="35" t="str">
        <f t="shared" si="8"/>
        <v>QUÁ HẠN</v>
      </c>
      <c r="B62" s="36"/>
      <c r="C62" s="36">
        <f t="shared" si="7"/>
        <v>0</v>
      </c>
      <c r="D62" s="34">
        <f t="shared" si="9"/>
        <v>1</v>
      </c>
      <c r="E62" s="20">
        <f t="shared" si="10"/>
        <v>0</v>
      </c>
      <c r="F62" s="29"/>
      <c r="G62" s="30">
        <f t="shared" si="11"/>
        <v>0</v>
      </c>
      <c r="H62" s="20" t="str">
        <f t="shared" si="12"/>
        <v/>
      </c>
      <c r="I62" s="20">
        <f t="shared" si="13"/>
        <v>0</v>
      </c>
      <c r="J62" s="20"/>
      <c r="K62" s="20"/>
      <c r="N62" s="11"/>
    </row>
    <row r="63" spans="1:14" x14ac:dyDescent="0.3">
      <c r="A63" s="35" t="str">
        <f t="shared" si="8"/>
        <v>QUÁ HẠN</v>
      </c>
      <c r="B63" s="36"/>
      <c r="C63" s="36">
        <f t="shared" si="7"/>
        <v>0</v>
      </c>
      <c r="D63" s="34">
        <f t="shared" si="9"/>
        <v>1</v>
      </c>
      <c r="E63" s="20">
        <f t="shared" si="10"/>
        <v>0</v>
      </c>
      <c r="F63" s="29"/>
      <c r="G63" s="30">
        <f t="shared" si="11"/>
        <v>0</v>
      </c>
      <c r="H63" s="20" t="str">
        <f t="shared" si="12"/>
        <v/>
      </c>
      <c r="I63" s="20">
        <f t="shared" si="13"/>
        <v>0</v>
      </c>
      <c r="J63" s="20"/>
      <c r="K63" s="20"/>
      <c r="N63" s="11"/>
    </row>
    <row r="64" spans="1:14" x14ac:dyDescent="0.3">
      <c r="A64" s="35" t="str">
        <f t="shared" si="8"/>
        <v>QUÁ HẠN</v>
      </c>
      <c r="B64" s="36"/>
      <c r="C64" s="36">
        <f t="shared" si="7"/>
        <v>0</v>
      </c>
      <c r="D64" s="34">
        <f t="shared" si="9"/>
        <v>1</v>
      </c>
      <c r="E64" s="20">
        <f t="shared" si="10"/>
        <v>0</v>
      </c>
      <c r="F64" s="29"/>
      <c r="G64" s="30">
        <f t="shared" si="11"/>
        <v>0</v>
      </c>
      <c r="H64" s="20" t="str">
        <f t="shared" si="12"/>
        <v/>
      </c>
      <c r="I64" s="20">
        <f t="shared" si="13"/>
        <v>0</v>
      </c>
      <c r="J64" s="20"/>
      <c r="K64" s="20"/>
      <c r="N64" s="11"/>
    </row>
    <row r="65" spans="1:14" x14ac:dyDescent="0.3">
      <c r="A65" s="35" t="str">
        <f t="shared" si="8"/>
        <v>QUÁ HẠN</v>
      </c>
      <c r="B65" s="36"/>
      <c r="C65" s="36">
        <f t="shared" si="7"/>
        <v>0</v>
      </c>
      <c r="D65" s="34">
        <f t="shared" si="9"/>
        <v>1</v>
      </c>
      <c r="E65" s="20">
        <f t="shared" si="10"/>
        <v>0</v>
      </c>
      <c r="F65" s="29"/>
      <c r="G65" s="30">
        <f t="shared" si="11"/>
        <v>0</v>
      </c>
      <c r="H65" s="20" t="str">
        <f t="shared" si="12"/>
        <v/>
      </c>
      <c r="I65" s="20">
        <f t="shared" si="13"/>
        <v>0</v>
      </c>
      <c r="J65" s="20"/>
      <c r="K65" s="20"/>
      <c r="N65" s="11"/>
    </row>
    <row r="66" spans="1:14" x14ac:dyDescent="0.3">
      <c r="A66" s="35" t="str">
        <f t="shared" si="8"/>
        <v>QUÁ HẠN</v>
      </c>
      <c r="B66" s="36"/>
      <c r="C66" s="36">
        <f t="shared" si="7"/>
        <v>0</v>
      </c>
      <c r="D66" s="34">
        <f t="shared" si="9"/>
        <v>1</v>
      </c>
      <c r="E66" s="20">
        <f t="shared" si="10"/>
        <v>0</v>
      </c>
      <c r="F66" s="29"/>
      <c r="G66" s="30">
        <f t="shared" si="11"/>
        <v>0</v>
      </c>
      <c r="H66" s="20" t="str">
        <f t="shared" si="12"/>
        <v/>
      </c>
      <c r="I66" s="20">
        <f t="shared" si="13"/>
        <v>0</v>
      </c>
      <c r="J66" s="20"/>
      <c r="K66" s="20"/>
      <c r="N66" s="11"/>
    </row>
    <row r="67" spans="1:14" x14ac:dyDescent="0.3">
      <c r="A67" s="35" t="str">
        <f t="shared" si="8"/>
        <v>QUÁ HẠN</v>
      </c>
      <c r="B67" s="36"/>
      <c r="C67" s="36">
        <f t="shared" si="7"/>
        <v>0</v>
      </c>
      <c r="D67" s="34">
        <f t="shared" si="9"/>
        <v>1</v>
      </c>
      <c r="E67" s="20">
        <f t="shared" si="10"/>
        <v>0</v>
      </c>
      <c r="F67" s="29"/>
      <c r="G67" s="30">
        <f t="shared" si="11"/>
        <v>0</v>
      </c>
      <c r="H67" s="20" t="str">
        <f t="shared" si="12"/>
        <v/>
      </c>
      <c r="I67" s="20">
        <f t="shared" si="13"/>
        <v>0</v>
      </c>
      <c r="J67" s="20"/>
      <c r="K67" s="20"/>
      <c r="N67" s="11"/>
    </row>
    <row r="68" spans="1:14" x14ac:dyDescent="0.3">
      <c r="A68" s="35" t="str">
        <f t="shared" si="8"/>
        <v>QUÁ HẠN</v>
      </c>
      <c r="B68" s="36"/>
      <c r="C68" s="36">
        <f t="shared" si="7"/>
        <v>0</v>
      </c>
      <c r="D68" s="34">
        <f t="shared" si="9"/>
        <v>1</v>
      </c>
      <c r="E68" s="20">
        <f t="shared" si="10"/>
        <v>0</v>
      </c>
      <c r="F68" s="29"/>
      <c r="G68" s="30">
        <f t="shared" si="11"/>
        <v>0</v>
      </c>
      <c r="H68" s="20" t="str">
        <f t="shared" si="12"/>
        <v/>
      </c>
      <c r="I68" s="20">
        <f t="shared" si="13"/>
        <v>0</v>
      </c>
      <c r="J68" s="20"/>
      <c r="K68" s="20"/>
      <c r="N68" s="11"/>
    </row>
    <row r="69" spans="1:14" x14ac:dyDescent="0.3">
      <c r="A69" s="35" t="str">
        <f t="shared" si="8"/>
        <v>QUÁ HẠN</v>
      </c>
      <c r="B69" s="36"/>
      <c r="C69" s="36">
        <f t="shared" si="7"/>
        <v>0</v>
      </c>
      <c r="D69" s="34">
        <f t="shared" si="9"/>
        <v>1</v>
      </c>
      <c r="E69" s="20">
        <f t="shared" si="10"/>
        <v>0</v>
      </c>
      <c r="F69" s="29"/>
      <c r="G69" s="30">
        <f t="shared" si="11"/>
        <v>0</v>
      </c>
      <c r="H69" s="20" t="str">
        <f t="shared" si="12"/>
        <v/>
      </c>
      <c r="I69" s="20">
        <f t="shared" si="13"/>
        <v>0</v>
      </c>
      <c r="J69" s="20"/>
      <c r="K69" s="20"/>
      <c r="N69" s="11"/>
    </row>
    <row r="70" spans="1:14" x14ac:dyDescent="0.3">
      <c r="A70" s="35" t="str">
        <f t="shared" si="8"/>
        <v>QUÁ HẠN</v>
      </c>
      <c r="B70" s="36"/>
      <c r="C70" s="36">
        <f t="shared" si="7"/>
        <v>0</v>
      </c>
      <c r="D70" s="34">
        <f t="shared" si="9"/>
        <v>1</v>
      </c>
      <c r="E70" s="20">
        <f t="shared" si="10"/>
        <v>0</v>
      </c>
      <c r="F70" s="29"/>
      <c r="G70" s="30">
        <f t="shared" si="11"/>
        <v>0</v>
      </c>
      <c r="H70" s="20" t="str">
        <f t="shared" si="12"/>
        <v/>
      </c>
      <c r="I70" s="20">
        <f t="shared" si="13"/>
        <v>0</v>
      </c>
      <c r="J70" s="20"/>
      <c r="K70" s="20"/>
      <c r="N70" s="11"/>
    </row>
    <row r="71" spans="1:14" x14ac:dyDescent="0.3">
      <c r="A71" s="35" t="str">
        <f t="shared" si="8"/>
        <v>QUÁ HẠN</v>
      </c>
      <c r="B71" s="36"/>
      <c r="C71" s="36">
        <f t="shared" si="7"/>
        <v>0</v>
      </c>
      <c r="D71" s="34">
        <f t="shared" si="9"/>
        <v>1</v>
      </c>
      <c r="E71" s="20">
        <f t="shared" si="10"/>
        <v>0</v>
      </c>
      <c r="F71" s="29"/>
      <c r="G71" s="30">
        <f t="shared" si="11"/>
        <v>0</v>
      </c>
      <c r="H71" s="20" t="str">
        <f t="shared" si="12"/>
        <v/>
      </c>
      <c r="I71" s="20">
        <f t="shared" si="13"/>
        <v>0</v>
      </c>
      <c r="J71" s="20"/>
      <c r="K71" s="20"/>
      <c r="N71" s="11"/>
    </row>
    <row r="72" spans="1:14" x14ac:dyDescent="0.3">
      <c r="A72" s="35" t="str">
        <f t="shared" si="8"/>
        <v>QUÁ HẠN</v>
      </c>
      <c r="B72" s="36"/>
      <c r="C72" s="36">
        <f t="shared" si="7"/>
        <v>0</v>
      </c>
      <c r="D72" s="34">
        <f t="shared" si="9"/>
        <v>1</v>
      </c>
      <c r="E72" s="20">
        <f t="shared" si="10"/>
        <v>0</v>
      </c>
      <c r="F72" s="29"/>
      <c r="G72" s="30">
        <f t="shared" si="11"/>
        <v>0</v>
      </c>
      <c r="H72" s="20" t="str">
        <f t="shared" si="12"/>
        <v/>
      </c>
      <c r="I72" s="20">
        <f t="shared" si="13"/>
        <v>0</v>
      </c>
      <c r="J72" s="20"/>
      <c r="K72" s="20"/>
      <c r="N72" s="11"/>
    </row>
    <row r="73" spans="1:14" x14ac:dyDescent="0.3">
      <c r="A73" s="35" t="str">
        <f t="shared" si="8"/>
        <v>QUÁ HẠN</v>
      </c>
      <c r="B73" s="36"/>
      <c r="C73" s="36">
        <f t="shared" si="7"/>
        <v>0</v>
      </c>
      <c r="D73" s="34">
        <f t="shared" si="9"/>
        <v>1</v>
      </c>
      <c r="E73" s="20">
        <f t="shared" si="10"/>
        <v>0</v>
      </c>
      <c r="F73" s="29"/>
      <c r="G73" s="30">
        <f t="shared" si="11"/>
        <v>0</v>
      </c>
      <c r="H73" s="20" t="str">
        <f t="shared" si="12"/>
        <v/>
      </c>
      <c r="I73" s="20">
        <f t="shared" si="13"/>
        <v>0</v>
      </c>
      <c r="J73" s="20"/>
      <c r="K73" s="20"/>
      <c r="N73" s="11"/>
    </row>
    <row r="74" spans="1:14" x14ac:dyDescent="0.3">
      <c r="A74" s="35" t="str">
        <f t="shared" si="8"/>
        <v>QUÁ HẠN</v>
      </c>
      <c r="B74" s="36"/>
      <c r="C74" s="36">
        <f t="shared" si="7"/>
        <v>0</v>
      </c>
      <c r="D74" s="34">
        <f t="shared" si="9"/>
        <v>1</v>
      </c>
      <c r="E74" s="20">
        <f t="shared" si="10"/>
        <v>0</v>
      </c>
      <c r="F74" s="29"/>
      <c r="G74" s="30">
        <f t="shared" si="11"/>
        <v>0</v>
      </c>
      <c r="H74" s="20" t="str">
        <f t="shared" si="12"/>
        <v/>
      </c>
      <c r="I74" s="20">
        <f t="shared" si="13"/>
        <v>0</v>
      </c>
      <c r="J74" s="20"/>
      <c r="K74" s="20"/>
      <c r="N74" s="11"/>
    </row>
    <row r="75" spans="1:14" x14ac:dyDescent="0.3">
      <c r="A75" s="35" t="str">
        <f t="shared" si="8"/>
        <v>QUÁ HẠN</v>
      </c>
      <c r="B75" s="36"/>
      <c r="C75" s="36">
        <f t="shared" si="7"/>
        <v>0</v>
      </c>
      <c r="D75" s="34">
        <f t="shared" si="9"/>
        <v>1</v>
      </c>
      <c r="E75" s="20">
        <f t="shared" si="10"/>
        <v>0</v>
      </c>
      <c r="F75" s="29"/>
      <c r="G75" s="30">
        <f t="shared" si="11"/>
        <v>0</v>
      </c>
      <c r="H75" s="20" t="str">
        <f t="shared" si="12"/>
        <v/>
      </c>
      <c r="I75" s="20">
        <f t="shared" si="13"/>
        <v>0</v>
      </c>
      <c r="J75" s="20"/>
      <c r="K75" s="20"/>
      <c r="N75" s="11"/>
    </row>
    <row r="76" spans="1:14" x14ac:dyDescent="0.3">
      <c r="A76" s="35" t="str">
        <f t="shared" si="8"/>
        <v>QUÁ HẠN</v>
      </c>
      <c r="B76" s="36"/>
      <c r="C76" s="36">
        <f t="shared" si="7"/>
        <v>0</v>
      </c>
      <c r="D76" s="34">
        <f t="shared" si="9"/>
        <v>1</v>
      </c>
      <c r="E76" s="20">
        <f t="shared" si="10"/>
        <v>0</v>
      </c>
      <c r="F76" s="29"/>
      <c r="G76" s="30">
        <f t="shared" si="11"/>
        <v>0</v>
      </c>
      <c r="H76" s="20" t="str">
        <f t="shared" si="12"/>
        <v/>
      </c>
      <c r="I76" s="20">
        <f t="shared" si="13"/>
        <v>0</v>
      </c>
      <c r="J76" s="20"/>
      <c r="K76" s="20"/>
      <c r="N76" s="11"/>
    </row>
    <row r="77" spans="1:14" x14ac:dyDescent="0.3">
      <c r="A77" s="35" t="str">
        <f t="shared" si="8"/>
        <v>QUÁ HẠN</v>
      </c>
      <c r="B77" s="36"/>
      <c r="C77" s="36">
        <f t="shared" si="7"/>
        <v>0</v>
      </c>
      <c r="D77" s="34">
        <f t="shared" si="9"/>
        <v>1</v>
      </c>
      <c r="E77" s="20">
        <f t="shared" si="10"/>
        <v>0</v>
      </c>
      <c r="F77" s="29"/>
      <c r="G77" s="30">
        <f t="shared" si="11"/>
        <v>0</v>
      </c>
      <c r="H77" s="20" t="str">
        <f t="shared" si="12"/>
        <v/>
      </c>
      <c r="I77" s="20">
        <f t="shared" si="13"/>
        <v>0</v>
      </c>
      <c r="J77" s="20"/>
      <c r="K77" s="20"/>
      <c r="N77" s="11"/>
    </row>
    <row r="78" spans="1:14" x14ac:dyDescent="0.3">
      <c r="A78" s="35" t="str">
        <f t="shared" si="8"/>
        <v>QUÁ HẠN</v>
      </c>
      <c r="B78" s="36"/>
      <c r="C78" s="36">
        <f t="shared" si="7"/>
        <v>0</v>
      </c>
      <c r="D78" s="34">
        <f t="shared" si="9"/>
        <v>1</v>
      </c>
      <c r="E78" s="20">
        <f t="shared" si="10"/>
        <v>0</v>
      </c>
      <c r="F78" s="29"/>
      <c r="G78" s="30">
        <f t="shared" si="11"/>
        <v>0</v>
      </c>
      <c r="H78" s="20" t="str">
        <f t="shared" si="12"/>
        <v/>
      </c>
      <c r="I78" s="20">
        <f t="shared" si="13"/>
        <v>0</v>
      </c>
      <c r="J78" s="20"/>
      <c r="K78" s="20"/>
      <c r="N78" s="11"/>
    </row>
    <row r="79" spans="1:14" x14ac:dyDescent="0.3">
      <c r="A79" s="35" t="str">
        <f t="shared" si="8"/>
        <v>QUÁ HẠN</v>
      </c>
      <c r="B79" s="36"/>
      <c r="C79" s="36">
        <f t="shared" si="7"/>
        <v>0</v>
      </c>
      <c r="D79" s="34">
        <f t="shared" si="9"/>
        <v>1</v>
      </c>
      <c r="E79" s="20">
        <f t="shared" si="10"/>
        <v>0</v>
      </c>
      <c r="F79" s="29"/>
      <c r="G79" s="30">
        <f t="shared" si="11"/>
        <v>0</v>
      </c>
      <c r="H79" s="20" t="str">
        <f t="shared" si="12"/>
        <v/>
      </c>
      <c r="I79" s="20">
        <f t="shared" si="13"/>
        <v>0</v>
      </c>
      <c r="J79" s="20"/>
      <c r="K79" s="20"/>
      <c r="N79" s="11"/>
    </row>
    <row r="80" spans="1:14" x14ac:dyDescent="0.3">
      <c r="A80" s="35" t="str">
        <f t="shared" si="8"/>
        <v>QUÁ HẠN</v>
      </c>
      <c r="B80" s="36"/>
      <c r="C80" s="36">
        <f t="shared" si="7"/>
        <v>0</v>
      </c>
      <c r="D80" s="34">
        <f t="shared" si="9"/>
        <v>1</v>
      </c>
      <c r="E80" s="20">
        <f t="shared" si="10"/>
        <v>0</v>
      </c>
      <c r="F80" s="29"/>
      <c r="G80" s="30">
        <f t="shared" si="11"/>
        <v>0</v>
      </c>
      <c r="H80" s="20" t="str">
        <f t="shared" si="12"/>
        <v/>
      </c>
      <c r="I80" s="20">
        <f t="shared" si="13"/>
        <v>0</v>
      </c>
      <c r="J80" s="20"/>
      <c r="K80" s="20"/>
      <c r="N80" s="11"/>
    </row>
    <row r="81" spans="1:14" x14ac:dyDescent="0.3">
      <c r="A81" s="35" t="str">
        <f t="shared" si="8"/>
        <v>QUÁ HẠN</v>
      </c>
      <c r="B81" s="36"/>
      <c r="C81" s="36">
        <f t="shared" si="7"/>
        <v>0</v>
      </c>
      <c r="D81" s="34">
        <f t="shared" si="9"/>
        <v>1</v>
      </c>
      <c r="E81" s="20">
        <f t="shared" si="10"/>
        <v>0</v>
      </c>
      <c r="F81" s="29"/>
      <c r="G81" s="30">
        <f t="shared" si="11"/>
        <v>0</v>
      </c>
      <c r="H81" s="20" t="str">
        <f t="shared" si="12"/>
        <v/>
      </c>
      <c r="I81" s="20">
        <f t="shared" si="13"/>
        <v>0</v>
      </c>
      <c r="J81" s="20"/>
      <c r="K81" s="20"/>
      <c r="N81" s="11"/>
    </row>
    <row r="82" spans="1:14" x14ac:dyDescent="0.3">
      <c r="A82" s="35" t="str">
        <f t="shared" si="8"/>
        <v>QUÁ HẠN</v>
      </c>
      <c r="B82" s="36"/>
      <c r="C82" s="36">
        <f t="shared" si="7"/>
        <v>0</v>
      </c>
      <c r="D82" s="34">
        <f t="shared" si="9"/>
        <v>1</v>
      </c>
      <c r="E82" s="20">
        <f t="shared" si="10"/>
        <v>0</v>
      </c>
      <c r="F82" s="29"/>
      <c r="G82" s="30">
        <f t="shared" si="11"/>
        <v>0</v>
      </c>
      <c r="H82" s="20" t="str">
        <f t="shared" si="12"/>
        <v/>
      </c>
      <c r="I82" s="20">
        <f t="shared" si="13"/>
        <v>0</v>
      </c>
      <c r="J82" s="20"/>
      <c r="K82" s="20"/>
      <c r="N82" s="11"/>
    </row>
    <row r="83" spans="1:14" x14ac:dyDescent="0.3">
      <c r="A83" s="35" t="str">
        <f t="shared" si="8"/>
        <v>QUÁ HẠN</v>
      </c>
      <c r="B83" s="36"/>
      <c r="C83" s="36">
        <f t="shared" si="7"/>
        <v>0</v>
      </c>
      <c r="D83" s="34">
        <f t="shared" si="9"/>
        <v>1</v>
      </c>
      <c r="E83" s="20">
        <f t="shared" si="10"/>
        <v>0</v>
      </c>
      <c r="F83" s="29"/>
      <c r="G83" s="30">
        <f t="shared" si="11"/>
        <v>0</v>
      </c>
      <c r="H83" s="20" t="str">
        <f t="shared" si="12"/>
        <v/>
      </c>
      <c r="I83" s="20">
        <f t="shared" si="13"/>
        <v>0</v>
      </c>
      <c r="J83" s="20"/>
      <c r="K83" s="20"/>
      <c r="N83" s="11"/>
    </row>
    <row r="84" spans="1:14" x14ac:dyDescent="0.3">
      <c r="A84" s="35" t="str">
        <f t="shared" si="8"/>
        <v>QUÁ HẠN</v>
      </c>
      <c r="B84" s="36"/>
      <c r="C84" s="36">
        <f t="shared" si="7"/>
        <v>0</v>
      </c>
      <c r="D84" s="34">
        <f t="shared" si="9"/>
        <v>1</v>
      </c>
      <c r="E84" s="20">
        <f t="shared" si="10"/>
        <v>0</v>
      </c>
      <c r="F84" s="29"/>
      <c r="G84" s="30">
        <f t="shared" si="11"/>
        <v>0</v>
      </c>
      <c r="H84" s="20" t="str">
        <f t="shared" si="12"/>
        <v/>
      </c>
      <c r="I84" s="20">
        <f t="shared" si="13"/>
        <v>0</v>
      </c>
      <c r="J84" s="20"/>
      <c r="K84" s="20"/>
      <c r="N84" s="11"/>
    </row>
    <row r="85" spans="1:14" x14ac:dyDescent="0.3">
      <c r="A85" s="35" t="str">
        <f t="shared" si="8"/>
        <v>QUÁ HẠN</v>
      </c>
      <c r="B85" s="36"/>
      <c r="C85" s="36">
        <f t="shared" si="7"/>
        <v>0</v>
      </c>
      <c r="D85" s="34">
        <f t="shared" si="9"/>
        <v>1</v>
      </c>
      <c r="E85" s="20">
        <f t="shared" si="10"/>
        <v>0</v>
      </c>
      <c r="F85" s="29"/>
      <c r="G85" s="30">
        <f t="shared" si="11"/>
        <v>0</v>
      </c>
      <c r="H85" s="20" t="str">
        <f t="shared" si="12"/>
        <v/>
      </c>
      <c r="I85" s="20">
        <f t="shared" si="13"/>
        <v>0</v>
      </c>
      <c r="J85" s="20"/>
      <c r="K85" s="20"/>
      <c r="N85" s="11"/>
    </row>
    <row r="86" spans="1:14" x14ac:dyDescent="0.3">
      <c r="A86" s="35" t="str">
        <f t="shared" si="8"/>
        <v>QUÁ HẠN</v>
      </c>
      <c r="B86" s="36"/>
      <c r="C86" s="36">
        <f t="shared" si="7"/>
        <v>0</v>
      </c>
      <c r="D86" s="34">
        <f t="shared" si="9"/>
        <v>1</v>
      </c>
      <c r="E86" s="20">
        <f t="shared" si="10"/>
        <v>0</v>
      </c>
      <c r="F86" s="29"/>
      <c r="G86" s="30">
        <f t="shared" si="11"/>
        <v>0</v>
      </c>
      <c r="H86" s="20" t="str">
        <f t="shared" si="12"/>
        <v/>
      </c>
      <c r="I86" s="20">
        <f t="shared" si="13"/>
        <v>0</v>
      </c>
      <c r="J86" s="20"/>
      <c r="K86" s="20"/>
      <c r="N86" s="11"/>
    </row>
    <row r="87" spans="1:14" x14ac:dyDescent="0.3">
      <c r="A87" s="35" t="str">
        <f t="shared" si="8"/>
        <v>QUÁ HẠN</v>
      </c>
      <c r="B87" s="36"/>
      <c r="C87" s="36">
        <f t="shared" si="7"/>
        <v>0</v>
      </c>
      <c r="D87" s="34">
        <f t="shared" si="9"/>
        <v>1</v>
      </c>
      <c r="E87" s="20">
        <f t="shared" si="10"/>
        <v>0</v>
      </c>
      <c r="F87" s="29"/>
      <c r="G87" s="30">
        <f t="shared" si="11"/>
        <v>0</v>
      </c>
      <c r="H87" s="20" t="str">
        <f t="shared" si="12"/>
        <v/>
      </c>
      <c r="I87" s="20">
        <f t="shared" si="13"/>
        <v>0</v>
      </c>
      <c r="J87" s="20"/>
      <c r="K87" s="20"/>
      <c r="N87" s="11"/>
    </row>
    <row r="88" spans="1:14" x14ac:dyDescent="0.3">
      <c r="A88" s="35" t="str">
        <f t="shared" si="8"/>
        <v>QUÁ HẠN</v>
      </c>
      <c r="B88" s="36"/>
      <c r="C88" s="36">
        <f t="shared" si="7"/>
        <v>0</v>
      </c>
      <c r="D88" s="34">
        <f t="shared" si="9"/>
        <v>1</v>
      </c>
      <c r="E88" s="20">
        <f t="shared" si="10"/>
        <v>0</v>
      </c>
      <c r="F88" s="29"/>
      <c r="G88" s="30">
        <f t="shared" si="11"/>
        <v>0</v>
      </c>
      <c r="H88" s="20" t="str">
        <f t="shared" si="12"/>
        <v/>
      </c>
      <c r="I88" s="20">
        <f t="shared" si="13"/>
        <v>0</v>
      </c>
      <c r="J88" s="20"/>
      <c r="K88" s="20"/>
      <c r="N88" s="11"/>
    </row>
    <row r="89" spans="1:14" x14ac:dyDescent="0.3">
      <c r="A89" s="35" t="str">
        <f t="shared" si="8"/>
        <v>QUÁ HẠN</v>
      </c>
      <c r="B89" s="36"/>
      <c r="C89" s="36">
        <f t="shared" si="7"/>
        <v>0</v>
      </c>
      <c r="D89" s="34">
        <f t="shared" si="9"/>
        <v>1</v>
      </c>
      <c r="E89" s="20">
        <f t="shared" si="10"/>
        <v>0</v>
      </c>
      <c r="F89" s="29"/>
      <c r="G89" s="30">
        <f t="shared" si="11"/>
        <v>0</v>
      </c>
      <c r="H89" s="20" t="str">
        <f t="shared" si="12"/>
        <v/>
      </c>
      <c r="I89" s="20">
        <f t="shared" si="13"/>
        <v>0</v>
      </c>
      <c r="J89" s="20"/>
      <c r="K89" s="20"/>
      <c r="N89" s="11"/>
    </row>
    <row r="90" spans="1:14" x14ac:dyDescent="0.3">
      <c r="A90" s="35" t="str">
        <f t="shared" si="8"/>
        <v>QUÁ HẠN</v>
      </c>
      <c r="B90" s="36"/>
      <c r="C90" s="36">
        <f t="shared" si="7"/>
        <v>0</v>
      </c>
      <c r="D90" s="34">
        <f t="shared" si="9"/>
        <v>1</v>
      </c>
      <c r="E90" s="20">
        <f t="shared" si="10"/>
        <v>0</v>
      </c>
      <c r="F90" s="29"/>
      <c r="G90" s="30">
        <f t="shared" si="11"/>
        <v>0</v>
      </c>
      <c r="H90" s="20" t="str">
        <f t="shared" si="12"/>
        <v/>
      </c>
      <c r="I90" s="20">
        <f t="shared" si="13"/>
        <v>0</v>
      </c>
      <c r="J90" s="20"/>
      <c r="K90" s="20"/>
      <c r="N90" s="11"/>
    </row>
    <row r="91" spans="1:14" x14ac:dyDescent="0.3">
      <c r="A91" s="35" t="str">
        <f t="shared" si="8"/>
        <v>QUÁ HẠN</v>
      </c>
      <c r="B91" s="36"/>
      <c r="C91" s="36">
        <f t="shared" si="7"/>
        <v>0</v>
      </c>
      <c r="D91" s="34">
        <f t="shared" si="9"/>
        <v>1</v>
      </c>
      <c r="E91" s="20">
        <f t="shared" si="10"/>
        <v>0</v>
      </c>
      <c r="F91" s="29"/>
      <c r="G91" s="30">
        <f t="shared" si="11"/>
        <v>0</v>
      </c>
      <c r="H91" s="20" t="str">
        <f t="shared" si="12"/>
        <v/>
      </c>
      <c r="I91" s="20">
        <f t="shared" si="13"/>
        <v>0</v>
      </c>
      <c r="J91" s="20"/>
      <c r="K91" s="20"/>
      <c r="N91" s="11"/>
    </row>
    <row r="92" spans="1:14" x14ac:dyDescent="0.3">
      <c r="A92" s="35" t="str">
        <f t="shared" si="8"/>
        <v>QUÁ HẠN</v>
      </c>
      <c r="B92" s="36"/>
      <c r="C92" s="36">
        <f t="shared" si="7"/>
        <v>0</v>
      </c>
      <c r="D92" s="34">
        <f t="shared" si="9"/>
        <v>1</v>
      </c>
      <c r="E92" s="20">
        <f t="shared" si="10"/>
        <v>0</v>
      </c>
      <c r="F92" s="29"/>
      <c r="G92" s="30">
        <f t="shared" si="11"/>
        <v>0</v>
      </c>
      <c r="H92" s="20" t="str">
        <f t="shared" si="12"/>
        <v/>
      </c>
      <c r="I92" s="20">
        <f t="shared" si="13"/>
        <v>0</v>
      </c>
      <c r="J92" s="20"/>
      <c r="K92" s="20"/>
      <c r="N92" s="11"/>
    </row>
    <row r="93" spans="1:14" x14ac:dyDescent="0.3">
      <c r="A93" s="35" t="str">
        <f t="shared" si="8"/>
        <v>QUÁ HẠN</v>
      </c>
      <c r="B93" s="36"/>
      <c r="C93" s="36">
        <f t="shared" si="7"/>
        <v>0</v>
      </c>
      <c r="D93" s="34">
        <f t="shared" si="9"/>
        <v>1</v>
      </c>
      <c r="E93" s="20">
        <f t="shared" si="10"/>
        <v>0</v>
      </c>
      <c r="F93" s="29"/>
      <c r="G93" s="30">
        <f t="shared" si="11"/>
        <v>0</v>
      </c>
      <c r="H93" s="20" t="str">
        <f t="shared" si="12"/>
        <v/>
      </c>
      <c r="I93" s="20">
        <f t="shared" si="13"/>
        <v>0</v>
      </c>
      <c r="J93" s="20"/>
      <c r="K93" s="20"/>
      <c r="N93" s="11"/>
    </row>
    <row r="94" spans="1:14" x14ac:dyDescent="0.3">
      <c r="A94" s="35" t="str">
        <f t="shared" si="8"/>
        <v>QUÁ HẠN</v>
      </c>
      <c r="B94" s="36"/>
      <c r="C94" s="36">
        <f t="shared" si="7"/>
        <v>0</v>
      </c>
      <c r="D94" s="34">
        <f t="shared" si="9"/>
        <v>1</v>
      </c>
      <c r="E94" s="20">
        <f t="shared" si="10"/>
        <v>0</v>
      </c>
      <c r="F94" s="29"/>
      <c r="G94" s="30">
        <f t="shared" si="11"/>
        <v>0</v>
      </c>
      <c r="H94" s="20" t="str">
        <f t="shared" si="12"/>
        <v/>
      </c>
      <c r="I94" s="20">
        <f t="shared" si="13"/>
        <v>0</v>
      </c>
      <c r="J94" s="20"/>
      <c r="K94" s="20"/>
      <c r="N94" s="11"/>
    </row>
    <row r="95" spans="1:14" x14ac:dyDescent="0.3">
      <c r="A95" s="35" t="str">
        <f t="shared" si="8"/>
        <v>QUÁ HẠN</v>
      </c>
      <c r="B95" s="36"/>
      <c r="C95" s="36">
        <f t="shared" si="7"/>
        <v>0</v>
      </c>
      <c r="D95" s="34">
        <f t="shared" si="9"/>
        <v>1</v>
      </c>
      <c r="E95" s="20">
        <f t="shared" si="10"/>
        <v>0</v>
      </c>
      <c r="F95" s="29"/>
      <c r="G95" s="30">
        <f t="shared" si="11"/>
        <v>0</v>
      </c>
      <c r="H95" s="20" t="str">
        <f t="shared" si="12"/>
        <v/>
      </c>
      <c r="I95" s="20">
        <f t="shared" si="13"/>
        <v>0</v>
      </c>
      <c r="J95" s="20"/>
      <c r="K95" s="20"/>
      <c r="N95" s="11"/>
    </row>
    <row r="96" spans="1:14" x14ac:dyDescent="0.3">
      <c r="A96" s="35" t="str">
        <f t="shared" si="8"/>
        <v>QUÁ HẠN</v>
      </c>
      <c r="B96" s="36"/>
      <c r="C96" s="36">
        <f t="shared" si="7"/>
        <v>0</v>
      </c>
      <c r="D96" s="34">
        <f t="shared" si="9"/>
        <v>1</v>
      </c>
      <c r="E96" s="20">
        <f t="shared" si="10"/>
        <v>0</v>
      </c>
      <c r="F96" s="29"/>
      <c r="G96" s="30">
        <f t="shared" si="11"/>
        <v>0</v>
      </c>
      <c r="H96" s="20" t="str">
        <f t="shared" si="12"/>
        <v/>
      </c>
      <c r="I96" s="20">
        <f t="shared" si="13"/>
        <v>0</v>
      </c>
      <c r="J96" s="20"/>
      <c r="K96" s="20"/>
      <c r="N96" s="11"/>
    </row>
    <row r="97" spans="1:14" x14ac:dyDescent="0.3">
      <c r="A97" s="35" t="str">
        <f t="shared" si="8"/>
        <v>QUÁ HẠN</v>
      </c>
      <c r="B97" s="36"/>
      <c r="C97" s="36">
        <f t="shared" si="7"/>
        <v>0</v>
      </c>
      <c r="D97" s="34">
        <f t="shared" si="9"/>
        <v>1</v>
      </c>
      <c r="E97" s="20">
        <f t="shared" si="10"/>
        <v>0</v>
      </c>
      <c r="F97" s="29"/>
      <c r="G97" s="30">
        <f t="shared" si="11"/>
        <v>0</v>
      </c>
      <c r="H97" s="20" t="str">
        <f t="shared" si="12"/>
        <v/>
      </c>
      <c r="I97" s="20">
        <f t="shared" si="13"/>
        <v>0</v>
      </c>
      <c r="J97" s="20"/>
      <c r="K97" s="20"/>
      <c r="N97" s="11"/>
    </row>
    <row r="98" spans="1:14" x14ac:dyDescent="0.3">
      <c r="A98" s="35" t="str">
        <f t="shared" si="8"/>
        <v>QUÁ HẠN</v>
      </c>
      <c r="B98" s="36"/>
      <c r="C98" s="36">
        <f t="shared" si="7"/>
        <v>0</v>
      </c>
      <c r="D98" s="34">
        <f t="shared" si="9"/>
        <v>1</v>
      </c>
      <c r="E98" s="20">
        <f t="shared" si="10"/>
        <v>0</v>
      </c>
      <c r="F98" s="29"/>
      <c r="G98" s="30">
        <f t="shared" si="11"/>
        <v>0</v>
      </c>
      <c r="H98" s="20" t="str">
        <f t="shared" si="12"/>
        <v/>
      </c>
      <c r="I98" s="20">
        <f t="shared" si="13"/>
        <v>0</v>
      </c>
      <c r="J98" s="20"/>
      <c r="K98" s="20"/>
      <c r="N98" s="11"/>
    </row>
    <row r="99" spans="1:14" x14ac:dyDescent="0.3">
      <c r="A99" s="35" t="str">
        <f t="shared" si="8"/>
        <v>QUÁ HẠN</v>
      </c>
      <c r="B99" s="36"/>
      <c r="C99" s="36">
        <f t="shared" ref="C99:C162" si="14">IFERROR(IF(B100="", $B$10, B100-1), $B$10)</f>
        <v>0</v>
      </c>
      <c r="D99" s="34">
        <f t="shared" si="9"/>
        <v>1</v>
      </c>
      <c r="E99" s="20">
        <f t="shared" si="10"/>
        <v>0</v>
      </c>
      <c r="F99" s="29"/>
      <c r="G99" s="30">
        <f t="shared" si="11"/>
        <v>0</v>
      </c>
      <c r="H99" s="20" t="str">
        <f t="shared" si="12"/>
        <v/>
      </c>
      <c r="I99" s="20">
        <f t="shared" si="13"/>
        <v>0</v>
      </c>
      <c r="J99" s="20"/>
      <c r="K99" s="20"/>
      <c r="N99" s="11"/>
    </row>
    <row r="100" spans="1:14" x14ac:dyDescent="0.3">
      <c r="A100" s="35" t="str">
        <f t="shared" si="8"/>
        <v>QUÁ HẠN</v>
      </c>
      <c r="B100" s="36"/>
      <c r="C100" s="36">
        <f t="shared" si="14"/>
        <v>0</v>
      </c>
      <c r="D100" s="34">
        <f t="shared" si="9"/>
        <v>1</v>
      </c>
      <c r="E100" s="20">
        <f t="shared" si="10"/>
        <v>0</v>
      </c>
      <c r="F100" s="29"/>
      <c r="G100" s="30">
        <f t="shared" si="11"/>
        <v>0</v>
      </c>
      <c r="H100" s="20" t="str">
        <f t="shared" si="12"/>
        <v/>
      </c>
      <c r="I100" s="20">
        <f t="shared" si="13"/>
        <v>0</v>
      </c>
      <c r="J100" s="20"/>
      <c r="K100" s="20"/>
      <c r="N100" s="11"/>
    </row>
    <row r="101" spans="1:14" x14ac:dyDescent="0.3">
      <c r="A101" s="35" t="str">
        <f t="shared" si="8"/>
        <v>QUÁ HẠN</v>
      </c>
      <c r="B101" s="36"/>
      <c r="C101" s="36">
        <f t="shared" si="14"/>
        <v>0</v>
      </c>
      <c r="D101" s="34">
        <f t="shared" si="9"/>
        <v>1</v>
      </c>
      <c r="E101" s="20">
        <f t="shared" si="10"/>
        <v>0</v>
      </c>
      <c r="F101" s="29"/>
      <c r="G101" s="30">
        <f t="shared" si="11"/>
        <v>0</v>
      </c>
      <c r="H101" s="20" t="str">
        <f t="shared" si="12"/>
        <v/>
      </c>
      <c r="I101" s="20">
        <f t="shared" si="13"/>
        <v>0</v>
      </c>
      <c r="J101" s="20"/>
      <c r="K101" s="20"/>
      <c r="N101" s="11"/>
    </row>
    <row r="102" spans="1:14" x14ac:dyDescent="0.3">
      <c r="A102" s="35" t="str">
        <f t="shared" si="8"/>
        <v>QUÁ HẠN</v>
      </c>
      <c r="B102" s="36"/>
      <c r="C102" s="36">
        <f t="shared" si="14"/>
        <v>0</v>
      </c>
      <c r="D102" s="34">
        <f t="shared" si="9"/>
        <v>1</v>
      </c>
      <c r="E102" s="20">
        <f t="shared" si="10"/>
        <v>0</v>
      </c>
      <c r="F102" s="29"/>
      <c r="G102" s="30">
        <f t="shared" si="11"/>
        <v>0</v>
      </c>
      <c r="H102" s="20" t="str">
        <f t="shared" si="12"/>
        <v/>
      </c>
      <c r="I102" s="20">
        <f t="shared" si="13"/>
        <v>0</v>
      </c>
      <c r="J102" s="20"/>
      <c r="K102" s="20"/>
      <c r="N102" s="11"/>
    </row>
    <row r="103" spans="1:14" x14ac:dyDescent="0.3">
      <c r="A103" s="35" t="str">
        <f t="shared" ref="A103:A166" si="15">IF(B103&gt;=$B$9,"QUÁ HẠN", "TRONG HẠN")</f>
        <v>QUÁ HẠN</v>
      </c>
      <c r="B103" s="36"/>
      <c r="C103" s="36">
        <f t="shared" si="14"/>
        <v>0</v>
      </c>
      <c r="D103" s="34">
        <f t="shared" ref="D103:D166" si="16">C103-B103+1</f>
        <v>1</v>
      </c>
      <c r="E103" s="20">
        <f t="shared" ref="E103:E166" si="17">E102-J103</f>
        <v>0</v>
      </c>
      <c r="F103" s="29"/>
      <c r="G103" s="30">
        <f t="shared" ref="G103:G166" si="18">IF(A103="QUÁ HẠN", F103*1.5,"")</f>
        <v>0</v>
      </c>
      <c r="H103" s="20" t="str">
        <f t="shared" ref="H103:H166" si="19">IF(A103="TRONG HẠN",D103*E103*F103/365,"")</f>
        <v/>
      </c>
      <c r="I103" s="20">
        <f t="shared" ref="I103:I166" si="20">IF(A103="QUÁ HẠN",D103*E103*G103/365,"")</f>
        <v>0</v>
      </c>
      <c r="J103" s="20"/>
      <c r="K103" s="20"/>
      <c r="N103" s="11"/>
    </row>
    <row r="104" spans="1:14" x14ac:dyDescent="0.3">
      <c r="A104" s="35" t="str">
        <f t="shared" si="15"/>
        <v>QUÁ HẠN</v>
      </c>
      <c r="B104" s="36"/>
      <c r="C104" s="36">
        <f t="shared" si="14"/>
        <v>0</v>
      </c>
      <c r="D104" s="34">
        <f t="shared" si="16"/>
        <v>1</v>
      </c>
      <c r="E104" s="20">
        <f t="shared" si="17"/>
        <v>0</v>
      </c>
      <c r="F104" s="29"/>
      <c r="G104" s="30">
        <f t="shared" si="18"/>
        <v>0</v>
      </c>
      <c r="H104" s="20" t="str">
        <f t="shared" si="19"/>
        <v/>
      </c>
      <c r="I104" s="20">
        <f t="shared" si="20"/>
        <v>0</v>
      </c>
      <c r="J104" s="20"/>
      <c r="K104" s="20"/>
      <c r="N104" s="11"/>
    </row>
    <row r="105" spans="1:14" x14ac:dyDescent="0.3">
      <c r="A105" s="35" t="str">
        <f t="shared" si="15"/>
        <v>QUÁ HẠN</v>
      </c>
      <c r="B105" s="36"/>
      <c r="C105" s="36">
        <f t="shared" si="14"/>
        <v>0</v>
      </c>
      <c r="D105" s="34">
        <f t="shared" si="16"/>
        <v>1</v>
      </c>
      <c r="E105" s="20">
        <f t="shared" si="17"/>
        <v>0</v>
      </c>
      <c r="F105" s="29"/>
      <c r="G105" s="30">
        <f t="shared" si="18"/>
        <v>0</v>
      </c>
      <c r="H105" s="20" t="str">
        <f t="shared" si="19"/>
        <v/>
      </c>
      <c r="I105" s="20">
        <f t="shared" si="20"/>
        <v>0</v>
      </c>
      <c r="J105" s="20"/>
      <c r="K105" s="20"/>
      <c r="N105" s="11"/>
    </row>
    <row r="106" spans="1:14" x14ac:dyDescent="0.3">
      <c r="A106" s="35" t="str">
        <f t="shared" si="15"/>
        <v>QUÁ HẠN</v>
      </c>
      <c r="B106" s="36"/>
      <c r="C106" s="36">
        <f t="shared" si="14"/>
        <v>0</v>
      </c>
      <c r="D106" s="34">
        <f t="shared" si="16"/>
        <v>1</v>
      </c>
      <c r="E106" s="20">
        <f t="shared" si="17"/>
        <v>0</v>
      </c>
      <c r="F106" s="29"/>
      <c r="G106" s="30">
        <f t="shared" si="18"/>
        <v>0</v>
      </c>
      <c r="H106" s="20" t="str">
        <f t="shared" si="19"/>
        <v/>
      </c>
      <c r="I106" s="20">
        <f t="shared" si="20"/>
        <v>0</v>
      </c>
      <c r="J106" s="20"/>
      <c r="K106" s="20"/>
      <c r="N106" s="11"/>
    </row>
    <row r="107" spans="1:14" x14ac:dyDescent="0.3">
      <c r="A107" s="35" t="str">
        <f t="shared" si="15"/>
        <v>QUÁ HẠN</v>
      </c>
      <c r="B107" s="36"/>
      <c r="C107" s="36">
        <f t="shared" si="14"/>
        <v>0</v>
      </c>
      <c r="D107" s="34">
        <f t="shared" si="16"/>
        <v>1</v>
      </c>
      <c r="E107" s="20">
        <f t="shared" si="17"/>
        <v>0</v>
      </c>
      <c r="F107" s="29"/>
      <c r="G107" s="30">
        <f t="shared" si="18"/>
        <v>0</v>
      </c>
      <c r="H107" s="20" t="str">
        <f t="shared" si="19"/>
        <v/>
      </c>
      <c r="I107" s="20">
        <f t="shared" si="20"/>
        <v>0</v>
      </c>
      <c r="J107" s="20"/>
      <c r="K107" s="20"/>
      <c r="N107" s="11"/>
    </row>
    <row r="108" spans="1:14" x14ac:dyDescent="0.3">
      <c r="A108" s="35" t="str">
        <f t="shared" si="15"/>
        <v>QUÁ HẠN</v>
      </c>
      <c r="B108" s="36"/>
      <c r="C108" s="36">
        <f t="shared" si="14"/>
        <v>0</v>
      </c>
      <c r="D108" s="34">
        <f t="shared" si="16"/>
        <v>1</v>
      </c>
      <c r="E108" s="20">
        <f t="shared" si="17"/>
        <v>0</v>
      </c>
      <c r="F108" s="29"/>
      <c r="G108" s="30">
        <f t="shared" si="18"/>
        <v>0</v>
      </c>
      <c r="H108" s="20" t="str">
        <f t="shared" si="19"/>
        <v/>
      </c>
      <c r="I108" s="20">
        <f t="shared" si="20"/>
        <v>0</v>
      </c>
      <c r="J108" s="20"/>
      <c r="K108" s="20"/>
      <c r="N108" s="11"/>
    </row>
    <row r="109" spans="1:14" x14ac:dyDescent="0.3">
      <c r="A109" s="35" t="str">
        <f t="shared" si="15"/>
        <v>QUÁ HẠN</v>
      </c>
      <c r="B109" s="36"/>
      <c r="C109" s="36">
        <f t="shared" si="14"/>
        <v>0</v>
      </c>
      <c r="D109" s="34">
        <f t="shared" si="16"/>
        <v>1</v>
      </c>
      <c r="E109" s="20">
        <f t="shared" si="17"/>
        <v>0</v>
      </c>
      <c r="F109" s="29"/>
      <c r="G109" s="30">
        <f t="shared" si="18"/>
        <v>0</v>
      </c>
      <c r="H109" s="20" t="str">
        <f t="shared" si="19"/>
        <v/>
      </c>
      <c r="I109" s="20">
        <f t="shared" si="20"/>
        <v>0</v>
      </c>
      <c r="J109" s="20"/>
      <c r="K109" s="20"/>
      <c r="N109" s="11"/>
    </row>
    <row r="110" spans="1:14" x14ac:dyDescent="0.3">
      <c r="A110" s="35" t="str">
        <f t="shared" si="15"/>
        <v>QUÁ HẠN</v>
      </c>
      <c r="B110" s="36"/>
      <c r="C110" s="36">
        <f t="shared" si="14"/>
        <v>0</v>
      </c>
      <c r="D110" s="34">
        <f t="shared" si="16"/>
        <v>1</v>
      </c>
      <c r="E110" s="20">
        <f t="shared" si="17"/>
        <v>0</v>
      </c>
      <c r="F110" s="29"/>
      <c r="G110" s="30">
        <f t="shared" si="18"/>
        <v>0</v>
      </c>
      <c r="H110" s="20" t="str">
        <f t="shared" si="19"/>
        <v/>
      </c>
      <c r="I110" s="20">
        <f t="shared" si="20"/>
        <v>0</v>
      </c>
      <c r="J110" s="20"/>
      <c r="K110" s="20"/>
      <c r="N110" s="11"/>
    </row>
    <row r="111" spans="1:14" x14ac:dyDescent="0.3">
      <c r="A111" s="35" t="str">
        <f t="shared" si="15"/>
        <v>QUÁ HẠN</v>
      </c>
      <c r="B111" s="36"/>
      <c r="C111" s="36">
        <f t="shared" si="14"/>
        <v>0</v>
      </c>
      <c r="D111" s="34">
        <f t="shared" si="16"/>
        <v>1</v>
      </c>
      <c r="E111" s="20">
        <f t="shared" si="17"/>
        <v>0</v>
      </c>
      <c r="F111" s="29"/>
      <c r="G111" s="30">
        <f t="shared" si="18"/>
        <v>0</v>
      </c>
      <c r="H111" s="20" t="str">
        <f t="shared" si="19"/>
        <v/>
      </c>
      <c r="I111" s="20">
        <f t="shared" si="20"/>
        <v>0</v>
      </c>
      <c r="J111" s="20"/>
      <c r="K111" s="20"/>
      <c r="N111" s="11"/>
    </row>
    <row r="112" spans="1:14" x14ac:dyDescent="0.3">
      <c r="A112" s="35" t="str">
        <f t="shared" si="15"/>
        <v>QUÁ HẠN</v>
      </c>
      <c r="B112" s="36"/>
      <c r="C112" s="36">
        <f t="shared" si="14"/>
        <v>0</v>
      </c>
      <c r="D112" s="34">
        <f t="shared" si="16"/>
        <v>1</v>
      </c>
      <c r="E112" s="20">
        <f t="shared" si="17"/>
        <v>0</v>
      </c>
      <c r="F112" s="29"/>
      <c r="G112" s="30">
        <f t="shared" si="18"/>
        <v>0</v>
      </c>
      <c r="H112" s="20" t="str">
        <f t="shared" si="19"/>
        <v/>
      </c>
      <c r="I112" s="20">
        <f t="shared" si="20"/>
        <v>0</v>
      </c>
      <c r="J112" s="20"/>
      <c r="K112" s="20"/>
      <c r="N112" s="11"/>
    </row>
    <row r="113" spans="1:14" x14ac:dyDescent="0.3">
      <c r="A113" s="35" t="str">
        <f t="shared" si="15"/>
        <v>QUÁ HẠN</v>
      </c>
      <c r="B113" s="36"/>
      <c r="C113" s="36">
        <f t="shared" si="14"/>
        <v>0</v>
      </c>
      <c r="D113" s="34">
        <f t="shared" si="16"/>
        <v>1</v>
      </c>
      <c r="E113" s="20">
        <f t="shared" si="17"/>
        <v>0</v>
      </c>
      <c r="F113" s="29"/>
      <c r="G113" s="30">
        <f t="shared" si="18"/>
        <v>0</v>
      </c>
      <c r="H113" s="20" t="str">
        <f t="shared" si="19"/>
        <v/>
      </c>
      <c r="I113" s="20">
        <f t="shared" si="20"/>
        <v>0</v>
      </c>
      <c r="J113" s="20"/>
      <c r="K113" s="20"/>
      <c r="N113" s="11"/>
    </row>
    <row r="114" spans="1:14" x14ac:dyDescent="0.3">
      <c r="A114" s="35" t="str">
        <f t="shared" si="15"/>
        <v>QUÁ HẠN</v>
      </c>
      <c r="B114" s="36"/>
      <c r="C114" s="36">
        <f t="shared" si="14"/>
        <v>0</v>
      </c>
      <c r="D114" s="34">
        <f t="shared" si="16"/>
        <v>1</v>
      </c>
      <c r="E114" s="20">
        <f t="shared" si="17"/>
        <v>0</v>
      </c>
      <c r="F114" s="29"/>
      <c r="G114" s="30">
        <f t="shared" si="18"/>
        <v>0</v>
      </c>
      <c r="H114" s="20" t="str">
        <f t="shared" si="19"/>
        <v/>
      </c>
      <c r="I114" s="20">
        <f t="shared" si="20"/>
        <v>0</v>
      </c>
      <c r="J114" s="20"/>
      <c r="K114" s="20"/>
      <c r="N114" s="11"/>
    </row>
    <row r="115" spans="1:14" x14ac:dyDescent="0.3">
      <c r="A115" s="35" t="str">
        <f t="shared" si="15"/>
        <v>QUÁ HẠN</v>
      </c>
      <c r="B115" s="36"/>
      <c r="C115" s="36">
        <f t="shared" si="14"/>
        <v>0</v>
      </c>
      <c r="D115" s="34">
        <f t="shared" si="16"/>
        <v>1</v>
      </c>
      <c r="E115" s="20">
        <f t="shared" si="17"/>
        <v>0</v>
      </c>
      <c r="F115" s="29"/>
      <c r="G115" s="30">
        <f t="shared" si="18"/>
        <v>0</v>
      </c>
      <c r="H115" s="20" t="str">
        <f t="shared" si="19"/>
        <v/>
      </c>
      <c r="I115" s="20">
        <f t="shared" si="20"/>
        <v>0</v>
      </c>
      <c r="J115" s="20"/>
      <c r="K115" s="20"/>
      <c r="N115" s="11"/>
    </row>
    <row r="116" spans="1:14" x14ac:dyDescent="0.3">
      <c r="A116" s="35" t="str">
        <f t="shared" si="15"/>
        <v>QUÁ HẠN</v>
      </c>
      <c r="B116" s="36"/>
      <c r="C116" s="36">
        <f t="shared" si="14"/>
        <v>0</v>
      </c>
      <c r="D116" s="34">
        <f t="shared" si="16"/>
        <v>1</v>
      </c>
      <c r="E116" s="20">
        <f t="shared" si="17"/>
        <v>0</v>
      </c>
      <c r="F116" s="29"/>
      <c r="G116" s="30">
        <f t="shared" si="18"/>
        <v>0</v>
      </c>
      <c r="H116" s="20" t="str">
        <f t="shared" si="19"/>
        <v/>
      </c>
      <c r="I116" s="20">
        <f t="shared" si="20"/>
        <v>0</v>
      </c>
      <c r="J116" s="20"/>
      <c r="K116" s="20"/>
      <c r="N116" s="11"/>
    </row>
    <row r="117" spans="1:14" x14ac:dyDescent="0.3">
      <c r="A117" s="35" t="str">
        <f t="shared" si="15"/>
        <v>QUÁ HẠN</v>
      </c>
      <c r="B117" s="36"/>
      <c r="C117" s="36">
        <f t="shared" si="14"/>
        <v>0</v>
      </c>
      <c r="D117" s="34">
        <f t="shared" si="16"/>
        <v>1</v>
      </c>
      <c r="E117" s="20">
        <f t="shared" si="17"/>
        <v>0</v>
      </c>
      <c r="F117" s="29"/>
      <c r="G117" s="30">
        <f t="shared" si="18"/>
        <v>0</v>
      </c>
      <c r="H117" s="20" t="str">
        <f t="shared" si="19"/>
        <v/>
      </c>
      <c r="I117" s="20">
        <f t="shared" si="20"/>
        <v>0</v>
      </c>
      <c r="J117" s="20"/>
      <c r="K117" s="20"/>
      <c r="N117" s="11"/>
    </row>
    <row r="118" spans="1:14" x14ac:dyDescent="0.3">
      <c r="A118" s="35" t="str">
        <f t="shared" si="15"/>
        <v>QUÁ HẠN</v>
      </c>
      <c r="B118" s="36"/>
      <c r="C118" s="36">
        <f t="shared" si="14"/>
        <v>0</v>
      </c>
      <c r="D118" s="34">
        <f t="shared" si="16"/>
        <v>1</v>
      </c>
      <c r="E118" s="20">
        <f t="shared" si="17"/>
        <v>0</v>
      </c>
      <c r="F118" s="29"/>
      <c r="G118" s="30">
        <f t="shared" si="18"/>
        <v>0</v>
      </c>
      <c r="H118" s="20" t="str">
        <f t="shared" si="19"/>
        <v/>
      </c>
      <c r="I118" s="20">
        <f t="shared" si="20"/>
        <v>0</v>
      </c>
      <c r="J118" s="20"/>
      <c r="K118" s="20"/>
      <c r="N118" s="11"/>
    </row>
    <row r="119" spans="1:14" x14ac:dyDescent="0.3">
      <c r="A119" s="35" t="str">
        <f t="shared" si="15"/>
        <v>QUÁ HẠN</v>
      </c>
      <c r="B119" s="36"/>
      <c r="C119" s="36">
        <f t="shared" si="14"/>
        <v>0</v>
      </c>
      <c r="D119" s="34">
        <f t="shared" si="16"/>
        <v>1</v>
      </c>
      <c r="E119" s="20">
        <f t="shared" si="17"/>
        <v>0</v>
      </c>
      <c r="F119" s="29"/>
      <c r="G119" s="30">
        <f t="shared" si="18"/>
        <v>0</v>
      </c>
      <c r="H119" s="20" t="str">
        <f t="shared" si="19"/>
        <v/>
      </c>
      <c r="I119" s="20">
        <f t="shared" si="20"/>
        <v>0</v>
      </c>
      <c r="J119" s="20"/>
      <c r="K119" s="20"/>
      <c r="N119" s="11"/>
    </row>
    <row r="120" spans="1:14" x14ac:dyDescent="0.3">
      <c r="A120" s="35" t="str">
        <f t="shared" si="15"/>
        <v>QUÁ HẠN</v>
      </c>
      <c r="B120" s="36"/>
      <c r="C120" s="36">
        <f t="shared" si="14"/>
        <v>0</v>
      </c>
      <c r="D120" s="34">
        <f t="shared" si="16"/>
        <v>1</v>
      </c>
      <c r="E120" s="20">
        <f t="shared" si="17"/>
        <v>0</v>
      </c>
      <c r="F120" s="29"/>
      <c r="G120" s="30">
        <f t="shared" si="18"/>
        <v>0</v>
      </c>
      <c r="H120" s="20" t="str">
        <f t="shared" si="19"/>
        <v/>
      </c>
      <c r="I120" s="20">
        <f t="shared" si="20"/>
        <v>0</v>
      </c>
      <c r="J120" s="20"/>
      <c r="K120" s="20"/>
      <c r="N120" s="11"/>
    </row>
    <row r="121" spans="1:14" x14ac:dyDescent="0.3">
      <c r="A121" s="35" t="str">
        <f t="shared" si="15"/>
        <v>QUÁ HẠN</v>
      </c>
      <c r="B121" s="36"/>
      <c r="C121" s="36">
        <f t="shared" si="14"/>
        <v>0</v>
      </c>
      <c r="D121" s="34">
        <f t="shared" si="16"/>
        <v>1</v>
      </c>
      <c r="E121" s="20">
        <f t="shared" si="17"/>
        <v>0</v>
      </c>
      <c r="F121" s="29"/>
      <c r="G121" s="30">
        <f t="shared" si="18"/>
        <v>0</v>
      </c>
      <c r="H121" s="20" t="str">
        <f t="shared" si="19"/>
        <v/>
      </c>
      <c r="I121" s="20">
        <f t="shared" si="20"/>
        <v>0</v>
      </c>
      <c r="J121" s="20"/>
      <c r="K121" s="20"/>
      <c r="N121" s="11"/>
    </row>
    <row r="122" spans="1:14" x14ac:dyDescent="0.3">
      <c r="A122" s="35" t="str">
        <f t="shared" si="15"/>
        <v>QUÁ HẠN</v>
      </c>
      <c r="B122" s="36"/>
      <c r="C122" s="36">
        <f t="shared" si="14"/>
        <v>0</v>
      </c>
      <c r="D122" s="34">
        <f t="shared" si="16"/>
        <v>1</v>
      </c>
      <c r="E122" s="20">
        <f t="shared" si="17"/>
        <v>0</v>
      </c>
      <c r="F122" s="29"/>
      <c r="G122" s="30">
        <f t="shared" si="18"/>
        <v>0</v>
      </c>
      <c r="H122" s="20" t="str">
        <f t="shared" si="19"/>
        <v/>
      </c>
      <c r="I122" s="20">
        <f t="shared" si="20"/>
        <v>0</v>
      </c>
      <c r="J122" s="20"/>
      <c r="K122" s="20"/>
      <c r="N122" s="11"/>
    </row>
    <row r="123" spans="1:14" x14ac:dyDescent="0.3">
      <c r="A123" s="35" t="str">
        <f t="shared" si="15"/>
        <v>QUÁ HẠN</v>
      </c>
      <c r="B123" s="36"/>
      <c r="C123" s="36">
        <f t="shared" si="14"/>
        <v>0</v>
      </c>
      <c r="D123" s="34">
        <f t="shared" si="16"/>
        <v>1</v>
      </c>
      <c r="E123" s="20">
        <f t="shared" si="17"/>
        <v>0</v>
      </c>
      <c r="F123" s="29"/>
      <c r="G123" s="30">
        <f t="shared" si="18"/>
        <v>0</v>
      </c>
      <c r="H123" s="20" t="str">
        <f t="shared" si="19"/>
        <v/>
      </c>
      <c r="I123" s="20">
        <f t="shared" si="20"/>
        <v>0</v>
      </c>
      <c r="J123" s="20"/>
      <c r="K123" s="20"/>
      <c r="N123" s="11"/>
    </row>
    <row r="124" spans="1:14" x14ac:dyDescent="0.3">
      <c r="A124" s="35" t="str">
        <f t="shared" si="15"/>
        <v>QUÁ HẠN</v>
      </c>
      <c r="B124" s="36"/>
      <c r="C124" s="36">
        <f t="shared" si="14"/>
        <v>0</v>
      </c>
      <c r="D124" s="34">
        <f t="shared" si="16"/>
        <v>1</v>
      </c>
      <c r="E124" s="20">
        <f t="shared" si="17"/>
        <v>0</v>
      </c>
      <c r="F124" s="29"/>
      <c r="G124" s="30">
        <f t="shared" si="18"/>
        <v>0</v>
      </c>
      <c r="H124" s="20" t="str">
        <f t="shared" si="19"/>
        <v/>
      </c>
      <c r="I124" s="20">
        <f t="shared" si="20"/>
        <v>0</v>
      </c>
      <c r="J124" s="20"/>
      <c r="K124" s="20"/>
      <c r="N124" s="11"/>
    </row>
    <row r="125" spans="1:14" x14ac:dyDescent="0.3">
      <c r="A125" s="35" t="str">
        <f t="shared" si="15"/>
        <v>QUÁ HẠN</v>
      </c>
      <c r="B125" s="36"/>
      <c r="C125" s="36">
        <f t="shared" si="14"/>
        <v>0</v>
      </c>
      <c r="D125" s="34">
        <f t="shared" si="16"/>
        <v>1</v>
      </c>
      <c r="E125" s="20">
        <f t="shared" si="17"/>
        <v>0</v>
      </c>
      <c r="F125" s="29"/>
      <c r="G125" s="30">
        <f t="shared" si="18"/>
        <v>0</v>
      </c>
      <c r="H125" s="20" t="str">
        <f t="shared" si="19"/>
        <v/>
      </c>
      <c r="I125" s="20">
        <f t="shared" si="20"/>
        <v>0</v>
      </c>
      <c r="J125" s="20"/>
      <c r="K125" s="20"/>
      <c r="N125" s="11"/>
    </row>
    <row r="126" spans="1:14" x14ac:dyDescent="0.3">
      <c r="A126" s="35" t="str">
        <f t="shared" si="15"/>
        <v>QUÁ HẠN</v>
      </c>
      <c r="B126" s="36"/>
      <c r="C126" s="36">
        <f t="shared" si="14"/>
        <v>0</v>
      </c>
      <c r="D126" s="34">
        <f t="shared" si="16"/>
        <v>1</v>
      </c>
      <c r="E126" s="20">
        <f t="shared" si="17"/>
        <v>0</v>
      </c>
      <c r="F126" s="29"/>
      <c r="G126" s="30">
        <f t="shared" si="18"/>
        <v>0</v>
      </c>
      <c r="H126" s="20" t="str">
        <f t="shared" si="19"/>
        <v/>
      </c>
      <c r="I126" s="20">
        <f t="shared" si="20"/>
        <v>0</v>
      </c>
      <c r="J126" s="20"/>
      <c r="K126" s="20"/>
      <c r="N126" s="11"/>
    </row>
    <row r="127" spans="1:14" x14ac:dyDescent="0.3">
      <c r="A127" s="35" t="str">
        <f t="shared" si="15"/>
        <v>QUÁ HẠN</v>
      </c>
      <c r="B127" s="36"/>
      <c r="C127" s="36">
        <f t="shared" si="14"/>
        <v>0</v>
      </c>
      <c r="D127" s="34">
        <f t="shared" si="16"/>
        <v>1</v>
      </c>
      <c r="E127" s="20">
        <f t="shared" si="17"/>
        <v>0</v>
      </c>
      <c r="F127" s="29"/>
      <c r="G127" s="30">
        <f t="shared" si="18"/>
        <v>0</v>
      </c>
      <c r="H127" s="20" t="str">
        <f t="shared" si="19"/>
        <v/>
      </c>
      <c r="I127" s="20">
        <f t="shared" si="20"/>
        <v>0</v>
      </c>
      <c r="J127" s="20"/>
      <c r="K127" s="20"/>
      <c r="N127" s="11"/>
    </row>
    <row r="128" spans="1:14" x14ac:dyDescent="0.3">
      <c r="A128" s="35" t="str">
        <f t="shared" si="15"/>
        <v>QUÁ HẠN</v>
      </c>
      <c r="B128" s="36"/>
      <c r="C128" s="36">
        <f t="shared" si="14"/>
        <v>0</v>
      </c>
      <c r="D128" s="34">
        <f t="shared" si="16"/>
        <v>1</v>
      </c>
      <c r="E128" s="20">
        <f t="shared" si="17"/>
        <v>0</v>
      </c>
      <c r="F128" s="29"/>
      <c r="G128" s="30">
        <f t="shared" si="18"/>
        <v>0</v>
      </c>
      <c r="H128" s="20" t="str">
        <f t="shared" si="19"/>
        <v/>
      </c>
      <c r="I128" s="20">
        <f t="shared" si="20"/>
        <v>0</v>
      </c>
      <c r="J128" s="20"/>
      <c r="K128" s="20"/>
      <c r="N128" s="11"/>
    </row>
    <row r="129" spans="1:14" x14ac:dyDescent="0.3">
      <c r="A129" s="35" t="str">
        <f t="shared" si="15"/>
        <v>QUÁ HẠN</v>
      </c>
      <c r="B129" s="36"/>
      <c r="C129" s="36">
        <f t="shared" si="14"/>
        <v>0</v>
      </c>
      <c r="D129" s="34">
        <f t="shared" si="16"/>
        <v>1</v>
      </c>
      <c r="E129" s="20">
        <f t="shared" si="17"/>
        <v>0</v>
      </c>
      <c r="F129" s="29"/>
      <c r="G129" s="30">
        <f t="shared" si="18"/>
        <v>0</v>
      </c>
      <c r="H129" s="20" t="str">
        <f t="shared" si="19"/>
        <v/>
      </c>
      <c r="I129" s="20">
        <f t="shared" si="20"/>
        <v>0</v>
      </c>
      <c r="J129" s="20"/>
      <c r="K129" s="20"/>
      <c r="N129" s="11"/>
    </row>
    <row r="130" spans="1:14" x14ac:dyDescent="0.3">
      <c r="A130" s="35" t="str">
        <f t="shared" si="15"/>
        <v>QUÁ HẠN</v>
      </c>
      <c r="B130" s="36"/>
      <c r="C130" s="36">
        <f t="shared" si="14"/>
        <v>0</v>
      </c>
      <c r="D130" s="34">
        <f t="shared" si="16"/>
        <v>1</v>
      </c>
      <c r="E130" s="20">
        <f t="shared" si="17"/>
        <v>0</v>
      </c>
      <c r="F130" s="29"/>
      <c r="G130" s="30">
        <f t="shared" si="18"/>
        <v>0</v>
      </c>
      <c r="H130" s="20" t="str">
        <f t="shared" si="19"/>
        <v/>
      </c>
      <c r="I130" s="20">
        <f t="shared" si="20"/>
        <v>0</v>
      </c>
      <c r="J130" s="20"/>
      <c r="K130" s="20"/>
      <c r="N130" s="11"/>
    </row>
    <row r="131" spans="1:14" x14ac:dyDescent="0.3">
      <c r="A131" s="35" t="str">
        <f t="shared" si="15"/>
        <v>QUÁ HẠN</v>
      </c>
      <c r="B131" s="36"/>
      <c r="C131" s="36">
        <f t="shared" si="14"/>
        <v>0</v>
      </c>
      <c r="D131" s="34">
        <f t="shared" si="16"/>
        <v>1</v>
      </c>
      <c r="E131" s="20">
        <f t="shared" si="17"/>
        <v>0</v>
      </c>
      <c r="F131" s="29"/>
      <c r="G131" s="30">
        <f t="shared" si="18"/>
        <v>0</v>
      </c>
      <c r="H131" s="20" t="str">
        <f t="shared" si="19"/>
        <v/>
      </c>
      <c r="I131" s="20">
        <f t="shared" si="20"/>
        <v>0</v>
      </c>
      <c r="J131" s="20"/>
      <c r="K131" s="20"/>
      <c r="N131" s="11"/>
    </row>
    <row r="132" spans="1:14" x14ac:dyDescent="0.3">
      <c r="A132" s="35" t="str">
        <f t="shared" si="15"/>
        <v>QUÁ HẠN</v>
      </c>
      <c r="B132" s="36"/>
      <c r="C132" s="36">
        <f t="shared" si="14"/>
        <v>0</v>
      </c>
      <c r="D132" s="34">
        <f t="shared" si="16"/>
        <v>1</v>
      </c>
      <c r="E132" s="20">
        <f t="shared" si="17"/>
        <v>0</v>
      </c>
      <c r="F132" s="29"/>
      <c r="G132" s="30">
        <f t="shared" si="18"/>
        <v>0</v>
      </c>
      <c r="H132" s="20" t="str">
        <f t="shared" si="19"/>
        <v/>
      </c>
      <c r="I132" s="20">
        <f t="shared" si="20"/>
        <v>0</v>
      </c>
      <c r="J132" s="20"/>
      <c r="K132" s="20"/>
      <c r="N132" s="11"/>
    </row>
    <row r="133" spans="1:14" x14ac:dyDescent="0.3">
      <c r="A133" s="35" t="str">
        <f t="shared" si="15"/>
        <v>QUÁ HẠN</v>
      </c>
      <c r="B133" s="36"/>
      <c r="C133" s="36">
        <f t="shared" si="14"/>
        <v>0</v>
      </c>
      <c r="D133" s="34">
        <f t="shared" si="16"/>
        <v>1</v>
      </c>
      <c r="E133" s="20">
        <f t="shared" si="17"/>
        <v>0</v>
      </c>
      <c r="F133" s="29"/>
      <c r="G133" s="30">
        <f t="shared" si="18"/>
        <v>0</v>
      </c>
      <c r="H133" s="20" t="str">
        <f t="shared" si="19"/>
        <v/>
      </c>
      <c r="I133" s="20">
        <f t="shared" si="20"/>
        <v>0</v>
      </c>
      <c r="J133" s="20"/>
      <c r="K133" s="20"/>
      <c r="N133" s="11"/>
    </row>
    <row r="134" spans="1:14" x14ac:dyDescent="0.3">
      <c r="A134" s="35" t="str">
        <f t="shared" si="15"/>
        <v>QUÁ HẠN</v>
      </c>
      <c r="B134" s="36"/>
      <c r="C134" s="36">
        <f t="shared" si="14"/>
        <v>0</v>
      </c>
      <c r="D134" s="34">
        <f t="shared" si="16"/>
        <v>1</v>
      </c>
      <c r="E134" s="20">
        <f t="shared" si="17"/>
        <v>0</v>
      </c>
      <c r="F134" s="29"/>
      <c r="G134" s="30">
        <f t="shared" si="18"/>
        <v>0</v>
      </c>
      <c r="H134" s="20" t="str">
        <f t="shared" si="19"/>
        <v/>
      </c>
      <c r="I134" s="20">
        <f t="shared" si="20"/>
        <v>0</v>
      </c>
      <c r="J134" s="20"/>
      <c r="K134" s="20"/>
      <c r="N134" s="11"/>
    </row>
    <row r="135" spans="1:14" x14ac:dyDescent="0.3">
      <c r="A135" s="35" t="str">
        <f t="shared" si="15"/>
        <v>QUÁ HẠN</v>
      </c>
      <c r="B135" s="36"/>
      <c r="C135" s="36">
        <f t="shared" si="14"/>
        <v>0</v>
      </c>
      <c r="D135" s="34">
        <f t="shared" si="16"/>
        <v>1</v>
      </c>
      <c r="E135" s="20">
        <f t="shared" si="17"/>
        <v>0</v>
      </c>
      <c r="F135" s="29"/>
      <c r="G135" s="30">
        <f t="shared" si="18"/>
        <v>0</v>
      </c>
      <c r="H135" s="20" t="str">
        <f t="shared" si="19"/>
        <v/>
      </c>
      <c r="I135" s="20">
        <f t="shared" si="20"/>
        <v>0</v>
      </c>
      <c r="J135" s="20"/>
      <c r="K135" s="20"/>
      <c r="N135" s="11"/>
    </row>
    <row r="136" spans="1:14" x14ac:dyDescent="0.3">
      <c r="A136" s="35" t="str">
        <f t="shared" si="15"/>
        <v>QUÁ HẠN</v>
      </c>
      <c r="B136" s="36"/>
      <c r="C136" s="36">
        <f t="shared" si="14"/>
        <v>0</v>
      </c>
      <c r="D136" s="34">
        <f t="shared" si="16"/>
        <v>1</v>
      </c>
      <c r="E136" s="20">
        <f t="shared" si="17"/>
        <v>0</v>
      </c>
      <c r="F136" s="29"/>
      <c r="G136" s="30">
        <f t="shared" si="18"/>
        <v>0</v>
      </c>
      <c r="H136" s="20" t="str">
        <f t="shared" si="19"/>
        <v/>
      </c>
      <c r="I136" s="20">
        <f t="shared" si="20"/>
        <v>0</v>
      </c>
      <c r="J136" s="20"/>
      <c r="K136" s="20"/>
      <c r="N136" s="11"/>
    </row>
    <row r="137" spans="1:14" x14ac:dyDescent="0.3">
      <c r="A137" s="35" t="str">
        <f t="shared" si="15"/>
        <v>QUÁ HẠN</v>
      </c>
      <c r="B137" s="36"/>
      <c r="C137" s="36">
        <f t="shared" si="14"/>
        <v>0</v>
      </c>
      <c r="D137" s="34">
        <f t="shared" si="16"/>
        <v>1</v>
      </c>
      <c r="E137" s="20">
        <f t="shared" si="17"/>
        <v>0</v>
      </c>
      <c r="F137" s="29"/>
      <c r="G137" s="30">
        <f t="shared" si="18"/>
        <v>0</v>
      </c>
      <c r="H137" s="20" t="str">
        <f t="shared" si="19"/>
        <v/>
      </c>
      <c r="I137" s="20">
        <f t="shared" si="20"/>
        <v>0</v>
      </c>
      <c r="J137" s="20"/>
      <c r="K137" s="20"/>
      <c r="N137" s="11"/>
    </row>
    <row r="138" spans="1:14" x14ac:dyDescent="0.3">
      <c r="A138" s="35" t="str">
        <f t="shared" si="15"/>
        <v>QUÁ HẠN</v>
      </c>
      <c r="B138" s="36"/>
      <c r="C138" s="36">
        <f t="shared" si="14"/>
        <v>0</v>
      </c>
      <c r="D138" s="34">
        <f t="shared" si="16"/>
        <v>1</v>
      </c>
      <c r="E138" s="20">
        <f t="shared" si="17"/>
        <v>0</v>
      </c>
      <c r="F138" s="29"/>
      <c r="G138" s="30">
        <f t="shared" si="18"/>
        <v>0</v>
      </c>
      <c r="H138" s="20" t="str">
        <f t="shared" si="19"/>
        <v/>
      </c>
      <c r="I138" s="20">
        <f t="shared" si="20"/>
        <v>0</v>
      </c>
      <c r="J138" s="20"/>
      <c r="K138" s="20"/>
      <c r="N138" s="11"/>
    </row>
    <row r="139" spans="1:14" x14ac:dyDescent="0.3">
      <c r="A139" s="35" t="str">
        <f t="shared" si="15"/>
        <v>QUÁ HẠN</v>
      </c>
      <c r="B139" s="36"/>
      <c r="C139" s="36">
        <f t="shared" si="14"/>
        <v>0</v>
      </c>
      <c r="D139" s="34">
        <f t="shared" si="16"/>
        <v>1</v>
      </c>
      <c r="E139" s="20">
        <f t="shared" si="17"/>
        <v>0</v>
      </c>
      <c r="F139" s="29"/>
      <c r="G139" s="30">
        <f t="shared" si="18"/>
        <v>0</v>
      </c>
      <c r="H139" s="20" t="str">
        <f t="shared" si="19"/>
        <v/>
      </c>
      <c r="I139" s="20">
        <f t="shared" si="20"/>
        <v>0</v>
      </c>
      <c r="J139" s="20"/>
      <c r="K139" s="20"/>
      <c r="N139" s="11"/>
    </row>
    <row r="140" spans="1:14" x14ac:dyDescent="0.3">
      <c r="A140" s="35" t="str">
        <f t="shared" si="15"/>
        <v>QUÁ HẠN</v>
      </c>
      <c r="B140" s="36"/>
      <c r="C140" s="36">
        <f t="shared" si="14"/>
        <v>0</v>
      </c>
      <c r="D140" s="34">
        <f t="shared" si="16"/>
        <v>1</v>
      </c>
      <c r="E140" s="20">
        <f t="shared" si="17"/>
        <v>0</v>
      </c>
      <c r="F140" s="29"/>
      <c r="G140" s="30">
        <f t="shared" si="18"/>
        <v>0</v>
      </c>
      <c r="H140" s="20" t="str">
        <f t="shared" si="19"/>
        <v/>
      </c>
      <c r="I140" s="20">
        <f t="shared" si="20"/>
        <v>0</v>
      </c>
      <c r="J140" s="20"/>
      <c r="K140" s="20"/>
      <c r="N140" s="11"/>
    </row>
    <row r="141" spans="1:14" x14ac:dyDescent="0.3">
      <c r="A141" s="35" t="str">
        <f t="shared" si="15"/>
        <v>QUÁ HẠN</v>
      </c>
      <c r="B141" s="36"/>
      <c r="C141" s="36">
        <f t="shared" si="14"/>
        <v>0</v>
      </c>
      <c r="D141" s="34">
        <f t="shared" si="16"/>
        <v>1</v>
      </c>
      <c r="E141" s="20">
        <f t="shared" si="17"/>
        <v>0</v>
      </c>
      <c r="F141" s="29"/>
      <c r="G141" s="30">
        <f t="shared" si="18"/>
        <v>0</v>
      </c>
      <c r="H141" s="20" t="str">
        <f t="shared" si="19"/>
        <v/>
      </c>
      <c r="I141" s="20">
        <f t="shared" si="20"/>
        <v>0</v>
      </c>
      <c r="J141" s="20"/>
      <c r="K141" s="20"/>
      <c r="N141" s="11"/>
    </row>
    <row r="142" spans="1:14" x14ac:dyDescent="0.3">
      <c r="A142" s="35" t="str">
        <f t="shared" si="15"/>
        <v>QUÁ HẠN</v>
      </c>
      <c r="B142" s="36"/>
      <c r="C142" s="36">
        <f t="shared" si="14"/>
        <v>0</v>
      </c>
      <c r="D142" s="34">
        <f t="shared" si="16"/>
        <v>1</v>
      </c>
      <c r="E142" s="20">
        <f t="shared" si="17"/>
        <v>0</v>
      </c>
      <c r="F142" s="29"/>
      <c r="G142" s="30">
        <f t="shared" si="18"/>
        <v>0</v>
      </c>
      <c r="H142" s="20" t="str">
        <f t="shared" si="19"/>
        <v/>
      </c>
      <c r="I142" s="20">
        <f t="shared" si="20"/>
        <v>0</v>
      </c>
      <c r="J142" s="20"/>
      <c r="K142" s="20"/>
      <c r="N142" s="11"/>
    </row>
    <row r="143" spans="1:14" x14ac:dyDescent="0.3">
      <c r="A143" s="35" t="str">
        <f t="shared" si="15"/>
        <v>QUÁ HẠN</v>
      </c>
      <c r="B143" s="36"/>
      <c r="C143" s="36">
        <f t="shared" si="14"/>
        <v>0</v>
      </c>
      <c r="D143" s="34">
        <f t="shared" si="16"/>
        <v>1</v>
      </c>
      <c r="E143" s="20">
        <f t="shared" si="17"/>
        <v>0</v>
      </c>
      <c r="F143" s="29"/>
      <c r="G143" s="30">
        <f t="shared" si="18"/>
        <v>0</v>
      </c>
      <c r="H143" s="20" t="str">
        <f t="shared" si="19"/>
        <v/>
      </c>
      <c r="I143" s="20">
        <f t="shared" si="20"/>
        <v>0</v>
      </c>
      <c r="J143" s="20"/>
      <c r="K143" s="20"/>
      <c r="N143" s="11"/>
    </row>
    <row r="144" spans="1:14" x14ac:dyDescent="0.3">
      <c r="A144" s="35" t="str">
        <f t="shared" si="15"/>
        <v>QUÁ HẠN</v>
      </c>
      <c r="B144" s="36"/>
      <c r="C144" s="36">
        <f t="shared" si="14"/>
        <v>0</v>
      </c>
      <c r="D144" s="34">
        <f t="shared" si="16"/>
        <v>1</v>
      </c>
      <c r="E144" s="20">
        <f t="shared" si="17"/>
        <v>0</v>
      </c>
      <c r="F144" s="29"/>
      <c r="G144" s="30">
        <f t="shared" si="18"/>
        <v>0</v>
      </c>
      <c r="H144" s="20" t="str">
        <f t="shared" si="19"/>
        <v/>
      </c>
      <c r="I144" s="20">
        <f t="shared" si="20"/>
        <v>0</v>
      </c>
      <c r="J144" s="20"/>
      <c r="K144" s="20"/>
      <c r="N144" s="11"/>
    </row>
    <row r="145" spans="1:14" x14ac:dyDescent="0.3">
      <c r="A145" s="35" t="str">
        <f t="shared" si="15"/>
        <v>QUÁ HẠN</v>
      </c>
      <c r="B145" s="36"/>
      <c r="C145" s="36">
        <f t="shared" si="14"/>
        <v>0</v>
      </c>
      <c r="D145" s="34">
        <f t="shared" si="16"/>
        <v>1</v>
      </c>
      <c r="E145" s="20">
        <f t="shared" si="17"/>
        <v>0</v>
      </c>
      <c r="F145" s="29"/>
      <c r="G145" s="30">
        <f t="shared" si="18"/>
        <v>0</v>
      </c>
      <c r="H145" s="20" t="str">
        <f t="shared" si="19"/>
        <v/>
      </c>
      <c r="I145" s="20">
        <f t="shared" si="20"/>
        <v>0</v>
      </c>
      <c r="J145" s="20"/>
      <c r="K145" s="20"/>
      <c r="N145" s="11"/>
    </row>
    <row r="146" spans="1:14" x14ac:dyDescent="0.3">
      <c r="A146" s="35" t="str">
        <f t="shared" si="15"/>
        <v>QUÁ HẠN</v>
      </c>
      <c r="B146" s="36"/>
      <c r="C146" s="36">
        <f t="shared" si="14"/>
        <v>0</v>
      </c>
      <c r="D146" s="34">
        <f t="shared" si="16"/>
        <v>1</v>
      </c>
      <c r="E146" s="20">
        <f t="shared" si="17"/>
        <v>0</v>
      </c>
      <c r="F146" s="29"/>
      <c r="G146" s="30">
        <f t="shared" si="18"/>
        <v>0</v>
      </c>
      <c r="H146" s="20" t="str">
        <f t="shared" si="19"/>
        <v/>
      </c>
      <c r="I146" s="20">
        <f t="shared" si="20"/>
        <v>0</v>
      </c>
      <c r="J146" s="20"/>
      <c r="K146" s="20"/>
      <c r="N146" s="11"/>
    </row>
    <row r="147" spans="1:14" x14ac:dyDescent="0.3">
      <c r="A147" s="35" t="str">
        <f t="shared" si="15"/>
        <v>QUÁ HẠN</v>
      </c>
      <c r="B147" s="36"/>
      <c r="C147" s="36">
        <f t="shared" si="14"/>
        <v>0</v>
      </c>
      <c r="D147" s="34">
        <f t="shared" si="16"/>
        <v>1</v>
      </c>
      <c r="E147" s="20">
        <f t="shared" si="17"/>
        <v>0</v>
      </c>
      <c r="F147" s="29"/>
      <c r="G147" s="30">
        <f t="shared" si="18"/>
        <v>0</v>
      </c>
      <c r="H147" s="20" t="str">
        <f t="shared" si="19"/>
        <v/>
      </c>
      <c r="I147" s="20">
        <f t="shared" si="20"/>
        <v>0</v>
      </c>
      <c r="J147" s="20"/>
      <c r="K147" s="20"/>
      <c r="N147" s="11"/>
    </row>
    <row r="148" spans="1:14" x14ac:dyDescent="0.3">
      <c r="A148" s="35" t="str">
        <f t="shared" si="15"/>
        <v>QUÁ HẠN</v>
      </c>
      <c r="B148" s="36"/>
      <c r="C148" s="36">
        <f t="shared" si="14"/>
        <v>0</v>
      </c>
      <c r="D148" s="34">
        <f t="shared" si="16"/>
        <v>1</v>
      </c>
      <c r="E148" s="20">
        <f t="shared" si="17"/>
        <v>0</v>
      </c>
      <c r="F148" s="29"/>
      <c r="G148" s="30">
        <f t="shared" si="18"/>
        <v>0</v>
      </c>
      <c r="H148" s="20" t="str">
        <f t="shared" si="19"/>
        <v/>
      </c>
      <c r="I148" s="20">
        <f t="shared" si="20"/>
        <v>0</v>
      </c>
      <c r="J148" s="20"/>
      <c r="K148" s="20"/>
      <c r="N148" s="11"/>
    </row>
    <row r="149" spans="1:14" x14ac:dyDescent="0.3">
      <c r="A149" s="35" t="str">
        <f t="shared" si="15"/>
        <v>QUÁ HẠN</v>
      </c>
      <c r="B149" s="36"/>
      <c r="C149" s="36">
        <f t="shared" si="14"/>
        <v>0</v>
      </c>
      <c r="D149" s="34">
        <f t="shared" si="16"/>
        <v>1</v>
      </c>
      <c r="E149" s="20">
        <f t="shared" si="17"/>
        <v>0</v>
      </c>
      <c r="F149" s="29"/>
      <c r="G149" s="30">
        <f t="shared" si="18"/>
        <v>0</v>
      </c>
      <c r="H149" s="20" t="str">
        <f t="shared" si="19"/>
        <v/>
      </c>
      <c r="I149" s="20">
        <f t="shared" si="20"/>
        <v>0</v>
      </c>
      <c r="J149" s="20"/>
      <c r="K149" s="20"/>
      <c r="N149" s="11"/>
    </row>
    <row r="150" spans="1:14" x14ac:dyDescent="0.3">
      <c r="A150" s="35" t="str">
        <f t="shared" si="15"/>
        <v>QUÁ HẠN</v>
      </c>
      <c r="B150" s="36"/>
      <c r="C150" s="36">
        <f t="shared" si="14"/>
        <v>0</v>
      </c>
      <c r="D150" s="34">
        <f t="shared" si="16"/>
        <v>1</v>
      </c>
      <c r="E150" s="20">
        <f t="shared" si="17"/>
        <v>0</v>
      </c>
      <c r="F150" s="29"/>
      <c r="G150" s="30">
        <f t="shared" si="18"/>
        <v>0</v>
      </c>
      <c r="H150" s="20" t="str">
        <f t="shared" si="19"/>
        <v/>
      </c>
      <c r="I150" s="20">
        <f t="shared" si="20"/>
        <v>0</v>
      </c>
      <c r="J150" s="20"/>
      <c r="K150" s="20"/>
      <c r="N150" s="11"/>
    </row>
    <row r="151" spans="1:14" x14ac:dyDescent="0.3">
      <c r="A151" s="35" t="str">
        <f t="shared" si="15"/>
        <v>QUÁ HẠN</v>
      </c>
      <c r="B151" s="36"/>
      <c r="C151" s="36">
        <f t="shared" si="14"/>
        <v>0</v>
      </c>
      <c r="D151" s="34">
        <f t="shared" si="16"/>
        <v>1</v>
      </c>
      <c r="E151" s="20">
        <f t="shared" si="17"/>
        <v>0</v>
      </c>
      <c r="F151" s="29"/>
      <c r="G151" s="30">
        <f t="shared" si="18"/>
        <v>0</v>
      </c>
      <c r="H151" s="20" t="str">
        <f t="shared" si="19"/>
        <v/>
      </c>
      <c r="I151" s="20">
        <f t="shared" si="20"/>
        <v>0</v>
      </c>
      <c r="J151" s="20"/>
      <c r="K151" s="20"/>
      <c r="N151" s="11"/>
    </row>
    <row r="152" spans="1:14" x14ac:dyDescent="0.3">
      <c r="A152" s="35" t="str">
        <f t="shared" si="15"/>
        <v>QUÁ HẠN</v>
      </c>
      <c r="B152" s="36"/>
      <c r="C152" s="36">
        <f t="shared" si="14"/>
        <v>0</v>
      </c>
      <c r="D152" s="34">
        <f t="shared" si="16"/>
        <v>1</v>
      </c>
      <c r="E152" s="20">
        <f t="shared" si="17"/>
        <v>0</v>
      </c>
      <c r="F152" s="29"/>
      <c r="G152" s="30">
        <f t="shared" si="18"/>
        <v>0</v>
      </c>
      <c r="H152" s="20" t="str">
        <f t="shared" si="19"/>
        <v/>
      </c>
      <c r="I152" s="20">
        <f t="shared" si="20"/>
        <v>0</v>
      </c>
      <c r="J152" s="20"/>
      <c r="K152" s="20"/>
      <c r="N152" s="11"/>
    </row>
    <row r="153" spans="1:14" x14ac:dyDescent="0.3">
      <c r="A153" s="35" t="str">
        <f t="shared" si="15"/>
        <v>QUÁ HẠN</v>
      </c>
      <c r="B153" s="36"/>
      <c r="C153" s="36">
        <f t="shared" si="14"/>
        <v>0</v>
      </c>
      <c r="D153" s="34">
        <f t="shared" si="16"/>
        <v>1</v>
      </c>
      <c r="E153" s="20">
        <f t="shared" si="17"/>
        <v>0</v>
      </c>
      <c r="F153" s="29"/>
      <c r="G153" s="30">
        <f t="shared" si="18"/>
        <v>0</v>
      </c>
      <c r="H153" s="20" t="str">
        <f t="shared" si="19"/>
        <v/>
      </c>
      <c r="I153" s="20">
        <f t="shared" si="20"/>
        <v>0</v>
      </c>
      <c r="J153" s="20"/>
      <c r="K153" s="20"/>
      <c r="N153" s="11"/>
    </row>
    <row r="154" spans="1:14" x14ac:dyDescent="0.3">
      <c r="A154" s="35" t="str">
        <f t="shared" si="15"/>
        <v>QUÁ HẠN</v>
      </c>
      <c r="B154" s="36"/>
      <c r="C154" s="36">
        <f t="shared" si="14"/>
        <v>0</v>
      </c>
      <c r="D154" s="34">
        <f t="shared" si="16"/>
        <v>1</v>
      </c>
      <c r="E154" s="20">
        <f t="shared" si="17"/>
        <v>0</v>
      </c>
      <c r="F154" s="29"/>
      <c r="G154" s="30">
        <f t="shared" si="18"/>
        <v>0</v>
      </c>
      <c r="H154" s="20" t="str">
        <f t="shared" si="19"/>
        <v/>
      </c>
      <c r="I154" s="20">
        <f t="shared" si="20"/>
        <v>0</v>
      </c>
      <c r="J154" s="20"/>
      <c r="K154" s="20"/>
      <c r="N154" s="11"/>
    </row>
    <row r="155" spans="1:14" x14ac:dyDescent="0.3">
      <c r="A155" s="35" t="str">
        <f t="shared" si="15"/>
        <v>QUÁ HẠN</v>
      </c>
      <c r="B155" s="36"/>
      <c r="C155" s="36">
        <f t="shared" si="14"/>
        <v>0</v>
      </c>
      <c r="D155" s="34">
        <f t="shared" si="16"/>
        <v>1</v>
      </c>
      <c r="E155" s="20">
        <f t="shared" si="17"/>
        <v>0</v>
      </c>
      <c r="F155" s="29"/>
      <c r="G155" s="30">
        <f t="shared" si="18"/>
        <v>0</v>
      </c>
      <c r="H155" s="20" t="str">
        <f t="shared" si="19"/>
        <v/>
      </c>
      <c r="I155" s="20">
        <f t="shared" si="20"/>
        <v>0</v>
      </c>
      <c r="J155" s="20"/>
      <c r="K155" s="20"/>
      <c r="N155" s="11"/>
    </row>
    <row r="156" spans="1:14" x14ac:dyDescent="0.3">
      <c r="A156" s="35" t="str">
        <f t="shared" si="15"/>
        <v>QUÁ HẠN</v>
      </c>
      <c r="B156" s="36"/>
      <c r="C156" s="36">
        <f t="shared" si="14"/>
        <v>0</v>
      </c>
      <c r="D156" s="34">
        <f t="shared" si="16"/>
        <v>1</v>
      </c>
      <c r="E156" s="20">
        <f t="shared" si="17"/>
        <v>0</v>
      </c>
      <c r="F156" s="29"/>
      <c r="G156" s="30">
        <f t="shared" si="18"/>
        <v>0</v>
      </c>
      <c r="H156" s="20" t="str">
        <f t="shared" si="19"/>
        <v/>
      </c>
      <c r="I156" s="20">
        <f t="shared" si="20"/>
        <v>0</v>
      </c>
      <c r="J156" s="20"/>
      <c r="K156" s="20"/>
      <c r="N156" s="11"/>
    </row>
    <row r="157" spans="1:14" x14ac:dyDescent="0.3">
      <c r="A157" s="35" t="str">
        <f t="shared" si="15"/>
        <v>QUÁ HẠN</v>
      </c>
      <c r="B157" s="36"/>
      <c r="C157" s="36">
        <f t="shared" si="14"/>
        <v>0</v>
      </c>
      <c r="D157" s="34">
        <f t="shared" si="16"/>
        <v>1</v>
      </c>
      <c r="E157" s="20">
        <f t="shared" si="17"/>
        <v>0</v>
      </c>
      <c r="F157" s="29"/>
      <c r="G157" s="30">
        <f t="shared" si="18"/>
        <v>0</v>
      </c>
      <c r="H157" s="20" t="str">
        <f t="shared" si="19"/>
        <v/>
      </c>
      <c r="I157" s="20">
        <f t="shared" si="20"/>
        <v>0</v>
      </c>
      <c r="J157" s="20"/>
      <c r="K157" s="20"/>
      <c r="N157" s="11"/>
    </row>
    <row r="158" spans="1:14" x14ac:dyDescent="0.3">
      <c r="A158" s="35" t="str">
        <f t="shared" si="15"/>
        <v>QUÁ HẠN</v>
      </c>
      <c r="B158" s="36"/>
      <c r="C158" s="36">
        <f t="shared" si="14"/>
        <v>0</v>
      </c>
      <c r="D158" s="34">
        <f t="shared" si="16"/>
        <v>1</v>
      </c>
      <c r="E158" s="20">
        <f t="shared" si="17"/>
        <v>0</v>
      </c>
      <c r="F158" s="29"/>
      <c r="G158" s="30">
        <f t="shared" si="18"/>
        <v>0</v>
      </c>
      <c r="H158" s="20" t="str">
        <f t="shared" si="19"/>
        <v/>
      </c>
      <c r="I158" s="20">
        <f t="shared" si="20"/>
        <v>0</v>
      </c>
      <c r="J158" s="20"/>
      <c r="K158" s="20"/>
      <c r="N158" s="11"/>
    </row>
    <row r="159" spans="1:14" x14ac:dyDescent="0.3">
      <c r="A159" s="35" t="str">
        <f t="shared" si="15"/>
        <v>QUÁ HẠN</v>
      </c>
      <c r="B159" s="36"/>
      <c r="C159" s="36">
        <f t="shared" si="14"/>
        <v>0</v>
      </c>
      <c r="D159" s="34">
        <f t="shared" si="16"/>
        <v>1</v>
      </c>
      <c r="E159" s="20">
        <f t="shared" si="17"/>
        <v>0</v>
      </c>
      <c r="F159" s="29"/>
      <c r="G159" s="30">
        <f t="shared" si="18"/>
        <v>0</v>
      </c>
      <c r="H159" s="20" t="str">
        <f t="shared" si="19"/>
        <v/>
      </c>
      <c r="I159" s="20">
        <f t="shared" si="20"/>
        <v>0</v>
      </c>
      <c r="J159" s="20"/>
      <c r="K159" s="20"/>
      <c r="N159" s="11"/>
    </row>
    <row r="160" spans="1:14" x14ac:dyDescent="0.3">
      <c r="A160" s="35" t="str">
        <f t="shared" si="15"/>
        <v>QUÁ HẠN</v>
      </c>
      <c r="B160" s="36"/>
      <c r="C160" s="36">
        <f t="shared" si="14"/>
        <v>0</v>
      </c>
      <c r="D160" s="34">
        <f t="shared" si="16"/>
        <v>1</v>
      </c>
      <c r="E160" s="20">
        <f t="shared" si="17"/>
        <v>0</v>
      </c>
      <c r="F160" s="29"/>
      <c r="G160" s="30">
        <f t="shared" si="18"/>
        <v>0</v>
      </c>
      <c r="H160" s="20" t="str">
        <f t="shared" si="19"/>
        <v/>
      </c>
      <c r="I160" s="20">
        <f t="shared" si="20"/>
        <v>0</v>
      </c>
      <c r="J160" s="20"/>
      <c r="K160" s="20"/>
      <c r="N160" s="11"/>
    </row>
    <row r="161" spans="1:14" x14ac:dyDescent="0.3">
      <c r="A161" s="35" t="str">
        <f t="shared" si="15"/>
        <v>QUÁ HẠN</v>
      </c>
      <c r="B161" s="36"/>
      <c r="C161" s="36">
        <f t="shared" si="14"/>
        <v>0</v>
      </c>
      <c r="D161" s="34">
        <f t="shared" si="16"/>
        <v>1</v>
      </c>
      <c r="E161" s="20">
        <f t="shared" si="17"/>
        <v>0</v>
      </c>
      <c r="F161" s="29"/>
      <c r="G161" s="30">
        <f t="shared" si="18"/>
        <v>0</v>
      </c>
      <c r="H161" s="20" t="str">
        <f t="shared" si="19"/>
        <v/>
      </c>
      <c r="I161" s="20">
        <f t="shared" si="20"/>
        <v>0</v>
      </c>
      <c r="J161" s="20"/>
      <c r="K161" s="20"/>
      <c r="N161" s="11"/>
    </row>
    <row r="162" spans="1:14" x14ac:dyDescent="0.3">
      <c r="A162" s="35" t="str">
        <f t="shared" si="15"/>
        <v>QUÁ HẠN</v>
      </c>
      <c r="B162" s="36"/>
      <c r="C162" s="36">
        <f t="shared" si="14"/>
        <v>0</v>
      </c>
      <c r="D162" s="34">
        <f t="shared" si="16"/>
        <v>1</v>
      </c>
      <c r="E162" s="20">
        <f t="shared" si="17"/>
        <v>0</v>
      </c>
      <c r="F162" s="29"/>
      <c r="G162" s="30">
        <f t="shared" si="18"/>
        <v>0</v>
      </c>
      <c r="H162" s="20" t="str">
        <f t="shared" si="19"/>
        <v/>
      </c>
      <c r="I162" s="20">
        <f t="shared" si="20"/>
        <v>0</v>
      </c>
      <c r="J162" s="20"/>
      <c r="K162" s="20"/>
      <c r="N162" s="11"/>
    </row>
    <row r="163" spans="1:14" x14ac:dyDescent="0.3">
      <c r="A163" s="35" t="str">
        <f t="shared" si="15"/>
        <v>QUÁ HẠN</v>
      </c>
      <c r="B163" s="36"/>
      <c r="C163" s="36">
        <f t="shared" ref="C163:C226" si="21">IFERROR(IF(B164="", $B$10, B164-1), $B$10)</f>
        <v>0</v>
      </c>
      <c r="D163" s="34">
        <f t="shared" si="16"/>
        <v>1</v>
      </c>
      <c r="E163" s="20">
        <f t="shared" si="17"/>
        <v>0</v>
      </c>
      <c r="F163" s="29"/>
      <c r="G163" s="30">
        <f t="shared" si="18"/>
        <v>0</v>
      </c>
      <c r="H163" s="20" t="str">
        <f t="shared" si="19"/>
        <v/>
      </c>
      <c r="I163" s="20">
        <f t="shared" si="20"/>
        <v>0</v>
      </c>
      <c r="J163" s="20"/>
      <c r="K163" s="20"/>
      <c r="N163" s="11"/>
    </row>
    <row r="164" spans="1:14" x14ac:dyDescent="0.3">
      <c r="A164" s="35" t="str">
        <f t="shared" si="15"/>
        <v>QUÁ HẠN</v>
      </c>
      <c r="B164" s="36"/>
      <c r="C164" s="36">
        <f t="shared" si="21"/>
        <v>0</v>
      </c>
      <c r="D164" s="34">
        <f t="shared" si="16"/>
        <v>1</v>
      </c>
      <c r="E164" s="20">
        <f t="shared" si="17"/>
        <v>0</v>
      </c>
      <c r="F164" s="29"/>
      <c r="G164" s="30">
        <f t="shared" si="18"/>
        <v>0</v>
      </c>
      <c r="H164" s="20" t="str">
        <f t="shared" si="19"/>
        <v/>
      </c>
      <c r="I164" s="20">
        <f t="shared" si="20"/>
        <v>0</v>
      </c>
      <c r="J164" s="20"/>
      <c r="K164" s="20"/>
      <c r="N164" s="11"/>
    </row>
    <row r="165" spans="1:14" x14ac:dyDescent="0.3">
      <c r="A165" s="35" t="str">
        <f t="shared" si="15"/>
        <v>QUÁ HẠN</v>
      </c>
      <c r="B165" s="36"/>
      <c r="C165" s="36">
        <f t="shared" si="21"/>
        <v>0</v>
      </c>
      <c r="D165" s="34">
        <f t="shared" si="16"/>
        <v>1</v>
      </c>
      <c r="E165" s="20">
        <f t="shared" si="17"/>
        <v>0</v>
      </c>
      <c r="F165" s="29"/>
      <c r="G165" s="30">
        <f t="shared" si="18"/>
        <v>0</v>
      </c>
      <c r="H165" s="20" t="str">
        <f t="shared" si="19"/>
        <v/>
      </c>
      <c r="I165" s="20">
        <f t="shared" si="20"/>
        <v>0</v>
      </c>
      <c r="J165" s="20"/>
      <c r="K165" s="20"/>
      <c r="N165" s="11"/>
    </row>
    <row r="166" spans="1:14" x14ac:dyDescent="0.3">
      <c r="A166" s="35" t="str">
        <f t="shared" si="15"/>
        <v>QUÁ HẠN</v>
      </c>
      <c r="B166" s="36"/>
      <c r="C166" s="36">
        <f t="shared" si="21"/>
        <v>0</v>
      </c>
      <c r="D166" s="34">
        <f t="shared" si="16"/>
        <v>1</v>
      </c>
      <c r="E166" s="20">
        <f t="shared" si="17"/>
        <v>0</v>
      </c>
      <c r="F166" s="29"/>
      <c r="G166" s="30">
        <f t="shared" si="18"/>
        <v>0</v>
      </c>
      <c r="H166" s="20" t="str">
        <f t="shared" si="19"/>
        <v/>
      </c>
      <c r="I166" s="20">
        <f t="shared" si="20"/>
        <v>0</v>
      </c>
      <c r="J166" s="20"/>
      <c r="K166" s="20"/>
      <c r="N166" s="11"/>
    </row>
    <row r="167" spans="1:14" x14ac:dyDescent="0.3">
      <c r="A167" s="35" t="str">
        <f t="shared" ref="A167:A230" si="22">IF(B167&gt;=$B$9,"QUÁ HẠN", "TRONG HẠN")</f>
        <v>QUÁ HẠN</v>
      </c>
      <c r="B167" s="36"/>
      <c r="C167" s="36">
        <f t="shared" si="21"/>
        <v>0</v>
      </c>
      <c r="D167" s="34">
        <f t="shared" ref="D167:D230" si="23">C167-B167+1</f>
        <v>1</v>
      </c>
      <c r="E167" s="20">
        <f t="shared" ref="E167:E230" si="24">E166-J167</f>
        <v>0</v>
      </c>
      <c r="F167" s="29"/>
      <c r="G167" s="30">
        <f t="shared" ref="G167:G230" si="25">IF(A167="QUÁ HẠN", F167*1.5,"")</f>
        <v>0</v>
      </c>
      <c r="H167" s="20" t="str">
        <f t="shared" ref="H167:H230" si="26">IF(A167="TRONG HẠN",D167*E167*F167/365,"")</f>
        <v/>
      </c>
      <c r="I167" s="20">
        <f t="shared" ref="I167:I230" si="27">IF(A167="QUÁ HẠN",D167*E167*G167/365,"")</f>
        <v>0</v>
      </c>
      <c r="J167" s="20"/>
      <c r="K167" s="20"/>
      <c r="N167" s="11"/>
    </row>
    <row r="168" spans="1:14" x14ac:dyDescent="0.3">
      <c r="A168" s="35" t="str">
        <f t="shared" si="22"/>
        <v>QUÁ HẠN</v>
      </c>
      <c r="B168" s="36"/>
      <c r="C168" s="36">
        <f t="shared" si="21"/>
        <v>0</v>
      </c>
      <c r="D168" s="34">
        <f t="shared" si="23"/>
        <v>1</v>
      </c>
      <c r="E168" s="20">
        <f t="shared" si="24"/>
        <v>0</v>
      </c>
      <c r="F168" s="29"/>
      <c r="G168" s="30">
        <f t="shared" si="25"/>
        <v>0</v>
      </c>
      <c r="H168" s="20" t="str">
        <f t="shared" si="26"/>
        <v/>
      </c>
      <c r="I168" s="20">
        <f t="shared" si="27"/>
        <v>0</v>
      </c>
      <c r="J168" s="20"/>
      <c r="K168" s="20"/>
      <c r="N168" s="11"/>
    </row>
    <row r="169" spans="1:14" x14ac:dyDescent="0.3">
      <c r="A169" s="35" t="str">
        <f t="shared" si="22"/>
        <v>QUÁ HẠN</v>
      </c>
      <c r="B169" s="36"/>
      <c r="C169" s="36">
        <f t="shared" si="21"/>
        <v>0</v>
      </c>
      <c r="D169" s="34">
        <f t="shared" si="23"/>
        <v>1</v>
      </c>
      <c r="E169" s="20">
        <f t="shared" si="24"/>
        <v>0</v>
      </c>
      <c r="F169" s="29"/>
      <c r="G169" s="30">
        <f t="shared" si="25"/>
        <v>0</v>
      </c>
      <c r="H169" s="20" t="str">
        <f t="shared" si="26"/>
        <v/>
      </c>
      <c r="I169" s="20">
        <f t="shared" si="27"/>
        <v>0</v>
      </c>
      <c r="J169" s="20"/>
      <c r="K169" s="20"/>
      <c r="N169" s="11"/>
    </row>
    <row r="170" spans="1:14" x14ac:dyDescent="0.3">
      <c r="A170" s="35" t="str">
        <f t="shared" si="22"/>
        <v>QUÁ HẠN</v>
      </c>
      <c r="B170" s="36"/>
      <c r="C170" s="36">
        <f t="shared" si="21"/>
        <v>0</v>
      </c>
      <c r="D170" s="34">
        <f t="shared" si="23"/>
        <v>1</v>
      </c>
      <c r="E170" s="20">
        <f t="shared" si="24"/>
        <v>0</v>
      </c>
      <c r="F170" s="29"/>
      <c r="G170" s="30">
        <f t="shared" si="25"/>
        <v>0</v>
      </c>
      <c r="H170" s="20" t="str">
        <f t="shared" si="26"/>
        <v/>
      </c>
      <c r="I170" s="20">
        <f t="shared" si="27"/>
        <v>0</v>
      </c>
      <c r="J170" s="20"/>
      <c r="K170" s="20"/>
      <c r="N170" s="11"/>
    </row>
    <row r="171" spans="1:14" x14ac:dyDescent="0.3">
      <c r="A171" s="35" t="str">
        <f t="shared" si="22"/>
        <v>QUÁ HẠN</v>
      </c>
      <c r="B171" s="36"/>
      <c r="C171" s="36">
        <f t="shared" si="21"/>
        <v>0</v>
      </c>
      <c r="D171" s="34">
        <f t="shared" si="23"/>
        <v>1</v>
      </c>
      <c r="E171" s="20">
        <f t="shared" si="24"/>
        <v>0</v>
      </c>
      <c r="F171" s="29"/>
      <c r="G171" s="30">
        <f t="shared" si="25"/>
        <v>0</v>
      </c>
      <c r="H171" s="20" t="str">
        <f t="shared" si="26"/>
        <v/>
      </c>
      <c r="I171" s="20">
        <f t="shared" si="27"/>
        <v>0</v>
      </c>
      <c r="J171" s="20"/>
      <c r="K171" s="20"/>
      <c r="N171" s="11"/>
    </row>
    <row r="172" spans="1:14" x14ac:dyDescent="0.3">
      <c r="A172" s="35" t="str">
        <f t="shared" si="22"/>
        <v>QUÁ HẠN</v>
      </c>
      <c r="B172" s="36"/>
      <c r="C172" s="36">
        <f t="shared" si="21"/>
        <v>0</v>
      </c>
      <c r="D172" s="34">
        <f t="shared" si="23"/>
        <v>1</v>
      </c>
      <c r="E172" s="20">
        <f t="shared" si="24"/>
        <v>0</v>
      </c>
      <c r="F172" s="29"/>
      <c r="G172" s="30">
        <f t="shared" si="25"/>
        <v>0</v>
      </c>
      <c r="H172" s="20" t="str">
        <f t="shared" si="26"/>
        <v/>
      </c>
      <c r="I172" s="20">
        <f t="shared" si="27"/>
        <v>0</v>
      </c>
      <c r="J172" s="20"/>
      <c r="K172" s="20"/>
      <c r="N172" s="11"/>
    </row>
    <row r="173" spans="1:14" x14ac:dyDescent="0.3">
      <c r="A173" s="35" t="str">
        <f t="shared" si="22"/>
        <v>QUÁ HẠN</v>
      </c>
      <c r="B173" s="36"/>
      <c r="C173" s="36">
        <f t="shared" si="21"/>
        <v>0</v>
      </c>
      <c r="D173" s="34">
        <f t="shared" si="23"/>
        <v>1</v>
      </c>
      <c r="E173" s="20">
        <f t="shared" si="24"/>
        <v>0</v>
      </c>
      <c r="F173" s="29"/>
      <c r="G173" s="30">
        <f t="shared" si="25"/>
        <v>0</v>
      </c>
      <c r="H173" s="20" t="str">
        <f t="shared" si="26"/>
        <v/>
      </c>
      <c r="I173" s="20">
        <f t="shared" si="27"/>
        <v>0</v>
      </c>
      <c r="J173" s="20"/>
      <c r="K173" s="20"/>
      <c r="N173" s="11"/>
    </row>
    <row r="174" spans="1:14" x14ac:dyDescent="0.3">
      <c r="A174" s="35" t="str">
        <f t="shared" si="22"/>
        <v>QUÁ HẠN</v>
      </c>
      <c r="B174" s="36"/>
      <c r="C174" s="36">
        <f t="shared" si="21"/>
        <v>0</v>
      </c>
      <c r="D174" s="34">
        <f t="shared" si="23"/>
        <v>1</v>
      </c>
      <c r="E174" s="20">
        <f t="shared" si="24"/>
        <v>0</v>
      </c>
      <c r="F174" s="29"/>
      <c r="G174" s="30">
        <f t="shared" si="25"/>
        <v>0</v>
      </c>
      <c r="H174" s="20" t="str">
        <f t="shared" si="26"/>
        <v/>
      </c>
      <c r="I174" s="20">
        <f t="shared" si="27"/>
        <v>0</v>
      </c>
      <c r="J174" s="20"/>
      <c r="K174" s="20"/>
      <c r="N174" s="11"/>
    </row>
    <row r="175" spans="1:14" x14ac:dyDescent="0.3">
      <c r="A175" s="35" t="str">
        <f t="shared" si="22"/>
        <v>QUÁ HẠN</v>
      </c>
      <c r="B175" s="36"/>
      <c r="C175" s="36">
        <f t="shared" si="21"/>
        <v>0</v>
      </c>
      <c r="D175" s="34">
        <f t="shared" si="23"/>
        <v>1</v>
      </c>
      <c r="E175" s="20">
        <f t="shared" si="24"/>
        <v>0</v>
      </c>
      <c r="F175" s="29"/>
      <c r="G175" s="30">
        <f t="shared" si="25"/>
        <v>0</v>
      </c>
      <c r="H175" s="20" t="str">
        <f t="shared" si="26"/>
        <v/>
      </c>
      <c r="I175" s="20">
        <f t="shared" si="27"/>
        <v>0</v>
      </c>
      <c r="J175" s="20"/>
      <c r="K175" s="20"/>
      <c r="N175" s="11"/>
    </row>
    <row r="176" spans="1:14" x14ac:dyDescent="0.3">
      <c r="A176" s="35" t="str">
        <f t="shared" si="22"/>
        <v>QUÁ HẠN</v>
      </c>
      <c r="B176" s="36"/>
      <c r="C176" s="36">
        <f t="shared" si="21"/>
        <v>0</v>
      </c>
      <c r="D176" s="34">
        <f t="shared" si="23"/>
        <v>1</v>
      </c>
      <c r="E176" s="20">
        <f t="shared" si="24"/>
        <v>0</v>
      </c>
      <c r="F176" s="29"/>
      <c r="G176" s="30">
        <f t="shared" si="25"/>
        <v>0</v>
      </c>
      <c r="H176" s="20" t="str">
        <f t="shared" si="26"/>
        <v/>
      </c>
      <c r="I176" s="20">
        <f t="shared" si="27"/>
        <v>0</v>
      </c>
      <c r="J176" s="20"/>
      <c r="K176" s="20"/>
      <c r="N176" s="11"/>
    </row>
    <row r="177" spans="1:14" x14ac:dyDescent="0.3">
      <c r="A177" s="35" t="str">
        <f t="shared" si="22"/>
        <v>QUÁ HẠN</v>
      </c>
      <c r="B177" s="36"/>
      <c r="C177" s="36">
        <f t="shared" si="21"/>
        <v>0</v>
      </c>
      <c r="D177" s="34">
        <f t="shared" si="23"/>
        <v>1</v>
      </c>
      <c r="E177" s="20">
        <f t="shared" si="24"/>
        <v>0</v>
      </c>
      <c r="F177" s="29"/>
      <c r="G177" s="30">
        <f t="shared" si="25"/>
        <v>0</v>
      </c>
      <c r="H177" s="20" t="str">
        <f t="shared" si="26"/>
        <v/>
      </c>
      <c r="I177" s="20">
        <f t="shared" si="27"/>
        <v>0</v>
      </c>
      <c r="J177" s="20"/>
      <c r="K177" s="20"/>
      <c r="N177" s="11"/>
    </row>
    <row r="178" spans="1:14" x14ac:dyDescent="0.3">
      <c r="A178" s="35" t="str">
        <f t="shared" si="22"/>
        <v>QUÁ HẠN</v>
      </c>
      <c r="B178" s="36"/>
      <c r="C178" s="36">
        <f t="shared" si="21"/>
        <v>0</v>
      </c>
      <c r="D178" s="34">
        <f t="shared" si="23"/>
        <v>1</v>
      </c>
      <c r="E178" s="20">
        <f t="shared" si="24"/>
        <v>0</v>
      </c>
      <c r="F178" s="29"/>
      <c r="G178" s="30">
        <f t="shared" si="25"/>
        <v>0</v>
      </c>
      <c r="H178" s="20" t="str">
        <f t="shared" si="26"/>
        <v/>
      </c>
      <c r="I178" s="20">
        <f t="shared" si="27"/>
        <v>0</v>
      </c>
      <c r="J178" s="20"/>
      <c r="K178" s="20"/>
      <c r="N178" s="11"/>
    </row>
    <row r="179" spans="1:14" x14ac:dyDescent="0.3">
      <c r="A179" s="35" t="str">
        <f t="shared" si="22"/>
        <v>QUÁ HẠN</v>
      </c>
      <c r="B179" s="36"/>
      <c r="C179" s="36">
        <f t="shared" si="21"/>
        <v>0</v>
      </c>
      <c r="D179" s="34">
        <f t="shared" si="23"/>
        <v>1</v>
      </c>
      <c r="E179" s="20">
        <f t="shared" si="24"/>
        <v>0</v>
      </c>
      <c r="F179" s="29"/>
      <c r="G179" s="30">
        <f t="shared" si="25"/>
        <v>0</v>
      </c>
      <c r="H179" s="20" t="str">
        <f t="shared" si="26"/>
        <v/>
      </c>
      <c r="I179" s="20">
        <f t="shared" si="27"/>
        <v>0</v>
      </c>
      <c r="J179" s="20"/>
      <c r="K179" s="20"/>
      <c r="N179" s="11"/>
    </row>
    <row r="180" spans="1:14" x14ac:dyDescent="0.3">
      <c r="A180" s="35" t="str">
        <f t="shared" si="22"/>
        <v>QUÁ HẠN</v>
      </c>
      <c r="B180" s="36"/>
      <c r="C180" s="36">
        <f t="shared" si="21"/>
        <v>0</v>
      </c>
      <c r="D180" s="34">
        <f t="shared" si="23"/>
        <v>1</v>
      </c>
      <c r="E180" s="20">
        <f t="shared" si="24"/>
        <v>0</v>
      </c>
      <c r="F180" s="29"/>
      <c r="G180" s="30">
        <f t="shared" si="25"/>
        <v>0</v>
      </c>
      <c r="H180" s="20" t="str">
        <f t="shared" si="26"/>
        <v/>
      </c>
      <c r="I180" s="20">
        <f t="shared" si="27"/>
        <v>0</v>
      </c>
      <c r="J180" s="20"/>
      <c r="K180" s="20"/>
      <c r="N180" s="11"/>
    </row>
    <row r="181" spans="1:14" x14ac:dyDescent="0.3">
      <c r="A181" s="35" t="str">
        <f t="shared" si="22"/>
        <v>QUÁ HẠN</v>
      </c>
      <c r="B181" s="36"/>
      <c r="C181" s="36">
        <f t="shared" si="21"/>
        <v>0</v>
      </c>
      <c r="D181" s="34">
        <f t="shared" si="23"/>
        <v>1</v>
      </c>
      <c r="E181" s="20">
        <f t="shared" si="24"/>
        <v>0</v>
      </c>
      <c r="F181" s="29"/>
      <c r="G181" s="30">
        <f t="shared" si="25"/>
        <v>0</v>
      </c>
      <c r="H181" s="20" t="str">
        <f t="shared" si="26"/>
        <v/>
      </c>
      <c r="I181" s="20">
        <f t="shared" si="27"/>
        <v>0</v>
      </c>
      <c r="J181" s="20"/>
      <c r="K181" s="20"/>
      <c r="N181" s="11"/>
    </row>
    <row r="182" spans="1:14" x14ac:dyDescent="0.3">
      <c r="A182" s="35" t="str">
        <f t="shared" si="22"/>
        <v>QUÁ HẠN</v>
      </c>
      <c r="B182" s="36"/>
      <c r="C182" s="36">
        <f t="shared" si="21"/>
        <v>0</v>
      </c>
      <c r="D182" s="34">
        <f t="shared" si="23"/>
        <v>1</v>
      </c>
      <c r="E182" s="20">
        <f t="shared" si="24"/>
        <v>0</v>
      </c>
      <c r="F182" s="29"/>
      <c r="G182" s="30">
        <f t="shared" si="25"/>
        <v>0</v>
      </c>
      <c r="H182" s="20" t="str">
        <f t="shared" si="26"/>
        <v/>
      </c>
      <c r="I182" s="20">
        <f t="shared" si="27"/>
        <v>0</v>
      </c>
      <c r="J182" s="20"/>
      <c r="K182" s="20"/>
      <c r="N182" s="11"/>
    </row>
    <row r="183" spans="1:14" x14ac:dyDescent="0.3">
      <c r="A183" s="35" t="str">
        <f t="shared" si="22"/>
        <v>QUÁ HẠN</v>
      </c>
      <c r="B183" s="36"/>
      <c r="C183" s="36">
        <f t="shared" si="21"/>
        <v>0</v>
      </c>
      <c r="D183" s="34">
        <f t="shared" si="23"/>
        <v>1</v>
      </c>
      <c r="E183" s="20">
        <f t="shared" si="24"/>
        <v>0</v>
      </c>
      <c r="F183" s="29"/>
      <c r="G183" s="30">
        <f t="shared" si="25"/>
        <v>0</v>
      </c>
      <c r="H183" s="20" t="str">
        <f t="shared" si="26"/>
        <v/>
      </c>
      <c r="I183" s="20">
        <f t="shared" si="27"/>
        <v>0</v>
      </c>
      <c r="J183" s="20"/>
      <c r="K183" s="20"/>
      <c r="N183" s="11"/>
    </row>
    <row r="184" spans="1:14" x14ac:dyDescent="0.3">
      <c r="A184" s="35" t="str">
        <f t="shared" si="22"/>
        <v>QUÁ HẠN</v>
      </c>
      <c r="B184" s="36"/>
      <c r="C184" s="36">
        <f t="shared" si="21"/>
        <v>0</v>
      </c>
      <c r="D184" s="34">
        <f t="shared" si="23"/>
        <v>1</v>
      </c>
      <c r="E184" s="20">
        <f t="shared" si="24"/>
        <v>0</v>
      </c>
      <c r="F184" s="29"/>
      <c r="G184" s="30">
        <f t="shared" si="25"/>
        <v>0</v>
      </c>
      <c r="H184" s="20" t="str">
        <f t="shared" si="26"/>
        <v/>
      </c>
      <c r="I184" s="20">
        <f t="shared" si="27"/>
        <v>0</v>
      </c>
      <c r="J184" s="20"/>
      <c r="K184" s="20"/>
      <c r="N184" s="11"/>
    </row>
    <row r="185" spans="1:14" x14ac:dyDescent="0.3">
      <c r="A185" s="35" t="str">
        <f t="shared" si="22"/>
        <v>QUÁ HẠN</v>
      </c>
      <c r="B185" s="36"/>
      <c r="C185" s="36">
        <f t="shared" si="21"/>
        <v>0</v>
      </c>
      <c r="D185" s="34">
        <f t="shared" si="23"/>
        <v>1</v>
      </c>
      <c r="E185" s="20">
        <f t="shared" si="24"/>
        <v>0</v>
      </c>
      <c r="F185" s="29"/>
      <c r="G185" s="30">
        <f t="shared" si="25"/>
        <v>0</v>
      </c>
      <c r="H185" s="20" t="str">
        <f t="shared" si="26"/>
        <v/>
      </c>
      <c r="I185" s="20">
        <f t="shared" si="27"/>
        <v>0</v>
      </c>
      <c r="J185" s="20"/>
      <c r="K185" s="20"/>
      <c r="N185" s="11"/>
    </row>
    <row r="186" spans="1:14" x14ac:dyDescent="0.3">
      <c r="A186" s="35" t="str">
        <f t="shared" si="22"/>
        <v>QUÁ HẠN</v>
      </c>
      <c r="B186" s="36"/>
      <c r="C186" s="36">
        <f t="shared" si="21"/>
        <v>0</v>
      </c>
      <c r="D186" s="34">
        <f t="shared" si="23"/>
        <v>1</v>
      </c>
      <c r="E186" s="20">
        <f t="shared" si="24"/>
        <v>0</v>
      </c>
      <c r="F186" s="29"/>
      <c r="G186" s="30">
        <f t="shared" si="25"/>
        <v>0</v>
      </c>
      <c r="H186" s="20" t="str">
        <f t="shared" si="26"/>
        <v/>
      </c>
      <c r="I186" s="20">
        <f t="shared" si="27"/>
        <v>0</v>
      </c>
      <c r="J186" s="20"/>
      <c r="K186" s="20"/>
      <c r="N186" s="11"/>
    </row>
    <row r="187" spans="1:14" x14ac:dyDescent="0.3">
      <c r="A187" s="35" t="str">
        <f t="shared" si="22"/>
        <v>QUÁ HẠN</v>
      </c>
      <c r="B187" s="36"/>
      <c r="C187" s="36">
        <f t="shared" si="21"/>
        <v>0</v>
      </c>
      <c r="D187" s="34">
        <f t="shared" si="23"/>
        <v>1</v>
      </c>
      <c r="E187" s="20">
        <f t="shared" si="24"/>
        <v>0</v>
      </c>
      <c r="F187" s="29"/>
      <c r="G187" s="30">
        <f t="shared" si="25"/>
        <v>0</v>
      </c>
      <c r="H187" s="20" t="str">
        <f t="shared" si="26"/>
        <v/>
      </c>
      <c r="I187" s="20">
        <f t="shared" si="27"/>
        <v>0</v>
      </c>
      <c r="J187" s="20"/>
      <c r="K187" s="20"/>
      <c r="N187" s="11"/>
    </row>
    <row r="188" spans="1:14" x14ac:dyDescent="0.3">
      <c r="A188" s="35" t="str">
        <f t="shared" si="22"/>
        <v>QUÁ HẠN</v>
      </c>
      <c r="B188" s="36"/>
      <c r="C188" s="36">
        <f t="shared" si="21"/>
        <v>0</v>
      </c>
      <c r="D188" s="34">
        <f t="shared" si="23"/>
        <v>1</v>
      </c>
      <c r="E188" s="20">
        <f t="shared" si="24"/>
        <v>0</v>
      </c>
      <c r="F188" s="29"/>
      <c r="G188" s="30">
        <f t="shared" si="25"/>
        <v>0</v>
      </c>
      <c r="H188" s="20" t="str">
        <f t="shared" si="26"/>
        <v/>
      </c>
      <c r="I188" s="20">
        <f t="shared" si="27"/>
        <v>0</v>
      </c>
      <c r="J188" s="20"/>
      <c r="K188" s="20"/>
      <c r="N188" s="11"/>
    </row>
    <row r="189" spans="1:14" x14ac:dyDescent="0.3">
      <c r="A189" s="35" t="str">
        <f t="shared" si="22"/>
        <v>QUÁ HẠN</v>
      </c>
      <c r="B189" s="36"/>
      <c r="C189" s="36">
        <f t="shared" si="21"/>
        <v>0</v>
      </c>
      <c r="D189" s="34">
        <f t="shared" si="23"/>
        <v>1</v>
      </c>
      <c r="E189" s="20">
        <f t="shared" si="24"/>
        <v>0</v>
      </c>
      <c r="F189" s="29"/>
      <c r="G189" s="30">
        <f t="shared" si="25"/>
        <v>0</v>
      </c>
      <c r="H189" s="20" t="str">
        <f t="shared" si="26"/>
        <v/>
      </c>
      <c r="I189" s="20">
        <f t="shared" si="27"/>
        <v>0</v>
      </c>
      <c r="J189" s="20"/>
      <c r="K189" s="20"/>
      <c r="N189" s="11"/>
    </row>
    <row r="190" spans="1:14" x14ac:dyDescent="0.3">
      <c r="A190" s="35" t="str">
        <f t="shared" si="22"/>
        <v>QUÁ HẠN</v>
      </c>
      <c r="B190" s="36"/>
      <c r="C190" s="36">
        <f t="shared" si="21"/>
        <v>0</v>
      </c>
      <c r="D190" s="34">
        <f t="shared" si="23"/>
        <v>1</v>
      </c>
      <c r="E190" s="20">
        <f t="shared" si="24"/>
        <v>0</v>
      </c>
      <c r="F190" s="29"/>
      <c r="G190" s="30">
        <f t="shared" si="25"/>
        <v>0</v>
      </c>
      <c r="H190" s="20" t="str">
        <f t="shared" si="26"/>
        <v/>
      </c>
      <c r="I190" s="20">
        <f t="shared" si="27"/>
        <v>0</v>
      </c>
      <c r="J190" s="20"/>
      <c r="K190" s="20"/>
      <c r="N190" s="11"/>
    </row>
    <row r="191" spans="1:14" x14ac:dyDescent="0.3">
      <c r="A191" s="35" t="str">
        <f t="shared" si="22"/>
        <v>QUÁ HẠN</v>
      </c>
      <c r="B191" s="36"/>
      <c r="C191" s="36">
        <f t="shared" si="21"/>
        <v>0</v>
      </c>
      <c r="D191" s="34">
        <f t="shared" si="23"/>
        <v>1</v>
      </c>
      <c r="E191" s="20">
        <f t="shared" si="24"/>
        <v>0</v>
      </c>
      <c r="F191" s="29"/>
      <c r="G191" s="30">
        <f t="shared" si="25"/>
        <v>0</v>
      </c>
      <c r="H191" s="20" t="str">
        <f t="shared" si="26"/>
        <v/>
      </c>
      <c r="I191" s="20">
        <f t="shared" si="27"/>
        <v>0</v>
      </c>
      <c r="J191" s="20"/>
      <c r="K191" s="20"/>
      <c r="N191" s="11"/>
    </row>
    <row r="192" spans="1:14" x14ac:dyDescent="0.3">
      <c r="A192" s="35" t="str">
        <f t="shared" si="22"/>
        <v>QUÁ HẠN</v>
      </c>
      <c r="B192" s="36"/>
      <c r="C192" s="36">
        <f t="shared" si="21"/>
        <v>0</v>
      </c>
      <c r="D192" s="34">
        <f t="shared" si="23"/>
        <v>1</v>
      </c>
      <c r="E192" s="20">
        <f t="shared" si="24"/>
        <v>0</v>
      </c>
      <c r="F192" s="29"/>
      <c r="G192" s="30">
        <f t="shared" si="25"/>
        <v>0</v>
      </c>
      <c r="H192" s="20" t="str">
        <f t="shared" si="26"/>
        <v/>
      </c>
      <c r="I192" s="20">
        <f t="shared" si="27"/>
        <v>0</v>
      </c>
      <c r="J192" s="20"/>
      <c r="K192" s="20"/>
      <c r="N192" s="11"/>
    </row>
    <row r="193" spans="1:14" x14ac:dyDescent="0.3">
      <c r="A193" s="35" t="str">
        <f t="shared" si="22"/>
        <v>QUÁ HẠN</v>
      </c>
      <c r="B193" s="36"/>
      <c r="C193" s="36">
        <f t="shared" si="21"/>
        <v>0</v>
      </c>
      <c r="D193" s="34">
        <f t="shared" si="23"/>
        <v>1</v>
      </c>
      <c r="E193" s="20">
        <f t="shared" si="24"/>
        <v>0</v>
      </c>
      <c r="F193" s="29"/>
      <c r="G193" s="30">
        <f t="shared" si="25"/>
        <v>0</v>
      </c>
      <c r="H193" s="20" t="str">
        <f t="shared" si="26"/>
        <v/>
      </c>
      <c r="I193" s="20">
        <f t="shared" si="27"/>
        <v>0</v>
      </c>
      <c r="J193" s="20"/>
      <c r="K193" s="20"/>
      <c r="N193" s="11"/>
    </row>
    <row r="194" spans="1:14" x14ac:dyDescent="0.3">
      <c r="A194" s="35" t="str">
        <f t="shared" si="22"/>
        <v>QUÁ HẠN</v>
      </c>
      <c r="B194" s="36"/>
      <c r="C194" s="36">
        <f t="shared" si="21"/>
        <v>0</v>
      </c>
      <c r="D194" s="34">
        <f t="shared" si="23"/>
        <v>1</v>
      </c>
      <c r="E194" s="20">
        <f t="shared" si="24"/>
        <v>0</v>
      </c>
      <c r="F194" s="29"/>
      <c r="G194" s="30">
        <f t="shared" si="25"/>
        <v>0</v>
      </c>
      <c r="H194" s="20" t="str">
        <f t="shared" si="26"/>
        <v/>
      </c>
      <c r="I194" s="20">
        <f t="shared" si="27"/>
        <v>0</v>
      </c>
      <c r="J194" s="20"/>
      <c r="K194" s="20"/>
      <c r="N194" s="11"/>
    </row>
    <row r="195" spans="1:14" x14ac:dyDescent="0.3">
      <c r="A195" s="35" t="str">
        <f t="shared" si="22"/>
        <v>QUÁ HẠN</v>
      </c>
      <c r="B195" s="36"/>
      <c r="C195" s="36">
        <f t="shared" si="21"/>
        <v>0</v>
      </c>
      <c r="D195" s="34">
        <f t="shared" si="23"/>
        <v>1</v>
      </c>
      <c r="E195" s="20">
        <f t="shared" si="24"/>
        <v>0</v>
      </c>
      <c r="F195" s="29"/>
      <c r="G195" s="30">
        <f t="shared" si="25"/>
        <v>0</v>
      </c>
      <c r="H195" s="20" t="str">
        <f t="shared" si="26"/>
        <v/>
      </c>
      <c r="I195" s="20">
        <f t="shared" si="27"/>
        <v>0</v>
      </c>
      <c r="J195" s="20"/>
      <c r="K195" s="20"/>
      <c r="N195" s="11"/>
    </row>
    <row r="196" spans="1:14" x14ac:dyDescent="0.3">
      <c r="A196" s="35" t="str">
        <f t="shared" si="22"/>
        <v>QUÁ HẠN</v>
      </c>
      <c r="B196" s="36"/>
      <c r="C196" s="36">
        <f t="shared" si="21"/>
        <v>0</v>
      </c>
      <c r="D196" s="34">
        <f t="shared" si="23"/>
        <v>1</v>
      </c>
      <c r="E196" s="20">
        <f t="shared" si="24"/>
        <v>0</v>
      </c>
      <c r="F196" s="29"/>
      <c r="G196" s="30">
        <f t="shared" si="25"/>
        <v>0</v>
      </c>
      <c r="H196" s="20" t="str">
        <f t="shared" si="26"/>
        <v/>
      </c>
      <c r="I196" s="20">
        <f t="shared" si="27"/>
        <v>0</v>
      </c>
      <c r="J196" s="20"/>
      <c r="K196" s="20"/>
      <c r="N196" s="11"/>
    </row>
    <row r="197" spans="1:14" x14ac:dyDescent="0.3">
      <c r="A197" s="35" t="str">
        <f t="shared" si="22"/>
        <v>QUÁ HẠN</v>
      </c>
      <c r="B197" s="36"/>
      <c r="C197" s="36">
        <f t="shared" si="21"/>
        <v>0</v>
      </c>
      <c r="D197" s="34">
        <f t="shared" si="23"/>
        <v>1</v>
      </c>
      <c r="E197" s="20">
        <f t="shared" si="24"/>
        <v>0</v>
      </c>
      <c r="F197" s="29"/>
      <c r="G197" s="30">
        <f t="shared" si="25"/>
        <v>0</v>
      </c>
      <c r="H197" s="20" t="str">
        <f t="shared" si="26"/>
        <v/>
      </c>
      <c r="I197" s="20">
        <f t="shared" si="27"/>
        <v>0</v>
      </c>
      <c r="J197" s="20"/>
      <c r="K197" s="20"/>
      <c r="N197" s="11"/>
    </row>
    <row r="198" spans="1:14" x14ac:dyDescent="0.3">
      <c r="A198" s="35" t="str">
        <f t="shared" si="22"/>
        <v>QUÁ HẠN</v>
      </c>
      <c r="B198" s="36"/>
      <c r="C198" s="36">
        <f t="shared" si="21"/>
        <v>0</v>
      </c>
      <c r="D198" s="34">
        <f t="shared" si="23"/>
        <v>1</v>
      </c>
      <c r="E198" s="20">
        <f t="shared" si="24"/>
        <v>0</v>
      </c>
      <c r="F198" s="29"/>
      <c r="G198" s="30">
        <f t="shared" si="25"/>
        <v>0</v>
      </c>
      <c r="H198" s="20" t="str">
        <f t="shared" si="26"/>
        <v/>
      </c>
      <c r="I198" s="20">
        <f t="shared" si="27"/>
        <v>0</v>
      </c>
      <c r="J198" s="20"/>
      <c r="K198" s="20"/>
      <c r="N198" s="11"/>
    </row>
    <row r="199" spans="1:14" x14ac:dyDescent="0.3">
      <c r="A199" s="35" t="str">
        <f t="shared" si="22"/>
        <v>QUÁ HẠN</v>
      </c>
      <c r="B199" s="36"/>
      <c r="C199" s="36">
        <f t="shared" si="21"/>
        <v>0</v>
      </c>
      <c r="D199" s="34">
        <f t="shared" si="23"/>
        <v>1</v>
      </c>
      <c r="E199" s="20">
        <f t="shared" si="24"/>
        <v>0</v>
      </c>
      <c r="F199" s="29"/>
      <c r="G199" s="30">
        <f t="shared" si="25"/>
        <v>0</v>
      </c>
      <c r="H199" s="20" t="str">
        <f t="shared" si="26"/>
        <v/>
      </c>
      <c r="I199" s="20">
        <f t="shared" si="27"/>
        <v>0</v>
      </c>
      <c r="J199" s="20"/>
      <c r="K199" s="20"/>
      <c r="N199" s="11"/>
    </row>
    <row r="200" spans="1:14" x14ac:dyDescent="0.3">
      <c r="A200" s="35" t="str">
        <f t="shared" si="22"/>
        <v>QUÁ HẠN</v>
      </c>
      <c r="B200" s="36"/>
      <c r="C200" s="36">
        <f t="shared" si="21"/>
        <v>0</v>
      </c>
      <c r="D200" s="34">
        <f t="shared" si="23"/>
        <v>1</v>
      </c>
      <c r="E200" s="20">
        <f t="shared" si="24"/>
        <v>0</v>
      </c>
      <c r="F200" s="29"/>
      <c r="G200" s="30">
        <f t="shared" si="25"/>
        <v>0</v>
      </c>
      <c r="H200" s="20" t="str">
        <f t="shared" si="26"/>
        <v/>
      </c>
      <c r="I200" s="20">
        <f t="shared" si="27"/>
        <v>0</v>
      </c>
      <c r="J200" s="20"/>
      <c r="K200" s="20"/>
      <c r="N200" s="11"/>
    </row>
    <row r="201" spans="1:14" x14ac:dyDescent="0.3">
      <c r="A201" s="35" t="str">
        <f t="shared" si="22"/>
        <v>QUÁ HẠN</v>
      </c>
      <c r="B201" s="36"/>
      <c r="C201" s="36">
        <f t="shared" si="21"/>
        <v>0</v>
      </c>
      <c r="D201" s="34">
        <f t="shared" si="23"/>
        <v>1</v>
      </c>
      <c r="E201" s="20">
        <f t="shared" si="24"/>
        <v>0</v>
      </c>
      <c r="F201" s="29"/>
      <c r="G201" s="30">
        <f t="shared" si="25"/>
        <v>0</v>
      </c>
      <c r="H201" s="20" t="str">
        <f t="shared" si="26"/>
        <v/>
      </c>
      <c r="I201" s="20">
        <f t="shared" si="27"/>
        <v>0</v>
      </c>
      <c r="J201" s="20"/>
      <c r="K201" s="20"/>
      <c r="N201" s="11"/>
    </row>
    <row r="202" spans="1:14" x14ac:dyDescent="0.3">
      <c r="A202" s="35" t="str">
        <f t="shared" si="22"/>
        <v>QUÁ HẠN</v>
      </c>
      <c r="B202" s="36"/>
      <c r="C202" s="36">
        <f t="shared" si="21"/>
        <v>0</v>
      </c>
      <c r="D202" s="34">
        <f t="shared" si="23"/>
        <v>1</v>
      </c>
      <c r="E202" s="20">
        <f t="shared" si="24"/>
        <v>0</v>
      </c>
      <c r="F202" s="29"/>
      <c r="G202" s="30">
        <f t="shared" si="25"/>
        <v>0</v>
      </c>
      <c r="H202" s="20" t="str">
        <f t="shared" si="26"/>
        <v/>
      </c>
      <c r="I202" s="20">
        <f t="shared" si="27"/>
        <v>0</v>
      </c>
      <c r="J202" s="20"/>
      <c r="K202" s="20"/>
      <c r="N202" s="11"/>
    </row>
    <row r="203" spans="1:14" x14ac:dyDescent="0.3">
      <c r="A203" s="35" t="str">
        <f t="shared" si="22"/>
        <v>QUÁ HẠN</v>
      </c>
      <c r="B203" s="36"/>
      <c r="C203" s="36">
        <f t="shared" si="21"/>
        <v>0</v>
      </c>
      <c r="D203" s="34">
        <f t="shared" si="23"/>
        <v>1</v>
      </c>
      <c r="E203" s="20">
        <f t="shared" si="24"/>
        <v>0</v>
      </c>
      <c r="F203" s="29"/>
      <c r="G203" s="30">
        <f t="shared" si="25"/>
        <v>0</v>
      </c>
      <c r="H203" s="20" t="str">
        <f t="shared" si="26"/>
        <v/>
      </c>
      <c r="I203" s="20">
        <f t="shared" si="27"/>
        <v>0</v>
      </c>
      <c r="J203" s="20"/>
      <c r="K203" s="20"/>
      <c r="N203" s="11"/>
    </row>
    <row r="204" spans="1:14" x14ac:dyDescent="0.3">
      <c r="A204" s="35" t="str">
        <f t="shared" si="22"/>
        <v>QUÁ HẠN</v>
      </c>
      <c r="B204" s="36"/>
      <c r="C204" s="36">
        <f t="shared" si="21"/>
        <v>0</v>
      </c>
      <c r="D204" s="34">
        <f t="shared" si="23"/>
        <v>1</v>
      </c>
      <c r="E204" s="20">
        <f t="shared" si="24"/>
        <v>0</v>
      </c>
      <c r="F204" s="29"/>
      <c r="G204" s="30">
        <f t="shared" si="25"/>
        <v>0</v>
      </c>
      <c r="H204" s="20" t="str">
        <f t="shared" si="26"/>
        <v/>
      </c>
      <c r="I204" s="20">
        <f t="shared" si="27"/>
        <v>0</v>
      </c>
      <c r="J204" s="20"/>
      <c r="K204" s="20"/>
      <c r="N204" s="11"/>
    </row>
    <row r="205" spans="1:14" x14ac:dyDescent="0.3">
      <c r="A205" s="35" t="str">
        <f t="shared" si="22"/>
        <v>QUÁ HẠN</v>
      </c>
      <c r="B205" s="36"/>
      <c r="C205" s="36">
        <f t="shared" si="21"/>
        <v>0</v>
      </c>
      <c r="D205" s="34">
        <f t="shared" si="23"/>
        <v>1</v>
      </c>
      <c r="E205" s="20">
        <f t="shared" si="24"/>
        <v>0</v>
      </c>
      <c r="F205" s="29"/>
      <c r="G205" s="30">
        <f t="shared" si="25"/>
        <v>0</v>
      </c>
      <c r="H205" s="20" t="str">
        <f t="shared" si="26"/>
        <v/>
      </c>
      <c r="I205" s="20">
        <f t="shared" si="27"/>
        <v>0</v>
      </c>
      <c r="J205" s="20"/>
      <c r="K205" s="20"/>
      <c r="N205" s="11"/>
    </row>
    <row r="206" spans="1:14" x14ac:dyDescent="0.3">
      <c r="A206" s="35" t="str">
        <f t="shared" si="22"/>
        <v>QUÁ HẠN</v>
      </c>
      <c r="B206" s="36"/>
      <c r="C206" s="36">
        <f t="shared" si="21"/>
        <v>0</v>
      </c>
      <c r="D206" s="34">
        <f t="shared" si="23"/>
        <v>1</v>
      </c>
      <c r="E206" s="20">
        <f t="shared" si="24"/>
        <v>0</v>
      </c>
      <c r="F206" s="29"/>
      <c r="G206" s="30">
        <f t="shared" si="25"/>
        <v>0</v>
      </c>
      <c r="H206" s="20" t="str">
        <f t="shared" si="26"/>
        <v/>
      </c>
      <c r="I206" s="20">
        <f t="shared" si="27"/>
        <v>0</v>
      </c>
      <c r="J206" s="20"/>
      <c r="K206" s="20"/>
      <c r="N206" s="11"/>
    </row>
    <row r="207" spans="1:14" x14ac:dyDescent="0.3">
      <c r="A207" s="35" t="str">
        <f t="shared" si="22"/>
        <v>QUÁ HẠN</v>
      </c>
      <c r="B207" s="36"/>
      <c r="C207" s="36">
        <f t="shared" si="21"/>
        <v>0</v>
      </c>
      <c r="D207" s="34">
        <f t="shared" si="23"/>
        <v>1</v>
      </c>
      <c r="E207" s="20">
        <f t="shared" si="24"/>
        <v>0</v>
      </c>
      <c r="F207" s="29"/>
      <c r="G207" s="30">
        <f t="shared" si="25"/>
        <v>0</v>
      </c>
      <c r="H207" s="20" t="str">
        <f t="shared" si="26"/>
        <v/>
      </c>
      <c r="I207" s="20">
        <f t="shared" si="27"/>
        <v>0</v>
      </c>
      <c r="J207" s="20"/>
      <c r="K207" s="20"/>
      <c r="N207" s="11"/>
    </row>
    <row r="208" spans="1:14" x14ac:dyDescent="0.3">
      <c r="A208" s="35" t="str">
        <f t="shared" si="22"/>
        <v>QUÁ HẠN</v>
      </c>
      <c r="B208" s="36"/>
      <c r="C208" s="36">
        <f t="shared" si="21"/>
        <v>0</v>
      </c>
      <c r="D208" s="34">
        <f t="shared" si="23"/>
        <v>1</v>
      </c>
      <c r="E208" s="20">
        <f t="shared" si="24"/>
        <v>0</v>
      </c>
      <c r="F208" s="29"/>
      <c r="G208" s="30">
        <f t="shared" si="25"/>
        <v>0</v>
      </c>
      <c r="H208" s="20" t="str">
        <f t="shared" si="26"/>
        <v/>
      </c>
      <c r="I208" s="20">
        <f t="shared" si="27"/>
        <v>0</v>
      </c>
      <c r="J208" s="20"/>
      <c r="K208" s="20"/>
      <c r="N208" s="11"/>
    </row>
    <row r="209" spans="1:14" x14ac:dyDescent="0.3">
      <c r="A209" s="35" t="str">
        <f t="shared" si="22"/>
        <v>QUÁ HẠN</v>
      </c>
      <c r="B209" s="36"/>
      <c r="C209" s="36">
        <f t="shared" si="21"/>
        <v>0</v>
      </c>
      <c r="D209" s="34">
        <f t="shared" si="23"/>
        <v>1</v>
      </c>
      <c r="E209" s="20">
        <f t="shared" si="24"/>
        <v>0</v>
      </c>
      <c r="F209" s="29"/>
      <c r="G209" s="30">
        <f t="shared" si="25"/>
        <v>0</v>
      </c>
      <c r="H209" s="20" t="str">
        <f t="shared" si="26"/>
        <v/>
      </c>
      <c r="I209" s="20">
        <f t="shared" si="27"/>
        <v>0</v>
      </c>
      <c r="J209" s="20"/>
      <c r="K209" s="20"/>
      <c r="N209" s="11"/>
    </row>
    <row r="210" spans="1:14" x14ac:dyDescent="0.3">
      <c r="A210" s="35" t="str">
        <f t="shared" si="22"/>
        <v>QUÁ HẠN</v>
      </c>
      <c r="B210" s="36"/>
      <c r="C210" s="36">
        <f t="shared" si="21"/>
        <v>0</v>
      </c>
      <c r="D210" s="34">
        <f t="shared" si="23"/>
        <v>1</v>
      </c>
      <c r="E210" s="20">
        <f t="shared" si="24"/>
        <v>0</v>
      </c>
      <c r="F210" s="29"/>
      <c r="G210" s="30">
        <f t="shared" si="25"/>
        <v>0</v>
      </c>
      <c r="H210" s="20" t="str">
        <f t="shared" si="26"/>
        <v/>
      </c>
      <c r="I210" s="20">
        <f t="shared" si="27"/>
        <v>0</v>
      </c>
      <c r="J210" s="20"/>
      <c r="K210" s="20"/>
      <c r="N210" s="11"/>
    </row>
    <row r="211" spans="1:14" x14ac:dyDescent="0.3">
      <c r="A211" s="35" t="str">
        <f t="shared" si="22"/>
        <v>QUÁ HẠN</v>
      </c>
      <c r="B211" s="36"/>
      <c r="C211" s="36">
        <f t="shared" si="21"/>
        <v>0</v>
      </c>
      <c r="D211" s="34">
        <f t="shared" si="23"/>
        <v>1</v>
      </c>
      <c r="E211" s="20">
        <f t="shared" si="24"/>
        <v>0</v>
      </c>
      <c r="F211" s="29"/>
      <c r="G211" s="30">
        <f t="shared" si="25"/>
        <v>0</v>
      </c>
      <c r="H211" s="20" t="str">
        <f t="shared" si="26"/>
        <v/>
      </c>
      <c r="I211" s="20">
        <f t="shared" si="27"/>
        <v>0</v>
      </c>
      <c r="J211" s="20"/>
      <c r="K211" s="20"/>
      <c r="N211" s="11"/>
    </row>
    <row r="212" spans="1:14" x14ac:dyDescent="0.3">
      <c r="A212" s="35" t="str">
        <f t="shared" si="22"/>
        <v>QUÁ HẠN</v>
      </c>
      <c r="B212" s="36"/>
      <c r="C212" s="36">
        <f t="shared" si="21"/>
        <v>0</v>
      </c>
      <c r="D212" s="34">
        <f t="shared" si="23"/>
        <v>1</v>
      </c>
      <c r="E212" s="20">
        <f t="shared" si="24"/>
        <v>0</v>
      </c>
      <c r="F212" s="29"/>
      <c r="G212" s="30">
        <f t="shared" si="25"/>
        <v>0</v>
      </c>
      <c r="H212" s="20" t="str">
        <f t="shared" si="26"/>
        <v/>
      </c>
      <c r="I212" s="20">
        <f t="shared" si="27"/>
        <v>0</v>
      </c>
      <c r="J212" s="20"/>
      <c r="K212" s="20"/>
      <c r="N212" s="11"/>
    </row>
    <row r="213" spans="1:14" x14ac:dyDescent="0.3">
      <c r="A213" s="35" t="str">
        <f t="shared" si="22"/>
        <v>QUÁ HẠN</v>
      </c>
      <c r="B213" s="36"/>
      <c r="C213" s="36">
        <f t="shared" si="21"/>
        <v>0</v>
      </c>
      <c r="D213" s="34">
        <f t="shared" si="23"/>
        <v>1</v>
      </c>
      <c r="E213" s="20">
        <f t="shared" si="24"/>
        <v>0</v>
      </c>
      <c r="F213" s="29"/>
      <c r="G213" s="30">
        <f t="shared" si="25"/>
        <v>0</v>
      </c>
      <c r="H213" s="20" t="str">
        <f t="shared" si="26"/>
        <v/>
      </c>
      <c r="I213" s="20">
        <f t="shared" si="27"/>
        <v>0</v>
      </c>
      <c r="J213" s="20"/>
      <c r="K213" s="20"/>
      <c r="N213" s="11"/>
    </row>
    <row r="214" spans="1:14" x14ac:dyDescent="0.3">
      <c r="A214" s="35" t="str">
        <f t="shared" si="22"/>
        <v>QUÁ HẠN</v>
      </c>
      <c r="B214" s="36"/>
      <c r="C214" s="36">
        <f t="shared" si="21"/>
        <v>0</v>
      </c>
      <c r="D214" s="34">
        <f t="shared" si="23"/>
        <v>1</v>
      </c>
      <c r="E214" s="20">
        <f t="shared" si="24"/>
        <v>0</v>
      </c>
      <c r="F214" s="29"/>
      <c r="G214" s="30">
        <f t="shared" si="25"/>
        <v>0</v>
      </c>
      <c r="H214" s="20" t="str">
        <f t="shared" si="26"/>
        <v/>
      </c>
      <c r="I214" s="20">
        <f t="shared" si="27"/>
        <v>0</v>
      </c>
      <c r="J214" s="20"/>
      <c r="K214" s="20"/>
      <c r="N214" s="11"/>
    </row>
    <row r="215" spans="1:14" x14ac:dyDescent="0.3">
      <c r="A215" s="35" t="str">
        <f t="shared" si="22"/>
        <v>QUÁ HẠN</v>
      </c>
      <c r="B215" s="36"/>
      <c r="C215" s="36">
        <f t="shared" si="21"/>
        <v>0</v>
      </c>
      <c r="D215" s="34">
        <f t="shared" si="23"/>
        <v>1</v>
      </c>
      <c r="E215" s="20">
        <f t="shared" si="24"/>
        <v>0</v>
      </c>
      <c r="F215" s="29"/>
      <c r="G215" s="30">
        <f t="shared" si="25"/>
        <v>0</v>
      </c>
      <c r="H215" s="20" t="str">
        <f t="shared" si="26"/>
        <v/>
      </c>
      <c r="I215" s="20">
        <f t="shared" si="27"/>
        <v>0</v>
      </c>
      <c r="J215" s="20"/>
      <c r="K215" s="20"/>
      <c r="L215"/>
      <c r="N215" s="11"/>
    </row>
    <row r="216" spans="1:14" x14ac:dyDescent="0.3">
      <c r="A216" s="35" t="str">
        <f t="shared" si="22"/>
        <v>QUÁ HẠN</v>
      </c>
      <c r="B216" s="36"/>
      <c r="C216" s="36">
        <f t="shared" si="21"/>
        <v>0</v>
      </c>
      <c r="D216" s="34">
        <f t="shared" si="23"/>
        <v>1</v>
      </c>
      <c r="E216" s="20">
        <f t="shared" si="24"/>
        <v>0</v>
      </c>
      <c r="F216" s="29"/>
      <c r="G216" s="30">
        <f t="shared" si="25"/>
        <v>0</v>
      </c>
      <c r="H216" s="20" t="str">
        <f t="shared" si="26"/>
        <v/>
      </c>
      <c r="I216" s="20">
        <f t="shared" si="27"/>
        <v>0</v>
      </c>
      <c r="J216" s="20"/>
      <c r="K216" s="20"/>
      <c r="N216" s="11"/>
    </row>
    <row r="217" spans="1:14" x14ac:dyDescent="0.3">
      <c r="A217" s="35" t="str">
        <f t="shared" si="22"/>
        <v>QUÁ HẠN</v>
      </c>
      <c r="B217" s="36"/>
      <c r="C217" s="36">
        <f t="shared" si="21"/>
        <v>0</v>
      </c>
      <c r="D217" s="34">
        <f t="shared" si="23"/>
        <v>1</v>
      </c>
      <c r="E217" s="20">
        <f t="shared" si="24"/>
        <v>0</v>
      </c>
      <c r="F217" s="29"/>
      <c r="G217" s="30">
        <f t="shared" si="25"/>
        <v>0</v>
      </c>
      <c r="H217" s="20" t="str">
        <f t="shared" si="26"/>
        <v/>
      </c>
      <c r="I217" s="20">
        <f t="shared" si="27"/>
        <v>0</v>
      </c>
      <c r="J217" s="20"/>
      <c r="K217" s="20"/>
      <c r="N217" s="11"/>
    </row>
    <row r="218" spans="1:14" x14ac:dyDescent="0.3">
      <c r="A218" s="35" t="str">
        <f t="shared" si="22"/>
        <v>QUÁ HẠN</v>
      </c>
      <c r="B218" s="36"/>
      <c r="C218" s="36">
        <f t="shared" si="21"/>
        <v>0</v>
      </c>
      <c r="D218" s="34">
        <f t="shared" si="23"/>
        <v>1</v>
      </c>
      <c r="E218" s="20">
        <f t="shared" si="24"/>
        <v>0</v>
      </c>
      <c r="F218" s="29"/>
      <c r="G218" s="30">
        <f t="shared" si="25"/>
        <v>0</v>
      </c>
      <c r="H218" s="20" t="str">
        <f t="shared" si="26"/>
        <v/>
      </c>
      <c r="I218" s="20">
        <f t="shared" si="27"/>
        <v>0</v>
      </c>
      <c r="J218" s="20"/>
      <c r="K218" s="20"/>
      <c r="N218" s="12"/>
    </row>
    <row r="219" spans="1:14" x14ac:dyDescent="0.3">
      <c r="A219" s="35" t="str">
        <f t="shared" si="22"/>
        <v>QUÁ HẠN</v>
      </c>
      <c r="B219" s="36"/>
      <c r="C219" s="36">
        <f t="shared" si="21"/>
        <v>0</v>
      </c>
      <c r="D219" s="34">
        <f t="shared" si="23"/>
        <v>1</v>
      </c>
      <c r="E219" s="20">
        <f t="shared" si="24"/>
        <v>0</v>
      </c>
      <c r="F219" s="29"/>
      <c r="G219" s="30">
        <f t="shared" si="25"/>
        <v>0</v>
      </c>
      <c r="H219" s="20" t="str">
        <f t="shared" si="26"/>
        <v/>
      </c>
      <c r="I219" s="20">
        <f t="shared" si="27"/>
        <v>0</v>
      </c>
      <c r="J219" s="20"/>
      <c r="K219" s="20"/>
      <c r="N219" s="12"/>
    </row>
    <row r="220" spans="1:14" x14ac:dyDescent="0.3">
      <c r="A220" s="35" t="str">
        <f t="shared" si="22"/>
        <v>QUÁ HẠN</v>
      </c>
      <c r="B220" s="36"/>
      <c r="C220" s="36">
        <f t="shared" si="21"/>
        <v>0</v>
      </c>
      <c r="D220" s="34">
        <f t="shared" si="23"/>
        <v>1</v>
      </c>
      <c r="E220" s="20">
        <f t="shared" si="24"/>
        <v>0</v>
      </c>
      <c r="F220" s="29"/>
      <c r="G220" s="30">
        <f t="shared" si="25"/>
        <v>0</v>
      </c>
      <c r="H220" s="20" t="str">
        <f t="shared" si="26"/>
        <v/>
      </c>
      <c r="I220" s="20">
        <f t="shared" si="27"/>
        <v>0</v>
      </c>
      <c r="J220" s="20"/>
      <c r="K220" s="20"/>
      <c r="N220" s="12"/>
    </row>
    <row r="221" spans="1:14" x14ac:dyDescent="0.3">
      <c r="A221" s="35" t="str">
        <f t="shared" si="22"/>
        <v>QUÁ HẠN</v>
      </c>
      <c r="B221" s="36"/>
      <c r="C221" s="36">
        <f t="shared" si="21"/>
        <v>0</v>
      </c>
      <c r="D221" s="34">
        <f t="shared" si="23"/>
        <v>1</v>
      </c>
      <c r="E221" s="20">
        <f t="shared" si="24"/>
        <v>0</v>
      </c>
      <c r="F221" s="29"/>
      <c r="G221" s="30">
        <f t="shared" si="25"/>
        <v>0</v>
      </c>
      <c r="H221" s="20" t="str">
        <f t="shared" si="26"/>
        <v/>
      </c>
      <c r="I221" s="20">
        <f t="shared" si="27"/>
        <v>0</v>
      </c>
      <c r="J221" s="20"/>
      <c r="K221" s="20"/>
      <c r="N221" s="12"/>
    </row>
    <row r="222" spans="1:14" x14ac:dyDescent="0.3">
      <c r="A222" s="35" t="str">
        <f t="shared" si="22"/>
        <v>QUÁ HẠN</v>
      </c>
      <c r="B222" s="36"/>
      <c r="C222" s="36">
        <f t="shared" si="21"/>
        <v>0</v>
      </c>
      <c r="D222" s="34">
        <f t="shared" si="23"/>
        <v>1</v>
      </c>
      <c r="E222" s="20">
        <f t="shared" si="24"/>
        <v>0</v>
      </c>
      <c r="F222" s="29"/>
      <c r="G222" s="30">
        <f t="shared" si="25"/>
        <v>0</v>
      </c>
      <c r="H222" s="20" t="str">
        <f t="shared" si="26"/>
        <v/>
      </c>
      <c r="I222" s="20">
        <f t="shared" si="27"/>
        <v>0</v>
      </c>
      <c r="J222" s="20"/>
      <c r="K222" s="20"/>
      <c r="N222" s="12"/>
    </row>
    <row r="223" spans="1:14" x14ac:dyDescent="0.3">
      <c r="A223" s="35" t="str">
        <f t="shared" si="22"/>
        <v>QUÁ HẠN</v>
      </c>
      <c r="B223" s="36"/>
      <c r="C223" s="36">
        <f t="shared" si="21"/>
        <v>0</v>
      </c>
      <c r="D223" s="34">
        <f t="shared" si="23"/>
        <v>1</v>
      </c>
      <c r="E223" s="20">
        <f t="shared" si="24"/>
        <v>0</v>
      </c>
      <c r="F223" s="29"/>
      <c r="G223" s="30">
        <f t="shared" si="25"/>
        <v>0</v>
      </c>
      <c r="H223" s="20" t="str">
        <f t="shared" si="26"/>
        <v/>
      </c>
      <c r="I223" s="20">
        <f t="shared" si="27"/>
        <v>0</v>
      </c>
      <c r="J223" s="20"/>
      <c r="K223" s="20"/>
      <c r="N223" s="12"/>
    </row>
    <row r="224" spans="1:14" x14ac:dyDescent="0.3">
      <c r="A224" s="35" t="str">
        <f t="shared" si="22"/>
        <v>QUÁ HẠN</v>
      </c>
      <c r="B224" s="36"/>
      <c r="C224" s="36">
        <f t="shared" si="21"/>
        <v>0</v>
      </c>
      <c r="D224" s="34">
        <f t="shared" si="23"/>
        <v>1</v>
      </c>
      <c r="E224" s="20">
        <f t="shared" si="24"/>
        <v>0</v>
      </c>
      <c r="F224" s="29"/>
      <c r="G224" s="30">
        <f t="shared" si="25"/>
        <v>0</v>
      </c>
      <c r="H224" s="20" t="str">
        <f t="shared" si="26"/>
        <v/>
      </c>
      <c r="I224" s="20">
        <f t="shared" si="27"/>
        <v>0</v>
      </c>
      <c r="J224" s="20"/>
      <c r="K224" s="20"/>
      <c r="N224" s="12"/>
    </row>
    <row r="225" spans="1:14" x14ac:dyDescent="0.3">
      <c r="A225" s="35" t="str">
        <f t="shared" si="22"/>
        <v>QUÁ HẠN</v>
      </c>
      <c r="B225" s="36"/>
      <c r="C225" s="36">
        <f t="shared" si="21"/>
        <v>0</v>
      </c>
      <c r="D225" s="34">
        <f t="shared" si="23"/>
        <v>1</v>
      </c>
      <c r="E225" s="20">
        <f t="shared" si="24"/>
        <v>0</v>
      </c>
      <c r="F225" s="29"/>
      <c r="G225" s="30">
        <f t="shared" si="25"/>
        <v>0</v>
      </c>
      <c r="H225" s="20" t="str">
        <f t="shared" si="26"/>
        <v/>
      </c>
      <c r="I225" s="20">
        <f t="shared" si="27"/>
        <v>0</v>
      </c>
      <c r="J225" s="20"/>
      <c r="K225" s="20"/>
      <c r="N225" s="12"/>
    </row>
    <row r="226" spans="1:14" x14ac:dyDescent="0.3">
      <c r="A226" s="35" t="str">
        <f t="shared" si="22"/>
        <v>QUÁ HẠN</v>
      </c>
      <c r="B226" s="36"/>
      <c r="C226" s="36">
        <f t="shared" si="21"/>
        <v>0</v>
      </c>
      <c r="D226" s="34">
        <f t="shared" si="23"/>
        <v>1</v>
      </c>
      <c r="E226" s="20">
        <f t="shared" si="24"/>
        <v>0</v>
      </c>
      <c r="F226" s="29"/>
      <c r="G226" s="30">
        <f t="shared" si="25"/>
        <v>0</v>
      </c>
      <c r="H226" s="20" t="str">
        <f t="shared" si="26"/>
        <v/>
      </c>
      <c r="I226" s="20">
        <f t="shared" si="27"/>
        <v>0</v>
      </c>
      <c r="J226" s="20"/>
      <c r="K226" s="20"/>
      <c r="N226" s="12"/>
    </row>
    <row r="227" spans="1:14" x14ac:dyDescent="0.3">
      <c r="A227" s="35" t="str">
        <f t="shared" si="22"/>
        <v>QUÁ HẠN</v>
      </c>
      <c r="B227" s="36"/>
      <c r="C227" s="36">
        <f t="shared" ref="C227:C290" si="28">IFERROR(IF(B228="", $B$10, B228-1), $B$10)</f>
        <v>0</v>
      </c>
      <c r="D227" s="34">
        <f t="shared" si="23"/>
        <v>1</v>
      </c>
      <c r="E227" s="20">
        <f t="shared" si="24"/>
        <v>0</v>
      </c>
      <c r="F227" s="29"/>
      <c r="G227" s="30">
        <f t="shared" si="25"/>
        <v>0</v>
      </c>
      <c r="H227" s="20" t="str">
        <f t="shared" si="26"/>
        <v/>
      </c>
      <c r="I227" s="20">
        <f t="shared" si="27"/>
        <v>0</v>
      </c>
      <c r="J227" s="20"/>
      <c r="K227" s="20"/>
      <c r="N227" s="12"/>
    </row>
    <row r="228" spans="1:14" x14ac:dyDescent="0.3">
      <c r="A228" s="35" t="str">
        <f t="shared" si="22"/>
        <v>QUÁ HẠN</v>
      </c>
      <c r="B228" s="36"/>
      <c r="C228" s="36">
        <f t="shared" si="28"/>
        <v>0</v>
      </c>
      <c r="D228" s="34">
        <f t="shared" si="23"/>
        <v>1</v>
      </c>
      <c r="E228" s="20">
        <f t="shared" si="24"/>
        <v>0</v>
      </c>
      <c r="F228" s="29"/>
      <c r="G228" s="30">
        <f t="shared" si="25"/>
        <v>0</v>
      </c>
      <c r="H228" s="20" t="str">
        <f t="shared" si="26"/>
        <v/>
      </c>
      <c r="I228" s="20">
        <f t="shared" si="27"/>
        <v>0</v>
      </c>
      <c r="J228" s="20"/>
      <c r="K228" s="20"/>
      <c r="N228" s="12"/>
    </row>
    <row r="229" spans="1:14" x14ac:dyDescent="0.3">
      <c r="A229" s="35" t="str">
        <f t="shared" si="22"/>
        <v>QUÁ HẠN</v>
      </c>
      <c r="B229" s="36"/>
      <c r="C229" s="36">
        <f t="shared" si="28"/>
        <v>0</v>
      </c>
      <c r="D229" s="34">
        <f t="shared" si="23"/>
        <v>1</v>
      </c>
      <c r="E229" s="20">
        <f t="shared" si="24"/>
        <v>0</v>
      </c>
      <c r="F229" s="29"/>
      <c r="G229" s="30">
        <f t="shared" si="25"/>
        <v>0</v>
      </c>
      <c r="H229" s="20" t="str">
        <f t="shared" si="26"/>
        <v/>
      </c>
      <c r="I229" s="20">
        <f t="shared" si="27"/>
        <v>0</v>
      </c>
      <c r="J229" s="20"/>
      <c r="K229" s="20"/>
      <c r="N229" s="12"/>
    </row>
    <row r="230" spans="1:14" x14ac:dyDescent="0.3">
      <c r="A230" s="35" t="str">
        <f t="shared" si="22"/>
        <v>QUÁ HẠN</v>
      </c>
      <c r="B230" s="36"/>
      <c r="C230" s="36">
        <f t="shared" si="28"/>
        <v>0</v>
      </c>
      <c r="D230" s="34">
        <f t="shared" si="23"/>
        <v>1</v>
      </c>
      <c r="E230" s="20">
        <f t="shared" si="24"/>
        <v>0</v>
      </c>
      <c r="F230" s="29"/>
      <c r="G230" s="30">
        <f t="shared" si="25"/>
        <v>0</v>
      </c>
      <c r="H230" s="20" t="str">
        <f t="shared" si="26"/>
        <v/>
      </c>
      <c r="I230" s="20">
        <f t="shared" si="27"/>
        <v>0</v>
      </c>
      <c r="J230" s="20"/>
      <c r="K230" s="20"/>
      <c r="N230" s="12"/>
    </row>
    <row r="231" spans="1:14" x14ac:dyDescent="0.3">
      <c r="A231" s="35" t="str">
        <f t="shared" ref="A231:A294" si="29">IF(B231&gt;=$B$9,"QUÁ HẠN", "TRONG HẠN")</f>
        <v>QUÁ HẠN</v>
      </c>
      <c r="B231" s="36"/>
      <c r="C231" s="36">
        <f t="shared" si="28"/>
        <v>0</v>
      </c>
      <c r="D231" s="34">
        <f t="shared" ref="D231:D294" si="30">C231-B231+1</f>
        <v>1</v>
      </c>
      <c r="E231" s="20">
        <f t="shared" ref="E231:E294" si="31">E230-J231</f>
        <v>0</v>
      </c>
      <c r="F231" s="29"/>
      <c r="G231" s="30">
        <f t="shared" ref="G231:G294" si="32">IF(A231="QUÁ HẠN", F231*1.5,"")</f>
        <v>0</v>
      </c>
      <c r="H231" s="20" t="str">
        <f t="shared" ref="H231:H294" si="33">IF(A231="TRONG HẠN",D231*E231*F231/365,"")</f>
        <v/>
      </c>
      <c r="I231" s="20">
        <f t="shared" ref="I231:I294" si="34">IF(A231="QUÁ HẠN",D231*E231*G231/365,"")</f>
        <v>0</v>
      </c>
      <c r="J231" s="20"/>
      <c r="K231" s="20"/>
      <c r="N231" s="12"/>
    </row>
    <row r="232" spans="1:14" x14ac:dyDescent="0.3">
      <c r="A232" s="35" t="str">
        <f t="shared" si="29"/>
        <v>QUÁ HẠN</v>
      </c>
      <c r="B232" s="36"/>
      <c r="C232" s="36">
        <f t="shared" si="28"/>
        <v>0</v>
      </c>
      <c r="D232" s="34">
        <f t="shared" si="30"/>
        <v>1</v>
      </c>
      <c r="E232" s="20">
        <f t="shared" si="31"/>
        <v>0</v>
      </c>
      <c r="F232" s="29"/>
      <c r="G232" s="30">
        <f t="shared" si="32"/>
        <v>0</v>
      </c>
      <c r="H232" s="20" t="str">
        <f t="shared" si="33"/>
        <v/>
      </c>
      <c r="I232" s="20">
        <f t="shared" si="34"/>
        <v>0</v>
      </c>
      <c r="J232" s="20"/>
      <c r="K232" s="20"/>
      <c r="N232" s="12"/>
    </row>
    <row r="233" spans="1:14" x14ac:dyDescent="0.3">
      <c r="A233" s="35" t="str">
        <f t="shared" si="29"/>
        <v>QUÁ HẠN</v>
      </c>
      <c r="B233" s="36"/>
      <c r="C233" s="36">
        <f t="shared" si="28"/>
        <v>0</v>
      </c>
      <c r="D233" s="34">
        <f t="shared" si="30"/>
        <v>1</v>
      </c>
      <c r="E233" s="20">
        <f t="shared" si="31"/>
        <v>0</v>
      </c>
      <c r="F233" s="29"/>
      <c r="G233" s="30">
        <f t="shared" si="32"/>
        <v>0</v>
      </c>
      <c r="H233" s="20" t="str">
        <f t="shared" si="33"/>
        <v/>
      </c>
      <c r="I233" s="20">
        <f t="shared" si="34"/>
        <v>0</v>
      </c>
      <c r="J233" s="20"/>
      <c r="K233" s="20"/>
      <c r="N233" s="12"/>
    </row>
    <row r="234" spans="1:14" x14ac:dyDescent="0.3">
      <c r="A234" s="35" t="str">
        <f t="shared" si="29"/>
        <v>QUÁ HẠN</v>
      </c>
      <c r="B234" s="36"/>
      <c r="C234" s="36">
        <f t="shared" si="28"/>
        <v>0</v>
      </c>
      <c r="D234" s="34">
        <f t="shared" si="30"/>
        <v>1</v>
      </c>
      <c r="E234" s="20">
        <f t="shared" si="31"/>
        <v>0</v>
      </c>
      <c r="F234" s="29"/>
      <c r="G234" s="30">
        <f t="shared" si="32"/>
        <v>0</v>
      </c>
      <c r="H234" s="20" t="str">
        <f t="shared" si="33"/>
        <v/>
      </c>
      <c r="I234" s="20">
        <f t="shared" si="34"/>
        <v>0</v>
      </c>
      <c r="J234" s="20"/>
      <c r="K234" s="20"/>
      <c r="N234" s="12"/>
    </row>
    <row r="235" spans="1:14" x14ac:dyDescent="0.3">
      <c r="A235" s="35" t="str">
        <f t="shared" si="29"/>
        <v>QUÁ HẠN</v>
      </c>
      <c r="B235" s="36"/>
      <c r="C235" s="36">
        <f t="shared" si="28"/>
        <v>0</v>
      </c>
      <c r="D235" s="34">
        <f t="shared" si="30"/>
        <v>1</v>
      </c>
      <c r="E235" s="20">
        <f t="shared" si="31"/>
        <v>0</v>
      </c>
      <c r="F235" s="29"/>
      <c r="G235" s="30">
        <f t="shared" si="32"/>
        <v>0</v>
      </c>
      <c r="H235" s="20" t="str">
        <f t="shared" si="33"/>
        <v/>
      </c>
      <c r="I235" s="20">
        <f t="shared" si="34"/>
        <v>0</v>
      </c>
      <c r="J235" s="20"/>
      <c r="K235" s="20"/>
      <c r="N235" s="12"/>
    </row>
    <row r="236" spans="1:14" x14ac:dyDescent="0.3">
      <c r="A236" s="35" t="str">
        <f t="shared" si="29"/>
        <v>QUÁ HẠN</v>
      </c>
      <c r="B236" s="36"/>
      <c r="C236" s="36">
        <f t="shared" si="28"/>
        <v>0</v>
      </c>
      <c r="D236" s="34">
        <f t="shared" si="30"/>
        <v>1</v>
      </c>
      <c r="E236" s="20">
        <f t="shared" si="31"/>
        <v>0</v>
      </c>
      <c r="F236" s="29"/>
      <c r="G236" s="30">
        <f t="shared" si="32"/>
        <v>0</v>
      </c>
      <c r="H236" s="20" t="str">
        <f t="shared" si="33"/>
        <v/>
      </c>
      <c r="I236" s="20">
        <f t="shared" si="34"/>
        <v>0</v>
      </c>
      <c r="J236" s="20"/>
      <c r="K236" s="20"/>
      <c r="N236" s="12"/>
    </row>
    <row r="237" spans="1:14" x14ac:dyDescent="0.3">
      <c r="A237" s="35" t="str">
        <f t="shared" si="29"/>
        <v>QUÁ HẠN</v>
      </c>
      <c r="B237" s="36"/>
      <c r="C237" s="36">
        <f t="shared" si="28"/>
        <v>0</v>
      </c>
      <c r="D237" s="34">
        <f t="shared" si="30"/>
        <v>1</v>
      </c>
      <c r="E237" s="20">
        <f t="shared" si="31"/>
        <v>0</v>
      </c>
      <c r="F237" s="29"/>
      <c r="G237" s="30">
        <f t="shared" si="32"/>
        <v>0</v>
      </c>
      <c r="H237" s="20" t="str">
        <f t="shared" si="33"/>
        <v/>
      </c>
      <c r="I237" s="20">
        <f t="shared" si="34"/>
        <v>0</v>
      </c>
      <c r="J237" s="20"/>
      <c r="K237" s="20"/>
      <c r="N237" s="12"/>
    </row>
    <row r="238" spans="1:14" x14ac:dyDescent="0.3">
      <c r="A238" s="35" t="str">
        <f t="shared" si="29"/>
        <v>QUÁ HẠN</v>
      </c>
      <c r="B238" s="36"/>
      <c r="C238" s="36">
        <f t="shared" si="28"/>
        <v>0</v>
      </c>
      <c r="D238" s="34">
        <f t="shared" si="30"/>
        <v>1</v>
      </c>
      <c r="E238" s="20">
        <f t="shared" si="31"/>
        <v>0</v>
      </c>
      <c r="F238" s="29"/>
      <c r="G238" s="30">
        <f t="shared" si="32"/>
        <v>0</v>
      </c>
      <c r="H238" s="20" t="str">
        <f t="shared" si="33"/>
        <v/>
      </c>
      <c r="I238" s="20">
        <f t="shared" si="34"/>
        <v>0</v>
      </c>
      <c r="J238" s="20"/>
      <c r="K238" s="20"/>
      <c r="N238" s="12"/>
    </row>
    <row r="239" spans="1:14" x14ac:dyDescent="0.3">
      <c r="A239" s="35" t="str">
        <f t="shared" si="29"/>
        <v>QUÁ HẠN</v>
      </c>
      <c r="B239" s="36"/>
      <c r="C239" s="36">
        <f t="shared" si="28"/>
        <v>0</v>
      </c>
      <c r="D239" s="34">
        <f t="shared" si="30"/>
        <v>1</v>
      </c>
      <c r="E239" s="20">
        <f t="shared" si="31"/>
        <v>0</v>
      </c>
      <c r="F239" s="29"/>
      <c r="G239" s="30">
        <f t="shared" si="32"/>
        <v>0</v>
      </c>
      <c r="H239" s="20" t="str">
        <f t="shared" si="33"/>
        <v/>
      </c>
      <c r="I239" s="20">
        <f t="shared" si="34"/>
        <v>0</v>
      </c>
      <c r="J239" s="20"/>
      <c r="K239" s="20"/>
      <c r="N239" s="12"/>
    </row>
    <row r="240" spans="1:14" x14ac:dyDescent="0.3">
      <c r="A240" s="35" t="str">
        <f t="shared" si="29"/>
        <v>QUÁ HẠN</v>
      </c>
      <c r="B240" s="36"/>
      <c r="C240" s="36">
        <f t="shared" si="28"/>
        <v>0</v>
      </c>
      <c r="D240" s="34">
        <f t="shared" si="30"/>
        <v>1</v>
      </c>
      <c r="E240" s="20">
        <f t="shared" si="31"/>
        <v>0</v>
      </c>
      <c r="F240" s="29"/>
      <c r="G240" s="30">
        <f t="shared" si="32"/>
        <v>0</v>
      </c>
      <c r="H240" s="20" t="str">
        <f t="shared" si="33"/>
        <v/>
      </c>
      <c r="I240" s="20">
        <f t="shared" si="34"/>
        <v>0</v>
      </c>
      <c r="J240" s="20"/>
      <c r="K240" s="20"/>
      <c r="N240" s="12"/>
    </row>
    <row r="241" spans="1:14" x14ac:dyDescent="0.3">
      <c r="A241" s="35" t="str">
        <f t="shared" si="29"/>
        <v>QUÁ HẠN</v>
      </c>
      <c r="B241" s="36"/>
      <c r="C241" s="36">
        <f t="shared" si="28"/>
        <v>0</v>
      </c>
      <c r="D241" s="34">
        <f t="shared" si="30"/>
        <v>1</v>
      </c>
      <c r="E241" s="20">
        <f t="shared" si="31"/>
        <v>0</v>
      </c>
      <c r="F241" s="29"/>
      <c r="G241" s="30">
        <f t="shared" si="32"/>
        <v>0</v>
      </c>
      <c r="H241" s="20" t="str">
        <f t="shared" si="33"/>
        <v/>
      </c>
      <c r="I241" s="20">
        <f t="shared" si="34"/>
        <v>0</v>
      </c>
      <c r="J241" s="20"/>
      <c r="K241" s="20"/>
      <c r="N241" s="12"/>
    </row>
    <row r="242" spans="1:14" x14ac:dyDescent="0.3">
      <c r="A242" s="35" t="str">
        <f t="shared" si="29"/>
        <v>QUÁ HẠN</v>
      </c>
      <c r="B242" s="36"/>
      <c r="C242" s="36">
        <f t="shared" si="28"/>
        <v>0</v>
      </c>
      <c r="D242" s="34">
        <f t="shared" si="30"/>
        <v>1</v>
      </c>
      <c r="E242" s="20">
        <f t="shared" si="31"/>
        <v>0</v>
      </c>
      <c r="F242" s="29"/>
      <c r="G242" s="30">
        <f t="shared" si="32"/>
        <v>0</v>
      </c>
      <c r="H242" s="20" t="str">
        <f t="shared" si="33"/>
        <v/>
      </c>
      <c r="I242" s="20">
        <f t="shared" si="34"/>
        <v>0</v>
      </c>
      <c r="J242" s="20"/>
      <c r="K242" s="20"/>
      <c r="N242" s="12"/>
    </row>
    <row r="243" spans="1:14" x14ac:dyDescent="0.3">
      <c r="A243" s="35" t="str">
        <f t="shared" si="29"/>
        <v>QUÁ HẠN</v>
      </c>
      <c r="B243" s="36"/>
      <c r="C243" s="36">
        <f t="shared" si="28"/>
        <v>0</v>
      </c>
      <c r="D243" s="34">
        <f t="shared" si="30"/>
        <v>1</v>
      </c>
      <c r="E243" s="20">
        <f t="shared" si="31"/>
        <v>0</v>
      </c>
      <c r="F243" s="29"/>
      <c r="G243" s="30">
        <f t="shared" si="32"/>
        <v>0</v>
      </c>
      <c r="H243" s="20" t="str">
        <f t="shared" si="33"/>
        <v/>
      </c>
      <c r="I243" s="20">
        <f t="shared" si="34"/>
        <v>0</v>
      </c>
      <c r="J243" s="20"/>
      <c r="K243" s="20"/>
      <c r="N243" s="12"/>
    </row>
    <row r="244" spans="1:14" x14ac:dyDescent="0.3">
      <c r="A244" s="35" t="str">
        <f t="shared" si="29"/>
        <v>QUÁ HẠN</v>
      </c>
      <c r="B244" s="36"/>
      <c r="C244" s="36">
        <f t="shared" si="28"/>
        <v>0</v>
      </c>
      <c r="D244" s="34">
        <f t="shared" si="30"/>
        <v>1</v>
      </c>
      <c r="E244" s="20">
        <f t="shared" si="31"/>
        <v>0</v>
      </c>
      <c r="F244" s="29"/>
      <c r="G244" s="30">
        <f t="shared" si="32"/>
        <v>0</v>
      </c>
      <c r="H244" s="20" t="str">
        <f t="shared" si="33"/>
        <v/>
      </c>
      <c r="I244" s="20">
        <f t="shared" si="34"/>
        <v>0</v>
      </c>
      <c r="J244" s="20"/>
      <c r="K244" s="20"/>
      <c r="N244" s="12"/>
    </row>
    <row r="245" spans="1:14" x14ac:dyDescent="0.3">
      <c r="A245" s="35" t="str">
        <f t="shared" si="29"/>
        <v>QUÁ HẠN</v>
      </c>
      <c r="B245" s="36"/>
      <c r="C245" s="36">
        <f t="shared" si="28"/>
        <v>0</v>
      </c>
      <c r="D245" s="34">
        <f t="shared" si="30"/>
        <v>1</v>
      </c>
      <c r="E245" s="20">
        <f t="shared" si="31"/>
        <v>0</v>
      </c>
      <c r="F245" s="29"/>
      <c r="G245" s="30">
        <f t="shared" si="32"/>
        <v>0</v>
      </c>
      <c r="H245" s="20" t="str">
        <f t="shared" si="33"/>
        <v/>
      </c>
      <c r="I245" s="20">
        <f t="shared" si="34"/>
        <v>0</v>
      </c>
      <c r="J245" s="20"/>
      <c r="K245" s="20"/>
      <c r="N245" s="12"/>
    </row>
    <row r="246" spans="1:14" x14ac:dyDescent="0.3">
      <c r="A246" s="35" t="str">
        <f t="shared" si="29"/>
        <v>QUÁ HẠN</v>
      </c>
      <c r="B246" s="36"/>
      <c r="C246" s="36">
        <f t="shared" si="28"/>
        <v>0</v>
      </c>
      <c r="D246" s="34">
        <f t="shared" si="30"/>
        <v>1</v>
      </c>
      <c r="E246" s="20">
        <f t="shared" si="31"/>
        <v>0</v>
      </c>
      <c r="F246" s="29"/>
      <c r="G246" s="30">
        <f t="shared" si="32"/>
        <v>0</v>
      </c>
      <c r="H246" s="20" t="str">
        <f t="shared" si="33"/>
        <v/>
      </c>
      <c r="I246" s="20">
        <f t="shared" si="34"/>
        <v>0</v>
      </c>
      <c r="J246" s="20"/>
      <c r="K246" s="20"/>
      <c r="N246" s="12"/>
    </row>
    <row r="247" spans="1:14" x14ac:dyDescent="0.3">
      <c r="A247" s="35" t="str">
        <f t="shared" si="29"/>
        <v>QUÁ HẠN</v>
      </c>
      <c r="B247" s="36"/>
      <c r="C247" s="36">
        <f t="shared" si="28"/>
        <v>0</v>
      </c>
      <c r="D247" s="34">
        <f t="shared" si="30"/>
        <v>1</v>
      </c>
      <c r="E247" s="20">
        <f t="shared" si="31"/>
        <v>0</v>
      </c>
      <c r="F247" s="29"/>
      <c r="G247" s="30">
        <f t="shared" si="32"/>
        <v>0</v>
      </c>
      <c r="H247" s="20" t="str">
        <f t="shared" si="33"/>
        <v/>
      </c>
      <c r="I247" s="20">
        <f t="shared" si="34"/>
        <v>0</v>
      </c>
      <c r="J247" s="20"/>
      <c r="K247" s="20"/>
      <c r="N247" s="12"/>
    </row>
    <row r="248" spans="1:14" x14ac:dyDescent="0.3">
      <c r="A248" s="35" t="str">
        <f t="shared" si="29"/>
        <v>QUÁ HẠN</v>
      </c>
      <c r="B248" s="36"/>
      <c r="C248" s="36">
        <f t="shared" si="28"/>
        <v>0</v>
      </c>
      <c r="D248" s="34">
        <f t="shared" si="30"/>
        <v>1</v>
      </c>
      <c r="E248" s="20">
        <f t="shared" si="31"/>
        <v>0</v>
      </c>
      <c r="F248" s="29"/>
      <c r="G248" s="30">
        <f t="shared" si="32"/>
        <v>0</v>
      </c>
      <c r="H248" s="20" t="str">
        <f t="shared" si="33"/>
        <v/>
      </c>
      <c r="I248" s="20">
        <f t="shared" si="34"/>
        <v>0</v>
      </c>
      <c r="J248" s="20"/>
      <c r="K248" s="20"/>
      <c r="N248" s="12"/>
    </row>
    <row r="249" spans="1:14" x14ac:dyDescent="0.3">
      <c r="A249" s="35" t="str">
        <f t="shared" si="29"/>
        <v>QUÁ HẠN</v>
      </c>
      <c r="B249" s="36"/>
      <c r="C249" s="36">
        <f t="shared" si="28"/>
        <v>0</v>
      </c>
      <c r="D249" s="34">
        <f t="shared" si="30"/>
        <v>1</v>
      </c>
      <c r="E249" s="20">
        <f t="shared" si="31"/>
        <v>0</v>
      </c>
      <c r="F249" s="29"/>
      <c r="G249" s="30">
        <f t="shared" si="32"/>
        <v>0</v>
      </c>
      <c r="H249" s="20" t="str">
        <f t="shared" si="33"/>
        <v/>
      </c>
      <c r="I249" s="20">
        <f t="shared" si="34"/>
        <v>0</v>
      </c>
      <c r="J249" s="20"/>
      <c r="K249" s="20"/>
      <c r="N249" s="12"/>
    </row>
    <row r="250" spans="1:14" x14ac:dyDescent="0.3">
      <c r="A250" s="35" t="str">
        <f t="shared" si="29"/>
        <v>QUÁ HẠN</v>
      </c>
      <c r="B250" s="36"/>
      <c r="C250" s="36">
        <f t="shared" si="28"/>
        <v>0</v>
      </c>
      <c r="D250" s="34">
        <f t="shared" si="30"/>
        <v>1</v>
      </c>
      <c r="E250" s="20">
        <f t="shared" si="31"/>
        <v>0</v>
      </c>
      <c r="F250" s="29"/>
      <c r="G250" s="30">
        <f t="shared" si="32"/>
        <v>0</v>
      </c>
      <c r="H250" s="20" t="str">
        <f t="shared" si="33"/>
        <v/>
      </c>
      <c r="I250" s="20">
        <f t="shared" si="34"/>
        <v>0</v>
      </c>
      <c r="J250" s="20"/>
      <c r="K250" s="20"/>
      <c r="N250" s="12"/>
    </row>
    <row r="251" spans="1:14" x14ac:dyDescent="0.3">
      <c r="A251" s="35" t="str">
        <f t="shared" si="29"/>
        <v>QUÁ HẠN</v>
      </c>
      <c r="B251" s="36"/>
      <c r="C251" s="36">
        <f t="shared" si="28"/>
        <v>0</v>
      </c>
      <c r="D251" s="34">
        <f t="shared" si="30"/>
        <v>1</v>
      </c>
      <c r="E251" s="20">
        <f t="shared" si="31"/>
        <v>0</v>
      </c>
      <c r="F251" s="29"/>
      <c r="G251" s="30">
        <f t="shared" si="32"/>
        <v>0</v>
      </c>
      <c r="H251" s="20" t="str">
        <f t="shared" si="33"/>
        <v/>
      </c>
      <c r="I251" s="20">
        <f t="shared" si="34"/>
        <v>0</v>
      </c>
      <c r="J251" s="20"/>
      <c r="K251" s="20"/>
      <c r="N251" s="12"/>
    </row>
    <row r="252" spans="1:14" x14ac:dyDescent="0.3">
      <c r="A252" s="35" t="str">
        <f t="shared" si="29"/>
        <v>QUÁ HẠN</v>
      </c>
      <c r="B252" s="36"/>
      <c r="C252" s="36">
        <f t="shared" si="28"/>
        <v>0</v>
      </c>
      <c r="D252" s="34">
        <f t="shared" si="30"/>
        <v>1</v>
      </c>
      <c r="E252" s="20">
        <f t="shared" si="31"/>
        <v>0</v>
      </c>
      <c r="F252" s="29"/>
      <c r="G252" s="30">
        <f t="shared" si="32"/>
        <v>0</v>
      </c>
      <c r="H252" s="20" t="str">
        <f t="shared" si="33"/>
        <v/>
      </c>
      <c r="I252" s="20">
        <f t="shared" si="34"/>
        <v>0</v>
      </c>
      <c r="J252" s="20"/>
      <c r="K252" s="20"/>
      <c r="N252" s="12"/>
    </row>
    <row r="253" spans="1:14" x14ac:dyDescent="0.3">
      <c r="A253" s="35" t="str">
        <f t="shared" si="29"/>
        <v>QUÁ HẠN</v>
      </c>
      <c r="B253" s="36"/>
      <c r="C253" s="36">
        <f t="shared" si="28"/>
        <v>0</v>
      </c>
      <c r="D253" s="34">
        <f t="shared" si="30"/>
        <v>1</v>
      </c>
      <c r="E253" s="20">
        <f t="shared" si="31"/>
        <v>0</v>
      </c>
      <c r="F253" s="29"/>
      <c r="G253" s="30">
        <f t="shared" si="32"/>
        <v>0</v>
      </c>
      <c r="H253" s="20" t="str">
        <f t="shared" si="33"/>
        <v/>
      </c>
      <c r="I253" s="20">
        <f t="shared" si="34"/>
        <v>0</v>
      </c>
      <c r="J253" s="20"/>
      <c r="K253" s="20"/>
      <c r="N253" s="12"/>
    </row>
    <row r="254" spans="1:14" x14ac:dyDescent="0.3">
      <c r="A254" s="35" t="str">
        <f t="shared" si="29"/>
        <v>QUÁ HẠN</v>
      </c>
      <c r="B254" s="36"/>
      <c r="C254" s="36">
        <f t="shared" si="28"/>
        <v>0</v>
      </c>
      <c r="D254" s="34">
        <f t="shared" si="30"/>
        <v>1</v>
      </c>
      <c r="E254" s="20">
        <f t="shared" si="31"/>
        <v>0</v>
      </c>
      <c r="F254" s="29"/>
      <c r="G254" s="30">
        <f t="shared" si="32"/>
        <v>0</v>
      </c>
      <c r="H254" s="20" t="str">
        <f t="shared" si="33"/>
        <v/>
      </c>
      <c r="I254" s="20">
        <f t="shared" si="34"/>
        <v>0</v>
      </c>
      <c r="J254" s="20"/>
      <c r="K254" s="20"/>
      <c r="N254" s="12"/>
    </row>
    <row r="255" spans="1:14" x14ac:dyDescent="0.3">
      <c r="A255" s="35" t="str">
        <f t="shared" si="29"/>
        <v>QUÁ HẠN</v>
      </c>
      <c r="B255" s="36"/>
      <c r="C255" s="36">
        <f t="shared" si="28"/>
        <v>0</v>
      </c>
      <c r="D255" s="34">
        <f t="shared" si="30"/>
        <v>1</v>
      </c>
      <c r="E255" s="20">
        <f t="shared" si="31"/>
        <v>0</v>
      </c>
      <c r="F255" s="29"/>
      <c r="G255" s="30">
        <f t="shared" si="32"/>
        <v>0</v>
      </c>
      <c r="H255" s="20" t="str">
        <f t="shared" si="33"/>
        <v/>
      </c>
      <c r="I255" s="20">
        <f t="shared" si="34"/>
        <v>0</v>
      </c>
      <c r="J255" s="20"/>
      <c r="K255" s="20"/>
      <c r="N255" s="12"/>
    </row>
    <row r="256" spans="1:14" x14ac:dyDescent="0.3">
      <c r="A256" s="35" t="str">
        <f t="shared" si="29"/>
        <v>QUÁ HẠN</v>
      </c>
      <c r="B256" s="36"/>
      <c r="C256" s="36">
        <f t="shared" si="28"/>
        <v>0</v>
      </c>
      <c r="D256" s="34">
        <f t="shared" si="30"/>
        <v>1</v>
      </c>
      <c r="E256" s="20">
        <f t="shared" si="31"/>
        <v>0</v>
      </c>
      <c r="F256" s="29"/>
      <c r="G256" s="30">
        <f t="shared" si="32"/>
        <v>0</v>
      </c>
      <c r="H256" s="20" t="str">
        <f t="shared" si="33"/>
        <v/>
      </c>
      <c r="I256" s="20">
        <f t="shared" si="34"/>
        <v>0</v>
      </c>
      <c r="J256" s="20"/>
      <c r="K256" s="20"/>
      <c r="N256" s="12"/>
    </row>
    <row r="257" spans="1:14" x14ac:dyDescent="0.3">
      <c r="A257" s="35" t="str">
        <f t="shared" si="29"/>
        <v>QUÁ HẠN</v>
      </c>
      <c r="B257" s="36"/>
      <c r="C257" s="36">
        <f t="shared" si="28"/>
        <v>0</v>
      </c>
      <c r="D257" s="34">
        <f t="shared" si="30"/>
        <v>1</v>
      </c>
      <c r="E257" s="20">
        <f t="shared" si="31"/>
        <v>0</v>
      </c>
      <c r="F257" s="29"/>
      <c r="G257" s="30">
        <f t="shared" si="32"/>
        <v>0</v>
      </c>
      <c r="H257" s="20" t="str">
        <f t="shared" si="33"/>
        <v/>
      </c>
      <c r="I257" s="20">
        <f t="shared" si="34"/>
        <v>0</v>
      </c>
      <c r="J257" s="20"/>
      <c r="K257" s="20"/>
      <c r="N257" s="12"/>
    </row>
    <row r="258" spans="1:14" x14ac:dyDescent="0.3">
      <c r="A258" s="35" t="str">
        <f t="shared" si="29"/>
        <v>QUÁ HẠN</v>
      </c>
      <c r="B258" s="36"/>
      <c r="C258" s="36">
        <f t="shared" si="28"/>
        <v>0</v>
      </c>
      <c r="D258" s="34">
        <f t="shared" si="30"/>
        <v>1</v>
      </c>
      <c r="E258" s="20">
        <f t="shared" si="31"/>
        <v>0</v>
      </c>
      <c r="F258" s="29"/>
      <c r="G258" s="30">
        <f t="shared" si="32"/>
        <v>0</v>
      </c>
      <c r="H258" s="20" t="str">
        <f t="shared" si="33"/>
        <v/>
      </c>
      <c r="I258" s="20">
        <f t="shared" si="34"/>
        <v>0</v>
      </c>
      <c r="J258" s="20"/>
      <c r="K258" s="20"/>
      <c r="N258" s="12"/>
    </row>
    <row r="259" spans="1:14" x14ac:dyDescent="0.3">
      <c r="A259" s="35" t="str">
        <f t="shared" si="29"/>
        <v>QUÁ HẠN</v>
      </c>
      <c r="B259" s="36"/>
      <c r="C259" s="36">
        <f t="shared" si="28"/>
        <v>0</v>
      </c>
      <c r="D259" s="34">
        <f t="shared" si="30"/>
        <v>1</v>
      </c>
      <c r="E259" s="20">
        <f t="shared" si="31"/>
        <v>0</v>
      </c>
      <c r="F259" s="29"/>
      <c r="G259" s="30">
        <f t="shared" si="32"/>
        <v>0</v>
      </c>
      <c r="H259" s="20" t="str">
        <f t="shared" si="33"/>
        <v/>
      </c>
      <c r="I259" s="20">
        <f t="shared" si="34"/>
        <v>0</v>
      </c>
      <c r="J259" s="20"/>
      <c r="K259" s="20"/>
      <c r="N259" s="12"/>
    </row>
    <row r="260" spans="1:14" x14ac:dyDescent="0.3">
      <c r="A260" s="35" t="str">
        <f t="shared" si="29"/>
        <v>QUÁ HẠN</v>
      </c>
      <c r="B260" s="36"/>
      <c r="C260" s="36">
        <f t="shared" si="28"/>
        <v>0</v>
      </c>
      <c r="D260" s="34">
        <f t="shared" si="30"/>
        <v>1</v>
      </c>
      <c r="E260" s="20">
        <f t="shared" si="31"/>
        <v>0</v>
      </c>
      <c r="F260" s="29"/>
      <c r="G260" s="30">
        <f t="shared" si="32"/>
        <v>0</v>
      </c>
      <c r="H260" s="20" t="str">
        <f t="shared" si="33"/>
        <v/>
      </c>
      <c r="I260" s="20">
        <f t="shared" si="34"/>
        <v>0</v>
      </c>
      <c r="J260" s="20"/>
      <c r="K260" s="20"/>
      <c r="N260" s="12"/>
    </row>
    <row r="261" spans="1:14" x14ac:dyDescent="0.3">
      <c r="A261" s="35" t="str">
        <f t="shared" si="29"/>
        <v>QUÁ HẠN</v>
      </c>
      <c r="B261" s="36"/>
      <c r="C261" s="36">
        <f t="shared" si="28"/>
        <v>0</v>
      </c>
      <c r="D261" s="34">
        <f t="shared" si="30"/>
        <v>1</v>
      </c>
      <c r="E261" s="20">
        <f t="shared" si="31"/>
        <v>0</v>
      </c>
      <c r="F261" s="29"/>
      <c r="G261" s="30">
        <f t="shared" si="32"/>
        <v>0</v>
      </c>
      <c r="H261" s="20" t="str">
        <f t="shared" si="33"/>
        <v/>
      </c>
      <c r="I261" s="20">
        <f t="shared" si="34"/>
        <v>0</v>
      </c>
      <c r="J261" s="20"/>
      <c r="K261" s="20"/>
      <c r="N261" s="12"/>
    </row>
    <row r="262" spans="1:14" x14ac:dyDescent="0.3">
      <c r="A262" s="35" t="str">
        <f t="shared" si="29"/>
        <v>QUÁ HẠN</v>
      </c>
      <c r="B262" s="36"/>
      <c r="C262" s="36">
        <f t="shared" si="28"/>
        <v>0</v>
      </c>
      <c r="D262" s="34">
        <f t="shared" si="30"/>
        <v>1</v>
      </c>
      <c r="E262" s="20">
        <f t="shared" si="31"/>
        <v>0</v>
      </c>
      <c r="F262" s="29"/>
      <c r="G262" s="30">
        <f t="shared" si="32"/>
        <v>0</v>
      </c>
      <c r="H262" s="20" t="str">
        <f t="shared" si="33"/>
        <v/>
      </c>
      <c r="I262" s="20">
        <f t="shared" si="34"/>
        <v>0</v>
      </c>
      <c r="J262" s="20"/>
      <c r="K262" s="20"/>
      <c r="N262" s="12"/>
    </row>
    <row r="263" spans="1:14" x14ac:dyDescent="0.3">
      <c r="A263" s="35" t="str">
        <f t="shared" si="29"/>
        <v>QUÁ HẠN</v>
      </c>
      <c r="B263" s="36"/>
      <c r="C263" s="36">
        <f t="shared" si="28"/>
        <v>0</v>
      </c>
      <c r="D263" s="34">
        <f t="shared" si="30"/>
        <v>1</v>
      </c>
      <c r="E263" s="20">
        <f t="shared" si="31"/>
        <v>0</v>
      </c>
      <c r="F263" s="29"/>
      <c r="G263" s="30">
        <f t="shared" si="32"/>
        <v>0</v>
      </c>
      <c r="H263" s="20" t="str">
        <f t="shared" si="33"/>
        <v/>
      </c>
      <c r="I263" s="20">
        <f t="shared" si="34"/>
        <v>0</v>
      </c>
      <c r="J263" s="20"/>
      <c r="K263" s="20"/>
      <c r="N263" s="12"/>
    </row>
    <row r="264" spans="1:14" x14ac:dyDescent="0.3">
      <c r="A264" s="35" t="str">
        <f t="shared" si="29"/>
        <v>QUÁ HẠN</v>
      </c>
      <c r="B264" s="36"/>
      <c r="C264" s="36">
        <f t="shared" si="28"/>
        <v>0</v>
      </c>
      <c r="D264" s="34">
        <f t="shared" si="30"/>
        <v>1</v>
      </c>
      <c r="E264" s="20">
        <f t="shared" si="31"/>
        <v>0</v>
      </c>
      <c r="F264" s="29"/>
      <c r="G264" s="30">
        <f t="shared" si="32"/>
        <v>0</v>
      </c>
      <c r="H264" s="20" t="str">
        <f t="shared" si="33"/>
        <v/>
      </c>
      <c r="I264" s="20">
        <f t="shared" si="34"/>
        <v>0</v>
      </c>
      <c r="J264" s="20"/>
      <c r="K264" s="20"/>
      <c r="N264" s="12"/>
    </row>
    <row r="265" spans="1:14" x14ac:dyDescent="0.3">
      <c r="A265" s="35" t="str">
        <f t="shared" si="29"/>
        <v>QUÁ HẠN</v>
      </c>
      <c r="B265" s="36"/>
      <c r="C265" s="36">
        <f t="shared" si="28"/>
        <v>0</v>
      </c>
      <c r="D265" s="34">
        <f t="shared" si="30"/>
        <v>1</v>
      </c>
      <c r="E265" s="20">
        <f t="shared" si="31"/>
        <v>0</v>
      </c>
      <c r="F265" s="29"/>
      <c r="G265" s="30">
        <f t="shared" si="32"/>
        <v>0</v>
      </c>
      <c r="H265" s="20" t="str">
        <f t="shared" si="33"/>
        <v/>
      </c>
      <c r="I265" s="20">
        <f t="shared" si="34"/>
        <v>0</v>
      </c>
      <c r="J265" s="20"/>
      <c r="K265" s="20"/>
      <c r="N265" s="12"/>
    </row>
    <row r="266" spans="1:14" x14ac:dyDescent="0.3">
      <c r="A266" s="35" t="str">
        <f t="shared" si="29"/>
        <v>QUÁ HẠN</v>
      </c>
      <c r="B266" s="36"/>
      <c r="C266" s="36">
        <f t="shared" si="28"/>
        <v>0</v>
      </c>
      <c r="D266" s="34">
        <f t="shared" si="30"/>
        <v>1</v>
      </c>
      <c r="E266" s="20">
        <f t="shared" si="31"/>
        <v>0</v>
      </c>
      <c r="F266" s="29"/>
      <c r="G266" s="30">
        <f t="shared" si="32"/>
        <v>0</v>
      </c>
      <c r="H266" s="20" t="str">
        <f t="shared" si="33"/>
        <v/>
      </c>
      <c r="I266" s="20">
        <f t="shared" si="34"/>
        <v>0</v>
      </c>
      <c r="J266" s="20"/>
      <c r="K266" s="20"/>
      <c r="N266" s="12"/>
    </row>
    <row r="267" spans="1:14" x14ac:dyDescent="0.3">
      <c r="A267" s="35" t="str">
        <f t="shared" si="29"/>
        <v>QUÁ HẠN</v>
      </c>
      <c r="B267" s="36"/>
      <c r="C267" s="36">
        <f t="shared" si="28"/>
        <v>0</v>
      </c>
      <c r="D267" s="34">
        <f t="shared" si="30"/>
        <v>1</v>
      </c>
      <c r="E267" s="20">
        <f t="shared" si="31"/>
        <v>0</v>
      </c>
      <c r="F267" s="29"/>
      <c r="G267" s="30">
        <f t="shared" si="32"/>
        <v>0</v>
      </c>
      <c r="H267" s="20" t="str">
        <f t="shared" si="33"/>
        <v/>
      </c>
      <c r="I267" s="20">
        <f t="shared" si="34"/>
        <v>0</v>
      </c>
      <c r="J267" s="20"/>
      <c r="K267" s="20"/>
      <c r="N267" s="12"/>
    </row>
    <row r="268" spans="1:14" x14ac:dyDescent="0.3">
      <c r="A268" s="35" t="str">
        <f t="shared" si="29"/>
        <v>QUÁ HẠN</v>
      </c>
      <c r="B268" s="36"/>
      <c r="C268" s="36">
        <f t="shared" si="28"/>
        <v>0</v>
      </c>
      <c r="D268" s="34">
        <f t="shared" si="30"/>
        <v>1</v>
      </c>
      <c r="E268" s="20">
        <f t="shared" si="31"/>
        <v>0</v>
      </c>
      <c r="F268" s="29"/>
      <c r="G268" s="30">
        <f t="shared" si="32"/>
        <v>0</v>
      </c>
      <c r="H268" s="20" t="str">
        <f t="shared" si="33"/>
        <v/>
      </c>
      <c r="I268" s="20">
        <f t="shared" si="34"/>
        <v>0</v>
      </c>
      <c r="J268" s="20"/>
      <c r="K268" s="20"/>
      <c r="N268" s="12"/>
    </row>
    <row r="269" spans="1:14" x14ac:dyDescent="0.3">
      <c r="A269" s="35" t="str">
        <f t="shared" si="29"/>
        <v>QUÁ HẠN</v>
      </c>
      <c r="B269" s="36"/>
      <c r="C269" s="36">
        <f t="shared" si="28"/>
        <v>0</v>
      </c>
      <c r="D269" s="34">
        <f t="shared" si="30"/>
        <v>1</v>
      </c>
      <c r="E269" s="20">
        <f t="shared" si="31"/>
        <v>0</v>
      </c>
      <c r="F269" s="29"/>
      <c r="G269" s="30">
        <f t="shared" si="32"/>
        <v>0</v>
      </c>
      <c r="H269" s="20" t="str">
        <f t="shared" si="33"/>
        <v/>
      </c>
      <c r="I269" s="20">
        <f t="shared" si="34"/>
        <v>0</v>
      </c>
      <c r="J269" s="20"/>
      <c r="K269" s="20"/>
      <c r="N269" s="12"/>
    </row>
    <row r="270" spans="1:14" x14ac:dyDescent="0.3">
      <c r="A270" s="35" t="str">
        <f t="shared" si="29"/>
        <v>QUÁ HẠN</v>
      </c>
      <c r="B270" s="36"/>
      <c r="C270" s="36">
        <f t="shared" si="28"/>
        <v>0</v>
      </c>
      <c r="D270" s="34">
        <f t="shared" si="30"/>
        <v>1</v>
      </c>
      <c r="E270" s="20">
        <f t="shared" si="31"/>
        <v>0</v>
      </c>
      <c r="F270" s="29"/>
      <c r="G270" s="30">
        <f t="shared" si="32"/>
        <v>0</v>
      </c>
      <c r="H270" s="20" t="str">
        <f t="shared" si="33"/>
        <v/>
      </c>
      <c r="I270" s="20">
        <f t="shared" si="34"/>
        <v>0</v>
      </c>
      <c r="J270" s="20"/>
      <c r="K270" s="20"/>
      <c r="N270" s="12"/>
    </row>
    <row r="271" spans="1:14" x14ac:dyDescent="0.3">
      <c r="A271" s="35" t="str">
        <f t="shared" si="29"/>
        <v>QUÁ HẠN</v>
      </c>
      <c r="B271" s="36"/>
      <c r="C271" s="36">
        <f t="shared" si="28"/>
        <v>0</v>
      </c>
      <c r="D271" s="34">
        <f t="shared" si="30"/>
        <v>1</v>
      </c>
      <c r="E271" s="20">
        <f t="shared" si="31"/>
        <v>0</v>
      </c>
      <c r="F271" s="29"/>
      <c r="G271" s="30">
        <f t="shared" si="32"/>
        <v>0</v>
      </c>
      <c r="H271" s="20" t="str">
        <f t="shared" si="33"/>
        <v/>
      </c>
      <c r="I271" s="20">
        <f t="shared" si="34"/>
        <v>0</v>
      </c>
      <c r="J271" s="20"/>
      <c r="K271" s="20"/>
      <c r="N271" s="12"/>
    </row>
    <row r="272" spans="1:14" x14ac:dyDescent="0.3">
      <c r="A272" s="35" t="str">
        <f t="shared" si="29"/>
        <v>QUÁ HẠN</v>
      </c>
      <c r="B272" s="36"/>
      <c r="C272" s="36">
        <f t="shared" si="28"/>
        <v>0</v>
      </c>
      <c r="D272" s="34">
        <f t="shared" si="30"/>
        <v>1</v>
      </c>
      <c r="E272" s="20">
        <f t="shared" si="31"/>
        <v>0</v>
      </c>
      <c r="F272" s="29"/>
      <c r="G272" s="30">
        <f t="shared" si="32"/>
        <v>0</v>
      </c>
      <c r="H272" s="20" t="str">
        <f t="shared" si="33"/>
        <v/>
      </c>
      <c r="I272" s="20">
        <f t="shared" si="34"/>
        <v>0</v>
      </c>
      <c r="J272" s="20"/>
      <c r="K272" s="20"/>
      <c r="N272" s="12"/>
    </row>
    <row r="273" spans="1:14" x14ac:dyDescent="0.3">
      <c r="A273" s="35" t="str">
        <f t="shared" si="29"/>
        <v>QUÁ HẠN</v>
      </c>
      <c r="B273" s="36"/>
      <c r="C273" s="36">
        <f t="shared" si="28"/>
        <v>0</v>
      </c>
      <c r="D273" s="34">
        <f t="shared" si="30"/>
        <v>1</v>
      </c>
      <c r="E273" s="20">
        <f t="shared" si="31"/>
        <v>0</v>
      </c>
      <c r="F273" s="29"/>
      <c r="G273" s="30">
        <f t="shared" si="32"/>
        <v>0</v>
      </c>
      <c r="H273" s="20" t="str">
        <f t="shared" si="33"/>
        <v/>
      </c>
      <c r="I273" s="20">
        <f t="shared" si="34"/>
        <v>0</v>
      </c>
      <c r="J273" s="20"/>
      <c r="K273" s="20"/>
      <c r="N273" s="12"/>
    </row>
    <row r="274" spans="1:14" x14ac:dyDescent="0.3">
      <c r="A274" s="35" t="str">
        <f t="shared" si="29"/>
        <v>QUÁ HẠN</v>
      </c>
      <c r="B274" s="36"/>
      <c r="C274" s="36">
        <f t="shared" si="28"/>
        <v>0</v>
      </c>
      <c r="D274" s="34">
        <f t="shared" si="30"/>
        <v>1</v>
      </c>
      <c r="E274" s="20">
        <f t="shared" si="31"/>
        <v>0</v>
      </c>
      <c r="F274" s="29"/>
      <c r="G274" s="30">
        <f t="shared" si="32"/>
        <v>0</v>
      </c>
      <c r="H274" s="20" t="str">
        <f t="shared" si="33"/>
        <v/>
      </c>
      <c r="I274" s="20">
        <f t="shared" si="34"/>
        <v>0</v>
      </c>
      <c r="J274" s="20"/>
      <c r="K274" s="20"/>
      <c r="N274" s="12"/>
    </row>
    <row r="275" spans="1:14" x14ac:dyDescent="0.3">
      <c r="A275" s="35" t="str">
        <f t="shared" si="29"/>
        <v>QUÁ HẠN</v>
      </c>
      <c r="B275" s="36"/>
      <c r="C275" s="36">
        <f t="shared" si="28"/>
        <v>0</v>
      </c>
      <c r="D275" s="34">
        <f t="shared" si="30"/>
        <v>1</v>
      </c>
      <c r="E275" s="20">
        <f t="shared" si="31"/>
        <v>0</v>
      </c>
      <c r="F275" s="29"/>
      <c r="G275" s="30">
        <f t="shared" si="32"/>
        <v>0</v>
      </c>
      <c r="H275" s="20" t="str">
        <f t="shared" si="33"/>
        <v/>
      </c>
      <c r="I275" s="20">
        <f t="shared" si="34"/>
        <v>0</v>
      </c>
      <c r="J275" s="20"/>
      <c r="K275" s="20"/>
      <c r="N275" s="12"/>
    </row>
    <row r="276" spans="1:14" x14ac:dyDescent="0.3">
      <c r="A276" s="35" t="str">
        <f t="shared" si="29"/>
        <v>QUÁ HẠN</v>
      </c>
      <c r="B276" s="36"/>
      <c r="C276" s="36">
        <f t="shared" si="28"/>
        <v>0</v>
      </c>
      <c r="D276" s="34">
        <f t="shared" si="30"/>
        <v>1</v>
      </c>
      <c r="E276" s="20">
        <f t="shared" si="31"/>
        <v>0</v>
      </c>
      <c r="F276" s="29"/>
      <c r="G276" s="30">
        <f t="shared" si="32"/>
        <v>0</v>
      </c>
      <c r="H276" s="20" t="str">
        <f t="shared" si="33"/>
        <v/>
      </c>
      <c r="I276" s="20">
        <f t="shared" si="34"/>
        <v>0</v>
      </c>
      <c r="J276" s="20"/>
      <c r="K276" s="20"/>
      <c r="N276" s="12"/>
    </row>
    <row r="277" spans="1:14" x14ac:dyDescent="0.3">
      <c r="A277" s="35" t="str">
        <f t="shared" si="29"/>
        <v>QUÁ HẠN</v>
      </c>
      <c r="B277" s="36"/>
      <c r="C277" s="36">
        <f t="shared" si="28"/>
        <v>0</v>
      </c>
      <c r="D277" s="34">
        <f t="shared" si="30"/>
        <v>1</v>
      </c>
      <c r="E277" s="20">
        <f t="shared" si="31"/>
        <v>0</v>
      </c>
      <c r="F277" s="29"/>
      <c r="G277" s="30">
        <f t="shared" si="32"/>
        <v>0</v>
      </c>
      <c r="H277" s="20" t="str">
        <f t="shared" si="33"/>
        <v/>
      </c>
      <c r="I277" s="20">
        <f t="shared" si="34"/>
        <v>0</v>
      </c>
      <c r="J277" s="20"/>
      <c r="K277" s="20"/>
      <c r="N277" s="12"/>
    </row>
    <row r="278" spans="1:14" x14ac:dyDescent="0.3">
      <c r="A278" s="35" t="str">
        <f t="shared" si="29"/>
        <v>QUÁ HẠN</v>
      </c>
      <c r="B278" s="36"/>
      <c r="C278" s="36">
        <f t="shared" si="28"/>
        <v>0</v>
      </c>
      <c r="D278" s="34">
        <f t="shared" si="30"/>
        <v>1</v>
      </c>
      <c r="E278" s="20">
        <f t="shared" si="31"/>
        <v>0</v>
      </c>
      <c r="F278" s="29"/>
      <c r="G278" s="30">
        <f t="shared" si="32"/>
        <v>0</v>
      </c>
      <c r="H278" s="20" t="str">
        <f t="shared" si="33"/>
        <v/>
      </c>
      <c r="I278" s="20">
        <f t="shared" si="34"/>
        <v>0</v>
      </c>
      <c r="J278" s="20"/>
      <c r="K278" s="20"/>
      <c r="N278" s="12"/>
    </row>
    <row r="279" spans="1:14" x14ac:dyDescent="0.3">
      <c r="A279" s="35" t="str">
        <f t="shared" si="29"/>
        <v>QUÁ HẠN</v>
      </c>
      <c r="B279" s="36"/>
      <c r="C279" s="36">
        <f t="shared" si="28"/>
        <v>0</v>
      </c>
      <c r="D279" s="34">
        <f t="shared" si="30"/>
        <v>1</v>
      </c>
      <c r="E279" s="20">
        <f t="shared" si="31"/>
        <v>0</v>
      </c>
      <c r="F279" s="29"/>
      <c r="G279" s="30">
        <f t="shared" si="32"/>
        <v>0</v>
      </c>
      <c r="H279" s="20" t="str">
        <f t="shared" si="33"/>
        <v/>
      </c>
      <c r="I279" s="20">
        <f t="shared" si="34"/>
        <v>0</v>
      </c>
      <c r="J279" s="20"/>
      <c r="K279" s="20"/>
      <c r="N279" s="12"/>
    </row>
    <row r="280" spans="1:14" x14ac:dyDescent="0.3">
      <c r="A280" s="35" t="str">
        <f t="shared" si="29"/>
        <v>QUÁ HẠN</v>
      </c>
      <c r="B280" s="36"/>
      <c r="C280" s="36">
        <f t="shared" si="28"/>
        <v>0</v>
      </c>
      <c r="D280" s="34">
        <f t="shared" si="30"/>
        <v>1</v>
      </c>
      <c r="E280" s="20">
        <f t="shared" si="31"/>
        <v>0</v>
      </c>
      <c r="F280" s="29"/>
      <c r="G280" s="30">
        <f t="shared" si="32"/>
        <v>0</v>
      </c>
      <c r="H280" s="20" t="str">
        <f t="shared" si="33"/>
        <v/>
      </c>
      <c r="I280" s="20">
        <f t="shared" si="34"/>
        <v>0</v>
      </c>
      <c r="J280" s="20"/>
      <c r="K280" s="20"/>
      <c r="N280" s="12"/>
    </row>
    <row r="281" spans="1:14" x14ac:dyDescent="0.3">
      <c r="A281" s="35" t="str">
        <f t="shared" si="29"/>
        <v>QUÁ HẠN</v>
      </c>
      <c r="B281" s="36"/>
      <c r="C281" s="36">
        <f t="shared" si="28"/>
        <v>0</v>
      </c>
      <c r="D281" s="34">
        <f t="shared" si="30"/>
        <v>1</v>
      </c>
      <c r="E281" s="20">
        <f t="shared" si="31"/>
        <v>0</v>
      </c>
      <c r="F281" s="29"/>
      <c r="G281" s="30">
        <f t="shared" si="32"/>
        <v>0</v>
      </c>
      <c r="H281" s="20" t="str">
        <f t="shared" si="33"/>
        <v/>
      </c>
      <c r="I281" s="20">
        <f t="shared" si="34"/>
        <v>0</v>
      </c>
      <c r="J281" s="20"/>
      <c r="K281" s="20"/>
      <c r="N281" s="12"/>
    </row>
    <row r="282" spans="1:14" x14ac:dyDescent="0.3">
      <c r="A282" s="35" t="str">
        <f t="shared" si="29"/>
        <v>QUÁ HẠN</v>
      </c>
      <c r="B282" s="36"/>
      <c r="C282" s="36">
        <f t="shared" si="28"/>
        <v>0</v>
      </c>
      <c r="D282" s="34">
        <f t="shared" si="30"/>
        <v>1</v>
      </c>
      <c r="E282" s="20">
        <f t="shared" si="31"/>
        <v>0</v>
      </c>
      <c r="F282" s="29"/>
      <c r="G282" s="30">
        <f t="shared" si="32"/>
        <v>0</v>
      </c>
      <c r="H282" s="20" t="str">
        <f t="shared" si="33"/>
        <v/>
      </c>
      <c r="I282" s="20">
        <f t="shared" si="34"/>
        <v>0</v>
      </c>
      <c r="J282" s="20"/>
      <c r="K282" s="20"/>
      <c r="N282" s="12"/>
    </row>
    <row r="283" spans="1:14" x14ac:dyDescent="0.3">
      <c r="A283" s="35" t="str">
        <f t="shared" si="29"/>
        <v>QUÁ HẠN</v>
      </c>
      <c r="B283" s="36"/>
      <c r="C283" s="36">
        <f t="shared" si="28"/>
        <v>0</v>
      </c>
      <c r="D283" s="34">
        <f t="shared" si="30"/>
        <v>1</v>
      </c>
      <c r="E283" s="20">
        <f t="shared" si="31"/>
        <v>0</v>
      </c>
      <c r="F283" s="29"/>
      <c r="G283" s="30">
        <f t="shared" si="32"/>
        <v>0</v>
      </c>
      <c r="H283" s="20" t="str">
        <f t="shared" si="33"/>
        <v/>
      </c>
      <c r="I283" s="20">
        <f t="shared" si="34"/>
        <v>0</v>
      </c>
      <c r="J283" s="20"/>
      <c r="K283" s="20"/>
      <c r="N283" s="12"/>
    </row>
    <row r="284" spans="1:14" x14ac:dyDescent="0.3">
      <c r="A284" s="35" t="str">
        <f t="shared" si="29"/>
        <v>QUÁ HẠN</v>
      </c>
      <c r="B284" s="36"/>
      <c r="C284" s="36">
        <f t="shared" si="28"/>
        <v>0</v>
      </c>
      <c r="D284" s="34">
        <f t="shared" si="30"/>
        <v>1</v>
      </c>
      <c r="E284" s="20">
        <f t="shared" si="31"/>
        <v>0</v>
      </c>
      <c r="F284" s="29"/>
      <c r="G284" s="30">
        <f t="shared" si="32"/>
        <v>0</v>
      </c>
      <c r="H284" s="20" t="str">
        <f t="shared" si="33"/>
        <v/>
      </c>
      <c r="I284" s="20">
        <f t="shared" si="34"/>
        <v>0</v>
      </c>
      <c r="J284" s="20"/>
      <c r="K284" s="20"/>
      <c r="N284" s="12"/>
    </row>
    <row r="285" spans="1:14" x14ac:dyDescent="0.3">
      <c r="A285" s="35" t="str">
        <f t="shared" si="29"/>
        <v>QUÁ HẠN</v>
      </c>
      <c r="B285" s="36"/>
      <c r="C285" s="36">
        <f t="shared" si="28"/>
        <v>0</v>
      </c>
      <c r="D285" s="34">
        <f t="shared" si="30"/>
        <v>1</v>
      </c>
      <c r="E285" s="20">
        <f t="shared" si="31"/>
        <v>0</v>
      </c>
      <c r="F285" s="29"/>
      <c r="G285" s="30">
        <f t="shared" si="32"/>
        <v>0</v>
      </c>
      <c r="H285" s="20" t="str">
        <f t="shared" si="33"/>
        <v/>
      </c>
      <c r="I285" s="20">
        <f t="shared" si="34"/>
        <v>0</v>
      </c>
      <c r="J285" s="20"/>
      <c r="K285" s="20"/>
      <c r="N285" s="12"/>
    </row>
    <row r="286" spans="1:14" x14ac:dyDescent="0.3">
      <c r="A286" s="35" t="str">
        <f t="shared" si="29"/>
        <v>QUÁ HẠN</v>
      </c>
      <c r="B286" s="36"/>
      <c r="C286" s="36">
        <f t="shared" si="28"/>
        <v>0</v>
      </c>
      <c r="D286" s="34">
        <f t="shared" si="30"/>
        <v>1</v>
      </c>
      <c r="E286" s="20">
        <f t="shared" si="31"/>
        <v>0</v>
      </c>
      <c r="F286" s="29"/>
      <c r="G286" s="30">
        <f t="shared" si="32"/>
        <v>0</v>
      </c>
      <c r="H286" s="20" t="str">
        <f t="shared" si="33"/>
        <v/>
      </c>
      <c r="I286" s="20">
        <f t="shared" si="34"/>
        <v>0</v>
      </c>
      <c r="J286" s="20"/>
      <c r="K286" s="20"/>
      <c r="N286" s="12"/>
    </row>
    <row r="287" spans="1:14" x14ac:dyDescent="0.3">
      <c r="A287" s="35" t="str">
        <f t="shared" si="29"/>
        <v>QUÁ HẠN</v>
      </c>
      <c r="B287" s="36"/>
      <c r="C287" s="36">
        <f t="shared" si="28"/>
        <v>0</v>
      </c>
      <c r="D287" s="34">
        <f t="shared" si="30"/>
        <v>1</v>
      </c>
      <c r="E287" s="20">
        <f t="shared" si="31"/>
        <v>0</v>
      </c>
      <c r="F287" s="29"/>
      <c r="G287" s="30">
        <f t="shared" si="32"/>
        <v>0</v>
      </c>
      <c r="H287" s="20" t="str">
        <f t="shared" si="33"/>
        <v/>
      </c>
      <c r="I287" s="20">
        <f t="shared" si="34"/>
        <v>0</v>
      </c>
      <c r="J287" s="20"/>
      <c r="K287" s="20"/>
      <c r="N287" s="12"/>
    </row>
    <row r="288" spans="1:14" x14ac:dyDescent="0.3">
      <c r="A288" s="35" t="str">
        <f t="shared" si="29"/>
        <v>QUÁ HẠN</v>
      </c>
      <c r="B288" s="36"/>
      <c r="C288" s="36">
        <f t="shared" si="28"/>
        <v>0</v>
      </c>
      <c r="D288" s="34">
        <f t="shared" si="30"/>
        <v>1</v>
      </c>
      <c r="E288" s="20">
        <f t="shared" si="31"/>
        <v>0</v>
      </c>
      <c r="F288" s="29"/>
      <c r="G288" s="30">
        <f t="shared" si="32"/>
        <v>0</v>
      </c>
      <c r="H288" s="20" t="str">
        <f t="shared" si="33"/>
        <v/>
      </c>
      <c r="I288" s="20">
        <f t="shared" si="34"/>
        <v>0</v>
      </c>
      <c r="J288" s="20"/>
      <c r="K288" s="20"/>
      <c r="N288" s="12"/>
    </row>
    <row r="289" spans="1:14" x14ac:dyDescent="0.3">
      <c r="A289" s="35" t="str">
        <f t="shared" si="29"/>
        <v>QUÁ HẠN</v>
      </c>
      <c r="B289" s="36"/>
      <c r="C289" s="36">
        <f t="shared" si="28"/>
        <v>0</v>
      </c>
      <c r="D289" s="34">
        <f t="shared" si="30"/>
        <v>1</v>
      </c>
      <c r="E289" s="20">
        <f t="shared" si="31"/>
        <v>0</v>
      </c>
      <c r="F289" s="29"/>
      <c r="G289" s="30">
        <f t="shared" si="32"/>
        <v>0</v>
      </c>
      <c r="H289" s="20" t="str">
        <f t="shared" si="33"/>
        <v/>
      </c>
      <c r="I289" s="20">
        <f t="shared" si="34"/>
        <v>0</v>
      </c>
      <c r="J289" s="20"/>
      <c r="K289" s="20"/>
      <c r="N289" s="12"/>
    </row>
    <row r="290" spans="1:14" x14ac:dyDescent="0.3">
      <c r="A290" s="35" t="str">
        <f t="shared" si="29"/>
        <v>QUÁ HẠN</v>
      </c>
      <c r="B290" s="36"/>
      <c r="C290" s="36">
        <f t="shared" si="28"/>
        <v>0</v>
      </c>
      <c r="D290" s="34">
        <f t="shared" si="30"/>
        <v>1</v>
      </c>
      <c r="E290" s="20">
        <f t="shared" si="31"/>
        <v>0</v>
      </c>
      <c r="F290" s="29"/>
      <c r="G290" s="30">
        <f t="shared" si="32"/>
        <v>0</v>
      </c>
      <c r="H290" s="20" t="str">
        <f t="shared" si="33"/>
        <v/>
      </c>
      <c r="I290" s="20">
        <f t="shared" si="34"/>
        <v>0</v>
      </c>
      <c r="J290" s="20"/>
      <c r="K290" s="20"/>
      <c r="N290" s="12"/>
    </row>
    <row r="291" spans="1:14" x14ac:dyDescent="0.3">
      <c r="A291" s="35" t="str">
        <f t="shared" si="29"/>
        <v>QUÁ HẠN</v>
      </c>
      <c r="B291" s="36"/>
      <c r="C291" s="36">
        <f t="shared" ref="C291:C354" si="35">IFERROR(IF(B292="", $B$10, B292-1), $B$10)</f>
        <v>0</v>
      </c>
      <c r="D291" s="34">
        <f t="shared" si="30"/>
        <v>1</v>
      </c>
      <c r="E291" s="20">
        <f t="shared" si="31"/>
        <v>0</v>
      </c>
      <c r="F291" s="29"/>
      <c r="G291" s="30">
        <f t="shared" si="32"/>
        <v>0</v>
      </c>
      <c r="H291" s="20" t="str">
        <f t="shared" si="33"/>
        <v/>
      </c>
      <c r="I291" s="20">
        <f t="shared" si="34"/>
        <v>0</v>
      </c>
      <c r="J291" s="20"/>
      <c r="K291" s="20"/>
      <c r="N291" s="12"/>
    </row>
    <row r="292" spans="1:14" x14ac:dyDescent="0.3">
      <c r="A292" s="35" t="str">
        <f t="shared" si="29"/>
        <v>QUÁ HẠN</v>
      </c>
      <c r="B292" s="36"/>
      <c r="C292" s="36">
        <f t="shared" si="35"/>
        <v>0</v>
      </c>
      <c r="D292" s="34">
        <f t="shared" si="30"/>
        <v>1</v>
      </c>
      <c r="E292" s="20">
        <f t="shared" si="31"/>
        <v>0</v>
      </c>
      <c r="F292" s="29"/>
      <c r="G292" s="30">
        <f t="shared" si="32"/>
        <v>0</v>
      </c>
      <c r="H292" s="20" t="str">
        <f t="shared" si="33"/>
        <v/>
      </c>
      <c r="I292" s="20">
        <f t="shared" si="34"/>
        <v>0</v>
      </c>
      <c r="J292" s="20"/>
      <c r="K292" s="20"/>
      <c r="N292" s="12"/>
    </row>
    <row r="293" spans="1:14" x14ac:dyDescent="0.3">
      <c r="A293" s="35" t="str">
        <f t="shared" si="29"/>
        <v>QUÁ HẠN</v>
      </c>
      <c r="B293" s="36"/>
      <c r="C293" s="36">
        <f t="shared" si="35"/>
        <v>0</v>
      </c>
      <c r="D293" s="34">
        <f t="shared" si="30"/>
        <v>1</v>
      </c>
      <c r="E293" s="20">
        <f t="shared" si="31"/>
        <v>0</v>
      </c>
      <c r="F293" s="29"/>
      <c r="G293" s="30">
        <f t="shared" si="32"/>
        <v>0</v>
      </c>
      <c r="H293" s="20" t="str">
        <f t="shared" si="33"/>
        <v/>
      </c>
      <c r="I293" s="20">
        <f t="shared" si="34"/>
        <v>0</v>
      </c>
      <c r="J293" s="20"/>
      <c r="K293" s="20"/>
      <c r="N293" s="12"/>
    </row>
    <row r="294" spans="1:14" x14ac:dyDescent="0.3">
      <c r="A294" s="35" t="str">
        <f t="shared" si="29"/>
        <v>QUÁ HẠN</v>
      </c>
      <c r="B294" s="36"/>
      <c r="C294" s="36">
        <f t="shared" si="35"/>
        <v>0</v>
      </c>
      <c r="D294" s="34">
        <f t="shared" si="30"/>
        <v>1</v>
      </c>
      <c r="E294" s="20">
        <f t="shared" si="31"/>
        <v>0</v>
      </c>
      <c r="F294" s="29"/>
      <c r="G294" s="30">
        <f t="shared" si="32"/>
        <v>0</v>
      </c>
      <c r="H294" s="20" t="str">
        <f t="shared" si="33"/>
        <v/>
      </c>
      <c r="I294" s="20">
        <f t="shared" si="34"/>
        <v>0</v>
      </c>
      <c r="J294" s="20"/>
      <c r="K294" s="20"/>
      <c r="N294" s="12"/>
    </row>
    <row r="295" spans="1:14" x14ac:dyDescent="0.3">
      <c r="A295" s="35" t="str">
        <f t="shared" ref="A295:A300" si="36">IF(B295&gt;=$B$9,"QUÁ HẠN", "TRONG HẠN")</f>
        <v>QUÁ HẠN</v>
      </c>
      <c r="B295" s="36"/>
      <c r="C295" s="36">
        <f t="shared" si="35"/>
        <v>0</v>
      </c>
      <c r="D295" s="34">
        <f t="shared" ref="D295:D300" si="37">C295-B295+1</f>
        <v>1</v>
      </c>
      <c r="E295" s="20">
        <f t="shared" ref="E295:E300" si="38">E294-J295</f>
        <v>0</v>
      </c>
      <c r="F295" s="29"/>
      <c r="G295" s="30">
        <f t="shared" ref="G295:G300" si="39">IF(A295="QUÁ HẠN", F295*1.5,"")</f>
        <v>0</v>
      </c>
      <c r="H295" s="20" t="str">
        <f t="shared" ref="H295:H300" si="40">IF(A295="TRONG HẠN",D295*E295*F295/365,"")</f>
        <v/>
      </c>
      <c r="I295" s="20">
        <f t="shared" ref="I295:I300" si="41">IF(A295="QUÁ HẠN",D295*E295*G295/365,"")</f>
        <v>0</v>
      </c>
      <c r="J295" s="20"/>
      <c r="K295" s="20"/>
      <c r="N295" s="12"/>
    </row>
    <row r="296" spans="1:14" x14ac:dyDescent="0.3">
      <c r="A296" s="35" t="str">
        <f t="shared" si="36"/>
        <v>QUÁ HẠN</v>
      </c>
      <c r="B296" s="36"/>
      <c r="C296" s="36">
        <f t="shared" si="35"/>
        <v>0</v>
      </c>
      <c r="D296" s="34">
        <f t="shared" si="37"/>
        <v>1</v>
      </c>
      <c r="E296" s="20">
        <f t="shared" si="38"/>
        <v>0</v>
      </c>
      <c r="F296" s="29"/>
      <c r="G296" s="30">
        <f t="shared" si="39"/>
        <v>0</v>
      </c>
      <c r="H296" s="20" t="str">
        <f t="shared" si="40"/>
        <v/>
      </c>
      <c r="I296" s="20">
        <f t="shared" si="41"/>
        <v>0</v>
      </c>
      <c r="J296" s="20"/>
      <c r="K296" s="20"/>
      <c r="N296" s="12"/>
    </row>
    <row r="297" spans="1:14" x14ac:dyDescent="0.3">
      <c r="A297" s="35" t="str">
        <f t="shared" si="36"/>
        <v>QUÁ HẠN</v>
      </c>
      <c r="B297" s="36"/>
      <c r="C297" s="36">
        <f t="shared" si="35"/>
        <v>0</v>
      </c>
      <c r="D297" s="34">
        <f t="shared" si="37"/>
        <v>1</v>
      </c>
      <c r="E297" s="20">
        <f t="shared" si="38"/>
        <v>0</v>
      </c>
      <c r="F297" s="29"/>
      <c r="G297" s="30">
        <f t="shared" si="39"/>
        <v>0</v>
      </c>
      <c r="H297" s="20" t="str">
        <f t="shared" si="40"/>
        <v/>
      </c>
      <c r="I297" s="20">
        <f t="shared" si="41"/>
        <v>0</v>
      </c>
      <c r="J297" s="20"/>
      <c r="K297" s="20"/>
      <c r="N297" s="12"/>
    </row>
    <row r="298" spans="1:14" x14ac:dyDescent="0.3">
      <c r="A298" s="35" t="str">
        <f t="shared" si="36"/>
        <v>QUÁ HẠN</v>
      </c>
      <c r="B298" s="36"/>
      <c r="C298" s="36">
        <f t="shared" si="35"/>
        <v>0</v>
      </c>
      <c r="D298" s="34">
        <f t="shared" si="37"/>
        <v>1</v>
      </c>
      <c r="E298" s="20">
        <f t="shared" si="38"/>
        <v>0</v>
      </c>
      <c r="F298" s="29"/>
      <c r="G298" s="30">
        <f t="shared" si="39"/>
        <v>0</v>
      </c>
      <c r="H298" s="20" t="str">
        <f t="shared" si="40"/>
        <v/>
      </c>
      <c r="I298" s="20">
        <f t="shared" si="41"/>
        <v>0</v>
      </c>
      <c r="J298" s="20"/>
      <c r="K298" s="20"/>
      <c r="N298" s="12"/>
    </row>
    <row r="299" spans="1:14" x14ac:dyDescent="0.3">
      <c r="A299" s="35" t="str">
        <f t="shared" si="36"/>
        <v>QUÁ HẠN</v>
      </c>
      <c r="B299" s="36"/>
      <c r="C299" s="36">
        <f t="shared" si="35"/>
        <v>0</v>
      </c>
      <c r="D299" s="34">
        <f t="shared" si="37"/>
        <v>1</v>
      </c>
      <c r="E299" s="20">
        <f t="shared" si="38"/>
        <v>0</v>
      </c>
      <c r="F299" s="29"/>
      <c r="G299" s="30">
        <f t="shared" si="39"/>
        <v>0</v>
      </c>
      <c r="H299" s="20" t="str">
        <f t="shared" si="40"/>
        <v/>
      </c>
      <c r="I299" s="20">
        <f t="shared" si="41"/>
        <v>0</v>
      </c>
      <c r="J299" s="20"/>
      <c r="K299" s="20"/>
      <c r="N299" s="12"/>
    </row>
    <row r="300" spans="1:14" x14ac:dyDescent="0.3">
      <c r="A300" s="35" t="str">
        <f t="shared" si="36"/>
        <v>QUÁ HẠN</v>
      </c>
      <c r="B300" s="36"/>
      <c r="C300" s="36">
        <f t="shared" si="35"/>
        <v>0</v>
      </c>
      <c r="D300" s="34">
        <f t="shared" si="37"/>
        <v>1</v>
      </c>
      <c r="E300" s="20">
        <f t="shared" si="38"/>
        <v>0</v>
      </c>
      <c r="F300" s="29"/>
      <c r="G300" s="30">
        <f t="shared" si="39"/>
        <v>0</v>
      </c>
      <c r="H300" s="20" t="str">
        <f t="shared" si="40"/>
        <v/>
      </c>
      <c r="I300" s="20">
        <f t="shared" si="41"/>
        <v>0</v>
      </c>
      <c r="J300" s="20"/>
      <c r="K300" s="20"/>
      <c r="N300" s="12"/>
    </row>
    <row r="301" spans="1:14" x14ac:dyDescent="0.3">
      <c r="A301" s="35" t="str">
        <f t="shared" ref="A301:A364" si="42">IF(B301&gt;=$B$9,"QUÁ HẠN", "TRONG HẠN")</f>
        <v>QUÁ HẠN</v>
      </c>
      <c r="B301" s="36"/>
      <c r="C301" s="36">
        <f t="shared" si="35"/>
        <v>0</v>
      </c>
      <c r="D301" s="34">
        <f t="shared" ref="D301:D364" si="43">C301-B301+1</f>
        <v>1</v>
      </c>
      <c r="E301" s="20">
        <f t="shared" ref="E301:E364" si="44">E300-J301</f>
        <v>0</v>
      </c>
      <c r="F301" s="29"/>
      <c r="G301" s="30">
        <f t="shared" ref="G301:G364" si="45">IF(A301="QUÁ HẠN", F301*1.5,"")</f>
        <v>0</v>
      </c>
      <c r="H301" s="20" t="str">
        <f t="shared" ref="H301:H364" si="46">IF(A301="TRONG HẠN",D301*E301*F301/365,"")</f>
        <v/>
      </c>
      <c r="I301" s="20">
        <f t="shared" ref="I301:I364" si="47">IF(A301="QUÁ HẠN",D301*E301*G301/365,"")</f>
        <v>0</v>
      </c>
      <c r="J301" s="20"/>
      <c r="K301" s="20"/>
      <c r="N301" s="12"/>
    </row>
    <row r="302" spans="1:14" x14ac:dyDescent="0.3">
      <c r="A302" s="35" t="str">
        <f t="shared" si="42"/>
        <v>QUÁ HẠN</v>
      </c>
      <c r="B302" s="36"/>
      <c r="C302" s="36">
        <f t="shared" si="35"/>
        <v>0</v>
      </c>
      <c r="D302" s="34">
        <f t="shared" si="43"/>
        <v>1</v>
      </c>
      <c r="E302" s="20">
        <f t="shared" si="44"/>
        <v>0</v>
      </c>
      <c r="F302" s="29"/>
      <c r="G302" s="30">
        <f t="shared" si="45"/>
        <v>0</v>
      </c>
      <c r="H302" s="20" t="str">
        <f t="shared" si="46"/>
        <v/>
      </c>
      <c r="I302" s="20">
        <f t="shared" si="47"/>
        <v>0</v>
      </c>
      <c r="J302" s="20"/>
      <c r="K302" s="20"/>
      <c r="N302" s="12"/>
    </row>
    <row r="303" spans="1:14" x14ac:dyDescent="0.3">
      <c r="A303" s="35" t="str">
        <f t="shared" si="42"/>
        <v>QUÁ HẠN</v>
      </c>
      <c r="B303" s="36"/>
      <c r="C303" s="36">
        <f t="shared" si="35"/>
        <v>0</v>
      </c>
      <c r="D303" s="34">
        <f t="shared" si="43"/>
        <v>1</v>
      </c>
      <c r="E303" s="20">
        <f t="shared" si="44"/>
        <v>0</v>
      </c>
      <c r="F303" s="29"/>
      <c r="G303" s="30">
        <f t="shared" si="45"/>
        <v>0</v>
      </c>
      <c r="H303" s="20" t="str">
        <f t="shared" si="46"/>
        <v/>
      </c>
      <c r="I303" s="20">
        <f t="shared" si="47"/>
        <v>0</v>
      </c>
      <c r="J303" s="20"/>
      <c r="K303" s="20"/>
      <c r="N303" s="12"/>
    </row>
    <row r="304" spans="1:14" x14ac:dyDescent="0.3">
      <c r="A304" s="35" t="str">
        <f t="shared" si="42"/>
        <v>QUÁ HẠN</v>
      </c>
      <c r="B304" s="36"/>
      <c r="C304" s="36">
        <f t="shared" si="35"/>
        <v>0</v>
      </c>
      <c r="D304" s="34">
        <f t="shared" si="43"/>
        <v>1</v>
      </c>
      <c r="E304" s="20">
        <f t="shared" si="44"/>
        <v>0</v>
      </c>
      <c r="F304" s="29"/>
      <c r="G304" s="30">
        <f t="shared" si="45"/>
        <v>0</v>
      </c>
      <c r="H304" s="20" t="str">
        <f t="shared" si="46"/>
        <v/>
      </c>
      <c r="I304" s="20">
        <f t="shared" si="47"/>
        <v>0</v>
      </c>
      <c r="J304" s="20"/>
      <c r="K304" s="20"/>
      <c r="N304" s="12"/>
    </row>
    <row r="305" spans="1:14" x14ac:dyDescent="0.3">
      <c r="A305" s="35" t="str">
        <f t="shared" si="42"/>
        <v>QUÁ HẠN</v>
      </c>
      <c r="B305" s="36"/>
      <c r="C305" s="36">
        <f t="shared" si="35"/>
        <v>0</v>
      </c>
      <c r="D305" s="34">
        <f t="shared" si="43"/>
        <v>1</v>
      </c>
      <c r="E305" s="20">
        <f t="shared" si="44"/>
        <v>0</v>
      </c>
      <c r="F305" s="29"/>
      <c r="G305" s="30">
        <f t="shared" si="45"/>
        <v>0</v>
      </c>
      <c r="H305" s="20" t="str">
        <f t="shared" si="46"/>
        <v/>
      </c>
      <c r="I305" s="20">
        <f t="shared" si="47"/>
        <v>0</v>
      </c>
      <c r="J305" s="20"/>
      <c r="K305" s="20"/>
      <c r="N305" s="12"/>
    </row>
    <row r="306" spans="1:14" x14ac:dyDescent="0.3">
      <c r="A306" s="35" t="str">
        <f t="shared" si="42"/>
        <v>QUÁ HẠN</v>
      </c>
      <c r="B306" s="36"/>
      <c r="C306" s="36">
        <f t="shared" si="35"/>
        <v>0</v>
      </c>
      <c r="D306" s="34">
        <f t="shared" si="43"/>
        <v>1</v>
      </c>
      <c r="E306" s="20">
        <f t="shared" si="44"/>
        <v>0</v>
      </c>
      <c r="F306" s="29"/>
      <c r="G306" s="30">
        <f t="shared" si="45"/>
        <v>0</v>
      </c>
      <c r="H306" s="20" t="str">
        <f t="shared" si="46"/>
        <v/>
      </c>
      <c r="I306" s="20">
        <f t="shared" si="47"/>
        <v>0</v>
      </c>
      <c r="J306" s="20"/>
      <c r="K306" s="20"/>
      <c r="N306" s="12"/>
    </row>
    <row r="307" spans="1:14" x14ac:dyDescent="0.3">
      <c r="A307" s="35" t="str">
        <f t="shared" si="42"/>
        <v>QUÁ HẠN</v>
      </c>
      <c r="B307" s="36"/>
      <c r="C307" s="36">
        <f t="shared" si="35"/>
        <v>0</v>
      </c>
      <c r="D307" s="34">
        <f t="shared" si="43"/>
        <v>1</v>
      </c>
      <c r="E307" s="20">
        <f t="shared" si="44"/>
        <v>0</v>
      </c>
      <c r="F307" s="29"/>
      <c r="G307" s="30">
        <f t="shared" si="45"/>
        <v>0</v>
      </c>
      <c r="H307" s="20" t="str">
        <f t="shared" si="46"/>
        <v/>
      </c>
      <c r="I307" s="20">
        <f t="shared" si="47"/>
        <v>0</v>
      </c>
      <c r="J307" s="20"/>
      <c r="K307" s="20"/>
      <c r="N307" s="12"/>
    </row>
    <row r="308" spans="1:14" x14ac:dyDescent="0.3">
      <c r="A308" s="35" t="str">
        <f t="shared" si="42"/>
        <v>QUÁ HẠN</v>
      </c>
      <c r="B308" s="36"/>
      <c r="C308" s="36">
        <f t="shared" si="35"/>
        <v>0</v>
      </c>
      <c r="D308" s="34">
        <f t="shared" si="43"/>
        <v>1</v>
      </c>
      <c r="E308" s="20">
        <f t="shared" si="44"/>
        <v>0</v>
      </c>
      <c r="F308" s="29"/>
      <c r="G308" s="30">
        <f t="shared" si="45"/>
        <v>0</v>
      </c>
      <c r="H308" s="20" t="str">
        <f t="shared" si="46"/>
        <v/>
      </c>
      <c r="I308" s="20">
        <f t="shared" si="47"/>
        <v>0</v>
      </c>
      <c r="J308" s="20"/>
      <c r="K308" s="20"/>
      <c r="N308" s="12"/>
    </row>
    <row r="309" spans="1:14" x14ac:dyDescent="0.3">
      <c r="A309" s="35" t="str">
        <f t="shared" si="42"/>
        <v>QUÁ HẠN</v>
      </c>
      <c r="B309" s="36"/>
      <c r="C309" s="36">
        <f t="shared" si="35"/>
        <v>0</v>
      </c>
      <c r="D309" s="34">
        <f t="shared" si="43"/>
        <v>1</v>
      </c>
      <c r="E309" s="20">
        <f t="shared" si="44"/>
        <v>0</v>
      </c>
      <c r="F309" s="29"/>
      <c r="G309" s="30">
        <f t="shared" si="45"/>
        <v>0</v>
      </c>
      <c r="H309" s="20" t="str">
        <f t="shared" si="46"/>
        <v/>
      </c>
      <c r="I309" s="20">
        <f t="shared" si="47"/>
        <v>0</v>
      </c>
      <c r="J309" s="20"/>
      <c r="K309" s="20"/>
      <c r="N309" s="12"/>
    </row>
    <row r="310" spans="1:14" x14ac:dyDescent="0.3">
      <c r="A310" s="35" t="str">
        <f t="shared" si="42"/>
        <v>QUÁ HẠN</v>
      </c>
      <c r="B310" s="36"/>
      <c r="C310" s="36">
        <f t="shared" si="35"/>
        <v>0</v>
      </c>
      <c r="D310" s="34">
        <f t="shared" si="43"/>
        <v>1</v>
      </c>
      <c r="E310" s="20">
        <f t="shared" si="44"/>
        <v>0</v>
      </c>
      <c r="F310" s="29"/>
      <c r="G310" s="30">
        <f t="shared" si="45"/>
        <v>0</v>
      </c>
      <c r="H310" s="20" t="str">
        <f t="shared" si="46"/>
        <v/>
      </c>
      <c r="I310" s="20">
        <f t="shared" si="47"/>
        <v>0</v>
      </c>
      <c r="J310" s="20"/>
      <c r="K310" s="20"/>
      <c r="N310" s="12"/>
    </row>
    <row r="311" spans="1:14" x14ac:dyDescent="0.3">
      <c r="A311" s="35" t="str">
        <f t="shared" si="42"/>
        <v>QUÁ HẠN</v>
      </c>
      <c r="B311" s="36"/>
      <c r="C311" s="36">
        <f t="shared" si="35"/>
        <v>0</v>
      </c>
      <c r="D311" s="34">
        <f t="shared" si="43"/>
        <v>1</v>
      </c>
      <c r="E311" s="20">
        <f t="shared" si="44"/>
        <v>0</v>
      </c>
      <c r="F311" s="29"/>
      <c r="G311" s="30">
        <f t="shared" si="45"/>
        <v>0</v>
      </c>
      <c r="H311" s="20" t="str">
        <f t="shared" si="46"/>
        <v/>
      </c>
      <c r="I311" s="20">
        <f t="shared" si="47"/>
        <v>0</v>
      </c>
      <c r="J311" s="20"/>
      <c r="K311" s="20"/>
      <c r="N311" s="12"/>
    </row>
    <row r="312" spans="1:14" x14ac:dyDescent="0.3">
      <c r="A312" s="35" t="str">
        <f t="shared" si="42"/>
        <v>QUÁ HẠN</v>
      </c>
      <c r="B312" s="36"/>
      <c r="C312" s="36">
        <f t="shared" si="35"/>
        <v>0</v>
      </c>
      <c r="D312" s="34">
        <f t="shared" si="43"/>
        <v>1</v>
      </c>
      <c r="E312" s="20">
        <f t="shared" si="44"/>
        <v>0</v>
      </c>
      <c r="F312" s="29"/>
      <c r="G312" s="30">
        <f t="shared" si="45"/>
        <v>0</v>
      </c>
      <c r="H312" s="20" t="str">
        <f t="shared" si="46"/>
        <v/>
      </c>
      <c r="I312" s="20">
        <f t="shared" si="47"/>
        <v>0</v>
      </c>
      <c r="J312" s="20"/>
      <c r="K312" s="20"/>
      <c r="N312" s="12"/>
    </row>
    <row r="313" spans="1:14" x14ac:dyDescent="0.3">
      <c r="A313" s="35" t="str">
        <f t="shared" si="42"/>
        <v>QUÁ HẠN</v>
      </c>
      <c r="B313" s="36"/>
      <c r="C313" s="36">
        <f t="shared" si="35"/>
        <v>0</v>
      </c>
      <c r="D313" s="34">
        <f t="shared" si="43"/>
        <v>1</v>
      </c>
      <c r="E313" s="20">
        <f t="shared" si="44"/>
        <v>0</v>
      </c>
      <c r="F313" s="29"/>
      <c r="G313" s="30">
        <f t="shared" si="45"/>
        <v>0</v>
      </c>
      <c r="H313" s="20" t="str">
        <f t="shared" si="46"/>
        <v/>
      </c>
      <c r="I313" s="20">
        <f t="shared" si="47"/>
        <v>0</v>
      </c>
      <c r="J313" s="20"/>
      <c r="K313" s="20"/>
      <c r="N313" s="12"/>
    </row>
    <row r="314" spans="1:14" x14ac:dyDescent="0.3">
      <c r="A314" s="35" t="str">
        <f t="shared" si="42"/>
        <v>QUÁ HẠN</v>
      </c>
      <c r="B314" s="36"/>
      <c r="C314" s="36">
        <f t="shared" si="35"/>
        <v>0</v>
      </c>
      <c r="D314" s="34">
        <f t="shared" si="43"/>
        <v>1</v>
      </c>
      <c r="E314" s="20">
        <f t="shared" si="44"/>
        <v>0</v>
      </c>
      <c r="F314" s="29"/>
      <c r="G314" s="30">
        <f t="shared" si="45"/>
        <v>0</v>
      </c>
      <c r="H314" s="20" t="str">
        <f t="shared" si="46"/>
        <v/>
      </c>
      <c r="I314" s="20">
        <f t="shared" si="47"/>
        <v>0</v>
      </c>
      <c r="J314" s="20"/>
      <c r="K314" s="20"/>
      <c r="N314" s="12"/>
    </row>
    <row r="315" spans="1:14" x14ac:dyDescent="0.3">
      <c r="A315" s="35" t="str">
        <f t="shared" si="42"/>
        <v>QUÁ HẠN</v>
      </c>
      <c r="B315" s="36"/>
      <c r="C315" s="36">
        <f t="shared" si="35"/>
        <v>0</v>
      </c>
      <c r="D315" s="34">
        <f t="shared" si="43"/>
        <v>1</v>
      </c>
      <c r="E315" s="20">
        <f t="shared" si="44"/>
        <v>0</v>
      </c>
      <c r="F315" s="29"/>
      <c r="G315" s="30">
        <f t="shared" si="45"/>
        <v>0</v>
      </c>
      <c r="H315" s="20" t="str">
        <f t="shared" si="46"/>
        <v/>
      </c>
      <c r="I315" s="20">
        <f t="shared" si="47"/>
        <v>0</v>
      </c>
      <c r="J315" s="20"/>
      <c r="K315" s="20"/>
      <c r="N315" s="12"/>
    </row>
    <row r="316" spans="1:14" x14ac:dyDescent="0.3">
      <c r="A316" s="35" t="str">
        <f t="shared" si="42"/>
        <v>QUÁ HẠN</v>
      </c>
      <c r="B316" s="36"/>
      <c r="C316" s="36">
        <f t="shared" si="35"/>
        <v>0</v>
      </c>
      <c r="D316" s="34">
        <f t="shared" si="43"/>
        <v>1</v>
      </c>
      <c r="E316" s="20">
        <f t="shared" si="44"/>
        <v>0</v>
      </c>
      <c r="F316" s="29"/>
      <c r="G316" s="30">
        <f t="shared" si="45"/>
        <v>0</v>
      </c>
      <c r="H316" s="20" t="str">
        <f t="shared" si="46"/>
        <v/>
      </c>
      <c r="I316" s="20">
        <f t="shared" si="47"/>
        <v>0</v>
      </c>
      <c r="J316" s="20"/>
      <c r="K316" s="20"/>
      <c r="N316" s="12"/>
    </row>
    <row r="317" spans="1:14" x14ac:dyDescent="0.3">
      <c r="A317" s="35" t="str">
        <f t="shared" si="42"/>
        <v>QUÁ HẠN</v>
      </c>
      <c r="B317" s="36"/>
      <c r="C317" s="36">
        <f t="shared" si="35"/>
        <v>0</v>
      </c>
      <c r="D317" s="34">
        <f t="shared" si="43"/>
        <v>1</v>
      </c>
      <c r="E317" s="20">
        <f t="shared" si="44"/>
        <v>0</v>
      </c>
      <c r="F317" s="29"/>
      <c r="G317" s="30">
        <f t="shared" si="45"/>
        <v>0</v>
      </c>
      <c r="H317" s="20" t="str">
        <f t="shared" si="46"/>
        <v/>
      </c>
      <c r="I317" s="20">
        <f t="shared" si="47"/>
        <v>0</v>
      </c>
      <c r="J317" s="20"/>
      <c r="K317" s="20"/>
      <c r="N317" s="12"/>
    </row>
    <row r="318" spans="1:14" x14ac:dyDescent="0.3">
      <c r="A318" s="35" t="str">
        <f t="shared" si="42"/>
        <v>QUÁ HẠN</v>
      </c>
      <c r="B318" s="36"/>
      <c r="C318" s="36">
        <f t="shared" si="35"/>
        <v>0</v>
      </c>
      <c r="D318" s="34">
        <f t="shared" si="43"/>
        <v>1</v>
      </c>
      <c r="E318" s="20">
        <f t="shared" si="44"/>
        <v>0</v>
      </c>
      <c r="F318" s="29"/>
      <c r="G318" s="30">
        <f t="shared" si="45"/>
        <v>0</v>
      </c>
      <c r="H318" s="20" t="str">
        <f t="shared" si="46"/>
        <v/>
      </c>
      <c r="I318" s="20">
        <f t="shared" si="47"/>
        <v>0</v>
      </c>
      <c r="J318" s="20"/>
      <c r="K318" s="20"/>
      <c r="N318" s="12"/>
    </row>
    <row r="319" spans="1:14" x14ac:dyDescent="0.3">
      <c r="A319" s="35" t="str">
        <f t="shared" si="42"/>
        <v>QUÁ HẠN</v>
      </c>
      <c r="B319" s="36"/>
      <c r="C319" s="36">
        <f t="shared" si="35"/>
        <v>0</v>
      </c>
      <c r="D319" s="34">
        <f t="shared" si="43"/>
        <v>1</v>
      </c>
      <c r="E319" s="20">
        <f t="shared" si="44"/>
        <v>0</v>
      </c>
      <c r="F319" s="29"/>
      <c r="G319" s="30">
        <f t="shared" si="45"/>
        <v>0</v>
      </c>
      <c r="H319" s="20" t="str">
        <f t="shared" si="46"/>
        <v/>
      </c>
      <c r="I319" s="20">
        <f t="shared" si="47"/>
        <v>0</v>
      </c>
      <c r="J319" s="20"/>
      <c r="K319" s="20"/>
      <c r="N319" s="12"/>
    </row>
    <row r="320" spans="1:14" x14ac:dyDescent="0.3">
      <c r="A320" s="35" t="str">
        <f t="shared" si="42"/>
        <v>QUÁ HẠN</v>
      </c>
      <c r="B320" s="36"/>
      <c r="C320" s="36">
        <f t="shared" si="35"/>
        <v>0</v>
      </c>
      <c r="D320" s="34">
        <f t="shared" si="43"/>
        <v>1</v>
      </c>
      <c r="E320" s="20">
        <f t="shared" si="44"/>
        <v>0</v>
      </c>
      <c r="F320" s="29"/>
      <c r="G320" s="30">
        <f t="shared" si="45"/>
        <v>0</v>
      </c>
      <c r="H320" s="20" t="str">
        <f t="shared" si="46"/>
        <v/>
      </c>
      <c r="I320" s="20">
        <f t="shared" si="47"/>
        <v>0</v>
      </c>
      <c r="J320" s="20"/>
      <c r="K320" s="20"/>
      <c r="N320" s="12"/>
    </row>
    <row r="321" spans="1:14" x14ac:dyDescent="0.3">
      <c r="A321" s="35" t="str">
        <f t="shared" si="42"/>
        <v>QUÁ HẠN</v>
      </c>
      <c r="B321" s="36"/>
      <c r="C321" s="36">
        <f t="shared" si="35"/>
        <v>0</v>
      </c>
      <c r="D321" s="34">
        <f t="shared" si="43"/>
        <v>1</v>
      </c>
      <c r="E321" s="20">
        <f t="shared" si="44"/>
        <v>0</v>
      </c>
      <c r="F321" s="29"/>
      <c r="G321" s="30">
        <f t="shared" si="45"/>
        <v>0</v>
      </c>
      <c r="H321" s="20" t="str">
        <f t="shared" si="46"/>
        <v/>
      </c>
      <c r="I321" s="20">
        <f t="shared" si="47"/>
        <v>0</v>
      </c>
      <c r="J321" s="20"/>
      <c r="K321" s="20"/>
      <c r="N321" s="12"/>
    </row>
    <row r="322" spans="1:14" x14ac:dyDescent="0.3">
      <c r="A322" s="35" t="str">
        <f t="shared" si="42"/>
        <v>QUÁ HẠN</v>
      </c>
      <c r="B322" s="36"/>
      <c r="C322" s="36">
        <f t="shared" si="35"/>
        <v>0</v>
      </c>
      <c r="D322" s="34">
        <f t="shared" si="43"/>
        <v>1</v>
      </c>
      <c r="E322" s="20">
        <f t="shared" si="44"/>
        <v>0</v>
      </c>
      <c r="F322" s="29"/>
      <c r="G322" s="30">
        <f t="shared" si="45"/>
        <v>0</v>
      </c>
      <c r="H322" s="20" t="str">
        <f t="shared" si="46"/>
        <v/>
      </c>
      <c r="I322" s="20">
        <f t="shared" si="47"/>
        <v>0</v>
      </c>
      <c r="J322" s="20"/>
      <c r="K322" s="20"/>
      <c r="N322" s="12"/>
    </row>
    <row r="323" spans="1:14" x14ac:dyDescent="0.3">
      <c r="A323" s="35" t="str">
        <f t="shared" si="42"/>
        <v>QUÁ HẠN</v>
      </c>
      <c r="B323" s="36"/>
      <c r="C323" s="36">
        <f t="shared" si="35"/>
        <v>0</v>
      </c>
      <c r="D323" s="34">
        <f t="shared" si="43"/>
        <v>1</v>
      </c>
      <c r="E323" s="20">
        <f t="shared" si="44"/>
        <v>0</v>
      </c>
      <c r="F323" s="29"/>
      <c r="G323" s="30">
        <f t="shared" si="45"/>
        <v>0</v>
      </c>
      <c r="H323" s="20" t="str">
        <f t="shared" si="46"/>
        <v/>
      </c>
      <c r="I323" s="20">
        <f t="shared" si="47"/>
        <v>0</v>
      </c>
      <c r="J323" s="20"/>
      <c r="K323" s="20"/>
      <c r="N323" s="12"/>
    </row>
    <row r="324" spans="1:14" x14ac:dyDescent="0.3">
      <c r="A324" s="35" t="str">
        <f t="shared" si="42"/>
        <v>QUÁ HẠN</v>
      </c>
      <c r="B324" s="36"/>
      <c r="C324" s="36">
        <f t="shared" si="35"/>
        <v>0</v>
      </c>
      <c r="D324" s="34">
        <f t="shared" si="43"/>
        <v>1</v>
      </c>
      <c r="E324" s="20">
        <f t="shared" si="44"/>
        <v>0</v>
      </c>
      <c r="F324" s="29"/>
      <c r="G324" s="30">
        <f t="shared" si="45"/>
        <v>0</v>
      </c>
      <c r="H324" s="20" t="str">
        <f t="shared" si="46"/>
        <v/>
      </c>
      <c r="I324" s="20">
        <f t="shared" si="47"/>
        <v>0</v>
      </c>
      <c r="J324" s="20"/>
      <c r="K324" s="20"/>
      <c r="N324" s="12"/>
    </row>
    <row r="325" spans="1:14" x14ac:dyDescent="0.3">
      <c r="A325" s="35" t="str">
        <f t="shared" si="42"/>
        <v>QUÁ HẠN</v>
      </c>
      <c r="B325" s="36"/>
      <c r="C325" s="36">
        <f t="shared" si="35"/>
        <v>0</v>
      </c>
      <c r="D325" s="34">
        <f t="shared" si="43"/>
        <v>1</v>
      </c>
      <c r="E325" s="20">
        <f t="shared" si="44"/>
        <v>0</v>
      </c>
      <c r="F325" s="29"/>
      <c r="G325" s="30">
        <f t="shared" si="45"/>
        <v>0</v>
      </c>
      <c r="H325" s="20" t="str">
        <f t="shared" si="46"/>
        <v/>
      </c>
      <c r="I325" s="20">
        <f t="shared" si="47"/>
        <v>0</v>
      </c>
      <c r="J325" s="20"/>
      <c r="K325" s="20"/>
      <c r="N325" s="12"/>
    </row>
    <row r="326" spans="1:14" x14ac:dyDescent="0.3">
      <c r="A326" s="35" t="str">
        <f t="shared" si="42"/>
        <v>QUÁ HẠN</v>
      </c>
      <c r="B326" s="36"/>
      <c r="C326" s="36">
        <f t="shared" si="35"/>
        <v>0</v>
      </c>
      <c r="D326" s="34">
        <f t="shared" si="43"/>
        <v>1</v>
      </c>
      <c r="E326" s="20">
        <f t="shared" si="44"/>
        <v>0</v>
      </c>
      <c r="F326" s="29"/>
      <c r="G326" s="30">
        <f t="shared" si="45"/>
        <v>0</v>
      </c>
      <c r="H326" s="20" t="str">
        <f t="shared" si="46"/>
        <v/>
      </c>
      <c r="I326" s="20">
        <f t="shared" si="47"/>
        <v>0</v>
      </c>
      <c r="J326" s="20"/>
      <c r="K326" s="20"/>
      <c r="N326" s="12"/>
    </row>
    <row r="327" spans="1:14" x14ac:dyDescent="0.3">
      <c r="A327" s="35" t="str">
        <f t="shared" si="42"/>
        <v>QUÁ HẠN</v>
      </c>
      <c r="B327" s="36"/>
      <c r="C327" s="36">
        <f t="shared" si="35"/>
        <v>0</v>
      </c>
      <c r="D327" s="34">
        <f t="shared" si="43"/>
        <v>1</v>
      </c>
      <c r="E327" s="20">
        <f t="shared" si="44"/>
        <v>0</v>
      </c>
      <c r="F327" s="29"/>
      <c r="G327" s="30">
        <f t="shared" si="45"/>
        <v>0</v>
      </c>
      <c r="H327" s="20" t="str">
        <f t="shared" si="46"/>
        <v/>
      </c>
      <c r="I327" s="20">
        <f t="shared" si="47"/>
        <v>0</v>
      </c>
      <c r="J327" s="20"/>
      <c r="K327" s="20"/>
      <c r="N327" s="12"/>
    </row>
    <row r="328" spans="1:14" x14ac:dyDescent="0.3">
      <c r="A328" s="35" t="str">
        <f t="shared" si="42"/>
        <v>QUÁ HẠN</v>
      </c>
      <c r="B328" s="36"/>
      <c r="C328" s="36">
        <f t="shared" si="35"/>
        <v>0</v>
      </c>
      <c r="D328" s="34">
        <f t="shared" si="43"/>
        <v>1</v>
      </c>
      <c r="E328" s="20">
        <f t="shared" si="44"/>
        <v>0</v>
      </c>
      <c r="F328" s="29"/>
      <c r="G328" s="30">
        <f t="shared" si="45"/>
        <v>0</v>
      </c>
      <c r="H328" s="20" t="str">
        <f t="shared" si="46"/>
        <v/>
      </c>
      <c r="I328" s="20">
        <f t="shared" si="47"/>
        <v>0</v>
      </c>
      <c r="J328" s="20"/>
      <c r="K328" s="20"/>
      <c r="N328" s="12"/>
    </row>
    <row r="329" spans="1:14" x14ac:dyDescent="0.3">
      <c r="A329" s="35" t="str">
        <f t="shared" si="42"/>
        <v>QUÁ HẠN</v>
      </c>
      <c r="B329" s="36"/>
      <c r="C329" s="36">
        <f t="shared" si="35"/>
        <v>0</v>
      </c>
      <c r="D329" s="34">
        <f t="shared" si="43"/>
        <v>1</v>
      </c>
      <c r="E329" s="20">
        <f t="shared" si="44"/>
        <v>0</v>
      </c>
      <c r="F329" s="29"/>
      <c r="G329" s="30">
        <f t="shared" si="45"/>
        <v>0</v>
      </c>
      <c r="H329" s="20" t="str">
        <f t="shared" si="46"/>
        <v/>
      </c>
      <c r="I329" s="20">
        <f t="shared" si="47"/>
        <v>0</v>
      </c>
      <c r="J329" s="20"/>
      <c r="K329" s="20"/>
      <c r="N329" s="12"/>
    </row>
    <row r="330" spans="1:14" x14ac:dyDescent="0.3">
      <c r="A330" s="35" t="str">
        <f t="shared" si="42"/>
        <v>QUÁ HẠN</v>
      </c>
      <c r="B330" s="36"/>
      <c r="C330" s="36">
        <f t="shared" si="35"/>
        <v>0</v>
      </c>
      <c r="D330" s="34">
        <f t="shared" si="43"/>
        <v>1</v>
      </c>
      <c r="E330" s="20">
        <f t="shared" si="44"/>
        <v>0</v>
      </c>
      <c r="F330" s="29"/>
      <c r="G330" s="30">
        <f t="shared" si="45"/>
        <v>0</v>
      </c>
      <c r="H330" s="20" t="str">
        <f t="shared" si="46"/>
        <v/>
      </c>
      <c r="I330" s="20">
        <f t="shared" si="47"/>
        <v>0</v>
      </c>
      <c r="J330" s="20"/>
      <c r="K330" s="20"/>
      <c r="N330" s="12"/>
    </row>
    <row r="331" spans="1:14" x14ac:dyDescent="0.3">
      <c r="A331" s="35" t="str">
        <f t="shared" si="42"/>
        <v>QUÁ HẠN</v>
      </c>
      <c r="B331" s="36"/>
      <c r="C331" s="36">
        <f t="shared" si="35"/>
        <v>0</v>
      </c>
      <c r="D331" s="34">
        <f t="shared" si="43"/>
        <v>1</v>
      </c>
      <c r="E331" s="20">
        <f t="shared" si="44"/>
        <v>0</v>
      </c>
      <c r="F331" s="29"/>
      <c r="G331" s="30">
        <f t="shared" si="45"/>
        <v>0</v>
      </c>
      <c r="H331" s="20" t="str">
        <f t="shared" si="46"/>
        <v/>
      </c>
      <c r="I331" s="20">
        <f t="shared" si="47"/>
        <v>0</v>
      </c>
      <c r="J331" s="20"/>
      <c r="K331" s="20"/>
      <c r="N331" s="12"/>
    </row>
    <row r="332" spans="1:14" x14ac:dyDescent="0.3">
      <c r="A332" s="35" t="str">
        <f t="shared" si="42"/>
        <v>QUÁ HẠN</v>
      </c>
      <c r="B332" s="36"/>
      <c r="C332" s="36">
        <f t="shared" si="35"/>
        <v>0</v>
      </c>
      <c r="D332" s="34">
        <f t="shared" si="43"/>
        <v>1</v>
      </c>
      <c r="E332" s="20">
        <f t="shared" si="44"/>
        <v>0</v>
      </c>
      <c r="F332" s="29"/>
      <c r="G332" s="30">
        <f t="shared" si="45"/>
        <v>0</v>
      </c>
      <c r="H332" s="20" t="str">
        <f t="shared" si="46"/>
        <v/>
      </c>
      <c r="I332" s="20">
        <f t="shared" si="47"/>
        <v>0</v>
      </c>
      <c r="J332" s="20"/>
      <c r="K332" s="20"/>
      <c r="N332" s="12"/>
    </row>
    <row r="333" spans="1:14" x14ac:dyDescent="0.3">
      <c r="A333" s="35" t="str">
        <f t="shared" si="42"/>
        <v>QUÁ HẠN</v>
      </c>
      <c r="B333" s="36"/>
      <c r="C333" s="36">
        <f t="shared" si="35"/>
        <v>0</v>
      </c>
      <c r="D333" s="34">
        <f t="shared" si="43"/>
        <v>1</v>
      </c>
      <c r="E333" s="20">
        <f t="shared" si="44"/>
        <v>0</v>
      </c>
      <c r="F333" s="29"/>
      <c r="G333" s="30">
        <f t="shared" si="45"/>
        <v>0</v>
      </c>
      <c r="H333" s="20" t="str">
        <f t="shared" si="46"/>
        <v/>
      </c>
      <c r="I333" s="20">
        <f t="shared" si="47"/>
        <v>0</v>
      </c>
      <c r="J333" s="20"/>
      <c r="K333" s="20"/>
      <c r="N333" s="12"/>
    </row>
    <row r="334" spans="1:14" x14ac:dyDescent="0.3">
      <c r="A334" s="35" t="str">
        <f t="shared" si="42"/>
        <v>QUÁ HẠN</v>
      </c>
      <c r="B334" s="36"/>
      <c r="C334" s="36">
        <f t="shared" si="35"/>
        <v>0</v>
      </c>
      <c r="D334" s="34">
        <f t="shared" si="43"/>
        <v>1</v>
      </c>
      <c r="E334" s="20">
        <f t="shared" si="44"/>
        <v>0</v>
      </c>
      <c r="F334" s="29"/>
      <c r="G334" s="30">
        <f t="shared" si="45"/>
        <v>0</v>
      </c>
      <c r="H334" s="20" t="str">
        <f t="shared" si="46"/>
        <v/>
      </c>
      <c r="I334" s="20">
        <f t="shared" si="47"/>
        <v>0</v>
      </c>
      <c r="J334" s="20"/>
      <c r="K334" s="20"/>
      <c r="N334" s="12"/>
    </row>
    <row r="335" spans="1:14" x14ac:dyDescent="0.3">
      <c r="A335" s="35" t="str">
        <f t="shared" si="42"/>
        <v>QUÁ HẠN</v>
      </c>
      <c r="B335" s="36"/>
      <c r="C335" s="36">
        <f t="shared" si="35"/>
        <v>0</v>
      </c>
      <c r="D335" s="34">
        <f t="shared" si="43"/>
        <v>1</v>
      </c>
      <c r="E335" s="20">
        <f t="shared" si="44"/>
        <v>0</v>
      </c>
      <c r="F335" s="29"/>
      <c r="G335" s="30">
        <f t="shared" si="45"/>
        <v>0</v>
      </c>
      <c r="H335" s="20" t="str">
        <f t="shared" si="46"/>
        <v/>
      </c>
      <c r="I335" s="20">
        <f t="shared" si="47"/>
        <v>0</v>
      </c>
      <c r="J335" s="20"/>
      <c r="K335" s="20"/>
      <c r="N335" s="12"/>
    </row>
    <row r="336" spans="1:14" x14ac:dyDescent="0.3">
      <c r="A336" s="35" t="str">
        <f t="shared" si="42"/>
        <v>QUÁ HẠN</v>
      </c>
      <c r="B336" s="36"/>
      <c r="C336" s="36">
        <f t="shared" si="35"/>
        <v>0</v>
      </c>
      <c r="D336" s="34">
        <f t="shared" si="43"/>
        <v>1</v>
      </c>
      <c r="E336" s="20">
        <f t="shared" si="44"/>
        <v>0</v>
      </c>
      <c r="F336" s="29"/>
      <c r="G336" s="30">
        <f t="shared" si="45"/>
        <v>0</v>
      </c>
      <c r="H336" s="20" t="str">
        <f t="shared" si="46"/>
        <v/>
      </c>
      <c r="I336" s="20">
        <f t="shared" si="47"/>
        <v>0</v>
      </c>
      <c r="J336" s="20"/>
      <c r="K336" s="20"/>
      <c r="N336" s="12"/>
    </row>
    <row r="337" spans="1:14" x14ac:dyDescent="0.3">
      <c r="A337" s="35" t="str">
        <f t="shared" si="42"/>
        <v>QUÁ HẠN</v>
      </c>
      <c r="B337" s="36"/>
      <c r="C337" s="36">
        <f t="shared" si="35"/>
        <v>0</v>
      </c>
      <c r="D337" s="34">
        <f t="shared" si="43"/>
        <v>1</v>
      </c>
      <c r="E337" s="20">
        <f t="shared" si="44"/>
        <v>0</v>
      </c>
      <c r="F337" s="29"/>
      <c r="G337" s="30">
        <f t="shared" si="45"/>
        <v>0</v>
      </c>
      <c r="H337" s="20" t="str">
        <f t="shared" si="46"/>
        <v/>
      </c>
      <c r="I337" s="20">
        <f t="shared" si="47"/>
        <v>0</v>
      </c>
      <c r="J337" s="20"/>
      <c r="K337" s="20"/>
      <c r="N337" s="12"/>
    </row>
    <row r="338" spans="1:14" x14ac:dyDescent="0.3">
      <c r="A338" s="35" t="str">
        <f t="shared" si="42"/>
        <v>QUÁ HẠN</v>
      </c>
      <c r="B338" s="36"/>
      <c r="C338" s="36">
        <f t="shared" si="35"/>
        <v>0</v>
      </c>
      <c r="D338" s="34">
        <f t="shared" si="43"/>
        <v>1</v>
      </c>
      <c r="E338" s="20">
        <f t="shared" si="44"/>
        <v>0</v>
      </c>
      <c r="F338" s="29"/>
      <c r="G338" s="30">
        <f t="shared" si="45"/>
        <v>0</v>
      </c>
      <c r="H338" s="20" t="str">
        <f t="shared" si="46"/>
        <v/>
      </c>
      <c r="I338" s="20">
        <f t="shared" si="47"/>
        <v>0</v>
      </c>
      <c r="J338" s="20"/>
      <c r="K338" s="20"/>
      <c r="N338" s="12"/>
    </row>
    <row r="339" spans="1:14" x14ac:dyDescent="0.3">
      <c r="A339" s="35" t="str">
        <f t="shared" si="42"/>
        <v>QUÁ HẠN</v>
      </c>
      <c r="B339" s="36"/>
      <c r="C339" s="36">
        <f t="shared" si="35"/>
        <v>0</v>
      </c>
      <c r="D339" s="34">
        <f t="shared" si="43"/>
        <v>1</v>
      </c>
      <c r="E339" s="20">
        <f t="shared" si="44"/>
        <v>0</v>
      </c>
      <c r="F339" s="29"/>
      <c r="G339" s="30">
        <f t="shared" si="45"/>
        <v>0</v>
      </c>
      <c r="H339" s="20" t="str">
        <f t="shared" si="46"/>
        <v/>
      </c>
      <c r="I339" s="20">
        <f t="shared" si="47"/>
        <v>0</v>
      </c>
      <c r="J339" s="20"/>
      <c r="K339" s="20"/>
      <c r="N339" s="12"/>
    </row>
    <row r="340" spans="1:14" x14ac:dyDescent="0.3">
      <c r="A340" s="35" t="str">
        <f t="shared" si="42"/>
        <v>QUÁ HẠN</v>
      </c>
      <c r="B340" s="36"/>
      <c r="C340" s="36">
        <f t="shared" si="35"/>
        <v>0</v>
      </c>
      <c r="D340" s="34">
        <f t="shared" si="43"/>
        <v>1</v>
      </c>
      <c r="E340" s="20">
        <f t="shared" si="44"/>
        <v>0</v>
      </c>
      <c r="F340" s="29"/>
      <c r="G340" s="30">
        <f t="shared" si="45"/>
        <v>0</v>
      </c>
      <c r="H340" s="20" t="str">
        <f t="shared" si="46"/>
        <v/>
      </c>
      <c r="I340" s="20">
        <f t="shared" si="47"/>
        <v>0</v>
      </c>
      <c r="J340" s="20"/>
      <c r="K340" s="20"/>
      <c r="N340" s="12"/>
    </row>
    <row r="341" spans="1:14" x14ac:dyDescent="0.3">
      <c r="A341" s="35" t="str">
        <f t="shared" si="42"/>
        <v>QUÁ HẠN</v>
      </c>
      <c r="B341" s="36"/>
      <c r="C341" s="36">
        <f t="shared" si="35"/>
        <v>0</v>
      </c>
      <c r="D341" s="34">
        <f t="shared" si="43"/>
        <v>1</v>
      </c>
      <c r="E341" s="20">
        <f t="shared" si="44"/>
        <v>0</v>
      </c>
      <c r="F341" s="29"/>
      <c r="G341" s="30">
        <f t="shared" si="45"/>
        <v>0</v>
      </c>
      <c r="H341" s="20" t="str">
        <f t="shared" si="46"/>
        <v/>
      </c>
      <c r="I341" s="20">
        <f t="shared" si="47"/>
        <v>0</v>
      </c>
      <c r="J341" s="20"/>
      <c r="K341" s="20"/>
      <c r="N341" s="12"/>
    </row>
    <row r="342" spans="1:14" x14ac:dyDescent="0.3">
      <c r="A342" s="35" t="str">
        <f t="shared" si="42"/>
        <v>QUÁ HẠN</v>
      </c>
      <c r="B342" s="36"/>
      <c r="C342" s="36">
        <f t="shared" si="35"/>
        <v>0</v>
      </c>
      <c r="D342" s="34">
        <f t="shared" si="43"/>
        <v>1</v>
      </c>
      <c r="E342" s="20">
        <f t="shared" si="44"/>
        <v>0</v>
      </c>
      <c r="F342" s="29"/>
      <c r="G342" s="30">
        <f t="shared" si="45"/>
        <v>0</v>
      </c>
      <c r="H342" s="20" t="str">
        <f t="shared" si="46"/>
        <v/>
      </c>
      <c r="I342" s="20">
        <f t="shared" si="47"/>
        <v>0</v>
      </c>
      <c r="J342" s="20"/>
      <c r="K342" s="20"/>
      <c r="N342" s="12"/>
    </row>
    <row r="343" spans="1:14" x14ac:dyDescent="0.3">
      <c r="A343" s="35" t="str">
        <f t="shared" si="42"/>
        <v>QUÁ HẠN</v>
      </c>
      <c r="B343" s="36"/>
      <c r="C343" s="36">
        <f t="shared" si="35"/>
        <v>0</v>
      </c>
      <c r="D343" s="34">
        <f t="shared" si="43"/>
        <v>1</v>
      </c>
      <c r="E343" s="20">
        <f t="shared" si="44"/>
        <v>0</v>
      </c>
      <c r="F343" s="29"/>
      <c r="G343" s="30">
        <f t="shared" si="45"/>
        <v>0</v>
      </c>
      <c r="H343" s="20" t="str">
        <f t="shared" si="46"/>
        <v/>
      </c>
      <c r="I343" s="20">
        <f t="shared" si="47"/>
        <v>0</v>
      </c>
      <c r="J343" s="20"/>
      <c r="K343" s="20"/>
      <c r="N343" s="12"/>
    </row>
    <row r="344" spans="1:14" x14ac:dyDescent="0.3">
      <c r="A344" s="35" t="str">
        <f t="shared" si="42"/>
        <v>QUÁ HẠN</v>
      </c>
      <c r="B344" s="36"/>
      <c r="C344" s="36">
        <f t="shared" si="35"/>
        <v>0</v>
      </c>
      <c r="D344" s="34">
        <f t="shared" si="43"/>
        <v>1</v>
      </c>
      <c r="E344" s="20">
        <f t="shared" si="44"/>
        <v>0</v>
      </c>
      <c r="F344" s="29"/>
      <c r="G344" s="30">
        <f t="shared" si="45"/>
        <v>0</v>
      </c>
      <c r="H344" s="20" t="str">
        <f t="shared" si="46"/>
        <v/>
      </c>
      <c r="I344" s="20">
        <f t="shared" si="47"/>
        <v>0</v>
      </c>
      <c r="J344" s="20"/>
      <c r="K344" s="20"/>
      <c r="N344" s="12"/>
    </row>
    <row r="345" spans="1:14" x14ac:dyDescent="0.3">
      <c r="A345" s="35" t="str">
        <f t="shared" si="42"/>
        <v>QUÁ HẠN</v>
      </c>
      <c r="B345" s="36"/>
      <c r="C345" s="36">
        <f t="shared" si="35"/>
        <v>0</v>
      </c>
      <c r="D345" s="34">
        <f t="shared" si="43"/>
        <v>1</v>
      </c>
      <c r="E345" s="20">
        <f t="shared" si="44"/>
        <v>0</v>
      </c>
      <c r="F345" s="29"/>
      <c r="G345" s="30">
        <f t="shared" si="45"/>
        <v>0</v>
      </c>
      <c r="H345" s="20" t="str">
        <f t="shared" si="46"/>
        <v/>
      </c>
      <c r="I345" s="20">
        <f t="shared" si="47"/>
        <v>0</v>
      </c>
      <c r="J345" s="20"/>
      <c r="K345" s="20"/>
      <c r="N345" s="12"/>
    </row>
    <row r="346" spans="1:14" x14ac:dyDescent="0.3">
      <c r="A346" s="35" t="str">
        <f t="shared" si="42"/>
        <v>QUÁ HẠN</v>
      </c>
      <c r="B346" s="36"/>
      <c r="C346" s="36">
        <f t="shared" si="35"/>
        <v>0</v>
      </c>
      <c r="D346" s="34">
        <f t="shared" si="43"/>
        <v>1</v>
      </c>
      <c r="E346" s="20">
        <f t="shared" si="44"/>
        <v>0</v>
      </c>
      <c r="F346" s="29"/>
      <c r="G346" s="30">
        <f t="shared" si="45"/>
        <v>0</v>
      </c>
      <c r="H346" s="20" t="str">
        <f t="shared" si="46"/>
        <v/>
      </c>
      <c r="I346" s="20">
        <f t="shared" si="47"/>
        <v>0</v>
      </c>
      <c r="J346" s="20"/>
      <c r="K346" s="20"/>
      <c r="N346" s="12"/>
    </row>
    <row r="347" spans="1:14" x14ac:dyDescent="0.3">
      <c r="A347" s="35" t="str">
        <f t="shared" si="42"/>
        <v>QUÁ HẠN</v>
      </c>
      <c r="B347" s="36"/>
      <c r="C347" s="36">
        <f t="shared" si="35"/>
        <v>0</v>
      </c>
      <c r="D347" s="34">
        <f t="shared" si="43"/>
        <v>1</v>
      </c>
      <c r="E347" s="20">
        <f t="shared" si="44"/>
        <v>0</v>
      </c>
      <c r="F347" s="29"/>
      <c r="G347" s="30">
        <f t="shared" si="45"/>
        <v>0</v>
      </c>
      <c r="H347" s="20" t="str">
        <f t="shared" si="46"/>
        <v/>
      </c>
      <c r="I347" s="20">
        <f t="shared" si="47"/>
        <v>0</v>
      </c>
      <c r="J347" s="20"/>
      <c r="K347" s="20"/>
      <c r="N347" s="12"/>
    </row>
    <row r="348" spans="1:14" x14ac:dyDescent="0.3">
      <c r="A348" s="35" t="str">
        <f t="shared" si="42"/>
        <v>QUÁ HẠN</v>
      </c>
      <c r="B348" s="36"/>
      <c r="C348" s="36">
        <f t="shared" si="35"/>
        <v>0</v>
      </c>
      <c r="D348" s="34">
        <f t="shared" si="43"/>
        <v>1</v>
      </c>
      <c r="E348" s="20">
        <f t="shared" si="44"/>
        <v>0</v>
      </c>
      <c r="F348" s="29"/>
      <c r="G348" s="30">
        <f t="shared" si="45"/>
        <v>0</v>
      </c>
      <c r="H348" s="20" t="str">
        <f t="shared" si="46"/>
        <v/>
      </c>
      <c r="I348" s="20">
        <f t="shared" si="47"/>
        <v>0</v>
      </c>
      <c r="J348" s="20"/>
      <c r="K348" s="20"/>
      <c r="N348" s="12"/>
    </row>
    <row r="349" spans="1:14" x14ac:dyDescent="0.3">
      <c r="A349" s="35" t="str">
        <f t="shared" si="42"/>
        <v>QUÁ HẠN</v>
      </c>
      <c r="B349" s="36"/>
      <c r="C349" s="36">
        <f t="shared" si="35"/>
        <v>0</v>
      </c>
      <c r="D349" s="34">
        <f t="shared" si="43"/>
        <v>1</v>
      </c>
      <c r="E349" s="20">
        <f t="shared" si="44"/>
        <v>0</v>
      </c>
      <c r="F349" s="29"/>
      <c r="G349" s="30">
        <f t="shared" si="45"/>
        <v>0</v>
      </c>
      <c r="H349" s="20" t="str">
        <f t="shared" si="46"/>
        <v/>
      </c>
      <c r="I349" s="20">
        <f t="shared" si="47"/>
        <v>0</v>
      </c>
      <c r="J349" s="20"/>
      <c r="K349" s="20"/>
      <c r="N349" s="12"/>
    </row>
    <row r="350" spans="1:14" x14ac:dyDescent="0.3">
      <c r="A350" s="35" t="str">
        <f t="shared" si="42"/>
        <v>QUÁ HẠN</v>
      </c>
      <c r="B350" s="36"/>
      <c r="C350" s="36">
        <f t="shared" si="35"/>
        <v>0</v>
      </c>
      <c r="D350" s="34">
        <f t="shared" si="43"/>
        <v>1</v>
      </c>
      <c r="E350" s="20">
        <f t="shared" si="44"/>
        <v>0</v>
      </c>
      <c r="F350" s="29"/>
      <c r="G350" s="30">
        <f t="shared" si="45"/>
        <v>0</v>
      </c>
      <c r="H350" s="20" t="str">
        <f t="shared" si="46"/>
        <v/>
      </c>
      <c r="I350" s="20">
        <f t="shared" si="47"/>
        <v>0</v>
      </c>
      <c r="J350" s="20"/>
      <c r="K350" s="20"/>
      <c r="N350" s="12"/>
    </row>
    <row r="351" spans="1:14" x14ac:dyDescent="0.3">
      <c r="A351" s="35" t="str">
        <f t="shared" si="42"/>
        <v>QUÁ HẠN</v>
      </c>
      <c r="B351" s="36"/>
      <c r="C351" s="36">
        <f t="shared" si="35"/>
        <v>0</v>
      </c>
      <c r="D351" s="34">
        <f t="shared" si="43"/>
        <v>1</v>
      </c>
      <c r="E351" s="20">
        <f t="shared" si="44"/>
        <v>0</v>
      </c>
      <c r="F351" s="29"/>
      <c r="G351" s="30">
        <f t="shared" si="45"/>
        <v>0</v>
      </c>
      <c r="H351" s="20" t="str">
        <f t="shared" si="46"/>
        <v/>
      </c>
      <c r="I351" s="20">
        <f t="shared" si="47"/>
        <v>0</v>
      </c>
      <c r="J351" s="20"/>
      <c r="K351" s="20"/>
      <c r="N351" s="12"/>
    </row>
    <row r="352" spans="1:14" x14ac:dyDescent="0.3">
      <c r="A352" s="35" t="str">
        <f t="shared" si="42"/>
        <v>QUÁ HẠN</v>
      </c>
      <c r="B352" s="36"/>
      <c r="C352" s="36">
        <f t="shared" si="35"/>
        <v>0</v>
      </c>
      <c r="D352" s="34">
        <f t="shared" si="43"/>
        <v>1</v>
      </c>
      <c r="E352" s="20">
        <f t="shared" si="44"/>
        <v>0</v>
      </c>
      <c r="F352" s="29"/>
      <c r="G352" s="30">
        <f t="shared" si="45"/>
        <v>0</v>
      </c>
      <c r="H352" s="20" t="str">
        <f t="shared" si="46"/>
        <v/>
      </c>
      <c r="I352" s="20">
        <f t="shared" si="47"/>
        <v>0</v>
      </c>
      <c r="J352" s="20"/>
      <c r="K352" s="20"/>
      <c r="N352" s="12"/>
    </row>
    <row r="353" spans="1:14" x14ac:dyDescent="0.3">
      <c r="A353" s="35" t="str">
        <f t="shared" si="42"/>
        <v>QUÁ HẠN</v>
      </c>
      <c r="B353" s="36"/>
      <c r="C353" s="36">
        <f t="shared" si="35"/>
        <v>0</v>
      </c>
      <c r="D353" s="34">
        <f t="shared" si="43"/>
        <v>1</v>
      </c>
      <c r="E353" s="20">
        <f t="shared" si="44"/>
        <v>0</v>
      </c>
      <c r="F353" s="29"/>
      <c r="G353" s="30">
        <f t="shared" si="45"/>
        <v>0</v>
      </c>
      <c r="H353" s="20" t="str">
        <f t="shared" si="46"/>
        <v/>
      </c>
      <c r="I353" s="20">
        <f t="shared" si="47"/>
        <v>0</v>
      </c>
      <c r="J353" s="20"/>
      <c r="K353" s="20"/>
      <c r="N353" s="12"/>
    </row>
    <row r="354" spans="1:14" x14ac:dyDescent="0.3">
      <c r="A354" s="35" t="str">
        <f t="shared" si="42"/>
        <v>QUÁ HẠN</v>
      </c>
      <c r="B354" s="36"/>
      <c r="C354" s="36">
        <f t="shared" si="35"/>
        <v>0</v>
      </c>
      <c r="D354" s="34">
        <f t="shared" si="43"/>
        <v>1</v>
      </c>
      <c r="E354" s="20">
        <f t="shared" si="44"/>
        <v>0</v>
      </c>
      <c r="F354" s="29"/>
      <c r="G354" s="30">
        <f t="shared" si="45"/>
        <v>0</v>
      </c>
      <c r="H354" s="20" t="str">
        <f t="shared" si="46"/>
        <v/>
      </c>
      <c r="I354" s="20">
        <f t="shared" si="47"/>
        <v>0</v>
      </c>
      <c r="J354" s="20"/>
      <c r="K354" s="20"/>
      <c r="N354" s="12"/>
    </row>
    <row r="355" spans="1:14" x14ac:dyDescent="0.3">
      <c r="A355" s="35" t="str">
        <f t="shared" si="42"/>
        <v>QUÁ HẠN</v>
      </c>
      <c r="B355" s="36"/>
      <c r="C355" s="36">
        <f t="shared" ref="C355:C418" si="48">IFERROR(IF(B356="", $B$10, B356-1), $B$10)</f>
        <v>0</v>
      </c>
      <c r="D355" s="34">
        <f t="shared" si="43"/>
        <v>1</v>
      </c>
      <c r="E355" s="20">
        <f t="shared" si="44"/>
        <v>0</v>
      </c>
      <c r="F355" s="29"/>
      <c r="G355" s="30">
        <f t="shared" si="45"/>
        <v>0</v>
      </c>
      <c r="H355" s="20" t="str">
        <f t="shared" si="46"/>
        <v/>
      </c>
      <c r="I355" s="20">
        <f t="shared" si="47"/>
        <v>0</v>
      </c>
      <c r="J355" s="20"/>
      <c r="K355" s="20"/>
      <c r="N355" s="12"/>
    </row>
    <row r="356" spans="1:14" x14ac:dyDescent="0.3">
      <c r="A356" s="35" t="str">
        <f t="shared" si="42"/>
        <v>QUÁ HẠN</v>
      </c>
      <c r="B356" s="36"/>
      <c r="C356" s="36">
        <f t="shared" si="48"/>
        <v>0</v>
      </c>
      <c r="D356" s="34">
        <f t="shared" si="43"/>
        <v>1</v>
      </c>
      <c r="E356" s="20">
        <f t="shared" si="44"/>
        <v>0</v>
      </c>
      <c r="F356" s="29"/>
      <c r="G356" s="30">
        <f t="shared" si="45"/>
        <v>0</v>
      </c>
      <c r="H356" s="20" t="str">
        <f t="shared" si="46"/>
        <v/>
      </c>
      <c r="I356" s="20">
        <f t="shared" si="47"/>
        <v>0</v>
      </c>
      <c r="J356" s="20"/>
      <c r="K356" s="20"/>
      <c r="N356" s="12"/>
    </row>
    <row r="357" spans="1:14" x14ac:dyDescent="0.3">
      <c r="A357" s="35" t="str">
        <f t="shared" si="42"/>
        <v>QUÁ HẠN</v>
      </c>
      <c r="B357" s="36"/>
      <c r="C357" s="36">
        <f t="shared" si="48"/>
        <v>0</v>
      </c>
      <c r="D357" s="34">
        <f t="shared" si="43"/>
        <v>1</v>
      </c>
      <c r="E357" s="20">
        <f t="shared" si="44"/>
        <v>0</v>
      </c>
      <c r="F357" s="29"/>
      <c r="G357" s="30">
        <f t="shared" si="45"/>
        <v>0</v>
      </c>
      <c r="H357" s="20" t="str">
        <f t="shared" si="46"/>
        <v/>
      </c>
      <c r="I357" s="20">
        <f t="shared" si="47"/>
        <v>0</v>
      </c>
      <c r="J357" s="20"/>
      <c r="K357" s="20"/>
      <c r="N357" s="12"/>
    </row>
    <row r="358" spans="1:14" x14ac:dyDescent="0.3">
      <c r="A358" s="35" t="str">
        <f t="shared" si="42"/>
        <v>QUÁ HẠN</v>
      </c>
      <c r="B358" s="36"/>
      <c r="C358" s="36">
        <f t="shared" si="48"/>
        <v>0</v>
      </c>
      <c r="D358" s="34">
        <f t="shared" si="43"/>
        <v>1</v>
      </c>
      <c r="E358" s="20">
        <f t="shared" si="44"/>
        <v>0</v>
      </c>
      <c r="F358" s="29"/>
      <c r="G358" s="30">
        <f t="shared" si="45"/>
        <v>0</v>
      </c>
      <c r="H358" s="20" t="str">
        <f t="shared" si="46"/>
        <v/>
      </c>
      <c r="I358" s="20">
        <f t="shared" si="47"/>
        <v>0</v>
      </c>
      <c r="J358" s="20"/>
      <c r="K358" s="20"/>
      <c r="N358" s="12"/>
    </row>
    <row r="359" spans="1:14" x14ac:dyDescent="0.3">
      <c r="A359" s="35" t="str">
        <f t="shared" si="42"/>
        <v>QUÁ HẠN</v>
      </c>
      <c r="B359" s="36"/>
      <c r="C359" s="36">
        <f t="shared" si="48"/>
        <v>0</v>
      </c>
      <c r="D359" s="34">
        <f t="shared" si="43"/>
        <v>1</v>
      </c>
      <c r="E359" s="20">
        <f t="shared" si="44"/>
        <v>0</v>
      </c>
      <c r="F359" s="29"/>
      <c r="G359" s="30">
        <f t="shared" si="45"/>
        <v>0</v>
      </c>
      <c r="H359" s="20" t="str">
        <f t="shared" si="46"/>
        <v/>
      </c>
      <c r="I359" s="20">
        <f t="shared" si="47"/>
        <v>0</v>
      </c>
      <c r="J359" s="20"/>
      <c r="K359" s="20"/>
      <c r="N359" s="12"/>
    </row>
    <row r="360" spans="1:14" x14ac:dyDescent="0.3">
      <c r="A360" s="35" t="str">
        <f t="shared" si="42"/>
        <v>QUÁ HẠN</v>
      </c>
      <c r="B360" s="36"/>
      <c r="C360" s="36">
        <f t="shared" si="48"/>
        <v>0</v>
      </c>
      <c r="D360" s="34">
        <f t="shared" si="43"/>
        <v>1</v>
      </c>
      <c r="E360" s="20">
        <f t="shared" si="44"/>
        <v>0</v>
      </c>
      <c r="F360" s="29"/>
      <c r="G360" s="30">
        <f t="shared" si="45"/>
        <v>0</v>
      </c>
      <c r="H360" s="20" t="str">
        <f t="shared" si="46"/>
        <v/>
      </c>
      <c r="I360" s="20">
        <f t="shared" si="47"/>
        <v>0</v>
      </c>
      <c r="J360" s="20"/>
      <c r="K360" s="20"/>
      <c r="N360" s="12"/>
    </row>
    <row r="361" spans="1:14" x14ac:dyDescent="0.3">
      <c r="A361" s="35" t="str">
        <f t="shared" si="42"/>
        <v>QUÁ HẠN</v>
      </c>
      <c r="B361" s="36"/>
      <c r="C361" s="36">
        <f t="shared" si="48"/>
        <v>0</v>
      </c>
      <c r="D361" s="34">
        <f t="shared" si="43"/>
        <v>1</v>
      </c>
      <c r="E361" s="20">
        <f t="shared" si="44"/>
        <v>0</v>
      </c>
      <c r="F361" s="29"/>
      <c r="G361" s="30">
        <f t="shared" si="45"/>
        <v>0</v>
      </c>
      <c r="H361" s="20" t="str">
        <f t="shared" si="46"/>
        <v/>
      </c>
      <c r="I361" s="20">
        <f t="shared" si="47"/>
        <v>0</v>
      </c>
      <c r="J361" s="20"/>
      <c r="K361" s="20"/>
      <c r="N361" s="12"/>
    </row>
    <row r="362" spans="1:14" x14ac:dyDescent="0.3">
      <c r="A362" s="35" t="str">
        <f t="shared" si="42"/>
        <v>QUÁ HẠN</v>
      </c>
      <c r="B362" s="36"/>
      <c r="C362" s="36">
        <f t="shared" si="48"/>
        <v>0</v>
      </c>
      <c r="D362" s="34">
        <f t="shared" si="43"/>
        <v>1</v>
      </c>
      <c r="E362" s="20">
        <f t="shared" si="44"/>
        <v>0</v>
      </c>
      <c r="F362" s="29"/>
      <c r="G362" s="30">
        <f t="shared" si="45"/>
        <v>0</v>
      </c>
      <c r="H362" s="20" t="str">
        <f t="shared" si="46"/>
        <v/>
      </c>
      <c r="I362" s="20">
        <f t="shared" si="47"/>
        <v>0</v>
      </c>
      <c r="J362" s="20"/>
      <c r="K362" s="20"/>
      <c r="N362" s="12"/>
    </row>
    <row r="363" spans="1:14" x14ac:dyDescent="0.3">
      <c r="A363" s="35" t="str">
        <f t="shared" si="42"/>
        <v>QUÁ HẠN</v>
      </c>
      <c r="B363" s="36"/>
      <c r="C363" s="36">
        <f t="shared" si="48"/>
        <v>0</v>
      </c>
      <c r="D363" s="34">
        <f t="shared" si="43"/>
        <v>1</v>
      </c>
      <c r="E363" s="20">
        <f t="shared" si="44"/>
        <v>0</v>
      </c>
      <c r="F363" s="29"/>
      <c r="G363" s="30">
        <f t="shared" si="45"/>
        <v>0</v>
      </c>
      <c r="H363" s="20" t="str">
        <f t="shared" si="46"/>
        <v/>
      </c>
      <c r="I363" s="20">
        <f t="shared" si="47"/>
        <v>0</v>
      </c>
      <c r="J363" s="20"/>
      <c r="K363" s="20"/>
      <c r="N363" s="12"/>
    </row>
    <row r="364" spans="1:14" x14ac:dyDescent="0.3">
      <c r="A364" s="35" t="str">
        <f t="shared" si="42"/>
        <v>QUÁ HẠN</v>
      </c>
      <c r="B364" s="36"/>
      <c r="C364" s="36">
        <f t="shared" si="48"/>
        <v>0</v>
      </c>
      <c r="D364" s="34">
        <f t="shared" si="43"/>
        <v>1</v>
      </c>
      <c r="E364" s="20">
        <f t="shared" si="44"/>
        <v>0</v>
      </c>
      <c r="F364" s="29"/>
      <c r="G364" s="30">
        <f t="shared" si="45"/>
        <v>0</v>
      </c>
      <c r="H364" s="20" t="str">
        <f t="shared" si="46"/>
        <v/>
      </c>
      <c r="I364" s="20">
        <f t="shared" si="47"/>
        <v>0</v>
      </c>
      <c r="J364" s="20"/>
      <c r="K364" s="20"/>
      <c r="N364" s="12"/>
    </row>
    <row r="365" spans="1:14" x14ac:dyDescent="0.3">
      <c r="A365" s="35" t="str">
        <f t="shared" ref="A365:A428" si="49">IF(B365&gt;=$B$9,"QUÁ HẠN", "TRONG HẠN")</f>
        <v>QUÁ HẠN</v>
      </c>
      <c r="B365" s="36"/>
      <c r="C365" s="36">
        <f t="shared" si="48"/>
        <v>0</v>
      </c>
      <c r="D365" s="34">
        <f t="shared" ref="D365:D428" si="50">C365-B365+1</f>
        <v>1</v>
      </c>
      <c r="E365" s="20">
        <f t="shared" ref="E365:E428" si="51">E364-J365</f>
        <v>0</v>
      </c>
      <c r="F365" s="29"/>
      <c r="G365" s="30">
        <f t="shared" ref="G365:G428" si="52">IF(A365="QUÁ HẠN", F365*1.5,"")</f>
        <v>0</v>
      </c>
      <c r="H365" s="20" t="str">
        <f t="shared" ref="H365:H428" si="53">IF(A365="TRONG HẠN",D365*E365*F365/365,"")</f>
        <v/>
      </c>
      <c r="I365" s="20">
        <f t="shared" ref="I365:I428" si="54">IF(A365="QUÁ HẠN",D365*E365*G365/365,"")</f>
        <v>0</v>
      </c>
      <c r="J365" s="20"/>
      <c r="K365" s="20"/>
      <c r="N365" s="12"/>
    </row>
    <row r="366" spans="1:14" x14ac:dyDescent="0.3">
      <c r="A366" s="35" t="str">
        <f t="shared" si="49"/>
        <v>QUÁ HẠN</v>
      </c>
      <c r="B366" s="36"/>
      <c r="C366" s="36">
        <f t="shared" si="48"/>
        <v>0</v>
      </c>
      <c r="D366" s="34">
        <f t="shared" si="50"/>
        <v>1</v>
      </c>
      <c r="E366" s="20">
        <f t="shared" si="51"/>
        <v>0</v>
      </c>
      <c r="F366" s="29"/>
      <c r="G366" s="30">
        <f t="shared" si="52"/>
        <v>0</v>
      </c>
      <c r="H366" s="20" t="str">
        <f t="shared" si="53"/>
        <v/>
      </c>
      <c r="I366" s="20">
        <f t="shared" si="54"/>
        <v>0</v>
      </c>
      <c r="J366" s="20"/>
      <c r="K366" s="20"/>
      <c r="N366" s="12"/>
    </row>
    <row r="367" spans="1:14" x14ac:dyDescent="0.3">
      <c r="A367" s="35" t="str">
        <f t="shared" si="49"/>
        <v>QUÁ HẠN</v>
      </c>
      <c r="B367" s="36"/>
      <c r="C367" s="36">
        <f t="shared" si="48"/>
        <v>0</v>
      </c>
      <c r="D367" s="34">
        <f t="shared" si="50"/>
        <v>1</v>
      </c>
      <c r="E367" s="20">
        <f t="shared" si="51"/>
        <v>0</v>
      </c>
      <c r="F367" s="29"/>
      <c r="G367" s="30">
        <f t="shared" si="52"/>
        <v>0</v>
      </c>
      <c r="H367" s="20" t="str">
        <f t="shared" si="53"/>
        <v/>
      </c>
      <c r="I367" s="20">
        <f t="shared" si="54"/>
        <v>0</v>
      </c>
      <c r="J367" s="20"/>
      <c r="K367" s="20"/>
      <c r="N367" s="12"/>
    </row>
    <row r="368" spans="1:14" x14ac:dyDescent="0.3">
      <c r="A368" s="35" t="str">
        <f t="shared" si="49"/>
        <v>QUÁ HẠN</v>
      </c>
      <c r="B368" s="36"/>
      <c r="C368" s="36">
        <f t="shared" si="48"/>
        <v>0</v>
      </c>
      <c r="D368" s="34">
        <f t="shared" si="50"/>
        <v>1</v>
      </c>
      <c r="E368" s="20">
        <f t="shared" si="51"/>
        <v>0</v>
      </c>
      <c r="F368" s="29"/>
      <c r="G368" s="30">
        <f t="shared" si="52"/>
        <v>0</v>
      </c>
      <c r="H368" s="20" t="str">
        <f t="shared" si="53"/>
        <v/>
      </c>
      <c r="I368" s="20">
        <f t="shared" si="54"/>
        <v>0</v>
      </c>
      <c r="J368" s="20"/>
      <c r="K368" s="20"/>
      <c r="N368" s="12"/>
    </row>
    <row r="369" spans="1:14" x14ac:dyDescent="0.3">
      <c r="A369" s="35" t="str">
        <f t="shared" si="49"/>
        <v>QUÁ HẠN</v>
      </c>
      <c r="B369" s="36"/>
      <c r="C369" s="36">
        <f t="shared" si="48"/>
        <v>0</v>
      </c>
      <c r="D369" s="34">
        <f t="shared" si="50"/>
        <v>1</v>
      </c>
      <c r="E369" s="20">
        <f t="shared" si="51"/>
        <v>0</v>
      </c>
      <c r="F369" s="29"/>
      <c r="G369" s="30">
        <f t="shared" si="52"/>
        <v>0</v>
      </c>
      <c r="H369" s="20" t="str">
        <f t="shared" si="53"/>
        <v/>
      </c>
      <c r="I369" s="20">
        <f t="shared" si="54"/>
        <v>0</v>
      </c>
      <c r="J369" s="20"/>
      <c r="K369" s="20"/>
      <c r="N369" s="12"/>
    </row>
    <row r="370" spans="1:14" x14ac:dyDescent="0.3">
      <c r="A370" s="35" t="str">
        <f t="shared" si="49"/>
        <v>QUÁ HẠN</v>
      </c>
      <c r="B370" s="36"/>
      <c r="C370" s="36">
        <f t="shared" si="48"/>
        <v>0</v>
      </c>
      <c r="D370" s="34">
        <f t="shared" si="50"/>
        <v>1</v>
      </c>
      <c r="E370" s="20">
        <f t="shared" si="51"/>
        <v>0</v>
      </c>
      <c r="F370" s="29"/>
      <c r="G370" s="30">
        <f t="shared" si="52"/>
        <v>0</v>
      </c>
      <c r="H370" s="20" t="str">
        <f t="shared" si="53"/>
        <v/>
      </c>
      <c r="I370" s="20">
        <f t="shared" si="54"/>
        <v>0</v>
      </c>
      <c r="J370" s="20"/>
      <c r="K370" s="20"/>
      <c r="N370" s="12"/>
    </row>
    <row r="371" spans="1:14" x14ac:dyDescent="0.3">
      <c r="A371" s="35" t="str">
        <f t="shared" si="49"/>
        <v>QUÁ HẠN</v>
      </c>
      <c r="B371" s="36"/>
      <c r="C371" s="36">
        <f t="shared" si="48"/>
        <v>0</v>
      </c>
      <c r="D371" s="34">
        <f t="shared" si="50"/>
        <v>1</v>
      </c>
      <c r="E371" s="20">
        <f t="shared" si="51"/>
        <v>0</v>
      </c>
      <c r="F371" s="29"/>
      <c r="G371" s="30">
        <f t="shared" si="52"/>
        <v>0</v>
      </c>
      <c r="H371" s="20" t="str">
        <f t="shared" si="53"/>
        <v/>
      </c>
      <c r="I371" s="20">
        <f t="shared" si="54"/>
        <v>0</v>
      </c>
      <c r="J371" s="20"/>
      <c r="K371" s="20"/>
      <c r="N371" s="12"/>
    </row>
    <row r="372" spans="1:14" x14ac:dyDescent="0.3">
      <c r="A372" s="35" t="str">
        <f t="shared" si="49"/>
        <v>QUÁ HẠN</v>
      </c>
      <c r="B372" s="36"/>
      <c r="C372" s="36">
        <f t="shared" si="48"/>
        <v>0</v>
      </c>
      <c r="D372" s="34">
        <f t="shared" si="50"/>
        <v>1</v>
      </c>
      <c r="E372" s="20">
        <f t="shared" si="51"/>
        <v>0</v>
      </c>
      <c r="F372" s="29"/>
      <c r="G372" s="30">
        <f t="shared" si="52"/>
        <v>0</v>
      </c>
      <c r="H372" s="20" t="str">
        <f t="shared" si="53"/>
        <v/>
      </c>
      <c r="I372" s="20">
        <f t="shared" si="54"/>
        <v>0</v>
      </c>
      <c r="J372" s="20"/>
      <c r="K372" s="20"/>
      <c r="N372" s="12"/>
    </row>
    <row r="373" spans="1:14" x14ac:dyDescent="0.3">
      <c r="A373" s="35" t="str">
        <f t="shared" si="49"/>
        <v>QUÁ HẠN</v>
      </c>
      <c r="B373" s="36"/>
      <c r="C373" s="36">
        <f t="shared" si="48"/>
        <v>0</v>
      </c>
      <c r="D373" s="34">
        <f t="shared" si="50"/>
        <v>1</v>
      </c>
      <c r="E373" s="20">
        <f t="shared" si="51"/>
        <v>0</v>
      </c>
      <c r="F373" s="29"/>
      <c r="G373" s="30">
        <f t="shared" si="52"/>
        <v>0</v>
      </c>
      <c r="H373" s="20" t="str">
        <f t="shared" si="53"/>
        <v/>
      </c>
      <c r="I373" s="20">
        <f t="shared" si="54"/>
        <v>0</v>
      </c>
      <c r="J373" s="20"/>
      <c r="K373" s="20"/>
      <c r="N373" s="12"/>
    </row>
    <row r="374" spans="1:14" x14ac:dyDescent="0.3">
      <c r="A374" s="35" t="str">
        <f t="shared" si="49"/>
        <v>QUÁ HẠN</v>
      </c>
      <c r="B374" s="36"/>
      <c r="C374" s="36">
        <f t="shared" si="48"/>
        <v>0</v>
      </c>
      <c r="D374" s="34">
        <f t="shared" si="50"/>
        <v>1</v>
      </c>
      <c r="E374" s="20">
        <f t="shared" si="51"/>
        <v>0</v>
      </c>
      <c r="F374" s="29"/>
      <c r="G374" s="30">
        <f t="shared" si="52"/>
        <v>0</v>
      </c>
      <c r="H374" s="20" t="str">
        <f t="shared" si="53"/>
        <v/>
      </c>
      <c r="I374" s="20">
        <f t="shared" si="54"/>
        <v>0</v>
      </c>
      <c r="J374" s="20"/>
      <c r="K374" s="20"/>
      <c r="N374" s="12"/>
    </row>
    <row r="375" spans="1:14" x14ac:dyDescent="0.3">
      <c r="A375" s="35" t="str">
        <f t="shared" si="49"/>
        <v>QUÁ HẠN</v>
      </c>
      <c r="B375" s="36"/>
      <c r="C375" s="36">
        <f t="shared" si="48"/>
        <v>0</v>
      </c>
      <c r="D375" s="34">
        <f t="shared" si="50"/>
        <v>1</v>
      </c>
      <c r="E375" s="20">
        <f t="shared" si="51"/>
        <v>0</v>
      </c>
      <c r="F375" s="29"/>
      <c r="G375" s="30">
        <f t="shared" si="52"/>
        <v>0</v>
      </c>
      <c r="H375" s="20" t="str">
        <f t="shared" si="53"/>
        <v/>
      </c>
      <c r="I375" s="20">
        <f t="shared" si="54"/>
        <v>0</v>
      </c>
      <c r="J375" s="20"/>
      <c r="K375" s="20"/>
      <c r="N375" s="12"/>
    </row>
    <row r="376" spans="1:14" x14ac:dyDescent="0.3">
      <c r="A376" s="35" t="str">
        <f t="shared" si="49"/>
        <v>QUÁ HẠN</v>
      </c>
      <c r="B376" s="36"/>
      <c r="C376" s="36">
        <f t="shared" si="48"/>
        <v>0</v>
      </c>
      <c r="D376" s="34">
        <f t="shared" si="50"/>
        <v>1</v>
      </c>
      <c r="E376" s="20">
        <f t="shared" si="51"/>
        <v>0</v>
      </c>
      <c r="F376" s="29"/>
      <c r="G376" s="30">
        <f t="shared" si="52"/>
        <v>0</v>
      </c>
      <c r="H376" s="20" t="str">
        <f t="shared" si="53"/>
        <v/>
      </c>
      <c r="I376" s="20">
        <f t="shared" si="54"/>
        <v>0</v>
      </c>
      <c r="J376" s="20"/>
      <c r="K376" s="20"/>
      <c r="N376" s="12"/>
    </row>
    <row r="377" spans="1:14" x14ac:dyDescent="0.3">
      <c r="A377" s="35" t="str">
        <f t="shared" si="49"/>
        <v>QUÁ HẠN</v>
      </c>
      <c r="B377" s="36"/>
      <c r="C377" s="36">
        <f t="shared" si="48"/>
        <v>0</v>
      </c>
      <c r="D377" s="34">
        <f t="shared" si="50"/>
        <v>1</v>
      </c>
      <c r="E377" s="20">
        <f t="shared" si="51"/>
        <v>0</v>
      </c>
      <c r="F377" s="29"/>
      <c r="G377" s="30">
        <f t="shared" si="52"/>
        <v>0</v>
      </c>
      <c r="H377" s="20" t="str">
        <f t="shared" si="53"/>
        <v/>
      </c>
      <c r="I377" s="20">
        <f t="shared" si="54"/>
        <v>0</v>
      </c>
      <c r="J377" s="20"/>
      <c r="K377" s="20"/>
      <c r="N377" s="12"/>
    </row>
    <row r="378" spans="1:14" x14ac:dyDescent="0.3">
      <c r="A378" s="35" t="str">
        <f t="shared" si="49"/>
        <v>QUÁ HẠN</v>
      </c>
      <c r="B378" s="36"/>
      <c r="C378" s="36">
        <f t="shared" si="48"/>
        <v>0</v>
      </c>
      <c r="D378" s="34">
        <f t="shared" si="50"/>
        <v>1</v>
      </c>
      <c r="E378" s="20">
        <f t="shared" si="51"/>
        <v>0</v>
      </c>
      <c r="F378" s="29"/>
      <c r="G378" s="30">
        <f t="shared" si="52"/>
        <v>0</v>
      </c>
      <c r="H378" s="20" t="str">
        <f t="shared" si="53"/>
        <v/>
      </c>
      <c r="I378" s="20">
        <f t="shared" si="54"/>
        <v>0</v>
      </c>
      <c r="J378" s="20"/>
      <c r="K378" s="20"/>
      <c r="N378" s="12"/>
    </row>
    <row r="379" spans="1:14" x14ac:dyDescent="0.3">
      <c r="A379" s="35" t="str">
        <f t="shared" si="49"/>
        <v>QUÁ HẠN</v>
      </c>
      <c r="B379" s="36"/>
      <c r="C379" s="36">
        <f t="shared" si="48"/>
        <v>0</v>
      </c>
      <c r="D379" s="34">
        <f t="shared" si="50"/>
        <v>1</v>
      </c>
      <c r="E379" s="20">
        <f t="shared" si="51"/>
        <v>0</v>
      </c>
      <c r="F379" s="29"/>
      <c r="G379" s="30">
        <f t="shared" si="52"/>
        <v>0</v>
      </c>
      <c r="H379" s="20" t="str">
        <f t="shared" si="53"/>
        <v/>
      </c>
      <c r="I379" s="20">
        <f t="shared" si="54"/>
        <v>0</v>
      </c>
      <c r="J379" s="20"/>
      <c r="K379" s="20"/>
      <c r="N379" s="12"/>
    </row>
    <row r="380" spans="1:14" x14ac:dyDescent="0.3">
      <c r="A380" s="35" t="str">
        <f t="shared" si="49"/>
        <v>QUÁ HẠN</v>
      </c>
      <c r="B380" s="36"/>
      <c r="C380" s="36">
        <f t="shared" si="48"/>
        <v>0</v>
      </c>
      <c r="D380" s="34">
        <f t="shared" si="50"/>
        <v>1</v>
      </c>
      <c r="E380" s="20">
        <f t="shared" si="51"/>
        <v>0</v>
      </c>
      <c r="F380" s="29"/>
      <c r="G380" s="30">
        <f t="shared" si="52"/>
        <v>0</v>
      </c>
      <c r="H380" s="20" t="str">
        <f t="shared" si="53"/>
        <v/>
      </c>
      <c r="I380" s="20">
        <f t="shared" si="54"/>
        <v>0</v>
      </c>
      <c r="J380" s="20"/>
      <c r="K380" s="20"/>
      <c r="N380" s="12"/>
    </row>
    <row r="381" spans="1:14" x14ac:dyDescent="0.3">
      <c r="A381" s="35" t="str">
        <f t="shared" si="49"/>
        <v>QUÁ HẠN</v>
      </c>
      <c r="B381" s="36"/>
      <c r="C381" s="36">
        <f t="shared" si="48"/>
        <v>0</v>
      </c>
      <c r="D381" s="34">
        <f t="shared" si="50"/>
        <v>1</v>
      </c>
      <c r="E381" s="20">
        <f t="shared" si="51"/>
        <v>0</v>
      </c>
      <c r="F381" s="29"/>
      <c r="G381" s="30">
        <f t="shared" si="52"/>
        <v>0</v>
      </c>
      <c r="H381" s="20" t="str">
        <f t="shared" si="53"/>
        <v/>
      </c>
      <c r="I381" s="20">
        <f t="shared" si="54"/>
        <v>0</v>
      </c>
      <c r="J381" s="20"/>
      <c r="K381" s="20"/>
      <c r="N381" s="12"/>
    </row>
    <row r="382" spans="1:14" x14ac:dyDescent="0.3">
      <c r="A382" s="35" t="str">
        <f t="shared" si="49"/>
        <v>QUÁ HẠN</v>
      </c>
      <c r="B382" s="36"/>
      <c r="C382" s="36">
        <f t="shared" si="48"/>
        <v>0</v>
      </c>
      <c r="D382" s="34">
        <f t="shared" si="50"/>
        <v>1</v>
      </c>
      <c r="E382" s="20">
        <f t="shared" si="51"/>
        <v>0</v>
      </c>
      <c r="F382" s="29"/>
      <c r="G382" s="30">
        <f t="shared" si="52"/>
        <v>0</v>
      </c>
      <c r="H382" s="20" t="str">
        <f t="shared" si="53"/>
        <v/>
      </c>
      <c r="I382" s="20">
        <f t="shared" si="54"/>
        <v>0</v>
      </c>
      <c r="J382" s="20"/>
      <c r="K382" s="20"/>
      <c r="N382" s="12"/>
    </row>
    <row r="383" spans="1:14" x14ac:dyDescent="0.3">
      <c r="A383" s="35" t="str">
        <f t="shared" si="49"/>
        <v>QUÁ HẠN</v>
      </c>
      <c r="B383" s="36"/>
      <c r="C383" s="36">
        <f t="shared" si="48"/>
        <v>0</v>
      </c>
      <c r="D383" s="34">
        <f t="shared" si="50"/>
        <v>1</v>
      </c>
      <c r="E383" s="20">
        <f t="shared" si="51"/>
        <v>0</v>
      </c>
      <c r="F383" s="29"/>
      <c r="G383" s="30">
        <f t="shared" si="52"/>
        <v>0</v>
      </c>
      <c r="H383" s="20" t="str">
        <f t="shared" si="53"/>
        <v/>
      </c>
      <c r="I383" s="20">
        <f t="shared" si="54"/>
        <v>0</v>
      </c>
      <c r="J383" s="20"/>
      <c r="K383" s="20"/>
      <c r="N383" s="12"/>
    </row>
    <row r="384" spans="1:14" x14ac:dyDescent="0.3">
      <c r="A384" s="35" t="str">
        <f t="shared" si="49"/>
        <v>QUÁ HẠN</v>
      </c>
      <c r="B384" s="36"/>
      <c r="C384" s="36">
        <f t="shared" si="48"/>
        <v>0</v>
      </c>
      <c r="D384" s="34">
        <f t="shared" si="50"/>
        <v>1</v>
      </c>
      <c r="E384" s="20">
        <f t="shared" si="51"/>
        <v>0</v>
      </c>
      <c r="F384" s="29"/>
      <c r="G384" s="30">
        <f t="shared" si="52"/>
        <v>0</v>
      </c>
      <c r="H384" s="20" t="str">
        <f t="shared" si="53"/>
        <v/>
      </c>
      <c r="I384" s="20">
        <f t="shared" si="54"/>
        <v>0</v>
      </c>
      <c r="J384" s="20"/>
      <c r="K384" s="20"/>
      <c r="N384" s="12"/>
    </row>
    <row r="385" spans="1:14" x14ac:dyDescent="0.3">
      <c r="A385" s="35" t="str">
        <f t="shared" si="49"/>
        <v>QUÁ HẠN</v>
      </c>
      <c r="B385" s="36"/>
      <c r="C385" s="36">
        <f t="shared" si="48"/>
        <v>0</v>
      </c>
      <c r="D385" s="34">
        <f t="shared" si="50"/>
        <v>1</v>
      </c>
      <c r="E385" s="20">
        <f t="shared" si="51"/>
        <v>0</v>
      </c>
      <c r="F385" s="29"/>
      <c r="G385" s="30">
        <f t="shared" si="52"/>
        <v>0</v>
      </c>
      <c r="H385" s="20" t="str">
        <f t="shared" si="53"/>
        <v/>
      </c>
      <c r="I385" s="20">
        <f t="shared" si="54"/>
        <v>0</v>
      </c>
      <c r="J385" s="20"/>
      <c r="K385" s="20"/>
      <c r="N385" s="12"/>
    </row>
    <row r="386" spans="1:14" x14ac:dyDescent="0.3">
      <c r="A386" s="35" t="str">
        <f t="shared" si="49"/>
        <v>QUÁ HẠN</v>
      </c>
      <c r="B386" s="36"/>
      <c r="C386" s="36">
        <f t="shared" si="48"/>
        <v>0</v>
      </c>
      <c r="D386" s="34">
        <f t="shared" si="50"/>
        <v>1</v>
      </c>
      <c r="E386" s="20">
        <f t="shared" si="51"/>
        <v>0</v>
      </c>
      <c r="F386" s="29"/>
      <c r="G386" s="30">
        <f t="shared" si="52"/>
        <v>0</v>
      </c>
      <c r="H386" s="20" t="str">
        <f t="shared" si="53"/>
        <v/>
      </c>
      <c r="I386" s="20">
        <f t="shared" si="54"/>
        <v>0</v>
      </c>
      <c r="J386" s="20"/>
      <c r="K386" s="20"/>
      <c r="N386" s="12"/>
    </row>
    <row r="387" spans="1:14" x14ac:dyDescent="0.3">
      <c r="A387" s="35" t="str">
        <f t="shared" si="49"/>
        <v>QUÁ HẠN</v>
      </c>
      <c r="B387" s="36"/>
      <c r="C387" s="36">
        <f t="shared" si="48"/>
        <v>0</v>
      </c>
      <c r="D387" s="34">
        <f t="shared" si="50"/>
        <v>1</v>
      </c>
      <c r="E387" s="20">
        <f t="shared" si="51"/>
        <v>0</v>
      </c>
      <c r="F387" s="29"/>
      <c r="G387" s="30">
        <f t="shared" si="52"/>
        <v>0</v>
      </c>
      <c r="H387" s="20" t="str">
        <f t="shared" si="53"/>
        <v/>
      </c>
      <c r="I387" s="20">
        <f t="shared" si="54"/>
        <v>0</v>
      </c>
      <c r="J387" s="20"/>
      <c r="K387" s="20"/>
      <c r="N387" s="12"/>
    </row>
    <row r="388" spans="1:14" x14ac:dyDescent="0.3">
      <c r="A388" s="35" t="str">
        <f t="shared" si="49"/>
        <v>QUÁ HẠN</v>
      </c>
      <c r="B388" s="36"/>
      <c r="C388" s="36">
        <f t="shared" si="48"/>
        <v>0</v>
      </c>
      <c r="D388" s="34">
        <f t="shared" si="50"/>
        <v>1</v>
      </c>
      <c r="E388" s="20">
        <f t="shared" si="51"/>
        <v>0</v>
      </c>
      <c r="F388" s="29"/>
      <c r="G388" s="30">
        <f t="shared" si="52"/>
        <v>0</v>
      </c>
      <c r="H388" s="20" t="str">
        <f t="shared" si="53"/>
        <v/>
      </c>
      <c r="I388" s="20">
        <f t="shared" si="54"/>
        <v>0</v>
      </c>
      <c r="J388" s="20"/>
      <c r="K388" s="20"/>
      <c r="N388" s="12"/>
    </row>
    <row r="389" spans="1:14" x14ac:dyDescent="0.3">
      <c r="A389" s="35" t="str">
        <f t="shared" si="49"/>
        <v>QUÁ HẠN</v>
      </c>
      <c r="B389" s="36"/>
      <c r="C389" s="36">
        <f t="shared" si="48"/>
        <v>0</v>
      </c>
      <c r="D389" s="34">
        <f t="shared" si="50"/>
        <v>1</v>
      </c>
      <c r="E389" s="20">
        <f t="shared" si="51"/>
        <v>0</v>
      </c>
      <c r="F389" s="29"/>
      <c r="G389" s="30">
        <f t="shared" si="52"/>
        <v>0</v>
      </c>
      <c r="H389" s="20" t="str">
        <f t="shared" si="53"/>
        <v/>
      </c>
      <c r="I389" s="20">
        <f t="shared" si="54"/>
        <v>0</v>
      </c>
      <c r="J389" s="20"/>
      <c r="K389" s="20"/>
      <c r="N389" s="12"/>
    </row>
    <row r="390" spans="1:14" x14ac:dyDescent="0.3">
      <c r="A390" s="35" t="str">
        <f t="shared" si="49"/>
        <v>QUÁ HẠN</v>
      </c>
      <c r="B390" s="36"/>
      <c r="C390" s="36">
        <f t="shared" si="48"/>
        <v>0</v>
      </c>
      <c r="D390" s="34">
        <f t="shared" si="50"/>
        <v>1</v>
      </c>
      <c r="E390" s="20">
        <f t="shared" si="51"/>
        <v>0</v>
      </c>
      <c r="F390" s="29"/>
      <c r="G390" s="30">
        <f t="shared" si="52"/>
        <v>0</v>
      </c>
      <c r="H390" s="20" t="str">
        <f t="shared" si="53"/>
        <v/>
      </c>
      <c r="I390" s="20">
        <f t="shared" si="54"/>
        <v>0</v>
      </c>
      <c r="J390" s="20"/>
      <c r="K390" s="20"/>
      <c r="N390" s="12"/>
    </row>
    <row r="391" spans="1:14" x14ac:dyDescent="0.3">
      <c r="A391" s="35" t="str">
        <f t="shared" si="49"/>
        <v>QUÁ HẠN</v>
      </c>
      <c r="B391" s="36"/>
      <c r="C391" s="36">
        <f t="shared" si="48"/>
        <v>0</v>
      </c>
      <c r="D391" s="34">
        <f t="shared" si="50"/>
        <v>1</v>
      </c>
      <c r="E391" s="20">
        <f t="shared" si="51"/>
        <v>0</v>
      </c>
      <c r="F391" s="29"/>
      <c r="G391" s="30">
        <f t="shared" si="52"/>
        <v>0</v>
      </c>
      <c r="H391" s="20" t="str">
        <f t="shared" si="53"/>
        <v/>
      </c>
      <c r="I391" s="20">
        <f t="shared" si="54"/>
        <v>0</v>
      </c>
      <c r="J391" s="20"/>
      <c r="K391" s="20"/>
      <c r="N391" s="12"/>
    </row>
    <row r="392" spans="1:14" x14ac:dyDescent="0.3">
      <c r="A392" s="35" t="str">
        <f t="shared" si="49"/>
        <v>QUÁ HẠN</v>
      </c>
      <c r="B392" s="36"/>
      <c r="C392" s="36">
        <f t="shared" si="48"/>
        <v>0</v>
      </c>
      <c r="D392" s="34">
        <f t="shared" si="50"/>
        <v>1</v>
      </c>
      <c r="E392" s="20">
        <f t="shared" si="51"/>
        <v>0</v>
      </c>
      <c r="F392" s="29"/>
      <c r="G392" s="30">
        <f t="shared" si="52"/>
        <v>0</v>
      </c>
      <c r="H392" s="20" t="str">
        <f t="shared" si="53"/>
        <v/>
      </c>
      <c r="I392" s="20">
        <f t="shared" si="54"/>
        <v>0</v>
      </c>
      <c r="J392" s="20"/>
      <c r="K392" s="20"/>
      <c r="N392" s="12"/>
    </row>
    <row r="393" spans="1:14" x14ac:dyDescent="0.3">
      <c r="A393" s="35" t="str">
        <f t="shared" si="49"/>
        <v>QUÁ HẠN</v>
      </c>
      <c r="B393" s="36"/>
      <c r="C393" s="36">
        <f t="shared" si="48"/>
        <v>0</v>
      </c>
      <c r="D393" s="34">
        <f t="shared" si="50"/>
        <v>1</v>
      </c>
      <c r="E393" s="20">
        <f t="shared" si="51"/>
        <v>0</v>
      </c>
      <c r="F393" s="29"/>
      <c r="G393" s="30">
        <f t="shared" si="52"/>
        <v>0</v>
      </c>
      <c r="H393" s="20" t="str">
        <f t="shared" si="53"/>
        <v/>
      </c>
      <c r="I393" s="20">
        <f t="shared" si="54"/>
        <v>0</v>
      </c>
      <c r="J393" s="20"/>
      <c r="K393" s="20"/>
      <c r="N393" s="12"/>
    </row>
    <row r="394" spans="1:14" x14ac:dyDescent="0.3">
      <c r="A394" s="35" t="str">
        <f t="shared" si="49"/>
        <v>QUÁ HẠN</v>
      </c>
      <c r="B394" s="36"/>
      <c r="C394" s="36">
        <f t="shared" si="48"/>
        <v>0</v>
      </c>
      <c r="D394" s="34">
        <f t="shared" si="50"/>
        <v>1</v>
      </c>
      <c r="E394" s="20">
        <f t="shared" si="51"/>
        <v>0</v>
      </c>
      <c r="F394" s="29"/>
      <c r="G394" s="30">
        <f t="shared" si="52"/>
        <v>0</v>
      </c>
      <c r="H394" s="20" t="str">
        <f t="shared" si="53"/>
        <v/>
      </c>
      <c r="I394" s="20">
        <f t="shared" si="54"/>
        <v>0</v>
      </c>
      <c r="J394" s="20"/>
      <c r="K394" s="20"/>
      <c r="N394" s="12"/>
    </row>
    <row r="395" spans="1:14" x14ac:dyDescent="0.3">
      <c r="A395" s="35" t="str">
        <f t="shared" si="49"/>
        <v>QUÁ HẠN</v>
      </c>
      <c r="B395" s="36"/>
      <c r="C395" s="36">
        <f t="shared" si="48"/>
        <v>0</v>
      </c>
      <c r="D395" s="34">
        <f t="shared" si="50"/>
        <v>1</v>
      </c>
      <c r="E395" s="20">
        <f t="shared" si="51"/>
        <v>0</v>
      </c>
      <c r="F395" s="29"/>
      <c r="G395" s="30">
        <f t="shared" si="52"/>
        <v>0</v>
      </c>
      <c r="H395" s="20" t="str">
        <f t="shared" si="53"/>
        <v/>
      </c>
      <c r="I395" s="20">
        <f t="shared" si="54"/>
        <v>0</v>
      </c>
      <c r="J395" s="20"/>
      <c r="K395" s="20"/>
      <c r="N395" s="12"/>
    </row>
    <row r="396" spans="1:14" x14ac:dyDescent="0.3">
      <c r="A396" s="35" t="str">
        <f t="shared" si="49"/>
        <v>QUÁ HẠN</v>
      </c>
      <c r="B396" s="36"/>
      <c r="C396" s="36">
        <f t="shared" si="48"/>
        <v>0</v>
      </c>
      <c r="D396" s="34">
        <f t="shared" si="50"/>
        <v>1</v>
      </c>
      <c r="E396" s="20">
        <f t="shared" si="51"/>
        <v>0</v>
      </c>
      <c r="F396" s="29"/>
      <c r="G396" s="30">
        <f t="shared" si="52"/>
        <v>0</v>
      </c>
      <c r="H396" s="20" t="str">
        <f t="shared" si="53"/>
        <v/>
      </c>
      <c r="I396" s="20">
        <f t="shared" si="54"/>
        <v>0</v>
      </c>
      <c r="J396" s="20"/>
      <c r="K396" s="20"/>
      <c r="N396" s="12"/>
    </row>
    <row r="397" spans="1:14" x14ac:dyDescent="0.3">
      <c r="A397" s="35" t="str">
        <f t="shared" si="49"/>
        <v>QUÁ HẠN</v>
      </c>
      <c r="B397" s="36"/>
      <c r="C397" s="36">
        <f t="shared" si="48"/>
        <v>0</v>
      </c>
      <c r="D397" s="34">
        <f t="shared" si="50"/>
        <v>1</v>
      </c>
      <c r="E397" s="20">
        <f t="shared" si="51"/>
        <v>0</v>
      </c>
      <c r="F397" s="29"/>
      <c r="G397" s="30">
        <f t="shared" si="52"/>
        <v>0</v>
      </c>
      <c r="H397" s="20" t="str">
        <f t="shared" si="53"/>
        <v/>
      </c>
      <c r="I397" s="20">
        <f t="shared" si="54"/>
        <v>0</v>
      </c>
      <c r="J397" s="20"/>
      <c r="K397" s="20"/>
      <c r="N397" s="12"/>
    </row>
    <row r="398" spans="1:14" x14ac:dyDescent="0.3">
      <c r="A398" s="35" t="str">
        <f t="shared" si="49"/>
        <v>QUÁ HẠN</v>
      </c>
      <c r="B398" s="36"/>
      <c r="C398" s="36">
        <f t="shared" si="48"/>
        <v>0</v>
      </c>
      <c r="D398" s="34">
        <f t="shared" si="50"/>
        <v>1</v>
      </c>
      <c r="E398" s="20">
        <f t="shared" si="51"/>
        <v>0</v>
      </c>
      <c r="F398" s="29"/>
      <c r="G398" s="30">
        <f t="shared" si="52"/>
        <v>0</v>
      </c>
      <c r="H398" s="20" t="str">
        <f t="shared" si="53"/>
        <v/>
      </c>
      <c r="I398" s="20">
        <f t="shared" si="54"/>
        <v>0</v>
      </c>
      <c r="J398" s="20"/>
      <c r="K398" s="20"/>
      <c r="N398" s="12"/>
    </row>
    <row r="399" spans="1:14" x14ac:dyDescent="0.3">
      <c r="A399" s="35" t="str">
        <f t="shared" si="49"/>
        <v>QUÁ HẠN</v>
      </c>
      <c r="B399" s="36"/>
      <c r="C399" s="36">
        <f t="shared" si="48"/>
        <v>0</v>
      </c>
      <c r="D399" s="34">
        <f t="shared" si="50"/>
        <v>1</v>
      </c>
      <c r="E399" s="20">
        <f t="shared" si="51"/>
        <v>0</v>
      </c>
      <c r="F399" s="29"/>
      <c r="G399" s="30">
        <f t="shared" si="52"/>
        <v>0</v>
      </c>
      <c r="H399" s="20" t="str">
        <f t="shared" si="53"/>
        <v/>
      </c>
      <c r="I399" s="20">
        <f t="shared" si="54"/>
        <v>0</v>
      </c>
      <c r="J399" s="20"/>
      <c r="K399" s="20"/>
      <c r="N399" s="12"/>
    </row>
    <row r="400" spans="1:14" x14ac:dyDescent="0.3">
      <c r="A400" s="35" t="str">
        <f t="shared" si="49"/>
        <v>QUÁ HẠN</v>
      </c>
      <c r="B400" s="36"/>
      <c r="C400" s="36">
        <f t="shared" si="48"/>
        <v>0</v>
      </c>
      <c r="D400" s="34">
        <f t="shared" si="50"/>
        <v>1</v>
      </c>
      <c r="E400" s="20">
        <f t="shared" si="51"/>
        <v>0</v>
      </c>
      <c r="F400" s="29"/>
      <c r="G400" s="30">
        <f t="shared" si="52"/>
        <v>0</v>
      </c>
      <c r="H400" s="20" t="str">
        <f t="shared" si="53"/>
        <v/>
      </c>
      <c r="I400" s="20">
        <f t="shared" si="54"/>
        <v>0</v>
      </c>
      <c r="J400" s="20"/>
      <c r="K400" s="20"/>
      <c r="N400" s="12"/>
    </row>
    <row r="401" spans="1:14" x14ac:dyDescent="0.3">
      <c r="A401" s="35" t="str">
        <f t="shared" si="49"/>
        <v>QUÁ HẠN</v>
      </c>
      <c r="B401" s="36"/>
      <c r="C401" s="36">
        <f t="shared" si="48"/>
        <v>0</v>
      </c>
      <c r="D401" s="34">
        <f t="shared" si="50"/>
        <v>1</v>
      </c>
      <c r="E401" s="20">
        <f t="shared" si="51"/>
        <v>0</v>
      </c>
      <c r="F401" s="29"/>
      <c r="G401" s="30">
        <f t="shared" si="52"/>
        <v>0</v>
      </c>
      <c r="H401" s="20" t="str">
        <f t="shared" si="53"/>
        <v/>
      </c>
      <c r="I401" s="20">
        <f t="shared" si="54"/>
        <v>0</v>
      </c>
      <c r="J401" s="20"/>
      <c r="K401" s="20"/>
      <c r="N401" s="12"/>
    </row>
    <row r="402" spans="1:14" x14ac:dyDescent="0.3">
      <c r="A402" s="35" t="str">
        <f t="shared" si="49"/>
        <v>QUÁ HẠN</v>
      </c>
      <c r="B402" s="36"/>
      <c r="C402" s="36">
        <f t="shared" si="48"/>
        <v>0</v>
      </c>
      <c r="D402" s="34">
        <f t="shared" si="50"/>
        <v>1</v>
      </c>
      <c r="E402" s="20">
        <f t="shared" si="51"/>
        <v>0</v>
      </c>
      <c r="F402" s="29"/>
      <c r="G402" s="30">
        <f t="shared" si="52"/>
        <v>0</v>
      </c>
      <c r="H402" s="20" t="str">
        <f t="shared" si="53"/>
        <v/>
      </c>
      <c r="I402" s="20">
        <f t="shared" si="54"/>
        <v>0</v>
      </c>
      <c r="J402" s="20"/>
      <c r="K402" s="20"/>
      <c r="N402" s="12"/>
    </row>
    <row r="403" spans="1:14" x14ac:dyDescent="0.3">
      <c r="A403" s="35" t="str">
        <f t="shared" si="49"/>
        <v>QUÁ HẠN</v>
      </c>
      <c r="B403" s="36"/>
      <c r="C403" s="36">
        <f t="shared" si="48"/>
        <v>0</v>
      </c>
      <c r="D403" s="34">
        <f t="shared" si="50"/>
        <v>1</v>
      </c>
      <c r="E403" s="20">
        <f t="shared" si="51"/>
        <v>0</v>
      </c>
      <c r="F403" s="29"/>
      <c r="G403" s="30">
        <f t="shared" si="52"/>
        <v>0</v>
      </c>
      <c r="H403" s="20" t="str">
        <f t="shared" si="53"/>
        <v/>
      </c>
      <c r="I403" s="20">
        <f t="shared" si="54"/>
        <v>0</v>
      </c>
      <c r="J403" s="20"/>
      <c r="K403" s="20"/>
      <c r="N403" s="12"/>
    </row>
    <row r="404" spans="1:14" x14ac:dyDescent="0.3">
      <c r="A404" s="35" t="str">
        <f t="shared" si="49"/>
        <v>QUÁ HẠN</v>
      </c>
      <c r="B404" s="36"/>
      <c r="C404" s="36">
        <f t="shared" si="48"/>
        <v>0</v>
      </c>
      <c r="D404" s="34">
        <f t="shared" si="50"/>
        <v>1</v>
      </c>
      <c r="E404" s="20">
        <f t="shared" si="51"/>
        <v>0</v>
      </c>
      <c r="F404" s="29"/>
      <c r="G404" s="30">
        <f t="shared" si="52"/>
        <v>0</v>
      </c>
      <c r="H404" s="20" t="str">
        <f t="shared" si="53"/>
        <v/>
      </c>
      <c r="I404" s="20">
        <f t="shared" si="54"/>
        <v>0</v>
      </c>
      <c r="J404" s="20"/>
      <c r="K404" s="20"/>
      <c r="N404" s="12"/>
    </row>
    <row r="405" spans="1:14" x14ac:dyDescent="0.3">
      <c r="A405" s="35" t="str">
        <f t="shared" si="49"/>
        <v>QUÁ HẠN</v>
      </c>
      <c r="B405" s="36"/>
      <c r="C405" s="36">
        <f t="shared" si="48"/>
        <v>0</v>
      </c>
      <c r="D405" s="34">
        <f t="shared" si="50"/>
        <v>1</v>
      </c>
      <c r="E405" s="20">
        <f t="shared" si="51"/>
        <v>0</v>
      </c>
      <c r="F405" s="29"/>
      <c r="G405" s="30">
        <f t="shared" si="52"/>
        <v>0</v>
      </c>
      <c r="H405" s="20" t="str">
        <f t="shared" si="53"/>
        <v/>
      </c>
      <c r="I405" s="20">
        <f t="shared" si="54"/>
        <v>0</v>
      </c>
      <c r="J405" s="20"/>
      <c r="K405" s="20"/>
      <c r="N405" s="12"/>
    </row>
    <row r="406" spans="1:14" x14ac:dyDescent="0.3">
      <c r="A406" s="35" t="str">
        <f t="shared" si="49"/>
        <v>QUÁ HẠN</v>
      </c>
      <c r="B406" s="36"/>
      <c r="C406" s="36">
        <f t="shared" si="48"/>
        <v>0</v>
      </c>
      <c r="D406" s="34">
        <f t="shared" si="50"/>
        <v>1</v>
      </c>
      <c r="E406" s="20">
        <f t="shared" si="51"/>
        <v>0</v>
      </c>
      <c r="F406" s="29"/>
      <c r="G406" s="30">
        <f t="shared" si="52"/>
        <v>0</v>
      </c>
      <c r="H406" s="20" t="str">
        <f t="shared" si="53"/>
        <v/>
      </c>
      <c r="I406" s="20">
        <f t="shared" si="54"/>
        <v>0</v>
      </c>
      <c r="J406" s="20"/>
      <c r="K406" s="20"/>
      <c r="N406" s="12"/>
    </row>
    <row r="407" spans="1:14" x14ac:dyDescent="0.3">
      <c r="A407" s="35" t="str">
        <f t="shared" si="49"/>
        <v>QUÁ HẠN</v>
      </c>
      <c r="B407" s="36"/>
      <c r="C407" s="36">
        <f t="shared" si="48"/>
        <v>0</v>
      </c>
      <c r="D407" s="34">
        <f t="shared" si="50"/>
        <v>1</v>
      </c>
      <c r="E407" s="20">
        <f t="shared" si="51"/>
        <v>0</v>
      </c>
      <c r="F407" s="29"/>
      <c r="G407" s="30">
        <f t="shared" si="52"/>
        <v>0</v>
      </c>
      <c r="H407" s="20" t="str">
        <f t="shared" si="53"/>
        <v/>
      </c>
      <c r="I407" s="20">
        <f t="shared" si="54"/>
        <v>0</v>
      </c>
      <c r="J407" s="20"/>
      <c r="K407" s="20"/>
      <c r="N407" s="12"/>
    </row>
    <row r="408" spans="1:14" x14ac:dyDescent="0.3">
      <c r="A408" s="35" t="str">
        <f t="shared" si="49"/>
        <v>QUÁ HẠN</v>
      </c>
      <c r="B408" s="36"/>
      <c r="C408" s="36">
        <f t="shared" si="48"/>
        <v>0</v>
      </c>
      <c r="D408" s="34">
        <f t="shared" si="50"/>
        <v>1</v>
      </c>
      <c r="E408" s="20">
        <f t="shared" si="51"/>
        <v>0</v>
      </c>
      <c r="F408" s="29"/>
      <c r="G408" s="30">
        <f t="shared" si="52"/>
        <v>0</v>
      </c>
      <c r="H408" s="20" t="str">
        <f t="shared" si="53"/>
        <v/>
      </c>
      <c r="I408" s="20">
        <f t="shared" si="54"/>
        <v>0</v>
      </c>
      <c r="J408" s="20"/>
      <c r="K408" s="20"/>
      <c r="N408" s="12"/>
    </row>
    <row r="409" spans="1:14" x14ac:dyDescent="0.3">
      <c r="A409" s="35" t="str">
        <f t="shared" si="49"/>
        <v>QUÁ HẠN</v>
      </c>
      <c r="B409" s="36"/>
      <c r="C409" s="36">
        <f t="shared" si="48"/>
        <v>0</v>
      </c>
      <c r="D409" s="34">
        <f t="shared" si="50"/>
        <v>1</v>
      </c>
      <c r="E409" s="20">
        <f t="shared" si="51"/>
        <v>0</v>
      </c>
      <c r="F409" s="29"/>
      <c r="G409" s="30">
        <f t="shared" si="52"/>
        <v>0</v>
      </c>
      <c r="H409" s="20" t="str">
        <f t="shared" si="53"/>
        <v/>
      </c>
      <c r="I409" s="20">
        <f t="shared" si="54"/>
        <v>0</v>
      </c>
      <c r="J409" s="20"/>
      <c r="K409" s="20"/>
      <c r="N409" s="12"/>
    </row>
    <row r="410" spans="1:14" x14ac:dyDescent="0.3">
      <c r="A410" s="35" t="str">
        <f t="shared" si="49"/>
        <v>QUÁ HẠN</v>
      </c>
      <c r="B410" s="36"/>
      <c r="C410" s="36">
        <f t="shared" si="48"/>
        <v>0</v>
      </c>
      <c r="D410" s="34">
        <f t="shared" si="50"/>
        <v>1</v>
      </c>
      <c r="E410" s="20">
        <f t="shared" si="51"/>
        <v>0</v>
      </c>
      <c r="F410" s="29"/>
      <c r="G410" s="30">
        <f t="shared" si="52"/>
        <v>0</v>
      </c>
      <c r="H410" s="20" t="str">
        <f t="shared" si="53"/>
        <v/>
      </c>
      <c r="I410" s="20">
        <f t="shared" si="54"/>
        <v>0</v>
      </c>
      <c r="J410" s="20"/>
      <c r="K410" s="20"/>
      <c r="N410" s="12"/>
    </row>
    <row r="411" spans="1:14" x14ac:dyDescent="0.3">
      <c r="A411" s="35" t="str">
        <f t="shared" si="49"/>
        <v>QUÁ HẠN</v>
      </c>
      <c r="B411" s="36"/>
      <c r="C411" s="36">
        <f t="shared" si="48"/>
        <v>0</v>
      </c>
      <c r="D411" s="34">
        <f t="shared" si="50"/>
        <v>1</v>
      </c>
      <c r="E411" s="20">
        <f t="shared" si="51"/>
        <v>0</v>
      </c>
      <c r="F411" s="29"/>
      <c r="G411" s="30">
        <f t="shared" si="52"/>
        <v>0</v>
      </c>
      <c r="H411" s="20" t="str">
        <f t="shared" si="53"/>
        <v/>
      </c>
      <c r="I411" s="20">
        <f t="shared" si="54"/>
        <v>0</v>
      </c>
      <c r="J411" s="20"/>
      <c r="K411" s="20"/>
      <c r="N411" s="12"/>
    </row>
    <row r="412" spans="1:14" x14ac:dyDescent="0.3">
      <c r="A412" s="35" t="str">
        <f t="shared" si="49"/>
        <v>QUÁ HẠN</v>
      </c>
      <c r="B412" s="36"/>
      <c r="C412" s="36">
        <f t="shared" si="48"/>
        <v>0</v>
      </c>
      <c r="D412" s="34">
        <f t="shared" si="50"/>
        <v>1</v>
      </c>
      <c r="E412" s="20">
        <f t="shared" si="51"/>
        <v>0</v>
      </c>
      <c r="F412" s="29"/>
      <c r="G412" s="30">
        <f t="shared" si="52"/>
        <v>0</v>
      </c>
      <c r="H412" s="20" t="str">
        <f t="shared" si="53"/>
        <v/>
      </c>
      <c r="I412" s="20">
        <f t="shared" si="54"/>
        <v>0</v>
      </c>
      <c r="J412" s="20"/>
      <c r="K412" s="20"/>
      <c r="N412" s="12"/>
    </row>
    <row r="413" spans="1:14" x14ac:dyDescent="0.3">
      <c r="A413" s="35" t="str">
        <f t="shared" si="49"/>
        <v>QUÁ HẠN</v>
      </c>
      <c r="B413" s="36"/>
      <c r="C413" s="36">
        <f t="shared" si="48"/>
        <v>0</v>
      </c>
      <c r="D413" s="34">
        <f t="shared" si="50"/>
        <v>1</v>
      </c>
      <c r="E413" s="20">
        <f t="shared" si="51"/>
        <v>0</v>
      </c>
      <c r="F413" s="29"/>
      <c r="G413" s="30">
        <f t="shared" si="52"/>
        <v>0</v>
      </c>
      <c r="H413" s="20" t="str">
        <f t="shared" si="53"/>
        <v/>
      </c>
      <c r="I413" s="20">
        <f t="shared" si="54"/>
        <v>0</v>
      </c>
      <c r="J413" s="20"/>
      <c r="K413" s="20"/>
      <c r="N413" s="12"/>
    </row>
    <row r="414" spans="1:14" x14ac:dyDescent="0.3">
      <c r="A414" s="35" t="str">
        <f t="shared" si="49"/>
        <v>QUÁ HẠN</v>
      </c>
      <c r="B414" s="36"/>
      <c r="C414" s="36">
        <f t="shared" si="48"/>
        <v>0</v>
      </c>
      <c r="D414" s="34">
        <f t="shared" si="50"/>
        <v>1</v>
      </c>
      <c r="E414" s="20">
        <f t="shared" si="51"/>
        <v>0</v>
      </c>
      <c r="F414" s="29"/>
      <c r="G414" s="30">
        <f t="shared" si="52"/>
        <v>0</v>
      </c>
      <c r="H414" s="20" t="str">
        <f t="shared" si="53"/>
        <v/>
      </c>
      <c r="I414" s="20">
        <f t="shared" si="54"/>
        <v>0</v>
      </c>
      <c r="J414" s="20"/>
      <c r="K414" s="20"/>
      <c r="N414" s="12"/>
    </row>
    <row r="415" spans="1:14" x14ac:dyDescent="0.3">
      <c r="A415" s="35" t="str">
        <f t="shared" si="49"/>
        <v>QUÁ HẠN</v>
      </c>
      <c r="B415" s="36"/>
      <c r="C415" s="36">
        <f t="shared" si="48"/>
        <v>0</v>
      </c>
      <c r="D415" s="34">
        <f t="shared" si="50"/>
        <v>1</v>
      </c>
      <c r="E415" s="20">
        <f t="shared" si="51"/>
        <v>0</v>
      </c>
      <c r="F415" s="29"/>
      <c r="G415" s="30">
        <f t="shared" si="52"/>
        <v>0</v>
      </c>
      <c r="H415" s="20" t="str">
        <f t="shared" si="53"/>
        <v/>
      </c>
      <c r="I415" s="20">
        <f t="shared" si="54"/>
        <v>0</v>
      </c>
      <c r="J415" s="20"/>
      <c r="K415" s="20"/>
      <c r="N415" s="12"/>
    </row>
    <row r="416" spans="1:14" x14ac:dyDescent="0.3">
      <c r="A416" s="35" t="str">
        <f t="shared" si="49"/>
        <v>QUÁ HẠN</v>
      </c>
      <c r="B416" s="36"/>
      <c r="C416" s="36">
        <f t="shared" si="48"/>
        <v>0</v>
      </c>
      <c r="D416" s="34">
        <f t="shared" si="50"/>
        <v>1</v>
      </c>
      <c r="E416" s="20">
        <f t="shared" si="51"/>
        <v>0</v>
      </c>
      <c r="F416" s="29"/>
      <c r="G416" s="30">
        <f t="shared" si="52"/>
        <v>0</v>
      </c>
      <c r="H416" s="20" t="str">
        <f t="shared" si="53"/>
        <v/>
      </c>
      <c r="I416" s="20">
        <f t="shared" si="54"/>
        <v>0</v>
      </c>
      <c r="J416" s="20"/>
      <c r="K416" s="20"/>
      <c r="N416" s="12"/>
    </row>
    <row r="417" spans="1:14" x14ac:dyDescent="0.3">
      <c r="A417" s="35" t="str">
        <f t="shared" si="49"/>
        <v>QUÁ HẠN</v>
      </c>
      <c r="B417" s="36"/>
      <c r="C417" s="36">
        <f t="shared" si="48"/>
        <v>0</v>
      </c>
      <c r="D417" s="34">
        <f t="shared" si="50"/>
        <v>1</v>
      </c>
      <c r="E417" s="20">
        <f t="shared" si="51"/>
        <v>0</v>
      </c>
      <c r="F417" s="29"/>
      <c r="G417" s="30">
        <f t="shared" si="52"/>
        <v>0</v>
      </c>
      <c r="H417" s="20" t="str">
        <f t="shared" si="53"/>
        <v/>
      </c>
      <c r="I417" s="20">
        <f t="shared" si="54"/>
        <v>0</v>
      </c>
      <c r="J417" s="20"/>
      <c r="K417" s="20"/>
      <c r="N417" s="12"/>
    </row>
    <row r="418" spans="1:14" x14ac:dyDescent="0.3">
      <c r="A418" s="35" t="str">
        <f t="shared" si="49"/>
        <v>QUÁ HẠN</v>
      </c>
      <c r="B418" s="36"/>
      <c r="C418" s="36">
        <f t="shared" si="48"/>
        <v>0</v>
      </c>
      <c r="D418" s="34">
        <f t="shared" si="50"/>
        <v>1</v>
      </c>
      <c r="E418" s="20">
        <f t="shared" si="51"/>
        <v>0</v>
      </c>
      <c r="F418" s="29"/>
      <c r="G418" s="30">
        <f t="shared" si="52"/>
        <v>0</v>
      </c>
      <c r="H418" s="20" t="str">
        <f t="shared" si="53"/>
        <v/>
      </c>
      <c r="I418" s="20">
        <f t="shared" si="54"/>
        <v>0</v>
      </c>
      <c r="J418" s="20"/>
      <c r="K418" s="20"/>
      <c r="N418" s="12"/>
    </row>
    <row r="419" spans="1:14" x14ac:dyDescent="0.3">
      <c r="A419" s="35" t="str">
        <f t="shared" si="49"/>
        <v>QUÁ HẠN</v>
      </c>
      <c r="B419" s="36"/>
      <c r="C419" s="36">
        <f t="shared" ref="C419:C482" si="55">IFERROR(IF(B420="", $B$10, B420-1), $B$10)</f>
        <v>0</v>
      </c>
      <c r="D419" s="34">
        <f t="shared" si="50"/>
        <v>1</v>
      </c>
      <c r="E419" s="20">
        <f t="shared" si="51"/>
        <v>0</v>
      </c>
      <c r="F419" s="29"/>
      <c r="G419" s="30">
        <f t="shared" si="52"/>
        <v>0</v>
      </c>
      <c r="H419" s="20" t="str">
        <f t="shared" si="53"/>
        <v/>
      </c>
      <c r="I419" s="20">
        <f t="shared" si="54"/>
        <v>0</v>
      </c>
      <c r="J419" s="20"/>
      <c r="K419" s="20"/>
      <c r="N419" s="12"/>
    </row>
    <row r="420" spans="1:14" x14ac:dyDescent="0.3">
      <c r="A420" s="35" t="str">
        <f t="shared" si="49"/>
        <v>QUÁ HẠN</v>
      </c>
      <c r="B420" s="36"/>
      <c r="C420" s="36">
        <f t="shared" si="55"/>
        <v>0</v>
      </c>
      <c r="D420" s="34">
        <f t="shared" si="50"/>
        <v>1</v>
      </c>
      <c r="E420" s="20">
        <f t="shared" si="51"/>
        <v>0</v>
      </c>
      <c r="F420" s="29"/>
      <c r="G420" s="30">
        <f t="shared" si="52"/>
        <v>0</v>
      </c>
      <c r="H420" s="20" t="str">
        <f t="shared" si="53"/>
        <v/>
      </c>
      <c r="I420" s="20">
        <f t="shared" si="54"/>
        <v>0</v>
      </c>
      <c r="J420" s="20"/>
      <c r="K420" s="20"/>
      <c r="N420" s="12"/>
    </row>
    <row r="421" spans="1:14" x14ac:dyDescent="0.3">
      <c r="A421" s="35" t="str">
        <f t="shared" si="49"/>
        <v>QUÁ HẠN</v>
      </c>
      <c r="B421" s="36"/>
      <c r="C421" s="36">
        <f t="shared" si="55"/>
        <v>0</v>
      </c>
      <c r="D421" s="34">
        <f t="shared" si="50"/>
        <v>1</v>
      </c>
      <c r="E421" s="20">
        <f t="shared" si="51"/>
        <v>0</v>
      </c>
      <c r="F421" s="29"/>
      <c r="G421" s="30">
        <f t="shared" si="52"/>
        <v>0</v>
      </c>
      <c r="H421" s="20" t="str">
        <f t="shared" si="53"/>
        <v/>
      </c>
      <c r="I421" s="20">
        <f t="shared" si="54"/>
        <v>0</v>
      </c>
      <c r="J421" s="20"/>
      <c r="K421" s="20"/>
      <c r="N421" s="12"/>
    </row>
    <row r="422" spans="1:14" x14ac:dyDescent="0.3">
      <c r="A422" s="35" t="str">
        <f t="shared" si="49"/>
        <v>QUÁ HẠN</v>
      </c>
      <c r="B422" s="36"/>
      <c r="C422" s="36">
        <f t="shared" si="55"/>
        <v>0</v>
      </c>
      <c r="D422" s="34">
        <f t="shared" si="50"/>
        <v>1</v>
      </c>
      <c r="E422" s="20">
        <f t="shared" si="51"/>
        <v>0</v>
      </c>
      <c r="F422" s="29"/>
      <c r="G422" s="30">
        <f t="shared" si="52"/>
        <v>0</v>
      </c>
      <c r="H422" s="20" t="str">
        <f t="shared" si="53"/>
        <v/>
      </c>
      <c r="I422" s="20">
        <f t="shared" si="54"/>
        <v>0</v>
      </c>
      <c r="J422" s="20"/>
      <c r="K422" s="20"/>
      <c r="N422" s="12"/>
    </row>
    <row r="423" spans="1:14" x14ac:dyDescent="0.3">
      <c r="A423" s="35" t="str">
        <f t="shared" si="49"/>
        <v>QUÁ HẠN</v>
      </c>
      <c r="B423" s="36"/>
      <c r="C423" s="36">
        <f t="shared" si="55"/>
        <v>0</v>
      </c>
      <c r="D423" s="34">
        <f t="shared" si="50"/>
        <v>1</v>
      </c>
      <c r="E423" s="20">
        <f t="shared" si="51"/>
        <v>0</v>
      </c>
      <c r="F423" s="29"/>
      <c r="G423" s="30">
        <f t="shared" si="52"/>
        <v>0</v>
      </c>
      <c r="H423" s="20" t="str">
        <f t="shared" si="53"/>
        <v/>
      </c>
      <c r="I423" s="20">
        <f t="shared" si="54"/>
        <v>0</v>
      </c>
      <c r="J423" s="20"/>
      <c r="K423" s="20"/>
      <c r="N423" s="12"/>
    </row>
    <row r="424" spans="1:14" x14ac:dyDescent="0.3">
      <c r="A424" s="35" t="str">
        <f t="shared" si="49"/>
        <v>QUÁ HẠN</v>
      </c>
      <c r="B424" s="36"/>
      <c r="C424" s="36">
        <f t="shared" si="55"/>
        <v>0</v>
      </c>
      <c r="D424" s="34">
        <f t="shared" si="50"/>
        <v>1</v>
      </c>
      <c r="E424" s="20">
        <f t="shared" si="51"/>
        <v>0</v>
      </c>
      <c r="F424" s="29"/>
      <c r="G424" s="30">
        <f t="shared" si="52"/>
        <v>0</v>
      </c>
      <c r="H424" s="20" t="str">
        <f t="shared" si="53"/>
        <v/>
      </c>
      <c r="I424" s="20">
        <f t="shared" si="54"/>
        <v>0</v>
      </c>
      <c r="J424" s="20"/>
      <c r="K424" s="20"/>
      <c r="N424" s="12"/>
    </row>
    <row r="425" spans="1:14" x14ac:dyDescent="0.3">
      <c r="A425" s="35" t="str">
        <f t="shared" si="49"/>
        <v>QUÁ HẠN</v>
      </c>
      <c r="B425" s="36"/>
      <c r="C425" s="36">
        <f t="shared" si="55"/>
        <v>0</v>
      </c>
      <c r="D425" s="34">
        <f t="shared" si="50"/>
        <v>1</v>
      </c>
      <c r="E425" s="20">
        <f t="shared" si="51"/>
        <v>0</v>
      </c>
      <c r="F425" s="29"/>
      <c r="G425" s="30">
        <f t="shared" si="52"/>
        <v>0</v>
      </c>
      <c r="H425" s="20" t="str">
        <f t="shared" si="53"/>
        <v/>
      </c>
      <c r="I425" s="20">
        <f t="shared" si="54"/>
        <v>0</v>
      </c>
      <c r="J425" s="20"/>
      <c r="K425" s="20"/>
      <c r="N425" s="12"/>
    </row>
    <row r="426" spans="1:14" x14ac:dyDescent="0.3">
      <c r="A426" s="35" t="str">
        <f t="shared" si="49"/>
        <v>QUÁ HẠN</v>
      </c>
      <c r="B426" s="36"/>
      <c r="C426" s="36">
        <f t="shared" si="55"/>
        <v>0</v>
      </c>
      <c r="D426" s="34">
        <f t="shared" si="50"/>
        <v>1</v>
      </c>
      <c r="E426" s="20">
        <f t="shared" si="51"/>
        <v>0</v>
      </c>
      <c r="F426" s="29"/>
      <c r="G426" s="30">
        <f t="shared" si="52"/>
        <v>0</v>
      </c>
      <c r="H426" s="20" t="str">
        <f t="shared" si="53"/>
        <v/>
      </c>
      <c r="I426" s="20">
        <f t="shared" si="54"/>
        <v>0</v>
      </c>
      <c r="J426" s="20"/>
      <c r="K426" s="20"/>
      <c r="N426" s="12"/>
    </row>
    <row r="427" spans="1:14" x14ac:dyDescent="0.3">
      <c r="A427" s="35" t="str">
        <f t="shared" si="49"/>
        <v>QUÁ HẠN</v>
      </c>
      <c r="B427" s="36"/>
      <c r="C427" s="36">
        <f t="shared" si="55"/>
        <v>0</v>
      </c>
      <c r="D427" s="34">
        <f t="shared" si="50"/>
        <v>1</v>
      </c>
      <c r="E427" s="20">
        <f t="shared" si="51"/>
        <v>0</v>
      </c>
      <c r="F427" s="29"/>
      <c r="G427" s="30">
        <f t="shared" si="52"/>
        <v>0</v>
      </c>
      <c r="H427" s="20" t="str">
        <f t="shared" si="53"/>
        <v/>
      </c>
      <c r="I427" s="20">
        <f t="shared" si="54"/>
        <v>0</v>
      </c>
      <c r="J427" s="20"/>
      <c r="K427" s="20"/>
      <c r="N427" s="12"/>
    </row>
    <row r="428" spans="1:14" x14ac:dyDescent="0.3">
      <c r="A428" s="35" t="str">
        <f t="shared" si="49"/>
        <v>QUÁ HẠN</v>
      </c>
      <c r="B428" s="36"/>
      <c r="C428" s="36">
        <f t="shared" si="55"/>
        <v>0</v>
      </c>
      <c r="D428" s="34">
        <f t="shared" si="50"/>
        <v>1</v>
      </c>
      <c r="E428" s="20">
        <f t="shared" si="51"/>
        <v>0</v>
      </c>
      <c r="F428" s="29"/>
      <c r="G428" s="30">
        <f t="shared" si="52"/>
        <v>0</v>
      </c>
      <c r="H428" s="20" t="str">
        <f t="shared" si="53"/>
        <v/>
      </c>
      <c r="I428" s="20">
        <f t="shared" si="54"/>
        <v>0</v>
      </c>
      <c r="J428" s="20"/>
      <c r="K428" s="20"/>
      <c r="N428" s="12"/>
    </row>
    <row r="429" spans="1:14" x14ac:dyDescent="0.3">
      <c r="A429" s="35" t="str">
        <f t="shared" ref="A429:A492" si="56">IF(B429&gt;=$B$9,"QUÁ HẠN", "TRONG HẠN")</f>
        <v>QUÁ HẠN</v>
      </c>
      <c r="B429" s="36"/>
      <c r="C429" s="36">
        <f t="shared" si="55"/>
        <v>0</v>
      </c>
      <c r="D429" s="34">
        <f t="shared" ref="D429:D492" si="57">C429-B429+1</f>
        <v>1</v>
      </c>
      <c r="E429" s="20">
        <f t="shared" ref="E429:E492" si="58">E428-J429</f>
        <v>0</v>
      </c>
      <c r="F429" s="29"/>
      <c r="G429" s="30">
        <f t="shared" ref="G429:G492" si="59">IF(A429="QUÁ HẠN", F429*1.5,"")</f>
        <v>0</v>
      </c>
      <c r="H429" s="20" t="str">
        <f t="shared" ref="H429:H492" si="60">IF(A429="TRONG HẠN",D429*E429*F429/365,"")</f>
        <v/>
      </c>
      <c r="I429" s="20">
        <f t="shared" ref="I429:I492" si="61">IF(A429="QUÁ HẠN",D429*E429*G429/365,"")</f>
        <v>0</v>
      </c>
      <c r="J429" s="20"/>
      <c r="K429" s="20"/>
      <c r="N429" s="12"/>
    </row>
    <row r="430" spans="1:14" x14ac:dyDescent="0.3">
      <c r="A430" s="35" t="str">
        <f t="shared" si="56"/>
        <v>QUÁ HẠN</v>
      </c>
      <c r="B430" s="36"/>
      <c r="C430" s="36">
        <f t="shared" si="55"/>
        <v>0</v>
      </c>
      <c r="D430" s="34">
        <f t="shared" si="57"/>
        <v>1</v>
      </c>
      <c r="E430" s="20">
        <f t="shared" si="58"/>
        <v>0</v>
      </c>
      <c r="F430" s="29"/>
      <c r="G430" s="30">
        <f t="shared" si="59"/>
        <v>0</v>
      </c>
      <c r="H430" s="20" t="str">
        <f t="shared" si="60"/>
        <v/>
      </c>
      <c r="I430" s="20">
        <f t="shared" si="61"/>
        <v>0</v>
      </c>
      <c r="J430" s="20"/>
      <c r="K430" s="20"/>
      <c r="N430" s="12"/>
    </row>
    <row r="431" spans="1:14" x14ac:dyDescent="0.3">
      <c r="A431" s="35" t="str">
        <f t="shared" si="56"/>
        <v>QUÁ HẠN</v>
      </c>
      <c r="B431" s="36"/>
      <c r="C431" s="36">
        <f t="shared" si="55"/>
        <v>0</v>
      </c>
      <c r="D431" s="34">
        <f t="shared" si="57"/>
        <v>1</v>
      </c>
      <c r="E431" s="20">
        <f t="shared" si="58"/>
        <v>0</v>
      </c>
      <c r="F431" s="29"/>
      <c r="G431" s="30">
        <f t="shared" si="59"/>
        <v>0</v>
      </c>
      <c r="H431" s="20" t="str">
        <f t="shared" si="60"/>
        <v/>
      </c>
      <c r="I431" s="20">
        <f t="shared" si="61"/>
        <v>0</v>
      </c>
      <c r="J431" s="20"/>
      <c r="K431" s="20"/>
      <c r="N431" s="12"/>
    </row>
    <row r="432" spans="1:14" x14ac:dyDescent="0.3">
      <c r="A432" s="35" t="str">
        <f t="shared" si="56"/>
        <v>QUÁ HẠN</v>
      </c>
      <c r="B432" s="36"/>
      <c r="C432" s="36">
        <f t="shared" si="55"/>
        <v>0</v>
      </c>
      <c r="D432" s="34">
        <f t="shared" si="57"/>
        <v>1</v>
      </c>
      <c r="E432" s="20">
        <f t="shared" si="58"/>
        <v>0</v>
      </c>
      <c r="F432" s="29"/>
      <c r="G432" s="30">
        <f t="shared" si="59"/>
        <v>0</v>
      </c>
      <c r="H432" s="20" t="str">
        <f t="shared" si="60"/>
        <v/>
      </c>
      <c r="I432" s="20">
        <f t="shared" si="61"/>
        <v>0</v>
      </c>
      <c r="J432" s="20"/>
      <c r="K432" s="20"/>
      <c r="N432" s="12"/>
    </row>
    <row r="433" spans="1:14" x14ac:dyDescent="0.3">
      <c r="A433" s="35" t="str">
        <f t="shared" si="56"/>
        <v>QUÁ HẠN</v>
      </c>
      <c r="B433" s="36"/>
      <c r="C433" s="36">
        <f t="shared" si="55"/>
        <v>0</v>
      </c>
      <c r="D433" s="34">
        <f t="shared" si="57"/>
        <v>1</v>
      </c>
      <c r="E433" s="20">
        <f t="shared" si="58"/>
        <v>0</v>
      </c>
      <c r="F433" s="29"/>
      <c r="G433" s="30">
        <f t="shared" si="59"/>
        <v>0</v>
      </c>
      <c r="H433" s="20" t="str">
        <f t="shared" si="60"/>
        <v/>
      </c>
      <c r="I433" s="20">
        <f t="shared" si="61"/>
        <v>0</v>
      </c>
      <c r="J433" s="20"/>
      <c r="K433" s="20"/>
      <c r="N433" s="12"/>
    </row>
    <row r="434" spans="1:14" x14ac:dyDescent="0.3">
      <c r="A434" s="35" t="str">
        <f t="shared" si="56"/>
        <v>QUÁ HẠN</v>
      </c>
      <c r="B434" s="36"/>
      <c r="C434" s="36">
        <f t="shared" si="55"/>
        <v>0</v>
      </c>
      <c r="D434" s="34">
        <f t="shared" si="57"/>
        <v>1</v>
      </c>
      <c r="E434" s="20">
        <f t="shared" si="58"/>
        <v>0</v>
      </c>
      <c r="F434" s="29"/>
      <c r="G434" s="30">
        <f t="shared" si="59"/>
        <v>0</v>
      </c>
      <c r="H434" s="20" t="str">
        <f t="shared" si="60"/>
        <v/>
      </c>
      <c r="I434" s="20">
        <f t="shared" si="61"/>
        <v>0</v>
      </c>
      <c r="J434" s="20"/>
      <c r="K434" s="20"/>
      <c r="N434" s="12"/>
    </row>
    <row r="435" spans="1:14" x14ac:dyDescent="0.3">
      <c r="A435" s="35" t="str">
        <f t="shared" si="56"/>
        <v>QUÁ HẠN</v>
      </c>
      <c r="B435" s="36"/>
      <c r="C435" s="36">
        <f t="shared" si="55"/>
        <v>0</v>
      </c>
      <c r="D435" s="34">
        <f t="shared" si="57"/>
        <v>1</v>
      </c>
      <c r="E435" s="20">
        <f t="shared" si="58"/>
        <v>0</v>
      </c>
      <c r="F435" s="29"/>
      <c r="G435" s="30">
        <f t="shared" si="59"/>
        <v>0</v>
      </c>
      <c r="H435" s="20" t="str">
        <f t="shared" si="60"/>
        <v/>
      </c>
      <c r="I435" s="20">
        <f t="shared" si="61"/>
        <v>0</v>
      </c>
      <c r="J435" s="20"/>
      <c r="K435" s="20"/>
      <c r="N435" s="12"/>
    </row>
    <row r="436" spans="1:14" x14ac:dyDescent="0.3">
      <c r="A436" s="35" t="str">
        <f t="shared" si="56"/>
        <v>QUÁ HẠN</v>
      </c>
      <c r="B436" s="36"/>
      <c r="C436" s="36">
        <f t="shared" si="55"/>
        <v>0</v>
      </c>
      <c r="D436" s="34">
        <f t="shared" si="57"/>
        <v>1</v>
      </c>
      <c r="E436" s="20">
        <f t="shared" si="58"/>
        <v>0</v>
      </c>
      <c r="F436" s="29"/>
      <c r="G436" s="30">
        <f t="shared" si="59"/>
        <v>0</v>
      </c>
      <c r="H436" s="20" t="str">
        <f t="shared" si="60"/>
        <v/>
      </c>
      <c r="I436" s="20">
        <f t="shared" si="61"/>
        <v>0</v>
      </c>
      <c r="J436" s="20"/>
      <c r="K436" s="20"/>
      <c r="N436" s="12"/>
    </row>
    <row r="437" spans="1:14" x14ac:dyDescent="0.3">
      <c r="A437" s="35" t="str">
        <f t="shared" si="56"/>
        <v>QUÁ HẠN</v>
      </c>
      <c r="B437" s="36"/>
      <c r="C437" s="36">
        <f t="shared" si="55"/>
        <v>0</v>
      </c>
      <c r="D437" s="34">
        <f t="shared" si="57"/>
        <v>1</v>
      </c>
      <c r="E437" s="20">
        <f t="shared" si="58"/>
        <v>0</v>
      </c>
      <c r="F437" s="29"/>
      <c r="G437" s="30">
        <f t="shared" si="59"/>
        <v>0</v>
      </c>
      <c r="H437" s="20" t="str">
        <f t="shared" si="60"/>
        <v/>
      </c>
      <c r="I437" s="20">
        <f t="shared" si="61"/>
        <v>0</v>
      </c>
      <c r="J437" s="20"/>
      <c r="K437" s="20"/>
      <c r="N437" s="12"/>
    </row>
    <row r="438" spans="1:14" x14ac:dyDescent="0.3">
      <c r="A438" s="35" t="str">
        <f t="shared" si="56"/>
        <v>QUÁ HẠN</v>
      </c>
      <c r="B438" s="36"/>
      <c r="C438" s="36">
        <f t="shared" si="55"/>
        <v>0</v>
      </c>
      <c r="D438" s="34">
        <f t="shared" si="57"/>
        <v>1</v>
      </c>
      <c r="E438" s="20">
        <f t="shared" si="58"/>
        <v>0</v>
      </c>
      <c r="F438" s="29"/>
      <c r="G438" s="30">
        <f t="shared" si="59"/>
        <v>0</v>
      </c>
      <c r="H438" s="20" t="str">
        <f t="shared" si="60"/>
        <v/>
      </c>
      <c r="I438" s="20">
        <f t="shared" si="61"/>
        <v>0</v>
      </c>
      <c r="J438" s="20"/>
      <c r="K438" s="20"/>
      <c r="N438" s="12"/>
    </row>
    <row r="439" spans="1:14" x14ac:dyDescent="0.3">
      <c r="A439" s="35" t="str">
        <f t="shared" si="56"/>
        <v>QUÁ HẠN</v>
      </c>
      <c r="B439" s="36"/>
      <c r="C439" s="36">
        <f t="shared" si="55"/>
        <v>0</v>
      </c>
      <c r="D439" s="34">
        <f t="shared" si="57"/>
        <v>1</v>
      </c>
      <c r="E439" s="20">
        <f t="shared" si="58"/>
        <v>0</v>
      </c>
      <c r="F439" s="29"/>
      <c r="G439" s="30">
        <f t="shared" si="59"/>
        <v>0</v>
      </c>
      <c r="H439" s="20" t="str">
        <f t="shared" si="60"/>
        <v/>
      </c>
      <c r="I439" s="20">
        <f t="shared" si="61"/>
        <v>0</v>
      </c>
      <c r="J439" s="20"/>
      <c r="K439" s="20"/>
      <c r="N439" s="12"/>
    </row>
    <row r="440" spans="1:14" x14ac:dyDescent="0.3">
      <c r="A440" s="35" t="str">
        <f t="shared" si="56"/>
        <v>QUÁ HẠN</v>
      </c>
      <c r="B440" s="36"/>
      <c r="C440" s="36">
        <f t="shared" si="55"/>
        <v>0</v>
      </c>
      <c r="D440" s="34">
        <f t="shared" si="57"/>
        <v>1</v>
      </c>
      <c r="E440" s="20">
        <f t="shared" si="58"/>
        <v>0</v>
      </c>
      <c r="F440" s="29"/>
      <c r="G440" s="30">
        <f t="shared" si="59"/>
        <v>0</v>
      </c>
      <c r="H440" s="20" t="str">
        <f t="shared" si="60"/>
        <v/>
      </c>
      <c r="I440" s="20">
        <f t="shared" si="61"/>
        <v>0</v>
      </c>
      <c r="J440" s="20"/>
      <c r="K440" s="20"/>
      <c r="N440" s="12"/>
    </row>
    <row r="441" spans="1:14" x14ac:dyDescent="0.3">
      <c r="A441" s="35" t="str">
        <f t="shared" si="56"/>
        <v>QUÁ HẠN</v>
      </c>
      <c r="B441" s="36"/>
      <c r="C441" s="36">
        <f t="shared" si="55"/>
        <v>0</v>
      </c>
      <c r="D441" s="34">
        <f t="shared" si="57"/>
        <v>1</v>
      </c>
      <c r="E441" s="20">
        <f t="shared" si="58"/>
        <v>0</v>
      </c>
      <c r="F441" s="29"/>
      <c r="G441" s="30">
        <f t="shared" si="59"/>
        <v>0</v>
      </c>
      <c r="H441" s="20" t="str">
        <f t="shared" si="60"/>
        <v/>
      </c>
      <c r="I441" s="20">
        <f t="shared" si="61"/>
        <v>0</v>
      </c>
      <c r="J441" s="20"/>
      <c r="K441" s="20"/>
      <c r="N441" s="12"/>
    </row>
    <row r="442" spans="1:14" x14ac:dyDescent="0.3">
      <c r="A442" s="35" t="str">
        <f t="shared" si="56"/>
        <v>QUÁ HẠN</v>
      </c>
      <c r="B442" s="36"/>
      <c r="C442" s="36">
        <f t="shared" si="55"/>
        <v>0</v>
      </c>
      <c r="D442" s="34">
        <f t="shared" si="57"/>
        <v>1</v>
      </c>
      <c r="E442" s="20">
        <f t="shared" si="58"/>
        <v>0</v>
      </c>
      <c r="F442" s="29"/>
      <c r="G442" s="30">
        <f t="shared" si="59"/>
        <v>0</v>
      </c>
      <c r="H442" s="20" t="str">
        <f t="shared" si="60"/>
        <v/>
      </c>
      <c r="I442" s="20">
        <f t="shared" si="61"/>
        <v>0</v>
      </c>
      <c r="J442" s="20"/>
      <c r="K442" s="20"/>
      <c r="N442" s="12"/>
    </row>
    <row r="443" spans="1:14" x14ac:dyDescent="0.3">
      <c r="A443" s="35" t="str">
        <f t="shared" si="56"/>
        <v>QUÁ HẠN</v>
      </c>
      <c r="B443" s="36"/>
      <c r="C443" s="36">
        <f t="shared" si="55"/>
        <v>0</v>
      </c>
      <c r="D443" s="34">
        <f t="shared" si="57"/>
        <v>1</v>
      </c>
      <c r="E443" s="20">
        <f t="shared" si="58"/>
        <v>0</v>
      </c>
      <c r="F443" s="29"/>
      <c r="G443" s="30">
        <f t="shared" si="59"/>
        <v>0</v>
      </c>
      <c r="H443" s="20" t="str">
        <f t="shared" si="60"/>
        <v/>
      </c>
      <c r="I443" s="20">
        <f t="shared" si="61"/>
        <v>0</v>
      </c>
      <c r="J443" s="20"/>
      <c r="K443" s="20"/>
      <c r="N443" s="12"/>
    </row>
    <row r="444" spans="1:14" x14ac:dyDescent="0.3">
      <c r="A444" s="35" t="str">
        <f t="shared" si="56"/>
        <v>QUÁ HẠN</v>
      </c>
      <c r="B444" s="36"/>
      <c r="C444" s="36">
        <f t="shared" si="55"/>
        <v>0</v>
      </c>
      <c r="D444" s="34">
        <f t="shared" si="57"/>
        <v>1</v>
      </c>
      <c r="E444" s="20">
        <f t="shared" si="58"/>
        <v>0</v>
      </c>
      <c r="F444" s="29"/>
      <c r="G444" s="30">
        <f t="shared" si="59"/>
        <v>0</v>
      </c>
      <c r="H444" s="20" t="str">
        <f t="shared" si="60"/>
        <v/>
      </c>
      <c r="I444" s="20">
        <f t="shared" si="61"/>
        <v>0</v>
      </c>
      <c r="J444" s="20"/>
      <c r="K444" s="20"/>
      <c r="N444" s="12"/>
    </row>
    <row r="445" spans="1:14" x14ac:dyDescent="0.3">
      <c r="A445" s="35" t="str">
        <f t="shared" si="56"/>
        <v>QUÁ HẠN</v>
      </c>
      <c r="B445" s="36"/>
      <c r="C445" s="36">
        <f t="shared" si="55"/>
        <v>0</v>
      </c>
      <c r="D445" s="34">
        <f t="shared" si="57"/>
        <v>1</v>
      </c>
      <c r="E445" s="20">
        <f t="shared" si="58"/>
        <v>0</v>
      </c>
      <c r="F445" s="29"/>
      <c r="G445" s="30">
        <f t="shared" si="59"/>
        <v>0</v>
      </c>
      <c r="H445" s="20" t="str">
        <f t="shared" si="60"/>
        <v/>
      </c>
      <c r="I445" s="20">
        <f t="shared" si="61"/>
        <v>0</v>
      </c>
      <c r="J445" s="20"/>
      <c r="K445" s="20"/>
      <c r="N445" s="12"/>
    </row>
    <row r="446" spans="1:14" x14ac:dyDescent="0.3">
      <c r="A446" s="35" t="str">
        <f t="shared" si="56"/>
        <v>QUÁ HẠN</v>
      </c>
      <c r="B446" s="36"/>
      <c r="C446" s="36">
        <f t="shared" si="55"/>
        <v>0</v>
      </c>
      <c r="D446" s="34">
        <f t="shared" si="57"/>
        <v>1</v>
      </c>
      <c r="E446" s="20">
        <f t="shared" si="58"/>
        <v>0</v>
      </c>
      <c r="F446" s="29"/>
      <c r="G446" s="30">
        <f t="shared" si="59"/>
        <v>0</v>
      </c>
      <c r="H446" s="20" t="str">
        <f t="shared" si="60"/>
        <v/>
      </c>
      <c r="I446" s="20">
        <f t="shared" si="61"/>
        <v>0</v>
      </c>
      <c r="J446" s="20"/>
      <c r="K446" s="20"/>
      <c r="N446" s="12"/>
    </row>
    <row r="447" spans="1:14" x14ac:dyDescent="0.3">
      <c r="A447" s="35" t="str">
        <f t="shared" si="56"/>
        <v>QUÁ HẠN</v>
      </c>
      <c r="B447" s="36"/>
      <c r="C447" s="36">
        <f t="shared" si="55"/>
        <v>0</v>
      </c>
      <c r="D447" s="34">
        <f t="shared" si="57"/>
        <v>1</v>
      </c>
      <c r="E447" s="20">
        <f t="shared" si="58"/>
        <v>0</v>
      </c>
      <c r="F447" s="29"/>
      <c r="G447" s="30">
        <f t="shared" si="59"/>
        <v>0</v>
      </c>
      <c r="H447" s="20" t="str">
        <f t="shared" si="60"/>
        <v/>
      </c>
      <c r="I447" s="20">
        <f t="shared" si="61"/>
        <v>0</v>
      </c>
      <c r="J447" s="20"/>
      <c r="K447" s="20"/>
      <c r="N447" s="12"/>
    </row>
    <row r="448" spans="1:14" x14ac:dyDescent="0.3">
      <c r="A448" s="35" t="str">
        <f t="shared" si="56"/>
        <v>QUÁ HẠN</v>
      </c>
      <c r="B448" s="36"/>
      <c r="C448" s="36">
        <f t="shared" si="55"/>
        <v>0</v>
      </c>
      <c r="D448" s="34">
        <f t="shared" si="57"/>
        <v>1</v>
      </c>
      <c r="E448" s="20">
        <f t="shared" si="58"/>
        <v>0</v>
      </c>
      <c r="F448" s="29"/>
      <c r="G448" s="30">
        <f t="shared" si="59"/>
        <v>0</v>
      </c>
      <c r="H448" s="20" t="str">
        <f t="shared" si="60"/>
        <v/>
      </c>
      <c r="I448" s="20">
        <f t="shared" si="61"/>
        <v>0</v>
      </c>
      <c r="J448" s="20"/>
      <c r="K448" s="20"/>
      <c r="N448" s="12"/>
    </row>
    <row r="449" spans="1:14" x14ac:dyDescent="0.3">
      <c r="A449" s="35" t="str">
        <f t="shared" si="56"/>
        <v>QUÁ HẠN</v>
      </c>
      <c r="B449" s="36"/>
      <c r="C449" s="36">
        <f t="shared" si="55"/>
        <v>0</v>
      </c>
      <c r="D449" s="34">
        <f t="shared" si="57"/>
        <v>1</v>
      </c>
      <c r="E449" s="20">
        <f t="shared" si="58"/>
        <v>0</v>
      </c>
      <c r="F449" s="29"/>
      <c r="G449" s="30">
        <f t="shared" si="59"/>
        <v>0</v>
      </c>
      <c r="H449" s="20" t="str">
        <f t="shared" si="60"/>
        <v/>
      </c>
      <c r="I449" s="20">
        <f t="shared" si="61"/>
        <v>0</v>
      </c>
      <c r="J449" s="20"/>
      <c r="K449" s="20"/>
      <c r="N449" s="12"/>
    </row>
    <row r="450" spans="1:14" x14ac:dyDescent="0.3">
      <c r="A450" s="35" t="str">
        <f t="shared" si="56"/>
        <v>QUÁ HẠN</v>
      </c>
      <c r="B450" s="36"/>
      <c r="C450" s="36">
        <f t="shared" si="55"/>
        <v>0</v>
      </c>
      <c r="D450" s="34">
        <f t="shared" si="57"/>
        <v>1</v>
      </c>
      <c r="E450" s="20">
        <f t="shared" si="58"/>
        <v>0</v>
      </c>
      <c r="F450" s="29"/>
      <c r="G450" s="30">
        <f t="shared" si="59"/>
        <v>0</v>
      </c>
      <c r="H450" s="20" t="str">
        <f t="shared" si="60"/>
        <v/>
      </c>
      <c r="I450" s="20">
        <f t="shared" si="61"/>
        <v>0</v>
      </c>
      <c r="J450" s="20"/>
      <c r="K450" s="20"/>
      <c r="N450" s="12"/>
    </row>
    <row r="451" spans="1:14" x14ac:dyDescent="0.3">
      <c r="A451" s="35" t="str">
        <f t="shared" si="56"/>
        <v>QUÁ HẠN</v>
      </c>
      <c r="B451" s="36"/>
      <c r="C451" s="36">
        <f t="shared" si="55"/>
        <v>0</v>
      </c>
      <c r="D451" s="34">
        <f t="shared" si="57"/>
        <v>1</v>
      </c>
      <c r="E451" s="20">
        <f t="shared" si="58"/>
        <v>0</v>
      </c>
      <c r="F451" s="29"/>
      <c r="G451" s="30">
        <f t="shared" si="59"/>
        <v>0</v>
      </c>
      <c r="H451" s="20" t="str">
        <f t="shared" si="60"/>
        <v/>
      </c>
      <c r="I451" s="20">
        <f t="shared" si="61"/>
        <v>0</v>
      </c>
      <c r="J451" s="20"/>
      <c r="K451" s="20"/>
      <c r="N451" s="12"/>
    </row>
    <row r="452" spans="1:14" x14ac:dyDescent="0.3">
      <c r="A452" s="35" t="str">
        <f t="shared" si="56"/>
        <v>QUÁ HẠN</v>
      </c>
      <c r="B452" s="36"/>
      <c r="C452" s="36">
        <f t="shared" si="55"/>
        <v>0</v>
      </c>
      <c r="D452" s="34">
        <f t="shared" si="57"/>
        <v>1</v>
      </c>
      <c r="E452" s="20">
        <f t="shared" si="58"/>
        <v>0</v>
      </c>
      <c r="F452" s="29"/>
      <c r="G452" s="30">
        <f t="shared" si="59"/>
        <v>0</v>
      </c>
      <c r="H452" s="20" t="str">
        <f t="shared" si="60"/>
        <v/>
      </c>
      <c r="I452" s="20">
        <f t="shared" si="61"/>
        <v>0</v>
      </c>
      <c r="J452" s="20"/>
      <c r="K452" s="20"/>
      <c r="N452" s="12"/>
    </row>
    <row r="453" spans="1:14" x14ac:dyDescent="0.3">
      <c r="A453" s="35" t="str">
        <f t="shared" si="56"/>
        <v>QUÁ HẠN</v>
      </c>
      <c r="B453" s="36"/>
      <c r="C453" s="36">
        <f t="shared" si="55"/>
        <v>0</v>
      </c>
      <c r="D453" s="34">
        <f t="shared" si="57"/>
        <v>1</v>
      </c>
      <c r="E453" s="20">
        <f t="shared" si="58"/>
        <v>0</v>
      </c>
      <c r="F453" s="29"/>
      <c r="G453" s="30">
        <f t="shared" si="59"/>
        <v>0</v>
      </c>
      <c r="H453" s="20" t="str">
        <f t="shared" si="60"/>
        <v/>
      </c>
      <c r="I453" s="20">
        <f t="shared" si="61"/>
        <v>0</v>
      </c>
      <c r="J453" s="20"/>
      <c r="K453" s="20"/>
      <c r="N453" s="12"/>
    </row>
    <row r="454" spans="1:14" x14ac:dyDescent="0.3">
      <c r="A454" s="35" t="str">
        <f t="shared" si="56"/>
        <v>QUÁ HẠN</v>
      </c>
      <c r="B454" s="36"/>
      <c r="C454" s="36">
        <f t="shared" si="55"/>
        <v>0</v>
      </c>
      <c r="D454" s="34">
        <f t="shared" si="57"/>
        <v>1</v>
      </c>
      <c r="E454" s="20">
        <f t="shared" si="58"/>
        <v>0</v>
      </c>
      <c r="F454" s="29"/>
      <c r="G454" s="30">
        <f t="shared" si="59"/>
        <v>0</v>
      </c>
      <c r="H454" s="20" t="str">
        <f t="shared" si="60"/>
        <v/>
      </c>
      <c r="I454" s="20">
        <f t="shared" si="61"/>
        <v>0</v>
      </c>
      <c r="J454" s="20"/>
      <c r="K454" s="20"/>
      <c r="N454" s="12"/>
    </row>
    <row r="455" spans="1:14" x14ac:dyDescent="0.3">
      <c r="A455" s="35" t="str">
        <f t="shared" si="56"/>
        <v>QUÁ HẠN</v>
      </c>
      <c r="B455" s="36"/>
      <c r="C455" s="36">
        <f t="shared" si="55"/>
        <v>0</v>
      </c>
      <c r="D455" s="34">
        <f t="shared" si="57"/>
        <v>1</v>
      </c>
      <c r="E455" s="20">
        <f t="shared" si="58"/>
        <v>0</v>
      </c>
      <c r="F455" s="29"/>
      <c r="G455" s="30">
        <f t="shared" si="59"/>
        <v>0</v>
      </c>
      <c r="H455" s="20" t="str">
        <f t="shared" si="60"/>
        <v/>
      </c>
      <c r="I455" s="20">
        <f t="shared" si="61"/>
        <v>0</v>
      </c>
      <c r="J455" s="20"/>
      <c r="K455" s="20"/>
      <c r="N455" s="12"/>
    </row>
    <row r="456" spans="1:14" x14ac:dyDescent="0.3">
      <c r="A456" s="35" t="str">
        <f t="shared" si="56"/>
        <v>QUÁ HẠN</v>
      </c>
      <c r="B456" s="36"/>
      <c r="C456" s="36">
        <f t="shared" si="55"/>
        <v>0</v>
      </c>
      <c r="D456" s="34">
        <f t="shared" si="57"/>
        <v>1</v>
      </c>
      <c r="E456" s="20">
        <f t="shared" si="58"/>
        <v>0</v>
      </c>
      <c r="F456" s="29"/>
      <c r="G456" s="30">
        <f t="shared" si="59"/>
        <v>0</v>
      </c>
      <c r="H456" s="20" t="str">
        <f t="shared" si="60"/>
        <v/>
      </c>
      <c r="I456" s="20">
        <f t="shared" si="61"/>
        <v>0</v>
      </c>
      <c r="J456" s="20"/>
      <c r="K456" s="20"/>
      <c r="N456" s="12"/>
    </row>
    <row r="457" spans="1:14" x14ac:dyDescent="0.3">
      <c r="A457" s="35" t="str">
        <f t="shared" si="56"/>
        <v>QUÁ HẠN</v>
      </c>
      <c r="B457" s="36"/>
      <c r="C457" s="36">
        <f t="shared" si="55"/>
        <v>0</v>
      </c>
      <c r="D457" s="34">
        <f t="shared" si="57"/>
        <v>1</v>
      </c>
      <c r="E457" s="20">
        <f t="shared" si="58"/>
        <v>0</v>
      </c>
      <c r="F457" s="29"/>
      <c r="G457" s="30">
        <f t="shared" si="59"/>
        <v>0</v>
      </c>
      <c r="H457" s="20" t="str">
        <f t="shared" si="60"/>
        <v/>
      </c>
      <c r="I457" s="20">
        <f t="shared" si="61"/>
        <v>0</v>
      </c>
      <c r="J457" s="20"/>
      <c r="K457" s="20"/>
      <c r="N457" s="12"/>
    </row>
    <row r="458" spans="1:14" x14ac:dyDescent="0.3">
      <c r="A458" s="35" t="str">
        <f t="shared" si="56"/>
        <v>QUÁ HẠN</v>
      </c>
      <c r="B458" s="36"/>
      <c r="C458" s="36">
        <f t="shared" si="55"/>
        <v>0</v>
      </c>
      <c r="D458" s="34">
        <f t="shared" si="57"/>
        <v>1</v>
      </c>
      <c r="E458" s="20">
        <f t="shared" si="58"/>
        <v>0</v>
      </c>
      <c r="F458" s="29"/>
      <c r="G458" s="30">
        <f t="shared" si="59"/>
        <v>0</v>
      </c>
      <c r="H458" s="20" t="str">
        <f t="shared" si="60"/>
        <v/>
      </c>
      <c r="I458" s="20">
        <f t="shared" si="61"/>
        <v>0</v>
      </c>
      <c r="J458" s="20"/>
      <c r="K458" s="20"/>
      <c r="N458" s="12"/>
    </row>
    <row r="459" spans="1:14" x14ac:dyDescent="0.3">
      <c r="A459" s="35" t="str">
        <f t="shared" si="56"/>
        <v>QUÁ HẠN</v>
      </c>
      <c r="B459" s="36"/>
      <c r="C459" s="36">
        <f t="shared" si="55"/>
        <v>0</v>
      </c>
      <c r="D459" s="34">
        <f t="shared" si="57"/>
        <v>1</v>
      </c>
      <c r="E459" s="20">
        <f t="shared" si="58"/>
        <v>0</v>
      </c>
      <c r="F459" s="29"/>
      <c r="G459" s="30">
        <f t="shared" si="59"/>
        <v>0</v>
      </c>
      <c r="H459" s="20" t="str">
        <f t="shared" si="60"/>
        <v/>
      </c>
      <c r="I459" s="20">
        <f t="shared" si="61"/>
        <v>0</v>
      </c>
      <c r="J459" s="20"/>
      <c r="K459" s="20"/>
      <c r="N459" s="12"/>
    </row>
    <row r="460" spans="1:14" x14ac:dyDescent="0.3">
      <c r="A460" s="35" t="str">
        <f t="shared" si="56"/>
        <v>QUÁ HẠN</v>
      </c>
      <c r="B460" s="36"/>
      <c r="C460" s="36">
        <f t="shared" si="55"/>
        <v>0</v>
      </c>
      <c r="D460" s="34">
        <f t="shared" si="57"/>
        <v>1</v>
      </c>
      <c r="E460" s="20">
        <f t="shared" si="58"/>
        <v>0</v>
      </c>
      <c r="F460" s="29"/>
      <c r="G460" s="30">
        <f t="shared" si="59"/>
        <v>0</v>
      </c>
      <c r="H460" s="20" t="str">
        <f t="shared" si="60"/>
        <v/>
      </c>
      <c r="I460" s="20">
        <f t="shared" si="61"/>
        <v>0</v>
      </c>
      <c r="J460" s="20"/>
      <c r="K460" s="20"/>
      <c r="N460" s="12"/>
    </row>
    <row r="461" spans="1:14" x14ac:dyDescent="0.3">
      <c r="A461" s="35" t="str">
        <f t="shared" si="56"/>
        <v>QUÁ HẠN</v>
      </c>
      <c r="B461" s="36"/>
      <c r="C461" s="36">
        <f t="shared" si="55"/>
        <v>0</v>
      </c>
      <c r="D461" s="34">
        <f t="shared" si="57"/>
        <v>1</v>
      </c>
      <c r="E461" s="20">
        <f t="shared" si="58"/>
        <v>0</v>
      </c>
      <c r="F461" s="29"/>
      <c r="G461" s="30">
        <f t="shared" si="59"/>
        <v>0</v>
      </c>
      <c r="H461" s="20" t="str">
        <f t="shared" si="60"/>
        <v/>
      </c>
      <c r="I461" s="20">
        <f t="shared" si="61"/>
        <v>0</v>
      </c>
      <c r="J461" s="20"/>
      <c r="K461" s="20"/>
      <c r="N461" s="12"/>
    </row>
    <row r="462" spans="1:14" x14ac:dyDescent="0.3">
      <c r="A462" s="35" t="str">
        <f t="shared" si="56"/>
        <v>QUÁ HẠN</v>
      </c>
      <c r="B462" s="36"/>
      <c r="C462" s="36">
        <f t="shared" si="55"/>
        <v>0</v>
      </c>
      <c r="D462" s="34">
        <f t="shared" si="57"/>
        <v>1</v>
      </c>
      <c r="E462" s="20">
        <f t="shared" si="58"/>
        <v>0</v>
      </c>
      <c r="F462" s="29"/>
      <c r="G462" s="30">
        <f t="shared" si="59"/>
        <v>0</v>
      </c>
      <c r="H462" s="20" t="str">
        <f t="shared" si="60"/>
        <v/>
      </c>
      <c r="I462" s="20">
        <f t="shared" si="61"/>
        <v>0</v>
      </c>
      <c r="J462" s="20"/>
      <c r="K462" s="20"/>
      <c r="N462" s="12"/>
    </row>
    <row r="463" spans="1:14" x14ac:dyDescent="0.3">
      <c r="A463" s="35" t="str">
        <f t="shared" si="56"/>
        <v>QUÁ HẠN</v>
      </c>
      <c r="B463" s="36"/>
      <c r="C463" s="36">
        <f t="shared" si="55"/>
        <v>0</v>
      </c>
      <c r="D463" s="34">
        <f t="shared" si="57"/>
        <v>1</v>
      </c>
      <c r="E463" s="20">
        <f t="shared" si="58"/>
        <v>0</v>
      </c>
      <c r="F463" s="29"/>
      <c r="G463" s="30">
        <f t="shared" si="59"/>
        <v>0</v>
      </c>
      <c r="H463" s="20" t="str">
        <f t="shared" si="60"/>
        <v/>
      </c>
      <c r="I463" s="20">
        <f t="shared" si="61"/>
        <v>0</v>
      </c>
      <c r="J463" s="20"/>
      <c r="K463" s="20"/>
      <c r="N463" s="12"/>
    </row>
    <row r="464" spans="1:14" x14ac:dyDescent="0.3">
      <c r="A464" s="35" t="str">
        <f t="shared" si="56"/>
        <v>QUÁ HẠN</v>
      </c>
      <c r="B464" s="36"/>
      <c r="C464" s="36">
        <f t="shared" si="55"/>
        <v>0</v>
      </c>
      <c r="D464" s="34">
        <f t="shared" si="57"/>
        <v>1</v>
      </c>
      <c r="E464" s="20">
        <f t="shared" si="58"/>
        <v>0</v>
      </c>
      <c r="F464" s="29"/>
      <c r="G464" s="30">
        <f t="shared" si="59"/>
        <v>0</v>
      </c>
      <c r="H464" s="20" t="str">
        <f t="shared" si="60"/>
        <v/>
      </c>
      <c r="I464" s="20">
        <f t="shared" si="61"/>
        <v>0</v>
      </c>
      <c r="J464" s="20"/>
      <c r="K464" s="20"/>
      <c r="N464" s="12"/>
    </row>
    <row r="465" spans="1:14" x14ac:dyDescent="0.3">
      <c r="A465" s="35" t="str">
        <f t="shared" si="56"/>
        <v>QUÁ HẠN</v>
      </c>
      <c r="B465" s="36"/>
      <c r="C465" s="36">
        <f t="shared" si="55"/>
        <v>0</v>
      </c>
      <c r="D465" s="34">
        <f t="shared" si="57"/>
        <v>1</v>
      </c>
      <c r="E465" s="20">
        <f t="shared" si="58"/>
        <v>0</v>
      </c>
      <c r="F465" s="29"/>
      <c r="G465" s="30">
        <f t="shared" si="59"/>
        <v>0</v>
      </c>
      <c r="H465" s="20" t="str">
        <f t="shared" si="60"/>
        <v/>
      </c>
      <c r="I465" s="20">
        <f t="shared" si="61"/>
        <v>0</v>
      </c>
      <c r="J465" s="20"/>
      <c r="K465" s="20"/>
      <c r="N465" s="12"/>
    </row>
    <row r="466" spans="1:14" x14ac:dyDescent="0.3">
      <c r="A466" s="35" t="str">
        <f t="shared" si="56"/>
        <v>QUÁ HẠN</v>
      </c>
      <c r="B466" s="36"/>
      <c r="C466" s="36">
        <f t="shared" si="55"/>
        <v>0</v>
      </c>
      <c r="D466" s="34">
        <f t="shared" si="57"/>
        <v>1</v>
      </c>
      <c r="E466" s="20">
        <f t="shared" si="58"/>
        <v>0</v>
      </c>
      <c r="F466" s="29"/>
      <c r="G466" s="30">
        <f t="shared" si="59"/>
        <v>0</v>
      </c>
      <c r="H466" s="20" t="str">
        <f t="shared" si="60"/>
        <v/>
      </c>
      <c r="I466" s="20">
        <f t="shared" si="61"/>
        <v>0</v>
      </c>
      <c r="J466" s="20"/>
      <c r="K466" s="20"/>
      <c r="N466" s="12"/>
    </row>
    <row r="467" spans="1:14" x14ac:dyDescent="0.3">
      <c r="A467" s="35" t="str">
        <f t="shared" si="56"/>
        <v>QUÁ HẠN</v>
      </c>
      <c r="B467" s="36"/>
      <c r="C467" s="36">
        <f t="shared" si="55"/>
        <v>0</v>
      </c>
      <c r="D467" s="34">
        <f t="shared" si="57"/>
        <v>1</v>
      </c>
      <c r="E467" s="20">
        <f t="shared" si="58"/>
        <v>0</v>
      </c>
      <c r="F467" s="29"/>
      <c r="G467" s="30">
        <f t="shared" si="59"/>
        <v>0</v>
      </c>
      <c r="H467" s="20" t="str">
        <f t="shared" si="60"/>
        <v/>
      </c>
      <c r="I467" s="20">
        <f t="shared" si="61"/>
        <v>0</v>
      </c>
      <c r="J467" s="20"/>
      <c r="K467" s="20"/>
      <c r="N467" s="12"/>
    </row>
    <row r="468" spans="1:14" x14ac:dyDescent="0.3">
      <c r="A468" s="35" t="str">
        <f t="shared" si="56"/>
        <v>QUÁ HẠN</v>
      </c>
      <c r="B468" s="36"/>
      <c r="C468" s="36">
        <f t="shared" si="55"/>
        <v>0</v>
      </c>
      <c r="D468" s="34">
        <f t="shared" si="57"/>
        <v>1</v>
      </c>
      <c r="E468" s="20">
        <f t="shared" si="58"/>
        <v>0</v>
      </c>
      <c r="F468" s="29"/>
      <c r="G468" s="30">
        <f t="shared" si="59"/>
        <v>0</v>
      </c>
      <c r="H468" s="20" t="str">
        <f t="shared" si="60"/>
        <v/>
      </c>
      <c r="I468" s="20">
        <f t="shared" si="61"/>
        <v>0</v>
      </c>
      <c r="J468" s="20"/>
      <c r="K468" s="20"/>
      <c r="N468" s="12"/>
    </row>
    <row r="469" spans="1:14" x14ac:dyDescent="0.3">
      <c r="A469" s="35" t="str">
        <f t="shared" si="56"/>
        <v>QUÁ HẠN</v>
      </c>
      <c r="B469" s="36"/>
      <c r="C469" s="36">
        <f t="shared" si="55"/>
        <v>0</v>
      </c>
      <c r="D469" s="34">
        <f t="shared" si="57"/>
        <v>1</v>
      </c>
      <c r="E469" s="20">
        <f t="shared" si="58"/>
        <v>0</v>
      </c>
      <c r="F469" s="29"/>
      <c r="G469" s="30">
        <f t="shared" si="59"/>
        <v>0</v>
      </c>
      <c r="H469" s="20" t="str">
        <f t="shared" si="60"/>
        <v/>
      </c>
      <c r="I469" s="20">
        <f t="shared" si="61"/>
        <v>0</v>
      </c>
      <c r="J469" s="20"/>
      <c r="K469" s="20"/>
      <c r="N469" s="12"/>
    </row>
    <row r="470" spans="1:14" x14ac:dyDescent="0.3">
      <c r="A470" s="35" t="str">
        <f t="shared" si="56"/>
        <v>QUÁ HẠN</v>
      </c>
      <c r="B470" s="36"/>
      <c r="C470" s="36">
        <f t="shared" si="55"/>
        <v>0</v>
      </c>
      <c r="D470" s="34">
        <f t="shared" si="57"/>
        <v>1</v>
      </c>
      <c r="E470" s="20">
        <f t="shared" si="58"/>
        <v>0</v>
      </c>
      <c r="F470" s="29"/>
      <c r="G470" s="30">
        <f t="shared" si="59"/>
        <v>0</v>
      </c>
      <c r="H470" s="20" t="str">
        <f t="shared" si="60"/>
        <v/>
      </c>
      <c r="I470" s="20">
        <f t="shared" si="61"/>
        <v>0</v>
      </c>
      <c r="J470" s="20"/>
      <c r="K470" s="20"/>
      <c r="N470" s="12"/>
    </row>
    <row r="471" spans="1:14" x14ac:dyDescent="0.3">
      <c r="A471" s="35" t="str">
        <f t="shared" si="56"/>
        <v>QUÁ HẠN</v>
      </c>
      <c r="B471" s="36"/>
      <c r="C471" s="36">
        <f t="shared" si="55"/>
        <v>0</v>
      </c>
      <c r="D471" s="34">
        <f t="shared" si="57"/>
        <v>1</v>
      </c>
      <c r="E471" s="20">
        <f t="shared" si="58"/>
        <v>0</v>
      </c>
      <c r="F471" s="29"/>
      <c r="G471" s="30">
        <f t="shared" si="59"/>
        <v>0</v>
      </c>
      <c r="H471" s="20" t="str">
        <f t="shared" si="60"/>
        <v/>
      </c>
      <c r="I471" s="20">
        <f t="shared" si="61"/>
        <v>0</v>
      </c>
      <c r="J471" s="20"/>
      <c r="K471" s="20"/>
      <c r="N471" s="12"/>
    </row>
    <row r="472" spans="1:14" x14ac:dyDescent="0.3">
      <c r="A472" s="35" t="str">
        <f t="shared" si="56"/>
        <v>QUÁ HẠN</v>
      </c>
      <c r="B472" s="36"/>
      <c r="C472" s="36">
        <f t="shared" si="55"/>
        <v>0</v>
      </c>
      <c r="D472" s="34">
        <f t="shared" si="57"/>
        <v>1</v>
      </c>
      <c r="E472" s="20">
        <f t="shared" si="58"/>
        <v>0</v>
      </c>
      <c r="F472" s="29"/>
      <c r="G472" s="30">
        <f t="shared" si="59"/>
        <v>0</v>
      </c>
      <c r="H472" s="20" t="str">
        <f t="shared" si="60"/>
        <v/>
      </c>
      <c r="I472" s="20">
        <f t="shared" si="61"/>
        <v>0</v>
      </c>
      <c r="J472" s="20"/>
      <c r="K472" s="20"/>
      <c r="N472" s="12"/>
    </row>
    <row r="473" spans="1:14" x14ac:dyDescent="0.3">
      <c r="A473" s="35" t="str">
        <f t="shared" si="56"/>
        <v>QUÁ HẠN</v>
      </c>
      <c r="B473" s="36"/>
      <c r="C473" s="36">
        <f t="shared" si="55"/>
        <v>0</v>
      </c>
      <c r="D473" s="34">
        <f t="shared" si="57"/>
        <v>1</v>
      </c>
      <c r="E473" s="20">
        <f t="shared" si="58"/>
        <v>0</v>
      </c>
      <c r="F473" s="29"/>
      <c r="G473" s="30">
        <f t="shared" si="59"/>
        <v>0</v>
      </c>
      <c r="H473" s="20" t="str">
        <f t="shared" si="60"/>
        <v/>
      </c>
      <c r="I473" s="20">
        <f t="shared" si="61"/>
        <v>0</v>
      </c>
      <c r="J473" s="20"/>
      <c r="K473" s="20"/>
      <c r="N473" s="12"/>
    </row>
    <row r="474" spans="1:14" x14ac:dyDescent="0.3">
      <c r="A474" s="35" t="str">
        <f t="shared" si="56"/>
        <v>QUÁ HẠN</v>
      </c>
      <c r="B474" s="36"/>
      <c r="C474" s="36">
        <f t="shared" si="55"/>
        <v>0</v>
      </c>
      <c r="D474" s="34">
        <f t="shared" si="57"/>
        <v>1</v>
      </c>
      <c r="E474" s="20">
        <f t="shared" si="58"/>
        <v>0</v>
      </c>
      <c r="F474" s="29"/>
      <c r="G474" s="30">
        <f t="shared" si="59"/>
        <v>0</v>
      </c>
      <c r="H474" s="20" t="str">
        <f t="shared" si="60"/>
        <v/>
      </c>
      <c r="I474" s="20">
        <f t="shared" si="61"/>
        <v>0</v>
      </c>
      <c r="J474" s="20"/>
      <c r="K474" s="20"/>
      <c r="N474" s="12"/>
    </row>
    <row r="475" spans="1:14" x14ac:dyDescent="0.3">
      <c r="A475" s="35" t="str">
        <f t="shared" si="56"/>
        <v>QUÁ HẠN</v>
      </c>
      <c r="B475" s="36"/>
      <c r="C475" s="36">
        <f t="shared" si="55"/>
        <v>0</v>
      </c>
      <c r="D475" s="34">
        <f t="shared" si="57"/>
        <v>1</v>
      </c>
      <c r="E475" s="20">
        <f t="shared" si="58"/>
        <v>0</v>
      </c>
      <c r="F475" s="29"/>
      <c r="G475" s="30">
        <f t="shared" si="59"/>
        <v>0</v>
      </c>
      <c r="H475" s="20" t="str">
        <f t="shared" si="60"/>
        <v/>
      </c>
      <c r="I475" s="20">
        <f t="shared" si="61"/>
        <v>0</v>
      </c>
      <c r="J475" s="20"/>
      <c r="K475" s="20"/>
      <c r="N475" s="12"/>
    </row>
    <row r="476" spans="1:14" x14ac:dyDescent="0.3">
      <c r="A476" s="35" t="str">
        <f t="shared" si="56"/>
        <v>QUÁ HẠN</v>
      </c>
      <c r="B476" s="36"/>
      <c r="C476" s="36">
        <f t="shared" si="55"/>
        <v>0</v>
      </c>
      <c r="D476" s="34">
        <f t="shared" si="57"/>
        <v>1</v>
      </c>
      <c r="E476" s="20">
        <f t="shared" si="58"/>
        <v>0</v>
      </c>
      <c r="F476" s="29"/>
      <c r="G476" s="30">
        <f t="shared" si="59"/>
        <v>0</v>
      </c>
      <c r="H476" s="20" t="str">
        <f t="shared" si="60"/>
        <v/>
      </c>
      <c r="I476" s="20">
        <f t="shared" si="61"/>
        <v>0</v>
      </c>
      <c r="J476" s="20"/>
      <c r="K476" s="20"/>
      <c r="N476" s="12"/>
    </row>
    <row r="477" spans="1:14" x14ac:dyDescent="0.3">
      <c r="A477" s="35" t="str">
        <f t="shared" si="56"/>
        <v>QUÁ HẠN</v>
      </c>
      <c r="B477" s="36"/>
      <c r="C477" s="36">
        <f t="shared" si="55"/>
        <v>0</v>
      </c>
      <c r="D477" s="34">
        <f t="shared" si="57"/>
        <v>1</v>
      </c>
      <c r="E477" s="20">
        <f t="shared" si="58"/>
        <v>0</v>
      </c>
      <c r="F477" s="29"/>
      <c r="G477" s="30">
        <f t="shared" si="59"/>
        <v>0</v>
      </c>
      <c r="H477" s="20" t="str">
        <f t="shared" si="60"/>
        <v/>
      </c>
      <c r="I477" s="20">
        <f t="shared" si="61"/>
        <v>0</v>
      </c>
      <c r="J477" s="20"/>
      <c r="K477" s="20"/>
      <c r="N477" s="12"/>
    </row>
    <row r="478" spans="1:14" x14ac:dyDescent="0.3">
      <c r="A478" s="35" t="str">
        <f t="shared" si="56"/>
        <v>QUÁ HẠN</v>
      </c>
      <c r="B478" s="36"/>
      <c r="C478" s="36">
        <f t="shared" si="55"/>
        <v>0</v>
      </c>
      <c r="D478" s="34">
        <f t="shared" si="57"/>
        <v>1</v>
      </c>
      <c r="E478" s="20">
        <f t="shared" si="58"/>
        <v>0</v>
      </c>
      <c r="F478" s="29"/>
      <c r="G478" s="30">
        <f t="shared" si="59"/>
        <v>0</v>
      </c>
      <c r="H478" s="20" t="str">
        <f t="shared" si="60"/>
        <v/>
      </c>
      <c r="I478" s="20">
        <f t="shared" si="61"/>
        <v>0</v>
      </c>
      <c r="J478" s="20"/>
      <c r="K478" s="20"/>
      <c r="N478" s="12"/>
    </row>
    <row r="479" spans="1:14" x14ac:dyDescent="0.3">
      <c r="A479" s="35" t="str">
        <f t="shared" si="56"/>
        <v>QUÁ HẠN</v>
      </c>
      <c r="B479" s="36"/>
      <c r="C479" s="36">
        <f t="shared" si="55"/>
        <v>0</v>
      </c>
      <c r="D479" s="34">
        <f t="shared" si="57"/>
        <v>1</v>
      </c>
      <c r="E479" s="20">
        <f t="shared" si="58"/>
        <v>0</v>
      </c>
      <c r="F479" s="29"/>
      <c r="G479" s="30">
        <f t="shared" si="59"/>
        <v>0</v>
      </c>
      <c r="H479" s="20" t="str">
        <f t="shared" si="60"/>
        <v/>
      </c>
      <c r="I479" s="20">
        <f t="shared" si="61"/>
        <v>0</v>
      </c>
      <c r="J479" s="20"/>
      <c r="K479" s="20"/>
      <c r="N479" s="12"/>
    </row>
    <row r="480" spans="1:14" x14ac:dyDescent="0.3">
      <c r="A480" s="35" t="str">
        <f t="shared" si="56"/>
        <v>QUÁ HẠN</v>
      </c>
      <c r="B480" s="36"/>
      <c r="C480" s="36">
        <f t="shared" si="55"/>
        <v>0</v>
      </c>
      <c r="D480" s="34">
        <f t="shared" si="57"/>
        <v>1</v>
      </c>
      <c r="E480" s="20">
        <f t="shared" si="58"/>
        <v>0</v>
      </c>
      <c r="F480" s="29"/>
      <c r="G480" s="30">
        <f t="shared" si="59"/>
        <v>0</v>
      </c>
      <c r="H480" s="20" t="str">
        <f t="shared" si="60"/>
        <v/>
      </c>
      <c r="I480" s="20">
        <f t="shared" si="61"/>
        <v>0</v>
      </c>
      <c r="J480" s="20"/>
      <c r="K480" s="20"/>
      <c r="N480" s="12"/>
    </row>
    <row r="481" spans="1:14" x14ac:dyDescent="0.3">
      <c r="A481" s="35" t="str">
        <f t="shared" si="56"/>
        <v>QUÁ HẠN</v>
      </c>
      <c r="B481" s="36"/>
      <c r="C481" s="36">
        <f t="shared" si="55"/>
        <v>0</v>
      </c>
      <c r="D481" s="34">
        <f t="shared" si="57"/>
        <v>1</v>
      </c>
      <c r="E481" s="20">
        <f t="shared" si="58"/>
        <v>0</v>
      </c>
      <c r="F481" s="29"/>
      <c r="G481" s="30">
        <f t="shared" si="59"/>
        <v>0</v>
      </c>
      <c r="H481" s="20" t="str">
        <f t="shared" si="60"/>
        <v/>
      </c>
      <c r="I481" s="20">
        <f t="shared" si="61"/>
        <v>0</v>
      </c>
      <c r="J481" s="20"/>
      <c r="K481" s="20"/>
      <c r="N481" s="12"/>
    </row>
    <row r="482" spans="1:14" x14ac:dyDescent="0.3">
      <c r="A482" s="35" t="str">
        <f t="shared" si="56"/>
        <v>QUÁ HẠN</v>
      </c>
      <c r="B482" s="36"/>
      <c r="C482" s="36">
        <f t="shared" si="55"/>
        <v>0</v>
      </c>
      <c r="D482" s="34">
        <f t="shared" si="57"/>
        <v>1</v>
      </c>
      <c r="E482" s="20">
        <f t="shared" si="58"/>
        <v>0</v>
      </c>
      <c r="F482" s="29"/>
      <c r="G482" s="30">
        <f t="shared" si="59"/>
        <v>0</v>
      </c>
      <c r="H482" s="20" t="str">
        <f t="shared" si="60"/>
        <v/>
      </c>
      <c r="I482" s="20">
        <f t="shared" si="61"/>
        <v>0</v>
      </c>
      <c r="J482" s="20"/>
      <c r="K482" s="20"/>
      <c r="N482" s="12"/>
    </row>
    <row r="483" spans="1:14" x14ac:dyDescent="0.3">
      <c r="A483" s="35" t="str">
        <f t="shared" si="56"/>
        <v>QUÁ HẠN</v>
      </c>
      <c r="B483" s="36"/>
      <c r="C483" s="36">
        <f t="shared" ref="C483:C499" si="62">IFERROR(IF(B484="", $B$10, B484-1), $B$10)</f>
        <v>0</v>
      </c>
      <c r="D483" s="34">
        <f t="shared" si="57"/>
        <v>1</v>
      </c>
      <c r="E483" s="20">
        <f t="shared" si="58"/>
        <v>0</v>
      </c>
      <c r="F483" s="29"/>
      <c r="G483" s="30">
        <f t="shared" si="59"/>
        <v>0</v>
      </c>
      <c r="H483" s="20" t="str">
        <f t="shared" si="60"/>
        <v/>
      </c>
      <c r="I483" s="20">
        <f t="shared" si="61"/>
        <v>0</v>
      </c>
      <c r="J483" s="20"/>
      <c r="K483" s="20"/>
      <c r="N483" s="12"/>
    </row>
    <row r="484" spans="1:14" x14ac:dyDescent="0.3">
      <c r="A484" s="35" t="str">
        <f t="shared" si="56"/>
        <v>QUÁ HẠN</v>
      </c>
      <c r="B484" s="36"/>
      <c r="C484" s="36">
        <f t="shared" si="62"/>
        <v>0</v>
      </c>
      <c r="D484" s="34">
        <f t="shared" si="57"/>
        <v>1</v>
      </c>
      <c r="E484" s="20">
        <f t="shared" si="58"/>
        <v>0</v>
      </c>
      <c r="F484" s="29"/>
      <c r="G484" s="30">
        <f t="shared" si="59"/>
        <v>0</v>
      </c>
      <c r="H484" s="20" t="str">
        <f t="shared" si="60"/>
        <v/>
      </c>
      <c r="I484" s="20">
        <f t="shared" si="61"/>
        <v>0</v>
      </c>
      <c r="J484" s="20"/>
      <c r="K484" s="20"/>
      <c r="N484" s="12"/>
    </row>
    <row r="485" spans="1:14" x14ac:dyDescent="0.3">
      <c r="A485" s="35" t="str">
        <f t="shared" si="56"/>
        <v>QUÁ HẠN</v>
      </c>
      <c r="B485" s="36"/>
      <c r="C485" s="36">
        <f t="shared" si="62"/>
        <v>0</v>
      </c>
      <c r="D485" s="34">
        <f t="shared" si="57"/>
        <v>1</v>
      </c>
      <c r="E485" s="20">
        <f t="shared" si="58"/>
        <v>0</v>
      </c>
      <c r="F485" s="29"/>
      <c r="G485" s="30">
        <f t="shared" si="59"/>
        <v>0</v>
      </c>
      <c r="H485" s="20" t="str">
        <f t="shared" si="60"/>
        <v/>
      </c>
      <c r="I485" s="20">
        <f t="shared" si="61"/>
        <v>0</v>
      </c>
      <c r="J485" s="20"/>
      <c r="K485" s="20"/>
      <c r="N485" s="12"/>
    </row>
    <row r="486" spans="1:14" x14ac:dyDescent="0.3">
      <c r="A486" s="35" t="str">
        <f t="shared" si="56"/>
        <v>QUÁ HẠN</v>
      </c>
      <c r="B486" s="36"/>
      <c r="C486" s="36">
        <f t="shared" si="62"/>
        <v>0</v>
      </c>
      <c r="D486" s="34">
        <f t="shared" si="57"/>
        <v>1</v>
      </c>
      <c r="E486" s="20">
        <f t="shared" si="58"/>
        <v>0</v>
      </c>
      <c r="F486" s="29"/>
      <c r="G486" s="30">
        <f t="shared" si="59"/>
        <v>0</v>
      </c>
      <c r="H486" s="20" t="str">
        <f t="shared" si="60"/>
        <v/>
      </c>
      <c r="I486" s="20">
        <f t="shared" si="61"/>
        <v>0</v>
      </c>
      <c r="J486" s="20"/>
      <c r="K486" s="20"/>
      <c r="N486" s="12"/>
    </row>
    <row r="487" spans="1:14" x14ac:dyDescent="0.3">
      <c r="A487" s="35" t="str">
        <f t="shared" si="56"/>
        <v>QUÁ HẠN</v>
      </c>
      <c r="B487" s="36"/>
      <c r="C487" s="36">
        <f t="shared" si="62"/>
        <v>0</v>
      </c>
      <c r="D487" s="34">
        <f t="shared" si="57"/>
        <v>1</v>
      </c>
      <c r="E487" s="20">
        <f t="shared" si="58"/>
        <v>0</v>
      </c>
      <c r="F487" s="29"/>
      <c r="G487" s="30">
        <f t="shared" si="59"/>
        <v>0</v>
      </c>
      <c r="H487" s="20" t="str">
        <f t="shared" si="60"/>
        <v/>
      </c>
      <c r="I487" s="20">
        <f t="shared" si="61"/>
        <v>0</v>
      </c>
      <c r="J487" s="20"/>
      <c r="K487" s="20"/>
      <c r="N487" s="12"/>
    </row>
    <row r="488" spans="1:14" x14ac:dyDescent="0.3">
      <c r="A488" s="35" t="str">
        <f t="shared" si="56"/>
        <v>QUÁ HẠN</v>
      </c>
      <c r="B488" s="36"/>
      <c r="C488" s="36">
        <f t="shared" si="62"/>
        <v>0</v>
      </c>
      <c r="D488" s="34">
        <f t="shared" si="57"/>
        <v>1</v>
      </c>
      <c r="E488" s="20">
        <f t="shared" si="58"/>
        <v>0</v>
      </c>
      <c r="F488" s="29"/>
      <c r="G488" s="30">
        <f t="shared" si="59"/>
        <v>0</v>
      </c>
      <c r="H488" s="20" t="str">
        <f t="shared" si="60"/>
        <v/>
      </c>
      <c r="I488" s="20">
        <f t="shared" si="61"/>
        <v>0</v>
      </c>
      <c r="J488" s="20"/>
      <c r="K488" s="20"/>
      <c r="N488" s="12"/>
    </row>
    <row r="489" spans="1:14" x14ac:dyDescent="0.3">
      <c r="A489" s="35" t="str">
        <f t="shared" si="56"/>
        <v>QUÁ HẠN</v>
      </c>
      <c r="B489" s="36"/>
      <c r="C489" s="36">
        <f t="shared" si="62"/>
        <v>0</v>
      </c>
      <c r="D489" s="34">
        <f t="shared" si="57"/>
        <v>1</v>
      </c>
      <c r="E489" s="20">
        <f t="shared" si="58"/>
        <v>0</v>
      </c>
      <c r="F489" s="29"/>
      <c r="G489" s="30">
        <f t="shared" si="59"/>
        <v>0</v>
      </c>
      <c r="H489" s="20" t="str">
        <f t="shared" si="60"/>
        <v/>
      </c>
      <c r="I489" s="20">
        <f t="shared" si="61"/>
        <v>0</v>
      </c>
      <c r="J489" s="20"/>
      <c r="K489" s="20"/>
      <c r="N489" s="12"/>
    </row>
    <row r="490" spans="1:14" x14ac:dyDescent="0.3">
      <c r="A490" s="35" t="str">
        <f t="shared" si="56"/>
        <v>QUÁ HẠN</v>
      </c>
      <c r="B490" s="36"/>
      <c r="C490" s="36">
        <f t="shared" si="62"/>
        <v>0</v>
      </c>
      <c r="D490" s="34">
        <f t="shared" si="57"/>
        <v>1</v>
      </c>
      <c r="E490" s="20">
        <f t="shared" si="58"/>
        <v>0</v>
      </c>
      <c r="F490" s="29"/>
      <c r="G490" s="30">
        <f t="shared" si="59"/>
        <v>0</v>
      </c>
      <c r="H490" s="20" t="str">
        <f t="shared" si="60"/>
        <v/>
      </c>
      <c r="I490" s="20">
        <f t="shared" si="61"/>
        <v>0</v>
      </c>
      <c r="J490" s="20"/>
      <c r="K490" s="20"/>
      <c r="N490" s="12"/>
    </row>
    <row r="491" spans="1:14" x14ac:dyDescent="0.3">
      <c r="A491" s="35" t="str">
        <f t="shared" si="56"/>
        <v>QUÁ HẠN</v>
      </c>
      <c r="B491" s="36"/>
      <c r="C491" s="36">
        <f t="shared" si="62"/>
        <v>0</v>
      </c>
      <c r="D491" s="34">
        <f t="shared" si="57"/>
        <v>1</v>
      </c>
      <c r="E491" s="20">
        <f t="shared" si="58"/>
        <v>0</v>
      </c>
      <c r="F491" s="29"/>
      <c r="G491" s="30">
        <f t="shared" si="59"/>
        <v>0</v>
      </c>
      <c r="H491" s="20" t="str">
        <f t="shared" si="60"/>
        <v/>
      </c>
      <c r="I491" s="20">
        <f t="shared" si="61"/>
        <v>0</v>
      </c>
      <c r="J491" s="20"/>
      <c r="K491" s="20"/>
      <c r="N491" s="12"/>
    </row>
    <row r="492" spans="1:14" x14ac:dyDescent="0.3">
      <c r="A492" s="35" t="str">
        <f t="shared" si="56"/>
        <v>QUÁ HẠN</v>
      </c>
      <c r="B492" s="36"/>
      <c r="C492" s="36">
        <f t="shared" si="62"/>
        <v>0</v>
      </c>
      <c r="D492" s="34">
        <f t="shared" si="57"/>
        <v>1</v>
      </c>
      <c r="E492" s="20">
        <f t="shared" si="58"/>
        <v>0</v>
      </c>
      <c r="F492" s="29"/>
      <c r="G492" s="30">
        <f t="shared" si="59"/>
        <v>0</v>
      </c>
      <c r="H492" s="20" t="str">
        <f t="shared" si="60"/>
        <v/>
      </c>
      <c r="I492" s="20">
        <f t="shared" si="61"/>
        <v>0</v>
      </c>
      <c r="J492" s="20"/>
      <c r="K492" s="20"/>
      <c r="N492" s="12"/>
    </row>
    <row r="493" spans="1:14" x14ac:dyDescent="0.3">
      <c r="A493" s="35" t="str">
        <f t="shared" ref="A493:A497" si="63">IF(B493&gt;=$B$9,"QUÁ HẠN", "TRONG HẠN")</f>
        <v>QUÁ HẠN</v>
      </c>
      <c r="B493" s="36"/>
      <c r="C493" s="36">
        <f t="shared" si="62"/>
        <v>0</v>
      </c>
      <c r="D493" s="34">
        <f t="shared" ref="D493:D497" si="64">C493-B493+1</f>
        <v>1</v>
      </c>
      <c r="E493" s="20">
        <f t="shared" ref="E493:E497" si="65">E492-J493</f>
        <v>0</v>
      </c>
      <c r="F493" s="29"/>
      <c r="G493" s="30">
        <f t="shared" ref="G493:G497" si="66">IF(A493="QUÁ HẠN", F493*1.5,"")</f>
        <v>0</v>
      </c>
      <c r="H493" s="20" t="str">
        <f t="shared" ref="H493:H497" si="67">IF(A493="TRONG HẠN",D493*E493*F493/365,"")</f>
        <v/>
      </c>
      <c r="I493" s="20">
        <f t="shared" ref="I493:I497" si="68">IF(A493="QUÁ HẠN",D493*E493*G493/365,"")</f>
        <v>0</v>
      </c>
      <c r="J493" s="20"/>
      <c r="K493" s="20"/>
      <c r="N493" s="12"/>
    </row>
    <row r="494" spans="1:14" x14ac:dyDescent="0.3">
      <c r="A494" s="35" t="str">
        <f t="shared" si="63"/>
        <v>QUÁ HẠN</v>
      </c>
      <c r="B494" s="36"/>
      <c r="C494" s="36">
        <f t="shared" si="62"/>
        <v>0</v>
      </c>
      <c r="D494" s="34">
        <f t="shared" si="64"/>
        <v>1</v>
      </c>
      <c r="E494" s="20">
        <f t="shared" si="65"/>
        <v>0</v>
      </c>
      <c r="F494" s="29"/>
      <c r="G494" s="30">
        <f t="shared" si="66"/>
        <v>0</v>
      </c>
      <c r="H494" s="20" t="str">
        <f t="shared" si="67"/>
        <v/>
      </c>
      <c r="I494" s="20">
        <f t="shared" si="68"/>
        <v>0</v>
      </c>
      <c r="J494" s="20"/>
      <c r="K494" s="20"/>
      <c r="N494" s="12"/>
    </row>
    <row r="495" spans="1:14" x14ac:dyDescent="0.3">
      <c r="A495" s="35" t="str">
        <f t="shared" si="63"/>
        <v>QUÁ HẠN</v>
      </c>
      <c r="B495" s="36"/>
      <c r="C495" s="36">
        <f t="shared" si="62"/>
        <v>0</v>
      </c>
      <c r="D495" s="34">
        <f t="shared" si="64"/>
        <v>1</v>
      </c>
      <c r="E495" s="20">
        <f t="shared" si="65"/>
        <v>0</v>
      </c>
      <c r="F495" s="29"/>
      <c r="G495" s="30">
        <f t="shared" si="66"/>
        <v>0</v>
      </c>
      <c r="H495" s="20" t="str">
        <f t="shared" si="67"/>
        <v/>
      </c>
      <c r="I495" s="20">
        <f t="shared" si="68"/>
        <v>0</v>
      </c>
      <c r="J495" s="20"/>
      <c r="K495" s="20"/>
      <c r="N495" s="12"/>
    </row>
    <row r="496" spans="1:14" x14ac:dyDescent="0.3">
      <c r="A496" s="35" t="str">
        <f t="shared" si="63"/>
        <v>QUÁ HẠN</v>
      </c>
      <c r="B496" s="36"/>
      <c r="C496" s="36">
        <f t="shared" si="62"/>
        <v>0</v>
      </c>
      <c r="D496" s="34">
        <f t="shared" si="64"/>
        <v>1</v>
      </c>
      <c r="E496" s="20">
        <f t="shared" si="65"/>
        <v>0</v>
      </c>
      <c r="F496" s="29"/>
      <c r="G496" s="30">
        <f t="shared" si="66"/>
        <v>0</v>
      </c>
      <c r="H496" s="20" t="str">
        <f t="shared" si="67"/>
        <v/>
      </c>
      <c r="I496" s="20">
        <f t="shared" si="68"/>
        <v>0</v>
      </c>
      <c r="J496" s="20"/>
      <c r="K496" s="20"/>
      <c r="N496" s="12"/>
    </row>
    <row r="497" spans="1:14" x14ac:dyDescent="0.3">
      <c r="A497" s="35" t="str">
        <f t="shared" si="63"/>
        <v>QUÁ HẠN</v>
      </c>
      <c r="B497" s="36"/>
      <c r="C497" s="36">
        <f t="shared" si="62"/>
        <v>0</v>
      </c>
      <c r="D497" s="34">
        <f t="shared" si="64"/>
        <v>1</v>
      </c>
      <c r="E497" s="20">
        <f t="shared" si="65"/>
        <v>0</v>
      </c>
      <c r="F497" s="29"/>
      <c r="G497" s="30">
        <f t="shared" si="66"/>
        <v>0</v>
      </c>
      <c r="H497" s="20" t="str">
        <f t="shared" si="67"/>
        <v/>
      </c>
      <c r="I497" s="20">
        <f t="shared" si="68"/>
        <v>0</v>
      </c>
      <c r="J497" s="20"/>
      <c r="K497" s="20"/>
      <c r="N497" s="12"/>
    </row>
    <row r="498" spans="1:14" x14ac:dyDescent="0.3">
      <c r="A498" s="35" t="str">
        <f t="shared" ref="A498:A499" si="69">IF(B498&gt;=$B$9,"QUÁ HẠN", "TRONG HẠN")</f>
        <v>QUÁ HẠN</v>
      </c>
      <c r="B498" s="36"/>
      <c r="C498" s="36">
        <f t="shared" si="62"/>
        <v>0</v>
      </c>
      <c r="D498" s="34">
        <f t="shared" ref="D498:D499" si="70">C498-B498+1</f>
        <v>1</v>
      </c>
      <c r="E498" s="20">
        <f t="shared" ref="E498:E499" si="71">E497-J498</f>
        <v>0</v>
      </c>
      <c r="F498" s="29"/>
      <c r="G498" s="30">
        <f t="shared" ref="G498:G499" si="72">IF(A498="QUÁ HẠN", F498*1.5,"")</f>
        <v>0</v>
      </c>
      <c r="H498" s="20" t="str">
        <f t="shared" ref="H498:H499" si="73">IF(A498="TRONG HẠN",D498*E498*F498/365,"")</f>
        <v/>
      </c>
      <c r="I498" s="20">
        <f t="shared" ref="I498:I499" si="74">IF(A498="QUÁ HẠN",D498*E498*G498/365,"")</f>
        <v>0</v>
      </c>
      <c r="J498" s="20"/>
      <c r="K498" s="20"/>
      <c r="N498" s="12"/>
    </row>
    <row r="499" spans="1:14" x14ac:dyDescent="0.3">
      <c r="A499" s="35" t="str">
        <f t="shared" si="69"/>
        <v>QUÁ HẠN</v>
      </c>
      <c r="B499" s="36"/>
      <c r="C499" s="36">
        <f t="shared" si="62"/>
        <v>0</v>
      </c>
      <c r="D499" s="34">
        <f t="shared" si="70"/>
        <v>1</v>
      </c>
      <c r="E499" s="20">
        <f t="shared" si="71"/>
        <v>0</v>
      </c>
      <c r="F499" s="29"/>
      <c r="G499" s="30">
        <f t="shared" si="72"/>
        <v>0</v>
      </c>
      <c r="H499" s="20" t="str">
        <f t="shared" si="73"/>
        <v/>
      </c>
      <c r="I499" s="20">
        <f t="shared" si="74"/>
        <v>0</v>
      </c>
      <c r="J499" s="20"/>
      <c r="K499" s="20"/>
      <c r="N499" s="12"/>
    </row>
    <row r="500" spans="1:14" x14ac:dyDescent="0.3">
      <c r="A500" s="23"/>
      <c r="B500" s="24"/>
      <c r="C500" s="24" t="s">
        <v>16</v>
      </c>
      <c r="D500" s="25"/>
      <c r="E500" s="26">
        <f>INDEX(E12:E499, COUNTA(E12:E499))</f>
        <v>0</v>
      </c>
      <c r="F500" s="27"/>
      <c r="G500" s="27"/>
      <c r="H500" s="28">
        <f>SUM(H13:H499)</f>
        <v>0</v>
      </c>
      <c r="I500" s="28">
        <f>SUM(I13:I499)</f>
        <v>0</v>
      </c>
      <c r="J500" s="28">
        <f>SUM(J13:J499)</f>
        <v>0</v>
      </c>
      <c r="K500" s="28">
        <f>SUM(K13:K499)</f>
        <v>0</v>
      </c>
    </row>
    <row r="501" spans="1:14" x14ac:dyDescent="0.3">
      <c r="B501" s="18"/>
      <c r="C501" s="19"/>
      <c r="D501" s="19"/>
      <c r="E501" s="19"/>
      <c r="F501" s="19"/>
      <c r="G501" s="19"/>
      <c r="H501" s="19"/>
      <c r="I501" s="19"/>
      <c r="J501" s="19"/>
      <c r="K501" s="19"/>
    </row>
    <row r="502" spans="1:14" x14ac:dyDescent="0.3">
      <c r="H502" s="102" t="s">
        <v>65</v>
      </c>
      <c r="I502" s="102"/>
      <c r="J502" s="102"/>
    </row>
    <row r="503" spans="1:14" x14ac:dyDescent="0.3">
      <c r="I503" s="2"/>
      <c r="J503" s="13"/>
    </row>
    <row r="504" spans="1:14" x14ac:dyDescent="0.3">
      <c r="I504" s="2"/>
      <c r="J504" s="13"/>
    </row>
    <row r="505" spans="1:14" x14ac:dyDescent="0.3">
      <c r="I505" s="2"/>
      <c r="J505" s="13"/>
    </row>
    <row r="506" spans="1:14" x14ac:dyDescent="0.3">
      <c r="H506" s="101" t="str">
        <f>IF(THTT!C2="","",THTT!C2)</f>
        <v>baotg10</v>
      </c>
      <c r="I506" s="101"/>
      <c r="J506" s="101"/>
    </row>
  </sheetData>
  <mergeCells count="6">
    <mergeCell ref="H506:J506"/>
    <mergeCell ref="H502:J502"/>
    <mergeCell ref="A1:K1"/>
    <mergeCell ref="A3:B3"/>
    <mergeCell ref="D4:E4"/>
    <mergeCell ref="G4:H4"/>
  </mergeCells>
  <pageMargins left="0.25" right="0.25" top="0.75" bottom="0.75" header="0.3" footer="0.3"/>
  <pageSetup paperSize="9" scale="92" fitToHeight="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E283"/>
  <sheetViews>
    <sheetView showGridLines="0" tabSelected="1" zoomScaleNormal="100" workbookViewId="0">
      <selection activeCell="L7" sqref="L7"/>
    </sheetView>
  </sheetViews>
  <sheetFormatPr defaultRowHeight="16.8" x14ac:dyDescent="0.4"/>
  <cols>
    <col min="1" max="1" width="27.33203125" style="80" customWidth="1"/>
    <col min="2" max="2" width="27" style="80" customWidth="1"/>
    <col min="3" max="3" width="27.33203125" style="80" customWidth="1"/>
    <col min="4" max="4" width="13.109375" style="80" customWidth="1"/>
    <col min="5" max="5" width="15.44140625" style="80" customWidth="1"/>
    <col min="6" max="6" width="16.33203125" style="80" customWidth="1"/>
    <col min="7" max="7" width="15.5546875" style="82" customWidth="1"/>
    <col min="8" max="8" width="15.5546875" style="80" customWidth="1"/>
    <col min="9" max="9" width="11.44140625" style="80" hidden="1" customWidth="1"/>
    <col min="10" max="10" width="13" style="80" customWidth="1"/>
    <col min="11" max="11" width="14.77734375" style="80" customWidth="1"/>
    <col min="12" max="12" width="14.44140625" style="80" customWidth="1"/>
    <col min="13" max="13" width="13.109375" style="80" customWidth="1"/>
    <col min="14" max="14" width="13.6640625" style="80" customWidth="1"/>
    <col min="15" max="15" width="13.109375" style="80" customWidth="1"/>
    <col min="16" max="16" width="8.88671875" style="80"/>
    <col min="17" max="17" width="16.44140625" style="80" customWidth="1"/>
    <col min="18" max="18" width="11.6640625" style="80" customWidth="1"/>
    <col min="19" max="19" width="13.109375" style="80" customWidth="1"/>
    <col min="20" max="20" width="8.88671875" style="80"/>
    <col min="21" max="21" width="15.5546875" style="80" customWidth="1"/>
    <col min="22" max="22" width="11.6640625" style="80" customWidth="1"/>
    <col min="23" max="23" width="13.109375" style="80" customWidth="1"/>
    <col min="24" max="24" width="8.88671875" style="80"/>
    <col min="25" max="25" width="11.33203125" style="80" customWidth="1"/>
    <col min="26" max="26" width="11.6640625" style="80" customWidth="1"/>
    <col min="27" max="27" width="13.109375" style="80" customWidth="1"/>
    <col min="28" max="28" width="8.88671875" style="80"/>
    <col min="29" max="29" width="11.33203125" style="80" customWidth="1"/>
    <col min="30" max="30" width="11.6640625" style="80" customWidth="1"/>
    <col min="31" max="31" width="13.109375" style="80" customWidth="1"/>
    <col min="32" max="32" width="8.88671875" style="80"/>
    <col min="33" max="33" width="11.33203125" style="80" customWidth="1"/>
    <col min="34" max="34" width="11.6640625" style="80" customWidth="1"/>
    <col min="35" max="35" width="13.109375" style="80" customWidth="1"/>
    <col min="36" max="36" width="8.88671875" style="80"/>
    <col min="37" max="37" width="11.33203125" style="80" customWidth="1"/>
    <col min="38" max="38" width="11.6640625" style="80" customWidth="1"/>
    <col min="39" max="39" width="13.109375" style="80" customWidth="1"/>
    <col min="40" max="40" width="8.88671875" style="80"/>
    <col min="41" max="41" width="11.33203125" style="80" customWidth="1"/>
    <col min="42" max="42" width="11.6640625" style="80" customWidth="1"/>
    <col min="43" max="43" width="13.109375" style="80" customWidth="1"/>
    <col min="44" max="16384" width="8.88671875" style="80"/>
  </cols>
  <sheetData>
    <row r="1" spans="1:31" ht="17.399999999999999" customHeight="1" thickTop="1" thickBot="1" x14ac:dyDescent="0.45">
      <c r="A1" s="90" t="s">
        <v>6</v>
      </c>
      <c r="B1" s="91" t="s">
        <v>17</v>
      </c>
      <c r="C1" s="92" t="s">
        <v>65</v>
      </c>
      <c r="D1" s="83"/>
      <c r="E1" s="122" t="s">
        <v>24</v>
      </c>
      <c r="F1" s="122"/>
      <c r="G1" s="122"/>
      <c r="H1" s="122"/>
      <c r="I1" s="83"/>
      <c r="J1" s="83"/>
      <c r="K1" s="83"/>
      <c r="L1" s="83"/>
      <c r="M1" s="83"/>
      <c r="N1" s="83"/>
      <c r="O1" s="83"/>
      <c r="P1" s="83"/>
      <c r="Q1" s="83"/>
      <c r="R1" s="83"/>
      <c r="S1" s="83"/>
      <c r="T1" s="81"/>
      <c r="U1" s="81"/>
      <c r="V1" s="81"/>
      <c r="W1" s="81"/>
      <c r="X1" s="81"/>
      <c r="Y1" s="81"/>
      <c r="Z1" s="81"/>
      <c r="AA1" s="81"/>
      <c r="AB1" s="81"/>
      <c r="AC1" s="81"/>
      <c r="AD1" s="81"/>
      <c r="AE1" s="81"/>
    </row>
    <row r="2" spans="1:31" ht="17.399999999999999" customHeight="1" thickBot="1" x14ac:dyDescent="0.45">
      <c r="A2" s="97"/>
      <c r="B2" s="97"/>
      <c r="C2" s="98" t="s">
        <v>70</v>
      </c>
      <c r="D2" s="83"/>
      <c r="E2" s="84" t="s">
        <v>66</v>
      </c>
      <c r="F2" s="85" t="s">
        <v>67</v>
      </c>
      <c r="G2" s="85" t="s">
        <v>68</v>
      </c>
      <c r="H2" s="85" t="s">
        <v>16</v>
      </c>
      <c r="I2" s="83"/>
      <c r="J2" s="83"/>
      <c r="K2" s="83"/>
      <c r="L2" s="83"/>
      <c r="M2" s="83"/>
      <c r="N2" s="83"/>
      <c r="O2" s="83"/>
      <c r="P2" s="83"/>
      <c r="Q2" s="83"/>
      <c r="R2" s="83"/>
      <c r="S2" s="83"/>
      <c r="T2" s="81"/>
      <c r="U2" s="81"/>
      <c r="V2" s="81"/>
      <c r="W2" s="81"/>
      <c r="X2" s="81"/>
      <c r="Y2" s="81"/>
      <c r="Z2" s="81"/>
      <c r="AA2" s="81"/>
      <c r="AB2" s="81"/>
      <c r="AC2" s="81"/>
      <c r="AD2" s="81"/>
      <c r="AE2" s="81"/>
    </row>
    <row r="3" spans="1:31" ht="15.6" customHeight="1" x14ac:dyDescent="0.4">
      <c r="A3" s="129" t="s">
        <v>74</v>
      </c>
      <c r="B3" s="130"/>
      <c r="C3" s="131"/>
      <c r="D3" s="83"/>
      <c r="E3" s="88" t="str">
        <f>IFERROR(IF(INDEX(LKLS!$3:$3,1,1+3*(ROWS($A$1:A1)-1))=0,"",INDEX(LKLS!$3:$3,1,1+3*(ROWS($A$1:A1)-1))),"")</f>
        <v/>
      </c>
      <c r="F3" s="95" t="str">
        <f ca="1">IF(E3="","",IFERROR(INDIRECT("'"&amp;SUBSTITUTE(E3,"'","''")&amp;"'!H5"),""))</f>
        <v/>
      </c>
      <c r="G3" s="95" t="str">
        <f ca="1">IF(E3="","",IFERROR(INDIRECT("'"&amp;SUBSTITUTE(E3,"'","''")&amp;"'!H6"),""))</f>
        <v/>
      </c>
      <c r="H3" s="95" t="str">
        <f ca="1">IF(E3="","",IFERROR(INDIRECT("'"&amp;SUBSTITUTE(E3,"'","''")&amp;"'!H9"),""))</f>
        <v/>
      </c>
      <c r="I3" s="83" t="str">
        <f ca="1">IFERROR(COUNTIF(INDIRECT("'"&amp;E3&amp;"'!D20:D300"),"&lt;0"),"")</f>
        <v/>
      </c>
      <c r="J3" s="83"/>
      <c r="K3" s="83"/>
      <c r="L3" s="83"/>
      <c r="M3" s="83"/>
      <c r="N3" s="83"/>
      <c r="O3" s="83"/>
      <c r="P3" s="83"/>
      <c r="Q3" s="83"/>
      <c r="R3" s="83"/>
      <c r="S3" s="83"/>
      <c r="T3" s="81"/>
      <c r="U3" s="81"/>
      <c r="V3" s="81"/>
      <c r="W3" s="81"/>
      <c r="X3" s="81"/>
      <c r="Y3" s="81"/>
      <c r="Z3" s="81"/>
      <c r="AA3" s="81"/>
      <c r="AB3" s="81"/>
      <c r="AC3" s="81"/>
      <c r="AD3" s="81"/>
      <c r="AE3" s="81"/>
    </row>
    <row r="4" spans="1:31" ht="14.4" customHeight="1" x14ac:dyDescent="0.4">
      <c r="A4" s="132"/>
      <c r="B4" s="133"/>
      <c r="C4" s="134"/>
      <c r="D4" s="83"/>
      <c r="E4" s="88" t="str">
        <f>IFERROR(IF(INDEX(LKLS!$3:$3,1,1+3*(ROWS($A$1:A2)-1))=0,"",INDEX(LKLS!$3:$3,1,1+3*(ROWS($A$1:A2)-1))),"")</f>
        <v/>
      </c>
      <c r="F4" s="96" t="str">
        <f t="shared" ref="F4:F20" ca="1" si="0">IF(E4="","",IFERROR(INDIRECT("'"&amp;SUBSTITUTE(E4,"'","''")&amp;"'!H5"),""))</f>
        <v/>
      </c>
      <c r="G4" s="96" t="str">
        <f t="shared" ref="G4:G20" ca="1" si="1">IF(E4="","",IFERROR(INDIRECT("'"&amp;SUBSTITUTE(E4,"'","''")&amp;"'!H6"),""))</f>
        <v/>
      </c>
      <c r="H4" s="96" t="str">
        <f t="shared" ref="H4:H20" ca="1" si="2">IF(E4="","",IFERROR(INDIRECT("'"&amp;SUBSTITUTE(E4,"'","''")&amp;"'!H9"),""))</f>
        <v/>
      </c>
      <c r="I4" s="83" t="str">
        <f t="shared" ref="I4:I20" ca="1" si="3">IFERROR(COUNTIF(INDIRECT("'"&amp;E4&amp;"'!D20:D300"),"&lt;0"),"")</f>
        <v/>
      </c>
      <c r="J4" s="83"/>
      <c r="K4" s="83"/>
      <c r="L4" s="83"/>
      <c r="M4" s="83"/>
      <c r="N4" s="83"/>
      <c r="O4" s="83"/>
      <c r="P4" s="83"/>
      <c r="Q4" s="83"/>
      <c r="R4" s="83"/>
      <c r="S4" s="83"/>
      <c r="T4" s="81"/>
      <c r="U4" s="81"/>
      <c r="V4" s="81"/>
      <c r="W4" s="81"/>
      <c r="X4" s="81"/>
      <c r="Y4" s="81"/>
      <c r="Z4" s="81"/>
      <c r="AA4" s="81"/>
      <c r="AB4" s="81"/>
      <c r="AC4" s="81"/>
      <c r="AD4" s="81"/>
      <c r="AE4" s="81"/>
    </row>
    <row r="5" spans="1:31" ht="16.8" customHeight="1" x14ac:dyDescent="0.4">
      <c r="A5" s="110" t="s">
        <v>69</v>
      </c>
      <c r="B5" s="111"/>
      <c r="C5" s="112"/>
      <c r="D5" s="83"/>
      <c r="E5" s="88" t="str">
        <f>IFERROR(IF(INDEX(LKLS!$3:$3,1,1+3*(ROWS($A$1:A3)-1))=0,"",INDEX(LKLS!$3:$3,1,1+3*(ROWS($A$1:A3)-1))),"")</f>
        <v/>
      </c>
      <c r="F5" s="96" t="str">
        <f t="shared" ca="1" si="0"/>
        <v/>
      </c>
      <c r="G5" s="96" t="str">
        <f t="shared" ca="1" si="1"/>
        <v/>
      </c>
      <c r="H5" s="96" t="str">
        <f t="shared" ca="1" si="2"/>
        <v/>
      </c>
      <c r="I5" s="83" t="str">
        <f t="shared" ca="1" si="3"/>
        <v/>
      </c>
      <c r="J5" s="83"/>
      <c r="K5" s="83"/>
      <c r="L5" s="83"/>
      <c r="M5" s="83"/>
      <c r="N5" s="83"/>
      <c r="O5" s="83"/>
      <c r="P5" s="83"/>
      <c r="Q5" s="83"/>
      <c r="R5" s="83"/>
      <c r="S5" s="83"/>
      <c r="T5" s="81"/>
      <c r="U5" s="81"/>
      <c r="V5" s="81"/>
      <c r="W5" s="81"/>
      <c r="X5" s="81"/>
      <c r="Y5" s="81"/>
      <c r="Z5" s="81"/>
      <c r="AA5" s="81"/>
      <c r="AB5" s="81"/>
      <c r="AC5" s="81"/>
      <c r="AD5" s="81"/>
      <c r="AE5" s="81"/>
    </row>
    <row r="6" spans="1:31" ht="14.4" customHeight="1" x14ac:dyDescent="0.4">
      <c r="A6" s="110"/>
      <c r="B6" s="111"/>
      <c r="C6" s="112"/>
      <c r="D6" s="83"/>
      <c r="E6" s="88" t="str">
        <f>IFERROR(IF(INDEX(LKLS!$3:$3,1,1+3*(ROWS($A$1:A4)-1))=0,"",INDEX(LKLS!$3:$3,1,1+3*(ROWS($A$1:A4)-1))),"")</f>
        <v/>
      </c>
      <c r="F6" s="96" t="str">
        <f t="shared" ca="1" si="0"/>
        <v/>
      </c>
      <c r="G6" s="96" t="str">
        <f t="shared" ca="1" si="1"/>
        <v/>
      </c>
      <c r="H6" s="96" t="str">
        <f t="shared" ca="1" si="2"/>
        <v/>
      </c>
      <c r="I6" s="83" t="str">
        <f t="shared" ca="1" si="3"/>
        <v/>
      </c>
      <c r="J6" s="83"/>
      <c r="K6" s="83"/>
      <c r="L6" s="83"/>
      <c r="M6" s="83"/>
      <c r="N6" s="83"/>
      <c r="O6" s="83"/>
      <c r="P6" s="83"/>
      <c r="Q6" s="83"/>
      <c r="R6" s="83"/>
      <c r="S6" s="83"/>
      <c r="T6" s="81"/>
      <c r="U6" s="81"/>
      <c r="V6" s="81"/>
      <c r="W6" s="81"/>
      <c r="X6" s="81"/>
      <c r="Y6" s="81"/>
      <c r="Z6" s="81"/>
      <c r="AA6" s="81"/>
      <c r="AB6" s="81"/>
      <c r="AC6" s="81"/>
      <c r="AD6" s="81"/>
      <c r="AE6" s="81"/>
    </row>
    <row r="7" spans="1:31" ht="18" customHeight="1" x14ac:dyDescent="0.4">
      <c r="A7" s="113" t="str">
        <f ca="1">IFERROR(
    IF(
        COUNT($I$3:$I$20)=0,
        "",
        IF(
            SUM($I$3:$I$20)=0,
            "✓ Kết quả tính toán đã chính xác."
            &amp;CHAR(10)&amp;"- Gốc thấp hơn ""Fin"" do GIẢI NGÂN KỸ THUẬT: kiểm tra Chi tiết các giải và thu nợ, trừ phần GIẢI NGÂN KỸ THUẬT ở trả gốc và trả lãi."
            &amp;CHAR(10)&amp;"- Nếu cơ cấu nợ: làm như GNKT và thêm bước nữa là cộng các giao dịch vào trả gốc hoặc trả lãi của KH."
            &amp;CHAR(10)&amp;"- Nếu có thêm giao dịch mới từ KH: up lại sao kê, bấm ""Xóa"", rồi tạo lại."
            &amp;CHAR(10)&amp;"- Nếu cần đổi lãi suất: vào sheet LKLS để chỉnh.",
            "⚠ Bạn đang tính lùi ngày, có số âm trong cột D ở sheet "
            &amp;INDEX($E$3:$E$20,MATCH(1,INDEX(($I$3:$I$20&gt;0)*1,0),0))
            &amp;", hãy xóa dòng số """
            &amp;(MATCH(
                TRUE,
                INDEX(INDIRECT("'"&amp;INDEX($E$3:$E$20,MATCH(1,INDEX(($I$3:$I$20&gt;0)*1,0),0))&amp;"'!D20:D500")&lt;=0,0),
                0
            )+19)
            &amp;""" để ra phép tính đúng."
        )
    ),
"")</f>
        <v/>
      </c>
      <c r="B7" s="114"/>
      <c r="C7" s="115"/>
      <c r="D7" s="83"/>
      <c r="E7" s="88" t="str">
        <f>IFERROR(IF(INDEX(LKLS!$3:$3,1,1+3*(ROWS($A$1:A5)-1))=0,"",INDEX(LKLS!$3:$3,1,1+3*(ROWS($A$1:A5)-1))),"")</f>
        <v/>
      </c>
      <c r="F7" s="96" t="str">
        <f t="shared" ca="1" si="0"/>
        <v/>
      </c>
      <c r="G7" s="96" t="str">
        <f t="shared" ca="1" si="1"/>
        <v/>
      </c>
      <c r="H7" s="96" t="str">
        <f t="shared" ca="1" si="2"/>
        <v/>
      </c>
      <c r="I7" s="83" t="str">
        <f t="shared" ca="1" si="3"/>
        <v/>
      </c>
      <c r="J7" s="83"/>
      <c r="K7" s="83"/>
      <c r="L7" s="83"/>
      <c r="M7" s="83"/>
      <c r="N7" s="83"/>
      <c r="O7" s="83"/>
      <c r="P7" s="83"/>
      <c r="Q7" s="83"/>
      <c r="R7" s="83"/>
      <c r="S7" s="83"/>
      <c r="T7" s="81"/>
      <c r="U7" s="81"/>
      <c r="V7" s="81"/>
      <c r="W7" s="81"/>
      <c r="X7" s="81"/>
      <c r="Y7" s="81"/>
      <c r="Z7" s="81"/>
      <c r="AA7" s="81"/>
      <c r="AB7" s="81"/>
      <c r="AC7" s="81"/>
      <c r="AD7" s="81"/>
      <c r="AE7" s="81"/>
    </row>
    <row r="8" spans="1:31" ht="14.4" customHeight="1" x14ac:dyDescent="0.4">
      <c r="A8" s="113"/>
      <c r="B8" s="114"/>
      <c r="C8" s="115"/>
      <c r="D8" s="83"/>
      <c r="E8" s="88" t="str">
        <f>IFERROR(IF(INDEX(LKLS!$3:$3,1,1+3*(ROWS($A$1:A6)-1))=0,"",INDEX(LKLS!$3:$3,1,1+3*(ROWS($A$1:A6)-1))),"")</f>
        <v/>
      </c>
      <c r="F8" s="96" t="str">
        <f t="shared" ca="1" si="0"/>
        <v/>
      </c>
      <c r="G8" s="96" t="str">
        <f t="shared" ca="1" si="1"/>
        <v/>
      </c>
      <c r="H8" s="96" t="str">
        <f t="shared" ca="1" si="2"/>
        <v/>
      </c>
      <c r="I8" s="83" t="str">
        <f t="shared" ca="1" si="3"/>
        <v/>
      </c>
      <c r="J8" s="83"/>
      <c r="K8" s="83"/>
      <c r="L8" s="83"/>
      <c r="M8" s="83"/>
      <c r="N8" s="83"/>
      <c r="O8" s="83"/>
      <c r="P8" s="83"/>
      <c r="Q8" s="83"/>
      <c r="R8" s="83"/>
      <c r="S8" s="83"/>
      <c r="T8" s="81"/>
      <c r="U8" s="81"/>
      <c r="V8" s="81"/>
      <c r="W8" s="81"/>
      <c r="X8" s="81"/>
      <c r="Y8" s="81"/>
      <c r="Z8" s="81"/>
      <c r="AA8" s="81"/>
      <c r="AB8" s="81"/>
      <c r="AC8" s="81"/>
      <c r="AD8" s="81"/>
      <c r="AE8" s="81"/>
    </row>
    <row r="9" spans="1:31" ht="17.399999999999999" customHeight="1" x14ac:dyDescent="0.4">
      <c r="A9" s="113"/>
      <c r="B9" s="114"/>
      <c r="C9" s="115"/>
      <c r="D9" s="83"/>
      <c r="E9" s="88" t="str">
        <f>IFERROR(IF(INDEX(LKLS!$3:$3,1,1+3*(ROWS($A$1:A7)-1))=0,"",INDEX(LKLS!$3:$3,1,1+3*(ROWS($A$1:A7)-1))),"")</f>
        <v/>
      </c>
      <c r="F9" s="96" t="str">
        <f t="shared" ca="1" si="0"/>
        <v/>
      </c>
      <c r="G9" s="96" t="str">
        <f t="shared" ca="1" si="1"/>
        <v/>
      </c>
      <c r="H9" s="96" t="str">
        <f t="shared" ca="1" si="2"/>
        <v/>
      </c>
      <c r="I9" s="83" t="str">
        <f t="shared" ca="1" si="3"/>
        <v/>
      </c>
      <c r="J9" s="83"/>
      <c r="K9" s="83"/>
      <c r="L9" s="83"/>
      <c r="M9" s="83"/>
      <c r="N9" s="83"/>
      <c r="O9" s="83"/>
      <c r="P9" s="83"/>
      <c r="Q9" s="83"/>
      <c r="R9" s="83"/>
      <c r="S9" s="83"/>
      <c r="T9" s="81"/>
      <c r="U9" s="81"/>
      <c r="V9" s="81"/>
      <c r="W9" s="81"/>
      <c r="X9" s="81"/>
      <c r="Y9" s="81"/>
      <c r="Z9" s="81"/>
      <c r="AA9" s="81"/>
      <c r="AB9" s="81"/>
      <c r="AC9" s="81"/>
      <c r="AD9" s="81"/>
      <c r="AE9" s="81"/>
    </row>
    <row r="10" spans="1:31" ht="18" customHeight="1" x14ac:dyDescent="0.4">
      <c r="A10" s="113"/>
      <c r="B10" s="114"/>
      <c r="C10" s="115"/>
      <c r="D10" s="83"/>
      <c r="E10" s="88" t="str">
        <f>IFERROR(IF(INDEX(LKLS!$3:$3,1,1+3*(ROWS($A$1:A8)-1))=0,"",INDEX(LKLS!$3:$3,1,1+3*(ROWS($A$1:A8)-1))),"")</f>
        <v/>
      </c>
      <c r="F10" s="96" t="str">
        <f t="shared" ca="1" si="0"/>
        <v/>
      </c>
      <c r="G10" s="96" t="str">
        <f t="shared" ca="1" si="1"/>
        <v/>
      </c>
      <c r="H10" s="96" t="str">
        <f t="shared" ca="1" si="2"/>
        <v/>
      </c>
      <c r="I10" s="83" t="str">
        <f t="shared" ca="1" si="3"/>
        <v/>
      </c>
      <c r="J10" s="83"/>
      <c r="K10" s="83"/>
      <c r="L10" s="83"/>
      <c r="M10" s="83"/>
      <c r="N10" s="83"/>
      <c r="O10" s="83"/>
      <c r="P10" s="83"/>
      <c r="Q10" s="83"/>
      <c r="R10" s="83"/>
      <c r="S10" s="83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</row>
    <row r="11" spans="1:31" ht="18" customHeight="1" x14ac:dyDescent="0.4">
      <c r="A11" s="113"/>
      <c r="B11" s="114"/>
      <c r="C11" s="115"/>
      <c r="D11" s="83"/>
      <c r="E11" s="88" t="str">
        <f>IFERROR(IF(INDEX(LKLS!$3:$3,1,1+3*(ROWS($A$1:A9)-1))=0,"",INDEX(LKLS!$3:$3,1,1+3*(ROWS($A$1:A9)-1))),"")</f>
        <v/>
      </c>
      <c r="F11" s="96" t="str">
        <f t="shared" ca="1" si="0"/>
        <v/>
      </c>
      <c r="G11" s="96" t="str">
        <f t="shared" ca="1" si="1"/>
        <v/>
      </c>
      <c r="H11" s="96" t="str">
        <f t="shared" ca="1" si="2"/>
        <v/>
      </c>
      <c r="I11" s="83" t="str">
        <f t="shared" ca="1" si="3"/>
        <v/>
      </c>
      <c r="J11" s="83"/>
      <c r="K11" s="83"/>
      <c r="L11" s="83"/>
      <c r="M11" s="83"/>
      <c r="N11" s="83"/>
      <c r="O11" s="83"/>
      <c r="P11" s="83"/>
      <c r="Q11" s="83"/>
      <c r="R11" s="83"/>
      <c r="S11" s="83"/>
      <c r="T11" s="81"/>
      <c r="U11" s="81"/>
      <c r="V11" s="81"/>
      <c r="W11" s="81"/>
      <c r="X11" s="81"/>
      <c r="Y11" s="81"/>
      <c r="Z11" s="81"/>
      <c r="AA11" s="81"/>
      <c r="AB11" s="81"/>
      <c r="AC11" s="81"/>
      <c r="AD11" s="81"/>
      <c r="AE11" s="81"/>
    </row>
    <row r="12" spans="1:31" ht="16.8" customHeight="1" x14ac:dyDescent="0.4">
      <c r="A12" s="113"/>
      <c r="B12" s="114"/>
      <c r="C12" s="115"/>
      <c r="D12" s="83"/>
      <c r="E12" s="88" t="str">
        <f>IFERROR(IF(INDEX(LKLS!$3:$3,1,1+3*(ROWS($A$1:A10)-1))=0,"",INDEX(LKLS!$3:$3,1,1+3*(ROWS($A$1:A10)-1))),"")</f>
        <v/>
      </c>
      <c r="F12" s="96" t="str">
        <f t="shared" ca="1" si="0"/>
        <v/>
      </c>
      <c r="G12" s="96" t="str">
        <f t="shared" ca="1" si="1"/>
        <v/>
      </c>
      <c r="H12" s="96" t="str">
        <f t="shared" ca="1" si="2"/>
        <v/>
      </c>
      <c r="I12" s="83" t="str">
        <f t="shared" ca="1" si="3"/>
        <v/>
      </c>
      <c r="J12" s="83"/>
      <c r="K12" s="83"/>
      <c r="L12" s="83"/>
      <c r="M12" s="83"/>
      <c r="N12" s="83"/>
      <c r="O12" s="83"/>
      <c r="P12" s="83"/>
      <c r="Q12" s="83"/>
      <c r="R12" s="83"/>
      <c r="S12" s="83"/>
      <c r="T12" s="81"/>
      <c r="U12" s="81"/>
      <c r="V12" s="81"/>
      <c r="W12" s="81"/>
      <c r="X12" s="81"/>
      <c r="Y12" s="81"/>
      <c r="Z12" s="81"/>
      <c r="AA12" s="81"/>
      <c r="AB12" s="81"/>
      <c r="AC12" s="81"/>
      <c r="AD12" s="81"/>
      <c r="AE12" s="81"/>
    </row>
    <row r="13" spans="1:31" ht="15" hidden="1" customHeight="1" thickBot="1" x14ac:dyDescent="0.45">
      <c r="A13" s="113"/>
      <c r="B13" s="114"/>
      <c r="C13" s="115"/>
      <c r="D13" s="83"/>
      <c r="E13" s="88" t="str">
        <f>IFERROR(IF(INDEX(LKLS!$3:$3,1,1+3*(ROWS($A$1:A11)-1))=0,"",INDEX(LKLS!$3:$3,1,1+3*(ROWS($A$1:A11)-1))),"")</f>
        <v/>
      </c>
      <c r="F13" s="96" t="str">
        <f t="shared" ca="1" si="0"/>
        <v/>
      </c>
      <c r="G13" s="96" t="str">
        <f t="shared" ca="1" si="1"/>
        <v/>
      </c>
      <c r="H13" s="96" t="str">
        <f t="shared" ca="1" si="2"/>
        <v/>
      </c>
      <c r="I13" s="83" t="str">
        <f t="shared" ca="1" si="3"/>
        <v/>
      </c>
      <c r="J13" s="83"/>
      <c r="K13" s="83"/>
      <c r="L13" s="83"/>
      <c r="M13" s="83"/>
      <c r="N13" s="83"/>
      <c r="O13" s="83"/>
      <c r="P13" s="83"/>
      <c r="Q13" s="83"/>
      <c r="R13" s="83"/>
      <c r="S13" s="83"/>
      <c r="T13" s="81"/>
      <c r="U13" s="81"/>
      <c r="V13" s="81"/>
      <c r="W13" s="81"/>
      <c r="X13" s="81"/>
      <c r="Y13" s="81"/>
      <c r="Z13" s="81"/>
      <c r="AA13" s="81"/>
      <c r="AB13" s="81"/>
      <c r="AC13" s="81"/>
      <c r="AD13" s="81"/>
      <c r="AE13" s="81"/>
    </row>
    <row r="14" spans="1:31" ht="17.399999999999999" customHeight="1" x14ac:dyDescent="0.4">
      <c r="A14" s="123" t="s">
        <v>71</v>
      </c>
      <c r="B14" s="125" t="s">
        <v>72</v>
      </c>
      <c r="C14" s="127" t="s">
        <v>73</v>
      </c>
      <c r="D14" s="83"/>
      <c r="E14" s="88" t="str">
        <f>IFERROR(IF(INDEX(LKLS!$3:$3,1,1+3*(ROWS($A$1:A12)-1))=0,"",INDEX(LKLS!$3:$3,1,1+3*(ROWS($A$1:A12)-1))),"")</f>
        <v/>
      </c>
      <c r="F14" s="96" t="str">
        <f t="shared" ca="1" si="0"/>
        <v/>
      </c>
      <c r="G14" s="96" t="str">
        <f t="shared" ca="1" si="1"/>
        <v/>
      </c>
      <c r="H14" s="96" t="str">
        <f t="shared" ca="1" si="2"/>
        <v/>
      </c>
      <c r="I14" s="83" t="str">
        <f t="shared" ca="1" si="3"/>
        <v/>
      </c>
      <c r="J14" s="83"/>
      <c r="K14" s="83"/>
      <c r="L14" s="83"/>
      <c r="M14" s="83"/>
      <c r="N14" s="83"/>
      <c r="O14" s="83"/>
      <c r="P14" s="83"/>
      <c r="Q14" s="83"/>
      <c r="R14" s="83"/>
      <c r="S14" s="83"/>
      <c r="T14" s="81"/>
      <c r="U14" s="81"/>
      <c r="V14" s="81"/>
      <c r="W14" s="81"/>
      <c r="X14" s="81"/>
      <c r="Y14" s="81"/>
      <c r="Z14" s="81"/>
      <c r="AA14" s="81"/>
      <c r="AB14" s="81"/>
      <c r="AC14" s="81"/>
      <c r="AD14" s="81"/>
      <c r="AE14" s="81"/>
    </row>
    <row r="15" spans="1:31" x14ac:dyDescent="0.4">
      <c r="A15" s="124"/>
      <c r="B15" s="126"/>
      <c r="C15" s="128"/>
      <c r="D15" s="83"/>
      <c r="E15" s="88" t="str">
        <f>IFERROR(IF(INDEX(LKLS!$3:$3,1,1+3*(ROWS($A$1:A13)-1))=0,"",INDEX(LKLS!$3:$3,1,1+3*(ROWS($A$1:A13)-1))),"")</f>
        <v/>
      </c>
      <c r="F15" s="96" t="str">
        <f t="shared" ca="1" si="0"/>
        <v/>
      </c>
      <c r="G15" s="96" t="str">
        <f t="shared" ca="1" si="1"/>
        <v/>
      </c>
      <c r="H15" s="96" t="str">
        <f t="shared" ca="1" si="2"/>
        <v/>
      </c>
      <c r="I15" s="83" t="str">
        <f t="shared" ca="1" si="3"/>
        <v/>
      </c>
      <c r="J15" s="83"/>
      <c r="K15" s="83"/>
      <c r="L15" s="83"/>
      <c r="M15" s="83"/>
      <c r="N15" s="83"/>
      <c r="O15" s="83"/>
      <c r="P15" s="83"/>
      <c r="Q15" s="83"/>
      <c r="R15" s="83"/>
      <c r="S15" s="83"/>
      <c r="T15" s="81"/>
      <c r="U15" s="81"/>
      <c r="V15" s="81"/>
      <c r="W15" s="81"/>
      <c r="X15" s="81"/>
      <c r="Y15" s="81"/>
      <c r="Z15" s="81"/>
      <c r="AA15" s="81"/>
      <c r="AB15" s="81"/>
      <c r="AC15" s="81"/>
      <c r="AD15" s="81"/>
      <c r="AE15" s="81"/>
    </row>
    <row r="16" spans="1:31" x14ac:dyDescent="0.4">
      <c r="A16" s="124"/>
      <c r="B16" s="126"/>
      <c r="C16" s="128"/>
      <c r="D16" s="83"/>
      <c r="E16" s="88" t="str">
        <f>IFERROR(IF(INDEX(LKLS!$3:$3,1,1+3*(ROWS($A$1:A14)-1))=0,"",INDEX(LKLS!$3:$3,1,1+3*(ROWS($A$1:A14)-1))),"")</f>
        <v/>
      </c>
      <c r="F16" s="96" t="str">
        <f t="shared" ca="1" si="0"/>
        <v/>
      </c>
      <c r="G16" s="96" t="str">
        <f t="shared" ca="1" si="1"/>
        <v/>
      </c>
      <c r="H16" s="96" t="str">
        <f t="shared" ca="1" si="2"/>
        <v/>
      </c>
      <c r="I16" s="83" t="str">
        <f t="shared" ca="1" si="3"/>
        <v/>
      </c>
      <c r="J16" s="83"/>
      <c r="K16" s="83"/>
      <c r="L16" s="83"/>
      <c r="M16" s="83"/>
      <c r="N16" s="83"/>
      <c r="O16" s="83"/>
      <c r="P16" s="83"/>
      <c r="Q16" s="83"/>
      <c r="R16" s="83"/>
      <c r="S16" s="83"/>
      <c r="T16" s="81"/>
      <c r="U16" s="81"/>
      <c r="V16" s="81"/>
      <c r="W16" s="81"/>
      <c r="X16" s="81"/>
      <c r="Y16" s="81"/>
      <c r="Z16" s="81"/>
      <c r="AA16" s="81"/>
      <c r="AB16" s="81"/>
      <c r="AC16" s="81"/>
      <c r="AD16" s="81"/>
      <c r="AE16" s="81"/>
    </row>
    <row r="17" spans="1:31" ht="18.600000000000001" customHeight="1" x14ac:dyDescent="0.4">
      <c r="A17" s="93"/>
      <c r="B17" s="86"/>
      <c r="C17" s="94"/>
      <c r="D17" s="83"/>
      <c r="E17" s="88" t="str">
        <f>IFERROR(IF(INDEX(LKLS!$3:$3,1,1+3*(ROWS($A$1:A15)-1))=0,"",INDEX(LKLS!$3:$3,1,1+3*(ROWS($A$1:A15)-1))),"")</f>
        <v/>
      </c>
      <c r="F17" s="96" t="str">
        <f t="shared" ca="1" si="0"/>
        <v/>
      </c>
      <c r="G17" s="96" t="str">
        <f t="shared" ca="1" si="1"/>
        <v/>
      </c>
      <c r="H17" s="96" t="str">
        <f t="shared" ca="1" si="2"/>
        <v/>
      </c>
      <c r="I17" s="83" t="str">
        <f t="shared" ca="1" si="3"/>
        <v/>
      </c>
      <c r="J17" s="83"/>
      <c r="K17" s="83"/>
      <c r="L17" s="83"/>
      <c r="M17" s="83"/>
      <c r="N17" s="83"/>
      <c r="O17" s="83"/>
      <c r="P17" s="83"/>
      <c r="Q17" s="83"/>
      <c r="R17" s="83"/>
      <c r="S17" s="83"/>
      <c r="T17" s="81"/>
      <c r="U17" s="81"/>
      <c r="V17" s="81"/>
      <c r="W17" s="81"/>
      <c r="X17" s="81"/>
      <c r="Y17" s="81"/>
      <c r="Z17" s="81"/>
      <c r="AA17" s="81"/>
      <c r="AB17" s="81"/>
      <c r="AC17" s="81"/>
      <c r="AD17" s="81"/>
      <c r="AE17" s="81"/>
    </row>
    <row r="18" spans="1:31" ht="15.6" customHeight="1" x14ac:dyDescent="0.4">
      <c r="A18" s="116" t="s">
        <v>75</v>
      </c>
      <c r="B18" s="117"/>
      <c r="C18" s="118"/>
      <c r="D18" s="83"/>
      <c r="E18" s="88" t="str">
        <f>IFERROR(IF(INDEX(LKLS!$3:$3,1,1+3*(ROWS($A$1:A16)-1))=0,"",INDEX(LKLS!$3:$3,1,1+3*(ROWS($A$1:A16)-1))),"")</f>
        <v/>
      </c>
      <c r="F18" s="96" t="str">
        <f t="shared" ca="1" si="0"/>
        <v/>
      </c>
      <c r="G18" s="96" t="str">
        <f t="shared" ca="1" si="1"/>
        <v/>
      </c>
      <c r="H18" s="96" t="str">
        <f t="shared" ca="1" si="2"/>
        <v/>
      </c>
      <c r="I18" s="83" t="str">
        <f t="shared" ca="1" si="3"/>
        <v/>
      </c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1"/>
      <c r="U18" s="81"/>
      <c r="V18" s="81"/>
      <c r="W18" s="81"/>
      <c r="X18" s="81"/>
      <c r="Y18" s="81"/>
      <c r="Z18" s="81"/>
      <c r="AA18" s="81"/>
      <c r="AB18" s="81"/>
      <c r="AC18" s="81"/>
      <c r="AD18" s="81"/>
      <c r="AE18" s="81"/>
    </row>
    <row r="19" spans="1:31" ht="16.8" customHeight="1" x14ac:dyDescent="0.4">
      <c r="A19" s="116"/>
      <c r="B19" s="117"/>
      <c r="C19" s="118"/>
      <c r="D19" s="83"/>
      <c r="E19" s="88" t="str">
        <f>IFERROR(IF(INDEX(LKLS!$3:$3,1,1+3*(ROWS($A$1:A17)-1))=0,"",INDEX(LKLS!$3:$3,1,1+3*(ROWS($A$1:A17)-1))),"")</f>
        <v/>
      </c>
      <c r="F19" s="96" t="str">
        <f t="shared" ca="1" si="0"/>
        <v/>
      </c>
      <c r="G19" s="96" t="str">
        <f t="shared" ca="1" si="1"/>
        <v/>
      </c>
      <c r="H19" s="96" t="str">
        <f t="shared" ca="1" si="2"/>
        <v/>
      </c>
      <c r="I19" s="83" t="str">
        <f t="shared" ca="1" si="3"/>
        <v/>
      </c>
      <c r="J19" s="83"/>
      <c r="K19" s="83"/>
      <c r="L19" s="83"/>
      <c r="M19" s="83"/>
      <c r="N19" s="83"/>
      <c r="O19" s="83"/>
      <c r="P19" s="83"/>
      <c r="Q19" s="83"/>
      <c r="R19" s="83"/>
      <c r="S19" s="83"/>
      <c r="T19" s="81"/>
      <c r="U19" s="81"/>
      <c r="V19" s="81"/>
      <c r="W19" s="81"/>
      <c r="X19" s="81"/>
      <c r="Y19" s="81"/>
      <c r="Z19" s="81"/>
      <c r="AA19" s="81"/>
      <c r="AB19" s="81"/>
      <c r="AC19" s="81"/>
      <c r="AD19" s="81"/>
      <c r="AE19" s="81"/>
    </row>
    <row r="20" spans="1:31" ht="18" customHeight="1" thickBot="1" x14ac:dyDescent="0.45">
      <c r="A20" s="119"/>
      <c r="B20" s="120"/>
      <c r="C20" s="121"/>
      <c r="D20" s="83"/>
      <c r="E20" s="88" t="str">
        <f>IFERROR(IF(INDEX(LKLS!$3:$3,1,1+3*(ROWS($A$1:A18)-1))=0,"",INDEX(LKLS!$3:$3,1,1+3*(ROWS($A$1:A18)-1))),"")</f>
        <v/>
      </c>
      <c r="F20" s="96" t="str">
        <f t="shared" ca="1" si="0"/>
        <v/>
      </c>
      <c r="G20" s="96" t="str">
        <f t="shared" ca="1" si="1"/>
        <v/>
      </c>
      <c r="H20" s="96" t="str">
        <f t="shared" ca="1" si="2"/>
        <v/>
      </c>
      <c r="I20" s="83" t="str">
        <f t="shared" ca="1" si="3"/>
        <v/>
      </c>
      <c r="J20" s="83"/>
      <c r="K20" s="83"/>
      <c r="L20" s="83"/>
      <c r="M20" s="83"/>
      <c r="N20" s="83"/>
      <c r="O20" s="83"/>
      <c r="P20" s="83"/>
      <c r="Q20" s="83"/>
      <c r="R20" s="83"/>
      <c r="S20" s="83"/>
      <c r="T20" s="81"/>
      <c r="U20" s="81"/>
      <c r="V20" s="81"/>
      <c r="W20" s="81"/>
      <c r="X20" s="81"/>
      <c r="Y20" s="81"/>
      <c r="Z20" s="81"/>
      <c r="AA20" s="81"/>
      <c r="AB20" s="81"/>
      <c r="AC20" s="81"/>
      <c r="AD20" s="81"/>
      <c r="AE20" s="81"/>
    </row>
    <row r="21" spans="1:31" ht="17.399999999999999" thickTop="1" x14ac:dyDescent="0.4">
      <c r="A21" s="83"/>
      <c r="B21" s="83"/>
      <c r="C21" s="83"/>
      <c r="D21" s="83"/>
      <c r="E21" s="87" t="s">
        <v>16</v>
      </c>
      <c r="F21" s="89">
        <f ca="1">SUM(F3:F20)</f>
        <v>0</v>
      </c>
      <c r="G21" s="89">
        <f ca="1">SUM(G3:G20)</f>
        <v>0</v>
      </c>
      <c r="H21" s="89">
        <f ca="1">SUM(H3:H20)</f>
        <v>0</v>
      </c>
      <c r="I21" s="83"/>
      <c r="J21" s="83"/>
      <c r="K21" s="83"/>
      <c r="L21" s="83"/>
      <c r="M21" s="83"/>
      <c r="N21" s="83"/>
      <c r="O21" s="83"/>
      <c r="P21" s="83"/>
      <c r="Q21" s="83"/>
      <c r="R21" s="83"/>
      <c r="S21" s="83"/>
      <c r="T21" s="81"/>
      <c r="U21" s="81"/>
      <c r="V21" s="81"/>
      <c r="W21" s="81"/>
      <c r="X21" s="81"/>
      <c r="Y21" s="81"/>
      <c r="Z21" s="81"/>
      <c r="AA21" s="81"/>
      <c r="AB21" s="81"/>
      <c r="AC21" s="81"/>
      <c r="AD21" s="81"/>
      <c r="AE21" s="81"/>
    </row>
    <row r="22" spans="1:31" x14ac:dyDescent="0.4">
      <c r="A22" s="83"/>
      <c r="B22" s="83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3"/>
      <c r="P22" s="83"/>
      <c r="Q22" s="83"/>
      <c r="R22" s="83"/>
      <c r="S22" s="83"/>
      <c r="T22" s="81"/>
      <c r="U22" s="81"/>
      <c r="V22" s="81"/>
      <c r="W22" s="81"/>
      <c r="X22" s="81"/>
      <c r="Y22" s="81"/>
      <c r="Z22" s="81"/>
      <c r="AA22" s="81"/>
      <c r="AB22" s="81"/>
      <c r="AC22" s="81"/>
      <c r="AD22" s="81"/>
      <c r="AE22" s="81"/>
    </row>
    <row r="23" spans="1:31" x14ac:dyDescent="0.4">
      <c r="A23" s="83"/>
      <c r="B23" s="83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3"/>
      <c r="P23" s="83"/>
      <c r="Q23" s="83"/>
      <c r="R23" s="83"/>
      <c r="S23" s="83"/>
      <c r="T23" s="81"/>
      <c r="U23" s="81"/>
      <c r="V23" s="81"/>
      <c r="W23" s="81"/>
      <c r="X23" s="81"/>
      <c r="Y23" s="81"/>
      <c r="Z23" s="81"/>
      <c r="AA23" s="81"/>
      <c r="AB23" s="81"/>
      <c r="AC23" s="81"/>
      <c r="AD23" s="81"/>
      <c r="AE23" s="81"/>
    </row>
    <row r="24" spans="1:31" x14ac:dyDescent="0.4">
      <c r="A24" s="83"/>
      <c r="B24" s="83"/>
      <c r="C24" s="83"/>
      <c r="D24" s="83"/>
      <c r="E24" s="83"/>
      <c r="F24" s="83"/>
      <c r="G24" s="83"/>
      <c r="H24" s="83"/>
      <c r="I24" s="83"/>
      <c r="J24" s="83"/>
      <c r="K24" s="83"/>
      <c r="L24" s="83"/>
      <c r="M24" s="83"/>
      <c r="N24" s="83"/>
      <c r="O24" s="83"/>
      <c r="P24" s="83"/>
      <c r="Q24" s="83"/>
      <c r="R24" s="83"/>
      <c r="S24" s="83"/>
      <c r="T24" s="83"/>
      <c r="U24" s="83"/>
      <c r="V24" s="83"/>
      <c r="W24" s="83"/>
      <c r="X24" s="83"/>
      <c r="Y24" s="83"/>
      <c r="Z24" s="83"/>
      <c r="AA24" s="83"/>
      <c r="AB24" s="83"/>
      <c r="AC24" s="83"/>
      <c r="AD24" s="81"/>
      <c r="AE24" s="81"/>
    </row>
    <row r="25" spans="1:31" x14ac:dyDescent="0.4">
      <c r="A25" s="83"/>
      <c r="B25" s="83"/>
      <c r="C25" s="83"/>
      <c r="D25" s="83"/>
      <c r="E25" s="83"/>
      <c r="F25" s="83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  <c r="Y25" s="83"/>
      <c r="Z25" s="83"/>
      <c r="AA25" s="83"/>
      <c r="AB25" s="83"/>
      <c r="AC25" s="83"/>
      <c r="AD25" s="81"/>
      <c r="AE25" s="81"/>
    </row>
    <row r="26" spans="1:31" x14ac:dyDescent="0.4">
      <c r="A26" s="83"/>
      <c r="B26" s="83"/>
      <c r="C26" s="83"/>
      <c r="D26" s="83"/>
      <c r="E26" s="83"/>
      <c r="F26" s="83"/>
      <c r="G26" s="83"/>
      <c r="H26" s="83"/>
      <c r="I26" s="83"/>
      <c r="J26" s="83"/>
      <c r="K26" s="83"/>
      <c r="L26" s="83"/>
      <c r="M26" s="83"/>
      <c r="N26" s="83"/>
      <c r="O26" s="83"/>
      <c r="P26" s="83"/>
      <c r="Q26" s="83"/>
      <c r="R26" s="83"/>
      <c r="S26" s="83"/>
      <c r="T26" s="83"/>
      <c r="U26" s="83"/>
      <c r="V26" s="83"/>
      <c r="W26" s="83"/>
      <c r="X26" s="83"/>
      <c r="Y26" s="83"/>
      <c r="Z26" s="83"/>
      <c r="AA26" s="83"/>
      <c r="AB26" s="83"/>
      <c r="AC26" s="83"/>
      <c r="AD26" s="81"/>
      <c r="AE26" s="81"/>
    </row>
    <row r="27" spans="1:31" x14ac:dyDescent="0.4">
      <c r="A27" s="83"/>
      <c r="B27" s="83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1"/>
      <c r="AE27" s="81"/>
    </row>
    <row r="28" spans="1:31" x14ac:dyDescent="0.4">
      <c r="A28" s="83"/>
      <c r="B28" s="83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1"/>
      <c r="AE28" s="81"/>
    </row>
    <row r="29" spans="1:31" x14ac:dyDescent="0.4">
      <c r="A29" s="83"/>
      <c r="B29" s="83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1"/>
      <c r="AE29" s="81"/>
    </row>
    <row r="30" spans="1:31" x14ac:dyDescent="0.4">
      <c r="A30" s="83"/>
      <c r="B30" s="83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1"/>
      <c r="AE30" s="81"/>
    </row>
    <row r="31" spans="1:31" x14ac:dyDescent="0.4">
      <c r="A31" s="83"/>
      <c r="B31" s="83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1"/>
      <c r="AE31" s="81"/>
    </row>
    <row r="32" spans="1:31" x14ac:dyDescent="0.4">
      <c r="A32" s="83"/>
      <c r="B32" s="83"/>
      <c r="C32" s="83"/>
      <c r="D32" s="83"/>
      <c r="E32" s="83"/>
      <c r="F32" s="83"/>
      <c r="G32" s="83"/>
      <c r="H32" s="83"/>
      <c r="I32" s="83"/>
      <c r="J32" s="83"/>
      <c r="K32" s="83"/>
      <c r="L32" s="83"/>
      <c r="M32" s="83"/>
      <c r="N32" s="83"/>
      <c r="O32" s="83"/>
      <c r="P32" s="83"/>
      <c r="Q32" s="83"/>
      <c r="R32" s="83"/>
      <c r="S32" s="83"/>
      <c r="T32" s="83"/>
      <c r="U32" s="83"/>
      <c r="V32" s="83"/>
      <c r="W32" s="83"/>
      <c r="X32" s="83"/>
      <c r="Y32" s="83"/>
      <c r="Z32" s="83"/>
      <c r="AA32" s="83"/>
      <c r="AB32" s="83"/>
      <c r="AC32" s="83"/>
      <c r="AD32" s="81"/>
      <c r="AE32" s="81"/>
    </row>
    <row r="33" spans="1:31" x14ac:dyDescent="0.4">
      <c r="A33" s="83"/>
      <c r="B33" s="83"/>
      <c r="C33" s="83"/>
      <c r="D33" s="83"/>
      <c r="E33" s="83"/>
      <c r="F33" s="83"/>
      <c r="G33" s="83"/>
      <c r="H33" s="83"/>
      <c r="I33" s="83"/>
      <c r="J33" s="83"/>
      <c r="K33" s="83"/>
      <c r="L33" s="83"/>
      <c r="M33" s="83"/>
      <c r="N33" s="83"/>
      <c r="O33" s="83"/>
      <c r="P33" s="83"/>
      <c r="Q33" s="83"/>
      <c r="R33" s="83"/>
      <c r="S33" s="83"/>
      <c r="T33" s="83"/>
      <c r="U33" s="83"/>
      <c r="V33" s="83"/>
      <c r="W33" s="83"/>
      <c r="X33" s="83"/>
      <c r="Y33" s="83"/>
      <c r="Z33" s="83"/>
      <c r="AA33" s="83"/>
      <c r="AB33" s="83"/>
      <c r="AC33" s="83"/>
      <c r="AD33" s="81"/>
      <c r="AE33" s="81"/>
    </row>
    <row r="34" spans="1:31" x14ac:dyDescent="0.4">
      <c r="A34" s="83"/>
      <c r="B34" s="83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3"/>
      <c r="P34" s="83"/>
      <c r="Q34" s="83"/>
      <c r="R34" s="83"/>
      <c r="S34" s="83"/>
      <c r="T34" s="83"/>
      <c r="U34" s="83"/>
      <c r="V34" s="83"/>
      <c r="W34" s="83"/>
      <c r="X34" s="83"/>
      <c r="Y34" s="83"/>
      <c r="Z34" s="83"/>
      <c r="AA34" s="83"/>
      <c r="AB34" s="83"/>
      <c r="AC34" s="83"/>
      <c r="AD34" s="81"/>
      <c r="AE34" s="81"/>
    </row>
    <row r="35" spans="1:31" x14ac:dyDescent="0.4">
      <c r="A35" s="83"/>
      <c r="B35" s="83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3"/>
      <c r="P35" s="83"/>
      <c r="Q35" s="83"/>
      <c r="R35" s="83"/>
      <c r="S35" s="83"/>
      <c r="T35" s="83"/>
      <c r="U35" s="83"/>
      <c r="V35" s="83"/>
      <c r="W35" s="83"/>
      <c r="X35" s="83"/>
      <c r="Y35" s="83"/>
      <c r="Z35" s="83"/>
      <c r="AA35" s="83"/>
      <c r="AB35" s="83"/>
      <c r="AC35" s="83"/>
      <c r="AD35" s="81"/>
      <c r="AE35" s="81"/>
    </row>
    <row r="36" spans="1:31" x14ac:dyDescent="0.4">
      <c r="A36" s="83"/>
      <c r="B36" s="83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3"/>
      <c r="P36" s="83"/>
      <c r="Q36" s="83"/>
      <c r="R36" s="83"/>
      <c r="S36" s="83"/>
      <c r="T36" s="83"/>
      <c r="U36" s="83"/>
      <c r="V36" s="83"/>
      <c r="W36" s="83"/>
      <c r="X36" s="83"/>
      <c r="Y36" s="83"/>
      <c r="Z36" s="83"/>
      <c r="AA36" s="83"/>
      <c r="AB36" s="83"/>
      <c r="AC36" s="83"/>
      <c r="AD36" s="81"/>
      <c r="AE36" s="81"/>
    </row>
    <row r="37" spans="1:31" x14ac:dyDescent="0.4">
      <c r="A37" s="83"/>
      <c r="B37" s="83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3"/>
      <c r="P37" s="83"/>
      <c r="Q37" s="83"/>
      <c r="R37" s="83"/>
      <c r="S37" s="83"/>
      <c r="T37" s="83"/>
      <c r="U37" s="83"/>
      <c r="V37" s="83"/>
      <c r="W37" s="83"/>
      <c r="X37" s="83"/>
      <c r="Y37" s="83"/>
      <c r="Z37" s="83"/>
      <c r="AA37" s="83"/>
      <c r="AB37" s="83"/>
      <c r="AC37" s="83"/>
      <c r="AD37" s="81"/>
      <c r="AE37" s="81"/>
    </row>
    <row r="38" spans="1:31" x14ac:dyDescent="0.4">
      <c r="A38" s="83"/>
      <c r="B38" s="83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3"/>
      <c r="P38" s="83"/>
      <c r="Q38" s="83"/>
      <c r="R38" s="83"/>
      <c r="S38" s="83"/>
      <c r="T38" s="83"/>
      <c r="U38" s="83"/>
      <c r="V38" s="83"/>
      <c r="W38" s="83"/>
      <c r="X38" s="83"/>
      <c r="Y38" s="83"/>
      <c r="Z38" s="83"/>
      <c r="AA38" s="83"/>
      <c r="AB38" s="83"/>
      <c r="AC38" s="83"/>
      <c r="AD38" s="81"/>
      <c r="AE38" s="81"/>
    </row>
    <row r="39" spans="1:31" x14ac:dyDescent="0.4">
      <c r="A39" s="83"/>
      <c r="B39" s="83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1"/>
      <c r="AE39" s="81"/>
    </row>
    <row r="40" spans="1:31" x14ac:dyDescent="0.4">
      <c r="A40" s="83"/>
      <c r="B40" s="83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1"/>
      <c r="AE40" s="81"/>
    </row>
    <row r="41" spans="1:31" x14ac:dyDescent="0.4">
      <c r="A41" s="83"/>
      <c r="B41" s="83"/>
      <c r="C41" s="83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1"/>
      <c r="AE41" s="81"/>
    </row>
    <row r="42" spans="1:31" x14ac:dyDescent="0.4">
      <c r="A42" s="83"/>
      <c r="B42" s="83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</row>
    <row r="43" spans="1:31" x14ac:dyDescent="0.4">
      <c r="A43" s="83"/>
      <c r="B43" s="83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</row>
    <row r="44" spans="1:31" x14ac:dyDescent="0.4">
      <c r="A44" s="83"/>
      <c r="B44" s="83"/>
      <c r="C44" s="83"/>
      <c r="D44" s="83"/>
      <c r="E44" s="83"/>
      <c r="F44" s="83"/>
      <c r="G44" s="83"/>
      <c r="H44" s="83"/>
      <c r="I44" s="83"/>
      <c r="J44" s="83"/>
      <c r="K44" s="83"/>
      <c r="L44" s="83"/>
      <c r="M44" s="83"/>
      <c r="N44" s="83"/>
      <c r="O44" s="83"/>
      <c r="P44" s="83"/>
      <c r="Q44" s="83"/>
      <c r="R44" s="83"/>
      <c r="S44" s="83"/>
      <c r="T44" s="83"/>
      <c r="U44" s="83"/>
      <c r="V44" s="83"/>
      <c r="W44" s="83"/>
      <c r="X44" s="83"/>
      <c r="Y44" s="83"/>
      <c r="Z44" s="83"/>
      <c r="AA44" s="83"/>
      <c r="AB44" s="83"/>
      <c r="AC44" s="83"/>
    </row>
    <row r="45" spans="1:31" x14ac:dyDescent="0.4">
      <c r="A45" s="83"/>
      <c r="B45" s="83"/>
      <c r="C45" s="83"/>
      <c r="D45" s="83"/>
      <c r="E45" s="83"/>
      <c r="F45" s="83"/>
      <c r="G45" s="83"/>
      <c r="H45" s="83"/>
      <c r="I45" s="83"/>
      <c r="J45" s="83"/>
      <c r="K45" s="83"/>
      <c r="L45" s="83"/>
      <c r="M45" s="83"/>
      <c r="N45" s="83"/>
      <c r="O45" s="83"/>
      <c r="P45" s="83"/>
      <c r="Q45" s="83"/>
      <c r="R45" s="83"/>
      <c r="S45" s="83"/>
      <c r="T45" s="83"/>
      <c r="U45" s="83"/>
      <c r="V45" s="83"/>
      <c r="W45" s="83"/>
      <c r="X45" s="83"/>
      <c r="Y45" s="83"/>
      <c r="Z45" s="83"/>
      <c r="AA45" s="83"/>
      <c r="AB45" s="83"/>
      <c r="AC45" s="83"/>
    </row>
    <row r="46" spans="1:31" x14ac:dyDescent="0.4">
      <c r="A46" s="83"/>
      <c r="B46" s="83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3"/>
      <c r="P46" s="83"/>
      <c r="Q46" s="83"/>
      <c r="R46" s="83"/>
      <c r="S46" s="83"/>
      <c r="T46" s="83"/>
      <c r="U46" s="83"/>
      <c r="V46" s="83"/>
      <c r="W46" s="83"/>
      <c r="X46" s="83"/>
      <c r="Y46" s="83"/>
      <c r="Z46" s="83"/>
      <c r="AA46" s="83"/>
      <c r="AB46" s="83"/>
      <c r="AC46" s="83"/>
    </row>
    <row r="47" spans="1:31" x14ac:dyDescent="0.4">
      <c r="A47" s="83"/>
      <c r="B47" s="83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3"/>
      <c r="P47" s="83"/>
      <c r="Q47" s="83"/>
      <c r="R47" s="83"/>
      <c r="S47" s="83"/>
      <c r="T47" s="83"/>
      <c r="U47" s="83"/>
      <c r="V47" s="83"/>
      <c r="W47" s="83"/>
      <c r="X47" s="83"/>
      <c r="Y47" s="83"/>
      <c r="Z47" s="83"/>
      <c r="AA47" s="83"/>
      <c r="AB47" s="83"/>
      <c r="AC47" s="83"/>
    </row>
    <row r="48" spans="1:31" x14ac:dyDescent="0.4">
      <c r="A48" s="83"/>
      <c r="B48" s="83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3"/>
      <c r="P48" s="83"/>
      <c r="Q48" s="83"/>
      <c r="R48" s="83"/>
      <c r="S48" s="83"/>
      <c r="T48" s="83"/>
      <c r="U48" s="83"/>
      <c r="V48" s="83"/>
      <c r="W48" s="83"/>
      <c r="X48" s="83"/>
      <c r="Y48" s="83"/>
      <c r="Z48" s="83"/>
      <c r="AA48" s="83"/>
      <c r="AB48" s="83"/>
      <c r="AC48" s="83"/>
    </row>
    <row r="49" spans="1:29" x14ac:dyDescent="0.4">
      <c r="A49" s="83"/>
      <c r="B49" s="83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3"/>
      <c r="P49" s="83"/>
      <c r="Q49" s="83"/>
      <c r="R49" s="83"/>
      <c r="S49" s="83"/>
      <c r="T49" s="83"/>
      <c r="U49" s="83"/>
      <c r="V49" s="83"/>
      <c r="W49" s="83"/>
      <c r="X49" s="83"/>
      <c r="Y49" s="83"/>
      <c r="Z49" s="83"/>
      <c r="AA49" s="83"/>
      <c r="AB49" s="83"/>
      <c r="AC49" s="83"/>
    </row>
    <row r="50" spans="1:29" x14ac:dyDescent="0.4">
      <c r="A50" s="83"/>
      <c r="B50" s="83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3"/>
      <c r="P50" s="83"/>
      <c r="Q50" s="83"/>
      <c r="R50" s="83"/>
      <c r="S50" s="83"/>
      <c r="T50" s="83"/>
      <c r="U50" s="83"/>
      <c r="V50" s="83"/>
      <c r="W50" s="83"/>
      <c r="X50" s="83"/>
      <c r="Y50" s="83"/>
      <c r="Z50" s="83"/>
      <c r="AA50" s="83"/>
      <c r="AB50" s="83"/>
      <c r="AC50" s="83"/>
    </row>
    <row r="51" spans="1:29" x14ac:dyDescent="0.4">
      <c r="A51" s="83"/>
      <c r="B51" s="83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</row>
    <row r="52" spans="1:29" x14ac:dyDescent="0.4">
      <c r="A52" s="83"/>
      <c r="B52" s="83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</row>
    <row r="53" spans="1:29" x14ac:dyDescent="0.4">
      <c r="A53" s="83"/>
      <c r="B53" s="83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</row>
    <row r="54" spans="1:29" x14ac:dyDescent="0.4">
      <c r="A54" s="83"/>
      <c r="B54" s="83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</row>
    <row r="55" spans="1:29" x14ac:dyDescent="0.4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</row>
    <row r="56" spans="1:29" x14ac:dyDescent="0.4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  <c r="N56" s="83"/>
      <c r="O56" s="83"/>
      <c r="P56" s="83"/>
      <c r="Q56" s="83"/>
      <c r="R56" s="83"/>
      <c r="S56" s="83"/>
      <c r="T56" s="83"/>
      <c r="U56" s="83"/>
      <c r="V56" s="83"/>
      <c r="W56" s="83"/>
      <c r="X56" s="83"/>
      <c r="Y56" s="83"/>
      <c r="Z56" s="83"/>
      <c r="AA56" s="83"/>
      <c r="AB56" s="83"/>
      <c r="AC56" s="83"/>
    </row>
    <row r="57" spans="1:29" x14ac:dyDescent="0.4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  <c r="N57" s="83"/>
      <c r="O57" s="83"/>
      <c r="P57" s="83"/>
      <c r="Q57" s="83"/>
      <c r="R57" s="83"/>
      <c r="S57" s="83"/>
      <c r="T57" s="83"/>
      <c r="U57" s="83"/>
      <c r="V57" s="83"/>
      <c r="W57" s="83"/>
      <c r="X57" s="83"/>
      <c r="Y57" s="83"/>
      <c r="Z57" s="83"/>
      <c r="AA57" s="83"/>
      <c r="AB57" s="83"/>
      <c r="AC57" s="83"/>
    </row>
    <row r="58" spans="1:29" x14ac:dyDescent="0.4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3"/>
      <c r="P58" s="83"/>
      <c r="Q58" s="83"/>
      <c r="R58" s="83"/>
      <c r="S58" s="83"/>
      <c r="T58" s="83"/>
      <c r="U58" s="83"/>
      <c r="V58" s="83"/>
      <c r="W58" s="83"/>
      <c r="X58" s="83"/>
      <c r="Y58" s="83"/>
      <c r="Z58" s="83"/>
      <c r="AA58" s="83"/>
      <c r="AB58" s="83"/>
      <c r="AC58" s="83"/>
    </row>
    <row r="59" spans="1:29" x14ac:dyDescent="0.4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3"/>
      <c r="P59" s="83"/>
      <c r="Q59" s="83"/>
      <c r="R59" s="83"/>
      <c r="S59" s="83"/>
      <c r="T59" s="83"/>
      <c r="U59" s="83"/>
      <c r="V59" s="83"/>
      <c r="W59" s="83"/>
      <c r="X59" s="83"/>
      <c r="Y59" s="83"/>
      <c r="Z59" s="83"/>
      <c r="AA59" s="83"/>
      <c r="AB59" s="83"/>
      <c r="AC59" s="83"/>
    </row>
    <row r="60" spans="1:29" x14ac:dyDescent="0.4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3"/>
      <c r="P60" s="83"/>
      <c r="Q60" s="83"/>
      <c r="R60" s="83"/>
      <c r="S60" s="83"/>
      <c r="T60" s="83"/>
      <c r="U60" s="83"/>
      <c r="V60" s="83"/>
      <c r="W60" s="83"/>
      <c r="X60" s="83"/>
      <c r="Y60" s="83"/>
      <c r="Z60" s="83"/>
      <c r="AA60" s="83"/>
      <c r="AB60" s="83"/>
      <c r="AC60" s="83"/>
    </row>
    <row r="61" spans="1:29" x14ac:dyDescent="0.4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3"/>
      <c r="P61" s="83"/>
      <c r="Q61" s="83"/>
      <c r="R61" s="83"/>
      <c r="S61" s="83"/>
      <c r="T61" s="83"/>
      <c r="U61" s="83"/>
      <c r="V61" s="83"/>
      <c r="W61" s="83"/>
      <c r="X61" s="83"/>
      <c r="Y61" s="83"/>
      <c r="Z61" s="83"/>
      <c r="AA61" s="83"/>
      <c r="AB61" s="83"/>
      <c r="AC61" s="83"/>
    </row>
    <row r="62" spans="1:29" x14ac:dyDescent="0.4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3"/>
      <c r="P62" s="83"/>
      <c r="Q62" s="83"/>
      <c r="R62" s="83"/>
      <c r="S62" s="83"/>
      <c r="T62" s="83"/>
      <c r="U62" s="83"/>
      <c r="V62" s="83"/>
      <c r="W62" s="83"/>
      <c r="X62" s="83"/>
      <c r="Y62" s="83"/>
      <c r="Z62" s="83"/>
      <c r="AA62" s="83"/>
      <c r="AB62" s="83"/>
      <c r="AC62" s="83"/>
    </row>
    <row r="63" spans="1:29" x14ac:dyDescent="0.4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</row>
    <row r="64" spans="1:29" x14ac:dyDescent="0.4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</row>
    <row r="65" spans="1:29" x14ac:dyDescent="0.4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</row>
    <row r="66" spans="1:29" x14ac:dyDescent="0.4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</row>
    <row r="67" spans="1:29" x14ac:dyDescent="0.4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</row>
    <row r="68" spans="1:29" x14ac:dyDescent="0.4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  <c r="N68" s="83"/>
      <c r="O68" s="83"/>
      <c r="P68" s="83"/>
      <c r="Q68" s="83"/>
      <c r="R68" s="83"/>
      <c r="S68" s="83"/>
      <c r="T68" s="83"/>
      <c r="U68" s="83"/>
      <c r="V68" s="83"/>
      <c r="W68" s="83"/>
      <c r="X68" s="83"/>
      <c r="Y68" s="83"/>
      <c r="Z68" s="83"/>
      <c r="AA68" s="83"/>
      <c r="AB68" s="83"/>
      <c r="AC68" s="83"/>
    </row>
    <row r="69" spans="1:29" x14ac:dyDescent="0.4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  <c r="N69" s="83"/>
      <c r="O69" s="83"/>
      <c r="P69" s="83"/>
      <c r="Q69" s="83"/>
      <c r="R69" s="83"/>
      <c r="S69" s="83"/>
      <c r="T69" s="83"/>
      <c r="U69" s="83"/>
      <c r="V69" s="83"/>
      <c r="W69" s="83"/>
      <c r="X69" s="83"/>
      <c r="Y69" s="83"/>
      <c r="Z69" s="83"/>
      <c r="AA69" s="83"/>
      <c r="AB69" s="83"/>
      <c r="AC69" s="83"/>
    </row>
    <row r="70" spans="1:29" x14ac:dyDescent="0.4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3"/>
      <c r="P70" s="83"/>
      <c r="Q70" s="83"/>
      <c r="R70" s="83"/>
      <c r="S70" s="83"/>
      <c r="T70" s="83"/>
      <c r="U70" s="83"/>
      <c r="V70" s="83"/>
      <c r="W70" s="83"/>
      <c r="X70" s="83"/>
      <c r="Y70" s="83"/>
      <c r="Z70" s="83"/>
      <c r="AA70" s="83"/>
      <c r="AB70" s="83"/>
      <c r="AC70" s="83"/>
    </row>
    <row r="71" spans="1:29" x14ac:dyDescent="0.4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3"/>
      <c r="P71" s="83"/>
      <c r="Q71" s="83"/>
      <c r="R71" s="83"/>
      <c r="S71" s="83"/>
      <c r="T71" s="83"/>
      <c r="U71" s="83"/>
      <c r="V71" s="83"/>
      <c r="W71" s="83"/>
      <c r="X71" s="83"/>
      <c r="Y71" s="83"/>
      <c r="Z71" s="83"/>
      <c r="AA71" s="83"/>
      <c r="AB71" s="83"/>
      <c r="AC71" s="83"/>
    </row>
    <row r="72" spans="1:29" x14ac:dyDescent="0.4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3"/>
      <c r="P72" s="83"/>
      <c r="Q72" s="83"/>
      <c r="R72" s="83"/>
      <c r="S72" s="83"/>
      <c r="T72" s="83"/>
      <c r="U72" s="83"/>
      <c r="V72" s="83"/>
      <c r="W72" s="83"/>
      <c r="X72" s="83"/>
      <c r="Y72" s="83"/>
      <c r="Z72" s="83"/>
      <c r="AA72" s="83"/>
      <c r="AB72" s="83"/>
      <c r="AC72" s="83"/>
    </row>
    <row r="73" spans="1:29" x14ac:dyDescent="0.4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3"/>
      <c r="P73" s="83"/>
      <c r="Q73" s="83"/>
      <c r="R73" s="83"/>
      <c r="S73" s="83"/>
      <c r="T73" s="83"/>
      <c r="U73" s="83"/>
      <c r="V73" s="83"/>
      <c r="W73" s="83"/>
      <c r="X73" s="83"/>
      <c r="Y73" s="83"/>
      <c r="Z73" s="83"/>
      <c r="AA73" s="83"/>
      <c r="AB73" s="83"/>
      <c r="AC73" s="83"/>
    </row>
    <row r="74" spans="1:29" x14ac:dyDescent="0.4">
      <c r="A74" s="83"/>
      <c r="B74" s="83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3"/>
      <c r="P74" s="83"/>
      <c r="Q74" s="83"/>
      <c r="R74" s="83"/>
      <c r="S74" s="83"/>
      <c r="T74" s="83"/>
      <c r="U74" s="83"/>
      <c r="V74" s="83"/>
      <c r="W74" s="83"/>
      <c r="X74" s="83"/>
      <c r="Y74" s="83"/>
      <c r="Z74" s="83"/>
      <c r="AA74" s="83"/>
      <c r="AB74" s="83"/>
      <c r="AC74" s="83"/>
    </row>
    <row r="75" spans="1:29" x14ac:dyDescent="0.4">
      <c r="A75" s="83"/>
      <c r="B75" s="83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</row>
    <row r="76" spans="1:29" x14ac:dyDescent="0.4">
      <c r="A76" s="83"/>
      <c r="B76" s="83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</row>
    <row r="77" spans="1:29" x14ac:dyDescent="0.4">
      <c r="A77" s="83"/>
      <c r="B77" s="83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</row>
    <row r="78" spans="1:29" x14ac:dyDescent="0.4">
      <c r="A78" s="83"/>
      <c r="B78" s="83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</row>
    <row r="79" spans="1:29" x14ac:dyDescent="0.4">
      <c r="A79" s="83"/>
      <c r="B79" s="83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</row>
    <row r="80" spans="1:29" x14ac:dyDescent="0.4">
      <c r="A80" s="83"/>
      <c r="B80" s="83"/>
      <c r="C80" s="83"/>
      <c r="D80" s="83"/>
      <c r="E80" s="83"/>
      <c r="F80" s="83"/>
      <c r="G80" s="83"/>
      <c r="H80" s="83"/>
      <c r="I80" s="83"/>
      <c r="J80" s="83"/>
      <c r="K80" s="83"/>
      <c r="L80" s="83"/>
      <c r="M80" s="83"/>
      <c r="N80" s="83"/>
      <c r="O80" s="83"/>
      <c r="P80" s="83"/>
      <c r="Q80" s="83"/>
      <c r="R80" s="83"/>
      <c r="S80" s="83"/>
      <c r="T80" s="83"/>
      <c r="U80" s="83"/>
      <c r="V80" s="83"/>
      <c r="W80" s="83"/>
      <c r="X80" s="83"/>
      <c r="Y80" s="83"/>
      <c r="Z80" s="83"/>
      <c r="AA80" s="83"/>
      <c r="AB80" s="83"/>
      <c r="AC80" s="83"/>
    </row>
    <row r="81" spans="1:29" x14ac:dyDescent="0.4">
      <c r="A81" s="83"/>
      <c r="B81" s="83"/>
      <c r="C81" s="83"/>
      <c r="D81" s="83"/>
      <c r="E81" s="83"/>
      <c r="F81" s="83"/>
      <c r="G81" s="83"/>
      <c r="H81" s="83"/>
      <c r="I81" s="83"/>
      <c r="J81" s="83"/>
      <c r="K81" s="83"/>
      <c r="L81" s="83"/>
      <c r="M81" s="83"/>
      <c r="N81" s="83"/>
      <c r="O81" s="83"/>
      <c r="P81" s="83"/>
      <c r="Q81" s="83"/>
      <c r="R81" s="83"/>
      <c r="S81" s="83"/>
      <c r="T81" s="83"/>
      <c r="U81" s="83"/>
      <c r="V81" s="83"/>
      <c r="W81" s="83"/>
      <c r="X81" s="83"/>
      <c r="Y81" s="83"/>
      <c r="Z81" s="83"/>
      <c r="AA81" s="83"/>
      <c r="AB81" s="83"/>
      <c r="AC81" s="83"/>
    </row>
    <row r="82" spans="1:29" x14ac:dyDescent="0.4">
      <c r="A82" s="83"/>
      <c r="B82" s="83"/>
      <c r="C82" s="83"/>
      <c r="D82" s="83"/>
      <c r="E82" s="83"/>
      <c r="F82" s="83"/>
      <c r="G82" s="83"/>
      <c r="H82" s="83"/>
      <c r="I82" s="83"/>
      <c r="J82" s="83"/>
      <c r="K82" s="83"/>
      <c r="L82" s="83"/>
      <c r="M82" s="83"/>
      <c r="N82" s="83"/>
      <c r="O82" s="83"/>
      <c r="P82" s="83"/>
      <c r="Q82" s="83"/>
      <c r="R82" s="83"/>
      <c r="S82" s="83"/>
      <c r="T82" s="83"/>
      <c r="U82" s="83"/>
      <c r="V82" s="83"/>
      <c r="W82" s="83"/>
      <c r="X82" s="83"/>
      <c r="Y82" s="83"/>
      <c r="Z82" s="83"/>
      <c r="AA82" s="83"/>
      <c r="AB82" s="83"/>
      <c r="AC82" s="83"/>
    </row>
    <row r="83" spans="1:29" x14ac:dyDescent="0.4">
      <c r="A83" s="83"/>
      <c r="B83" s="83"/>
      <c r="C83" s="83"/>
      <c r="D83" s="83"/>
      <c r="E83" s="83"/>
      <c r="F83" s="83"/>
      <c r="G83" s="83"/>
      <c r="H83" s="83"/>
      <c r="I83" s="83"/>
      <c r="J83" s="83"/>
      <c r="K83" s="83"/>
      <c r="L83" s="83"/>
      <c r="M83" s="83"/>
      <c r="N83" s="83"/>
      <c r="O83" s="83"/>
      <c r="P83" s="83"/>
      <c r="Q83" s="83"/>
      <c r="R83" s="83"/>
      <c r="S83" s="83"/>
      <c r="T83" s="83"/>
      <c r="U83" s="83"/>
      <c r="V83" s="83"/>
      <c r="W83" s="83"/>
      <c r="X83" s="83"/>
      <c r="Y83" s="83"/>
      <c r="Z83" s="83"/>
      <c r="AA83" s="83"/>
      <c r="AB83" s="83"/>
      <c r="AC83" s="83"/>
    </row>
    <row r="84" spans="1:29" x14ac:dyDescent="0.4">
      <c r="A84" s="83"/>
      <c r="B84" s="83"/>
      <c r="C84" s="83"/>
      <c r="D84" s="83"/>
      <c r="E84" s="83"/>
      <c r="F84" s="83"/>
      <c r="G84" s="83"/>
      <c r="H84" s="83"/>
      <c r="I84" s="83"/>
      <c r="J84" s="83"/>
      <c r="K84" s="83"/>
      <c r="L84" s="83"/>
      <c r="M84" s="83"/>
      <c r="N84" s="83"/>
      <c r="O84" s="83"/>
      <c r="P84" s="83"/>
      <c r="Q84" s="83"/>
      <c r="R84" s="83"/>
      <c r="S84" s="83"/>
      <c r="T84" s="83"/>
      <c r="U84" s="83"/>
      <c r="V84" s="83"/>
      <c r="W84" s="83"/>
      <c r="X84" s="83"/>
      <c r="Y84" s="83"/>
      <c r="Z84" s="83"/>
      <c r="AA84" s="83"/>
      <c r="AB84" s="83"/>
      <c r="AC84" s="83"/>
    </row>
    <row r="85" spans="1:29" x14ac:dyDescent="0.4">
      <c r="A85" s="83"/>
      <c r="B85" s="83"/>
      <c r="C85" s="83"/>
      <c r="D85" s="83"/>
      <c r="E85" s="83"/>
      <c r="F85" s="83"/>
      <c r="G85" s="83"/>
      <c r="H85" s="83"/>
      <c r="I85" s="83"/>
      <c r="J85" s="83"/>
      <c r="K85" s="83"/>
      <c r="L85" s="83"/>
      <c r="M85" s="83"/>
      <c r="N85" s="83"/>
      <c r="O85" s="83"/>
      <c r="P85" s="83"/>
      <c r="Q85" s="83"/>
      <c r="R85" s="83"/>
      <c r="S85" s="83"/>
      <c r="T85" s="83"/>
      <c r="U85" s="83"/>
      <c r="V85" s="83"/>
      <c r="W85" s="83"/>
      <c r="X85" s="83"/>
      <c r="Y85" s="83"/>
      <c r="Z85" s="83"/>
      <c r="AA85" s="83"/>
      <c r="AB85" s="83"/>
      <c r="AC85" s="83"/>
    </row>
    <row r="86" spans="1:29" x14ac:dyDescent="0.4">
      <c r="A86" s="83"/>
      <c r="B86" s="83"/>
      <c r="C86" s="83"/>
      <c r="D86" s="83"/>
      <c r="E86" s="83"/>
      <c r="F86" s="83"/>
      <c r="G86" s="83"/>
      <c r="H86" s="83"/>
      <c r="I86" s="83"/>
      <c r="J86" s="83"/>
      <c r="K86" s="83"/>
      <c r="L86" s="83"/>
      <c r="M86" s="83"/>
      <c r="N86" s="83"/>
      <c r="O86" s="83"/>
      <c r="P86" s="83"/>
      <c r="Q86" s="83"/>
      <c r="R86" s="83"/>
      <c r="S86" s="83"/>
      <c r="T86" s="83"/>
      <c r="U86" s="83"/>
      <c r="V86" s="83"/>
      <c r="W86" s="83"/>
      <c r="X86" s="83"/>
      <c r="Y86" s="83"/>
      <c r="Z86" s="83"/>
      <c r="AA86" s="83"/>
      <c r="AB86" s="83"/>
      <c r="AC86" s="83"/>
    </row>
    <row r="87" spans="1:29" x14ac:dyDescent="0.4">
      <c r="A87" s="83"/>
      <c r="B87" s="83"/>
      <c r="C87" s="83"/>
      <c r="D87" s="83"/>
      <c r="E87" s="83"/>
      <c r="F87" s="83"/>
      <c r="G87" s="83"/>
      <c r="H87" s="83"/>
      <c r="I87" s="83"/>
      <c r="J87" s="83"/>
      <c r="K87" s="83"/>
      <c r="L87" s="83"/>
      <c r="M87" s="83"/>
      <c r="N87" s="83"/>
      <c r="O87" s="83"/>
      <c r="P87" s="83"/>
      <c r="Q87" s="83"/>
      <c r="R87" s="83"/>
      <c r="S87" s="83"/>
      <c r="T87" s="83"/>
      <c r="U87" s="83"/>
      <c r="V87" s="83"/>
      <c r="W87" s="83"/>
      <c r="X87" s="83"/>
      <c r="Y87" s="83"/>
      <c r="Z87" s="83"/>
      <c r="AA87" s="83"/>
      <c r="AB87" s="83"/>
      <c r="AC87" s="83"/>
    </row>
    <row r="88" spans="1:29" x14ac:dyDescent="0.4">
      <c r="A88" s="83"/>
      <c r="B88" s="83"/>
      <c r="C88" s="83"/>
      <c r="D88" s="83"/>
      <c r="E88" s="83"/>
      <c r="F88" s="83"/>
      <c r="G88" s="83"/>
      <c r="H88" s="83"/>
      <c r="I88" s="83"/>
      <c r="J88" s="83"/>
      <c r="K88" s="83"/>
      <c r="L88" s="83"/>
      <c r="M88" s="83"/>
      <c r="N88" s="83"/>
      <c r="O88" s="83"/>
      <c r="P88" s="83"/>
      <c r="Q88" s="83"/>
      <c r="R88" s="83"/>
      <c r="S88" s="83"/>
      <c r="T88" s="83"/>
      <c r="U88" s="83"/>
      <c r="V88" s="83"/>
      <c r="W88" s="83"/>
      <c r="X88" s="83"/>
      <c r="Y88" s="83"/>
      <c r="Z88" s="83"/>
      <c r="AA88" s="83"/>
      <c r="AB88" s="83"/>
      <c r="AC88" s="83"/>
    </row>
    <row r="89" spans="1:29" x14ac:dyDescent="0.4">
      <c r="A89" s="83"/>
      <c r="B89" s="83"/>
      <c r="C89" s="83"/>
      <c r="D89" s="83"/>
      <c r="E89" s="83"/>
      <c r="F89" s="83"/>
      <c r="G89" s="83"/>
      <c r="H89" s="83"/>
      <c r="I89" s="83"/>
      <c r="J89" s="83"/>
      <c r="K89" s="83"/>
      <c r="L89" s="83"/>
      <c r="M89" s="83"/>
      <c r="N89" s="83"/>
      <c r="O89" s="83"/>
      <c r="P89" s="83"/>
      <c r="Q89" s="83"/>
      <c r="R89" s="83"/>
      <c r="S89" s="83"/>
      <c r="T89" s="83"/>
      <c r="U89" s="83"/>
      <c r="V89" s="83"/>
      <c r="W89" s="83"/>
      <c r="X89" s="83"/>
      <c r="Y89" s="83"/>
      <c r="Z89" s="83"/>
      <c r="AA89" s="83"/>
      <c r="AB89" s="83"/>
      <c r="AC89" s="83"/>
    </row>
    <row r="90" spans="1:29" x14ac:dyDescent="0.4">
      <c r="A90" s="83"/>
      <c r="B90" s="83"/>
      <c r="C90" s="83"/>
      <c r="D90" s="83"/>
      <c r="E90" s="83"/>
      <c r="F90" s="83"/>
      <c r="G90" s="83"/>
      <c r="H90" s="83"/>
      <c r="I90" s="83"/>
      <c r="J90" s="83"/>
      <c r="K90" s="83"/>
      <c r="L90" s="83"/>
      <c r="M90" s="83"/>
      <c r="N90" s="83"/>
      <c r="O90" s="83"/>
      <c r="P90" s="83"/>
      <c r="Q90" s="83"/>
      <c r="R90" s="83"/>
      <c r="S90" s="83"/>
      <c r="T90" s="83"/>
      <c r="U90" s="83"/>
      <c r="V90" s="83"/>
      <c r="W90" s="83"/>
      <c r="X90" s="83"/>
      <c r="Y90" s="83"/>
      <c r="Z90" s="83"/>
      <c r="AA90" s="83"/>
      <c r="AB90" s="83"/>
      <c r="AC90" s="83"/>
    </row>
    <row r="91" spans="1:29" x14ac:dyDescent="0.4">
      <c r="A91" s="83"/>
      <c r="B91" s="83"/>
      <c r="C91" s="83"/>
      <c r="D91" s="83"/>
      <c r="E91" s="83"/>
      <c r="F91" s="83"/>
      <c r="G91" s="83"/>
      <c r="H91" s="83"/>
      <c r="I91" s="83"/>
      <c r="J91" s="83"/>
      <c r="K91" s="83"/>
      <c r="L91" s="83"/>
      <c r="M91" s="83"/>
      <c r="N91" s="83"/>
      <c r="O91" s="83"/>
      <c r="P91" s="83"/>
      <c r="Q91" s="83"/>
      <c r="R91" s="83"/>
      <c r="S91" s="83"/>
      <c r="T91" s="83"/>
      <c r="U91" s="83"/>
      <c r="V91" s="83"/>
      <c r="W91" s="83"/>
      <c r="X91" s="83"/>
      <c r="Y91" s="83"/>
      <c r="Z91" s="83"/>
      <c r="AA91" s="83"/>
      <c r="AB91" s="83"/>
      <c r="AC91" s="83"/>
    </row>
    <row r="92" spans="1:29" x14ac:dyDescent="0.4">
      <c r="A92" s="83"/>
      <c r="B92" s="83"/>
      <c r="C92" s="83"/>
      <c r="D92" s="83"/>
      <c r="E92" s="83"/>
      <c r="F92" s="83"/>
      <c r="G92" s="83"/>
      <c r="H92" s="83"/>
      <c r="I92" s="83"/>
      <c r="J92" s="83"/>
      <c r="K92" s="83"/>
      <c r="L92" s="83"/>
      <c r="M92" s="83"/>
      <c r="N92" s="83"/>
      <c r="O92" s="83"/>
      <c r="P92" s="83"/>
      <c r="Q92" s="83"/>
      <c r="R92" s="83"/>
      <c r="S92" s="83"/>
      <c r="T92" s="83"/>
      <c r="U92" s="83"/>
      <c r="V92" s="83"/>
      <c r="W92" s="83"/>
      <c r="X92" s="83"/>
      <c r="Y92" s="83"/>
      <c r="Z92" s="83"/>
      <c r="AA92" s="83"/>
      <c r="AB92" s="83"/>
      <c r="AC92" s="83"/>
    </row>
    <row r="93" spans="1:29" x14ac:dyDescent="0.4">
      <c r="A93" s="83"/>
      <c r="B93" s="83"/>
      <c r="C93" s="83"/>
      <c r="D93" s="83"/>
      <c r="E93" s="83"/>
      <c r="F93" s="83"/>
      <c r="G93" s="83"/>
      <c r="H93" s="83"/>
      <c r="I93" s="83"/>
      <c r="J93" s="83"/>
      <c r="K93" s="83"/>
      <c r="L93" s="83"/>
      <c r="M93" s="83"/>
      <c r="N93" s="83"/>
      <c r="O93" s="83"/>
      <c r="P93" s="83"/>
      <c r="Q93" s="83"/>
      <c r="R93" s="83"/>
      <c r="S93" s="83"/>
      <c r="T93" s="83"/>
      <c r="U93" s="83"/>
      <c r="V93" s="83"/>
      <c r="W93" s="83"/>
      <c r="X93" s="83"/>
      <c r="Y93" s="83"/>
      <c r="Z93" s="83"/>
      <c r="AA93" s="83"/>
      <c r="AB93" s="83"/>
      <c r="AC93" s="83"/>
    </row>
    <row r="94" spans="1:29" x14ac:dyDescent="0.4">
      <c r="A94" s="83"/>
      <c r="B94" s="83"/>
      <c r="C94" s="83"/>
      <c r="D94" s="83"/>
      <c r="E94" s="83"/>
      <c r="F94" s="83"/>
      <c r="G94" s="83"/>
      <c r="H94" s="83"/>
      <c r="I94" s="83"/>
      <c r="J94" s="83"/>
      <c r="K94" s="83"/>
      <c r="L94" s="83"/>
      <c r="M94" s="83"/>
      <c r="N94" s="83"/>
      <c r="O94" s="83"/>
      <c r="P94" s="83"/>
      <c r="Q94" s="83"/>
      <c r="R94" s="83"/>
      <c r="S94" s="83"/>
      <c r="T94" s="83"/>
      <c r="U94" s="83"/>
      <c r="V94" s="83"/>
      <c r="W94" s="83"/>
      <c r="X94" s="83"/>
      <c r="Y94" s="83"/>
      <c r="Z94" s="83"/>
      <c r="AA94" s="83"/>
      <c r="AB94" s="83"/>
      <c r="AC94" s="83"/>
    </row>
    <row r="95" spans="1:29" x14ac:dyDescent="0.4">
      <c r="A95" s="83"/>
      <c r="B95" s="83"/>
      <c r="C95" s="83"/>
      <c r="D95" s="83"/>
      <c r="E95" s="83"/>
      <c r="F95" s="83"/>
      <c r="G95" s="83"/>
      <c r="H95" s="83"/>
      <c r="I95" s="83"/>
      <c r="J95" s="83"/>
      <c r="K95" s="83"/>
      <c r="L95" s="83"/>
      <c r="M95" s="83"/>
      <c r="N95" s="83"/>
      <c r="O95" s="83"/>
      <c r="P95" s="83"/>
      <c r="Q95" s="83"/>
      <c r="R95" s="83"/>
      <c r="S95" s="83"/>
      <c r="T95" s="83"/>
      <c r="U95" s="83"/>
      <c r="V95" s="83"/>
      <c r="W95" s="83"/>
      <c r="X95" s="83"/>
      <c r="Y95" s="83"/>
      <c r="Z95" s="83"/>
      <c r="AA95" s="83"/>
      <c r="AB95" s="83"/>
      <c r="AC95" s="83"/>
    </row>
    <row r="96" spans="1:29" x14ac:dyDescent="0.4">
      <c r="A96" s="83"/>
      <c r="B96" s="83"/>
      <c r="C96" s="83"/>
      <c r="D96" s="83"/>
      <c r="E96" s="83"/>
      <c r="F96" s="83"/>
      <c r="G96" s="83"/>
      <c r="H96" s="83"/>
      <c r="I96" s="83"/>
      <c r="J96" s="83"/>
      <c r="K96" s="83"/>
      <c r="L96" s="83"/>
      <c r="M96" s="83"/>
      <c r="N96" s="83"/>
      <c r="O96" s="83"/>
      <c r="P96" s="83"/>
      <c r="Q96" s="83"/>
      <c r="R96" s="83"/>
      <c r="S96" s="83"/>
      <c r="T96" s="83"/>
      <c r="U96" s="83"/>
      <c r="V96" s="83"/>
      <c r="W96" s="83"/>
      <c r="X96" s="83"/>
      <c r="Y96" s="83"/>
      <c r="Z96" s="83"/>
      <c r="AA96" s="83"/>
      <c r="AB96" s="83"/>
      <c r="AC96" s="83"/>
    </row>
    <row r="97" spans="1:29" x14ac:dyDescent="0.4">
      <c r="A97" s="83"/>
      <c r="B97" s="83"/>
      <c r="C97" s="83"/>
      <c r="D97" s="83"/>
      <c r="E97" s="83"/>
      <c r="F97" s="83"/>
      <c r="G97" s="83"/>
      <c r="H97" s="83"/>
      <c r="I97" s="83"/>
      <c r="J97" s="83"/>
      <c r="K97" s="83"/>
      <c r="L97" s="83"/>
      <c r="M97" s="83"/>
      <c r="N97" s="83"/>
      <c r="O97" s="83"/>
      <c r="P97" s="83"/>
      <c r="Q97" s="83"/>
      <c r="R97" s="83"/>
      <c r="S97" s="83"/>
      <c r="T97" s="83"/>
      <c r="U97" s="83"/>
      <c r="V97" s="83"/>
      <c r="W97" s="83"/>
      <c r="X97" s="83"/>
      <c r="Y97" s="83"/>
      <c r="Z97" s="83"/>
      <c r="AA97" s="83"/>
      <c r="AB97" s="83"/>
      <c r="AC97" s="83"/>
    </row>
    <row r="98" spans="1:29" x14ac:dyDescent="0.4">
      <c r="A98" s="83"/>
      <c r="B98" s="83"/>
      <c r="C98" s="83"/>
      <c r="D98" s="83"/>
      <c r="E98" s="83"/>
      <c r="F98" s="83"/>
      <c r="G98" s="83"/>
      <c r="H98" s="83"/>
      <c r="I98" s="83"/>
      <c r="J98" s="83"/>
      <c r="K98" s="83"/>
      <c r="L98" s="83"/>
      <c r="M98" s="83"/>
      <c r="N98" s="83"/>
      <c r="O98" s="83"/>
      <c r="P98" s="83"/>
      <c r="Q98" s="83"/>
      <c r="R98" s="83"/>
      <c r="S98" s="83"/>
      <c r="T98" s="83"/>
      <c r="U98" s="83"/>
      <c r="V98" s="83"/>
      <c r="W98" s="83"/>
      <c r="X98" s="83"/>
      <c r="Y98" s="83"/>
      <c r="Z98" s="83"/>
      <c r="AA98" s="83"/>
      <c r="AB98" s="83"/>
      <c r="AC98" s="83"/>
    </row>
    <row r="99" spans="1:29" x14ac:dyDescent="0.4">
      <c r="A99" s="83"/>
      <c r="B99" s="83"/>
      <c r="C99" s="83"/>
      <c r="D99" s="83"/>
      <c r="E99" s="83"/>
      <c r="F99" s="83"/>
      <c r="G99" s="83"/>
      <c r="H99" s="83"/>
      <c r="I99" s="83"/>
      <c r="J99" s="83"/>
      <c r="K99" s="83"/>
      <c r="L99" s="83"/>
      <c r="M99" s="83"/>
      <c r="N99" s="83"/>
      <c r="O99" s="83"/>
      <c r="P99" s="83"/>
      <c r="Q99" s="83"/>
      <c r="R99" s="83"/>
      <c r="S99" s="83"/>
      <c r="T99" s="83"/>
      <c r="U99" s="83"/>
      <c r="V99" s="83"/>
      <c r="W99" s="83"/>
      <c r="X99" s="83"/>
      <c r="Y99" s="83"/>
      <c r="Z99" s="83"/>
      <c r="AA99" s="83"/>
      <c r="AB99" s="83"/>
      <c r="AC99" s="83"/>
    </row>
    <row r="100" spans="1:29" x14ac:dyDescent="0.4">
      <c r="A100" s="83"/>
      <c r="B100" s="83"/>
      <c r="C100" s="83"/>
      <c r="D100" s="83"/>
      <c r="E100" s="83"/>
      <c r="F100" s="83"/>
      <c r="G100" s="83"/>
      <c r="H100" s="83"/>
      <c r="I100" s="83"/>
      <c r="J100" s="83"/>
      <c r="K100" s="83"/>
      <c r="L100" s="83"/>
      <c r="M100" s="83"/>
      <c r="N100" s="83"/>
      <c r="O100" s="83"/>
      <c r="P100" s="83"/>
      <c r="Q100" s="83"/>
      <c r="R100" s="83"/>
      <c r="S100" s="83"/>
      <c r="T100" s="83"/>
      <c r="U100" s="83"/>
      <c r="V100" s="83"/>
      <c r="W100" s="83"/>
      <c r="X100" s="83"/>
      <c r="Y100" s="83"/>
      <c r="Z100" s="83"/>
      <c r="AA100" s="83"/>
      <c r="AB100" s="83"/>
      <c r="AC100" s="83"/>
    </row>
    <row r="101" spans="1:29" x14ac:dyDescent="0.4">
      <c r="A101" s="83"/>
      <c r="B101" s="83"/>
      <c r="C101" s="83"/>
      <c r="D101" s="83"/>
      <c r="E101" s="83"/>
      <c r="F101" s="83"/>
      <c r="G101" s="83"/>
      <c r="H101" s="83"/>
      <c r="I101" s="83"/>
      <c r="J101" s="83"/>
      <c r="K101" s="83"/>
      <c r="L101" s="83"/>
      <c r="M101" s="83"/>
      <c r="N101" s="83"/>
      <c r="O101" s="83"/>
      <c r="P101" s="83"/>
      <c r="Q101" s="83"/>
      <c r="R101" s="83"/>
      <c r="S101" s="83"/>
      <c r="T101" s="83"/>
      <c r="U101" s="83"/>
      <c r="V101" s="83"/>
      <c r="W101" s="83"/>
      <c r="X101" s="83"/>
      <c r="Y101" s="83"/>
      <c r="Z101" s="83"/>
      <c r="AA101" s="83"/>
      <c r="AB101" s="83"/>
      <c r="AC101" s="83"/>
    </row>
    <row r="102" spans="1:29" x14ac:dyDescent="0.4">
      <c r="A102" s="83"/>
      <c r="B102" s="83"/>
      <c r="C102" s="83"/>
      <c r="D102" s="83"/>
      <c r="E102" s="83"/>
      <c r="F102" s="83"/>
      <c r="G102" s="83"/>
      <c r="H102" s="83"/>
      <c r="I102" s="83"/>
      <c r="J102" s="83"/>
      <c r="K102" s="83"/>
      <c r="L102" s="83"/>
      <c r="M102" s="83"/>
      <c r="N102" s="83"/>
      <c r="O102" s="83"/>
      <c r="P102" s="83"/>
      <c r="Q102" s="83"/>
      <c r="R102" s="83"/>
      <c r="S102" s="83"/>
      <c r="T102" s="83"/>
      <c r="U102" s="83"/>
      <c r="V102" s="83"/>
      <c r="W102" s="83"/>
      <c r="X102" s="83"/>
      <c r="Y102" s="83"/>
      <c r="Z102" s="83"/>
      <c r="AA102" s="83"/>
      <c r="AB102" s="83"/>
      <c r="AC102" s="83"/>
    </row>
    <row r="103" spans="1:29" x14ac:dyDescent="0.4">
      <c r="A103" s="83"/>
      <c r="B103" s="83"/>
      <c r="C103" s="83"/>
      <c r="D103" s="83"/>
      <c r="E103" s="83"/>
      <c r="F103" s="83"/>
      <c r="G103" s="83"/>
      <c r="H103" s="83"/>
      <c r="I103" s="83"/>
      <c r="J103" s="83"/>
      <c r="K103" s="83"/>
      <c r="L103" s="83"/>
      <c r="M103" s="83"/>
      <c r="N103" s="83"/>
      <c r="O103" s="83"/>
      <c r="P103" s="83"/>
      <c r="Q103" s="83"/>
      <c r="R103" s="83"/>
      <c r="S103" s="83"/>
      <c r="T103" s="83"/>
      <c r="U103" s="83"/>
      <c r="V103" s="83"/>
      <c r="W103" s="83"/>
      <c r="X103" s="83"/>
      <c r="Y103" s="83"/>
      <c r="Z103" s="83"/>
      <c r="AA103" s="83"/>
      <c r="AB103" s="83"/>
      <c r="AC103" s="83"/>
    </row>
    <row r="104" spans="1:29" x14ac:dyDescent="0.4">
      <c r="A104" s="83"/>
      <c r="B104" s="83"/>
      <c r="C104" s="83"/>
      <c r="D104" s="83"/>
      <c r="E104" s="83"/>
      <c r="F104" s="83"/>
      <c r="G104" s="83"/>
      <c r="H104" s="83"/>
      <c r="I104" s="83"/>
      <c r="J104" s="83"/>
      <c r="K104" s="83"/>
      <c r="L104" s="83"/>
      <c r="M104" s="83"/>
      <c r="N104" s="83"/>
      <c r="O104" s="83"/>
      <c r="P104" s="83"/>
      <c r="Q104" s="83"/>
      <c r="R104" s="83"/>
      <c r="S104" s="83"/>
      <c r="T104" s="83"/>
      <c r="U104" s="83"/>
      <c r="V104" s="83"/>
      <c r="W104" s="83"/>
      <c r="X104" s="83"/>
      <c r="Y104" s="83"/>
      <c r="Z104" s="83"/>
      <c r="AA104" s="83"/>
      <c r="AB104" s="83"/>
      <c r="AC104" s="83"/>
    </row>
    <row r="105" spans="1:29" x14ac:dyDescent="0.4">
      <c r="A105" s="83"/>
      <c r="B105" s="83"/>
      <c r="C105" s="83"/>
      <c r="D105" s="83"/>
      <c r="E105" s="83"/>
      <c r="F105" s="83"/>
      <c r="G105" s="83"/>
      <c r="H105" s="83"/>
      <c r="I105" s="83"/>
      <c r="J105" s="83"/>
      <c r="K105" s="83"/>
      <c r="L105" s="83"/>
      <c r="M105" s="83"/>
      <c r="N105" s="83"/>
      <c r="O105" s="83"/>
      <c r="P105" s="83"/>
      <c r="Q105" s="83"/>
      <c r="R105" s="83"/>
      <c r="S105" s="83"/>
      <c r="T105" s="83"/>
      <c r="U105" s="83"/>
      <c r="V105" s="83"/>
      <c r="W105" s="83"/>
      <c r="X105" s="83"/>
      <c r="Y105" s="83"/>
      <c r="Z105" s="83"/>
      <c r="AA105" s="83"/>
      <c r="AB105" s="83"/>
      <c r="AC105" s="83"/>
    </row>
    <row r="106" spans="1:29" x14ac:dyDescent="0.4">
      <c r="A106" s="83"/>
      <c r="B106" s="83"/>
      <c r="C106" s="83"/>
      <c r="D106" s="83"/>
      <c r="E106" s="83"/>
      <c r="F106" s="83"/>
      <c r="G106" s="83"/>
      <c r="H106" s="83"/>
      <c r="I106" s="83"/>
      <c r="J106" s="83"/>
      <c r="K106" s="83"/>
      <c r="L106" s="83"/>
      <c r="M106" s="83"/>
      <c r="N106" s="83"/>
      <c r="O106" s="83"/>
      <c r="P106" s="83"/>
      <c r="Q106" s="83"/>
      <c r="R106" s="83"/>
      <c r="S106" s="83"/>
      <c r="T106" s="83"/>
      <c r="U106" s="83"/>
      <c r="V106" s="83"/>
      <c r="W106" s="83"/>
      <c r="X106" s="83"/>
      <c r="Y106" s="83"/>
      <c r="Z106" s="83"/>
      <c r="AA106" s="83"/>
      <c r="AB106" s="83"/>
      <c r="AC106" s="83"/>
    </row>
    <row r="107" spans="1:29" x14ac:dyDescent="0.4">
      <c r="A107" s="83"/>
      <c r="B107" s="83"/>
      <c r="C107" s="83"/>
      <c r="D107" s="83"/>
      <c r="E107" s="83"/>
      <c r="F107" s="83"/>
      <c r="G107" s="83"/>
      <c r="H107" s="83"/>
      <c r="I107" s="83"/>
      <c r="J107" s="83"/>
      <c r="K107" s="83"/>
      <c r="L107" s="83"/>
      <c r="M107" s="83"/>
      <c r="N107" s="83"/>
      <c r="O107" s="83"/>
      <c r="P107" s="83"/>
      <c r="Q107" s="83"/>
      <c r="R107" s="83"/>
      <c r="S107" s="83"/>
      <c r="T107" s="83"/>
      <c r="U107" s="83"/>
      <c r="V107" s="83"/>
      <c r="W107" s="83"/>
      <c r="X107" s="83"/>
      <c r="Y107" s="83"/>
      <c r="Z107" s="83"/>
      <c r="AA107" s="83"/>
      <c r="AB107" s="83"/>
      <c r="AC107" s="83"/>
    </row>
    <row r="108" spans="1:29" x14ac:dyDescent="0.4">
      <c r="A108" s="83"/>
      <c r="B108" s="83"/>
      <c r="C108" s="83"/>
      <c r="D108" s="83"/>
      <c r="E108" s="83"/>
      <c r="F108" s="83"/>
      <c r="G108" s="83"/>
      <c r="H108" s="83"/>
      <c r="I108" s="83"/>
      <c r="J108" s="83"/>
      <c r="K108" s="83"/>
      <c r="L108" s="83"/>
      <c r="M108" s="83"/>
      <c r="N108" s="83"/>
      <c r="O108" s="83"/>
      <c r="P108" s="83"/>
      <c r="Q108" s="83"/>
      <c r="R108" s="83"/>
      <c r="S108" s="83"/>
      <c r="T108" s="83"/>
      <c r="U108" s="83"/>
      <c r="V108" s="83"/>
      <c r="W108" s="83"/>
      <c r="X108" s="83"/>
      <c r="Y108" s="83"/>
      <c r="Z108" s="83"/>
      <c r="AA108" s="83"/>
      <c r="AB108" s="83"/>
      <c r="AC108" s="83"/>
    </row>
    <row r="109" spans="1:29" x14ac:dyDescent="0.4">
      <c r="A109" s="83"/>
      <c r="B109" s="83"/>
      <c r="C109" s="83"/>
      <c r="D109" s="83"/>
      <c r="E109" s="83"/>
      <c r="F109" s="83"/>
      <c r="G109" s="83"/>
      <c r="H109" s="83"/>
      <c r="I109" s="83"/>
      <c r="J109" s="83"/>
      <c r="K109" s="83"/>
      <c r="L109" s="83"/>
      <c r="M109" s="83"/>
      <c r="N109" s="83"/>
      <c r="O109" s="83"/>
      <c r="P109" s="83"/>
      <c r="Q109" s="83"/>
      <c r="R109" s="83"/>
      <c r="S109" s="83"/>
      <c r="T109" s="83"/>
      <c r="U109" s="83"/>
      <c r="V109" s="83"/>
      <c r="W109" s="83"/>
      <c r="X109" s="83"/>
      <c r="Y109" s="83"/>
      <c r="Z109" s="83"/>
      <c r="AA109" s="83"/>
      <c r="AB109" s="83"/>
      <c r="AC109" s="83"/>
    </row>
    <row r="110" spans="1:29" x14ac:dyDescent="0.4">
      <c r="A110" s="83"/>
      <c r="B110" s="83"/>
      <c r="C110" s="83"/>
      <c r="D110" s="83"/>
      <c r="E110" s="83"/>
      <c r="F110" s="83"/>
      <c r="G110" s="83"/>
      <c r="H110" s="83"/>
      <c r="I110" s="83"/>
      <c r="J110" s="83"/>
      <c r="K110" s="83"/>
      <c r="L110" s="83"/>
      <c r="M110" s="83"/>
      <c r="N110" s="83"/>
      <c r="O110" s="83"/>
      <c r="P110" s="83"/>
      <c r="Q110" s="83"/>
      <c r="R110" s="83"/>
      <c r="S110" s="83"/>
      <c r="T110" s="83"/>
      <c r="U110" s="83"/>
      <c r="V110" s="83"/>
      <c r="W110" s="83"/>
      <c r="X110" s="83"/>
      <c r="Y110" s="83"/>
      <c r="Z110" s="83"/>
      <c r="AA110" s="83"/>
      <c r="AB110" s="83"/>
      <c r="AC110" s="83"/>
    </row>
    <row r="111" spans="1:29" x14ac:dyDescent="0.4">
      <c r="A111" s="83"/>
      <c r="B111" s="83"/>
      <c r="C111" s="83"/>
      <c r="D111" s="83"/>
      <c r="E111" s="83"/>
      <c r="F111" s="83"/>
      <c r="G111" s="83"/>
      <c r="H111" s="83"/>
      <c r="I111" s="83"/>
      <c r="J111" s="83"/>
      <c r="K111" s="83"/>
      <c r="L111" s="83"/>
      <c r="M111" s="83"/>
      <c r="N111" s="83"/>
      <c r="O111" s="83"/>
      <c r="P111" s="83"/>
      <c r="Q111" s="83"/>
      <c r="R111" s="83"/>
      <c r="S111" s="83"/>
      <c r="T111" s="83"/>
      <c r="U111" s="83"/>
      <c r="V111" s="83"/>
      <c r="W111" s="83"/>
      <c r="X111" s="83"/>
      <c r="Y111" s="83"/>
      <c r="Z111" s="83"/>
      <c r="AA111" s="83"/>
      <c r="AB111" s="83"/>
      <c r="AC111" s="83"/>
    </row>
    <row r="112" spans="1:29" x14ac:dyDescent="0.4">
      <c r="A112" s="83"/>
      <c r="B112" s="83"/>
      <c r="C112" s="83"/>
      <c r="D112" s="83"/>
      <c r="E112" s="83"/>
      <c r="F112" s="83"/>
      <c r="G112" s="83"/>
      <c r="H112" s="83"/>
      <c r="I112" s="83"/>
      <c r="J112" s="83"/>
      <c r="K112" s="83"/>
      <c r="L112" s="83"/>
      <c r="M112" s="83"/>
      <c r="N112" s="83"/>
      <c r="O112" s="83"/>
      <c r="P112" s="83"/>
      <c r="Q112" s="83"/>
      <c r="R112" s="83"/>
      <c r="S112" s="83"/>
      <c r="T112" s="83"/>
      <c r="U112" s="83"/>
      <c r="V112" s="83"/>
      <c r="W112" s="83"/>
      <c r="X112" s="83"/>
      <c r="Y112" s="83"/>
      <c r="Z112" s="83"/>
      <c r="AA112" s="83"/>
      <c r="AB112" s="83"/>
      <c r="AC112" s="83"/>
    </row>
    <row r="113" spans="1:29" x14ac:dyDescent="0.4">
      <c r="A113" s="83"/>
      <c r="B113" s="83"/>
      <c r="C113" s="83"/>
      <c r="D113" s="83"/>
      <c r="E113" s="83"/>
      <c r="F113" s="83"/>
      <c r="G113" s="83"/>
      <c r="H113" s="83"/>
      <c r="I113" s="83"/>
      <c r="J113" s="83"/>
      <c r="K113" s="83"/>
      <c r="L113" s="83"/>
      <c r="M113" s="83"/>
      <c r="N113" s="83"/>
      <c r="O113" s="83"/>
      <c r="P113" s="83"/>
      <c r="Q113" s="83"/>
      <c r="R113" s="83"/>
      <c r="S113" s="83"/>
      <c r="T113" s="83"/>
      <c r="U113" s="83"/>
      <c r="V113" s="83"/>
      <c r="W113" s="83"/>
      <c r="X113" s="83"/>
      <c r="Y113" s="83"/>
      <c r="Z113" s="83"/>
      <c r="AA113" s="83"/>
      <c r="AB113" s="83"/>
      <c r="AC113" s="83"/>
    </row>
    <row r="114" spans="1:29" x14ac:dyDescent="0.4">
      <c r="A114" s="83"/>
      <c r="B114" s="83"/>
      <c r="C114" s="83"/>
      <c r="D114" s="83"/>
      <c r="E114" s="83"/>
      <c r="F114" s="83"/>
      <c r="G114" s="83"/>
      <c r="H114" s="83"/>
      <c r="I114" s="83"/>
      <c r="J114" s="83"/>
      <c r="K114" s="83"/>
      <c r="L114" s="83"/>
      <c r="M114" s="83"/>
      <c r="N114" s="83"/>
      <c r="O114" s="83"/>
      <c r="P114" s="83"/>
      <c r="Q114" s="83"/>
      <c r="R114" s="83"/>
      <c r="S114" s="83"/>
      <c r="T114" s="83"/>
      <c r="U114" s="83"/>
      <c r="V114" s="83"/>
      <c r="W114" s="83"/>
      <c r="X114" s="83"/>
      <c r="Y114" s="83"/>
      <c r="Z114" s="83"/>
      <c r="AA114" s="83"/>
      <c r="AB114" s="83"/>
      <c r="AC114" s="83"/>
    </row>
    <row r="115" spans="1:29" x14ac:dyDescent="0.4">
      <c r="A115" s="83"/>
      <c r="B115" s="83"/>
      <c r="C115" s="83"/>
      <c r="D115" s="83"/>
      <c r="E115" s="83"/>
      <c r="F115" s="83"/>
      <c r="G115" s="83"/>
      <c r="H115" s="83"/>
      <c r="I115" s="83"/>
      <c r="J115" s="83"/>
      <c r="K115" s="83"/>
      <c r="L115" s="83"/>
      <c r="M115" s="83"/>
      <c r="N115" s="83"/>
      <c r="O115" s="83"/>
      <c r="P115" s="83"/>
      <c r="Q115" s="83"/>
      <c r="R115" s="83"/>
      <c r="S115" s="83"/>
      <c r="T115" s="83"/>
      <c r="U115" s="83"/>
      <c r="V115" s="83"/>
      <c r="W115" s="83"/>
      <c r="X115" s="83"/>
      <c r="Y115" s="83"/>
      <c r="Z115" s="83"/>
      <c r="AA115" s="83"/>
      <c r="AB115" s="83"/>
      <c r="AC115" s="83"/>
    </row>
    <row r="116" spans="1:29" x14ac:dyDescent="0.4">
      <c r="A116" s="83"/>
      <c r="B116" s="83"/>
      <c r="C116" s="83"/>
      <c r="D116" s="83"/>
      <c r="E116" s="83"/>
      <c r="F116" s="83"/>
      <c r="G116" s="83"/>
      <c r="H116" s="83"/>
      <c r="I116" s="83"/>
      <c r="J116" s="83"/>
      <c r="K116" s="83"/>
      <c r="L116" s="83"/>
      <c r="M116" s="83"/>
      <c r="N116" s="83"/>
      <c r="O116" s="83"/>
      <c r="P116" s="83"/>
      <c r="Q116" s="83"/>
      <c r="R116" s="83"/>
      <c r="S116" s="83"/>
      <c r="T116" s="83"/>
      <c r="U116" s="83"/>
      <c r="V116" s="83"/>
      <c r="W116" s="83"/>
      <c r="X116" s="83"/>
      <c r="Y116" s="83"/>
      <c r="Z116" s="83"/>
      <c r="AA116" s="83"/>
      <c r="AB116" s="83"/>
      <c r="AC116" s="83"/>
    </row>
    <row r="117" spans="1:29" x14ac:dyDescent="0.4">
      <c r="A117" s="83"/>
      <c r="B117" s="83"/>
      <c r="C117" s="83"/>
      <c r="D117" s="83"/>
      <c r="E117" s="83"/>
      <c r="F117" s="83"/>
      <c r="G117" s="83"/>
      <c r="H117" s="83"/>
      <c r="I117" s="83"/>
      <c r="J117" s="83"/>
      <c r="K117" s="83"/>
      <c r="L117" s="83"/>
      <c r="M117" s="83"/>
      <c r="N117" s="83"/>
      <c r="O117" s="83"/>
      <c r="P117" s="83"/>
      <c r="Q117" s="83"/>
      <c r="R117" s="83"/>
      <c r="S117" s="83"/>
      <c r="T117" s="83"/>
      <c r="U117" s="83"/>
      <c r="V117" s="83"/>
      <c r="W117" s="83"/>
      <c r="X117" s="83"/>
      <c r="Y117" s="83"/>
      <c r="Z117" s="83"/>
      <c r="AA117" s="83"/>
      <c r="AB117" s="83"/>
      <c r="AC117" s="83"/>
    </row>
    <row r="118" spans="1:29" x14ac:dyDescent="0.4">
      <c r="A118" s="83"/>
      <c r="B118" s="83"/>
      <c r="C118" s="83"/>
      <c r="D118" s="83"/>
      <c r="E118" s="83"/>
      <c r="F118" s="83"/>
      <c r="G118" s="83"/>
      <c r="H118" s="83"/>
      <c r="I118" s="83"/>
      <c r="J118" s="83"/>
      <c r="K118" s="83"/>
      <c r="L118" s="83"/>
      <c r="M118" s="83"/>
      <c r="N118" s="83"/>
      <c r="O118" s="83"/>
      <c r="P118" s="83"/>
      <c r="Q118" s="83"/>
      <c r="R118" s="83"/>
      <c r="S118" s="83"/>
      <c r="T118" s="83"/>
      <c r="U118" s="83"/>
      <c r="V118" s="83"/>
      <c r="W118" s="83"/>
      <c r="X118" s="83"/>
      <c r="Y118" s="83"/>
      <c r="Z118" s="83"/>
      <c r="AA118" s="83"/>
      <c r="AB118" s="83"/>
      <c r="AC118" s="83"/>
    </row>
    <row r="119" spans="1:29" x14ac:dyDescent="0.4">
      <c r="A119" s="83"/>
      <c r="B119" s="83"/>
      <c r="C119" s="83"/>
      <c r="D119" s="83"/>
      <c r="E119" s="83"/>
      <c r="F119" s="83"/>
      <c r="G119" s="83"/>
      <c r="H119" s="83"/>
      <c r="I119" s="83"/>
      <c r="J119" s="83"/>
      <c r="K119" s="83"/>
      <c r="L119" s="83"/>
      <c r="M119" s="83"/>
      <c r="N119" s="83"/>
      <c r="O119" s="83"/>
      <c r="P119" s="83"/>
      <c r="Q119" s="83"/>
      <c r="R119" s="83"/>
      <c r="S119" s="83"/>
      <c r="T119" s="83"/>
      <c r="U119" s="83"/>
      <c r="V119" s="83"/>
      <c r="W119" s="83"/>
      <c r="X119" s="83"/>
      <c r="Y119" s="83"/>
      <c r="Z119" s="83"/>
      <c r="AA119" s="83"/>
      <c r="AB119" s="83"/>
      <c r="AC119" s="83"/>
    </row>
    <row r="120" spans="1:29" x14ac:dyDescent="0.4">
      <c r="A120" s="83"/>
      <c r="B120" s="83"/>
      <c r="C120" s="83"/>
      <c r="D120" s="83"/>
      <c r="E120" s="83"/>
      <c r="F120" s="83"/>
      <c r="G120" s="83"/>
      <c r="H120" s="83"/>
      <c r="I120" s="83"/>
      <c r="J120" s="83"/>
      <c r="K120" s="83"/>
      <c r="L120" s="83"/>
      <c r="M120" s="83"/>
      <c r="N120" s="83"/>
      <c r="O120" s="83"/>
      <c r="P120" s="83"/>
      <c r="Q120" s="83"/>
      <c r="R120" s="83"/>
      <c r="S120" s="83"/>
      <c r="T120" s="83"/>
      <c r="U120" s="83"/>
      <c r="V120" s="83"/>
      <c r="W120" s="83"/>
      <c r="X120" s="83"/>
      <c r="Y120" s="83"/>
      <c r="Z120" s="83"/>
      <c r="AA120" s="83"/>
      <c r="AB120" s="83"/>
      <c r="AC120" s="83"/>
    </row>
    <row r="121" spans="1:29" x14ac:dyDescent="0.4">
      <c r="A121" s="83"/>
      <c r="B121" s="83"/>
      <c r="C121" s="83"/>
      <c r="D121" s="83"/>
      <c r="E121" s="83"/>
      <c r="F121" s="83"/>
      <c r="G121" s="83"/>
      <c r="H121" s="83"/>
      <c r="I121" s="83"/>
      <c r="J121" s="83"/>
      <c r="K121" s="83"/>
      <c r="L121" s="83"/>
      <c r="M121" s="83"/>
      <c r="N121" s="83"/>
      <c r="O121" s="83"/>
      <c r="P121" s="83"/>
      <c r="Q121" s="83"/>
      <c r="R121" s="83"/>
      <c r="S121" s="83"/>
      <c r="T121" s="83"/>
      <c r="U121" s="83"/>
      <c r="V121" s="83"/>
      <c r="W121" s="83"/>
      <c r="X121" s="83"/>
      <c r="Y121" s="83"/>
      <c r="Z121" s="83"/>
      <c r="AA121" s="83"/>
      <c r="AB121" s="83"/>
      <c r="AC121" s="83"/>
    </row>
    <row r="122" spans="1:29" x14ac:dyDescent="0.4">
      <c r="A122" s="83"/>
      <c r="B122" s="83"/>
      <c r="C122" s="83"/>
      <c r="D122" s="83"/>
      <c r="E122" s="83"/>
      <c r="F122" s="83"/>
      <c r="G122" s="83"/>
      <c r="H122" s="83"/>
      <c r="I122" s="83"/>
      <c r="J122" s="83"/>
      <c r="K122" s="83"/>
      <c r="L122" s="83"/>
      <c r="M122" s="83"/>
      <c r="N122" s="83"/>
      <c r="O122" s="83"/>
      <c r="P122" s="83"/>
      <c r="Q122" s="83"/>
      <c r="R122" s="83"/>
      <c r="S122" s="83"/>
      <c r="T122" s="83"/>
      <c r="U122" s="83"/>
      <c r="V122" s="83"/>
      <c r="W122" s="83"/>
      <c r="X122" s="83"/>
      <c r="Y122" s="83"/>
      <c r="Z122" s="83"/>
      <c r="AA122" s="83"/>
      <c r="AB122" s="83"/>
      <c r="AC122" s="83"/>
    </row>
    <row r="123" spans="1:29" x14ac:dyDescent="0.4">
      <c r="A123" s="83"/>
      <c r="B123" s="83"/>
      <c r="C123" s="83"/>
      <c r="D123" s="83"/>
      <c r="E123" s="83"/>
      <c r="F123" s="83"/>
      <c r="G123" s="83"/>
      <c r="H123" s="83"/>
      <c r="I123" s="83"/>
      <c r="J123" s="83"/>
      <c r="K123" s="83"/>
      <c r="L123" s="83"/>
      <c r="M123" s="83"/>
      <c r="N123" s="83"/>
      <c r="O123" s="83"/>
      <c r="P123" s="83"/>
      <c r="Q123" s="83"/>
      <c r="R123" s="83"/>
      <c r="S123" s="83"/>
      <c r="T123" s="83"/>
      <c r="U123" s="83"/>
      <c r="V123" s="83"/>
      <c r="W123" s="83"/>
      <c r="X123" s="83"/>
      <c r="Y123" s="83"/>
      <c r="Z123" s="83"/>
      <c r="AA123" s="83"/>
      <c r="AB123" s="83"/>
      <c r="AC123" s="83"/>
    </row>
    <row r="124" spans="1:29" x14ac:dyDescent="0.4">
      <c r="A124" s="83"/>
      <c r="B124" s="83"/>
      <c r="C124" s="83"/>
      <c r="D124" s="83"/>
      <c r="E124" s="83"/>
      <c r="F124" s="83"/>
      <c r="G124" s="83"/>
      <c r="H124" s="83"/>
      <c r="I124" s="83"/>
      <c r="J124" s="83"/>
      <c r="K124" s="83"/>
      <c r="L124" s="83"/>
      <c r="M124" s="83"/>
      <c r="N124" s="83"/>
      <c r="O124" s="83"/>
      <c r="P124" s="83"/>
      <c r="Q124" s="83"/>
      <c r="R124" s="83"/>
      <c r="S124" s="83"/>
      <c r="T124" s="83"/>
      <c r="U124" s="83"/>
      <c r="V124" s="83"/>
      <c r="W124" s="83"/>
      <c r="X124" s="83"/>
      <c r="Y124" s="83"/>
      <c r="Z124" s="83"/>
      <c r="AA124" s="83"/>
      <c r="AB124" s="83"/>
      <c r="AC124" s="83"/>
    </row>
    <row r="125" spans="1:29" x14ac:dyDescent="0.4">
      <c r="A125" s="83"/>
      <c r="B125" s="83"/>
      <c r="C125" s="83"/>
      <c r="D125" s="83"/>
      <c r="E125" s="83"/>
      <c r="F125" s="83"/>
      <c r="G125" s="83"/>
      <c r="H125" s="83"/>
      <c r="I125" s="83"/>
      <c r="J125" s="83"/>
      <c r="K125" s="83"/>
      <c r="L125" s="83"/>
      <c r="M125" s="83"/>
      <c r="N125" s="83"/>
      <c r="O125" s="83"/>
      <c r="P125" s="83"/>
      <c r="Q125" s="83"/>
      <c r="R125" s="83"/>
      <c r="S125" s="83"/>
      <c r="T125" s="83"/>
      <c r="U125" s="83"/>
      <c r="V125" s="83"/>
      <c r="W125" s="83"/>
      <c r="X125" s="83"/>
      <c r="Y125" s="83"/>
      <c r="Z125" s="83"/>
      <c r="AA125" s="83"/>
      <c r="AB125" s="83"/>
      <c r="AC125" s="83"/>
    </row>
    <row r="126" spans="1:29" x14ac:dyDescent="0.4">
      <c r="A126" s="83"/>
      <c r="B126" s="83"/>
      <c r="C126" s="83"/>
      <c r="D126" s="83"/>
      <c r="E126" s="83"/>
      <c r="F126" s="83"/>
      <c r="G126" s="83"/>
      <c r="H126" s="83"/>
      <c r="I126" s="83"/>
      <c r="J126" s="83"/>
      <c r="K126" s="83"/>
      <c r="L126" s="83"/>
      <c r="M126" s="83"/>
      <c r="N126" s="83"/>
      <c r="O126" s="83"/>
      <c r="P126" s="83"/>
      <c r="Q126" s="83"/>
      <c r="R126" s="83"/>
      <c r="S126" s="83"/>
      <c r="T126" s="83"/>
      <c r="U126" s="83"/>
      <c r="V126" s="83"/>
      <c r="W126" s="83"/>
      <c r="X126" s="83"/>
      <c r="Y126" s="83"/>
      <c r="Z126" s="83"/>
      <c r="AA126" s="83"/>
      <c r="AB126" s="83"/>
      <c r="AC126" s="83"/>
    </row>
    <row r="127" spans="1:29" x14ac:dyDescent="0.4">
      <c r="A127" s="83"/>
      <c r="B127" s="83"/>
      <c r="C127" s="83"/>
      <c r="D127" s="83"/>
      <c r="E127" s="83"/>
      <c r="F127" s="83"/>
      <c r="G127" s="83"/>
      <c r="H127" s="83"/>
      <c r="I127" s="83"/>
      <c r="J127" s="83"/>
      <c r="K127" s="83"/>
      <c r="L127" s="83"/>
      <c r="M127" s="83"/>
      <c r="N127" s="83"/>
      <c r="O127" s="83"/>
      <c r="P127" s="83"/>
      <c r="Q127" s="83"/>
      <c r="R127" s="83"/>
      <c r="S127" s="83"/>
      <c r="T127" s="83"/>
      <c r="U127" s="83"/>
      <c r="V127" s="83"/>
      <c r="W127" s="83"/>
      <c r="X127" s="83"/>
      <c r="Y127" s="83"/>
      <c r="Z127" s="83"/>
      <c r="AA127" s="83"/>
      <c r="AB127" s="83"/>
      <c r="AC127" s="83"/>
    </row>
    <row r="128" spans="1:29" x14ac:dyDescent="0.4">
      <c r="A128" s="83"/>
      <c r="B128" s="83"/>
      <c r="C128" s="83"/>
      <c r="D128" s="83"/>
      <c r="E128" s="83"/>
      <c r="F128" s="83"/>
      <c r="G128" s="83"/>
      <c r="H128" s="83"/>
      <c r="I128" s="83"/>
      <c r="J128" s="83"/>
      <c r="K128" s="83"/>
      <c r="L128" s="83"/>
      <c r="M128" s="83"/>
      <c r="N128" s="83"/>
      <c r="O128" s="83"/>
      <c r="P128" s="83"/>
      <c r="Q128" s="83"/>
      <c r="R128" s="83"/>
      <c r="S128" s="83"/>
      <c r="T128" s="83"/>
      <c r="U128" s="83"/>
      <c r="V128" s="83"/>
      <c r="W128" s="83"/>
      <c r="X128" s="83"/>
      <c r="Y128" s="83"/>
      <c r="Z128" s="83"/>
      <c r="AA128" s="83"/>
      <c r="AB128" s="83"/>
      <c r="AC128" s="83"/>
    </row>
    <row r="129" spans="1:29" x14ac:dyDescent="0.4">
      <c r="A129" s="83"/>
      <c r="B129" s="83"/>
      <c r="C129" s="83"/>
      <c r="D129" s="83"/>
      <c r="E129" s="83"/>
      <c r="F129" s="83"/>
      <c r="G129" s="83"/>
      <c r="H129" s="83"/>
      <c r="I129" s="83"/>
      <c r="J129" s="83"/>
      <c r="K129" s="83"/>
      <c r="L129" s="83"/>
      <c r="M129" s="83"/>
      <c r="N129" s="83"/>
      <c r="O129" s="83"/>
      <c r="P129" s="83"/>
      <c r="Q129" s="83"/>
      <c r="R129" s="83"/>
      <c r="S129" s="83"/>
      <c r="T129" s="83"/>
      <c r="U129" s="83"/>
      <c r="V129" s="83"/>
      <c r="W129" s="83"/>
      <c r="X129" s="83"/>
      <c r="Y129" s="83"/>
      <c r="Z129" s="83"/>
      <c r="AA129" s="83"/>
      <c r="AB129" s="83"/>
      <c r="AC129" s="83"/>
    </row>
    <row r="130" spans="1:29" x14ac:dyDescent="0.4">
      <c r="A130" s="83"/>
      <c r="B130" s="83"/>
      <c r="C130" s="83"/>
      <c r="D130" s="83"/>
      <c r="E130" s="83"/>
      <c r="F130" s="83"/>
      <c r="G130" s="83"/>
      <c r="H130" s="83"/>
      <c r="I130" s="83"/>
      <c r="J130" s="83"/>
      <c r="K130" s="83"/>
      <c r="L130" s="83"/>
      <c r="M130" s="83"/>
      <c r="N130" s="83"/>
      <c r="O130" s="83"/>
      <c r="P130" s="83"/>
      <c r="Q130" s="83"/>
      <c r="R130" s="83"/>
      <c r="S130" s="83"/>
      <c r="T130" s="83"/>
      <c r="U130" s="83"/>
      <c r="V130" s="83"/>
      <c r="W130" s="83"/>
      <c r="X130" s="83"/>
      <c r="Y130" s="83"/>
      <c r="Z130" s="83"/>
      <c r="AA130" s="83"/>
      <c r="AB130" s="83"/>
      <c r="AC130" s="83"/>
    </row>
    <row r="131" spans="1:29" x14ac:dyDescent="0.4">
      <c r="A131" s="83" t="s">
        <v>31</v>
      </c>
      <c r="B131" s="83"/>
      <c r="C131" s="83"/>
      <c r="D131" s="83"/>
      <c r="E131" s="83"/>
      <c r="F131" s="83"/>
      <c r="G131" s="83"/>
      <c r="H131" s="83"/>
      <c r="I131" s="83"/>
      <c r="J131" s="83"/>
      <c r="K131" s="83"/>
      <c r="L131" s="83"/>
      <c r="M131" s="83"/>
      <c r="N131" s="83"/>
      <c r="O131" s="83"/>
      <c r="P131" s="83"/>
      <c r="Q131" s="83"/>
      <c r="R131" s="83"/>
      <c r="S131" s="83"/>
      <c r="T131" s="83"/>
      <c r="U131" s="83"/>
      <c r="V131" s="83"/>
      <c r="W131" s="83"/>
      <c r="X131" s="83"/>
      <c r="Y131" s="83"/>
      <c r="Z131" s="83"/>
      <c r="AA131" s="83"/>
      <c r="AB131" s="83"/>
      <c r="AC131" s="83"/>
    </row>
    <row r="132" spans="1:29" x14ac:dyDescent="0.4">
      <c r="A132" s="83"/>
      <c r="B132" s="83"/>
      <c r="C132" s="83"/>
      <c r="D132" s="83"/>
      <c r="E132" s="83"/>
      <c r="F132" s="83"/>
      <c r="G132" s="83"/>
      <c r="H132" s="83"/>
      <c r="I132" s="83"/>
      <c r="J132" s="83"/>
      <c r="K132" s="83"/>
      <c r="L132" s="83"/>
      <c r="M132" s="83"/>
      <c r="N132" s="83"/>
      <c r="O132" s="83"/>
      <c r="P132" s="83"/>
      <c r="Q132" s="83"/>
      <c r="R132" s="83"/>
      <c r="S132" s="83"/>
      <c r="T132" s="83"/>
      <c r="U132" s="83"/>
      <c r="V132" s="83"/>
      <c r="W132" s="83"/>
      <c r="X132" s="83"/>
      <c r="Y132" s="83"/>
      <c r="Z132" s="83"/>
      <c r="AA132" s="83"/>
      <c r="AB132" s="83"/>
      <c r="AC132" s="83"/>
    </row>
    <row r="133" spans="1:29" x14ac:dyDescent="0.4">
      <c r="A133" s="83"/>
      <c r="B133" s="83"/>
      <c r="C133" s="83"/>
      <c r="D133" s="83"/>
      <c r="E133" s="83"/>
      <c r="F133" s="83"/>
      <c r="G133" s="83"/>
      <c r="H133" s="83"/>
      <c r="I133" s="83"/>
      <c r="J133" s="83"/>
      <c r="K133" s="83"/>
      <c r="L133" s="83"/>
      <c r="M133" s="83"/>
      <c r="N133" s="83"/>
      <c r="O133" s="83"/>
      <c r="P133" s="83"/>
      <c r="Q133" s="83"/>
      <c r="R133" s="83"/>
      <c r="S133" s="83"/>
      <c r="T133" s="83"/>
      <c r="U133" s="83"/>
      <c r="V133" s="83"/>
      <c r="W133" s="83"/>
      <c r="X133" s="83"/>
      <c r="Y133" s="83"/>
      <c r="Z133" s="83"/>
      <c r="AA133" s="83"/>
      <c r="AB133" s="83"/>
      <c r="AC133" s="83"/>
    </row>
    <row r="134" spans="1:29" x14ac:dyDescent="0.4">
      <c r="A134" s="83"/>
      <c r="B134" s="83"/>
      <c r="C134" s="83"/>
      <c r="D134" s="83"/>
      <c r="E134" s="83"/>
      <c r="F134" s="83"/>
      <c r="G134" s="83"/>
      <c r="H134" s="83"/>
      <c r="I134" s="83"/>
      <c r="J134" s="83"/>
      <c r="K134" s="83"/>
      <c r="L134" s="83"/>
      <c r="M134" s="83"/>
      <c r="N134" s="83"/>
      <c r="O134" s="83"/>
      <c r="P134" s="83"/>
      <c r="Q134" s="83"/>
      <c r="R134" s="83"/>
      <c r="S134" s="83"/>
      <c r="T134" s="83"/>
      <c r="U134" s="83"/>
      <c r="V134" s="83"/>
      <c r="W134" s="83"/>
      <c r="X134" s="83"/>
      <c r="Y134" s="83"/>
      <c r="Z134" s="83"/>
      <c r="AA134" s="83"/>
      <c r="AB134" s="83"/>
      <c r="AC134" s="83"/>
    </row>
    <row r="135" spans="1:29" x14ac:dyDescent="0.4">
      <c r="A135" s="83"/>
      <c r="B135" s="83"/>
      <c r="C135" s="83"/>
      <c r="D135" s="83"/>
      <c r="E135" s="83"/>
      <c r="F135" s="83"/>
      <c r="G135" s="83"/>
      <c r="H135" s="83"/>
      <c r="I135" s="83"/>
      <c r="J135" s="83"/>
      <c r="K135" s="83"/>
      <c r="L135" s="83"/>
      <c r="M135" s="83"/>
      <c r="N135" s="83"/>
      <c r="O135" s="83"/>
      <c r="P135" s="83"/>
      <c r="Q135" s="83"/>
      <c r="R135" s="83"/>
      <c r="S135" s="83"/>
      <c r="T135" s="83"/>
      <c r="U135" s="83"/>
      <c r="V135" s="83"/>
      <c r="W135" s="83"/>
      <c r="X135" s="83"/>
      <c r="Y135" s="83"/>
      <c r="Z135" s="83"/>
      <c r="AA135" s="83"/>
      <c r="AB135" s="83"/>
      <c r="AC135" s="83"/>
    </row>
    <row r="136" spans="1:29" x14ac:dyDescent="0.4">
      <c r="A136" s="83"/>
      <c r="B136" s="83"/>
      <c r="C136" s="83"/>
      <c r="D136" s="83"/>
      <c r="E136" s="83"/>
      <c r="F136" s="83"/>
      <c r="G136" s="83"/>
      <c r="H136" s="83"/>
      <c r="I136" s="83"/>
      <c r="J136" s="83"/>
      <c r="K136" s="83"/>
      <c r="L136" s="83"/>
      <c r="M136" s="83"/>
      <c r="N136" s="83"/>
      <c r="O136" s="83"/>
      <c r="P136" s="83"/>
      <c r="Q136" s="83"/>
      <c r="R136" s="83"/>
      <c r="S136" s="83"/>
      <c r="T136" s="83"/>
      <c r="U136" s="83"/>
      <c r="V136" s="83"/>
      <c r="W136" s="83"/>
      <c r="X136" s="83"/>
      <c r="Y136" s="83"/>
      <c r="Z136" s="83"/>
      <c r="AA136" s="83"/>
      <c r="AB136" s="83"/>
      <c r="AC136" s="83"/>
    </row>
    <row r="137" spans="1:29" x14ac:dyDescent="0.4">
      <c r="A137" s="83"/>
      <c r="B137" s="83"/>
      <c r="C137" s="83"/>
      <c r="D137" s="83"/>
      <c r="E137" s="83"/>
      <c r="F137" s="83"/>
      <c r="G137" s="83"/>
      <c r="H137" s="83"/>
      <c r="I137" s="83"/>
      <c r="J137" s="83"/>
      <c r="K137" s="83"/>
      <c r="L137" s="83"/>
      <c r="M137" s="83"/>
      <c r="N137" s="83"/>
      <c r="O137" s="83"/>
      <c r="P137" s="83"/>
      <c r="Q137" s="83"/>
      <c r="R137" s="83"/>
      <c r="S137" s="83"/>
      <c r="T137" s="83"/>
      <c r="U137" s="83"/>
      <c r="V137" s="83"/>
      <c r="W137" s="83"/>
      <c r="X137" s="83"/>
      <c r="Y137" s="83"/>
      <c r="Z137" s="83"/>
      <c r="AA137" s="83"/>
      <c r="AB137" s="83"/>
      <c r="AC137" s="83"/>
    </row>
    <row r="138" spans="1:29" x14ac:dyDescent="0.4">
      <c r="A138" s="83"/>
      <c r="B138" s="83"/>
      <c r="C138" s="83"/>
      <c r="D138" s="83"/>
      <c r="E138" s="83"/>
      <c r="F138" s="83"/>
      <c r="G138" s="83"/>
      <c r="H138" s="83"/>
      <c r="I138" s="83"/>
      <c r="J138" s="83"/>
      <c r="K138" s="83"/>
      <c r="L138" s="83"/>
      <c r="M138" s="83"/>
      <c r="N138" s="83"/>
      <c r="O138" s="83"/>
      <c r="P138" s="83"/>
      <c r="Q138" s="83"/>
      <c r="R138" s="83"/>
      <c r="S138" s="83"/>
      <c r="T138" s="83"/>
      <c r="U138" s="83"/>
      <c r="V138" s="83"/>
      <c r="W138" s="83"/>
      <c r="X138" s="83"/>
      <c r="Y138" s="83"/>
      <c r="Z138" s="83"/>
      <c r="AA138" s="83"/>
      <c r="AB138" s="83"/>
      <c r="AC138" s="83"/>
    </row>
    <row r="139" spans="1:29" x14ac:dyDescent="0.4">
      <c r="A139" s="83"/>
      <c r="B139" s="83"/>
      <c r="C139" s="83"/>
      <c r="D139" s="83"/>
      <c r="E139" s="83"/>
      <c r="F139" s="83"/>
      <c r="G139" s="83"/>
      <c r="H139" s="83"/>
      <c r="I139" s="83"/>
      <c r="J139" s="83"/>
      <c r="K139" s="83"/>
      <c r="L139" s="83"/>
      <c r="M139" s="83"/>
      <c r="N139" s="83"/>
      <c r="O139" s="83"/>
      <c r="P139" s="83"/>
      <c r="Q139" s="83"/>
      <c r="R139" s="83"/>
      <c r="S139" s="83"/>
      <c r="T139" s="83"/>
      <c r="U139" s="83"/>
      <c r="V139" s="83"/>
      <c r="W139" s="83"/>
      <c r="X139" s="83"/>
      <c r="Y139" s="83"/>
      <c r="Z139" s="83"/>
      <c r="AA139" s="83"/>
      <c r="AB139" s="83"/>
      <c r="AC139" s="83"/>
    </row>
    <row r="140" spans="1:29" x14ac:dyDescent="0.4">
      <c r="A140" s="83"/>
      <c r="B140" s="83"/>
      <c r="C140" s="83"/>
      <c r="D140" s="83"/>
      <c r="E140" s="83"/>
      <c r="F140" s="83"/>
      <c r="G140" s="83"/>
      <c r="H140" s="83"/>
      <c r="I140" s="83"/>
      <c r="J140" s="83"/>
      <c r="K140" s="83"/>
      <c r="L140" s="83"/>
      <c r="M140" s="83"/>
      <c r="N140" s="83"/>
      <c r="O140" s="83"/>
      <c r="P140" s="83"/>
      <c r="Q140" s="83"/>
      <c r="R140" s="83"/>
      <c r="S140" s="83"/>
      <c r="T140" s="83"/>
      <c r="U140" s="83"/>
      <c r="V140" s="83"/>
      <c r="W140" s="83"/>
      <c r="X140" s="83"/>
      <c r="Y140" s="83"/>
      <c r="Z140" s="83"/>
      <c r="AA140" s="83"/>
      <c r="AB140" s="83"/>
      <c r="AC140" s="83"/>
    </row>
    <row r="141" spans="1:29" x14ac:dyDescent="0.4">
      <c r="A141" s="83"/>
      <c r="B141" s="83"/>
      <c r="C141" s="83"/>
      <c r="D141" s="83"/>
      <c r="E141" s="83"/>
      <c r="F141" s="83"/>
      <c r="G141" s="83"/>
      <c r="H141" s="83"/>
      <c r="I141" s="83"/>
      <c r="J141" s="83"/>
      <c r="K141" s="83"/>
      <c r="L141" s="83"/>
      <c r="M141" s="83"/>
      <c r="N141" s="83"/>
      <c r="O141" s="83"/>
      <c r="P141" s="83"/>
      <c r="Q141" s="83"/>
      <c r="R141" s="83"/>
      <c r="S141" s="83"/>
      <c r="T141" s="83"/>
      <c r="U141" s="83"/>
      <c r="V141" s="83"/>
      <c r="W141" s="83"/>
      <c r="X141" s="83"/>
      <c r="Y141" s="83"/>
      <c r="Z141" s="83"/>
      <c r="AA141" s="83"/>
      <c r="AB141" s="83"/>
      <c r="AC141" s="83"/>
    </row>
    <row r="142" spans="1:29" x14ac:dyDescent="0.4">
      <c r="A142" s="83"/>
      <c r="B142" s="83"/>
      <c r="C142" s="83"/>
      <c r="D142" s="83"/>
      <c r="E142" s="83"/>
      <c r="F142" s="83"/>
      <c r="G142" s="83"/>
      <c r="H142" s="83"/>
      <c r="I142" s="83"/>
      <c r="J142" s="83"/>
      <c r="K142" s="83"/>
      <c r="L142" s="83"/>
      <c r="M142" s="83"/>
      <c r="N142" s="83"/>
      <c r="O142" s="83"/>
      <c r="P142" s="83"/>
      <c r="Q142" s="83"/>
      <c r="R142" s="83"/>
      <c r="S142" s="83"/>
      <c r="T142" s="83"/>
      <c r="U142" s="83"/>
      <c r="V142" s="83"/>
      <c r="W142" s="83"/>
      <c r="X142" s="83"/>
      <c r="Y142" s="83"/>
      <c r="Z142" s="83"/>
      <c r="AA142" s="83"/>
      <c r="AB142" s="83"/>
      <c r="AC142" s="83"/>
    </row>
    <row r="143" spans="1:29" x14ac:dyDescent="0.4">
      <c r="A143" s="83"/>
      <c r="B143" s="83"/>
      <c r="C143" s="83"/>
      <c r="D143" s="83"/>
      <c r="E143" s="83"/>
      <c r="F143" s="83"/>
      <c r="G143" s="83"/>
      <c r="H143" s="83"/>
      <c r="I143" s="83"/>
      <c r="J143" s="83"/>
      <c r="K143" s="83"/>
      <c r="L143" s="83"/>
      <c r="M143" s="83"/>
      <c r="N143" s="83"/>
      <c r="O143" s="83"/>
      <c r="P143" s="83"/>
      <c r="Q143" s="83"/>
      <c r="R143" s="83"/>
      <c r="S143" s="83"/>
      <c r="T143" s="83"/>
      <c r="U143" s="83"/>
      <c r="V143" s="83"/>
      <c r="W143" s="83"/>
      <c r="X143" s="83"/>
      <c r="Y143" s="83"/>
      <c r="Z143" s="83"/>
      <c r="AA143" s="83"/>
      <c r="AB143" s="83"/>
      <c r="AC143" s="83"/>
    </row>
    <row r="144" spans="1:29" x14ac:dyDescent="0.4">
      <c r="A144" s="83"/>
      <c r="B144" s="83"/>
      <c r="C144" s="83"/>
      <c r="D144" s="83"/>
      <c r="E144" s="83"/>
      <c r="F144" s="83"/>
      <c r="G144" s="83"/>
      <c r="H144" s="83"/>
      <c r="I144" s="83"/>
      <c r="J144" s="83"/>
      <c r="K144" s="83"/>
      <c r="L144" s="83"/>
      <c r="M144" s="83"/>
      <c r="N144" s="83"/>
      <c r="O144" s="83"/>
      <c r="P144" s="83"/>
      <c r="Q144" s="83"/>
      <c r="R144" s="83"/>
      <c r="S144" s="83"/>
      <c r="T144" s="83"/>
      <c r="U144" s="83"/>
      <c r="V144" s="83"/>
      <c r="W144" s="83"/>
      <c r="X144" s="83"/>
      <c r="Y144" s="83"/>
      <c r="Z144" s="83"/>
      <c r="AA144" s="83"/>
      <c r="AB144" s="83"/>
      <c r="AC144" s="83"/>
    </row>
    <row r="145" spans="1:29" x14ac:dyDescent="0.4">
      <c r="A145" s="83"/>
      <c r="B145" s="83"/>
      <c r="C145" s="83"/>
      <c r="D145" s="83"/>
      <c r="E145" s="83"/>
      <c r="F145" s="83"/>
      <c r="G145" s="83"/>
      <c r="H145" s="83"/>
      <c r="I145" s="83"/>
      <c r="J145" s="83"/>
      <c r="K145" s="83"/>
      <c r="L145" s="83"/>
      <c r="M145" s="83"/>
      <c r="N145" s="83"/>
      <c r="O145" s="83"/>
      <c r="P145" s="83"/>
      <c r="Q145" s="83"/>
      <c r="R145" s="83"/>
      <c r="S145" s="83"/>
      <c r="T145" s="83"/>
      <c r="U145" s="83"/>
      <c r="V145" s="83"/>
      <c r="W145" s="83"/>
      <c r="X145" s="83"/>
      <c r="Y145" s="83"/>
      <c r="Z145" s="83"/>
      <c r="AA145" s="83"/>
      <c r="AB145" s="83"/>
      <c r="AC145" s="83"/>
    </row>
    <row r="146" spans="1:29" x14ac:dyDescent="0.4">
      <c r="A146" s="83"/>
      <c r="B146" s="83"/>
      <c r="C146" s="83"/>
      <c r="D146" s="83"/>
      <c r="E146" s="83"/>
      <c r="F146" s="83"/>
      <c r="G146" s="83"/>
      <c r="H146" s="83"/>
      <c r="I146" s="83"/>
      <c r="J146" s="83"/>
      <c r="K146" s="83"/>
      <c r="L146" s="83"/>
      <c r="M146" s="83"/>
      <c r="N146" s="83"/>
      <c r="O146" s="83"/>
      <c r="P146" s="83"/>
      <c r="Q146" s="83"/>
      <c r="R146" s="83"/>
      <c r="S146" s="83"/>
      <c r="T146" s="83"/>
      <c r="U146" s="83"/>
      <c r="V146" s="83"/>
      <c r="W146" s="83"/>
      <c r="X146" s="83"/>
      <c r="Y146" s="83"/>
      <c r="Z146" s="83"/>
      <c r="AA146" s="83"/>
      <c r="AB146" s="83"/>
      <c r="AC146" s="83"/>
    </row>
    <row r="147" spans="1:29" x14ac:dyDescent="0.4">
      <c r="A147" s="83"/>
      <c r="B147" s="83"/>
      <c r="C147" s="83"/>
      <c r="D147" s="83"/>
      <c r="E147" s="83"/>
      <c r="F147" s="83"/>
      <c r="G147" s="83"/>
      <c r="H147" s="83"/>
      <c r="I147" s="83"/>
      <c r="J147" s="83"/>
      <c r="K147" s="83"/>
      <c r="L147" s="83"/>
      <c r="M147" s="83"/>
      <c r="N147" s="83"/>
      <c r="O147" s="83"/>
      <c r="P147" s="83"/>
      <c r="Q147" s="83"/>
      <c r="R147" s="83"/>
      <c r="S147" s="83"/>
      <c r="T147" s="83"/>
      <c r="U147" s="83"/>
      <c r="V147" s="83"/>
      <c r="W147" s="83"/>
      <c r="X147" s="83"/>
      <c r="Y147" s="83"/>
      <c r="Z147" s="83"/>
      <c r="AA147" s="83"/>
      <c r="AB147" s="83"/>
      <c r="AC147" s="83"/>
    </row>
    <row r="148" spans="1:29" x14ac:dyDescent="0.4">
      <c r="A148" s="83"/>
      <c r="B148" s="83"/>
      <c r="C148" s="83"/>
      <c r="D148" s="83"/>
      <c r="E148" s="83"/>
      <c r="F148" s="83"/>
      <c r="G148" s="83"/>
      <c r="H148" s="83"/>
      <c r="I148" s="83"/>
      <c r="J148" s="83"/>
      <c r="K148" s="83"/>
      <c r="L148" s="83"/>
      <c r="M148" s="83"/>
      <c r="N148" s="83"/>
      <c r="O148" s="83"/>
      <c r="P148" s="83"/>
      <c r="Q148" s="83"/>
      <c r="R148" s="83"/>
      <c r="S148" s="83"/>
      <c r="T148" s="83"/>
      <c r="U148" s="83"/>
      <c r="V148" s="83"/>
      <c r="W148" s="83"/>
      <c r="X148" s="83"/>
      <c r="Y148" s="83"/>
      <c r="Z148" s="83"/>
      <c r="AA148" s="83"/>
      <c r="AB148" s="83"/>
      <c r="AC148" s="83"/>
    </row>
    <row r="149" spans="1:29" x14ac:dyDescent="0.4">
      <c r="A149" s="83"/>
      <c r="B149" s="83"/>
      <c r="C149" s="83"/>
      <c r="D149" s="83"/>
      <c r="E149" s="83"/>
      <c r="F149" s="83"/>
      <c r="G149" s="83"/>
      <c r="H149" s="83"/>
      <c r="I149" s="83"/>
      <c r="J149" s="83"/>
      <c r="K149" s="83"/>
      <c r="L149" s="83"/>
      <c r="M149" s="83"/>
      <c r="N149" s="83"/>
      <c r="O149" s="83"/>
      <c r="P149" s="83"/>
      <c r="Q149" s="83"/>
      <c r="R149" s="83"/>
      <c r="S149" s="83"/>
      <c r="T149" s="83"/>
      <c r="U149" s="83"/>
      <c r="V149" s="83"/>
      <c r="W149" s="83"/>
      <c r="X149" s="83"/>
      <c r="Y149" s="83"/>
      <c r="Z149" s="83"/>
      <c r="AA149" s="83"/>
      <c r="AB149" s="83"/>
      <c r="AC149" s="83"/>
    </row>
    <row r="150" spans="1:29" x14ac:dyDescent="0.4">
      <c r="A150" s="83"/>
      <c r="B150" s="83"/>
      <c r="C150" s="83"/>
      <c r="D150" s="83"/>
      <c r="E150" s="83"/>
      <c r="F150" s="83"/>
      <c r="G150" s="83"/>
      <c r="H150" s="83"/>
      <c r="I150" s="83"/>
      <c r="J150" s="83"/>
      <c r="K150" s="83"/>
      <c r="L150" s="83"/>
      <c r="M150" s="83"/>
      <c r="N150" s="83"/>
      <c r="O150" s="83"/>
      <c r="P150" s="83"/>
      <c r="Q150" s="83"/>
      <c r="R150" s="83"/>
      <c r="S150" s="83"/>
      <c r="T150" s="83"/>
      <c r="U150" s="83"/>
      <c r="V150" s="83"/>
      <c r="W150" s="83"/>
      <c r="X150" s="83"/>
      <c r="Y150" s="83"/>
      <c r="Z150" s="83"/>
      <c r="AA150" s="83"/>
      <c r="AB150" s="83"/>
      <c r="AC150" s="83"/>
    </row>
    <row r="151" spans="1:29" x14ac:dyDescent="0.4">
      <c r="A151" s="83"/>
      <c r="B151" s="83"/>
      <c r="C151" s="83"/>
      <c r="D151" s="83"/>
      <c r="E151" s="83"/>
      <c r="F151" s="83"/>
      <c r="G151" s="83"/>
      <c r="H151" s="83"/>
      <c r="I151" s="83"/>
      <c r="J151" s="83"/>
      <c r="K151" s="83"/>
      <c r="L151" s="83"/>
      <c r="M151" s="83"/>
      <c r="N151" s="83"/>
      <c r="O151" s="83"/>
      <c r="P151" s="83"/>
      <c r="Q151" s="83"/>
      <c r="R151" s="83"/>
      <c r="S151" s="83"/>
      <c r="T151" s="83"/>
      <c r="U151" s="83"/>
      <c r="V151" s="83"/>
      <c r="W151" s="83"/>
      <c r="X151" s="83"/>
      <c r="Y151" s="83"/>
      <c r="Z151" s="83"/>
      <c r="AA151" s="83"/>
      <c r="AB151" s="83"/>
      <c r="AC151" s="83"/>
    </row>
    <row r="282" spans="1:1" x14ac:dyDescent="0.4">
      <c r="A282" s="80" t="s">
        <v>32</v>
      </c>
    </row>
    <row r="283" spans="1:1" x14ac:dyDescent="0.4">
      <c r="A283" s="80" t="s">
        <v>33</v>
      </c>
    </row>
  </sheetData>
  <mergeCells count="8">
    <mergeCell ref="A5:C6"/>
    <mergeCell ref="A7:C13"/>
    <mergeCell ref="A18:C20"/>
    <mergeCell ref="E1:H1"/>
    <mergeCell ref="A14:A16"/>
    <mergeCell ref="B14:B16"/>
    <mergeCell ref="C14:C16"/>
    <mergeCell ref="A3:C4"/>
  </mergeCells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W99"/>
  <sheetViews>
    <sheetView showGridLines="0" topLeftCell="A3" zoomScale="69" zoomScaleNormal="70" workbookViewId="0">
      <selection activeCell="E22" sqref="E22"/>
    </sheetView>
  </sheetViews>
  <sheetFormatPr defaultRowHeight="14.4" x14ac:dyDescent="0.3"/>
  <cols>
    <col min="1" max="1" width="14.77734375" bestFit="1" customWidth="1"/>
    <col min="2" max="2" width="19.77734375" bestFit="1" customWidth="1"/>
    <col min="3" max="4" width="13.77734375" bestFit="1" customWidth="1"/>
    <col min="6" max="6" width="14.77734375" bestFit="1" customWidth="1"/>
    <col min="7" max="7" width="19.77734375" bestFit="1" customWidth="1"/>
    <col min="8" max="9" width="12.6640625" bestFit="1" customWidth="1"/>
    <col min="11" max="11" width="14.77734375" bestFit="1" customWidth="1"/>
    <col min="12" max="12" width="19.77734375" bestFit="1" customWidth="1"/>
    <col min="13" max="14" width="12.6640625" bestFit="1" customWidth="1"/>
    <col min="15" max="15" width="12.44140625" bestFit="1" customWidth="1"/>
    <col min="16" max="16" width="14" bestFit="1" customWidth="1"/>
    <col min="17" max="17" width="17.6640625" bestFit="1" customWidth="1"/>
    <col min="18" max="18" width="12.5546875" bestFit="1" customWidth="1"/>
    <col min="19" max="19" width="13.5546875" bestFit="1" customWidth="1"/>
    <col min="21" max="21" width="14" bestFit="1" customWidth="1"/>
    <col min="22" max="22" width="17.6640625" bestFit="1" customWidth="1"/>
    <col min="23" max="23" width="10.88671875" bestFit="1" customWidth="1"/>
    <col min="24" max="24" width="12.5546875" bestFit="1" customWidth="1"/>
    <col min="26" max="26" width="14.6640625" bestFit="1" customWidth="1"/>
    <col min="27" max="27" width="17.33203125" bestFit="1" customWidth="1"/>
    <col min="28" max="28" width="11.109375" bestFit="1" customWidth="1"/>
    <col min="29" max="29" width="12.6640625" bestFit="1" customWidth="1"/>
    <col min="31" max="31" width="14.109375" bestFit="1" customWidth="1"/>
    <col min="32" max="32" width="17.88671875" bestFit="1" customWidth="1"/>
    <col min="33" max="33" width="19.44140625" customWidth="1"/>
    <col min="34" max="34" width="12.6640625" bestFit="1" customWidth="1"/>
    <col min="36" max="36" width="14.109375" bestFit="1" customWidth="1"/>
    <col min="37" max="37" width="17.88671875" bestFit="1" customWidth="1"/>
    <col min="38" max="38" width="12.6640625" bestFit="1" customWidth="1"/>
    <col min="39" max="39" width="13.6640625" bestFit="1" customWidth="1"/>
    <col min="41" max="41" width="14.109375" bestFit="1" customWidth="1"/>
    <col min="42" max="42" width="17.88671875" bestFit="1" customWidth="1"/>
    <col min="43" max="43" width="12.6640625" bestFit="1" customWidth="1"/>
    <col min="44" max="44" width="13.6640625" bestFit="1" customWidth="1"/>
    <col min="46" max="46" width="14.33203125" bestFit="1" customWidth="1"/>
    <col min="47" max="47" width="18.109375" bestFit="1" customWidth="1"/>
    <col min="48" max="48" width="12.33203125" bestFit="1" customWidth="1"/>
    <col min="49" max="49" width="13.33203125" bestFit="1" customWidth="1"/>
    <col min="51" max="51" width="14.33203125" bestFit="1" customWidth="1"/>
    <col min="52" max="52" width="18.109375" bestFit="1" customWidth="1"/>
    <col min="53" max="53" width="10.6640625" bestFit="1" customWidth="1"/>
    <col min="54" max="54" width="12.33203125" bestFit="1" customWidth="1"/>
  </cols>
  <sheetData>
    <row r="1" spans="1:49" s="135" customFormat="1" ht="39" hidden="1" customHeight="1" x14ac:dyDescent="0.3"/>
    <row r="2" spans="1:49" s="135" customFormat="1" ht="153" hidden="1" customHeight="1" x14ac:dyDescent="0.3"/>
    <row r="3" spans="1:49" x14ac:dyDescent="0.3">
      <c r="A3" s="44"/>
      <c r="B3" s="44"/>
      <c r="C3" s="14"/>
      <c r="D3" s="14"/>
      <c r="F3" s="44"/>
      <c r="G3" s="44"/>
      <c r="H3" s="14"/>
      <c r="I3" s="14"/>
      <c r="K3" s="44"/>
      <c r="L3" s="44"/>
      <c r="M3" s="14"/>
      <c r="N3" s="14"/>
      <c r="P3" s="44"/>
      <c r="Q3" s="44"/>
      <c r="R3" s="14"/>
      <c r="S3" s="14"/>
      <c r="U3" s="44"/>
      <c r="V3" s="44"/>
      <c r="W3" s="14"/>
      <c r="X3" s="14"/>
      <c r="Z3" s="44"/>
      <c r="AA3" s="44"/>
      <c r="AB3" s="14"/>
      <c r="AC3" s="14"/>
      <c r="AE3" s="44"/>
      <c r="AF3" s="44"/>
      <c r="AG3" s="14"/>
      <c r="AH3" s="14"/>
      <c r="AJ3" s="44"/>
      <c r="AK3" s="44"/>
      <c r="AL3" s="14"/>
      <c r="AM3" s="14"/>
      <c r="AO3" s="44"/>
      <c r="AP3" s="44"/>
      <c r="AQ3" s="14"/>
      <c r="AR3" s="14"/>
      <c r="AT3" s="14"/>
      <c r="AU3" s="14"/>
      <c r="AV3" s="14"/>
      <c r="AW3" s="14"/>
    </row>
    <row r="4" spans="1:49" x14ac:dyDescent="0.3">
      <c r="A4" s="44"/>
      <c r="B4" s="44"/>
      <c r="C4" s="14"/>
      <c r="D4" s="14"/>
      <c r="F4" s="44"/>
      <c r="G4" s="44"/>
      <c r="H4" s="14"/>
      <c r="I4" s="14"/>
      <c r="K4" s="44"/>
      <c r="L4" s="44"/>
      <c r="M4" s="14"/>
      <c r="N4" s="14"/>
      <c r="P4" s="44"/>
      <c r="Q4" s="44"/>
      <c r="R4" s="14"/>
      <c r="S4" s="14"/>
      <c r="U4" s="44"/>
      <c r="V4" s="44"/>
      <c r="W4" s="14"/>
      <c r="X4" s="14"/>
      <c r="Z4" s="44"/>
      <c r="AA4" s="44"/>
      <c r="AB4" s="14"/>
      <c r="AC4" s="14"/>
      <c r="AE4" s="44"/>
      <c r="AF4" s="44"/>
      <c r="AG4" s="14"/>
      <c r="AH4" s="14"/>
      <c r="AJ4" s="44"/>
      <c r="AK4" s="44"/>
      <c r="AL4" s="14"/>
      <c r="AM4" s="14"/>
      <c r="AO4" s="44"/>
      <c r="AP4" s="44"/>
      <c r="AQ4" s="14"/>
      <c r="AR4" s="14"/>
      <c r="AT4" s="14"/>
      <c r="AU4" s="14"/>
      <c r="AV4" s="14"/>
      <c r="AW4" s="14"/>
    </row>
    <row r="5" spans="1:49" x14ac:dyDescent="0.3">
      <c r="A5" s="14"/>
      <c r="B5" s="14"/>
      <c r="C5" s="14"/>
      <c r="D5" s="14"/>
      <c r="F5" s="14"/>
      <c r="G5" s="14"/>
      <c r="H5" s="14"/>
      <c r="I5" s="14"/>
      <c r="K5" s="14"/>
      <c r="L5" s="14"/>
      <c r="M5" s="14"/>
      <c r="N5" s="14"/>
      <c r="P5" s="14"/>
      <c r="Q5" s="14"/>
      <c r="R5" s="14"/>
      <c r="S5" s="14"/>
      <c r="U5" s="14"/>
      <c r="V5" s="14"/>
      <c r="W5" s="14"/>
      <c r="X5" s="14"/>
      <c r="Z5" s="14"/>
      <c r="AA5" s="14"/>
      <c r="AB5" s="14"/>
      <c r="AC5" s="14"/>
      <c r="AE5" s="14"/>
      <c r="AF5" s="14"/>
      <c r="AG5" s="14"/>
      <c r="AH5" s="14"/>
      <c r="AJ5" s="14"/>
      <c r="AK5" s="14"/>
      <c r="AL5" s="14"/>
      <c r="AM5" s="14"/>
      <c r="AO5" s="14"/>
      <c r="AP5" s="14"/>
      <c r="AQ5" s="14"/>
      <c r="AR5" s="14"/>
      <c r="AT5" s="14"/>
      <c r="AU5" s="14"/>
      <c r="AV5" s="14"/>
      <c r="AW5" s="14"/>
    </row>
    <row r="6" spans="1:49" x14ac:dyDescent="0.3">
      <c r="A6" s="99"/>
      <c r="B6" s="45"/>
      <c r="C6" s="45"/>
      <c r="D6" s="45"/>
      <c r="F6" s="99"/>
      <c r="G6" s="45"/>
      <c r="H6" s="45"/>
      <c r="I6" s="45"/>
      <c r="K6" s="99"/>
      <c r="L6" s="45"/>
      <c r="M6" s="45"/>
      <c r="N6" s="45"/>
      <c r="P6" s="67"/>
      <c r="Q6" s="45"/>
      <c r="R6" s="45"/>
      <c r="S6" s="45"/>
      <c r="U6" s="67"/>
      <c r="V6" s="45"/>
      <c r="W6" s="45"/>
      <c r="X6" s="45"/>
      <c r="Z6" s="58"/>
      <c r="AA6" s="45"/>
      <c r="AB6" s="45"/>
      <c r="AC6" s="45"/>
      <c r="AE6" s="51"/>
      <c r="AF6" s="45"/>
      <c r="AG6" s="45"/>
      <c r="AH6" s="45"/>
      <c r="AJ6" s="51"/>
      <c r="AK6" s="45"/>
      <c r="AL6" s="45"/>
      <c r="AM6" s="45"/>
      <c r="AO6" s="51"/>
      <c r="AP6" s="45"/>
      <c r="AQ6" s="45"/>
      <c r="AR6" s="45"/>
      <c r="AT6" s="14"/>
      <c r="AU6" s="14"/>
      <c r="AV6" s="14"/>
      <c r="AW6" s="14"/>
    </row>
    <row r="7" spans="1:49" x14ac:dyDescent="0.3">
      <c r="A7" s="99"/>
      <c r="B7" s="45"/>
      <c r="C7" s="45"/>
      <c r="D7" s="45"/>
      <c r="F7" s="99"/>
      <c r="G7" s="45"/>
      <c r="H7" s="45"/>
      <c r="I7" s="45"/>
      <c r="K7" s="99"/>
      <c r="L7" s="45"/>
      <c r="M7" s="45"/>
      <c r="N7" s="45"/>
      <c r="P7" s="67"/>
      <c r="Q7" s="45"/>
      <c r="R7" s="45"/>
      <c r="S7" s="45"/>
      <c r="U7" s="67"/>
      <c r="V7" s="45"/>
      <c r="W7" s="45"/>
      <c r="X7" s="45"/>
      <c r="Z7" s="58"/>
      <c r="AA7" s="45"/>
      <c r="AB7" s="45"/>
      <c r="AC7" s="45"/>
      <c r="AE7" s="51"/>
      <c r="AF7" s="45"/>
      <c r="AG7" s="45"/>
      <c r="AH7" s="45"/>
      <c r="AJ7" s="51"/>
      <c r="AK7" s="45"/>
      <c r="AL7" s="45"/>
      <c r="AM7" s="45"/>
      <c r="AO7" s="51"/>
      <c r="AP7" s="45"/>
      <c r="AQ7" s="45"/>
      <c r="AR7" s="45"/>
      <c r="AT7" s="14"/>
      <c r="AU7" s="14"/>
      <c r="AV7" s="14"/>
      <c r="AW7" s="14"/>
    </row>
    <row r="8" spans="1:49" x14ac:dyDescent="0.3">
      <c r="A8" s="99"/>
      <c r="B8" s="45"/>
      <c r="C8" s="45"/>
      <c r="D8" s="45"/>
      <c r="F8" s="99"/>
      <c r="G8" s="45"/>
      <c r="H8" s="45"/>
      <c r="I8" s="45"/>
      <c r="K8" s="99"/>
      <c r="L8" s="45"/>
      <c r="M8" s="45"/>
      <c r="N8" s="45"/>
      <c r="P8" s="67"/>
      <c r="Q8" s="45"/>
      <c r="R8" s="45"/>
      <c r="S8" s="45"/>
      <c r="U8" s="67"/>
      <c r="V8" s="45"/>
      <c r="W8" s="45"/>
      <c r="X8" s="45"/>
      <c r="Z8" s="58"/>
      <c r="AA8" s="45"/>
      <c r="AB8" s="45"/>
      <c r="AC8" s="45"/>
      <c r="AE8" s="51"/>
      <c r="AF8" s="45"/>
      <c r="AG8" s="45"/>
      <c r="AH8" s="45"/>
      <c r="AJ8" s="51"/>
      <c r="AK8" s="45"/>
      <c r="AL8" s="45"/>
      <c r="AM8" s="45"/>
      <c r="AO8" s="51"/>
      <c r="AP8" s="45"/>
      <c r="AQ8" s="45"/>
      <c r="AR8" s="45"/>
      <c r="AT8" s="14"/>
      <c r="AU8" s="14"/>
      <c r="AV8" s="14"/>
      <c r="AW8" s="14"/>
    </row>
    <row r="9" spans="1:49" x14ac:dyDescent="0.3">
      <c r="A9" s="99"/>
      <c r="B9" s="45"/>
      <c r="C9" s="45"/>
      <c r="D9" s="45"/>
      <c r="F9" s="99"/>
      <c r="G9" s="45"/>
      <c r="H9" s="45"/>
      <c r="I9" s="45"/>
      <c r="K9" s="99"/>
      <c r="L9" s="45"/>
      <c r="M9" s="45"/>
      <c r="N9" s="45"/>
      <c r="P9" s="67"/>
      <c r="Q9" s="45"/>
      <c r="R9" s="45"/>
      <c r="S9" s="45"/>
      <c r="U9" s="67"/>
      <c r="V9" s="45"/>
      <c r="W9" s="45"/>
      <c r="X9" s="45"/>
      <c r="Z9" s="58"/>
      <c r="AA9" s="45"/>
      <c r="AB9" s="45"/>
      <c r="AC9" s="45"/>
      <c r="AE9" s="51"/>
      <c r="AF9" s="45"/>
      <c r="AG9" s="45"/>
      <c r="AH9" s="45"/>
      <c r="AJ9" s="51"/>
      <c r="AK9" s="45"/>
      <c r="AL9" s="45"/>
      <c r="AM9" s="45"/>
      <c r="AO9" s="51"/>
      <c r="AP9" s="45"/>
      <c r="AQ9" s="45"/>
      <c r="AR9" s="45"/>
      <c r="AT9" s="14"/>
      <c r="AU9" s="14"/>
      <c r="AV9" s="14"/>
      <c r="AW9" s="14"/>
    </row>
    <row r="10" spans="1:49" x14ac:dyDescent="0.3">
      <c r="A10" s="99"/>
      <c r="B10" s="45"/>
      <c r="C10" s="45"/>
      <c r="D10" s="45"/>
      <c r="F10" s="99"/>
      <c r="G10" s="45"/>
      <c r="H10" s="45"/>
      <c r="I10" s="45"/>
      <c r="K10" s="99"/>
      <c r="L10" s="45"/>
      <c r="M10" s="45"/>
      <c r="N10" s="45"/>
      <c r="P10" s="67"/>
      <c r="Q10" s="45"/>
      <c r="R10" s="45"/>
      <c r="S10" s="45"/>
      <c r="U10" s="67"/>
      <c r="V10" s="45"/>
      <c r="W10" s="45"/>
      <c r="X10" s="45"/>
      <c r="Z10" s="58"/>
      <c r="AA10" s="45"/>
      <c r="AB10" s="45"/>
      <c r="AC10" s="45"/>
      <c r="AE10" s="51"/>
      <c r="AF10" s="45"/>
      <c r="AG10" s="45"/>
      <c r="AH10" s="45"/>
      <c r="AJ10" s="51"/>
      <c r="AK10" s="45"/>
      <c r="AL10" s="45"/>
      <c r="AM10" s="45"/>
      <c r="AO10" s="51"/>
      <c r="AP10" s="45"/>
      <c r="AQ10" s="45"/>
      <c r="AR10" s="45"/>
      <c r="AT10" s="14"/>
      <c r="AU10" s="14"/>
      <c r="AV10" s="14"/>
      <c r="AW10" s="14"/>
    </row>
    <row r="11" spans="1:49" x14ac:dyDescent="0.3">
      <c r="A11" s="99"/>
      <c r="B11" s="45"/>
      <c r="C11" s="45"/>
      <c r="D11" s="45"/>
      <c r="F11" s="99"/>
      <c r="G11" s="45"/>
      <c r="H11" s="45"/>
      <c r="I11" s="45"/>
      <c r="K11" s="99"/>
      <c r="L11" s="45"/>
      <c r="M11" s="45"/>
      <c r="N11" s="45"/>
      <c r="P11" s="67"/>
      <c r="Q11" s="45"/>
      <c r="R11" s="45"/>
      <c r="S11" s="45"/>
      <c r="U11" s="67"/>
      <c r="V11" s="45"/>
      <c r="W11" s="45"/>
      <c r="X11" s="45"/>
      <c r="Z11" s="58"/>
      <c r="AA11" s="45"/>
      <c r="AB11" s="45"/>
      <c r="AC11" s="45"/>
      <c r="AE11" s="51"/>
      <c r="AF11" s="45"/>
      <c r="AG11" s="45"/>
      <c r="AH11" s="45"/>
      <c r="AJ11" s="51"/>
      <c r="AK11" s="45"/>
      <c r="AL11" s="45"/>
      <c r="AM11" s="45"/>
      <c r="AO11" s="51"/>
      <c r="AP11" s="45"/>
      <c r="AQ11" s="45"/>
      <c r="AR11" s="45"/>
      <c r="AT11" s="14"/>
      <c r="AU11" s="14"/>
      <c r="AV11" s="14"/>
      <c r="AW11" s="14"/>
    </row>
    <row r="12" spans="1:49" x14ac:dyDescent="0.3">
      <c r="A12" s="99"/>
      <c r="B12" s="45"/>
      <c r="C12" s="45"/>
      <c r="D12" s="45"/>
      <c r="F12" s="99"/>
      <c r="G12" s="45"/>
      <c r="H12" s="45"/>
      <c r="I12" s="45"/>
      <c r="K12" s="99"/>
      <c r="L12" s="45"/>
      <c r="M12" s="45"/>
      <c r="N12" s="45"/>
      <c r="P12" s="67"/>
      <c r="Q12" s="45"/>
      <c r="R12" s="45"/>
      <c r="S12" s="45"/>
      <c r="U12" s="67"/>
      <c r="V12" s="45"/>
      <c r="W12" s="45"/>
      <c r="X12" s="45"/>
      <c r="Z12" s="58"/>
      <c r="AA12" s="45"/>
      <c r="AB12" s="45"/>
      <c r="AC12" s="45"/>
      <c r="AE12" s="51"/>
      <c r="AF12" s="45"/>
      <c r="AG12" s="45"/>
      <c r="AH12" s="45"/>
      <c r="AJ12" s="51"/>
      <c r="AK12" s="45"/>
      <c r="AL12" s="45"/>
      <c r="AM12" s="45"/>
      <c r="AO12" s="51"/>
      <c r="AP12" s="45"/>
      <c r="AQ12" s="45"/>
      <c r="AR12" s="45"/>
      <c r="AT12" s="14"/>
      <c r="AU12" s="14"/>
      <c r="AV12" s="14"/>
      <c r="AW12" s="14"/>
    </row>
    <row r="13" spans="1:49" x14ac:dyDescent="0.3">
      <c r="A13" s="99"/>
      <c r="B13" s="45"/>
      <c r="C13" s="45"/>
      <c r="D13" s="45"/>
      <c r="F13" s="99"/>
      <c r="G13" s="45"/>
      <c r="H13" s="45"/>
      <c r="I13" s="45"/>
      <c r="K13" s="99"/>
      <c r="L13" s="45"/>
      <c r="M13" s="45"/>
      <c r="N13" s="45"/>
      <c r="P13" s="67"/>
      <c r="Q13" s="45"/>
      <c r="R13" s="45"/>
      <c r="S13" s="45"/>
      <c r="U13" s="67"/>
      <c r="V13" s="45"/>
      <c r="W13" s="45"/>
      <c r="X13" s="45"/>
      <c r="Z13" s="58"/>
      <c r="AA13" s="45"/>
      <c r="AB13" s="45"/>
      <c r="AC13" s="45"/>
      <c r="AE13" s="51"/>
      <c r="AF13" s="45"/>
      <c r="AG13" s="45"/>
      <c r="AH13" s="45"/>
      <c r="AJ13" s="51"/>
      <c r="AK13" s="45"/>
      <c r="AL13" s="45"/>
      <c r="AM13" s="45"/>
      <c r="AO13" s="51"/>
      <c r="AP13" s="45"/>
      <c r="AQ13" s="45"/>
      <c r="AR13" s="45"/>
      <c r="AT13" s="14"/>
      <c r="AU13" s="14"/>
      <c r="AV13" s="14"/>
      <c r="AW13" s="14"/>
    </row>
    <row r="14" spans="1:49" x14ac:dyDescent="0.3">
      <c r="A14" s="99"/>
      <c r="B14" s="45"/>
      <c r="C14" s="45"/>
      <c r="D14" s="45"/>
      <c r="F14" s="99"/>
      <c r="G14" s="45"/>
      <c r="H14" s="45"/>
      <c r="I14" s="45"/>
      <c r="K14" s="99"/>
      <c r="L14" s="45"/>
      <c r="M14" s="45"/>
      <c r="N14" s="45"/>
      <c r="P14" s="67"/>
      <c r="Q14" s="45"/>
      <c r="R14" s="45"/>
      <c r="S14" s="45"/>
      <c r="U14" s="67"/>
      <c r="V14" s="45"/>
      <c r="W14" s="45"/>
      <c r="X14" s="45"/>
      <c r="Z14" s="58"/>
      <c r="AA14" s="45"/>
      <c r="AB14" s="45"/>
      <c r="AC14" s="45"/>
      <c r="AE14" s="51"/>
      <c r="AF14" s="45"/>
      <c r="AG14" s="45"/>
      <c r="AH14" s="45"/>
      <c r="AJ14" s="51"/>
      <c r="AK14" s="45"/>
      <c r="AL14" s="45"/>
      <c r="AM14" s="45"/>
      <c r="AO14" s="51"/>
      <c r="AP14" s="45"/>
      <c r="AQ14" s="45"/>
      <c r="AR14" s="45"/>
      <c r="AT14" s="14"/>
      <c r="AU14" s="14"/>
      <c r="AV14" s="14"/>
      <c r="AW14" s="14"/>
    </row>
    <row r="15" spans="1:49" x14ac:dyDescent="0.3">
      <c r="A15" s="99"/>
      <c r="B15" s="45"/>
      <c r="C15" s="45"/>
      <c r="D15" s="45"/>
      <c r="F15" s="99"/>
      <c r="G15" s="45"/>
      <c r="H15" s="45"/>
      <c r="I15" s="45"/>
      <c r="K15" s="99"/>
      <c r="L15" s="45"/>
      <c r="M15" s="45"/>
      <c r="N15" s="45"/>
      <c r="P15" s="67"/>
      <c r="Q15" s="45"/>
      <c r="R15" s="45"/>
      <c r="S15" s="45"/>
      <c r="U15" s="67"/>
      <c r="V15" s="45"/>
      <c r="W15" s="45"/>
      <c r="X15" s="45"/>
      <c r="Z15" s="58"/>
      <c r="AA15" s="45"/>
      <c r="AB15" s="45"/>
      <c r="AC15" s="45"/>
      <c r="AE15" s="51"/>
      <c r="AF15" s="45"/>
      <c r="AG15" s="45"/>
      <c r="AH15" s="45"/>
      <c r="AJ15" s="51"/>
      <c r="AK15" s="45"/>
      <c r="AL15" s="45"/>
      <c r="AM15" s="45"/>
      <c r="AO15" s="51"/>
      <c r="AP15" s="45"/>
      <c r="AQ15" s="45"/>
      <c r="AR15" s="45"/>
      <c r="AT15" s="14"/>
      <c r="AU15" s="14"/>
      <c r="AV15" s="14"/>
      <c r="AW15" s="14"/>
    </row>
    <row r="16" spans="1:49" x14ac:dyDescent="0.3">
      <c r="A16" s="99"/>
      <c r="B16" s="45"/>
      <c r="C16" s="45"/>
      <c r="D16" s="45"/>
      <c r="F16" s="99"/>
      <c r="G16" s="45"/>
      <c r="H16" s="45"/>
      <c r="I16" s="45"/>
      <c r="K16" s="71"/>
      <c r="L16" s="45"/>
      <c r="M16" s="45"/>
      <c r="N16" s="45"/>
      <c r="P16" s="67"/>
      <c r="Q16" s="45"/>
      <c r="R16" s="45"/>
      <c r="S16" s="45"/>
      <c r="U16" s="67"/>
      <c r="V16" s="45"/>
      <c r="W16" s="45"/>
      <c r="X16" s="45"/>
      <c r="Z16" s="58"/>
      <c r="AA16" s="45"/>
      <c r="AB16" s="45"/>
      <c r="AC16" s="45"/>
      <c r="AE16" s="51"/>
      <c r="AF16" s="45"/>
      <c r="AG16" s="45"/>
      <c r="AH16" s="45"/>
      <c r="AJ16" s="51"/>
      <c r="AK16" s="45"/>
      <c r="AL16" s="45"/>
      <c r="AM16" s="45"/>
      <c r="AO16" s="51"/>
      <c r="AP16" s="45"/>
      <c r="AQ16" s="45"/>
      <c r="AR16" s="45"/>
      <c r="AT16" s="14"/>
      <c r="AU16" s="14"/>
      <c r="AV16" s="14"/>
      <c r="AW16" s="14"/>
    </row>
    <row r="17" spans="1:49" x14ac:dyDescent="0.3">
      <c r="A17" s="99"/>
      <c r="B17" s="45"/>
      <c r="C17" s="45"/>
      <c r="D17" s="45"/>
      <c r="F17" s="99"/>
      <c r="G17" s="45"/>
      <c r="H17" s="45"/>
      <c r="I17" s="45"/>
      <c r="K17" s="71"/>
      <c r="L17" s="45"/>
      <c r="M17" s="45"/>
      <c r="N17" s="45"/>
      <c r="P17" s="67"/>
      <c r="Q17" s="45"/>
      <c r="R17" s="45"/>
      <c r="S17" s="45"/>
      <c r="U17" s="67"/>
      <c r="V17" s="45"/>
      <c r="W17" s="45"/>
      <c r="X17" s="45"/>
      <c r="Z17" s="58"/>
      <c r="AA17" s="45"/>
      <c r="AB17" s="45"/>
      <c r="AC17" s="45"/>
      <c r="AE17" s="51"/>
      <c r="AF17" s="45"/>
      <c r="AG17" s="45"/>
      <c r="AH17" s="45"/>
      <c r="AJ17" s="51"/>
      <c r="AK17" s="45"/>
      <c r="AL17" s="45"/>
      <c r="AM17" s="45"/>
      <c r="AO17" s="51"/>
      <c r="AP17" s="45"/>
      <c r="AQ17" s="45"/>
      <c r="AR17" s="45"/>
      <c r="AT17" s="14"/>
      <c r="AU17" s="14"/>
      <c r="AV17" s="14"/>
      <c r="AW17" s="14"/>
    </row>
    <row r="18" spans="1:49" x14ac:dyDescent="0.3">
      <c r="A18" s="99"/>
      <c r="B18" s="45"/>
      <c r="C18" s="45"/>
      <c r="D18" s="45"/>
      <c r="F18" s="99"/>
      <c r="G18" s="45"/>
      <c r="H18" s="45"/>
      <c r="I18" s="45"/>
      <c r="K18" s="71"/>
      <c r="L18" s="45"/>
      <c r="M18" s="45"/>
      <c r="N18" s="45"/>
      <c r="P18" s="67"/>
      <c r="Q18" s="45"/>
      <c r="R18" s="45"/>
      <c r="S18" s="45"/>
      <c r="U18" s="67"/>
      <c r="V18" s="45"/>
      <c r="W18" s="45"/>
      <c r="X18" s="45"/>
      <c r="Z18" s="58"/>
      <c r="AA18" s="45"/>
      <c r="AB18" s="45"/>
      <c r="AC18" s="45"/>
      <c r="AE18" s="51"/>
      <c r="AF18" s="45"/>
      <c r="AG18" s="45"/>
      <c r="AH18" s="45"/>
      <c r="AJ18" s="51"/>
      <c r="AK18" s="45"/>
      <c r="AL18" s="45"/>
      <c r="AM18" s="45"/>
      <c r="AO18" s="51"/>
      <c r="AP18" s="45"/>
      <c r="AQ18" s="45"/>
      <c r="AR18" s="45"/>
      <c r="AT18" s="14"/>
      <c r="AU18" s="14"/>
      <c r="AV18" s="14"/>
      <c r="AW18" s="14"/>
    </row>
    <row r="19" spans="1:49" x14ac:dyDescent="0.3">
      <c r="A19" s="99"/>
      <c r="B19" s="45"/>
      <c r="C19" s="45"/>
      <c r="D19" s="45"/>
      <c r="F19" s="99"/>
      <c r="G19" s="45"/>
      <c r="H19" s="45"/>
      <c r="I19" s="45"/>
      <c r="K19" s="67"/>
      <c r="L19" s="45"/>
      <c r="M19" s="45"/>
      <c r="N19" s="45"/>
      <c r="P19" s="67"/>
      <c r="Q19" s="45"/>
      <c r="R19" s="45"/>
      <c r="S19" s="45"/>
      <c r="U19" s="67"/>
      <c r="V19" s="45"/>
      <c r="W19" s="45"/>
      <c r="X19" s="45"/>
      <c r="Z19" s="58"/>
      <c r="AA19" s="45"/>
      <c r="AB19" s="45"/>
      <c r="AC19" s="45"/>
      <c r="AE19" s="51"/>
      <c r="AF19" s="45"/>
      <c r="AG19" s="45"/>
      <c r="AH19" s="45"/>
      <c r="AJ19" s="51"/>
      <c r="AK19" s="45"/>
      <c r="AL19" s="45"/>
      <c r="AM19" s="45"/>
      <c r="AO19" s="51"/>
      <c r="AP19" s="45"/>
      <c r="AQ19" s="45"/>
      <c r="AR19" s="45"/>
      <c r="AT19" s="14"/>
      <c r="AU19" s="14"/>
      <c r="AV19" s="14"/>
      <c r="AW19" s="14"/>
    </row>
    <row r="20" spans="1:49" x14ac:dyDescent="0.3">
      <c r="A20" s="99"/>
      <c r="B20" s="45"/>
      <c r="C20" s="45"/>
      <c r="D20" s="45"/>
      <c r="F20" s="99"/>
      <c r="G20" s="45"/>
      <c r="H20" s="45"/>
      <c r="I20" s="45"/>
      <c r="K20" s="67"/>
      <c r="L20" s="45"/>
      <c r="M20" s="45"/>
      <c r="N20" s="45"/>
      <c r="P20" s="67"/>
      <c r="Q20" s="45"/>
      <c r="R20" s="45"/>
      <c r="S20" s="45"/>
      <c r="U20" s="67"/>
      <c r="V20" s="45"/>
      <c r="W20" s="45"/>
      <c r="X20" s="45"/>
      <c r="Z20" s="58"/>
      <c r="AA20" s="45"/>
      <c r="AB20" s="45"/>
      <c r="AC20" s="45"/>
      <c r="AE20" s="51"/>
      <c r="AF20" s="45"/>
      <c r="AG20" s="45"/>
      <c r="AH20" s="45"/>
      <c r="AJ20" s="51"/>
      <c r="AK20" s="45"/>
      <c r="AL20" s="45"/>
      <c r="AM20" s="45"/>
      <c r="AO20" s="51"/>
      <c r="AP20" s="45"/>
      <c r="AQ20" s="45"/>
      <c r="AR20" s="45"/>
      <c r="AT20" s="14"/>
      <c r="AU20" s="14"/>
      <c r="AV20" s="14"/>
      <c r="AW20" s="14"/>
    </row>
    <row r="21" spans="1:49" x14ac:dyDescent="0.3">
      <c r="A21" s="99"/>
      <c r="B21" s="45"/>
      <c r="C21" s="45"/>
      <c r="D21" s="45"/>
      <c r="F21" s="71"/>
      <c r="G21" s="45"/>
      <c r="H21" s="45"/>
      <c r="I21" s="45"/>
      <c r="K21" s="67"/>
      <c r="L21" s="45"/>
      <c r="M21" s="45"/>
      <c r="N21" s="45"/>
      <c r="P21" s="67"/>
      <c r="Q21" s="45"/>
      <c r="R21" s="45"/>
      <c r="S21" s="45"/>
      <c r="U21" s="67"/>
      <c r="V21" s="45"/>
      <c r="W21" s="45"/>
      <c r="X21" s="45"/>
      <c r="Z21" s="58"/>
      <c r="AA21" s="45"/>
      <c r="AB21" s="45"/>
      <c r="AC21" s="45"/>
      <c r="AE21" s="51"/>
      <c r="AF21" s="45"/>
      <c r="AG21" s="45"/>
      <c r="AH21" s="45"/>
      <c r="AJ21" s="51"/>
      <c r="AK21" s="45"/>
      <c r="AL21" s="45"/>
      <c r="AM21" s="45"/>
      <c r="AO21" s="51"/>
      <c r="AP21" s="45"/>
      <c r="AQ21" s="45"/>
      <c r="AR21" s="45"/>
      <c r="AT21" s="14"/>
      <c r="AU21" s="14"/>
      <c r="AV21" s="14"/>
      <c r="AW21" s="14"/>
    </row>
    <row r="22" spans="1:49" x14ac:dyDescent="0.3">
      <c r="A22" s="99"/>
      <c r="B22" s="45"/>
      <c r="C22" s="45"/>
      <c r="D22" s="45"/>
      <c r="F22" s="71"/>
      <c r="G22" s="45"/>
      <c r="H22" s="45"/>
      <c r="I22" s="45"/>
      <c r="K22" s="67"/>
      <c r="L22" s="45"/>
      <c r="M22" s="45"/>
      <c r="N22" s="45"/>
      <c r="P22" s="67"/>
      <c r="Q22" s="45"/>
      <c r="R22" s="45"/>
      <c r="S22" s="45"/>
      <c r="U22" s="67"/>
      <c r="V22" s="45"/>
      <c r="W22" s="45"/>
      <c r="X22" s="45"/>
      <c r="Z22" s="58"/>
      <c r="AA22" s="45"/>
      <c r="AB22" s="45"/>
      <c r="AC22" s="45"/>
      <c r="AE22" s="51"/>
      <c r="AF22" s="45"/>
      <c r="AG22" s="45"/>
      <c r="AH22" s="45"/>
      <c r="AJ22" s="51"/>
      <c r="AK22" s="45"/>
      <c r="AL22" s="45"/>
      <c r="AM22" s="45"/>
      <c r="AO22" s="51"/>
      <c r="AP22" s="45"/>
      <c r="AQ22" s="45"/>
      <c r="AR22" s="45"/>
      <c r="AT22" s="14"/>
      <c r="AU22" s="14"/>
      <c r="AV22" s="14"/>
      <c r="AW22" s="14"/>
    </row>
    <row r="23" spans="1:49" x14ac:dyDescent="0.3">
      <c r="A23" s="99"/>
      <c r="B23" s="45"/>
      <c r="C23" s="45"/>
      <c r="D23" s="45"/>
      <c r="F23" s="71"/>
      <c r="G23" s="45"/>
      <c r="H23" s="45"/>
      <c r="I23" s="45"/>
      <c r="K23" s="67"/>
      <c r="L23" s="45"/>
      <c r="M23" s="45"/>
      <c r="N23" s="45"/>
      <c r="P23" s="67"/>
      <c r="Q23" s="45"/>
      <c r="R23" s="45"/>
      <c r="S23" s="45"/>
      <c r="U23" s="67"/>
      <c r="V23" s="45"/>
      <c r="W23" s="45"/>
      <c r="X23" s="45"/>
      <c r="Z23" s="58"/>
      <c r="AA23" s="45"/>
      <c r="AB23" s="45"/>
      <c r="AC23" s="45"/>
      <c r="AE23" s="14"/>
      <c r="AF23" s="14"/>
      <c r="AG23" s="14"/>
      <c r="AH23" s="14"/>
      <c r="AJ23" s="51"/>
      <c r="AK23" s="45"/>
      <c r="AL23" s="45"/>
      <c r="AM23" s="45"/>
      <c r="AO23" s="51"/>
      <c r="AP23" s="45"/>
      <c r="AQ23" s="45"/>
      <c r="AR23" s="45"/>
      <c r="AT23" s="14"/>
      <c r="AU23" s="14"/>
      <c r="AV23" s="14"/>
      <c r="AW23" s="14"/>
    </row>
    <row r="24" spans="1:49" x14ac:dyDescent="0.3">
      <c r="A24" s="99"/>
      <c r="B24" s="45"/>
      <c r="C24" s="45"/>
      <c r="D24" s="45"/>
      <c r="F24" s="71"/>
      <c r="G24" s="45"/>
      <c r="H24" s="45"/>
      <c r="I24" s="45"/>
      <c r="K24" s="67"/>
      <c r="L24" s="45"/>
      <c r="M24" s="45"/>
      <c r="N24" s="45"/>
      <c r="P24" s="67"/>
      <c r="Q24" s="45"/>
      <c r="R24" s="45"/>
      <c r="S24" s="45"/>
      <c r="U24" s="67"/>
      <c r="V24" s="45"/>
      <c r="W24" s="45"/>
      <c r="X24" s="45"/>
      <c r="Z24" s="58"/>
      <c r="AA24" s="45"/>
      <c r="AB24" s="45"/>
      <c r="AC24" s="45"/>
      <c r="AE24" s="14"/>
      <c r="AF24" s="14"/>
      <c r="AG24" s="14"/>
      <c r="AH24" s="14"/>
      <c r="AJ24" s="14"/>
      <c r="AK24" s="14"/>
      <c r="AL24" s="14"/>
      <c r="AM24" s="14"/>
      <c r="AO24" s="51"/>
      <c r="AP24" s="45"/>
      <c r="AQ24" s="45"/>
      <c r="AR24" s="45"/>
      <c r="AT24" s="14"/>
      <c r="AU24" s="14"/>
      <c r="AV24" s="14"/>
      <c r="AW24" s="14"/>
    </row>
    <row r="25" spans="1:49" x14ac:dyDescent="0.3">
      <c r="A25" s="99"/>
      <c r="B25" s="45"/>
      <c r="C25" s="45"/>
      <c r="D25" s="45"/>
      <c r="F25" s="71"/>
      <c r="G25" s="45"/>
      <c r="H25" s="45"/>
      <c r="I25" s="45"/>
      <c r="K25" s="67"/>
      <c r="L25" s="45"/>
      <c r="M25" s="45"/>
      <c r="N25" s="45"/>
      <c r="P25" s="67"/>
      <c r="Q25" s="45"/>
      <c r="R25" s="45"/>
      <c r="S25" s="45"/>
      <c r="U25" s="67"/>
      <c r="V25" s="45"/>
      <c r="W25" s="45"/>
      <c r="X25" s="45"/>
      <c r="Z25" s="58"/>
      <c r="AA25" s="45"/>
      <c r="AB25" s="45"/>
      <c r="AC25" s="45"/>
      <c r="AE25" s="14"/>
      <c r="AF25" s="14"/>
      <c r="AG25" s="14"/>
      <c r="AH25" s="14"/>
      <c r="AJ25" s="14"/>
      <c r="AK25" s="14"/>
      <c r="AL25" s="14"/>
      <c r="AM25" s="14"/>
      <c r="AO25" s="51"/>
      <c r="AP25" s="45"/>
      <c r="AQ25" s="45"/>
      <c r="AR25" s="45"/>
      <c r="AT25" s="14"/>
      <c r="AU25" s="14"/>
      <c r="AV25" s="14"/>
      <c r="AW25" s="14"/>
    </row>
    <row r="26" spans="1:49" x14ac:dyDescent="0.3">
      <c r="A26" s="99"/>
      <c r="B26" s="45"/>
      <c r="C26" s="45"/>
      <c r="D26" s="45"/>
      <c r="F26" s="71"/>
      <c r="G26" s="45"/>
      <c r="H26" s="45"/>
      <c r="I26" s="45"/>
      <c r="K26" s="67"/>
      <c r="L26" s="45"/>
      <c r="M26" s="45"/>
      <c r="N26" s="45"/>
      <c r="P26" s="67"/>
      <c r="Q26" s="45"/>
      <c r="R26" s="45"/>
      <c r="S26" s="45"/>
      <c r="U26" s="67"/>
      <c r="V26" s="45"/>
      <c r="W26" s="45"/>
      <c r="X26" s="45"/>
      <c r="Z26" s="58"/>
      <c r="AA26" s="45"/>
      <c r="AB26" s="45"/>
      <c r="AC26" s="45"/>
      <c r="AE26" s="14"/>
      <c r="AF26" s="14"/>
      <c r="AG26" s="14"/>
      <c r="AH26" s="14"/>
      <c r="AJ26" s="14"/>
      <c r="AK26" s="14"/>
      <c r="AL26" s="14"/>
      <c r="AM26" s="14"/>
      <c r="AO26" s="51"/>
      <c r="AP26" s="45"/>
      <c r="AQ26" s="45"/>
      <c r="AR26" s="45"/>
      <c r="AT26" s="14"/>
      <c r="AU26" s="14"/>
      <c r="AV26" s="14"/>
      <c r="AW26" s="14"/>
    </row>
    <row r="27" spans="1:49" x14ac:dyDescent="0.3">
      <c r="A27" s="99"/>
      <c r="B27" s="45"/>
      <c r="C27" s="45"/>
      <c r="D27" s="45"/>
      <c r="F27" s="71"/>
      <c r="G27" s="45"/>
      <c r="H27" s="45"/>
      <c r="I27" s="45"/>
      <c r="K27" s="67"/>
      <c r="L27" s="45"/>
      <c r="M27" s="45"/>
      <c r="N27" s="45"/>
      <c r="P27" s="67"/>
      <c r="Q27" s="45"/>
      <c r="R27" s="45"/>
      <c r="S27" s="45"/>
      <c r="U27" s="67"/>
      <c r="V27" s="45"/>
      <c r="W27" s="45"/>
      <c r="X27" s="45"/>
      <c r="Z27" s="58"/>
      <c r="AA27" s="45"/>
      <c r="AB27" s="45"/>
      <c r="AC27" s="45"/>
      <c r="AE27" s="14"/>
      <c r="AF27" s="14"/>
      <c r="AG27" s="14"/>
      <c r="AH27" s="14"/>
      <c r="AJ27" s="14"/>
      <c r="AK27" s="14"/>
      <c r="AL27" s="14"/>
      <c r="AM27" s="14"/>
      <c r="AO27" s="51"/>
      <c r="AP27" s="45"/>
      <c r="AQ27" s="45"/>
      <c r="AR27" s="45"/>
      <c r="AT27" s="14"/>
      <c r="AU27" s="14"/>
      <c r="AV27" s="14"/>
      <c r="AW27" s="14"/>
    </row>
    <row r="28" spans="1:49" x14ac:dyDescent="0.3">
      <c r="A28" s="99"/>
      <c r="B28" s="45"/>
      <c r="C28" s="45"/>
      <c r="D28" s="45"/>
      <c r="F28" s="71"/>
      <c r="G28" s="45"/>
      <c r="H28" s="45"/>
      <c r="I28" s="45"/>
      <c r="K28" s="53"/>
      <c r="L28" s="45"/>
      <c r="M28" s="45"/>
      <c r="N28" s="45"/>
      <c r="P28" s="67"/>
      <c r="Q28" s="45"/>
      <c r="R28" s="45"/>
      <c r="S28" s="45"/>
      <c r="U28" s="67"/>
      <c r="V28" s="45"/>
      <c r="W28" s="45"/>
      <c r="X28" s="45"/>
      <c r="Z28" s="58"/>
      <c r="AA28" s="45"/>
      <c r="AB28" s="45"/>
      <c r="AC28" s="45"/>
      <c r="AE28" s="14"/>
      <c r="AF28" s="14"/>
      <c r="AG28" s="14"/>
      <c r="AH28" s="14"/>
      <c r="AJ28" s="14"/>
      <c r="AK28" s="14"/>
      <c r="AL28" s="14"/>
      <c r="AM28" s="14"/>
      <c r="AO28" s="51"/>
      <c r="AP28" s="45"/>
      <c r="AQ28" s="45"/>
      <c r="AR28" s="45"/>
      <c r="AT28" s="14"/>
      <c r="AU28" s="14"/>
      <c r="AV28" s="14"/>
      <c r="AW28" s="14"/>
    </row>
    <row r="29" spans="1:49" x14ac:dyDescent="0.3">
      <c r="A29" s="99"/>
      <c r="B29" s="45"/>
      <c r="C29" s="45"/>
      <c r="D29" s="45"/>
      <c r="F29" s="71"/>
      <c r="G29" s="45"/>
      <c r="H29" s="45"/>
      <c r="I29" s="45"/>
      <c r="K29" s="53"/>
      <c r="L29" s="45"/>
      <c r="M29" s="45"/>
      <c r="N29" s="45"/>
      <c r="P29" s="67"/>
      <c r="Q29" s="45"/>
      <c r="R29" s="45"/>
      <c r="S29" s="45"/>
      <c r="U29" s="67"/>
      <c r="V29" s="45"/>
      <c r="W29" s="45"/>
      <c r="X29" s="45"/>
      <c r="Z29" s="58"/>
      <c r="AA29" s="45"/>
      <c r="AB29" s="45"/>
      <c r="AC29" s="45"/>
      <c r="AE29" s="14"/>
      <c r="AF29" s="14"/>
      <c r="AG29" s="14"/>
      <c r="AH29" s="14"/>
      <c r="AJ29" s="14"/>
      <c r="AK29" s="14"/>
      <c r="AL29" s="14"/>
      <c r="AM29" s="14"/>
      <c r="AO29" s="51"/>
      <c r="AP29" s="45"/>
      <c r="AQ29" s="45"/>
      <c r="AR29" s="45"/>
      <c r="AT29" s="14"/>
      <c r="AU29" s="14"/>
      <c r="AV29" s="14"/>
      <c r="AW29" s="14"/>
    </row>
    <row r="30" spans="1:49" x14ac:dyDescent="0.3">
      <c r="A30" s="99"/>
      <c r="B30" s="45"/>
      <c r="C30" s="45"/>
      <c r="D30" s="45"/>
      <c r="F30" s="71"/>
      <c r="G30" s="45"/>
      <c r="H30" s="45"/>
      <c r="I30" s="45"/>
      <c r="K30" s="53"/>
      <c r="L30" s="45"/>
      <c r="M30" s="45"/>
      <c r="N30" s="45"/>
      <c r="P30" s="67"/>
      <c r="Q30" s="45"/>
      <c r="R30" s="45"/>
      <c r="S30" s="45"/>
      <c r="U30" s="67"/>
      <c r="V30" s="45"/>
      <c r="W30" s="45"/>
      <c r="X30" s="45"/>
      <c r="Z30" s="58"/>
      <c r="AA30" s="45"/>
      <c r="AB30" s="45"/>
      <c r="AC30" s="45"/>
      <c r="AE30" s="14"/>
      <c r="AF30" s="14"/>
      <c r="AG30" s="14"/>
      <c r="AH30" s="14"/>
      <c r="AJ30" s="14"/>
      <c r="AK30" s="14"/>
      <c r="AL30" s="14"/>
      <c r="AM30" s="14"/>
      <c r="AO30" s="51"/>
      <c r="AP30" s="45"/>
      <c r="AQ30" s="45"/>
      <c r="AR30" s="45"/>
      <c r="AT30" s="14"/>
      <c r="AU30" s="14"/>
      <c r="AV30" s="14"/>
      <c r="AW30" s="14"/>
    </row>
    <row r="31" spans="1:49" x14ac:dyDescent="0.3">
      <c r="A31" s="99"/>
      <c r="B31" s="45"/>
      <c r="C31" s="45"/>
      <c r="D31" s="45"/>
      <c r="F31" s="71"/>
      <c r="G31" s="45"/>
      <c r="H31" s="45"/>
      <c r="I31" s="45"/>
      <c r="K31" s="53"/>
      <c r="L31" s="45"/>
      <c r="M31" s="45"/>
      <c r="N31" s="45"/>
      <c r="P31" s="67"/>
      <c r="Q31" s="45"/>
      <c r="R31" s="45"/>
      <c r="S31" s="45"/>
      <c r="U31" s="67"/>
      <c r="V31" s="45"/>
      <c r="W31" s="45"/>
      <c r="X31" s="45"/>
      <c r="Z31" s="58"/>
      <c r="AA31" s="45"/>
      <c r="AB31" s="45"/>
      <c r="AC31" s="45"/>
      <c r="AE31" s="14"/>
      <c r="AF31" s="14"/>
      <c r="AG31" s="14"/>
      <c r="AH31" s="14"/>
      <c r="AJ31" s="14"/>
      <c r="AK31" s="14"/>
      <c r="AL31" s="14"/>
      <c r="AM31" s="14"/>
      <c r="AO31" s="51"/>
      <c r="AP31" s="45"/>
      <c r="AQ31" s="45"/>
      <c r="AR31" s="45"/>
      <c r="AT31" s="14"/>
      <c r="AU31" s="14"/>
      <c r="AV31" s="14"/>
      <c r="AW31" s="14"/>
    </row>
    <row r="32" spans="1:49" x14ac:dyDescent="0.3">
      <c r="A32" s="99"/>
      <c r="B32" s="45"/>
      <c r="C32" s="45"/>
      <c r="D32" s="45"/>
      <c r="F32" s="71"/>
      <c r="G32" s="45"/>
      <c r="H32" s="45"/>
      <c r="I32" s="45"/>
      <c r="K32" s="53"/>
      <c r="L32" s="45"/>
      <c r="M32" s="45"/>
      <c r="N32" s="45"/>
      <c r="P32" s="67"/>
      <c r="Q32" s="45"/>
      <c r="R32" s="45"/>
      <c r="S32" s="45"/>
      <c r="U32" s="67"/>
      <c r="V32" s="45"/>
      <c r="W32" s="45"/>
      <c r="X32" s="45"/>
      <c r="Z32" s="58"/>
      <c r="AA32" s="45"/>
      <c r="AB32" s="45"/>
      <c r="AC32" s="45"/>
      <c r="AE32" s="14"/>
      <c r="AF32" s="14"/>
      <c r="AG32" s="14"/>
      <c r="AH32" s="14"/>
      <c r="AJ32" s="14"/>
      <c r="AK32" s="14"/>
      <c r="AL32" s="14"/>
      <c r="AM32" s="14"/>
      <c r="AO32" s="51"/>
      <c r="AP32" s="45"/>
      <c r="AQ32" s="45"/>
      <c r="AR32" s="45"/>
      <c r="AT32" s="14"/>
      <c r="AU32" s="14"/>
      <c r="AV32" s="14"/>
      <c r="AW32" s="14"/>
    </row>
    <row r="33" spans="1:49" x14ac:dyDescent="0.3">
      <c r="A33" s="99"/>
      <c r="B33" s="45"/>
      <c r="C33" s="45"/>
      <c r="D33" s="45"/>
      <c r="F33" s="71"/>
      <c r="G33" s="45"/>
      <c r="H33" s="45"/>
      <c r="I33" s="45"/>
      <c r="K33" s="53"/>
      <c r="L33" s="45"/>
      <c r="M33" s="45"/>
      <c r="N33" s="45"/>
      <c r="P33" s="67"/>
      <c r="Q33" s="45"/>
      <c r="R33" s="45"/>
      <c r="S33" s="45"/>
      <c r="U33" s="67"/>
      <c r="V33" s="45"/>
      <c r="W33" s="45"/>
      <c r="X33" s="45"/>
      <c r="Z33" s="58"/>
      <c r="AA33" s="45"/>
      <c r="AB33" s="45"/>
      <c r="AC33" s="45"/>
      <c r="AE33" s="14"/>
      <c r="AF33" s="14"/>
      <c r="AG33" s="14"/>
      <c r="AH33" s="14"/>
      <c r="AJ33" s="14"/>
      <c r="AK33" s="14"/>
      <c r="AL33" s="14"/>
      <c r="AM33" s="14"/>
      <c r="AO33" s="51"/>
      <c r="AP33" s="45"/>
      <c r="AQ33" s="45"/>
      <c r="AR33" s="45"/>
      <c r="AT33" s="14"/>
      <c r="AU33" s="14"/>
      <c r="AV33" s="14"/>
      <c r="AW33" s="14"/>
    </row>
    <row r="34" spans="1:49" x14ac:dyDescent="0.3">
      <c r="A34" s="99"/>
      <c r="B34" s="45"/>
      <c r="C34" s="45"/>
      <c r="D34" s="45"/>
      <c r="F34" s="71"/>
      <c r="G34" s="45"/>
      <c r="H34" s="45"/>
      <c r="I34" s="45"/>
      <c r="K34" s="53"/>
      <c r="L34" s="45"/>
      <c r="M34" s="45"/>
      <c r="N34" s="45"/>
      <c r="P34" s="67"/>
      <c r="Q34" s="45"/>
      <c r="R34" s="45"/>
      <c r="S34" s="45"/>
      <c r="U34" s="67"/>
      <c r="V34" s="45"/>
      <c r="W34" s="45"/>
      <c r="X34" s="45"/>
      <c r="Z34" s="58"/>
      <c r="AA34" s="45"/>
      <c r="AB34" s="45"/>
      <c r="AC34" s="45"/>
      <c r="AE34" s="14"/>
      <c r="AF34" s="14"/>
      <c r="AG34" s="14"/>
      <c r="AH34" s="14"/>
      <c r="AJ34" s="14"/>
      <c r="AK34" s="14"/>
      <c r="AL34" s="14"/>
      <c r="AM34" s="14"/>
      <c r="AO34" s="51"/>
      <c r="AP34" s="45"/>
      <c r="AQ34" s="45"/>
      <c r="AR34" s="45"/>
      <c r="AT34" s="14"/>
      <c r="AU34" s="14"/>
      <c r="AV34" s="14"/>
      <c r="AW34" s="14"/>
    </row>
    <row r="35" spans="1:49" x14ac:dyDescent="0.3">
      <c r="A35" s="99"/>
      <c r="B35" s="45"/>
      <c r="C35" s="45"/>
      <c r="D35" s="45"/>
      <c r="F35" s="71"/>
      <c r="G35" s="45"/>
      <c r="H35" s="45"/>
      <c r="I35" s="45"/>
      <c r="K35" s="53"/>
      <c r="L35" s="45"/>
      <c r="M35" s="45"/>
      <c r="N35" s="45"/>
      <c r="P35" s="67"/>
      <c r="Q35" s="45"/>
      <c r="R35" s="45"/>
      <c r="S35" s="45"/>
      <c r="U35" s="67"/>
      <c r="V35" s="45"/>
      <c r="W35" s="45"/>
      <c r="X35" s="45"/>
      <c r="Z35" s="58"/>
      <c r="AA35" s="45"/>
      <c r="AB35" s="45"/>
      <c r="AC35" s="45"/>
      <c r="AE35" s="14"/>
      <c r="AF35" s="14"/>
      <c r="AG35" s="14"/>
      <c r="AH35" s="14"/>
      <c r="AJ35" s="14"/>
      <c r="AK35" s="14"/>
      <c r="AL35" s="14"/>
      <c r="AM35" s="14"/>
      <c r="AO35" s="51"/>
      <c r="AP35" s="45"/>
      <c r="AQ35" s="45"/>
      <c r="AR35" s="45"/>
      <c r="AT35" s="14"/>
      <c r="AU35" s="14"/>
      <c r="AV35" s="14"/>
      <c r="AW35" s="14"/>
    </row>
    <row r="36" spans="1:49" x14ac:dyDescent="0.3">
      <c r="A36" s="99"/>
      <c r="B36" s="45"/>
      <c r="C36" s="45"/>
      <c r="D36" s="45"/>
      <c r="F36" s="71"/>
      <c r="G36" s="45"/>
      <c r="H36" s="45"/>
      <c r="I36" s="45"/>
      <c r="K36" s="53"/>
      <c r="L36" s="45"/>
      <c r="M36" s="45"/>
      <c r="N36" s="45"/>
      <c r="P36" s="67"/>
      <c r="Q36" s="45"/>
      <c r="R36" s="45"/>
      <c r="S36" s="45"/>
      <c r="U36" s="67"/>
      <c r="V36" s="45"/>
      <c r="W36" s="45"/>
      <c r="X36" s="45"/>
      <c r="Z36" s="58"/>
      <c r="AA36" s="45"/>
      <c r="AB36" s="45"/>
      <c r="AC36" s="45"/>
      <c r="AE36" s="14"/>
      <c r="AF36" s="14"/>
      <c r="AG36" s="14"/>
      <c r="AH36" s="14"/>
      <c r="AJ36" s="14"/>
      <c r="AK36" s="14"/>
      <c r="AL36" s="14"/>
      <c r="AM36" s="14"/>
      <c r="AO36" s="51"/>
      <c r="AP36" s="45"/>
      <c r="AQ36" s="45"/>
      <c r="AR36" s="45"/>
      <c r="AT36" s="14"/>
      <c r="AU36" s="14"/>
      <c r="AV36" s="14"/>
      <c r="AW36" s="14"/>
    </row>
    <row r="37" spans="1:49" x14ac:dyDescent="0.3">
      <c r="A37" s="99"/>
      <c r="B37" s="45"/>
      <c r="C37" s="45"/>
      <c r="D37" s="45"/>
      <c r="F37" s="71"/>
      <c r="G37" s="45"/>
      <c r="H37" s="45"/>
      <c r="I37" s="45"/>
      <c r="K37" s="53"/>
      <c r="L37" s="45"/>
      <c r="M37" s="45"/>
      <c r="N37" s="45"/>
      <c r="P37" s="67"/>
      <c r="Q37" s="45"/>
      <c r="R37" s="45"/>
      <c r="S37" s="45"/>
      <c r="U37" s="67"/>
      <c r="V37" s="45"/>
      <c r="W37" s="45"/>
      <c r="X37" s="45"/>
      <c r="Z37" s="58"/>
      <c r="AA37" s="45"/>
      <c r="AB37" s="45"/>
      <c r="AC37" s="45"/>
      <c r="AE37" s="14"/>
      <c r="AF37" s="14"/>
      <c r="AG37" s="14"/>
      <c r="AH37" s="14"/>
      <c r="AJ37" s="14"/>
      <c r="AK37" s="14"/>
      <c r="AL37" s="14"/>
      <c r="AM37" s="14"/>
      <c r="AO37" s="51"/>
      <c r="AP37" s="45"/>
      <c r="AQ37" s="45"/>
      <c r="AR37" s="45"/>
      <c r="AT37" s="14"/>
      <c r="AU37" s="14"/>
      <c r="AV37" s="14"/>
      <c r="AW37" s="14"/>
    </row>
    <row r="38" spans="1:49" x14ac:dyDescent="0.3">
      <c r="A38" s="99"/>
      <c r="B38" s="45"/>
      <c r="C38" s="45"/>
      <c r="D38" s="45"/>
      <c r="F38" s="71"/>
      <c r="G38" s="45"/>
      <c r="H38" s="45"/>
      <c r="I38" s="45"/>
      <c r="K38" s="53"/>
      <c r="L38" s="45"/>
      <c r="M38" s="45"/>
      <c r="N38" s="45"/>
      <c r="P38" s="67"/>
      <c r="Q38" s="45"/>
      <c r="R38" s="45"/>
      <c r="S38" s="45"/>
      <c r="U38" s="67"/>
      <c r="V38" s="45"/>
      <c r="W38" s="45"/>
      <c r="X38" s="45"/>
      <c r="Z38" s="58"/>
      <c r="AA38" s="45"/>
      <c r="AB38" s="45"/>
      <c r="AC38" s="45"/>
      <c r="AE38" s="14"/>
      <c r="AF38" s="14"/>
      <c r="AG38" s="14"/>
      <c r="AH38" s="14"/>
      <c r="AJ38" s="14"/>
      <c r="AK38" s="14"/>
      <c r="AL38" s="14"/>
      <c r="AM38" s="14"/>
      <c r="AO38" s="51"/>
      <c r="AP38" s="45"/>
      <c r="AQ38" s="45"/>
      <c r="AR38" s="45"/>
      <c r="AT38" s="14"/>
      <c r="AU38" s="14"/>
      <c r="AV38" s="14"/>
      <c r="AW38" s="14"/>
    </row>
    <row r="39" spans="1:49" x14ac:dyDescent="0.3">
      <c r="A39" s="99"/>
      <c r="B39" s="45"/>
      <c r="C39" s="45"/>
      <c r="D39" s="45"/>
      <c r="F39" s="71"/>
      <c r="G39" s="45"/>
      <c r="H39" s="45"/>
      <c r="I39" s="45"/>
      <c r="K39" s="47"/>
      <c r="L39" s="45"/>
      <c r="M39" s="45"/>
      <c r="N39" s="45"/>
      <c r="P39" s="67"/>
      <c r="Q39" s="45"/>
      <c r="R39" s="45"/>
      <c r="S39" s="45"/>
      <c r="U39" s="67"/>
      <c r="V39" s="45"/>
      <c r="W39" s="45"/>
      <c r="X39" s="45"/>
      <c r="Z39" s="58"/>
      <c r="AA39" s="45"/>
      <c r="AB39" s="45"/>
      <c r="AC39" s="45"/>
      <c r="AE39" s="14"/>
      <c r="AF39" s="14"/>
      <c r="AG39" s="14"/>
      <c r="AH39" s="14"/>
      <c r="AJ39" s="14"/>
      <c r="AK39" s="14"/>
      <c r="AL39" s="14"/>
      <c r="AM39" s="14"/>
      <c r="AO39" s="51"/>
      <c r="AP39" s="45"/>
      <c r="AQ39" s="45"/>
      <c r="AR39" s="45"/>
      <c r="AT39" s="14"/>
      <c r="AU39" s="14"/>
      <c r="AV39" s="14"/>
      <c r="AW39" s="14"/>
    </row>
    <row r="40" spans="1:49" x14ac:dyDescent="0.3">
      <c r="A40" s="99"/>
      <c r="B40" s="45"/>
      <c r="C40" s="45"/>
      <c r="D40" s="45"/>
      <c r="F40" s="71"/>
      <c r="G40" s="45"/>
      <c r="H40" s="45"/>
      <c r="I40" s="45"/>
      <c r="K40" s="47"/>
      <c r="L40" s="45"/>
      <c r="M40" s="45"/>
      <c r="N40" s="45"/>
      <c r="P40" s="67"/>
      <c r="Q40" s="45"/>
      <c r="R40" s="45"/>
      <c r="S40" s="45"/>
      <c r="U40" s="67"/>
      <c r="V40" s="45"/>
      <c r="W40" s="45"/>
      <c r="X40" s="45"/>
      <c r="Z40" s="58"/>
      <c r="AA40" s="45"/>
      <c r="AB40" s="45"/>
      <c r="AC40" s="45"/>
      <c r="AE40" s="14"/>
      <c r="AF40" s="14"/>
      <c r="AG40" s="14"/>
      <c r="AH40" s="14"/>
      <c r="AJ40" s="14"/>
      <c r="AK40" s="14"/>
      <c r="AL40" s="14"/>
      <c r="AM40" s="14"/>
      <c r="AO40" s="51"/>
      <c r="AP40" s="45"/>
      <c r="AQ40" s="45"/>
      <c r="AR40" s="45"/>
      <c r="AT40" s="14"/>
      <c r="AU40" s="14"/>
      <c r="AV40" s="14"/>
      <c r="AW40" s="14"/>
    </row>
    <row r="41" spans="1:49" x14ac:dyDescent="0.3">
      <c r="A41" s="99"/>
      <c r="B41" s="45"/>
      <c r="C41" s="45"/>
      <c r="D41" s="45"/>
      <c r="F41" s="71"/>
      <c r="G41" s="45"/>
      <c r="H41" s="45"/>
      <c r="I41" s="45"/>
      <c r="K41" s="47"/>
      <c r="L41" s="45"/>
      <c r="M41" s="45"/>
      <c r="N41" s="45"/>
      <c r="P41" s="67"/>
      <c r="Q41" s="45"/>
      <c r="R41" s="45"/>
      <c r="S41" s="45"/>
      <c r="U41" s="67"/>
      <c r="V41" s="45"/>
      <c r="W41" s="45"/>
      <c r="X41" s="45"/>
      <c r="Z41" s="58"/>
      <c r="AA41" s="45"/>
      <c r="AB41" s="45"/>
      <c r="AC41" s="45"/>
      <c r="AE41" s="14"/>
      <c r="AF41" s="14"/>
      <c r="AG41" s="14"/>
      <c r="AH41" s="14"/>
      <c r="AJ41" s="14"/>
      <c r="AK41" s="14"/>
      <c r="AL41" s="14"/>
      <c r="AM41" s="14"/>
      <c r="AO41" s="51"/>
      <c r="AP41" s="45"/>
      <c r="AQ41" s="45"/>
      <c r="AR41" s="45"/>
      <c r="AT41" s="14"/>
      <c r="AU41" s="14"/>
      <c r="AV41" s="14"/>
      <c r="AW41" s="14"/>
    </row>
    <row r="42" spans="1:49" x14ac:dyDescent="0.3">
      <c r="A42" s="99"/>
      <c r="B42" s="45"/>
      <c r="C42" s="45"/>
      <c r="D42" s="45"/>
      <c r="F42" s="71"/>
      <c r="G42" s="45"/>
      <c r="H42" s="45"/>
      <c r="I42" s="45"/>
      <c r="K42" s="47"/>
      <c r="L42" s="45"/>
      <c r="M42" s="45"/>
      <c r="N42" s="45"/>
      <c r="P42" s="67"/>
      <c r="Q42" s="45"/>
      <c r="R42" s="45"/>
      <c r="S42" s="45"/>
      <c r="U42" s="67"/>
      <c r="V42" s="45"/>
      <c r="W42" s="45"/>
      <c r="X42" s="45"/>
      <c r="Z42" s="58"/>
      <c r="AA42" s="45"/>
      <c r="AB42" s="45"/>
      <c r="AC42" s="45"/>
      <c r="AE42" s="14"/>
      <c r="AF42" s="14"/>
      <c r="AG42" s="14"/>
      <c r="AH42" s="14"/>
      <c r="AJ42" s="14"/>
      <c r="AK42" s="14"/>
      <c r="AL42" s="14"/>
      <c r="AM42" s="14"/>
      <c r="AO42" s="51"/>
      <c r="AP42" s="45"/>
      <c r="AQ42" s="45"/>
      <c r="AR42" s="45"/>
      <c r="AT42" s="14"/>
      <c r="AU42" s="14"/>
      <c r="AV42" s="14"/>
      <c r="AW42" s="14"/>
    </row>
    <row r="43" spans="1:49" x14ac:dyDescent="0.3">
      <c r="A43" s="99"/>
      <c r="B43" s="45"/>
      <c r="C43" s="45"/>
      <c r="D43" s="45"/>
      <c r="F43" s="14"/>
      <c r="G43" s="14"/>
      <c r="H43" s="14"/>
      <c r="I43" s="14"/>
      <c r="K43" s="14"/>
      <c r="L43" s="14"/>
      <c r="M43" s="14"/>
      <c r="N43" s="14"/>
      <c r="P43" s="67"/>
      <c r="Q43" s="45"/>
      <c r="R43" s="45"/>
      <c r="S43" s="45"/>
      <c r="U43" s="58"/>
      <c r="V43" s="45"/>
      <c r="W43" s="45"/>
      <c r="X43" s="45"/>
      <c r="Z43" s="14"/>
      <c r="AA43" s="14"/>
      <c r="AB43" s="14"/>
      <c r="AC43" s="14"/>
      <c r="AE43" s="14"/>
      <c r="AF43" s="14"/>
      <c r="AG43" s="14"/>
      <c r="AH43" s="14"/>
      <c r="AJ43" s="14"/>
      <c r="AK43" s="14"/>
      <c r="AL43" s="14"/>
      <c r="AM43" s="14"/>
      <c r="AO43" s="51"/>
      <c r="AP43" s="45"/>
      <c r="AQ43" s="45"/>
      <c r="AR43" s="45"/>
      <c r="AT43" s="14"/>
      <c r="AU43" s="14"/>
      <c r="AV43" s="14"/>
      <c r="AW43" s="14"/>
    </row>
    <row r="44" spans="1:49" x14ac:dyDescent="0.3">
      <c r="A44" s="99"/>
      <c r="B44" s="45"/>
      <c r="C44" s="45"/>
      <c r="D44" s="45"/>
      <c r="F44" s="14"/>
      <c r="G44" s="14"/>
      <c r="H44" s="14"/>
      <c r="I44" s="14"/>
      <c r="K44" s="14"/>
      <c r="L44" s="14"/>
      <c r="M44" s="14"/>
      <c r="N44" s="14"/>
      <c r="P44" s="14"/>
      <c r="Q44" s="14"/>
      <c r="R44" s="14"/>
      <c r="S44" s="14"/>
      <c r="U44" s="14"/>
      <c r="V44" s="14"/>
      <c r="W44" s="14"/>
      <c r="X44" s="14"/>
      <c r="Z44" s="14"/>
      <c r="AA44" s="14"/>
      <c r="AB44" s="14"/>
      <c r="AC44" s="14"/>
      <c r="AE44" s="14"/>
      <c r="AF44" s="14"/>
      <c r="AG44" s="14"/>
      <c r="AH44" s="14"/>
      <c r="AJ44" s="14"/>
      <c r="AK44" s="14"/>
      <c r="AL44" s="14"/>
      <c r="AM44" s="14"/>
      <c r="AO44" s="14"/>
      <c r="AP44" s="14"/>
      <c r="AQ44" s="14"/>
      <c r="AR44" s="14"/>
      <c r="AT44" s="14"/>
      <c r="AU44" s="14"/>
      <c r="AV44" s="14"/>
      <c r="AW44" s="14"/>
    </row>
    <row r="45" spans="1:49" x14ac:dyDescent="0.3">
      <c r="A45" s="77"/>
      <c r="B45" s="45"/>
      <c r="C45" s="45"/>
      <c r="D45" s="45"/>
      <c r="F45" s="14"/>
      <c r="G45" s="14"/>
      <c r="H45" s="14"/>
      <c r="I45" s="14"/>
      <c r="K45" s="14"/>
      <c r="L45" s="14"/>
      <c r="M45" s="14"/>
      <c r="N45" s="14"/>
      <c r="P45" s="14"/>
      <c r="Q45" s="14"/>
      <c r="R45" s="14"/>
      <c r="S45" s="14"/>
      <c r="U45" s="14"/>
      <c r="V45" s="14"/>
      <c r="W45" s="14"/>
      <c r="X45" s="14"/>
      <c r="Z45" s="14"/>
      <c r="AA45" s="14"/>
      <c r="AB45" s="14"/>
      <c r="AC45" s="14"/>
      <c r="AE45" s="14"/>
      <c r="AF45" s="14"/>
      <c r="AG45" s="14"/>
      <c r="AH45" s="14"/>
      <c r="AJ45" s="14"/>
      <c r="AK45" s="14"/>
      <c r="AL45" s="14"/>
      <c r="AM45" s="14"/>
      <c r="AO45" s="14"/>
      <c r="AP45" s="14"/>
      <c r="AQ45" s="14"/>
      <c r="AR45" s="14"/>
      <c r="AT45" s="14"/>
      <c r="AU45" s="14"/>
      <c r="AV45" s="14"/>
      <c r="AW45" s="14"/>
    </row>
    <row r="46" spans="1:49" x14ac:dyDescent="0.3">
      <c r="A46" s="73"/>
      <c r="B46" s="45"/>
      <c r="C46" s="45"/>
      <c r="D46" s="45"/>
      <c r="F46" s="14"/>
      <c r="G46" s="14"/>
      <c r="H46" s="14"/>
      <c r="I46" s="14"/>
      <c r="K46" s="14"/>
      <c r="L46" s="14"/>
      <c r="M46" s="14"/>
      <c r="N46" s="14"/>
      <c r="P46" s="14"/>
      <c r="Q46" s="14"/>
      <c r="R46" s="14"/>
      <c r="S46" s="14"/>
      <c r="U46" s="14"/>
      <c r="V46" s="14"/>
      <c r="W46" s="14"/>
      <c r="X46" s="14"/>
      <c r="Z46" s="14"/>
      <c r="AA46" s="14"/>
      <c r="AB46" s="14"/>
      <c r="AC46" s="14"/>
      <c r="AE46" s="14"/>
      <c r="AF46" s="14"/>
      <c r="AG46" s="14"/>
      <c r="AH46" s="14"/>
      <c r="AJ46" s="14"/>
      <c r="AK46" s="14"/>
      <c r="AL46" s="14"/>
      <c r="AM46" s="14"/>
      <c r="AO46" s="14"/>
      <c r="AP46" s="14"/>
      <c r="AQ46" s="14"/>
      <c r="AR46" s="14"/>
      <c r="AT46" s="14"/>
      <c r="AU46" s="14"/>
      <c r="AV46" s="14"/>
      <c r="AW46" s="14"/>
    </row>
    <row r="47" spans="1:49" x14ac:dyDescent="0.3">
      <c r="A47" s="73"/>
      <c r="B47" s="45"/>
      <c r="C47" s="45"/>
      <c r="D47" s="45"/>
      <c r="F47" s="14"/>
      <c r="G47" s="14"/>
      <c r="H47" s="14"/>
      <c r="I47" s="14"/>
      <c r="K47" s="14"/>
      <c r="L47" s="14"/>
      <c r="M47" s="14"/>
      <c r="N47" s="14"/>
      <c r="P47" s="14"/>
      <c r="Q47" s="14"/>
      <c r="R47" s="14"/>
      <c r="S47" s="14"/>
      <c r="U47" s="14"/>
      <c r="V47" s="14"/>
      <c r="W47" s="14"/>
      <c r="X47" s="14"/>
      <c r="Z47" s="14"/>
      <c r="AA47" s="14"/>
      <c r="AB47" s="14"/>
      <c r="AC47" s="14"/>
      <c r="AE47" s="14"/>
      <c r="AF47" s="14"/>
      <c r="AG47" s="14"/>
      <c r="AH47" s="14"/>
      <c r="AJ47" s="14"/>
      <c r="AK47" s="14"/>
      <c r="AL47" s="14"/>
      <c r="AM47" s="14"/>
      <c r="AO47" s="14"/>
      <c r="AP47" s="14"/>
      <c r="AQ47" s="14"/>
      <c r="AR47" s="14"/>
      <c r="AT47" s="14"/>
      <c r="AU47" s="14"/>
      <c r="AV47" s="14"/>
      <c r="AW47" s="14"/>
    </row>
    <row r="48" spans="1:49" x14ac:dyDescent="0.3">
      <c r="A48" s="73"/>
      <c r="B48" s="45"/>
      <c r="C48" s="45"/>
      <c r="D48" s="45"/>
      <c r="F48" s="14"/>
      <c r="G48" s="14"/>
      <c r="H48" s="14"/>
      <c r="I48" s="14"/>
      <c r="K48" s="14"/>
      <c r="L48" s="14"/>
      <c r="M48" s="14"/>
      <c r="N48" s="14"/>
      <c r="P48" s="14"/>
      <c r="Q48" s="14"/>
      <c r="R48" s="14"/>
      <c r="S48" s="14"/>
      <c r="U48" s="14"/>
      <c r="V48" s="14"/>
      <c r="W48" s="14"/>
      <c r="X48" s="14"/>
      <c r="Z48" s="14"/>
      <c r="AA48" s="14"/>
      <c r="AB48" s="14"/>
      <c r="AC48" s="14"/>
      <c r="AE48" s="14"/>
      <c r="AF48" s="14"/>
      <c r="AG48" s="14"/>
      <c r="AH48" s="14"/>
      <c r="AJ48" s="14"/>
      <c r="AK48" s="14"/>
      <c r="AL48" s="14"/>
      <c r="AM48" s="14"/>
      <c r="AO48" s="14"/>
      <c r="AP48" s="14"/>
      <c r="AQ48" s="14"/>
      <c r="AR48" s="14"/>
      <c r="AT48" s="14"/>
      <c r="AU48" s="14"/>
      <c r="AV48" s="14"/>
      <c r="AW48" s="14"/>
    </row>
    <row r="49" spans="1:49" x14ac:dyDescent="0.3">
      <c r="A49" s="73"/>
      <c r="B49" s="45"/>
      <c r="C49" s="45"/>
      <c r="D49" s="45"/>
      <c r="F49" s="14"/>
      <c r="G49" s="14"/>
      <c r="H49" s="14"/>
      <c r="I49" s="14"/>
      <c r="K49" s="14"/>
      <c r="L49" s="14"/>
      <c r="M49" s="14"/>
      <c r="N49" s="14"/>
      <c r="P49" s="14"/>
      <c r="Q49" s="14"/>
      <c r="R49" s="14"/>
      <c r="S49" s="14"/>
      <c r="U49" s="14"/>
      <c r="V49" s="14"/>
      <c r="W49" s="14"/>
      <c r="X49" s="14"/>
      <c r="Z49" s="14"/>
      <c r="AA49" s="14"/>
      <c r="AB49" s="14"/>
      <c r="AC49" s="14"/>
      <c r="AE49" s="14"/>
      <c r="AF49" s="14"/>
      <c r="AG49" s="14"/>
      <c r="AH49" s="14"/>
      <c r="AJ49" s="14"/>
      <c r="AK49" s="14"/>
      <c r="AL49" s="14"/>
      <c r="AM49" s="14"/>
      <c r="AO49" s="14"/>
      <c r="AP49" s="14"/>
      <c r="AQ49" s="14"/>
      <c r="AR49" s="14"/>
      <c r="AT49" s="14"/>
      <c r="AU49" s="14"/>
      <c r="AV49" s="14"/>
      <c r="AW49" s="14"/>
    </row>
    <row r="50" spans="1:49" x14ac:dyDescent="0.3">
      <c r="A50" s="73"/>
      <c r="B50" s="45"/>
      <c r="C50" s="45"/>
      <c r="D50" s="45"/>
      <c r="F50" s="14"/>
      <c r="G50" s="14"/>
      <c r="H50" s="14"/>
      <c r="I50" s="14"/>
      <c r="K50" s="14"/>
      <c r="L50" s="14"/>
      <c r="M50" s="14"/>
      <c r="N50" s="14"/>
      <c r="P50" s="14"/>
      <c r="Q50" s="14"/>
      <c r="R50" s="14"/>
      <c r="S50" s="14"/>
      <c r="U50" s="14"/>
      <c r="V50" s="14"/>
      <c r="W50" s="14"/>
      <c r="X50" s="14"/>
      <c r="Z50" s="14"/>
      <c r="AA50" s="14"/>
      <c r="AB50" s="14"/>
      <c r="AC50" s="14"/>
      <c r="AE50" s="14"/>
      <c r="AF50" s="14"/>
      <c r="AG50" s="14"/>
      <c r="AH50" s="14"/>
      <c r="AJ50" s="14"/>
      <c r="AK50" s="14"/>
      <c r="AL50" s="14"/>
      <c r="AM50" s="14"/>
      <c r="AO50" s="14"/>
      <c r="AP50" s="14"/>
      <c r="AQ50" s="14"/>
      <c r="AR50" s="14"/>
      <c r="AT50" s="14"/>
      <c r="AU50" s="14"/>
      <c r="AV50" s="14"/>
      <c r="AW50" s="14"/>
    </row>
    <row r="51" spans="1:49" x14ac:dyDescent="0.3">
      <c r="A51" s="74"/>
      <c r="B51" s="75"/>
      <c r="C51" s="75"/>
      <c r="D51" s="75"/>
    </row>
    <row r="52" spans="1:49" x14ac:dyDescent="0.3">
      <c r="A52" s="74"/>
      <c r="B52" s="75"/>
      <c r="C52" s="75"/>
      <c r="D52" s="75"/>
    </row>
    <row r="53" spans="1:49" x14ac:dyDescent="0.3">
      <c r="A53" s="74"/>
      <c r="B53" s="75"/>
      <c r="C53" s="75"/>
      <c r="D53" s="75"/>
    </row>
    <row r="54" spans="1:49" x14ac:dyDescent="0.3">
      <c r="A54" s="74"/>
      <c r="B54" s="75"/>
      <c r="C54" s="75"/>
      <c r="D54" s="75"/>
    </row>
    <row r="55" spans="1:49" x14ac:dyDescent="0.3">
      <c r="A55" s="74"/>
      <c r="B55" s="75"/>
      <c r="C55" s="75"/>
      <c r="D55" s="75"/>
    </row>
    <row r="56" spans="1:49" x14ac:dyDescent="0.3">
      <c r="A56" s="74"/>
      <c r="B56" s="75"/>
      <c r="C56" s="75"/>
      <c r="D56" s="75"/>
    </row>
    <row r="57" spans="1:49" x14ac:dyDescent="0.3">
      <c r="A57" s="74"/>
      <c r="B57" s="75"/>
      <c r="C57" s="75"/>
      <c r="D57" s="75"/>
    </row>
    <row r="58" spans="1:49" x14ac:dyDescent="0.3">
      <c r="A58" s="74"/>
      <c r="B58" s="75"/>
      <c r="C58" s="75"/>
      <c r="D58" s="75"/>
    </row>
    <row r="59" spans="1:49" x14ac:dyDescent="0.3">
      <c r="A59" s="74"/>
      <c r="B59" s="75"/>
      <c r="C59" s="75"/>
      <c r="D59" s="75"/>
    </row>
    <row r="60" spans="1:49" x14ac:dyDescent="0.3">
      <c r="A60" s="74"/>
      <c r="B60" s="75"/>
      <c r="C60" s="75"/>
      <c r="D60" s="75"/>
    </row>
    <row r="61" spans="1:49" x14ac:dyDescent="0.3">
      <c r="A61" s="74"/>
      <c r="B61" s="75"/>
      <c r="C61" s="75"/>
      <c r="D61" s="75"/>
    </row>
    <row r="62" spans="1:49" x14ac:dyDescent="0.3">
      <c r="A62" s="74"/>
      <c r="B62" s="75"/>
      <c r="C62" s="75"/>
      <c r="D62" s="75"/>
    </row>
    <row r="63" spans="1:49" x14ac:dyDescent="0.3">
      <c r="A63" s="74"/>
      <c r="B63" s="75"/>
      <c r="C63" s="75"/>
      <c r="D63" s="75"/>
    </row>
    <row r="64" spans="1:49" x14ac:dyDescent="0.3">
      <c r="A64" s="74"/>
      <c r="B64" s="75"/>
      <c r="C64" s="75"/>
      <c r="D64" s="75"/>
    </row>
    <row r="65" spans="1:4" x14ac:dyDescent="0.3">
      <c r="A65" s="74"/>
      <c r="B65" s="75"/>
      <c r="C65" s="75"/>
      <c r="D65" s="75"/>
    </row>
    <row r="66" spans="1:4" x14ac:dyDescent="0.3">
      <c r="A66" s="74"/>
      <c r="B66" s="75"/>
      <c r="C66" s="75"/>
      <c r="D66" s="75"/>
    </row>
    <row r="67" spans="1:4" x14ac:dyDescent="0.3">
      <c r="A67" s="74"/>
      <c r="B67" s="75"/>
      <c r="C67" s="75"/>
      <c r="D67" s="75"/>
    </row>
    <row r="68" spans="1:4" x14ac:dyDescent="0.3">
      <c r="A68" s="74"/>
      <c r="B68" s="75"/>
      <c r="C68" s="75"/>
      <c r="D68" s="75"/>
    </row>
    <row r="69" spans="1:4" x14ac:dyDescent="0.3">
      <c r="A69" s="74"/>
      <c r="B69" s="75"/>
      <c r="C69" s="75"/>
      <c r="D69" s="75"/>
    </row>
    <row r="70" spans="1:4" x14ac:dyDescent="0.3">
      <c r="A70" s="74"/>
      <c r="B70" s="75"/>
      <c r="C70" s="75"/>
      <c r="D70" s="75"/>
    </row>
    <row r="71" spans="1:4" x14ac:dyDescent="0.3">
      <c r="A71" s="74"/>
      <c r="B71" s="75"/>
      <c r="C71" s="75"/>
      <c r="D71" s="75"/>
    </row>
    <row r="72" spans="1:4" x14ac:dyDescent="0.3">
      <c r="A72" s="74"/>
      <c r="B72" s="75"/>
      <c r="C72" s="75"/>
      <c r="D72" s="75"/>
    </row>
    <row r="73" spans="1:4" x14ac:dyDescent="0.3">
      <c r="A73" s="74"/>
      <c r="B73" s="75"/>
      <c r="C73" s="75"/>
      <c r="D73" s="75"/>
    </row>
    <row r="74" spans="1:4" x14ac:dyDescent="0.3">
      <c r="A74" s="74"/>
      <c r="B74" s="75"/>
      <c r="C74" s="75"/>
      <c r="D74" s="75"/>
    </row>
    <row r="75" spans="1:4" x14ac:dyDescent="0.3">
      <c r="A75" s="74"/>
      <c r="B75" s="75"/>
      <c r="C75" s="75"/>
      <c r="D75" s="75"/>
    </row>
    <row r="76" spans="1:4" x14ac:dyDescent="0.3">
      <c r="A76" s="74"/>
      <c r="B76" s="75"/>
      <c r="C76" s="75"/>
      <c r="D76" s="75"/>
    </row>
    <row r="77" spans="1:4" x14ac:dyDescent="0.3">
      <c r="A77" s="74"/>
      <c r="B77" s="75"/>
      <c r="C77" s="75"/>
      <c r="D77" s="75"/>
    </row>
    <row r="78" spans="1:4" x14ac:dyDescent="0.3">
      <c r="A78" s="74"/>
      <c r="B78" s="75"/>
      <c r="C78" s="75"/>
      <c r="D78" s="75"/>
    </row>
    <row r="79" spans="1:4" x14ac:dyDescent="0.3">
      <c r="A79" s="74"/>
      <c r="B79" s="75"/>
      <c r="C79" s="75"/>
      <c r="D79" s="75"/>
    </row>
    <row r="80" spans="1:4" x14ac:dyDescent="0.3">
      <c r="A80" s="74"/>
      <c r="B80" s="75"/>
      <c r="C80" s="75"/>
      <c r="D80" s="75"/>
    </row>
    <row r="81" spans="1:4" x14ac:dyDescent="0.3">
      <c r="A81" s="74"/>
      <c r="B81" s="75"/>
      <c r="C81" s="75"/>
      <c r="D81" s="75"/>
    </row>
    <row r="82" spans="1:4" x14ac:dyDescent="0.3">
      <c r="A82" s="74"/>
      <c r="B82" s="75"/>
      <c r="C82" s="75"/>
      <c r="D82" s="75"/>
    </row>
    <row r="83" spans="1:4" x14ac:dyDescent="0.3">
      <c r="A83" s="74"/>
      <c r="B83" s="75"/>
      <c r="C83" s="75"/>
      <c r="D83" s="75"/>
    </row>
    <row r="84" spans="1:4" x14ac:dyDescent="0.3">
      <c r="A84" s="74"/>
      <c r="B84" s="75"/>
      <c r="C84" s="75"/>
      <c r="D84" s="75"/>
    </row>
    <row r="85" spans="1:4" x14ac:dyDescent="0.3">
      <c r="A85" s="74"/>
      <c r="B85" s="75"/>
      <c r="C85" s="75"/>
      <c r="D85" s="75"/>
    </row>
    <row r="86" spans="1:4" x14ac:dyDescent="0.3">
      <c r="A86" s="74"/>
      <c r="B86" s="75"/>
      <c r="C86" s="75"/>
      <c r="D86" s="75"/>
    </row>
    <row r="87" spans="1:4" x14ac:dyDescent="0.3">
      <c r="A87" s="74"/>
      <c r="B87" s="75"/>
      <c r="C87" s="75"/>
      <c r="D87" s="75"/>
    </row>
    <row r="88" spans="1:4" x14ac:dyDescent="0.3">
      <c r="A88" s="74"/>
      <c r="B88" s="75"/>
      <c r="C88" s="75"/>
      <c r="D88" s="75"/>
    </row>
    <row r="89" spans="1:4" x14ac:dyDescent="0.3">
      <c r="A89" s="74"/>
      <c r="B89" s="75"/>
      <c r="C89" s="75"/>
      <c r="D89" s="75"/>
    </row>
    <row r="90" spans="1:4" x14ac:dyDescent="0.3">
      <c r="A90" s="74"/>
      <c r="B90" s="75"/>
      <c r="C90" s="75"/>
      <c r="D90" s="75"/>
    </row>
    <row r="91" spans="1:4" x14ac:dyDescent="0.3">
      <c r="A91" s="74"/>
      <c r="B91" s="75"/>
      <c r="C91" s="75"/>
      <c r="D91" s="75"/>
    </row>
    <row r="92" spans="1:4" x14ac:dyDescent="0.3">
      <c r="A92" s="74"/>
      <c r="B92" s="75"/>
      <c r="C92" s="75"/>
      <c r="D92" s="75"/>
    </row>
    <row r="93" spans="1:4" x14ac:dyDescent="0.3">
      <c r="A93" s="74"/>
      <c r="B93" s="75"/>
      <c r="C93" s="75"/>
      <c r="D93" s="75"/>
    </row>
    <row r="94" spans="1:4" x14ac:dyDescent="0.3">
      <c r="A94" s="74"/>
      <c r="B94" s="75"/>
      <c r="C94" s="75"/>
      <c r="D94" s="75"/>
    </row>
    <row r="95" spans="1:4" x14ac:dyDescent="0.3">
      <c r="A95" s="74"/>
      <c r="B95" s="75"/>
      <c r="C95" s="75"/>
      <c r="D95" s="75"/>
    </row>
    <row r="96" spans="1:4" x14ac:dyDescent="0.3">
      <c r="A96" s="74"/>
      <c r="B96" s="75"/>
      <c r="C96" s="75"/>
      <c r="D96" s="75"/>
    </row>
    <row r="97" spans="1:4" x14ac:dyDescent="0.3">
      <c r="A97" s="74"/>
      <c r="B97" s="75"/>
      <c r="C97" s="75"/>
      <c r="D97" s="75"/>
    </row>
    <row r="98" spans="1:4" x14ac:dyDescent="0.3">
      <c r="A98" s="74"/>
      <c r="B98" s="75"/>
      <c r="C98" s="75"/>
      <c r="D98" s="75"/>
    </row>
    <row r="99" spans="1:4" x14ac:dyDescent="0.3">
      <c r="A99" s="74"/>
      <c r="B99" s="75"/>
      <c r="C99" s="75"/>
      <c r="D99" s="75"/>
    </row>
  </sheetData>
  <mergeCells count="1">
    <mergeCell ref="A1:XFD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21"/>
  <sheetViews>
    <sheetView showGridLines="0" topLeftCell="A3" zoomScale="88" zoomScaleNormal="100" workbookViewId="0">
      <selection activeCell="E36" sqref="E36"/>
    </sheetView>
  </sheetViews>
  <sheetFormatPr defaultColWidth="8.88671875" defaultRowHeight="14.4" x14ac:dyDescent="0.3"/>
  <cols>
    <col min="1" max="1" width="13.21875" style="66" customWidth="1"/>
    <col min="2" max="2" width="9.77734375" style="48" customWidth="1"/>
    <col min="3" max="3" width="10.44140625" style="49" bestFit="1" customWidth="1"/>
    <col min="4" max="4" width="13.21875" style="66" customWidth="1"/>
    <col min="5" max="5" width="9.77734375" style="48" customWidth="1"/>
    <col min="6" max="6" width="8.88671875" style="49"/>
    <col min="7" max="7" width="13.21875" style="66" customWidth="1"/>
    <col min="8" max="8" width="9.77734375" style="48" customWidth="1"/>
    <col min="9" max="9" width="8.88671875" style="49"/>
    <col min="10" max="10" width="13.33203125" style="66" customWidth="1"/>
    <col min="11" max="11" width="9.6640625" style="48" customWidth="1"/>
    <col min="12" max="12" width="8.88671875" style="49"/>
    <col min="13" max="13" width="14.5546875" style="66" customWidth="1"/>
    <col min="14" max="14" width="9.6640625" style="48" customWidth="1"/>
    <col min="15" max="15" width="14.33203125" style="49" bestFit="1" customWidth="1"/>
    <col min="16" max="16" width="13.33203125" style="62" bestFit="1" customWidth="1"/>
    <col min="17" max="17" width="7.33203125" style="48" bestFit="1" customWidth="1"/>
    <col min="18" max="18" width="8.88671875" style="49"/>
    <col min="19" max="19" width="9.44140625" style="49" customWidth="1"/>
    <col min="20" max="20" width="10.44140625" style="49" bestFit="1" customWidth="1"/>
    <col min="21" max="16384" width="8.88671875" style="49"/>
  </cols>
  <sheetData>
    <row r="1" spans="1:26" s="136" customFormat="1" ht="39" hidden="1" customHeight="1" x14ac:dyDescent="0.3"/>
    <row r="2" spans="1:26" s="136" customFormat="1" ht="120" hidden="1" customHeight="1" x14ac:dyDescent="0.3"/>
    <row r="3" spans="1:26" x14ac:dyDescent="0.3">
      <c r="A3" s="63"/>
      <c r="B3" s="50"/>
      <c r="D3" s="63"/>
      <c r="E3" s="50"/>
      <c r="G3" s="63"/>
      <c r="H3" s="50"/>
      <c r="J3" s="63"/>
      <c r="K3" s="50"/>
      <c r="M3" s="63"/>
      <c r="N3" s="50"/>
      <c r="P3" s="59"/>
      <c r="Q3" s="50"/>
      <c r="S3" s="55"/>
      <c r="T3" s="50"/>
      <c r="V3" s="55"/>
      <c r="W3" s="50"/>
      <c r="Y3" s="55"/>
      <c r="Z3" s="50"/>
    </row>
    <row r="4" spans="1:26" x14ac:dyDescent="0.3">
      <c r="A4" s="64"/>
      <c r="B4" s="50"/>
      <c r="D4" s="64"/>
      <c r="E4" s="50"/>
      <c r="G4" s="64"/>
      <c r="H4" s="50"/>
      <c r="J4" s="64"/>
      <c r="K4" s="50"/>
      <c r="M4" s="64"/>
      <c r="N4" s="50"/>
      <c r="P4" s="60"/>
      <c r="Q4" s="50"/>
      <c r="S4" s="54"/>
      <c r="T4" s="50"/>
      <c r="V4" s="54"/>
      <c r="W4" s="50"/>
      <c r="Y4" s="54"/>
      <c r="Z4" s="50"/>
    </row>
    <row r="5" spans="1:26" x14ac:dyDescent="0.3">
      <c r="A5" s="64"/>
      <c r="B5" s="50"/>
      <c r="D5" s="64"/>
      <c r="E5" s="50"/>
      <c r="G5" s="64"/>
      <c r="H5" s="50"/>
      <c r="J5" s="64"/>
      <c r="K5" s="50"/>
      <c r="M5" s="64"/>
      <c r="N5" s="50"/>
      <c r="P5" s="60"/>
      <c r="Q5" s="50"/>
      <c r="S5" s="54"/>
      <c r="T5" s="50"/>
      <c r="V5" s="54"/>
      <c r="W5" s="50"/>
      <c r="Y5" s="54"/>
      <c r="Z5" s="50"/>
    </row>
    <row r="6" spans="1:26" x14ac:dyDescent="0.3">
      <c r="A6" s="100"/>
      <c r="B6" s="57"/>
      <c r="D6" s="100"/>
      <c r="E6" s="57"/>
      <c r="G6" s="100"/>
      <c r="H6" s="57"/>
      <c r="J6" s="69"/>
      <c r="K6" s="57"/>
      <c r="M6" s="68"/>
      <c r="N6" s="57"/>
      <c r="P6" s="61"/>
      <c r="Q6" s="57"/>
      <c r="S6" s="56"/>
      <c r="T6" s="57"/>
      <c r="V6" s="56"/>
      <c r="W6" s="57"/>
      <c r="Y6" s="56"/>
      <c r="Z6" s="57"/>
    </row>
    <row r="7" spans="1:26" x14ac:dyDescent="0.3">
      <c r="A7" s="100"/>
      <c r="B7" s="57"/>
      <c r="D7" s="72"/>
      <c r="E7" s="57"/>
      <c r="G7" s="69"/>
      <c r="H7" s="57"/>
      <c r="J7" s="69"/>
      <c r="K7" s="57"/>
      <c r="M7" s="68"/>
      <c r="N7" s="57"/>
      <c r="P7" s="61"/>
      <c r="Q7" s="57"/>
      <c r="S7" s="56"/>
      <c r="T7" s="57"/>
      <c r="V7" s="56"/>
      <c r="W7" s="57"/>
      <c r="Y7" s="56"/>
      <c r="Z7" s="57"/>
    </row>
    <row r="8" spans="1:26" x14ac:dyDescent="0.3">
      <c r="A8" s="100"/>
      <c r="B8" s="57"/>
      <c r="D8" s="72"/>
      <c r="E8" s="57"/>
      <c r="G8" s="69"/>
      <c r="H8" s="57"/>
      <c r="J8" s="70"/>
      <c r="K8" s="57"/>
      <c r="M8" s="68"/>
      <c r="N8" s="57"/>
      <c r="P8" s="61"/>
      <c r="Q8" s="57"/>
      <c r="S8" s="56"/>
      <c r="T8" s="57"/>
      <c r="V8" s="56"/>
      <c r="W8" s="57"/>
      <c r="Y8" s="56"/>
      <c r="Z8" s="57"/>
    </row>
    <row r="9" spans="1:26" x14ac:dyDescent="0.3">
      <c r="A9" s="100"/>
      <c r="B9" s="57"/>
      <c r="D9" s="72"/>
      <c r="E9" s="57"/>
      <c r="G9" s="69"/>
      <c r="H9" s="57"/>
      <c r="J9" s="70"/>
      <c r="K9" s="57"/>
      <c r="M9" s="68"/>
      <c r="N9" s="57"/>
      <c r="P9" s="61"/>
      <c r="Q9" s="57"/>
      <c r="S9" s="56"/>
      <c r="T9" s="57"/>
      <c r="V9" s="56"/>
      <c r="W9" s="57"/>
      <c r="Y9" s="56"/>
      <c r="Z9" s="57"/>
    </row>
    <row r="10" spans="1:26" x14ac:dyDescent="0.3">
      <c r="A10" s="78"/>
      <c r="B10" s="57"/>
      <c r="D10" s="69"/>
      <c r="E10" s="57"/>
      <c r="G10" s="69"/>
      <c r="H10" s="57"/>
      <c r="J10" s="68"/>
      <c r="K10" s="57"/>
      <c r="M10" s="68"/>
      <c r="N10" s="57"/>
      <c r="P10" s="61"/>
      <c r="Q10" s="57"/>
      <c r="S10" s="56"/>
      <c r="T10" s="57"/>
      <c r="V10" s="56"/>
      <c r="W10" s="57"/>
      <c r="Y10" s="56"/>
      <c r="Z10" s="57"/>
    </row>
    <row r="11" spans="1:26" x14ac:dyDescent="0.3">
      <c r="A11" s="78"/>
      <c r="B11" s="57"/>
      <c r="D11" s="69"/>
      <c r="E11" s="57"/>
      <c r="G11" s="69"/>
      <c r="H11" s="57"/>
      <c r="J11" s="68"/>
      <c r="K11" s="57"/>
      <c r="M11" s="68"/>
      <c r="N11" s="57"/>
      <c r="P11" s="61"/>
      <c r="Q11" s="57"/>
      <c r="S11" s="56"/>
      <c r="T11" s="57"/>
      <c r="V11" s="56"/>
      <c r="W11" s="57"/>
      <c r="Y11" s="56"/>
      <c r="Z11" s="57"/>
    </row>
    <row r="12" spans="1:26" x14ac:dyDescent="0.3">
      <c r="A12" s="78"/>
      <c r="B12" s="57"/>
      <c r="D12" s="69"/>
      <c r="E12" s="57"/>
      <c r="G12" s="69"/>
      <c r="H12" s="57"/>
      <c r="J12" s="68"/>
      <c r="K12" s="57"/>
      <c r="M12" s="68"/>
      <c r="N12" s="57"/>
      <c r="P12" s="61"/>
      <c r="Q12" s="57"/>
      <c r="S12" s="56"/>
      <c r="T12" s="57"/>
      <c r="V12" s="56"/>
      <c r="W12" s="57"/>
      <c r="Y12" s="56"/>
      <c r="Z12" s="57"/>
    </row>
    <row r="13" spans="1:26" x14ac:dyDescent="0.3">
      <c r="A13" s="78"/>
      <c r="B13" s="57"/>
      <c r="D13" s="69"/>
      <c r="E13" s="57"/>
      <c r="G13" s="69"/>
      <c r="H13" s="57"/>
      <c r="J13" s="68"/>
      <c r="K13" s="57"/>
      <c r="M13" s="68"/>
      <c r="N13" s="57"/>
      <c r="P13" s="61"/>
      <c r="Q13" s="57"/>
      <c r="S13" s="56"/>
      <c r="T13" s="57"/>
      <c r="V13" s="56"/>
      <c r="W13" s="57"/>
      <c r="Y13" s="56"/>
      <c r="Z13" s="57"/>
    </row>
    <row r="14" spans="1:26" x14ac:dyDescent="0.3">
      <c r="A14" s="78"/>
      <c r="B14" s="57"/>
      <c r="D14" s="68"/>
      <c r="E14" s="57"/>
      <c r="G14" s="68"/>
      <c r="H14" s="57"/>
      <c r="J14" s="65"/>
      <c r="K14" s="57"/>
      <c r="M14" s="65"/>
      <c r="N14" s="57"/>
      <c r="P14" s="61"/>
      <c r="Q14" s="57"/>
      <c r="S14" s="56"/>
      <c r="T14" s="57"/>
      <c r="V14" s="56"/>
      <c r="W14" s="57"/>
      <c r="Y14" s="56"/>
      <c r="Z14" s="57"/>
    </row>
    <row r="15" spans="1:26" x14ac:dyDescent="0.3">
      <c r="A15" s="78"/>
      <c r="B15" s="57"/>
      <c r="D15" s="68"/>
      <c r="E15" s="57"/>
      <c r="G15" s="68"/>
      <c r="H15" s="57"/>
      <c r="J15" s="65"/>
      <c r="K15" s="57"/>
      <c r="M15" s="65"/>
      <c r="N15" s="57"/>
      <c r="P15" s="61"/>
      <c r="Q15" s="57"/>
      <c r="S15" s="56"/>
      <c r="T15" s="57"/>
      <c r="V15" s="56"/>
      <c r="W15" s="57"/>
      <c r="Y15" s="56"/>
      <c r="Z15" s="57"/>
    </row>
    <row r="16" spans="1:26" x14ac:dyDescent="0.3">
      <c r="A16" s="78"/>
      <c r="B16" s="57"/>
      <c r="D16" s="65"/>
      <c r="E16" s="57"/>
      <c r="G16" s="65"/>
      <c r="H16" s="57"/>
      <c r="J16" s="65"/>
      <c r="K16" s="57"/>
      <c r="M16" s="65"/>
      <c r="N16" s="57"/>
      <c r="P16" s="61"/>
      <c r="Q16" s="57"/>
      <c r="S16" s="56"/>
      <c r="T16" s="57"/>
      <c r="V16" s="56"/>
      <c r="W16" s="57"/>
      <c r="Y16" s="56"/>
      <c r="Z16" s="57"/>
    </row>
    <row r="17" spans="1:1" x14ac:dyDescent="0.3">
      <c r="A17" s="76"/>
    </row>
    <row r="18" spans="1:1" x14ac:dyDescent="0.3">
      <c r="A18" s="76"/>
    </row>
    <row r="19" spans="1:1" x14ac:dyDescent="0.3">
      <c r="A19" s="76"/>
    </row>
    <row r="20" spans="1:1" x14ac:dyDescent="0.3">
      <c r="A20" s="76"/>
    </row>
    <row r="21" spans="1:1" x14ac:dyDescent="0.3">
      <c r="A21" s="76"/>
    </row>
  </sheetData>
  <sortState ref="A2:C22">
    <sortCondition ref="A2:A22"/>
    <sortCondition ref="B2:B22"/>
  </sortState>
  <mergeCells count="1">
    <mergeCell ref="A1:XFD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1"/>
  <sheetViews>
    <sheetView workbookViewId="0"/>
  </sheetViews>
  <sheetFormatPr defaultRowHeight="14.4" x14ac:dyDescent="0.3"/>
  <sheetData>
    <row r="1" spans="1:6" x14ac:dyDescent="0.3">
      <c r="A1" t="s">
        <v>47</v>
      </c>
      <c r="B1" t="s">
        <v>48</v>
      </c>
      <c r="C1" t="s">
        <v>49</v>
      </c>
      <c r="D1" t="s">
        <v>50</v>
      </c>
    </row>
    <row r="2" spans="1:6" x14ac:dyDescent="0.3">
      <c r="A2" s="46">
        <v>45913.589942129627</v>
      </c>
      <c r="B2" t="s">
        <v>51</v>
      </c>
      <c r="C2" t="s">
        <v>44</v>
      </c>
      <c r="D2">
        <v>14</v>
      </c>
      <c r="E2" t="s">
        <v>52</v>
      </c>
      <c r="F2" t="s">
        <v>53</v>
      </c>
    </row>
    <row r="3" spans="1:6" x14ac:dyDescent="0.3">
      <c r="A3" s="46">
        <v>45913.589942129627</v>
      </c>
      <c r="B3" t="s">
        <v>54</v>
      </c>
      <c r="C3" t="s">
        <v>42</v>
      </c>
      <c r="D3">
        <v>33</v>
      </c>
      <c r="E3" t="s">
        <v>52</v>
      </c>
      <c r="F3" t="s">
        <v>53</v>
      </c>
    </row>
    <row r="4" spans="1:6" x14ac:dyDescent="0.3">
      <c r="A4" s="46">
        <v>45913.589942129627</v>
      </c>
      <c r="B4" t="s">
        <v>55</v>
      </c>
      <c r="C4" t="s">
        <v>43</v>
      </c>
      <c r="D4">
        <v>33</v>
      </c>
      <c r="E4" t="s">
        <v>52</v>
      </c>
      <c r="F4" t="s">
        <v>53</v>
      </c>
    </row>
    <row r="5" spans="1:6" x14ac:dyDescent="0.3">
      <c r="A5" s="46">
        <v>45913.589942129627</v>
      </c>
      <c r="B5" t="s">
        <v>56</v>
      </c>
      <c r="C5" t="s">
        <v>46</v>
      </c>
      <c r="D5">
        <v>12</v>
      </c>
      <c r="E5" t="s">
        <v>52</v>
      </c>
      <c r="F5" t="s">
        <v>53</v>
      </c>
    </row>
    <row r="6" spans="1:6" x14ac:dyDescent="0.3">
      <c r="A6" s="46">
        <v>45913.590243055558</v>
      </c>
      <c r="B6" t="s">
        <v>57</v>
      </c>
      <c r="C6" t="s">
        <v>45</v>
      </c>
      <c r="D6">
        <v>11</v>
      </c>
      <c r="E6" t="s">
        <v>52</v>
      </c>
      <c r="F6" t="s">
        <v>53</v>
      </c>
    </row>
    <row r="7" spans="1:6" x14ac:dyDescent="0.3">
      <c r="A7" s="46">
        <v>45913.590243055558</v>
      </c>
      <c r="B7" t="s">
        <v>51</v>
      </c>
      <c r="C7" t="s">
        <v>44</v>
      </c>
      <c r="D7">
        <v>14</v>
      </c>
      <c r="E7" t="s">
        <v>52</v>
      </c>
      <c r="F7" t="s">
        <v>53</v>
      </c>
    </row>
    <row r="8" spans="1:6" x14ac:dyDescent="0.3">
      <c r="A8" s="46">
        <v>45913.590243055558</v>
      </c>
      <c r="B8" t="s">
        <v>54</v>
      </c>
      <c r="C8" t="s">
        <v>42</v>
      </c>
      <c r="D8">
        <v>33</v>
      </c>
      <c r="E8" t="s">
        <v>52</v>
      </c>
      <c r="F8" t="s">
        <v>53</v>
      </c>
    </row>
    <row r="9" spans="1:6" x14ac:dyDescent="0.3">
      <c r="A9" s="46">
        <v>45913.590243055558</v>
      </c>
      <c r="B9" t="s">
        <v>55</v>
      </c>
      <c r="C9" t="s">
        <v>43</v>
      </c>
      <c r="D9">
        <v>33</v>
      </c>
      <c r="E9" t="s">
        <v>52</v>
      </c>
      <c r="F9" t="s">
        <v>53</v>
      </c>
    </row>
    <row r="10" spans="1:6" x14ac:dyDescent="0.3">
      <c r="A10" s="46">
        <v>45913.590254629627</v>
      </c>
      <c r="B10" t="s">
        <v>56</v>
      </c>
      <c r="C10" t="s">
        <v>46</v>
      </c>
      <c r="D10">
        <v>12</v>
      </c>
      <c r="E10" t="s">
        <v>52</v>
      </c>
      <c r="F10" t="s">
        <v>53</v>
      </c>
    </row>
    <row r="11" spans="1:6" x14ac:dyDescent="0.3">
      <c r="A11" s="46">
        <v>45913.616481481484</v>
      </c>
      <c r="B11" t="s">
        <v>58</v>
      </c>
      <c r="C11" t="s">
        <v>46</v>
      </c>
      <c r="D11">
        <v>3</v>
      </c>
      <c r="E11" t="s">
        <v>52</v>
      </c>
      <c r="F11" t="s">
        <v>53</v>
      </c>
    </row>
    <row r="12" spans="1:6" x14ac:dyDescent="0.3">
      <c r="A12" s="46">
        <v>45913.617245370369</v>
      </c>
      <c r="B12" t="s">
        <v>59</v>
      </c>
      <c r="C12" t="s">
        <v>45</v>
      </c>
      <c r="D12">
        <v>0</v>
      </c>
      <c r="E12" t="s">
        <v>52</v>
      </c>
      <c r="F12" t="s">
        <v>53</v>
      </c>
    </row>
    <row r="13" spans="1:6" x14ac:dyDescent="0.3">
      <c r="A13" s="46">
        <v>45913.617245370369</v>
      </c>
      <c r="B13" t="s">
        <v>60</v>
      </c>
      <c r="C13" t="s">
        <v>44</v>
      </c>
      <c r="D13">
        <v>0</v>
      </c>
      <c r="E13" t="s">
        <v>52</v>
      </c>
      <c r="F13" t="s">
        <v>53</v>
      </c>
    </row>
    <row r="14" spans="1:6" x14ac:dyDescent="0.3">
      <c r="A14" s="46">
        <v>45913.617245370369</v>
      </c>
      <c r="B14" t="s">
        <v>61</v>
      </c>
      <c r="C14" t="s">
        <v>42</v>
      </c>
      <c r="D14">
        <v>7</v>
      </c>
      <c r="E14" t="s">
        <v>52</v>
      </c>
      <c r="F14" t="s">
        <v>53</v>
      </c>
    </row>
    <row r="15" spans="1:6" x14ac:dyDescent="0.3">
      <c r="A15" s="46">
        <v>45913.617245370369</v>
      </c>
      <c r="B15" t="s">
        <v>62</v>
      </c>
      <c r="C15" t="s">
        <v>43</v>
      </c>
      <c r="D15">
        <v>7</v>
      </c>
      <c r="E15" t="s">
        <v>52</v>
      </c>
      <c r="F15" t="s">
        <v>53</v>
      </c>
    </row>
    <row r="16" spans="1:6" x14ac:dyDescent="0.3">
      <c r="A16" s="46">
        <v>45913.617256944446</v>
      </c>
      <c r="B16" t="s">
        <v>58</v>
      </c>
      <c r="C16" t="s">
        <v>46</v>
      </c>
      <c r="D16">
        <v>3</v>
      </c>
      <c r="E16" t="s">
        <v>63</v>
      </c>
      <c r="F16" t="s">
        <v>64</v>
      </c>
    </row>
    <row r="17" spans="1:6" x14ac:dyDescent="0.3">
      <c r="A17" s="46">
        <v>45913.620682870373</v>
      </c>
      <c r="B17" t="s">
        <v>59</v>
      </c>
      <c r="C17" t="s">
        <v>45</v>
      </c>
      <c r="D17">
        <v>1</v>
      </c>
      <c r="E17" t="s">
        <v>52</v>
      </c>
      <c r="F17" t="s">
        <v>53</v>
      </c>
    </row>
    <row r="18" spans="1:6" x14ac:dyDescent="0.3">
      <c r="A18" s="46">
        <v>45913.620682870373</v>
      </c>
      <c r="B18" t="s">
        <v>60</v>
      </c>
      <c r="C18" t="s">
        <v>44</v>
      </c>
      <c r="D18">
        <v>1</v>
      </c>
      <c r="E18" t="s">
        <v>52</v>
      </c>
      <c r="F18" t="s">
        <v>53</v>
      </c>
    </row>
    <row r="19" spans="1:6" x14ac:dyDescent="0.3">
      <c r="A19" s="46">
        <v>45913.620682870373</v>
      </c>
      <c r="B19" t="s">
        <v>61</v>
      </c>
      <c r="C19" t="s">
        <v>42</v>
      </c>
      <c r="D19">
        <v>7</v>
      </c>
      <c r="E19" t="s">
        <v>52</v>
      </c>
      <c r="F19" t="s">
        <v>53</v>
      </c>
    </row>
    <row r="20" spans="1:6" x14ac:dyDescent="0.3">
      <c r="A20" s="46">
        <v>45913.620694444442</v>
      </c>
      <c r="B20" t="s">
        <v>62</v>
      </c>
      <c r="C20" t="s">
        <v>43</v>
      </c>
      <c r="D20">
        <v>7</v>
      </c>
      <c r="E20" t="s">
        <v>52</v>
      </c>
      <c r="F20" t="s">
        <v>53</v>
      </c>
    </row>
    <row r="21" spans="1:6" x14ac:dyDescent="0.3">
      <c r="A21" s="46">
        <v>45913.620694444442</v>
      </c>
      <c r="B21" t="s">
        <v>58</v>
      </c>
      <c r="C21" t="s">
        <v>46</v>
      </c>
      <c r="D21">
        <v>3</v>
      </c>
      <c r="E21" t="s">
        <v>52</v>
      </c>
      <c r="F21" t="s">
        <v>53</v>
      </c>
    </row>
    <row r="22" spans="1:6" x14ac:dyDescent="0.3">
      <c r="A22" s="46">
        <v>45913.621365740742</v>
      </c>
      <c r="B22" t="s">
        <v>59</v>
      </c>
      <c r="C22" t="s">
        <v>45</v>
      </c>
      <c r="D22">
        <v>1</v>
      </c>
      <c r="E22" t="s">
        <v>52</v>
      </c>
      <c r="F22" t="s">
        <v>53</v>
      </c>
    </row>
    <row r="23" spans="1:6" x14ac:dyDescent="0.3">
      <c r="A23" s="46">
        <v>45913.621365740742</v>
      </c>
      <c r="B23" t="s">
        <v>60</v>
      </c>
      <c r="C23" t="s">
        <v>44</v>
      </c>
      <c r="D23">
        <v>1</v>
      </c>
      <c r="E23" t="s">
        <v>52</v>
      </c>
      <c r="F23" t="s">
        <v>53</v>
      </c>
    </row>
    <row r="24" spans="1:6" x14ac:dyDescent="0.3">
      <c r="A24" s="46">
        <v>45913.621365740742</v>
      </c>
      <c r="B24" t="s">
        <v>61</v>
      </c>
      <c r="C24" t="s">
        <v>42</v>
      </c>
      <c r="D24">
        <v>7</v>
      </c>
      <c r="E24" t="s">
        <v>52</v>
      </c>
      <c r="F24" t="s">
        <v>53</v>
      </c>
    </row>
    <row r="25" spans="1:6" x14ac:dyDescent="0.3">
      <c r="A25" s="46">
        <v>45913.621365740742</v>
      </c>
      <c r="B25" t="s">
        <v>62</v>
      </c>
      <c r="C25" t="s">
        <v>43</v>
      </c>
      <c r="D25">
        <v>7</v>
      </c>
      <c r="E25" t="s">
        <v>52</v>
      </c>
      <c r="F25" t="s">
        <v>53</v>
      </c>
    </row>
    <row r="26" spans="1:6" x14ac:dyDescent="0.3">
      <c r="A26" s="46">
        <v>45913.621365740742</v>
      </c>
      <c r="B26" t="s">
        <v>58</v>
      </c>
      <c r="C26" t="s">
        <v>46</v>
      </c>
      <c r="D26">
        <v>3</v>
      </c>
      <c r="E26" t="s">
        <v>52</v>
      </c>
      <c r="F26" t="s">
        <v>53</v>
      </c>
    </row>
    <row r="27" spans="1:6" x14ac:dyDescent="0.3">
      <c r="A27" s="46">
        <v>45913.840555555558</v>
      </c>
      <c r="B27" t="s">
        <v>59</v>
      </c>
      <c r="C27" t="s">
        <v>45</v>
      </c>
      <c r="D27">
        <v>1</v>
      </c>
      <c r="E27" t="s">
        <v>52</v>
      </c>
    </row>
    <row r="28" spans="1:6" x14ac:dyDescent="0.3">
      <c r="A28" s="46">
        <v>45913.840555555558</v>
      </c>
      <c r="B28" t="s">
        <v>60</v>
      </c>
      <c r="C28" t="s">
        <v>44</v>
      </c>
      <c r="D28">
        <v>1</v>
      </c>
      <c r="E28" t="s">
        <v>52</v>
      </c>
    </row>
    <row r="29" spans="1:6" x14ac:dyDescent="0.3">
      <c r="A29" s="46">
        <v>45913.840555555558</v>
      </c>
      <c r="B29" t="s">
        <v>61</v>
      </c>
      <c r="C29" t="s">
        <v>42</v>
      </c>
      <c r="D29">
        <v>7</v>
      </c>
      <c r="E29" t="s">
        <v>52</v>
      </c>
    </row>
    <row r="30" spans="1:6" x14ac:dyDescent="0.3">
      <c r="A30" s="46">
        <v>45913.840555555558</v>
      </c>
      <c r="B30" t="s">
        <v>62</v>
      </c>
      <c r="C30" t="s">
        <v>43</v>
      </c>
      <c r="D30">
        <v>7</v>
      </c>
      <c r="E30" t="s">
        <v>52</v>
      </c>
    </row>
    <row r="31" spans="1:6" x14ac:dyDescent="0.3">
      <c r="A31" s="46">
        <v>45913.840567129628</v>
      </c>
      <c r="B31" t="s">
        <v>58</v>
      </c>
      <c r="C31" t="s">
        <v>46</v>
      </c>
      <c r="D31">
        <v>5</v>
      </c>
      <c r="E31" t="s">
        <v>52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BANGTINH</vt:lpstr>
      <vt:lpstr>THTT</vt:lpstr>
      <vt:lpstr>LKGD</vt:lpstr>
      <vt:lpstr>LKLS</vt:lpstr>
      <vt:lpstr>BANGTINH!Print_Area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dell</cp:lastModifiedBy>
  <cp:lastPrinted>2025-12-28T16:17:48Z</cp:lastPrinted>
  <dcterms:created xsi:type="dcterms:W3CDTF">2025-08-10T08:27:57Z</dcterms:created>
  <dcterms:modified xsi:type="dcterms:W3CDTF">2026-08-12T17:22:16Z</dcterms:modified>
</cp:coreProperties>
</file>