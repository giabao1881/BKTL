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bookViews>
    <workbookView xWindow="0" yWindow="0" windowWidth="23040" windowHeight="8496" firstSheet="1" activeTab="1"/>
  </bookViews>
  <sheets>
    <sheet name="BANGTINH" sheetId="1" state="hidden" r:id="rId1"/>
    <sheet name="THTT" sheetId="3" r:id="rId2"/>
    <sheet name="LKGD" sheetId="20" r:id="rId3"/>
    <sheet name="LKLS" sheetId="22" r:id="rId4"/>
    <sheet name="_LKLS_LOG" sheetId="21" state="veryHidden" r:id="rId5"/>
  </sheets>
  <functionGroups builtInGroupCount="18"/>
  <definedNames>
    <definedName name="__AUTH_CACHE_OK__">FALSE</definedName>
    <definedName name="__AUTH_CACHE_TS__">"2025-09-07 03:21:58"</definedName>
    <definedName name="__RUN_ONCE_INIT__">TRUE</definedName>
    <definedName name="_xlnm.Print_Area" localSheetId="0">BANGTINH!$A$1:$K$211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3" l="1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I6" i="3"/>
  <c r="I13" i="3"/>
  <c r="I19" i="3"/>
  <c r="I20" i="3"/>
  <c r="I4" i="3"/>
  <c r="I12" i="3"/>
  <c r="I16" i="3"/>
  <c r="I5" i="3"/>
  <c r="I7" i="3"/>
  <c r="I8" i="3"/>
  <c r="I14" i="3"/>
  <c r="I11" i="3"/>
  <c r="I10" i="3"/>
  <c r="I15" i="3"/>
  <c r="I17" i="3"/>
  <c r="I9" i="3"/>
  <c r="I18" i="3"/>
  <c r="E15" i="1" l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E151" i="1" s="1"/>
  <c r="E152" i="1" s="1"/>
  <c r="E153" i="1" s="1"/>
  <c r="E154" i="1" s="1"/>
  <c r="E155" i="1" s="1"/>
  <c r="E156" i="1" s="1"/>
  <c r="E157" i="1" s="1"/>
  <c r="E158" i="1" s="1"/>
  <c r="E159" i="1" s="1"/>
  <c r="E160" i="1" s="1"/>
  <c r="E161" i="1" s="1"/>
  <c r="E162" i="1" s="1"/>
  <c r="E163" i="1" s="1"/>
  <c r="E164" i="1" s="1"/>
  <c r="E165" i="1" s="1"/>
  <c r="E166" i="1" s="1"/>
  <c r="E167" i="1" s="1"/>
  <c r="E168" i="1" s="1"/>
  <c r="E169" i="1" s="1"/>
  <c r="E170" i="1" s="1"/>
  <c r="E171" i="1" s="1"/>
  <c r="E172" i="1" s="1"/>
  <c r="E173" i="1" s="1"/>
  <c r="E174" i="1" s="1"/>
  <c r="E175" i="1" s="1"/>
  <c r="E176" i="1" s="1"/>
  <c r="E177" i="1" s="1"/>
  <c r="E178" i="1" s="1"/>
  <c r="E179" i="1" s="1"/>
  <c r="E180" i="1" s="1"/>
  <c r="E181" i="1" s="1"/>
  <c r="E182" i="1" s="1"/>
  <c r="E183" i="1" s="1"/>
  <c r="E184" i="1" s="1"/>
  <c r="E185" i="1" s="1"/>
  <c r="E186" i="1" s="1"/>
  <c r="E187" i="1" s="1"/>
  <c r="E188" i="1" s="1"/>
  <c r="E189" i="1" s="1"/>
  <c r="E190" i="1" s="1"/>
  <c r="E191" i="1" s="1"/>
  <c r="E192" i="1" s="1"/>
  <c r="E193" i="1" s="1"/>
  <c r="E194" i="1" s="1"/>
  <c r="E195" i="1" s="1"/>
  <c r="E196" i="1" s="1"/>
  <c r="E197" i="1" s="1"/>
  <c r="E198" i="1" s="1"/>
  <c r="E199" i="1" s="1"/>
  <c r="E200" i="1" s="1"/>
  <c r="E201" i="1" s="1"/>
  <c r="H6" i="3" l="1"/>
  <c r="F9" i="3"/>
  <c r="G10" i="3"/>
  <c r="H11" i="3"/>
  <c r="H13" i="3"/>
  <c r="F15" i="3"/>
  <c r="G16" i="3"/>
  <c r="F19" i="3"/>
  <c r="E3" i="3"/>
  <c r="I3" i="3"/>
  <c r="A7" i="3" l="1"/>
  <c r="F8" i="3"/>
  <c r="F17" i="3"/>
  <c r="F18" i="3"/>
  <c r="F6" i="3"/>
  <c r="G14" i="3"/>
  <c r="H16" i="3"/>
  <c r="F16" i="3"/>
  <c r="G6" i="3"/>
  <c r="H14" i="3"/>
  <c r="F14" i="3"/>
  <c r="F13" i="3"/>
  <c r="G18" i="3"/>
  <c r="F10" i="3"/>
  <c r="H18" i="3"/>
  <c r="H10" i="3"/>
  <c r="H7" i="3"/>
  <c r="F7" i="3"/>
  <c r="G15" i="3"/>
  <c r="H15" i="3"/>
  <c r="G13" i="3"/>
  <c r="G7" i="3"/>
  <c r="G19" i="3"/>
  <c r="H19" i="3"/>
  <c r="H9" i="3"/>
  <c r="G11" i="3"/>
  <c r="H17" i="3"/>
  <c r="H8" i="3"/>
  <c r="F11" i="3"/>
  <c r="G17" i="3"/>
  <c r="G8" i="3"/>
  <c r="G9" i="3"/>
  <c r="F20" i="3"/>
  <c r="F12" i="3"/>
  <c r="G20" i="3"/>
  <c r="G12" i="3"/>
  <c r="H20" i="3"/>
  <c r="H12" i="3"/>
  <c r="H208" i="1"/>
  <c r="F3" i="3"/>
  <c r="F5" i="3"/>
  <c r="F4" i="3"/>
  <c r="F21" i="3" l="1"/>
  <c r="J202" i="1"/>
  <c r="K202" i="1" l="1"/>
  <c r="E5" i="1"/>
  <c r="H5" i="1"/>
  <c r="B10" i="1" l="1"/>
  <c r="B9" i="1"/>
  <c r="C14" i="1" l="1"/>
  <c r="D14" i="1" s="1"/>
  <c r="C21" i="1"/>
  <c r="D21" i="1" s="1"/>
  <c r="C28" i="1"/>
  <c r="D28" i="1" s="1"/>
  <c r="C34" i="1"/>
  <c r="D34" i="1" s="1"/>
  <c r="C40" i="1"/>
  <c r="D40" i="1" s="1"/>
  <c r="C46" i="1"/>
  <c r="D46" i="1" s="1"/>
  <c r="C53" i="1"/>
  <c r="D53" i="1" s="1"/>
  <c r="C60" i="1"/>
  <c r="D60" i="1" s="1"/>
  <c r="C66" i="1"/>
  <c r="D66" i="1" s="1"/>
  <c r="C72" i="1"/>
  <c r="D72" i="1" s="1"/>
  <c r="C78" i="1"/>
  <c r="D78" i="1" s="1"/>
  <c r="C85" i="1"/>
  <c r="D85" i="1" s="1"/>
  <c r="C92" i="1"/>
  <c r="D92" i="1" s="1"/>
  <c r="C98" i="1"/>
  <c r="D98" i="1" s="1"/>
  <c r="C104" i="1"/>
  <c r="D104" i="1" s="1"/>
  <c r="C110" i="1"/>
  <c r="D110" i="1" s="1"/>
  <c r="C117" i="1"/>
  <c r="D117" i="1" s="1"/>
  <c r="C124" i="1"/>
  <c r="D124" i="1" s="1"/>
  <c r="C130" i="1"/>
  <c r="D130" i="1" s="1"/>
  <c r="C136" i="1"/>
  <c r="D136" i="1" s="1"/>
  <c r="C142" i="1"/>
  <c r="D142" i="1" s="1"/>
  <c r="C149" i="1"/>
  <c r="D149" i="1" s="1"/>
  <c r="C156" i="1"/>
  <c r="D156" i="1" s="1"/>
  <c r="C162" i="1"/>
  <c r="D162" i="1" s="1"/>
  <c r="C168" i="1"/>
  <c r="D168" i="1" s="1"/>
  <c r="C174" i="1"/>
  <c r="D174" i="1" s="1"/>
  <c r="C181" i="1"/>
  <c r="D181" i="1" s="1"/>
  <c r="C187" i="1"/>
  <c r="D187" i="1" s="1"/>
  <c r="C192" i="1"/>
  <c r="D192" i="1" s="1"/>
  <c r="C198" i="1"/>
  <c r="D198" i="1" s="1"/>
  <c r="C15" i="1"/>
  <c r="D15" i="1" s="1"/>
  <c r="C35" i="1"/>
  <c r="D35" i="1" s="1"/>
  <c r="C41" i="1"/>
  <c r="D41" i="1" s="1"/>
  <c r="C67" i="1"/>
  <c r="D67" i="1" s="1"/>
  <c r="C73" i="1"/>
  <c r="D73" i="1" s="1"/>
  <c r="C79" i="1"/>
  <c r="D79" i="1" s="1"/>
  <c r="C99" i="1"/>
  <c r="D99" i="1" s="1"/>
  <c r="C105" i="1"/>
  <c r="D105" i="1" s="1"/>
  <c r="C131" i="1"/>
  <c r="D131" i="1" s="1"/>
  <c r="C143" i="1"/>
  <c r="D143" i="1" s="1"/>
  <c r="C47" i="1"/>
  <c r="D47" i="1" s="1"/>
  <c r="C111" i="1"/>
  <c r="D111" i="1" s="1"/>
  <c r="C137" i="1"/>
  <c r="D137" i="1" s="1"/>
  <c r="C193" i="1"/>
  <c r="D193" i="1" s="1"/>
  <c r="C16" i="1"/>
  <c r="D16" i="1" s="1"/>
  <c r="C22" i="1"/>
  <c r="D22" i="1" s="1"/>
  <c r="C29" i="1"/>
  <c r="D29" i="1" s="1"/>
  <c r="C36" i="1"/>
  <c r="D36" i="1" s="1"/>
  <c r="C42" i="1"/>
  <c r="D42" i="1" s="1"/>
  <c r="C48" i="1"/>
  <c r="D48" i="1" s="1"/>
  <c r="C54" i="1"/>
  <c r="D54" i="1" s="1"/>
  <c r="C61" i="1"/>
  <c r="D61" i="1" s="1"/>
  <c r="C68" i="1"/>
  <c r="D68" i="1" s="1"/>
  <c r="C74" i="1"/>
  <c r="D74" i="1" s="1"/>
  <c r="C80" i="1"/>
  <c r="D80" i="1" s="1"/>
  <c r="C86" i="1"/>
  <c r="D86" i="1" s="1"/>
  <c r="C93" i="1"/>
  <c r="D93" i="1" s="1"/>
  <c r="C100" i="1"/>
  <c r="D100" i="1" s="1"/>
  <c r="C106" i="1"/>
  <c r="D106" i="1" s="1"/>
  <c r="C112" i="1"/>
  <c r="D112" i="1" s="1"/>
  <c r="C118" i="1"/>
  <c r="D118" i="1" s="1"/>
  <c r="C125" i="1"/>
  <c r="D125" i="1" s="1"/>
  <c r="C132" i="1"/>
  <c r="D132" i="1" s="1"/>
  <c r="C138" i="1"/>
  <c r="D138" i="1" s="1"/>
  <c r="C144" i="1"/>
  <c r="D144" i="1" s="1"/>
  <c r="C150" i="1"/>
  <c r="D150" i="1" s="1"/>
  <c r="C157" i="1"/>
  <c r="D157" i="1" s="1"/>
  <c r="C164" i="1"/>
  <c r="D164" i="1" s="1"/>
  <c r="C170" i="1"/>
  <c r="D170" i="1" s="1"/>
  <c r="C176" i="1"/>
  <c r="D176" i="1" s="1"/>
  <c r="C182" i="1"/>
  <c r="D182" i="1" s="1"/>
  <c r="C194" i="1"/>
  <c r="D194" i="1" s="1"/>
  <c r="C31" i="1"/>
  <c r="D31" i="1" s="1"/>
  <c r="C63" i="1"/>
  <c r="D63" i="1" s="1"/>
  <c r="C89" i="1"/>
  <c r="D89" i="1" s="1"/>
  <c r="C127" i="1"/>
  <c r="D127" i="1" s="1"/>
  <c r="C147" i="1"/>
  <c r="D147" i="1" s="1"/>
  <c r="C184" i="1"/>
  <c r="D184" i="1" s="1"/>
  <c r="C135" i="1"/>
  <c r="D135" i="1" s="1"/>
  <c r="C155" i="1"/>
  <c r="D155" i="1" s="1"/>
  <c r="C186" i="1"/>
  <c r="D186" i="1" s="1"/>
  <c r="C17" i="1"/>
  <c r="D17" i="1" s="1"/>
  <c r="C23" i="1"/>
  <c r="D23" i="1" s="1"/>
  <c r="C43" i="1"/>
  <c r="D43" i="1" s="1"/>
  <c r="C49" i="1"/>
  <c r="D49" i="1" s="1"/>
  <c r="C55" i="1"/>
  <c r="D55" i="1" s="1"/>
  <c r="C75" i="1"/>
  <c r="D75" i="1" s="1"/>
  <c r="C81" i="1"/>
  <c r="D81" i="1" s="1"/>
  <c r="C87" i="1"/>
  <c r="D87" i="1" s="1"/>
  <c r="C107" i="1"/>
  <c r="D107" i="1" s="1"/>
  <c r="C113" i="1"/>
  <c r="D113" i="1" s="1"/>
  <c r="C119" i="1"/>
  <c r="D119" i="1" s="1"/>
  <c r="C139" i="1"/>
  <c r="D139" i="1" s="1"/>
  <c r="C145" i="1"/>
  <c r="D145" i="1" s="1"/>
  <c r="C151" i="1"/>
  <c r="D151" i="1" s="1"/>
  <c r="C171" i="1"/>
  <c r="D171" i="1" s="1"/>
  <c r="C177" i="1"/>
  <c r="D177" i="1" s="1"/>
  <c r="C183" i="1"/>
  <c r="D183" i="1" s="1"/>
  <c r="C189" i="1"/>
  <c r="D189" i="1" s="1"/>
  <c r="C195" i="1"/>
  <c r="D195" i="1" s="1"/>
  <c r="C200" i="1"/>
  <c r="D200" i="1" s="1"/>
  <c r="C19" i="1"/>
  <c r="D19" i="1" s="1"/>
  <c r="C51" i="1"/>
  <c r="D51" i="1" s="1"/>
  <c r="C83" i="1"/>
  <c r="D83" i="1" s="1"/>
  <c r="C115" i="1"/>
  <c r="D115" i="1" s="1"/>
  <c r="C153" i="1"/>
  <c r="D153" i="1" s="1"/>
  <c r="C179" i="1"/>
  <c r="D179" i="1" s="1"/>
  <c r="C129" i="1"/>
  <c r="D129" i="1" s="1"/>
  <c r="C167" i="1"/>
  <c r="D167" i="1" s="1"/>
  <c r="C175" i="1"/>
  <c r="D175" i="1" s="1"/>
  <c r="C18" i="1"/>
  <c r="D18" i="1" s="1"/>
  <c r="C24" i="1"/>
  <c r="D24" i="1" s="1"/>
  <c r="C30" i="1"/>
  <c r="D30" i="1" s="1"/>
  <c r="C37" i="1"/>
  <c r="D37" i="1" s="1"/>
  <c r="C44" i="1"/>
  <c r="D44" i="1" s="1"/>
  <c r="C50" i="1"/>
  <c r="D50" i="1" s="1"/>
  <c r="C56" i="1"/>
  <c r="D56" i="1" s="1"/>
  <c r="C62" i="1"/>
  <c r="D62" i="1" s="1"/>
  <c r="C69" i="1"/>
  <c r="D69" i="1" s="1"/>
  <c r="C76" i="1"/>
  <c r="D76" i="1" s="1"/>
  <c r="C82" i="1"/>
  <c r="D82" i="1" s="1"/>
  <c r="C88" i="1"/>
  <c r="D88" i="1" s="1"/>
  <c r="C94" i="1"/>
  <c r="D94" i="1" s="1"/>
  <c r="C101" i="1"/>
  <c r="D101" i="1" s="1"/>
  <c r="C108" i="1"/>
  <c r="D108" i="1" s="1"/>
  <c r="C114" i="1"/>
  <c r="D114" i="1" s="1"/>
  <c r="C120" i="1"/>
  <c r="D120" i="1" s="1"/>
  <c r="C126" i="1"/>
  <c r="D126" i="1" s="1"/>
  <c r="C133" i="1"/>
  <c r="D133" i="1" s="1"/>
  <c r="C140" i="1"/>
  <c r="D140" i="1" s="1"/>
  <c r="C146" i="1"/>
  <c r="D146" i="1" s="1"/>
  <c r="C152" i="1"/>
  <c r="D152" i="1" s="1"/>
  <c r="C158" i="1"/>
  <c r="D158" i="1" s="1"/>
  <c r="C165" i="1"/>
  <c r="D165" i="1" s="1"/>
  <c r="C172" i="1"/>
  <c r="D172" i="1" s="1"/>
  <c r="C178" i="1"/>
  <c r="D178" i="1" s="1"/>
  <c r="C196" i="1"/>
  <c r="D196" i="1" s="1"/>
  <c r="C201" i="1"/>
  <c r="D201" i="1" s="1"/>
  <c r="C25" i="1"/>
  <c r="D25" i="1" s="1"/>
  <c r="C57" i="1"/>
  <c r="D57" i="1" s="1"/>
  <c r="C95" i="1"/>
  <c r="D95" i="1" s="1"/>
  <c r="C121" i="1"/>
  <c r="D121" i="1" s="1"/>
  <c r="C159" i="1"/>
  <c r="D159" i="1" s="1"/>
  <c r="C103" i="1"/>
  <c r="D103" i="1" s="1"/>
  <c r="C161" i="1"/>
  <c r="D161" i="1" s="1"/>
  <c r="C163" i="1"/>
  <c r="D163" i="1" s="1"/>
  <c r="C199" i="1"/>
  <c r="D199" i="1" s="1"/>
  <c r="C190" i="1"/>
  <c r="D190" i="1" s="1"/>
  <c r="C188" i="1"/>
  <c r="D188" i="1" s="1"/>
  <c r="C20" i="1"/>
  <c r="D20" i="1" s="1"/>
  <c r="C26" i="1"/>
  <c r="D26" i="1" s="1"/>
  <c r="C32" i="1"/>
  <c r="D32" i="1" s="1"/>
  <c r="C38" i="1"/>
  <c r="D38" i="1" s="1"/>
  <c r="C45" i="1"/>
  <c r="D45" i="1" s="1"/>
  <c r="C52" i="1"/>
  <c r="D52" i="1" s="1"/>
  <c r="C58" i="1"/>
  <c r="D58" i="1" s="1"/>
  <c r="C64" i="1"/>
  <c r="D64" i="1" s="1"/>
  <c r="C70" i="1"/>
  <c r="D70" i="1" s="1"/>
  <c r="C77" i="1"/>
  <c r="D77" i="1" s="1"/>
  <c r="C84" i="1"/>
  <c r="D84" i="1" s="1"/>
  <c r="C90" i="1"/>
  <c r="D90" i="1" s="1"/>
  <c r="C96" i="1"/>
  <c r="D96" i="1" s="1"/>
  <c r="C102" i="1"/>
  <c r="D102" i="1" s="1"/>
  <c r="C109" i="1"/>
  <c r="D109" i="1" s="1"/>
  <c r="C116" i="1"/>
  <c r="D116" i="1" s="1"/>
  <c r="C122" i="1"/>
  <c r="D122" i="1" s="1"/>
  <c r="C128" i="1"/>
  <c r="D128" i="1" s="1"/>
  <c r="C134" i="1"/>
  <c r="D134" i="1" s="1"/>
  <c r="C141" i="1"/>
  <c r="D141" i="1" s="1"/>
  <c r="C148" i="1"/>
  <c r="D148" i="1" s="1"/>
  <c r="C154" i="1"/>
  <c r="D154" i="1" s="1"/>
  <c r="C160" i="1"/>
  <c r="D160" i="1" s="1"/>
  <c r="C166" i="1"/>
  <c r="D166" i="1" s="1"/>
  <c r="C173" i="1"/>
  <c r="D173" i="1" s="1"/>
  <c r="C180" i="1"/>
  <c r="D180" i="1" s="1"/>
  <c r="C185" i="1"/>
  <c r="D185" i="1" s="1"/>
  <c r="C191" i="1"/>
  <c r="D191" i="1" s="1"/>
  <c r="C197" i="1"/>
  <c r="D197" i="1" s="1"/>
  <c r="C27" i="1"/>
  <c r="D27" i="1" s="1"/>
  <c r="C33" i="1"/>
  <c r="D33" i="1" s="1"/>
  <c r="C39" i="1"/>
  <c r="D39" i="1" s="1"/>
  <c r="C59" i="1"/>
  <c r="D59" i="1" s="1"/>
  <c r="C65" i="1"/>
  <c r="D65" i="1" s="1"/>
  <c r="C71" i="1"/>
  <c r="D71" i="1" s="1"/>
  <c r="C91" i="1"/>
  <c r="D91" i="1" s="1"/>
  <c r="C97" i="1"/>
  <c r="D97" i="1" s="1"/>
  <c r="C123" i="1"/>
  <c r="D123" i="1" s="1"/>
  <c r="C169" i="1"/>
  <c r="D169" i="1" s="1"/>
  <c r="A21" i="1"/>
  <c r="A14" i="1"/>
  <c r="A18" i="1"/>
  <c r="A25" i="1"/>
  <c r="A29" i="1"/>
  <c r="A61" i="1"/>
  <c r="A93" i="1"/>
  <c r="A125" i="1"/>
  <c r="A157" i="1"/>
  <c r="A185" i="1"/>
  <c r="A111" i="1"/>
  <c r="A122" i="1"/>
  <c r="A140" i="1"/>
  <c r="A147" i="1"/>
  <c r="A150" i="1"/>
  <c r="A161" i="1"/>
  <c r="A168" i="1"/>
  <c r="A175" i="1"/>
  <c r="A179" i="1"/>
  <c r="A189" i="1"/>
  <c r="A196" i="1"/>
  <c r="A15" i="1"/>
  <c r="A19" i="1"/>
  <c r="A22" i="1"/>
  <c r="A26" i="1"/>
  <c r="A33" i="1"/>
  <c r="A40" i="1"/>
  <c r="A44" i="1"/>
  <c r="A47" i="1"/>
  <c r="A51" i="1"/>
  <c r="A54" i="1"/>
  <c r="A58" i="1"/>
  <c r="A65" i="1"/>
  <c r="A72" i="1"/>
  <c r="A76" i="1"/>
  <c r="A79" i="1"/>
  <c r="A83" i="1"/>
  <c r="A86" i="1"/>
  <c r="A90" i="1"/>
  <c r="A97" i="1"/>
  <c r="A104" i="1"/>
  <c r="A108" i="1"/>
  <c r="A115" i="1"/>
  <c r="A118" i="1"/>
  <c r="A129" i="1"/>
  <c r="A136" i="1"/>
  <c r="A143" i="1"/>
  <c r="A154" i="1"/>
  <c r="A172" i="1"/>
  <c r="A182" i="1"/>
  <c r="A192" i="1"/>
  <c r="A199" i="1"/>
  <c r="A69" i="1"/>
  <c r="A37" i="1"/>
  <c r="A16" i="1"/>
  <c r="A20" i="1"/>
  <c r="A23" i="1"/>
  <c r="A45" i="1"/>
  <c r="A77" i="1"/>
  <c r="A109" i="1"/>
  <c r="A141" i="1"/>
  <c r="A173" i="1"/>
  <c r="A187" i="1"/>
  <c r="A190" i="1"/>
  <c r="A197" i="1"/>
  <c r="A200" i="1"/>
  <c r="A30" i="1"/>
  <c r="A38" i="1"/>
  <c r="A55" i="1"/>
  <c r="A63" i="1"/>
  <c r="A71" i="1"/>
  <c r="A80" i="1"/>
  <c r="A88" i="1"/>
  <c r="A96" i="1"/>
  <c r="A145" i="1"/>
  <c r="A149" i="1"/>
  <c r="A153" i="1"/>
  <c r="A165" i="1"/>
  <c r="A169" i="1"/>
  <c r="A194" i="1"/>
  <c r="A198" i="1"/>
  <c r="A27" i="1"/>
  <c r="A35" i="1"/>
  <c r="A43" i="1"/>
  <c r="A52" i="1"/>
  <c r="A113" i="1"/>
  <c r="A133" i="1"/>
  <c r="A162" i="1"/>
  <c r="A39" i="1"/>
  <c r="A89" i="1"/>
  <c r="A170" i="1"/>
  <c r="A17" i="1"/>
  <c r="A28" i="1"/>
  <c r="A36" i="1"/>
  <c r="A73" i="1"/>
  <c r="A98" i="1"/>
  <c r="A114" i="1"/>
  <c r="A126" i="1"/>
  <c r="A138" i="1"/>
  <c r="A142" i="1"/>
  <c r="A155" i="1"/>
  <c r="A163" i="1"/>
  <c r="A166" i="1"/>
  <c r="A183" i="1"/>
  <c r="A106" i="1"/>
  <c r="A131" i="1"/>
  <c r="A151" i="1"/>
  <c r="A180" i="1"/>
  <c r="A188" i="1"/>
  <c r="A75" i="1"/>
  <c r="A60" i="1"/>
  <c r="A186" i="1"/>
  <c r="A56" i="1"/>
  <c r="A174" i="1"/>
  <c r="A195" i="1"/>
  <c r="A32" i="1"/>
  <c r="A49" i="1"/>
  <c r="A53" i="1"/>
  <c r="A57" i="1"/>
  <c r="A82" i="1"/>
  <c r="A94" i="1"/>
  <c r="A110" i="1"/>
  <c r="A123" i="1"/>
  <c r="A134" i="1"/>
  <c r="A159" i="1"/>
  <c r="A171" i="1"/>
  <c r="A84" i="1"/>
  <c r="A112" i="1"/>
  <c r="A177" i="1"/>
  <c r="A68" i="1"/>
  <c r="A178" i="1"/>
  <c r="A31" i="1"/>
  <c r="A48" i="1"/>
  <c r="A85" i="1"/>
  <c r="A105" i="1"/>
  <c r="A146" i="1"/>
  <c r="A191" i="1"/>
  <c r="A24" i="1"/>
  <c r="A41" i="1"/>
  <c r="A66" i="1"/>
  <c r="A74" i="1"/>
  <c r="A78" i="1"/>
  <c r="A91" i="1"/>
  <c r="A99" i="1"/>
  <c r="A102" i="1"/>
  <c r="A119" i="1"/>
  <c r="A127" i="1"/>
  <c r="A139" i="1"/>
  <c r="A148" i="1"/>
  <c r="A156" i="1"/>
  <c r="A164" i="1"/>
  <c r="A167" i="1"/>
  <c r="A176" i="1"/>
  <c r="A201" i="1"/>
  <c r="A34" i="1"/>
  <c r="A46" i="1"/>
  <c r="A92" i="1"/>
  <c r="A103" i="1"/>
  <c r="A120" i="1"/>
  <c r="A121" i="1"/>
  <c r="A64" i="1"/>
  <c r="A158" i="1"/>
  <c r="A50" i="1"/>
  <c r="A62" i="1"/>
  <c r="A70" i="1"/>
  <c r="A87" i="1"/>
  <c r="A95" i="1"/>
  <c r="A107" i="1"/>
  <c r="A116" i="1"/>
  <c r="A124" i="1"/>
  <c r="A132" i="1"/>
  <c r="A135" i="1"/>
  <c r="A144" i="1"/>
  <c r="A152" i="1"/>
  <c r="A160" i="1"/>
  <c r="A184" i="1"/>
  <c r="A193" i="1"/>
  <c r="A42" i="1"/>
  <c r="A59" i="1"/>
  <c r="A67" i="1"/>
  <c r="A100" i="1"/>
  <c r="A128" i="1"/>
  <c r="A181" i="1"/>
  <c r="A117" i="1"/>
  <c r="A137" i="1"/>
  <c r="A81" i="1"/>
  <c r="A101" i="1"/>
  <c r="A130" i="1"/>
  <c r="C13" i="1"/>
  <c r="D13" i="1" s="1"/>
  <c r="A13" i="1"/>
  <c r="G116" i="1" l="1"/>
  <c r="I116" i="1" s="1"/>
  <c r="H116" i="1"/>
  <c r="G102" i="1"/>
  <c r="I102" i="1" s="1"/>
  <c r="H102" i="1"/>
  <c r="G56" i="1"/>
  <c r="H56" i="1"/>
  <c r="G39" i="1"/>
  <c r="H39" i="1"/>
  <c r="G23" i="1"/>
  <c r="H23" i="1"/>
  <c r="G104" i="1"/>
  <c r="I104" i="1" s="1"/>
  <c r="H104" i="1"/>
  <c r="H157" i="1"/>
  <c r="G157" i="1"/>
  <c r="G107" i="1"/>
  <c r="I107" i="1" s="1"/>
  <c r="H107" i="1"/>
  <c r="G99" i="1"/>
  <c r="H99" i="1"/>
  <c r="G146" i="1"/>
  <c r="I146" i="1" s="1"/>
  <c r="H146" i="1"/>
  <c r="G112" i="1"/>
  <c r="I112" i="1" s="1"/>
  <c r="H112" i="1"/>
  <c r="G82" i="1"/>
  <c r="H82" i="1"/>
  <c r="G186" i="1"/>
  <c r="H186" i="1"/>
  <c r="G183" i="1"/>
  <c r="H183" i="1"/>
  <c r="G98" i="1"/>
  <c r="H98" i="1"/>
  <c r="G162" i="1"/>
  <c r="H162" i="1"/>
  <c r="G194" i="1"/>
  <c r="H194" i="1"/>
  <c r="G80" i="1"/>
  <c r="H80" i="1"/>
  <c r="G190" i="1"/>
  <c r="H190" i="1"/>
  <c r="G20" i="1"/>
  <c r="H20" i="1"/>
  <c r="G154" i="1"/>
  <c r="H154" i="1"/>
  <c r="G97" i="1"/>
  <c r="H97" i="1"/>
  <c r="G58" i="1"/>
  <c r="H58" i="1"/>
  <c r="G22" i="1"/>
  <c r="H22" i="1"/>
  <c r="H161" i="1"/>
  <c r="G161" i="1"/>
  <c r="G125" i="1"/>
  <c r="I125" i="1" s="1"/>
  <c r="H125" i="1"/>
  <c r="H181" i="1"/>
  <c r="G181" i="1"/>
  <c r="G160" i="1"/>
  <c r="H160" i="1"/>
  <c r="G95" i="1"/>
  <c r="H95" i="1"/>
  <c r="G120" i="1"/>
  <c r="I120" i="1" s="1"/>
  <c r="H120" i="1"/>
  <c r="G164" i="1"/>
  <c r="H164" i="1"/>
  <c r="G91" i="1"/>
  <c r="H91" i="1"/>
  <c r="G105" i="1"/>
  <c r="I105" i="1" s="1"/>
  <c r="H105" i="1"/>
  <c r="G84" i="1"/>
  <c r="H84" i="1"/>
  <c r="G57" i="1"/>
  <c r="H57" i="1"/>
  <c r="G60" i="1"/>
  <c r="H60" i="1"/>
  <c r="G166" i="1"/>
  <c r="H166" i="1"/>
  <c r="G73" i="1"/>
  <c r="H73" i="1"/>
  <c r="G133" i="1"/>
  <c r="I133" i="1" s="1"/>
  <c r="H133" i="1"/>
  <c r="H169" i="1"/>
  <c r="G169" i="1"/>
  <c r="G71" i="1"/>
  <c r="H71" i="1"/>
  <c r="G187" i="1"/>
  <c r="H187" i="1"/>
  <c r="G16" i="1"/>
  <c r="H16" i="1"/>
  <c r="H143" i="1"/>
  <c r="G143" i="1"/>
  <c r="I143" i="1" s="1"/>
  <c r="G90" i="1"/>
  <c r="H90" i="1"/>
  <c r="G54" i="1"/>
  <c r="H54" i="1"/>
  <c r="G19" i="1"/>
  <c r="H19" i="1"/>
  <c r="G150" i="1"/>
  <c r="I150" i="1" s="1"/>
  <c r="H150" i="1"/>
  <c r="G93" i="1"/>
  <c r="H93" i="1"/>
  <c r="H137" i="1"/>
  <c r="G137" i="1"/>
  <c r="I137" i="1" s="1"/>
  <c r="G64" i="1"/>
  <c r="H64" i="1"/>
  <c r="H177" i="1"/>
  <c r="G177" i="1"/>
  <c r="G88" i="1"/>
  <c r="H88" i="1"/>
  <c r="G21" i="1"/>
  <c r="H21" i="1"/>
  <c r="G121" i="1"/>
  <c r="I121" i="1" s="1"/>
  <c r="H121" i="1"/>
  <c r="G103" i="1"/>
  <c r="I103" i="1" s="1"/>
  <c r="H103" i="1"/>
  <c r="G85" i="1"/>
  <c r="H85" i="1"/>
  <c r="G75" i="1"/>
  <c r="H75" i="1"/>
  <c r="G36" i="1"/>
  <c r="H36" i="1"/>
  <c r="H165" i="1"/>
  <c r="G165" i="1"/>
  <c r="G63" i="1"/>
  <c r="H63" i="1"/>
  <c r="H173" i="1"/>
  <c r="G173" i="1"/>
  <c r="G37" i="1"/>
  <c r="H37" i="1"/>
  <c r="G136" i="1"/>
  <c r="I136" i="1" s="1"/>
  <c r="H136" i="1"/>
  <c r="G86" i="1"/>
  <c r="H86" i="1"/>
  <c r="G51" i="1"/>
  <c r="H51" i="1"/>
  <c r="G15" i="1"/>
  <c r="H15" i="1"/>
  <c r="G147" i="1"/>
  <c r="I147" i="1" s="1"/>
  <c r="H147" i="1"/>
  <c r="G61" i="1"/>
  <c r="H61" i="1"/>
  <c r="G100" i="1"/>
  <c r="I100" i="1" s="1"/>
  <c r="H100" i="1"/>
  <c r="G144" i="1"/>
  <c r="I144" i="1" s="1"/>
  <c r="H144" i="1"/>
  <c r="G70" i="1"/>
  <c r="H70" i="1"/>
  <c r="G92" i="1"/>
  <c r="H92" i="1"/>
  <c r="H148" i="1"/>
  <c r="G148" i="1"/>
  <c r="I148" i="1" s="1"/>
  <c r="G74" i="1"/>
  <c r="H74" i="1"/>
  <c r="G48" i="1"/>
  <c r="H48" i="1"/>
  <c r="G159" i="1"/>
  <c r="H159" i="1"/>
  <c r="G49" i="1"/>
  <c r="H49" i="1"/>
  <c r="G188" i="1"/>
  <c r="H188" i="1"/>
  <c r="G155" i="1"/>
  <c r="H155" i="1"/>
  <c r="G28" i="1"/>
  <c r="H28" i="1"/>
  <c r="G52" i="1"/>
  <c r="H52" i="1"/>
  <c r="H153" i="1"/>
  <c r="G153" i="1"/>
  <c r="G55" i="1"/>
  <c r="H55" i="1"/>
  <c r="G141" i="1"/>
  <c r="I141" i="1" s="1"/>
  <c r="H141" i="1"/>
  <c r="G69" i="1"/>
  <c r="H69" i="1"/>
  <c r="G129" i="1"/>
  <c r="I129" i="1" s="1"/>
  <c r="H129" i="1"/>
  <c r="G83" i="1"/>
  <c r="H83" i="1"/>
  <c r="G47" i="1"/>
  <c r="H47" i="1"/>
  <c r="G196" i="1"/>
  <c r="H196" i="1"/>
  <c r="H140" i="1"/>
  <c r="G140" i="1"/>
  <c r="I140" i="1" s="1"/>
  <c r="G29" i="1"/>
  <c r="H29" i="1"/>
  <c r="G191" i="1"/>
  <c r="H191" i="1"/>
  <c r="G106" i="1"/>
  <c r="I106" i="1" s="1"/>
  <c r="H106" i="1"/>
  <c r="G198" i="1"/>
  <c r="H198" i="1"/>
  <c r="G172" i="1"/>
  <c r="H172" i="1"/>
  <c r="G26" i="1"/>
  <c r="H26" i="1"/>
  <c r="G184" i="1"/>
  <c r="H184" i="1"/>
  <c r="G152" i="1"/>
  <c r="H152" i="1"/>
  <c r="G78" i="1"/>
  <c r="H78" i="1"/>
  <c r="G53" i="1"/>
  <c r="H53" i="1"/>
  <c r="G113" i="1"/>
  <c r="I113" i="1" s="1"/>
  <c r="H113" i="1"/>
  <c r="G67" i="1"/>
  <c r="H67" i="1"/>
  <c r="G135" i="1"/>
  <c r="I135" i="1" s="1"/>
  <c r="H135" i="1"/>
  <c r="G46" i="1"/>
  <c r="H46" i="1"/>
  <c r="G66" i="1"/>
  <c r="H66" i="1"/>
  <c r="G134" i="1"/>
  <c r="I134" i="1" s="1"/>
  <c r="H134" i="1"/>
  <c r="G180" i="1"/>
  <c r="H180" i="1"/>
  <c r="G142" i="1"/>
  <c r="I142" i="1" s="1"/>
  <c r="H142" i="1"/>
  <c r="G43" i="1"/>
  <c r="H43" i="1"/>
  <c r="G38" i="1"/>
  <c r="H38" i="1"/>
  <c r="G199" i="1"/>
  <c r="H199" i="1"/>
  <c r="G122" i="1"/>
  <c r="I122" i="1" s="1"/>
  <c r="H122" i="1"/>
  <c r="G101" i="1"/>
  <c r="I101" i="1" s="1"/>
  <c r="H101" i="1"/>
  <c r="G132" i="1"/>
  <c r="I132" i="1" s="1"/>
  <c r="H132" i="1"/>
  <c r="G34" i="1"/>
  <c r="H34" i="1"/>
  <c r="H127" i="1"/>
  <c r="G127" i="1"/>
  <c r="I127" i="1" s="1"/>
  <c r="G41" i="1"/>
  <c r="H41" i="1"/>
  <c r="G178" i="1"/>
  <c r="H178" i="1"/>
  <c r="G123" i="1"/>
  <c r="I123" i="1" s="1"/>
  <c r="H123" i="1"/>
  <c r="H195" i="1"/>
  <c r="G195" i="1"/>
  <c r="G151" i="1"/>
  <c r="H151" i="1"/>
  <c r="G138" i="1"/>
  <c r="I138" i="1" s="1"/>
  <c r="H138" i="1"/>
  <c r="G170" i="1"/>
  <c r="H170" i="1"/>
  <c r="G35" i="1"/>
  <c r="H35" i="1"/>
  <c r="G145" i="1"/>
  <c r="I145" i="1" s="1"/>
  <c r="H145" i="1"/>
  <c r="G30" i="1"/>
  <c r="H30" i="1"/>
  <c r="G77" i="1"/>
  <c r="H77" i="1"/>
  <c r="G192" i="1"/>
  <c r="H192" i="1"/>
  <c r="G115" i="1"/>
  <c r="I115" i="1" s="1"/>
  <c r="H115" i="1"/>
  <c r="G76" i="1"/>
  <c r="H76" i="1"/>
  <c r="G40" i="1"/>
  <c r="H40" i="1"/>
  <c r="G179" i="1"/>
  <c r="H179" i="1"/>
  <c r="H111" i="1"/>
  <c r="G111" i="1"/>
  <c r="I111" i="1" s="1"/>
  <c r="G18" i="1"/>
  <c r="H18" i="1"/>
  <c r="H193" i="1"/>
  <c r="G193" i="1"/>
  <c r="G176" i="1"/>
  <c r="H176" i="1"/>
  <c r="G94" i="1"/>
  <c r="H94" i="1"/>
  <c r="G114" i="1"/>
  <c r="I114" i="1" s="1"/>
  <c r="H114" i="1"/>
  <c r="H197" i="1"/>
  <c r="G197" i="1"/>
  <c r="G65" i="1"/>
  <c r="H65" i="1"/>
  <c r="G168" i="1"/>
  <c r="H168" i="1"/>
  <c r="G117" i="1"/>
  <c r="I117" i="1" s="1"/>
  <c r="H117" i="1"/>
  <c r="G167" i="1"/>
  <c r="H167" i="1"/>
  <c r="G128" i="1"/>
  <c r="I128" i="1" s="1"/>
  <c r="H128" i="1"/>
  <c r="G87" i="1"/>
  <c r="H87" i="1"/>
  <c r="G156" i="1"/>
  <c r="H156" i="1"/>
  <c r="G171" i="1"/>
  <c r="H171" i="1"/>
  <c r="G163" i="1"/>
  <c r="H163" i="1"/>
  <c r="G130" i="1"/>
  <c r="I130" i="1" s="1"/>
  <c r="H130" i="1"/>
  <c r="G62" i="1"/>
  <c r="H62" i="1"/>
  <c r="G139" i="1"/>
  <c r="I139" i="1" s="1"/>
  <c r="H139" i="1"/>
  <c r="G31" i="1"/>
  <c r="H31" i="1"/>
  <c r="G32" i="1"/>
  <c r="H32" i="1"/>
  <c r="G17" i="1"/>
  <c r="H17" i="1"/>
  <c r="G149" i="1"/>
  <c r="I149" i="1" s="1"/>
  <c r="H149" i="1"/>
  <c r="G109" i="1"/>
  <c r="I109" i="1" s="1"/>
  <c r="H109" i="1"/>
  <c r="G118" i="1"/>
  <c r="I118" i="1" s="1"/>
  <c r="H118" i="1"/>
  <c r="G79" i="1"/>
  <c r="H79" i="1"/>
  <c r="G44" i="1"/>
  <c r="H44" i="1"/>
  <c r="H189" i="1"/>
  <c r="G189" i="1"/>
  <c r="G25" i="1"/>
  <c r="H25" i="1"/>
  <c r="G59" i="1"/>
  <c r="H59" i="1"/>
  <c r="G50" i="1"/>
  <c r="H50" i="1"/>
  <c r="G81" i="1"/>
  <c r="H81" i="1"/>
  <c r="G42" i="1"/>
  <c r="H42" i="1"/>
  <c r="H124" i="1"/>
  <c r="G124" i="1"/>
  <c r="I124" i="1" s="1"/>
  <c r="G158" i="1"/>
  <c r="H158" i="1"/>
  <c r="H201" i="1"/>
  <c r="G201" i="1"/>
  <c r="G119" i="1"/>
  <c r="I119" i="1" s="1"/>
  <c r="H119" i="1"/>
  <c r="G24" i="1"/>
  <c r="H24" i="1"/>
  <c r="G68" i="1"/>
  <c r="H68" i="1"/>
  <c r="G110" i="1"/>
  <c r="I110" i="1" s="1"/>
  <c r="H110" i="1"/>
  <c r="G174" i="1"/>
  <c r="H174" i="1"/>
  <c r="G131" i="1"/>
  <c r="I131" i="1" s="1"/>
  <c r="H131" i="1"/>
  <c r="G126" i="1"/>
  <c r="I126" i="1" s="1"/>
  <c r="H126" i="1"/>
  <c r="G89" i="1"/>
  <c r="H89" i="1"/>
  <c r="G27" i="1"/>
  <c r="H27" i="1"/>
  <c r="G96" i="1"/>
  <c r="H96" i="1"/>
  <c r="G200" i="1"/>
  <c r="H200" i="1"/>
  <c r="G45" i="1"/>
  <c r="H45" i="1"/>
  <c r="G182" i="1"/>
  <c r="H182" i="1"/>
  <c r="H108" i="1"/>
  <c r="G108" i="1"/>
  <c r="I108" i="1" s="1"/>
  <c r="G72" i="1"/>
  <c r="H72" i="1"/>
  <c r="G33" i="1"/>
  <c r="H33" i="1"/>
  <c r="G175" i="1"/>
  <c r="H175" i="1"/>
  <c r="H185" i="1"/>
  <c r="G185" i="1"/>
  <c r="G14" i="1"/>
  <c r="H14" i="1"/>
  <c r="G13" i="1"/>
  <c r="I13" i="1" s="1"/>
  <c r="E8" i="1"/>
  <c r="E7" i="1"/>
  <c r="E13" i="1"/>
  <c r="E14" i="1" s="1"/>
  <c r="I14" i="1" l="1"/>
  <c r="H13" i="1"/>
  <c r="H7" i="1" s="1"/>
  <c r="I15" i="1" l="1"/>
  <c r="H202" i="1"/>
  <c r="E6" i="1"/>
  <c r="E9" i="1" s="1"/>
  <c r="I16" i="1" l="1"/>
  <c r="I17" i="1" l="1"/>
  <c r="I18" i="1" l="1"/>
  <c r="I19" i="1" l="1"/>
  <c r="I20" i="1" l="1"/>
  <c r="I21" i="1" l="1"/>
  <c r="I22" i="1" l="1"/>
  <c r="I23" i="1" l="1"/>
  <c r="I24" i="1" l="1"/>
  <c r="I25" i="1" l="1"/>
  <c r="I26" i="1" l="1"/>
  <c r="I27" i="1" l="1"/>
  <c r="I28" i="1" l="1"/>
  <c r="I29" i="1" l="1"/>
  <c r="I30" i="1" l="1"/>
  <c r="I31" i="1" l="1"/>
  <c r="I32" i="1" l="1"/>
  <c r="I33" i="1" l="1"/>
  <c r="I34" i="1" l="1"/>
  <c r="I35" i="1" l="1"/>
  <c r="I36" i="1" l="1"/>
  <c r="I37" i="1" l="1"/>
  <c r="I38" i="1" l="1"/>
  <c r="I39" i="1" l="1"/>
  <c r="I40" i="1" l="1"/>
  <c r="I41" i="1" l="1"/>
  <c r="I42" i="1" l="1"/>
  <c r="I43" i="1" l="1"/>
  <c r="I44" i="1" l="1"/>
  <c r="I45" i="1" l="1"/>
  <c r="I46" i="1" l="1"/>
  <c r="I47" i="1" l="1"/>
  <c r="I48" i="1" l="1"/>
  <c r="I49" i="1" l="1"/>
  <c r="I50" i="1" l="1"/>
  <c r="I51" i="1" l="1"/>
  <c r="I52" i="1" l="1"/>
  <c r="I53" i="1" l="1"/>
  <c r="I54" i="1" l="1"/>
  <c r="I55" i="1" l="1"/>
  <c r="I56" i="1" l="1"/>
  <c r="I57" i="1" l="1"/>
  <c r="I58" i="1" l="1"/>
  <c r="I59" i="1" l="1"/>
  <c r="I60" i="1" l="1"/>
  <c r="I61" i="1" l="1"/>
  <c r="I62" i="1" l="1"/>
  <c r="I63" i="1" l="1"/>
  <c r="I64" i="1" l="1"/>
  <c r="I65" i="1" l="1"/>
  <c r="I66" i="1" l="1"/>
  <c r="I67" i="1" l="1"/>
  <c r="I68" i="1" l="1"/>
  <c r="I69" i="1" l="1"/>
  <c r="I70" i="1" l="1"/>
  <c r="I71" i="1" l="1"/>
  <c r="I72" i="1" l="1"/>
  <c r="I73" i="1" l="1"/>
  <c r="I74" i="1" l="1"/>
  <c r="I75" i="1" l="1"/>
  <c r="I76" i="1" l="1"/>
  <c r="I77" i="1" l="1"/>
  <c r="I78" i="1" l="1"/>
  <c r="I79" i="1" l="1"/>
  <c r="I80" i="1" l="1"/>
  <c r="I81" i="1" l="1"/>
  <c r="I82" i="1" l="1"/>
  <c r="I83" i="1" l="1"/>
  <c r="I84" i="1" l="1"/>
  <c r="I85" i="1" l="1"/>
  <c r="I86" i="1" l="1"/>
  <c r="I87" i="1" l="1"/>
  <c r="I88" i="1" l="1"/>
  <c r="I89" i="1" l="1"/>
  <c r="I90" i="1" l="1"/>
  <c r="I91" i="1" l="1"/>
  <c r="I92" i="1" l="1"/>
  <c r="I93" i="1" l="1"/>
  <c r="I94" i="1" l="1"/>
  <c r="I95" i="1" l="1"/>
  <c r="I96" i="1" l="1"/>
  <c r="I97" i="1" l="1"/>
  <c r="I98" i="1" l="1"/>
  <c r="I99" i="1" l="1"/>
  <c r="I151" i="1" l="1"/>
  <c r="I152" i="1" l="1"/>
  <c r="I153" i="1" l="1"/>
  <c r="I154" i="1" l="1"/>
  <c r="I155" i="1" l="1"/>
  <c r="I156" i="1" l="1"/>
  <c r="I157" i="1" l="1"/>
  <c r="I158" i="1" l="1"/>
  <c r="I159" i="1" l="1"/>
  <c r="I160" i="1" l="1"/>
  <c r="I161" i="1" l="1"/>
  <c r="I162" i="1" l="1"/>
  <c r="I163" i="1" l="1"/>
  <c r="I164" i="1" l="1"/>
  <c r="I165" i="1" l="1"/>
  <c r="I166" i="1" l="1"/>
  <c r="I167" i="1" l="1"/>
  <c r="I168" i="1" l="1"/>
  <c r="I169" i="1" l="1"/>
  <c r="I170" i="1" l="1"/>
  <c r="I171" i="1" l="1"/>
  <c r="I172" i="1" l="1"/>
  <c r="I173" i="1" l="1"/>
  <c r="I174" i="1" l="1"/>
  <c r="I175" i="1" l="1"/>
  <c r="I176" i="1" l="1"/>
  <c r="I177" i="1" l="1"/>
  <c r="I178" i="1" l="1"/>
  <c r="I179" i="1" l="1"/>
  <c r="I180" i="1" l="1"/>
  <c r="I181" i="1" l="1"/>
  <c r="I182" i="1" l="1"/>
  <c r="I183" i="1" l="1"/>
  <c r="I184" i="1" l="1"/>
  <c r="I185" i="1" l="1"/>
  <c r="I186" i="1" l="1"/>
  <c r="I187" i="1" l="1"/>
  <c r="I188" i="1" l="1"/>
  <c r="I189" i="1" l="1"/>
  <c r="I190" i="1" l="1"/>
  <c r="I191" i="1" l="1"/>
  <c r="I192" i="1" l="1"/>
  <c r="I193" i="1" l="1"/>
  <c r="I194" i="1" l="1"/>
  <c r="I195" i="1" l="1"/>
  <c r="I196" i="1" l="1"/>
  <c r="I197" i="1" l="1"/>
  <c r="I198" i="1" l="1"/>
  <c r="I199" i="1" l="1"/>
  <c r="I200" i="1" l="1"/>
  <c r="I201" i="1" l="1"/>
  <c r="H8" i="1" s="1"/>
  <c r="E202" i="1"/>
  <c r="I202" i="1" l="1"/>
  <c r="H6" i="1"/>
  <c r="H9" i="1" s="1"/>
  <c r="G3" i="3"/>
  <c r="H3" i="3"/>
  <c r="G5" i="3"/>
  <c r="H5" i="3"/>
  <c r="G4" i="3"/>
  <c r="G21" i="3" l="1"/>
  <c r="H4" i="3"/>
  <c r="H21" i="3" l="1"/>
</calcChain>
</file>

<file path=xl/comments1.xml><?xml version="1.0" encoding="utf-8"?>
<comments xmlns="http://schemas.openxmlformats.org/spreadsheetml/2006/main">
  <authors>
    <author>dell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Lưu ý nhỏ:
- Thay đổi "ngày quá hạn hoặc cập nhật LKGD hoặc LKLS" thì nên xóa sheet tính đi và bấm vào robot lại cho chính xác
- Thay đổi "Người lập bảng" thì tự động sẽ cập nhật tất cả các bảng tính
- Thay đổi "ngày cần tính" thì tự động sẽ cập nhật tất cả các bảng kê đã tính</t>
        </r>
      </text>
    </comment>
    <comment ref="B2" authorId="0" shapeId="0">
      <text>
        <r>
          <rPr>
            <b/>
            <sz val="9"/>
            <color indexed="81"/>
            <rFont val="Tahoma"/>
            <family val="2"/>
          </rPr>
          <t>Lưu ý nhỏ:
- Thay đổi "ngày quá hạn hoặc cập nhật LKGD hoặc LKLS" thì nên xóa sheet tính đi và bấm vào robot lại cho chính xác
- Thay đổi "Người lập bảng" thì tự động sẽ cập nhật tất cả các bảng tính
- Thay đổi "ngày cần tính" thì tự động sẽ cập nhật tất cả các bảng kê đã tính</t>
        </r>
      </text>
    </comment>
  </commentList>
</comments>
</file>

<file path=xl/sharedStrings.xml><?xml version="1.0" encoding="utf-8"?>
<sst xmlns="http://schemas.openxmlformats.org/spreadsheetml/2006/main" count="178" uniqueCount="76">
  <si>
    <t>Tổng hợp thông tin hợp đồng</t>
  </si>
  <si>
    <t>Tên khách hàng</t>
  </si>
  <si>
    <t>Mã khách hàng</t>
  </si>
  <si>
    <t>Số hợp đồng</t>
  </si>
  <si>
    <t>Số tiền vay</t>
  </si>
  <si>
    <t>Ngày phát vay</t>
  </si>
  <si>
    <t>Ngày quá hạn</t>
  </si>
  <si>
    <t>Trạng thái</t>
  </si>
  <si>
    <t>Đến ngày</t>
  </si>
  <si>
    <t>Số ngày tính lãi</t>
  </si>
  <si>
    <t>Nợ Gốc</t>
  </si>
  <si>
    <t>Lãi suất TH (%)</t>
  </si>
  <si>
    <t>Lãi trong hạn</t>
  </si>
  <si>
    <t>Lãi quá hạn</t>
  </si>
  <si>
    <t>Gốc đã trả</t>
  </si>
  <si>
    <t>Lãi đã trả</t>
  </si>
  <si>
    <t>Tổng</t>
  </si>
  <si>
    <t>Ngày cần tính</t>
  </si>
  <si>
    <t>- Nợ gốc</t>
  </si>
  <si>
    <t>- Nợ lãi</t>
  </si>
  <si>
    <t>- Gốc đã trả</t>
  </si>
  <si>
    <t>- Lãi đã trả</t>
  </si>
  <si>
    <t>Từ ngày</t>
  </si>
  <si>
    <t xml:space="preserve">BẢNG TÓM TẮT SAO KÊ    </t>
  </si>
  <si>
    <t>Thống kê</t>
  </si>
  <si>
    <t>Sao kê</t>
  </si>
  <si>
    <t>* Nợ gốc = Số tiền phát vay - Gốc đã trả</t>
  </si>
  <si>
    <t xml:space="preserve">     + Nợ lãi TH</t>
  </si>
  <si>
    <t xml:space="preserve">     + Nợ lãi QH</t>
  </si>
  <si>
    <t>* Lãi suất QH = Lãi Suất TH * 150%</t>
  </si>
  <si>
    <t>Lãi suất QH (%)</t>
  </si>
  <si>
    <t>BAOTG10</t>
  </si>
  <si>
    <t>BAO</t>
  </si>
  <si>
    <t>TG10</t>
  </si>
  <si>
    <t>- Tổng dư nợ</t>
  </si>
  <si>
    <t>* Nợ lãi TH = Tổng lãi TH - Lãi TH đã trả</t>
  </si>
  <si>
    <t xml:space="preserve">     + Lãi TH đã trả</t>
  </si>
  <si>
    <t xml:space="preserve">     + Lãi QH đã trả</t>
  </si>
  <si>
    <t>* Nợ lãi QH= Tổng lãi QH - Lãi QH đã trả</t>
  </si>
  <si>
    <t>* Nợ lãi = Nợ lãi TH + Nợ lãi QH</t>
  </si>
  <si>
    <t>Tổng tiền đã trả</t>
  </si>
  <si>
    <t>* Tổng dư nợ = Nợ gốc + Nợ lãi</t>
  </si>
  <si>
    <t>LD2320800279</t>
  </si>
  <si>
    <t>LD2320800347</t>
  </si>
  <si>
    <t>LD2424301291</t>
  </si>
  <si>
    <t>LD2429901150</t>
  </si>
  <si>
    <t>LD2431900537</t>
  </si>
  <si>
    <t>B3_ID</t>
  </si>
  <si>
    <t>FilePath</t>
  </si>
  <si>
    <t>LastModified</t>
  </si>
  <si>
    <t>StartCol</t>
  </si>
  <si>
    <t>C:\Users\dell\Desktop\New folder (2)\New folder (3)\New Microsoft Excel Worksheet - Copy (3).csv</t>
  </si>
  <si>
    <t>ADDED</t>
  </si>
  <si>
    <t>Thêm kh?i m?i</t>
  </si>
  <si>
    <t>C:\Users\dell\Desktop\New folder (2)\New folder (3)\New Microsoft Excel Worksheet - Copy (4).csv</t>
  </si>
  <si>
    <t>C:\Users\dell\Desktop\New folder (2)\New folder (3)\New Microsoft Excel Worksheet - Copy.csv</t>
  </si>
  <si>
    <t>C:\Users\dell\Desktop\New folder (2)\New folder (3)\New Microsoft Excel Worksheet.csv</t>
  </si>
  <si>
    <t>C:\Users\dell\Desktop\New folder (2)\New folder (3)\New Microsoft Excel Worksheet - Copy (2).csv</t>
  </si>
  <si>
    <t>C:\Users\dell\Desktop\New folder (3)\New Microsoft Excel Worksheet.csv</t>
  </si>
  <si>
    <t>C:\Users\dell\Desktop\New folder (3)\New Microsoft Excel Worksheet - Copy (2).csv</t>
  </si>
  <si>
    <t>C:\Users\dell\Desktop\New folder (3)\New Microsoft Excel Worksheet - Copy (3).csv</t>
  </si>
  <si>
    <t>C:\Users\dell\Desktop\New folder (3)\New Microsoft Excel Worksheet - Copy (4).csv</t>
  </si>
  <si>
    <t>C:\Users\dell\Desktop\New folder (3)\New Microsoft Excel Worksheet - Copy.csv</t>
  </si>
  <si>
    <t>UPDATED</t>
  </si>
  <si>
    <t>C?p nh?t kh?i cu</t>
  </si>
  <si>
    <t>Người lập bảng</t>
  </si>
  <si>
    <t>Hợp đồng số</t>
  </si>
  <si>
    <t>Nợ gốc</t>
  </si>
  <si>
    <t>Nợ lãi</t>
  </si>
  <si>
    <t>CHATBOX TỰ ĐỘNG</t>
  </si>
  <si>
    <t>baotg10</t>
  </si>
  <si>
    <t>📁 UP FILE HTML
LKGD</t>
  </si>
  <si>
    <t>📁 UP FILE HTML
LKLS</t>
  </si>
  <si>
    <r>
      <rPr>
        <b/>
        <sz val="15"/>
        <color rgb="FF143F8F"/>
        <rFont val="Segoe UI"/>
        <family val="2"/>
      </rPr>
      <t>⚙</t>
    </r>
    <r>
      <rPr>
        <b/>
        <sz val="15"/>
        <color rgb="FF0B3B8F"/>
        <rFont val="Segoe UI"/>
        <family val="2"/>
      </rPr>
      <t xml:space="preserve"> TẠO BKTL</t>
    </r>
  </si>
  <si>
    <t>BẢNG KÊ TÍNH LÃI KHOẢN VAY</t>
  </si>
  <si>
    <t>⚠ LƯU Ý: File sao kê tải về phải được đặt trong thư mục Download.
- Có thể UP nhiều file cùng một lúc
- Bấm vào sheet LKLS để điều chỉnh lãi suất nếu cần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</si>
</sst>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1" formatCode="_-* #,##0_-;\-* #,##0_-;_-* &quot;-&quot;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#,##0_ ;\-#,##0\ "/>
    <numFmt numFmtId="167" formatCode="0.0%"/>
    <numFmt numFmtId="168" formatCode="#,##0;[Red]\(#,##0\);\-"/>
  </numFmts>
  <fonts count="29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b/>
      <sz val="10"/>
      <color theme="1"/>
      <name val="Calibri"/>
      <family val="1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1"/>
      <scheme val="minor"/>
    </font>
    <font>
      <sz val="10"/>
      <color theme="1"/>
      <name val="Calibri"/>
      <family val="2"/>
      <charset val="163"/>
      <scheme val="minor"/>
    </font>
    <font>
      <i/>
      <sz val="9"/>
      <color rgb="FFFF0000"/>
      <name val="Calibri"/>
      <family val="2"/>
      <scheme val="minor"/>
    </font>
    <font>
      <b/>
      <sz val="9.5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1"/>
      <name val="Segoe UI"/>
      <family val="2"/>
    </font>
    <font>
      <sz val="11"/>
      <color theme="1"/>
      <name val="Segoe UI"/>
      <family val="2"/>
    </font>
    <font>
      <sz val="9"/>
      <color theme="1"/>
      <name val="Segoe UI"/>
      <family val="2"/>
    </font>
    <font>
      <b/>
      <sz val="9"/>
      <color rgb="FFFF0000"/>
      <name val="Segoe UI"/>
      <family val="2"/>
    </font>
    <font>
      <b/>
      <sz val="14"/>
      <color rgb="FFFFFFFF"/>
      <name val="Segoe UI"/>
      <family val="2"/>
    </font>
    <font>
      <b/>
      <sz val="11"/>
      <color theme="0"/>
      <name val="Segoe UI"/>
      <family val="2"/>
    </font>
    <font>
      <b/>
      <sz val="14"/>
      <color rgb="FF143F8F"/>
      <name val="Segoe UI"/>
      <family val="2"/>
    </font>
    <font>
      <b/>
      <sz val="15"/>
      <color rgb="FF0B3B8F"/>
      <name val="Segoe UI"/>
      <family val="2"/>
    </font>
    <font>
      <b/>
      <sz val="15"/>
      <color rgb="FF143F8F"/>
      <name val="Segoe UI"/>
      <family val="2"/>
    </font>
    <font>
      <b/>
      <sz val="9"/>
      <color theme="0"/>
      <name val="Segoe UI"/>
      <family val="2"/>
    </font>
    <font>
      <sz val="11"/>
      <color rgb="FF243447"/>
      <name val="Calibri"/>
      <family val="2"/>
    </font>
    <font>
      <b/>
      <sz val="11"/>
      <color rgb="FF8A6A00"/>
      <name val="Segoe UI"/>
      <family val="2"/>
    </font>
    <font>
      <b/>
      <sz val="11"/>
      <color rgb="FF143F8F"/>
      <name val="Calibri"/>
      <family val="2"/>
    </font>
    <font>
      <b/>
      <sz val="10"/>
      <color rgb="FF143F8F"/>
      <name val="Segoe UI"/>
      <family val="2"/>
    </font>
    <font>
      <sz val="11"/>
      <color rgb="FF143F8F"/>
      <name val="Calibri"/>
      <family val="2"/>
    </font>
    <font>
      <b/>
      <sz val="11"/>
      <color rgb="FFFF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B3B8F"/>
      </patternFill>
    </fill>
    <fill>
      <patternFill patternType="solid">
        <fgColor rgb="FF143F8F"/>
        <bgColor indexed="64"/>
      </patternFill>
    </fill>
    <fill>
      <patternFill patternType="solid">
        <fgColor rgb="FFEAF3FF"/>
      </patternFill>
    </fill>
    <fill>
      <patternFill patternType="solid">
        <fgColor rgb="FFFFF7D6"/>
      </patternFill>
    </fill>
    <fill>
      <patternFill patternType="solid">
        <fgColor rgb="FFF4F6FA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143F8F"/>
      </left>
      <right style="medium">
        <color rgb="FF143F8F"/>
      </right>
      <top style="medium">
        <color rgb="FF143F8F"/>
      </top>
      <bottom style="medium">
        <color rgb="FF143F8F"/>
      </bottom>
      <diagonal/>
    </border>
    <border>
      <left/>
      <right/>
      <top/>
      <bottom style="thick">
        <color rgb="FF143F8F"/>
      </bottom>
      <diagonal/>
    </border>
    <border>
      <left style="thin">
        <color rgb="FFD9E2F2"/>
      </left>
      <right style="thin">
        <color rgb="FFD9E2F2"/>
      </right>
      <top style="thin">
        <color rgb="FFD9E2F2"/>
      </top>
      <bottom style="thin">
        <color rgb="FFD9E2F2"/>
      </bottom>
      <diagonal/>
    </border>
    <border>
      <left style="thin">
        <color rgb="FFD9E2F2"/>
      </left>
      <right style="thin">
        <color rgb="FFD9E2F2"/>
      </right>
      <top/>
      <bottom style="thin">
        <color rgb="FFD9E2F2"/>
      </bottom>
      <diagonal/>
    </border>
    <border>
      <left/>
      <right/>
      <top style="thin">
        <color rgb="FF143F8F"/>
      </top>
      <bottom/>
      <diagonal/>
    </border>
    <border>
      <left style="thick">
        <color rgb="FF143F8F"/>
      </left>
      <right/>
      <top style="thick">
        <color rgb="FF143F8F"/>
      </top>
      <bottom style="thin">
        <color rgb="FF143F8F"/>
      </bottom>
      <diagonal/>
    </border>
    <border>
      <left/>
      <right/>
      <top style="thick">
        <color rgb="FF143F8F"/>
      </top>
      <bottom style="thin">
        <color rgb="FF143F8F"/>
      </bottom>
      <diagonal/>
    </border>
    <border>
      <left/>
      <right style="thick">
        <color rgb="FF143F8F"/>
      </right>
      <top style="thick">
        <color rgb="FF143F8F"/>
      </top>
      <bottom style="thin">
        <color rgb="FF143F8F"/>
      </bottom>
      <diagonal/>
    </border>
    <border>
      <left style="thick">
        <color rgb="FF143F8F"/>
      </left>
      <right/>
      <top style="thin">
        <color rgb="FF143F8F"/>
      </top>
      <bottom/>
      <diagonal/>
    </border>
    <border>
      <left/>
      <right style="thick">
        <color rgb="FF143F8F"/>
      </right>
      <top style="thin">
        <color rgb="FF143F8F"/>
      </top>
      <bottom/>
      <diagonal/>
    </border>
    <border>
      <left style="thick">
        <color rgb="FF143F8F"/>
      </left>
      <right/>
      <top/>
      <bottom/>
      <diagonal/>
    </border>
    <border>
      <left/>
      <right style="thick">
        <color rgb="FF143F8F"/>
      </right>
      <top/>
      <bottom/>
      <diagonal/>
    </border>
    <border>
      <left style="thick">
        <color rgb="FF143F8F"/>
      </left>
      <right/>
      <top/>
      <bottom style="thick">
        <color rgb="FF143F8F"/>
      </bottom>
      <diagonal/>
    </border>
    <border>
      <left/>
      <right style="thick">
        <color rgb="FF143F8F"/>
      </right>
      <top/>
      <bottom style="thick">
        <color rgb="FF143F8F"/>
      </bottom>
      <diagonal/>
    </border>
    <border>
      <left style="thin">
        <color rgb="FF2B3F7B"/>
      </left>
      <right style="thick">
        <color rgb="FF2B3F7B"/>
      </right>
      <top style="thin">
        <color rgb="FF143F8F"/>
      </top>
      <bottom style="thin">
        <color rgb="FF143F8F"/>
      </bottom>
      <diagonal/>
    </border>
    <border>
      <left style="thin">
        <color rgb="FF2B3F7B"/>
      </left>
      <right style="thin">
        <color rgb="FF2B3F7B"/>
      </right>
      <top style="thin">
        <color rgb="FF143F8F"/>
      </top>
      <bottom style="thin">
        <color rgb="FF143F8F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138">
    <xf numFmtId="0" fontId="0" fillId="0" borderId="0" xfId="0"/>
    <xf numFmtId="0" fontId="0" fillId="0" borderId="0" xfId="0" applyNumberFormat="1" applyFont="1" applyFill="1" applyBorder="1" applyProtection="1"/>
    <xf numFmtId="0" fontId="0" fillId="0" borderId="0" xfId="0" applyNumberFormat="1" applyFont="1" applyFill="1" applyBorder="1" applyAlignment="1" applyProtection="1">
      <alignment horizontal="center"/>
    </xf>
    <xf numFmtId="164" fontId="0" fillId="0" borderId="0" xfId="1" applyNumberFormat="1" applyFont="1" applyFill="1" applyBorder="1" applyProtection="1"/>
    <xf numFmtId="0" fontId="3" fillId="0" borderId="0" xfId="0" applyNumberFormat="1" applyFont="1" applyFill="1" applyBorder="1" applyProtection="1"/>
    <xf numFmtId="0" fontId="2" fillId="0" borderId="0" xfId="0" applyNumberFormat="1" applyFont="1" applyFill="1" applyBorder="1" applyProtection="1"/>
    <xf numFmtId="0" fontId="2" fillId="0" borderId="0" xfId="0" applyNumberFormat="1" applyFont="1" applyFill="1" applyBorder="1" applyAlignment="1" applyProtection="1">
      <alignment horizontal="center"/>
    </xf>
    <xf numFmtId="164" fontId="3" fillId="0" borderId="0" xfId="1" applyNumberFormat="1" applyFont="1" applyFill="1" applyBorder="1" applyProtection="1"/>
    <xf numFmtId="3" fontId="2" fillId="0" borderId="0" xfId="0" applyNumberFormat="1" applyFont="1" applyFill="1" applyBorder="1" applyAlignment="1" applyProtection="1">
      <alignment horizontal="center"/>
    </xf>
    <xf numFmtId="164" fontId="2" fillId="0" borderId="0" xfId="1" applyNumberFormat="1" applyFont="1" applyFill="1" applyBorder="1" applyProtection="1"/>
    <xf numFmtId="0" fontId="0" fillId="3" borderId="0" xfId="0" applyNumberFormat="1" applyFont="1" applyFill="1" applyBorder="1" applyProtection="1"/>
    <xf numFmtId="10" fontId="1" fillId="0" borderId="0" xfId="1" applyNumberFormat="1" applyFill="1"/>
    <xf numFmtId="10" fontId="1" fillId="0" borderId="0" xfId="1" applyNumberFormat="1"/>
    <xf numFmtId="0" fontId="5" fillId="0" borderId="0" xfId="0" applyNumberFormat="1" applyFont="1" applyFill="1" applyBorder="1" applyProtection="1"/>
    <xf numFmtId="0" fontId="0" fillId="0" borderId="4" xfId="0" applyBorder="1"/>
    <xf numFmtId="14" fontId="3" fillId="0" borderId="0" xfId="0" applyNumberFormat="1" applyFont="1" applyFill="1" applyBorder="1" applyAlignment="1" applyProtection="1">
      <alignment horizontal="center" vertical="center"/>
    </xf>
    <xf numFmtId="0" fontId="4" fillId="0" borderId="4" xfId="0" applyNumberFormat="1" applyFont="1" applyFill="1" applyBorder="1" applyProtection="1"/>
    <xf numFmtId="0" fontId="6" fillId="0" borderId="0" xfId="0" applyFont="1" applyAlignment="1">
      <alignment vertical="center"/>
    </xf>
    <xf numFmtId="0" fontId="0" fillId="0" borderId="0" xfId="0" applyNumberFormat="1" applyFont="1" applyFill="1" applyBorder="1" applyAlignment="1" applyProtection="1">
      <alignment horizontal="center" vertical="center"/>
    </xf>
    <xf numFmtId="0" fontId="0" fillId="0" borderId="0" xfId="0" applyNumberFormat="1" applyFont="1" applyFill="1" applyBorder="1" applyAlignment="1" applyProtection="1">
      <alignment vertical="center"/>
    </xf>
    <xf numFmtId="165" fontId="3" fillId="0" borderId="4" xfId="1" applyNumberFormat="1" applyFont="1" applyFill="1" applyBorder="1" applyAlignment="1">
      <alignment horizontal="center" vertical="center"/>
    </xf>
    <xf numFmtId="0" fontId="4" fillId="0" borderId="4" xfId="0" applyNumberFormat="1" applyFont="1" applyFill="1" applyBorder="1" applyAlignment="1" applyProtection="1">
      <alignment horizontal="center" vertical="center"/>
    </xf>
    <xf numFmtId="14" fontId="4" fillId="0" borderId="4" xfId="0" applyNumberFormat="1" applyFont="1" applyFill="1" applyBorder="1" applyAlignment="1" applyProtection="1">
      <alignment horizontal="center" vertical="center"/>
    </xf>
    <xf numFmtId="0" fontId="4" fillId="0" borderId="5" xfId="0" applyNumberFormat="1" applyFont="1" applyBorder="1" applyAlignment="1">
      <alignment horizontal="center" vertical="center"/>
    </xf>
    <xf numFmtId="14" fontId="4" fillId="0" borderId="5" xfId="0" applyNumberFormat="1" applyFont="1" applyBorder="1" applyAlignment="1">
      <alignment horizontal="center" vertical="center"/>
    </xf>
    <xf numFmtId="3" fontId="4" fillId="0" borderId="5" xfId="0" applyNumberFormat="1" applyFont="1" applyBorder="1" applyAlignment="1">
      <alignment horizontal="center" vertical="center"/>
    </xf>
    <xf numFmtId="165" fontId="4" fillId="0" borderId="5" xfId="0" applyNumberFormat="1" applyFont="1" applyBorder="1" applyAlignment="1">
      <alignment horizontal="center" vertical="center"/>
    </xf>
    <xf numFmtId="10" fontId="4" fillId="0" borderId="5" xfId="0" applyNumberFormat="1" applyFont="1" applyBorder="1" applyAlignment="1">
      <alignment horizontal="center" vertical="center"/>
    </xf>
    <xf numFmtId="165" fontId="4" fillId="0" borderId="4" xfId="0" applyNumberFormat="1" applyFont="1" applyBorder="1" applyAlignment="1">
      <alignment horizontal="center" vertical="center"/>
    </xf>
    <xf numFmtId="10" fontId="3" fillId="0" borderId="4" xfId="2" applyNumberFormat="1" applyFont="1" applyFill="1" applyBorder="1" applyAlignment="1">
      <alignment horizontal="center" vertical="center"/>
    </xf>
    <xf numFmtId="10" fontId="3" fillId="0" borderId="4" xfId="0" applyNumberFormat="1" applyFont="1" applyFill="1" applyBorder="1" applyAlignment="1">
      <alignment horizontal="center" vertical="center"/>
    </xf>
    <xf numFmtId="41" fontId="8" fillId="0" borderId="4" xfId="3" applyFont="1" applyBorder="1"/>
    <xf numFmtId="166" fontId="8" fillId="0" borderId="4" xfId="3" applyNumberFormat="1" applyFont="1" applyBorder="1"/>
    <xf numFmtId="0" fontId="8" fillId="0" borderId="4" xfId="0" quotePrefix="1" applyFont="1" applyBorder="1"/>
    <xf numFmtId="3" fontId="3" fillId="0" borderId="4" xfId="0" applyNumberFormat="1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14" fontId="3" fillId="0" borderId="4" xfId="0" applyNumberFormat="1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left" vertical="center"/>
    </xf>
    <xf numFmtId="0" fontId="3" fillId="0" borderId="0" xfId="0" applyNumberFormat="1" applyFont="1" applyFill="1" applyBorder="1" applyAlignment="1" applyProtection="1">
      <alignment vertical="center"/>
    </xf>
    <xf numFmtId="0" fontId="4" fillId="0" borderId="4" xfId="0" quotePrefix="1" applyFont="1" applyBorder="1"/>
    <xf numFmtId="41" fontId="4" fillId="0" borderId="4" xfId="0" applyNumberFormat="1" applyFont="1" applyBorder="1" applyAlignment="1">
      <alignment horizontal="left"/>
    </xf>
    <xf numFmtId="0" fontId="4" fillId="0" borderId="4" xfId="0" applyNumberFormat="1" applyFont="1" applyFill="1" applyBorder="1" applyAlignment="1" applyProtection="1">
      <alignment horizontal="center"/>
    </xf>
    <xf numFmtId="166" fontId="0" fillId="0" borderId="4" xfId="0" applyNumberFormat="1" applyBorder="1"/>
    <xf numFmtId="0" fontId="6" fillId="0" borderId="4" xfId="0" applyFont="1" applyBorder="1"/>
    <xf numFmtId="4" fontId="0" fillId="0" borderId="4" xfId="0" applyNumberFormat="1" applyBorder="1"/>
    <xf numFmtId="22" fontId="0" fillId="0" borderId="0" xfId="0" applyNumberFormat="1"/>
    <xf numFmtId="14" fontId="0" fillId="0" borderId="4" xfId="0" applyNumberFormat="1" applyBorder="1"/>
    <xf numFmtId="167" fontId="11" fillId="0" borderId="0" xfId="0" applyNumberFormat="1" applyFont="1" applyFill="1"/>
    <xf numFmtId="0" fontId="11" fillId="0" borderId="0" xfId="0" applyFont="1" applyFill="1"/>
    <xf numFmtId="167" fontId="11" fillId="0" borderId="4" xfId="0" applyNumberFormat="1" applyFont="1" applyFill="1" applyBorder="1"/>
    <xf numFmtId="14" fontId="0" fillId="0" borderId="4" xfId="0" applyNumberFormat="1" applyBorder="1"/>
    <xf numFmtId="3" fontId="4" fillId="0" borderId="4" xfId="0" applyNumberFormat="1" applyFont="1" applyFill="1" applyBorder="1" applyAlignment="1" applyProtection="1">
      <alignment horizontal="center" vertical="center"/>
    </xf>
    <xf numFmtId="14" fontId="0" fillId="0" borderId="4" xfId="0" applyNumberFormat="1" applyBorder="1"/>
    <xf numFmtId="14" fontId="11" fillId="0" borderId="4" xfId="0" applyNumberFormat="1" applyFont="1" applyFill="1" applyBorder="1"/>
    <xf numFmtId="14" fontId="11" fillId="4" borderId="4" xfId="0" applyNumberFormat="1" applyFont="1" applyFill="1" applyBorder="1"/>
    <xf numFmtId="14" fontId="11" fillId="5" borderId="4" xfId="0" applyNumberFormat="1" applyFont="1" applyFill="1" applyBorder="1"/>
    <xf numFmtId="167" fontId="11" fillId="6" borderId="4" xfId="0" applyNumberFormat="1" applyFont="1" applyFill="1" applyBorder="1"/>
    <xf numFmtId="14" fontId="0" fillId="0" borderId="4" xfId="0" applyNumberFormat="1" applyBorder="1"/>
    <xf numFmtId="14" fontId="11" fillId="4" borderId="4" xfId="0" applyNumberFormat="1" applyFont="1" applyFill="1" applyBorder="1"/>
    <xf numFmtId="14" fontId="11" fillId="0" borderId="4" xfId="0" applyNumberFormat="1" applyFont="1" applyFill="1" applyBorder="1"/>
    <xf numFmtId="14" fontId="11" fillId="5" borderId="4" xfId="0" applyNumberFormat="1" applyFont="1" applyFill="1" applyBorder="1"/>
    <xf numFmtId="14" fontId="11" fillId="0" borderId="0" xfId="0" applyNumberFormat="1" applyFont="1" applyFill="1"/>
    <xf numFmtId="14" fontId="11" fillId="4" borderId="4" xfId="0" applyNumberFormat="1" applyFont="1" applyFill="1" applyBorder="1"/>
    <xf numFmtId="14" fontId="11" fillId="0" borderId="4" xfId="0" applyNumberFormat="1" applyFont="1" applyFill="1" applyBorder="1"/>
    <xf numFmtId="14" fontId="11" fillId="5" borderId="4" xfId="0" applyNumberFormat="1" applyFont="1" applyFill="1" applyBorder="1"/>
    <xf numFmtId="14" fontId="11" fillId="0" borderId="0" xfId="0" applyNumberFormat="1" applyFont="1" applyFill="1"/>
    <xf numFmtId="14" fontId="0" fillId="0" borderId="4" xfId="0" applyNumberFormat="1" applyBorder="1"/>
    <xf numFmtId="14" fontId="11" fillId="5" borderId="4" xfId="0" applyNumberFormat="1" applyFont="1" applyFill="1" applyBorder="1"/>
    <xf numFmtId="14" fontId="11" fillId="5" borderId="4" xfId="0" applyNumberFormat="1" applyFont="1" applyFill="1" applyBorder="1"/>
    <xf numFmtId="49" fontId="11" fillId="5" borderId="4" xfId="0" applyNumberFormat="1" applyFont="1" applyFill="1" applyBorder="1"/>
    <xf numFmtId="14" fontId="0" fillId="0" borderId="4" xfId="0" applyNumberFormat="1" applyBorder="1"/>
    <xf numFmtId="14" fontId="11" fillId="5" borderId="4" xfId="0" applyNumberFormat="1" applyFont="1" applyFill="1" applyBorder="1"/>
    <xf numFmtId="14" fontId="0" fillId="0" borderId="4" xfId="0" applyNumberFormat="1" applyBorder="1"/>
    <xf numFmtId="14" fontId="0" fillId="0" borderId="0" xfId="0" applyNumberFormat="1"/>
    <xf numFmtId="4" fontId="0" fillId="0" borderId="0" xfId="0" applyNumberFormat="1"/>
    <xf numFmtId="14" fontId="11" fillId="0" borderId="0" xfId="0" applyNumberFormat="1" applyFont="1" applyFill="1"/>
    <xf numFmtId="14" fontId="0" fillId="0" borderId="4" xfId="0" applyNumberFormat="1" applyBorder="1"/>
    <xf numFmtId="14" fontId="11" fillId="5" borderId="4" xfId="0" applyNumberFormat="1" applyFont="1" applyFill="1" applyBorder="1"/>
    <xf numFmtId="3" fontId="8" fillId="0" borderId="4" xfId="3" applyNumberFormat="1" applyFont="1" applyBorder="1"/>
    <xf numFmtId="0" fontId="14" fillId="0" borderId="0" xfId="0" applyFont="1"/>
    <xf numFmtId="0" fontId="15" fillId="0" borderId="0" xfId="0" applyFont="1"/>
    <xf numFmtId="0" fontId="14" fillId="0" borderId="0" xfId="0" applyNumberFormat="1" applyFont="1"/>
    <xf numFmtId="0" fontId="23" fillId="12" borderId="0" xfId="0" applyFont="1" applyFill="1"/>
    <xf numFmtId="0" fontId="22" fillId="7" borderId="6" xfId="0" applyNumberFormat="1" applyFont="1" applyFill="1" applyBorder="1" applyAlignment="1">
      <alignment horizontal="center" vertical="center"/>
    </xf>
    <xf numFmtId="0" fontId="22" fillId="7" borderId="6" xfId="0" applyFont="1" applyFill="1" applyBorder="1" applyAlignment="1">
      <alignment horizontal="center" vertical="center"/>
    </xf>
    <xf numFmtId="0" fontId="0" fillId="0" borderId="0" xfId="0" applyBorder="1"/>
    <xf numFmtId="0" fontId="25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14" fontId="0" fillId="0" borderId="4" xfId="0" applyNumberFormat="1" applyBorder="1"/>
    <xf numFmtId="14" fontId="11" fillId="5" borderId="4" xfId="0" applyNumberFormat="1" applyFont="1" applyFill="1" applyBorder="1"/>
    <xf numFmtId="41" fontId="27" fillId="3" borderId="9" xfId="3" applyFont="1" applyFill="1" applyBorder="1" applyAlignment="1">
      <alignment horizontal="right" vertical="center"/>
    </xf>
    <xf numFmtId="41" fontId="27" fillId="3" borderId="8" xfId="3" applyFont="1" applyFill="1" applyBorder="1" applyAlignment="1">
      <alignment horizontal="right" vertical="center"/>
    </xf>
    <xf numFmtId="168" fontId="28" fillId="3" borderId="8" xfId="0" applyNumberFormat="1" applyFont="1" applyFill="1" applyBorder="1" applyAlignment="1">
      <alignment horizontal="right" vertical="center"/>
    </xf>
    <xf numFmtId="0" fontId="18" fillId="9" borderId="11" xfId="0" applyFont="1" applyFill="1" applyBorder="1" applyAlignment="1">
      <alignment horizontal="center" vertical="center"/>
    </xf>
    <xf numFmtId="0" fontId="18" fillId="9" borderId="12" xfId="0" applyFont="1" applyFill="1" applyBorder="1" applyAlignment="1">
      <alignment horizontal="center" vertical="center"/>
    </xf>
    <xf numFmtId="0" fontId="18" fillId="9" borderId="13" xfId="0" applyFont="1" applyFill="1" applyBorder="1" applyAlignment="1">
      <alignment horizontal="center" vertical="center"/>
    </xf>
    <xf numFmtId="0" fontId="0" fillId="0" borderId="16" xfId="0" applyBorder="1"/>
    <xf numFmtId="0" fontId="0" fillId="0" borderId="17" xfId="0" applyBorder="1"/>
    <xf numFmtId="14" fontId="13" fillId="0" borderId="21" xfId="0" applyNumberFormat="1" applyFont="1" applyBorder="1" applyAlignment="1">
      <alignment horizontal="center"/>
    </xf>
    <xf numFmtId="0" fontId="13" fillId="0" borderId="20" xfId="0" applyFont="1" applyBorder="1" applyAlignment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center"/>
    </xf>
    <xf numFmtId="0" fontId="7" fillId="2" borderId="0" xfId="0" applyNumberFormat="1" applyFont="1" applyFill="1" applyBorder="1" applyAlignment="1" applyProtection="1">
      <alignment horizontal="center" vertical="center"/>
    </xf>
    <xf numFmtId="0" fontId="2" fillId="2" borderId="1" xfId="0" applyNumberFormat="1" applyFont="1" applyFill="1" applyBorder="1" applyAlignment="1" applyProtection="1">
      <alignment horizontal="center"/>
    </xf>
    <xf numFmtId="0" fontId="2" fillId="2" borderId="2" xfId="0" applyNumberFormat="1" applyFont="1" applyFill="1" applyBorder="1" applyAlignment="1" applyProtection="1">
      <alignment horizontal="center"/>
    </xf>
    <xf numFmtId="0" fontId="6" fillId="2" borderId="5" xfId="0" applyNumberFormat="1" applyFont="1" applyFill="1" applyBorder="1" applyAlignment="1" applyProtection="1">
      <alignment horizontal="center"/>
    </xf>
    <xf numFmtId="0" fontId="6" fillId="2" borderId="3" xfId="0" applyNumberFormat="1" applyFont="1" applyFill="1" applyBorder="1" applyAlignment="1" applyProtection="1">
      <alignment horizontal="center"/>
    </xf>
    <xf numFmtId="0" fontId="6" fillId="2" borderId="5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17" fillId="8" borderId="16" xfId="0" applyFont="1" applyFill="1" applyBorder="1" applyAlignment="1">
      <alignment horizontal="center" vertical="center" wrapText="1"/>
    </xf>
    <xf numFmtId="0" fontId="17" fillId="8" borderId="0" xfId="0" applyFont="1" applyFill="1" applyBorder="1" applyAlignment="1">
      <alignment horizontal="center" vertical="center" wrapText="1"/>
    </xf>
    <xf numFmtId="0" fontId="17" fillId="8" borderId="17" xfId="0" applyFont="1" applyFill="1" applyBorder="1" applyAlignment="1">
      <alignment horizontal="center" vertical="center" wrapText="1"/>
    </xf>
    <xf numFmtId="0" fontId="16" fillId="0" borderId="16" xfId="0" applyFont="1" applyFill="1" applyBorder="1" applyAlignment="1">
      <alignment vertical="center" wrapText="1"/>
    </xf>
    <xf numFmtId="0" fontId="16" fillId="0" borderId="0" xfId="0" applyFont="1" applyFill="1" applyBorder="1" applyAlignment="1">
      <alignment vertical="center" wrapText="1"/>
    </xf>
    <xf numFmtId="0" fontId="16" fillId="0" borderId="17" xfId="0" applyFont="1" applyFill="1" applyBorder="1" applyAlignment="1">
      <alignment vertical="center" wrapText="1"/>
    </xf>
    <xf numFmtId="0" fontId="24" fillId="11" borderId="16" xfId="0" applyFont="1" applyFill="1" applyBorder="1" applyAlignment="1">
      <alignment horizontal="left" vertical="center" wrapText="1"/>
    </xf>
    <xf numFmtId="0" fontId="24" fillId="11" borderId="0" xfId="0" applyFont="1" applyFill="1" applyBorder="1" applyAlignment="1">
      <alignment horizontal="left" vertical="center" wrapText="1"/>
    </xf>
    <xf numFmtId="0" fontId="24" fillId="11" borderId="17" xfId="0" applyFont="1" applyFill="1" applyBorder="1" applyAlignment="1">
      <alignment horizontal="left" vertical="center" wrapText="1"/>
    </xf>
    <xf numFmtId="0" fontId="24" fillId="11" borderId="18" xfId="0" applyFont="1" applyFill="1" applyBorder="1" applyAlignment="1">
      <alignment horizontal="left" vertical="center" wrapText="1"/>
    </xf>
    <xf numFmtId="0" fontId="24" fillId="11" borderId="7" xfId="0" applyFont="1" applyFill="1" applyBorder="1" applyAlignment="1">
      <alignment horizontal="left" vertical="center" wrapText="1"/>
    </xf>
    <xf numFmtId="0" fontId="24" fillId="11" borderId="19" xfId="0" applyFont="1" applyFill="1" applyBorder="1" applyAlignment="1">
      <alignment horizontal="left" vertical="center" wrapText="1"/>
    </xf>
    <xf numFmtId="0" fontId="26" fillId="4" borderId="6" xfId="0" applyFont="1" applyFill="1" applyBorder="1" applyAlignment="1">
      <alignment horizontal="center" vertical="center"/>
    </xf>
    <xf numFmtId="0" fontId="21" fillId="10" borderId="16" xfId="0" applyFont="1" applyFill="1" applyBorder="1" applyAlignment="1">
      <alignment horizontal="center" vertical="center" wrapText="1"/>
    </xf>
    <xf numFmtId="0" fontId="0" fillId="10" borderId="16" xfId="0" applyFill="1" applyBorder="1"/>
    <xf numFmtId="0" fontId="21" fillId="10" borderId="0" xfId="0" applyFont="1" applyFill="1" applyBorder="1" applyAlignment="1">
      <alignment horizontal="center" vertical="center" wrapText="1"/>
    </xf>
    <xf numFmtId="0" fontId="0" fillId="10" borderId="0" xfId="0" applyFill="1" applyBorder="1"/>
    <xf numFmtId="0" fontId="20" fillId="10" borderId="17" xfId="0" applyFont="1" applyFill="1" applyBorder="1" applyAlignment="1">
      <alignment horizontal="center" vertical="center" wrapText="1"/>
    </xf>
    <xf numFmtId="0" fontId="0" fillId="10" borderId="17" xfId="0" applyFill="1" applyBorder="1"/>
    <xf numFmtId="0" fontId="19" fillId="0" borderId="14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19" fillId="0" borderId="16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19" fillId="0" borderId="17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</cellXfs>
  <cellStyles count="4">
    <cellStyle name="Comma" xfId="1" builtinId="3"/>
    <cellStyle name="Comma [0]" xfId="3" builtinId="6"/>
    <cellStyle name="Normal" xfId="0" builtinId="0"/>
    <cellStyle name="Percent" xfId="2" builtinId="5"/>
  </cellStyles>
  <dxfs count="9"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top style="thin">
          <color theme="6"/>
        </top>
      </border>
    </dxf>
    <dxf>
      <border>
        <top style="thin">
          <color theme="6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6"/>
        </top>
      </border>
    </dxf>
    <dxf>
      <font>
        <b/>
        <color theme="0"/>
      </font>
      <fill>
        <patternFill patternType="solid">
          <fgColor rgb="FF008445"/>
          <bgColor rgb="FF008B44"/>
        </patternFill>
      </fill>
    </dxf>
    <dxf>
      <font>
        <color theme="1"/>
      </font>
      <border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</border>
    </dxf>
  </dxfs>
  <tableStyles count="1" defaultTableStyle="TableStyleMedium2" defaultPivotStyle="PivotStyleLight16">
    <tableStyle name="VpbankTable" pivot="0" count="9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secondRowStripe" dxfId="2"/>
      <tableStyleElement type="firstColumnStripe" dxfId="1"/>
      <tableStyleElement type="secondColumnStripe" dxfId="0"/>
    </tableStyle>
  </tableStyles>
  <colors>
    <mruColors>
      <color rgb="FF2B3F7B"/>
      <color rgb="FF143F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0</xdr:rowOff>
    </xdr:from>
    <xdr:to>
      <xdr:col>1</xdr:col>
      <xdr:colOff>7620</xdr:colOff>
      <xdr:row>16</xdr:row>
      <xdr:rowOff>7620</xdr:rowOff>
    </xdr:to>
    <xdr:pic macro="[0]!LKGD"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27960"/>
          <a:ext cx="1775460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12</xdr:row>
      <xdr:rowOff>0</xdr:rowOff>
    </xdr:from>
    <xdr:to>
      <xdr:col>2</xdr:col>
      <xdr:colOff>7620</xdr:colOff>
      <xdr:row>16</xdr:row>
      <xdr:rowOff>7620</xdr:rowOff>
    </xdr:to>
    <xdr:pic macro="[0]!LKLS_Upload_V2_ChangesOnly_Incremental">
      <xdr:nvPicPr>
        <xdr:cNvPr id="11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4520" y="2522220"/>
          <a:ext cx="1859280" cy="655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0</xdr:colOff>
      <xdr:row>12</xdr:row>
      <xdr:rowOff>0</xdr:rowOff>
    </xdr:from>
    <xdr:to>
      <xdr:col>3</xdr:col>
      <xdr:colOff>7620</xdr:colOff>
      <xdr:row>16</xdr:row>
      <xdr:rowOff>7620</xdr:rowOff>
    </xdr:to>
    <xdr:pic macro="[0]!Run_Module11">
      <xdr:nvPicPr>
        <xdr:cNvPr id="12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26180" y="2522220"/>
          <a:ext cx="1882140" cy="655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53340</xdr:colOff>
      <xdr:row>2</xdr:row>
      <xdr:rowOff>30480</xdr:rowOff>
    </xdr:from>
    <xdr:to>
      <xdr:col>0</xdr:col>
      <xdr:colOff>977416</xdr:colOff>
      <xdr:row>3</xdr:row>
      <xdr:rowOff>137160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22" t="31624" r="23362" b="41453"/>
        <a:stretch/>
      </xdr:blipFill>
      <xdr:spPr>
        <a:xfrm>
          <a:off x="53340" y="472440"/>
          <a:ext cx="924076" cy="3048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J208"/>
  <sheetViews>
    <sheetView showGridLines="0" zoomScale="81" zoomScaleNormal="100" workbookViewId="0">
      <selection activeCell="B33" sqref="B33"/>
    </sheetView>
  </sheetViews>
  <sheetFormatPr defaultColWidth="9.109375" defaultRowHeight="14.4" x14ac:dyDescent="0.3"/>
  <cols>
    <col min="1" max="1" width="12.88671875" style="1" customWidth="1"/>
    <col min="2" max="2" width="18.88671875" style="2" customWidth="1"/>
    <col min="3" max="3" width="12.109375" style="1" customWidth="1"/>
    <col min="4" max="4" width="14.33203125" style="1" customWidth="1"/>
    <col min="5" max="5" width="15.5546875" style="1" customWidth="1"/>
    <col min="6" max="6" width="9.109375" style="1" customWidth="1"/>
    <col min="7" max="7" width="13.33203125" style="1" customWidth="1"/>
    <col min="8" max="8" width="17.109375" style="1" customWidth="1"/>
    <col min="9" max="9" width="14.33203125" style="1" customWidth="1"/>
    <col min="10" max="10" width="13.109375" style="1" customWidth="1"/>
    <col min="11" max="11" width="12.6640625" style="1" customWidth="1"/>
    <col min="12" max="13" width="9.109375" style="1"/>
    <col min="14" max="14" width="9.6640625" style="1" bestFit="1" customWidth="1"/>
    <col min="15" max="16384" width="9.109375" style="1"/>
  </cols>
  <sheetData>
    <row r="1" spans="1:62" x14ac:dyDescent="0.3">
      <c r="A1" s="104" t="s">
        <v>23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</row>
    <row r="2" spans="1:62" x14ac:dyDescent="0.3">
      <c r="J2" s="3"/>
      <c r="K2" s="3"/>
    </row>
    <row r="3" spans="1:62" x14ac:dyDescent="0.3">
      <c r="A3" s="105" t="s">
        <v>0</v>
      </c>
      <c r="B3" s="106"/>
      <c r="C3" s="4"/>
      <c r="D3" s="4"/>
      <c r="E3"/>
      <c r="F3"/>
      <c r="H3"/>
      <c r="I3"/>
      <c r="J3" s="17"/>
      <c r="K3" s="6"/>
    </row>
    <row r="4" spans="1:62" x14ac:dyDescent="0.3">
      <c r="A4" s="16" t="s">
        <v>1</v>
      </c>
      <c r="B4" s="21"/>
      <c r="C4" s="4"/>
      <c r="D4" s="107" t="s">
        <v>25</v>
      </c>
      <c r="E4" s="108"/>
      <c r="G4" s="109" t="s">
        <v>24</v>
      </c>
      <c r="H4" s="110"/>
      <c r="I4" s="38" t="s">
        <v>26</v>
      </c>
      <c r="J4" s="15"/>
      <c r="K4" s="15"/>
    </row>
    <row r="5" spans="1:62" x14ac:dyDescent="0.3">
      <c r="A5" s="16" t="s">
        <v>2</v>
      </c>
      <c r="B5" s="21"/>
      <c r="C5" s="4"/>
      <c r="D5" s="33" t="s">
        <v>20</v>
      </c>
      <c r="E5" s="32">
        <f>SUM(J13:J201)</f>
        <v>0</v>
      </c>
      <c r="G5" s="33" t="s">
        <v>18</v>
      </c>
      <c r="H5" s="31">
        <f>B7-SUM(J13:J201)</f>
        <v>0</v>
      </c>
      <c r="I5" s="38" t="s">
        <v>29</v>
      </c>
      <c r="J5" s="39"/>
      <c r="K5" s="4"/>
    </row>
    <row r="6" spans="1:62" x14ac:dyDescent="0.3">
      <c r="A6" s="16" t="s">
        <v>3</v>
      </c>
      <c r="B6" s="21"/>
      <c r="C6" s="4"/>
      <c r="D6" s="33" t="s">
        <v>21</v>
      </c>
      <c r="E6" s="32">
        <f>E7+E8</f>
        <v>0</v>
      </c>
      <c r="G6" s="33" t="s">
        <v>19</v>
      </c>
      <c r="H6" s="31">
        <f>H7+H8</f>
        <v>0</v>
      </c>
      <c r="I6" s="38" t="s">
        <v>35</v>
      </c>
      <c r="J6" s="4"/>
      <c r="K6" s="4"/>
    </row>
    <row r="7" spans="1:62" x14ac:dyDescent="0.3">
      <c r="A7" s="16" t="s">
        <v>4</v>
      </c>
      <c r="B7" s="52"/>
      <c r="C7" s="4"/>
      <c r="D7" s="33" t="s">
        <v>36</v>
      </c>
      <c r="E7" s="32">
        <f>SUMIF($A$13:$A$201,"TRONG HẠN",$K$13:$K$201)</f>
        <v>0</v>
      </c>
      <c r="G7" s="33" t="s">
        <v>27</v>
      </c>
      <c r="H7" s="79">
        <f>ROUND(SUM(H13:H201)-E7, 0)</f>
        <v>0</v>
      </c>
      <c r="I7" s="38" t="s">
        <v>38</v>
      </c>
      <c r="J7" s="5"/>
      <c r="K7" s="5"/>
    </row>
    <row r="8" spans="1:62" x14ac:dyDescent="0.3">
      <c r="A8" s="16" t="s">
        <v>5</v>
      </c>
      <c r="B8" s="22"/>
      <c r="C8" s="4"/>
      <c r="D8" s="33" t="s">
        <v>37</v>
      </c>
      <c r="E8" s="32">
        <f>SUMIF($A$13:$A$201,"QUÁ HẠN",$K$13:$K$201)</f>
        <v>0</v>
      </c>
      <c r="G8" s="33" t="s">
        <v>28</v>
      </c>
      <c r="H8" s="79">
        <f>ROUND(SUM(I13:I201)-E8, 0)</f>
        <v>0</v>
      </c>
      <c r="I8" s="38" t="s">
        <v>39</v>
      </c>
      <c r="J8" s="9"/>
      <c r="K8" s="8"/>
    </row>
    <row r="9" spans="1:62" x14ac:dyDescent="0.3">
      <c r="A9" s="16" t="s">
        <v>6</v>
      </c>
      <c r="B9" s="22">
        <f>THTT!A2</f>
        <v>0</v>
      </c>
      <c r="C9" s="4"/>
      <c r="D9" s="42" t="s">
        <v>40</v>
      </c>
      <c r="E9" s="43">
        <f>E5+E6</f>
        <v>0</v>
      </c>
      <c r="G9" s="40" t="s">
        <v>34</v>
      </c>
      <c r="H9" s="41">
        <f>H5+H6</f>
        <v>0</v>
      </c>
      <c r="I9" s="38" t="s">
        <v>41</v>
      </c>
      <c r="J9" s="7"/>
      <c r="K9" s="7"/>
    </row>
    <row r="10" spans="1:62" x14ac:dyDescent="0.3">
      <c r="A10" s="16" t="s">
        <v>17</v>
      </c>
      <c r="B10" s="22">
        <f>THTT!B2</f>
        <v>0</v>
      </c>
      <c r="C10" s="4"/>
      <c r="D10" s="4"/>
      <c r="E10"/>
      <c r="G10"/>
      <c r="H10"/>
      <c r="I10"/>
      <c r="J10" s="7"/>
      <c r="K10" s="7"/>
    </row>
    <row r="11" spans="1:62" x14ac:dyDescent="0.3">
      <c r="E11"/>
      <c r="F11"/>
      <c r="G11"/>
      <c r="H11"/>
      <c r="J11" s="3"/>
      <c r="K11" s="3"/>
    </row>
    <row r="12" spans="1:62" ht="39" customHeight="1" x14ac:dyDescent="0.3">
      <c r="A12" s="37" t="s">
        <v>7</v>
      </c>
      <c r="B12" s="37" t="s">
        <v>22</v>
      </c>
      <c r="C12" s="37" t="s">
        <v>8</v>
      </c>
      <c r="D12" s="37" t="s">
        <v>9</v>
      </c>
      <c r="E12" s="37" t="s">
        <v>10</v>
      </c>
      <c r="F12" s="37" t="s">
        <v>11</v>
      </c>
      <c r="G12" s="37" t="s">
        <v>30</v>
      </c>
      <c r="H12" s="37" t="s">
        <v>12</v>
      </c>
      <c r="I12" s="37" t="s">
        <v>13</v>
      </c>
      <c r="J12" s="37" t="s">
        <v>14</v>
      </c>
      <c r="K12" s="37" t="s">
        <v>15</v>
      </c>
    </row>
    <row r="13" spans="1:62" s="10" customFormat="1" x14ac:dyDescent="0.3">
      <c r="A13" s="35" t="str">
        <f>IF(B13&gt;=$B$9,"QUÁ HẠN", "TRONG HẠN")</f>
        <v>QUÁ HẠN</v>
      </c>
      <c r="B13" s="36"/>
      <c r="C13" s="36">
        <f>IFERROR(IF(B14="", $B$10, B14-1), $B$10)</f>
        <v>0</v>
      </c>
      <c r="D13" s="34">
        <f>C13-B13+1</f>
        <v>1</v>
      </c>
      <c r="E13" s="20">
        <f>B7</f>
        <v>0</v>
      </c>
      <c r="F13" s="29"/>
      <c r="G13" s="30">
        <f>IF(A13="QUÁ HẠN", F13*1.5,"")</f>
        <v>0</v>
      </c>
      <c r="H13" s="20" t="str">
        <f>IF(A13="TRONG HẠN",D13*E13*F13/365,"")</f>
        <v/>
      </c>
      <c r="I13" s="20">
        <f>IF(A13="QUÁ HẠN",D13*E13*G13/365,"")</f>
        <v>0</v>
      </c>
      <c r="J13" s="20"/>
      <c r="K13" s="20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</row>
    <row r="14" spans="1:62" s="10" customFormat="1" x14ac:dyDescent="0.3">
      <c r="A14" s="35" t="str">
        <f t="shared" ref="A14:A77" si="0">IF(B14&gt;=$B$9,"QUÁ HẠN", "TRONG HẠN")</f>
        <v>QUÁ HẠN</v>
      </c>
      <c r="B14" s="36"/>
      <c r="C14" s="36">
        <f t="shared" ref="C14:C77" si="1">IFERROR(IF(B15="", $B$10, B15-1), $B$10)</f>
        <v>0</v>
      </c>
      <c r="D14" s="34">
        <f t="shared" ref="D14:D77" si="2">C14-B14+1</f>
        <v>1</v>
      </c>
      <c r="E14" s="20">
        <f>E13-J14</f>
        <v>0</v>
      </c>
      <c r="F14" s="29"/>
      <c r="G14" s="30">
        <f t="shared" ref="G14:G77" si="3">IF(A14="QUÁ HẠN", F14*1.5,"")</f>
        <v>0</v>
      </c>
      <c r="H14" s="20" t="str">
        <f t="shared" ref="H14:H77" si="4">IF(A14="TRONG HẠN",D14*E14*F14/365,"")</f>
        <v/>
      </c>
      <c r="I14" s="20">
        <f t="shared" ref="I14:I77" si="5">IF(A14="QUÁ HẠN",D14*E14*G14/365,"")</f>
        <v>0</v>
      </c>
      <c r="J14" s="20"/>
      <c r="K14" s="20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</row>
    <row r="15" spans="1:62" s="10" customFormat="1" x14ac:dyDescent="0.3">
      <c r="A15" s="35" t="str">
        <f t="shared" si="0"/>
        <v>QUÁ HẠN</v>
      </c>
      <c r="B15" s="36"/>
      <c r="C15" s="36">
        <f t="shared" si="1"/>
        <v>0</v>
      </c>
      <c r="D15" s="34">
        <f t="shared" si="2"/>
        <v>1</v>
      </c>
      <c r="E15" s="20">
        <f t="shared" ref="E15:E78" si="6">E14-J15</f>
        <v>0</v>
      </c>
      <c r="F15" s="29"/>
      <c r="G15" s="30">
        <f t="shared" si="3"/>
        <v>0</v>
      </c>
      <c r="H15" s="20" t="str">
        <f t="shared" si="4"/>
        <v/>
      </c>
      <c r="I15" s="20">
        <f t="shared" si="5"/>
        <v>0</v>
      </c>
      <c r="J15" s="20"/>
      <c r="K15" s="20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</row>
    <row r="16" spans="1:62" x14ac:dyDescent="0.3">
      <c r="A16" s="35" t="str">
        <f t="shared" si="0"/>
        <v>QUÁ HẠN</v>
      </c>
      <c r="B16" s="36"/>
      <c r="C16" s="36">
        <f t="shared" si="1"/>
        <v>0</v>
      </c>
      <c r="D16" s="34">
        <f t="shared" si="2"/>
        <v>1</v>
      </c>
      <c r="E16" s="20">
        <f t="shared" si="6"/>
        <v>0</v>
      </c>
      <c r="F16" s="29"/>
      <c r="G16" s="30">
        <f t="shared" si="3"/>
        <v>0</v>
      </c>
      <c r="H16" s="20" t="str">
        <f t="shared" si="4"/>
        <v/>
      </c>
      <c r="I16" s="20">
        <f t="shared" si="5"/>
        <v>0</v>
      </c>
      <c r="J16" s="20"/>
      <c r="K16" s="20"/>
    </row>
    <row r="17" spans="1:14" x14ac:dyDescent="0.3">
      <c r="A17" s="35" t="str">
        <f t="shared" si="0"/>
        <v>QUÁ HẠN</v>
      </c>
      <c r="B17" s="36"/>
      <c r="C17" s="36">
        <f t="shared" si="1"/>
        <v>0</v>
      </c>
      <c r="D17" s="34">
        <f t="shared" si="2"/>
        <v>1</v>
      </c>
      <c r="E17" s="20">
        <f t="shared" si="6"/>
        <v>0</v>
      </c>
      <c r="F17" s="29"/>
      <c r="G17" s="30">
        <f t="shared" si="3"/>
        <v>0</v>
      </c>
      <c r="H17" s="20" t="str">
        <f t="shared" si="4"/>
        <v/>
      </c>
      <c r="I17" s="20">
        <f t="shared" si="5"/>
        <v>0</v>
      </c>
      <c r="J17" s="20"/>
      <c r="K17" s="20"/>
    </row>
    <row r="18" spans="1:14" x14ac:dyDescent="0.3">
      <c r="A18" s="35" t="str">
        <f t="shared" si="0"/>
        <v>QUÁ HẠN</v>
      </c>
      <c r="B18" s="36"/>
      <c r="C18" s="36">
        <f t="shared" si="1"/>
        <v>0</v>
      </c>
      <c r="D18" s="34">
        <f t="shared" si="2"/>
        <v>1</v>
      </c>
      <c r="E18" s="20">
        <f t="shared" si="6"/>
        <v>0</v>
      </c>
      <c r="F18" s="29"/>
      <c r="G18" s="30">
        <f t="shared" si="3"/>
        <v>0</v>
      </c>
      <c r="H18" s="20" t="str">
        <f t="shared" si="4"/>
        <v/>
      </c>
      <c r="I18" s="20">
        <f t="shared" si="5"/>
        <v>0</v>
      </c>
      <c r="J18" s="20"/>
      <c r="K18" s="20"/>
    </row>
    <row r="19" spans="1:14" x14ac:dyDescent="0.3">
      <c r="A19" s="35" t="str">
        <f t="shared" si="0"/>
        <v>QUÁ HẠN</v>
      </c>
      <c r="B19" s="36"/>
      <c r="C19" s="36">
        <f t="shared" si="1"/>
        <v>0</v>
      </c>
      <c r="D19" s="34">
        <f t="shared" si="2"/>
        <v>1</v>
      </c>
      <c r="E19" s="20">
        <f t="shared" si="6"/>
        <v>0</v>
      </c>
      <c r="F19" s="29"/>
      <c r="G19" s="30">
        <f t="shared" si="3"/>
        <v>0</v>
      </c>
      <c r="H19" s="20" t="str">
        <f t="shared" si="4"/>
        <v/>
      </c>
      <c r="I19" s="20">
        <f t="shared" si="5"/>
        <v>0</v>
      </c>
      <c r="J19" s="20"/>
      <c r="K19" s="20"/>
    </row>
    <row r="20" spans="1:14" x14ac:dyDescent="0.3">
      <c r="A20" s="35" t="str">
        <f t="shared" si="0"/>
        <v>QUÁ HẠN</v>
      </c>
      <c r="B20" s="36"/>
      <c r="C20" s="36">
        <f t="shared" si="1"/>
        <v>0</v>
      </c>
      <c r="D20" s="34">
        <f t="shared" si="2"/>
        <v>1</v>
      </c>
      <c r="E20" s="20">
        <f t="shared" si="6"/>
        <v>0</v>
      </c>
      <c r="F20" s="29"/>
      <c r="G20" s="30">
        <f t="shared" si="3"/>
        <v>0</v>
      </c>
      <c r="H20" s="20" t="str">
        <f t="shared" si="4"/>
        <v/>
      </c>
      <c r="I20" s="20">
        <f t="shared" si="5"/>
        <v>0</v>
      </c>
      <c r="J20" s="20"/>
      <c r="K20" s="20"/>
    </row>
    <row r="21" spans="1:14" x14ac:dyDescent="0.3">
      <c r="A21" s="35" t="str">
        <f t="shared" si="0"/>
        <v>QUÁ HẠN</v>
      </c>
      <c r="B21" s="36"/>
      <c r="C21" s="36">
        <f t="shared" si="1"/>
        <v>0</v>
      </c>
      <c r="D21" s="34">
        <f t="shared" si="2"/>
        <v>1</v>
      </c>
      <c r="E21" s="20">
        <f t="shared" si="6"/>
        <v>0</v>
      </c>
      <c r="F21" s="29"/>
      <c r="G21" s="30">
        <f t="shared" si="3"/>
        <v>0</v>
      </c>
      <c r="H21" s="20" t="str">
        <f t="shared" si="4"/>
        <v/>
      </c>
      <c r="I21" s="20">
        <f t="shared" si="5"/>
        <v>0</v>
      </c>
      <c r="J21" s="20"/>
      <c r="K21" s="20"/>
    </row>
    <row r="22" spans="1:14" x14ac:dyDescent="0.3">
      <c r="A22" s="35" t="str">
        <f t="shared" si="0"/>
        <v>QUÁ HẠN</v>
      </c>
      <c r="B22" s="36"/>
      <c r="C22" s="36">
        <f t="shared" si="1"/>
        <v>0</v>
      </c>
      <c r="D22" s="34">
        <f t="shared" si="2"/>
        <v>1</v>
      </c>
      <c r="E22" s="20">
        <f t="shared" si="6"/>
        <v>0</v>
      </c>
      <c r="F22" s="29"/>
      <c r="G22" s="30">
        <f t="shared" si="3"/>
        <v>0</v>
      </c>
      <c r="H22" s="20" t="str">
        <f t="shared" si="4"/>
        <v/>
      </c>
      <c r="I22" s="20">
        <f t="shared" si="5"/>
        <v>0</v>
      </c>
      <c r="J22" s="20"/>
      <c r="K22" s="20"/>
    </row>
    <row r="23" spans="1:14" x14ac:dyDescent="0.3">
      <c r="A23" s="35" t="str">
        <f t="shared" si="0"/>
        <v>QUÁ HẠN</v>
      </c>
      <c r="B23" s="36"/>
      <c r="C23" s="36">
        <f t="shared" si="1"/>
        <v>0</v>
      </c>
      <c r="D23" s="34">
        <f t="shared" si="2"/>
        <v>1</v>
      </c>
      <c r="E23" s="20">
        <f t="shared" si="6"/>
        <v>0</v>
      </c>
      <c r="F23" s="29"/>
      <c r="G23" s="30">
        <f t="shared" si="3"/>
        <v>0</v>
      </c>
      <c r="H23" s="20" t="str">
        <f t="shared" si="4"/>
        <v/>
      </c>
      <c r="I23" s="20">
        <f t="shared" si="5"/>
        <v>0</v>
      </c>
      <c r="J23" s="20"/>
      <c r="K23" s="20"/>
    </row>
    <row r="24" spans="1:14" x14ac:dyDescent="0.3">
      <c r="A24" s="35" t="str">
        <f t="shared" si="0"/>
        <v>QUÁ HẠN</v>
      </c>
      <c r="B24" s="36"/>
      <c r="C24" s="36">
        <f t="shared" si="1"/>
        <v>0</v>
      </c>
      <c r="D24" s="34">
        <f t="shared" si="2"/>
        <v>1</v>
      </c>
      <c r="E24" s="20">
        <f t="shared" si="6"/>
        <v>0</v>
      </c>
      <c r="F24" s="29"/>
      <c r="G24" s="30">
        <f t="shared" si="3"/>
        <v>0</v>
      </c>
      <c r="H24" s="20" t="str">
        <f t="shared" si="4"/>
        <v/>
      </c>
      <c r="I24" s="20">
        <f t="shared" si="5"/>
        <v>0</v>
      </c>
      <c r="J24" s="20"/>
      <c r="K24" s="20"/>
    </row>
    <row r="25" spans="1:14" x14ac:dyDescent="0.3">
      <c r="A25" s="35" t="str">
        <f t="shared" si="0"/>
        <v>QUÁ HẠN</v>
      </c>
      <c r="B25" s="36"/>
      <c r="C25" s="36">
        <f t="shared" si="1"/>
        <v>0</v>
      </c>
      <c r="D25" s="34">
        <f t="shared" si="2"/>
        <v>1</v>
      </c>
      <c r="E25" s="20">
        <f t="shared" si="6"/>
        <v>0</v>
      </c>
      <c r="F25" s="29"/>
      <c r="G25" s="30">
        <f t="shared" si="3"/>
        <v>0</v>
      </c>
      <c r="H25" s="20" t="str">
        <f t="shared" si="4"/>
        <v/>
      </c>
      <c r="I25" s="20">
        <f t="shared" si="5"/>
        <v>0</v>
      </c>
      <c r="J25" s="20"/>
      <c r="K25" s="20"/>
    </row>
    <row r="26" spans="1:14" x14ac:dyDescent="0.3">
      <c r="A26" s="35" t="str">
        <f t="shared" si="0"/>
        <v>QUÁ HẠN</v>
      </c>
      <c r="B26" s="36"/>
      <c r="C26" s="36">
        <f t="shared" si="1"/>
        <v>0</v>
      </c>
      <c r="D26" s="34">
        <f t="shared" si="2"/>
        <v>1</v>
      </c>
      <c r="E26" s="20">
        <f t="shared" si="6"/>
        <v>0</v>
      </c>
      <c r="F26" s="29"/>
      <c r="G26" s="30">
        <f t="shared" si="3"/>
        <v>0</v>
      </c>
      <c r="H26" s="20" t="str">
        <f t="shared" si="4"/>
        <v/>
      </c>
      <c r="I26" s="20">
        <f t="shared" si="5"/>
        <v>0</v>
      </c>
      <c r="J26" s="20"/>
      <c r="K26" s="20"/>
    </row>
    <row r="27" spans="1:14" x14ac:dyDescent="0.3">
      <c r="A27" s="35" t="str">
        <f t="shared" si="0"/>
        <v>QUÁ HẠN</v>
      </c>
      <c r="B27" s="36"/>
      <c r="C27" s="36">
        <f t="shared" si="1"/>
        <v>0</v>
      </c>
      <c r="D27" s="34">
        <f t="shared" si="2"/>
        <v>1</v>
      </c>
      <c r="E27" s="20">
        <f t="shared" si="6"/>
        <v>0</v>
      </c>
      <c r="F27" s="29"/>
      <c r="G27" s="30">
        <f t="shared" si="3"/>
        <v>0</v>
      </c>
      <c r="H27" s="20" t="str">
        <f t="shared" si="4"/>
        <v/>
      </c>
      <c r="I27" s="20">
        <f t="shared" si="5"/>
        <v>0</v>
      </c>
      <c r="J27" s="20"/>
      <c r="K27" s="20"/>
    </row>
    <row r="28" spans="1:14" x14ac:dyDescent="0.3">
      <c r="A28" s="35" t="str">
        <f t="shared" si="0"/>
        <v>QUÁ HẠN</v>
      </c>
      <c r="B28" s="36"/>
      <c r="C28" s="36">
        <f t="shared" si="1"/>
        <v>0</v>
      </c>
      <c r="D28" s="34">
        <f t="shared" si="2"/>
        <v>1</v>
      </c>
      <c r="E28" s="20">
        <f t="shared" si="6"/>
        <v>0</v>
      </c>
      <c r="F28" s="29"/>
      <c r="G28" s="30">
        <f t="shared" si="3"/>
        <v>0</v>
      </c>
      <c r="H28" s="20" t="str">
        <f t="shared" si="4"/>
        <v/>
      </c>
      <c r="I28" s="20">
        <f t="shared" si="5"/>
        <v>0</v>
      </c>
      <c r="J28" s="20"/>
      <c r="K28" s="20"/>
    </row>
    <row r="29" spans="1:14" x14ac:dyDescent="0.3">
      <c r="A29" s="35" t="str">
        <f t="shared" si="0"/>
        <v>QUÁ HẠN</v>
      </c>
      <c r="B29" s="36"/>
      <c r="C29" s="36">
        <f t="shared" si="1"/>
        <v>0</v>
      </c>
      <c r="D29" s="34">
        <f t="shared" si="2"/>
        <v>1</v>
      </c>
      <c r="E29" s="20">
        <f t="shared" si="6"/>
        <v>0</v>
      </c>
      <c r="F29" s="29"/>
      <c r="G29" s="30">
        <f t="shared" si="3"/>
        <v>0</v>
      </c>
      <c r="H29" s="20" t="str">
        <f t="shared" si="4"/>
        <v/>
      </c>
      <c r="I29" s="20">
        <f t="shared" si="5"/>
        <v>0</v>
      </c>
      <c r="J29" s="20"/>
      <c r="K29" s="20"/>
    </row>
    <row r="30" spans="1:14" x14ac:dyDescent="0.3">
      <c r="A30" s="35" t="str">
        <f t="shared" si="0"/>
        <v>QUÁ HẠN</v>
      </c>
      <c r="B30" s="36"/>
      <c r="C30" s="36">
        <f t="shared" si="1"/>
        <v>0</v>
      </c>
      <c r="D30" s="34">
        <f t="shared" si="2"/>
        <v>1</v>
      </c>
      <c r="E30" s="20">
        <f t="shared" si="6"/>
        <v>0</v>
      </c>
      <c r="F30" s="29"/>
      <c r="G30" s="30">
        <f t="shared" si="3"/>
        <v>0</v>
      </c>
      <c r="H30" s="20" t="str">
        <f t="shared" si="4"/>
        <v/>
      </c>
      <c r="I30" s="20">
        <f t="shared" si="5"/>
        <v>0</v>
      </c>
      <c r="J30" s="20"/>
      <c r="K30" s="20"/>
    </row>
    <row r="31" spans="1:14" x14ac:dyDescent="0.3">
      <c r="A31" s="35" t="str">
        <f t="shared" si="0"/>
        <v>QUÁ HẠN</v>
      </c>
      <c r="B31" s="36"/>
      <c r="C31" s="36">
        <f t="shared" si="1"/>
        <v>0</v>
      </c>
      <c r="D31" s="34">
        <f t="shared" si="2"/>
        <v>1</v>
      </c>
      <c r="E31" s="20">
        <f t="shared" si="6"/>
        <v>0</v>
      </c>
      <c r="F31" s="29"/>
      <c r="G31" s="30">
        <f t="shared" si="3"/>
        <v>0</v>
      </c>
      <c r="H31" s="20" t="str">
        <f t="shared" si="4"/>
        <v/>
      </c>
      <c r="I31" s="20">
        <f t="shared" si="5"/>
        <v>0</v>
      </c>
      <c r="J31" s="20"/>
      <c r="K31" s="20"/>
      <c r="N31" s="11"/>
    </row>
    <row r="32" spans="1:14" x14ac:dyDescent="0.3">
      <c r="A32" s="35" t="str">
        <f t="shared" si="0"/>
        <v>QUÁ HẠN</v>
      </c>
      <c r="B32" s="36"/>
      <c r="C32" s="36">
        <f t="shared" si="1"/>
        <v>0</v>
      </c>
      <c r="D32" s="34">
        <f t="shared" si="2"/>
        <v>1</v>
      </c>
      <c r="E32" s="20">
        <f t="shared" si="6"/>
        <v>0</v>
      </c>
      <c r="F32" s="29"/>
      <c r="G32" s="30">
        <f t="shared" si="3"/>
        <v>0</v>
      </c>
      <c r="H32" s="20" t="str">
        <f t="shared" si="4"/>
        <v/>
      </c>
      <c r="I32" s="20">
        <f t="shared" si="5"/>
        <v>0</v>
      </c>
      <c r="J32" s="20"/>
      <c r="K32" s="20"/>
      <c r="N32" s="11"/>
    </row>
    <row r="33" spans="1:14" x14ac:dyDescent="0.3">
      <c r="A33" s="35" t="str">
        <f t="shared" si="0"/>
        <v>QUÁ HẠN</v>
      </c>
      <c r="B33" s="36"/>
      <c r="C33" s="36">
        <f t="shared" si="1"/>
        <v>0</v>
      </c>
      <c r="D33" s="34">
        <f t="shared" si="2"/>
        <v>1</v>
      </c>
      <c r="E33" s="20">
        <f t="shared" si="6"/>
        <v>0</v>
      </c>
      <c r="F33" s="29"/>
      <c r="G33" s="30">
        <f t="shared" si="3"/>
        <v>0</v>
      </c>
      <c r="H33" s="20" t="str">
        <f t="shared" si="4"/>
        <v/>
      </c>
      <c r="I33" s="20">
        <f t="shared" si="5"/>
        <v>0</v>
      </c>
      <c r="J33" s="20"/>
      <c r="K33" s="20"/>
      <c r="N33" s="11"/>
    </row>
    <row r="34" spans="1:14" x14ac:dyDescent="0.3">
      <c r="A34" s="35" t="str">
        <f t="shared" si="0"/>
        <v>QUÁ HẠN</v>
      </c>
      <c r="B34" s="36"/>
      <c r="C34" s="36">
        <f t="shared" si="1"/>
        <v>0</v>
      </c>
      <c r="D34" s="34">
        <f t="shared" si="2"/>
        <v>1</v>
      </c>
      <c r="E34" s="20">
        <f t="shared" si="6"/>
        <v>0</v>
      </c>
      <c r="F34" s="29"/>
      <c r="G34" s="30">
        <f t="shared" si="3"/>
        <v>0</v>
      </c>
      <c r="H34" s="20" t="str">
        <f t="shared" si="4"/>
        <v/>
      </c>
      <c r="I34" s="20">
        <f t="shared" si="5"/>
        <v>0</v>
      </c>
      <c r="J34" s="20"/>
      <c r="K34" s="20"/>
      <c r="N34" s="11"/>
    </row>
    <row r="35" spans="1:14" x14ac:dyDescent="0.3">
      <c r="A35" s="35" t="str">
        <f t="shared" si="0"/>
        <v>QUÁ HẠN</v>
      </c>
      <c r="B35" s="36"/>
      <c r="C35" s="36">
        <f t="shared" si="1"/>
        <v>0</v>
      </c>
      <c r="D35" s="34">
        <f t="shared" si="2"/>
        <v>1</v>
      </c>
      <c r="E35" s="20">
        <f t="shared" si="6"/>
        <v>0</v>
      </c>
      <c r="F35" s="29"/>
      <c r="G35" s="30">
        <f t="shared" si="3"/>
        <v>0</v>
      </c>
      <c r="H35" s="20" t="str">
        <f t="shared" si="4"/>
        <v/>
      </c>
      <c r="I35" s="20">
        <f t="shared" si="5"/>
        <v>0</v>
      </c>
      <c r="J35" s="20"/>
      <c r="K35" s="20"/>
      <c r="N35" s="11"/>
    </row>
    <row r="36" spans="1:14" x14ac:dyDescent="0.3">
      <c r="A36" s="35" t="str">
        <f t="shared" si="0"/>
        <v>QUÁ HẠN</v>
      </c>
      <c r="B36" s="36"/>
      <c r="C36" s="36">
        <f t="shared" si="1"/>
        <v>0</v>
      </c>
      <c r="D36" s="34">
        <f t="shared" si="2"/>
        <v>1</v>
      </c>
      <c r="E36" s="20">
        <f t="shared" si="6"/>
        <v>0</v>
      </c>
      <c r="F36" s="29"/>
      <c r="G36" s="30">
        <f t="shared" si="3"/>
        <v>0</v>
      </c>
      <c r="H36" s="20" t="str">
        <f t="shared" si="4"/>
        <v/>
      </c>
      <c r="I36" s="20">
        <f t="shared" si="5"/>
        <v>0</v>
      </c>
      <c r="J36" s="20"/>
      <c r="K36" s="20"/>
      <c r="N36" s="11"/>
    </row>
    <row r="37" spans="1:14" x14ac:dyDescent="0.3">
      <c r="A37" s="35" t="str">
        <f t="shared" si="0"/>
        <v>QUÁ HẠN</v>
      </c>
      <c r="B37" s="36"/>
      <c r="C37" s="36">
        <f t="shared" si="1"/>
        <v>0</v>
      </c>
      <c r="D37" s="34">
        <f t="shared" si="2"/>
        <v>1</v>
      </c>
      <c r="E37" s="20">
        <f t="shared" si="6"/>
        <v>0</v>
      </c>
      <c r="F37" s="29"/>
      <c r="G37" s="30">
        <f t="shared" si="3"/>
        <v>0</v>
      </c>
      <c r="H37" s="20" t="str">
        <f t="shared" si="4"/>
        <v/>
      </c>
      <c r="I37" s="20">
        <f t="shared" si="5"/>
        <v>0</v>
      </c>
      <c r="J37" s="20"/>
      <c r="K37" s="20"/>
      <c r="N37" s="11"/>
    </row>
    <row r="38" spans="1:14" x14ac:dyDescent="0.3">
      <c r="A38" s="35" t="str">
        <f t="shared" si="0"/>
        <v>QUÁ HẠN</v>
      </c>
      <c r="B38" s="36"/>
      <c r="C38" s="36">
        <f t="shared" si="1"/>
        <v>0</v>
      </c>
      <c r="D38" s="34">
        <f t="shared" si="2"/>
        <v>1</v>
      </c>
      <c r="E38" s="20">
        <f t="shared" si="6"/>
        <v>0</v>
      </c>
      <c r="F38" s="29"/>
      <c r="G38" s="30">
        <f t="shared" si="3"/>
        <v>0</v>
      </c>
      <c r="H38" s="20" t="str">
        <f t="shared" si="4"/>
        <v/>
      </c>
      <c r="I38" s="20">
        <f t="shared" si="5"/>
        <v>0</v>
      </c>
      <c r="J38" s="20"/>
      <c r="K38" s="20"/>
      <c r="N38" s="11"/>
    </row>
    <row r="39" spans="1:14" x14ac:dyDescent="0.3">
      <c r="A39" s="35" t="str">
        <f t="shared" si="0"/>
        <v>QUÁ HẠN</v>
      </c>
      <c r="B39" s="36"/>
      <c r="C39" s="36">
        <f t="shared" si="1"/>
        <v>0</v>
      </c>
      <c r="D39" s="34">
        <f t="shared" si="2"/>
        <v>1</v>
      </c>
      <c r="E39" s="20">
        <f t="shared" si="6"/>
        <v>0</v>
      </c>
      <c r="F39" s="29"/>
      <c r="G39" s="30">
        <f t="shared" si="3"/>
        <v>0</v>
      </c>
      <c r="H39" s="20" t="str">
        <f t="shared" si="4"/>
        <v/>
      </c>
      <c r="I39" s="20">
        <f t="shared" si="5"/>
        <v>0</v>
      </c>
      <c r="J39" s="20"/>
      <c r="K39" s="20"/>
      <c r="N39" s="11"/>
    </row>
    <row r="40" spans="1:14" x14ac:dyDescent="0.3">
      <c r="A40" s="35" t="str">
        <f t="shared" si="0"/>
        <v>QUÁ HẠN</v>
      </c>
      <c r="B40" s="36"/>
      <c r="C40" s="36">
        <f t="shared" si="1"/>
        <v>0</v>
      </c>
      <c r="D40" s="34">
        <f t="shared" si="2"/>
        <v>1</v>
      </c>
      <c r="E40" s="20">
        <f t="shared" si="6"/>
        <v>0</v>
      </c>
      <c r="F40" s="29"/>
      <c r="G40" s="30">
        <f t="shared" si="3"/>
        <v>0</v>
      </c>
      <c r="H40" s="20" t="str">
        <f t="shared" si="4"/>
        <v/>
      </c>
      <c r="I40" s="20">
        <f t="shared" si="5"/>
        <v>0</v>
      </c>
      <c r="J40" s="20"/>
      <c r="K40" s="20"/>
      <c r="N40" s="11"/>
    </row>
    <row r="41" spans="1:14" x14ac:dyDescent="0.3">
      <c r="A41" s="35" t="str">
        <f t="shared" si="0"/>
        <v>QUÁ HẠN</v>
      </c>
      <c r="B41" s="36"/>
      <c r="C41" s="36">
        <f t="shared" si="1"/>
        <v>0</v>
      </c>
      <c r="D41" s="34">
        <f t="shared" si="2"/>
        <v>1</v>
      </c>
      <c r="E41" s="20">
        <f t="shared" si="6"/>
        <v>0</v>
      </c>
      <c r="F41" s="29"/>
      <c r="G41" s="30">
        <f t="shared" si="3"/>
        <v>0</v>
      </c>
      <c r="H41" s="20" t="str">
        <f t="shared" si="4"/>
        <v/>
      </c>
      <c r="I41" s="20">
        <f t="shared" si="5"/>
        <v>0</v>
      </c>
      <c r="J41" s="20"/>
      <c r="K41" s="20"/>
      <c r="N41" s="11"/>
    </row>
    <row r="42" spans="1:14" x14ac:dyDescent="0.3">
      <c r="A42" s="35" t="str">
        <f t="shared" si="0"/>
        <v>QUÁ HẠN</v>
      </c>
      <c r="B42" s="36"/>
      <c r="C42" s="36">
        <f t="shared" si="1"/>
        <v>0</v>
      </c>
      <c r="D42" s="34">
        <f t="shared" si="2"/>
        <v>1</v>
      </c>
      <c r="E42" s="20">
        <f t="shared" si="6"/>
        <v>0</v>
      </c>
      <c r="F42" s="29"/>
      <c r="G42" s="30">
        <f t="shared" si="3"/>
        <v>0</v>
      </c>
      <c r="H42" s="20" t="str">
        <f t="shared" si="4"/>
        <v/>
      </c>
      <c r="I42" s="20">
        <f t="shared" si="5"/>
        <v>0</v>
      </c>
      <c r="J42" s="20"/>
      <c r="K42" s="20"/>
      <c r="N42" s="11"/>
    </row>
    <row r="43" spans="1:14" x14ac:dyDescent="0.3">
      <c r="A43" s="35" t="str">
        <f t="shared" si="0"/>
        <v>QUÁ HẠN</v>
      </c>
      <c r="B43" s="36"/>
      <c r="C43" s="36">
        <f t="shared" si="1"/>
        <v>0</v>
      </c>
      <c r="D43" s="34">
        <f t="shared" si="2"/>
        <v>1</v>
      </c>
      <c r="E43" s="20">
        <f t="shared" si="6"/>
        <v>0</v>
      </c>
      <c r="F43" s="29"/>
      <c r="G43" s="30">
        <f t="shared" si="3"/>
        <v>0</v>
      </c>
      <c r="H43" s="20" t="str">
        <f t="shared" si="4"/>
        <v/>
      </c>
      <c r="I43" s="20">
        <f t="shared" si="5"/>
        <v>0</v>
      </c>
      <c r="J43" s="20"/>
      <c r="K43" s="20"/>
      <c r="N43" s="11"/>
    </row>
    <row r="44" spans="1:14" x14ac:dyDescent="0.3">
      <c r="A44" s="35" t="str">
        <f t="shared" si="0"/>
        <v>QUÁ HẠN</v>
      </c>
      <c r="B44" s="36"/>
      <c r="C44" s="36">
        <f t="shared" si="1"/>
        <v>0</v>
      </c>
      <c r="D44" s="34">
        <f t="shared" si="2"/>
        <v>1</v>
      </c>
      <c r="E44" s="20">
        <f t="shared" si="6"/>
        <v>0</v>
      </c>
      <c r="F44" s="29"/>
      <c r="G44" s="30">
        <f t="shared" si="3"/>
        <v>0</v>
      </c>
      <c r="H44" s="20" t="str">
        <f t="shared" si="4"/>
        <v/>
      </c>
      <c r="I44" s="20">
        <f t="shared" si="5"/>
        <v>0</v>
      </c>
      <c r="J44" s="20"/>
      <c r="K44" s="20"/>
      <c r="N44" s="11"/>
    </row>
    <row r="45" spans="1:14" x14ac:dyDescent="0.3">
      <c r="A45" s="35" t="str">
        <f t="shared" si="0"/>
        <v>QUÁ HẠN</v>
      </c>
      <c r="B45" s="36"/>
      <c r="C45" s="36">
        <f t="shared" si="1"/>
        <v>0</v>
      </c>
      <c r="D45" s="34">
        <f t="shared" si="2"/>
        <v>1</v>
      </c>
      <c r="E45" s="20">
        <f t="shared" si="6"/>
        <v>0</v>
      </c>
      <c r="F45" s="29"/>
      <c r="G45" s="30">
        <f t="shared" si="3"/>
        <v>0</v>
      </c>
      <c r="H45" s="20" t="str">
        <f t="shared" si="4"/>
        <v/>
      </c>
      <c r="I45" s="20">
        <f t="shared" si="5"/>
        <v>0</v>
      </c>
      <c r="J45" s="20"/>
      <c r="K45" s="20"/>
      <c r="N45" s="11"/>
    </row>
    <row r="46" spans="1:14" x14ac:dyDescent="0.3">
      <c r="A46" s="35" t="str">
        <f t="shared" si="0"/>
        <v>QUÁ HẠN</v>
      </c>
      <c r="B46" s="36"/>
      <c r="C46" s="36">
        <f t="shared" si="1"/>
        <v>0</v>
      </c>
      <c r="D46" s="34">
        <f t="shared" si="2"/>
        <v>1</v>
      </c>
      <c r="E46" s="20">
        <f t="shared" si="6"/>
        <v>0</v>
      </c>
      <c r="F46" s="29"/>
      <c r="G46" s="30">
        <f t="shared" si="3"/>
        <v>0</v>
      </c>
      <c r="H46" s="20" t="str">
        <f t="shared" si="4"/>
        <v/>
      </c>
      <c r="I46" s="20">
        <f t="shared" si="5"/>
        <v>0</v>
      </c>
      <c r="J46" s="20"/>
      <c r="K46" s="20"/>
      <c r="N46" s="11"/>
    </row>
    <row r="47" spans="1:14" x14ac:dyDescent="0.3">
      <c r="A47" s="35" t="str">
        <f t="shared" si="0"/>
        <v>QUÁ HẠN</v>
      </c>
      <c r="B47" s="36"/>
      <c r="C47" s="36">
        <f t="shared" si="1"/>
        <v>0</v>
      </c>
      <c r="D47" s="34">
        <f t="shared" si="2"/>
        <v>1</v>
      </c>
      <c r="E47" s="20">
        <f t="shared" si="6"/>
        <v>0</v>
      </c>
      <c r="F47" s="29"/>
      <c r="G47" s="30">
        <f t="shared" si="3"/>
        <v>0</v>
      </c>
      <c r="H47" s="20" t="str">
        <f t="shared" si="4"/>
        <v/>
      </c>
      <c r="I47" s="20">
        <f t="shared" si="5"/>
        <v>0</v>
      </c>
      <c r="J47" s="20"/>
      <c r="K47" s="20"/>
      <c r="N47" s="11"/>
    </row>
    <row r="48" spans="1:14" x14ac:dyDescent="0.3">
      <c r="A48" s="35" t="str">
        <f t="shared" si="0"/>
        <v>QUÁ HẠN</v>
      </c>
      <c r="B48" s="36"/>
      <c r="C48" s="36">
        <f t="shared" si="1"/>
        <v>0</v>
      </c>
      <c r="D48" s="34">
        <f t="shared" si="2"/>
        <v>1</v>
      </c>
      <c r="E48" s="20">
        <f t="shared" si="6"/>
        <v>0</v>
      </c>
      <c r="F48" s="29"/>
      <c r="G48" s="30">
        <f t="shared" si="3"/>
        <v>0</v>
      </c>
      <c r="H48" s="20" t="str">
        <f t="shared" si="4"/>
        <v/>
      </c>
      <c r="I48" s="20">
        <f t="shared" si="5"/>
        <v>0</v>
      </c>
      <c r="J48" s="20"/>
      <c r="K48" s="20"/>
      <c r="N48" s="11"/>
    </row>
    <row r="49" spans="1:14" x14ac:dyDescent="0.3">
      <c r="A49" s="35" t="str">
        <f t="shared" si="0"/>
        <v>QUÁ HẠN</v>
      </c>
      <c r="B49" s="36"/>
      <c r="C49" s="36">
        <f t="shared" si="1"/>
        <v>0</v>
      </c>
      <c r="D49" s="34">
        <f t="shared" si="2"/>
        <v>1</v>
      </c>
      <c r="E49" s="20">
        <f t="shared" si="6"/>
        <v>0</v>
      </c>
      <c r="F49" s="29"/>
      <c r="G49" s="30">
        <f t="shared" si="3"/>
        <v>0</v>
      </c>
      <c r="H49" s="20" t="str">
        <f t="shared" si="4"/>
        <v/>
      </c>
      <c r="I49" s="20">
        <f t="shared" si="5"/>
        <v>0</v>
      </c>
      <c r="J49" s="20"/>
      <c r="K49" s="20"/>
      <c r="N49" s="11"/>
    </row>
    <row r="50" spans="1:14" x14ac:dyDescent="0.3">
      <c r="A50" s="35" t="str">
        <f t="shared" si="0"/>
        <v>QUÁ HẠN</v>
      </c>
      <c r="B50" s="36"/>
      <c r="C50" s="36">
        <f t="shared" si="1"/>
        <v>0</v>
      </c>
      <c r="D50" s="34">
        <f t="shared" si="2"/>
        <v>1</v>
      </c>
      <c r="E50" s="20">
        <f t="shared" si="6"/>
        <v>0</v>
      </c>
      <c r="F50" s="29"/>
      <c r="G50" s="30">
        <f t="shared" si="3"/>
        <v>0</v>
      </c>
      <c r="H50" s="20" t="str">
        <f t="shared" si="4"/>
        <v/>
      </c>
      <c r="I50" s="20">
        <f t="shared" si="5"/>
        <v>0</v>
      </c>
      <c r="J50" s="20"/>
      <c r="K50" s="20"/>
      <c r="N50" s="11"/>
    </row>
    <row r="51" spans="1:14" x14ac:dyDescent="0.3">
      <c r="A51" s="35" t="str">
        <f t="shared" si="0"/>
        <v>QUÁ HẠN</v>
      </c>
      <c r="B51" s="36"/>
      <c r="C51" s="36">
        <f t="shared" si="1"/>
        <v>0</v>
      </c>
      <c r="D51" s="34">
        <f t="shared" si="2"/>
        <v>1</v>
      </c>
      <c r="E51" s="20">
        <f t="shared" si="6"/>
        <v>0</v>
      </c>
      <c r="F51" s="29"/>
      <c r="G51" s="30">
        <f t="shared" si="3"/>
        <v>0</v>
      </c>
      <c r="H51" s="20" t="str">
        <f t="shared" si="4"/>
        <v/>
      </c>
      <c r="I51" s="20">
        <f t="shared" si="5"/>
        <v>0</v>
      </c>
      <c r="J51" s="20"/>
      <c r="K51" s="20"/>
      <c r="N51" s="11"/>
    </row>
    <row r="52" spans="1:14" x14ac:dyDescent="0.3">
      <c r="A52" s="35" t="str">
        <f t="shared" si="0"/>
        <v>QUÁ HẠN</v>
      </c>
      <c r="B52" s="36"/>
      <c r="C52" s="36">
        <f t="shared" si="1"/>
        <v>0</v>
      </c>
      <c r="D52" s="34">
        <f t="shared" si="2"/>
        <v>1</v>
      </c>
      <c r="E52" s="20">
        <f t="shared" si="6"/>
        <v>0</v>
      </c>
      <c r="F52" s="29"/>
      <c r="G52" s="30">
        <f t="shared" si="3"/>
        <v>0</v>
      </c>
      <c r="H52" s="20" t="str">
        <f t="shared" si="4"/>
        <v/>
      </c>
      <c r="I52" s="20">
        <f t="shared" si="5"/>
        <v>0</v>
      </c>
      <c r="J52" s="20"/>
      <c r="K52" s="20"/>
      <c r="L52"/>
      <c r="N52" s="11"/>
    </row>
    <row r="53" spans="1:14" x14ac:dyDescent="0.3">
      <c r="A53" s="35" t="str">
        <f t="shared" si="0"/>
        <v>QUÁ HẠN</v>
      </c>
      <c r="B53" s="36"/>
      <c r="C53" s="36">
        <f t="shared" si="1"/>
        <v>0</v>
      </c>
      <c r="D53" s="34">
        <f t="shared" si="2"/>
        <v>1</v>
      </c>
      <c r="E53" s="20">
        <f t="shared" si="6"/>
        <v>0</v>
      </c>
      <c r="F53" s="29"/>
      <c r="G53" s="30">
        <f t="shared" si="3"/>
        <v>0</v>
      </c>
      <c r="H53" s="20" t="str">
        <f t="shared" si="4"/>
        <v/>
      </c>
      <c r="I53" s="20">
        <f t="shared" si="5"/>
        <v>0</v>
      </c>
      <c r="J53" s="20"/>
      <c r="K53" s="20"/>
      <c r="N53" s="11"/>
    </row>
    <row r="54" spans="1:14" x14ac:dyDescent="0.3">
      <c r="A54" s="35" t="str">
        <f t="shared" si="0"/>
        <v>QUÁ HẠN</v>
      </c>
      <c r="B54" s="36"/>
      <c r="C54" s="36">
        <f t="shared" si="1"/>
        <v>0</v>
      </c>
      <c r="D54" s="34">
        <f t="shared" si="2"/>
        <v>1</v>
      </c>
      <c r="E54" s="20">
        <f t="shared" si="6"/>
        <v>0</v>
      </c>
      <c r="F54" s="29"/>
      <c r="G54" s="30">
        <f t="shared" si="3"/>
        <v>0</v>
      </c>
      <c r="H54" s="20" t="str">
        <f t="shared" si="4"/>
        <v/>
      </c>
      <c r="I54" s="20">
        <f t="shared" si="5"/>
        <v>0</v>
      </c>
      <c r="J54" s="20"/>
      <c r="K54" s="20"/>
      <c r="N54" s="11"/>
    </row>
    <row r="55" spans="1:14" x14ac:dyDescent="0.3">
      <c r="A55" s="35" t="str">
        <f t="shared" si="0"/>
        <v>QUÁ HẠN</v>
      </c>
      <c r="B55" s="36"/>
      <c r="C55" s="36">
        <f t="shared" si="1"/>
        <v>0</v>
      </c>
      <c r="D55" s="34">
        <f t="shared" si="2"/>
        <v>1</v>
      </c>
      <c r="E55" s="20">
        <f t="shared" si="6"/>
        <v>0</v>
      </c>
      <c r="F55" s="29"/>
      <c r="G55" s="30">
        <f t="shared" si="3"/>
        <v>0</v>
      </c>
      <c r="H55" s="20" t="str">
        <f t="shared" si="4"/>
        <v/>
      </c>
      <c r="I55" s="20">
        <f t="shared" si="5"/>
        <v>0</v>
      </c>
      <c r="J55" s="20"/>
      <c r="K55" s="20"/>
      <c r="N55" s="12"/>
    </row>
    <row r="56" spans="1:14" x14ac:dyDescent="0.3">
      <c r="A56" s="35" t="str">
        <f t="shared" si="0"/>
        <v>QUÁ HẠN</v>
      </c>
      <c r="B56" s="36"/>
      <c r="C56" s="36">
        <f t="shared" si="1"/>
        <v>0</v>
      </c>
      <c r="D56" s="34">
        <f t="shared" si="2"/>
        <v>1</v>
      </c>
      <c r="E56" s="20">
        <f t="shared" si="6"/>
        <v>0</v>
      </c>
      <c r="F56" s="29"/>
      <c r="G56" s="30">
        <f t="shared" si="3"/>
        <v>0</v>
      </c>
      <c r="H56" s="20" t="str">
        <f t="shared" si="4"/>
        <v/>
      </c>
      <c r="I56" s="20">
        <f t="shared" si="5"/>
        <v>0</v>
      </c>
      <c r="J56" s="20"/>
      <c r="K56" s="20"/>
      <c r="N56" s="12"/>
    </row>
    <row r="57" spans="1:14" x14ac:dyDescent="0.3">
      <c r="A57" s="35" t="str">
        <f t="shared" si="0"/>
        <v>QUÁ HẠN</v>
      </c>
      <c r="B57" s="36"/>
      <c r="C57" s="36">
        <f t="shared" si="1"/>
        <v>0</v>
      </c>
      <c r="D57" s="34">
        <f t="shared" si="2"/>
        <v>1</v>
      </c>
      <c r="E57" s="20">
        <f t="shared" si="6"/>
        <v>0</v>
      </c>
      <c r="F57" s="29"/>
      <c r="G57" s="30">
        <f t="shared" si="3"/>
        <v>0</v>
      </c>
      <c r="H57" s="20" t="str">
        <f t="shared" si="4"/>
        <v/>
      </c>
      <c r="I57" s="20">
        <f t="shared" si="5"/>
        <v>0</v>
      </c>
      <c r="J57" s="20"/>
      <c r="K57" s="20"/>
      <c r="N57" s="12"/>
    </row>
    <row r="58" spans="1:14" x14ac:dyDescent="0.3">
      <c r="A58" s="35" t="str">
        <f t="shared" si="0"/>
        <v>QUÁ HẠN</v>
      </c>
      <c r="B58" s="36"/>
      <c r="C58" s="36">
        <f t="shared" si="1"/>
        <v>0</v>
      </c>
      <c r="D58" s="34">
        <f t="shared" si="2"/>
        <v>1</v>
      </c>
      <c r="E58" s="20">
        <f t="shared" si="6"/>
        <v>0</v>
      </c>
      <c r="F58" s="29"/>
      <c r="G58" s="30">
        <f t="shared" si="3"/>
        <v>0</v>
      </c>
      <c r="H58" s="20" t="str">
        <f t="shared" si="4"/>
        <v/>
      </c>
      <c r="I58" s="20">
        <f t="shared" si="5"/>
        <v>0</v>
      </c>
      <c r="J58" s="20"/>
      <c r="K58" s="20"/>
      <c r="N58" s="12"/>
    </row>
    <row r="59" spans="1:14" x14ac:dyDescent="0.3">
      <c r="A59" s="35" t="str">
        <f t="shared" si="0"/>
        <v>QUÁ HẠN</v>
      </c>
      <c r="B59" s="36"/>
      <c r="C59" s="36">
        <f t="shared" si="1"/>
        <v>0</v>
      </c>
      <c r="D59" s="34">
        <f t="shared" si="2"/>
        <v>1</v>
      </c>
      <c r="E59" s="20">
        <f t="shared" si="6"/>
        <v>0</v>
      </c>
      <c r="F59" s="29"/>
      <c r="G59" s="30">
        <f t="shared" si="3"/>
        <v>0</v>
      </c>
      <c r="H59" s="20" t="str">
        <f t="shared" si="4"/>
        <v/>
      </c>
      <c r="I59" s="20">
        <f t="shared" si="5"/>
        <v>0</v>
      </c>
      <c r="J59" s="20"/>
      <c r="K59" s="20"/>
      <c r="N59" s="12"/>
    </row>
    <row r="60" spans="1:14" x14ac:dyDescent="0.3">
      <c r="A60" s="35" t="str">
        <f t="shared" si="0"/>
        <v>QUÁ HẠN</v>
      </c>
      <c r="B60" s="36"/>
      <c r="C60" s="36">
        <f t="shared" si="1"/>
        <v>0</v>
      </c>
      <c r="D60" s="34">
        <f t="shared" si="2"/>
        <v>1</v>
      </c>
      <c r="E60" s="20">
        <f t="shared" si="6"/>
        <v>0</v>
      </c>
      <c r="F60" s="29"/>
      <c r="G60" s="30">
        <f t="shared" si="3"/>
        <v>0</v>
      </c>
      <c r="H60" s="20" t="str">
        <f t="shared" si="4"/>
        <v/>
      </c>
      <c r="I60" s="20">
        <f t="shared" si="5"/>
        <v>0</v>
      </c>
      <c r="J60" s="20"/>
      <c r="K60" s="20"/>
      <c r="N60" s="12"/>
    </row>
    <row r="61" spans="1:14" x14ac:dyDescent="0.3">
      <c r="A61" s="35" t="str">
        <f t="shared" si="0"/>
        <v>QUÁ HẠN</v>
      </c>
      <c r="B61" s="36"/>
      <c r="C61" s="36">
        <f t="shared" si="1"/>
        <v>0</v>
      </c>
      <c r="D61" s="34">
        <f t="shared" si="2"/>
        <v>1</v>
      </c>
      <c r="E61" s="20">
        <f t="shared" si="6"/>
        <v>0</v>
      </c>
      <c r="F61" s="29"/>
      <c r="G61" s="30">
        <f t="shared" si="3"/>
        <v>0</v>
      </c>
      <c r="H61" s="20" t="str">
        <f t="shared" si="4"/>
        <v/>
      </c>
      <c r="I61" s="20">
        <f t="shared" si="5"/>
        <v>0</v>
      </c>
      <c r="J61" s="20"/>
      <c r="K61" s="20"/>
      <c r="N61" s="12"/>
    </row>
    <row r="62" spans="1:14" x14ac:dyDescent="0.3">
      <c r="A62" s="35" t="str">
        <f t="shared" si="0"/>
        <v>QUÁ HẠN</v>
      </c>
      <c r="B62" s="36"/>
      <c r="C62" s="36">
        <f t="shared" si="1"/>
        <v>0</v>
      </c>
      <c r="D62" s="34">
        <f t="shared" si="2"/>
        <v>1</v>
      </c>
      <c r="E62" s="20">
        <f t="shared" si="6"/>
        <v>0</v>
      </c>
      <c r="F62" s="29"/>
      <c r="G62" s="30">
        <f t="shared" si="3"/>
        <v>0</v>
      </c>
      <c r="H62" s="20" t="str">
        <f t="shared" si="4"/>
        <v/>
      </c>
      <c r="I62" s="20">
        <f t="shared" si="5"/>
        <v>0</v>
      </c>
      <c r="J62" s="20"/>
      <c r="K62" s="20"/>
      <c r="N62" s="12"/>
    </row>
    <row r="63" spans="1:14" x14ac:dyDescent="0.3">
      <c r="A63" s="35" t="str">
        <f t="shared" si="0"/>
        <v>QUÁ HẠN</v>
      </c>
      <c r="B63" s="36"/>
      <c r="C63" s="36">
        <f t="shared" si="1"/>
        <v>0</v>
      </c>
      <c r="D63" s="34">
        <f t="shared" si="2"/>
        <v>1</v>
      </c>
      <c r="E63" s="20">
        <f t="shared" si="6"/>
        <v>0</v>
      </c>
      <c r="F63" s="29"/>
      <c r="G63" s="30">
        <f t="shared" si="3"/>
        <v>0</v>
      </c>
      <c r="H63" s="20" t="str">
        <f t="shared" si="4"/>
        <v/>
      </c>
      <c r="I63" s="20">
        <f t="shared" si="5"/>
        <v>0</v>
      </c>
      <c r="J63" s="20"/>
      <c r="K63" s="20"/>
      <c r="N63" s="12"/>
    </row>
    <row r="64" spans="1:14" x14ac:dyDescent="0.3">
      <c r="A64" s="35" t="str">
        <f t="shared" si="0"/>
        <v>QUÁ HẠN</v>
      </c>
      <c r="B64" s="36"/>
      <c r="C64" s="36">
        <f t="shared" si="1"/>
        <v>0</v>
      </c>
      <c r="D64" s="34">
        <f t="shared" si="2"/>
        <v>1</v>
      </c>
      <c r="E64" s="20">
        <f t="shared" si="6"/>
        <v>0</v>
      </c>
      <c r="F64" s="29"/>
      <c r="G64" s="30">
        <f t="shared" si="3"/>
        <v>0</v>
      </c>
      <c r="H64" s="20" t="str">
        <f t="shared" si="4"/>
        <v/>
      </c>
      <c r="I64" s="20">
        <f t="shared" si="5"/>
        <v>0</v>
      </c>
      <c r="J64" s="20"/>
      <c r="K64" s="20"/>
      <c r="N64" s="12"/>
    </row>
    <row r="65" spans="1:14" x14ac:dyDescent="0.3">
      <c r="A65" s="35" t="str">
        <f t="shared" si="0"/>
        <v>QUÁ HẠN</v>
      </c>
      <c r="B65" s="36"/>
      <c r="C65" s="36">
        <f t="shared" si="1"/>
        <v>0</v>
      </c>
      <c r="D65" s="34">
        <f t="shared" si="2"/>
        <v>1</v>
      </c>
      <c r="E65" s="20">
        <f t="shared" si="6"/>
        <v>0</v>
      </c>
      <c r="F65" s="29"/>
      <c r="G65" s="30">
        <f t="shared" si="3"/>
        <v>0</v>
      </c>
      <c r="H65" s="20" t="str">
        <f t="shared" si="4"/>
        <v/>
      </c>
      <c r="I65" s="20">
        <f t="shared" si="5"/>
        <v>0</v>
      </c>
      <c r="J65" s="20"/>
      <c r="K65" s="20"/>
      <c r="N65" s="12"/>
    </row>
    <row r="66" spans="1:14" x14ac:dyDescent="0.3">
      <c r="A66" s="35" t="str">
        <f t="shared" si="0"/>
        <v>QUÁ HẠN</v>
      </c>
      <c r="B66" s="36"/>
      <c r="C66" s="36">
        <f t="shared" si="1"/>
        <v>0</v>
      </c>
      <c r="D66" s="34">
        <f t="shared" si="2"/>
        <v>1</v>
      </c>
      <c r="E66" s="20">
        <f t="shared" si="6"/>
        <v>0</v>
      </c>
      <c r="F66" s="29"/>
      <c r="G66" s="30">
        <f t="shared" si="3"/>
        <v>0</v>
      </c>
      <c r="H66" s="20" t="str">
        <f t="shared" si="4"/>
        <v/>
      </c>
      <c r="I66" s="20">
        <f t="shared" si="5"/>
        <v>0</v>
      </c>
      <c r="J66" s="20"/>
      <c r="K66" s="20"/>
      <c r="N66" s="12"/>
    </row>
    <row r="67" spans="1:14" x14ac:dyDescent="0.3">
      <c r="A67" s="35" t="str">
        <f t="shared" si="0"/>
        <v>QUÁ HẠN</v>
      </c>
      <c r="B67" s="36"/>
      <c r="C67" s="36">
        <f t="shared" si="1"/>
        <v>0</v>
      </c>
      <c r="D67" s="34">
        <f t="shared" si="2"/>
        <v>1</v>
      </c>
      <c r="E67" s="20">
        <f t="shared" si="6"/>
        <v>0</v>
      </c>
      <c r="F67" s="29"/>
      <c r="G67" s="30">
        <f t="shared" si="3"/>
        <v>0</v>
      </c>
      <c r="H67" s="20" t="str">
        <f t="shared" si="4"/>
        <v/>
      </c>
      <c r="I67" s="20">
        <f t="shared" si="5"/>
        <v>0</v>
      </c>
      <c r="J67" s="20"/>
      <c r="K67" s="20"/>
      <c r="N67" s="12"/>
    </row>
    <row r="68" spans="1:14" x14ac:dyDescent="0.3">
      <c r="A68" s="35" t="str">
        <f t="shared" si="0"/>
        <v>QUÁ HẠN</v>
      </c>
      <c r="B68" s="36"/>
      <c r="C68" s="36">
        <f t="shared" si="1"/>
        <v>0</v>
      </c>
      <c r="D68" s="34">
        <f t="shared" si="2"/>
        <v>1</v>
      </c>
      <c r="E68" s="20">
        <f t="shared" si="6"/>
        <v>0</v>
      </c>
      <c r="F68" s="29"/>
      <c r="G68" s="30">
        <f t="shared" si="3"/>
        <v>0</v>
      </c>
      <c r="H68" s="20" t="str">
        <f t="shared" si="4"/>
        <v/>
      </c>
      <c r="I68" s="20">
        <f t="shared" si="5"/>
        <v>0</v>
      </c>
      <c r="J68" s="20"/>
      <c r="K68" s="20"/>
      <c r="N68" s="12"/>
    </row>
    <row r="69" spans="1:14" x14ac:dyDescent="0.3">
      <c r="A69" s="35" t="str">
        <f t="shared" si="0"/>
        <v>QUÁ HẠN</v>
      </c>
      <c r="B69" s="36"/>
      <c r="C69" s="36">
        <f t="shared" si="1"/>
        <v>0</v>
      </c>
      <c r="D69" s="34">
        <f t="shared" si="2"/>
        <v>1</v>
      </c>
      <c r="E69" s="20">
        <f t="shared" si="6"/>
        <v>0</v>
      </c>
      <c r="F69" s="29"/>
      <c r="G69" s="30">
        <f t="shared" si="3"/>
        <v>0</v>
      </c>
      <c r="H69" s="20" t="str">
        <f t="shared" si="4"/>
        <v/>
      </c>
      <c r="I69" s="20">
        <f t="shared" si="5"/>
        <v>0</v>
      </c>
      <c r="J69" s="20"/>
      <c r="K69" s="20"/>
      <c r="N69" s="12"/>
    </row>
    <row r="70" spans="1:14" x14ac:dyDescent="0.3">
      <c r="A70" s="35" t="str">
        <f t="shared" si="0"/>
        <v>QUÁ HẠN</v>
      </c>
      <c r="B70" s="36"/>
      <c r="C70" s="36">
        <f t="shared" si="1"/>
        <v>0</v>
      </c>
      <c r="D70" s="34">
        <f t="shared" si="2"/>
        <v>1</v>
      </c>
      <c r="E70" s="20">
        <f t="shared" si="6"/>
        <v>0</v>
      </c>
      <c r="F70" s="29"/>
      <c r="G70" s="30">
        <f t="shared" si="3"/>
        <v>0</v>
      </c>
      <c r="H70" s="20" t="str">
        <f t="shared" si="4"/>
        <v/>
      </c>
      <c r="I70" s="20">
        <f t="shared" si="5"/>
        <v>0</v>
      </c>
      <c r="J70" s="20"/>
      <c r="K70" s="20"/>
      <c r="N70" s="12"/>
    </row>
    <row r="71" spans="1:14" x14ac:dyDescent="0.3">
      <c r="A71" s="35" t="str">
        <f t="shared" si="0"/>
        <v>QUÁ HẠN</v>
      </c>
      <c r="B71" s="36"/>
      <c r="C71" s="36">
        <f t="shared" si="1"/>
        <v>0</v>
      </c>
      <c r="D71" s="34">
        <f t="shared" si="2"/>
        <v>1</v>
      </c>
      <c r="E71" s="20">
        <f t="shared" si="6"/>
        <v>0</v>
      </c>
      <c r="F71" s="29"/>
      <c r="G71" s="30">
        <f t="shared" si="3"/>
        <v>0</v>
      </c>
      <c r="H71" s="20" t="str">
        <f t="shared" si="4"/>
        <v/>
      </c>
      <c r="I71" s="20">
        <f t="shared" si="5"/>
        <v>0</v>
      </c>
      <c r="J71" s="20"/>
      <c r="K71" s="20"/>
      <c r="N71" s="12"/>
    </row>
    <row r="72" spans="1:14" x14ac:dyDescent="0.3">
      <c r="A72" s="35" t="str">
        <f t="shared" si="0"/>
        <v>QUÁ HẠN</v>
      </c>
      <c r="B72" s="36"/>
      <c r="C72" s="36">
        <f t="shared" si="1"/>
        <v>0</v>
      </c>
      <c r="D72" s="34">
        <f t="shared" si="2"/>
        <v>1</v>
      </c>
      <c r="E72" s="20">
        <f t="shared" si="6"/>
        <v>0</v>
      </c>
      <c r="F72" s="29"/>
      <c r="G72" s="30">
        <f t="shared" si="3"/>
        <v>0</v>
      </c>
      <c r="H72" s="20" t="str">
        <f t="shared" si="4"/>
        <v/>
      </c>
      <c r="I72" s="20">
        <f t="shared" si="5"/>
        <v>0</v>
      </c>
      <c r="J72" s="20"/>
      <c r="K72" s="20"/>
      <c r="N72" s="12"/>
    </row>
    <row r="73" spans="1:14" x14ac:dyDescent="0.3">
      <c r="A73" s="35" t="str">
        <f t="shared" si="0"/>
        <v>QUÁ HẠN</v>
      </c>
      <c r="B73" s="36"/>
      <c r="C73" s="36">
        <f t="shared" si="1"/>
        <v>0</v>
      </c>
      <c r="D73" s="34">
        <f t="shared" si="2"/>
        <v>1</v>
      </c>
      <c r="E73" s="20">
        <f t="shared" si="6"/>
        <v>0</v>
      </c>
      <c r="F73" s="29"/>
      <c r="G73" s="30">
        <f t="shared" si="3"/>
        <v>0</v>
      </c>
      <c r="H73" s="20" t="str">
        <f t="shared" si="4"/>
        <v/>
      </c>
      <c r="I73" s="20">
        <f t="shared" si="5"/>
        <v>0</v>
      </c>
      <c r="J73" s="20"/>
      <c r="K73" s="20"/>
      <c r="N73" s="12"/>
    </row>
    <row r="74" spans="1:14" x14ac:dyDescent="0.3">
      <c r="A74" s="35" t="str">
        <f t="shared" si="0"/>
        <v>QUÁ HẠN</v>
      </c>
      <c r="B74" s="36"/>
      <c r="C74" s="36">
        <f t="shared" si="1"/>
        <v>0</v>
      </c>
      <c r="D74" s="34">
        <f t="shared" si="2"/>
        <v>1</v>
      </c>
      <c r="E74" s="20">
        <f t="shared" si="6"/>
        <v>0</v>
      </c>
      <c r="F74" s="29"/>
      <c r="G74" s="30">
        <f t="shared" si="3"/>
        <v>0</v>
      </c>
      <c r="H74" s="20" t="str">
        <f t="shared" si="4"/>
        <v/>
      </c>
      <c r="I74" s="20">
        <f t="shared" si="5"/>
        <v>0</v>
      </c>
      <c r="J74" s="20"/>
      <c r="K74" s="20"/>
      <c r="N74" s="12"/>
    </row>
    <row r="75" spans="1:14" x14ac:dyDescent="0.3">
      <c r="A75" s="35" t="str">
        <f t="shared" si="0"/>
        <v>QUÁ HẠN</v>
      </c>
      <c r="B75" s="36"/>
      <c r="C75" s="36">
        <f t="shared" si="1"/>
        <v>0</v>
      </c>
      <c r="D75" s="34">
        <f t="shared" si="2"/>
        <v>1</v>
      </c>
      <c r="E75" s="20">
        <f t="shared" si="6"/>
        <v>0</v>
      </c>
      <c r="F75" s="29"/>
      <c r="G75" s="30">
        <f t="shared" si="3"/>
        <v>0</v>
      </c>
      <c r="H75" s="20" t="str">
        <f t="shared" si="4"/>
        <v/>
      </c>
      <c r="I75" s="20">
        <f t="shared" si="5"/>
        <v>0</v>
      </c>
      <c r="J75" s="20"/>
      <c r="K75" s="20"/>
      <c r="N75" s="12"/>
    </row>
    <row r="76" spans="1:14" x14ac:dyDescent="0.3">
      <c r="A76" s="35" t="str">
        <f t="shared" si="0"/>
        <v>QUÁ HẠN</v>
      </c>
      <c r="B76" s="36"/>
      <c r="C76" s="36">
        <f t="shared" si="1"/>
        <v>0</v>
      </c>
      <c r="D76" s="34">
        <f t="shared" si="2"/>
        <v>1</v>
      </c>
      <c r="E76" s="20">
        <f t="shared" si="6"/>
        <v>0</v>
      </c>
      <c r="F76" s="29"/>
      <c r="G76" s="30">
        <f t="shared" si="3"/>
        <v>0</v>
      </c>
      <c r="H76" s="20" t="str">
        <f t="shared" si="4"/>
        <v/>
      </c>
      <c r="I76" s="20">
        <f t="shared" si="5"/>
        <v>0</v>
      </c>
      <c r="J76" s="20"/>
      <c r="K76" s="20"/>
      <c r="N76" s="12"/>
    </row>
    <row r="77" spans="1:14" x14ac:dyDescent="0.3">
      <c r="A77" s="35" t="str">
        <f t="shared" si="0"/>
        <v>QUÁ HẠN</v>
      </c>
      <c r="B77" s="36"/>
      <c r="C77" s="36">
        <f t="shared" si="1"/>
        <v>0</v>
      </c>
      <c r="D77" s="34">
        <f t="shared" si="2"/>
        <v>1</v>
      </c>
      <c r="E77" s="20">
        <f t="shared" si="6"/>
        <v>0</v>
      </c>
      <c r="F77" s="29"/>
      <c r="G77" s="30">
        <f t="shared" si="3"/>
        <v>0</v>
      </c>
      <c r="H77" s="20" t="str">
        <f t="shared" si="4"/>
        <v/>
      </c>
      <c r="I77" s="20">
        <f t="shared" si="5"/>
        <v>0</v>
      </c>
      <c r="J77" s="20"/>
      <c r="K77" s="20"/>
      <c r="N77" s="12"/>
    </row>
    <row r="78" spans="1:14" x14ac:dyDescent="0.3">
      <c r="A78" s="35" t="str">
        <f t="shared" ref="A78:A141" si="7">IF(B78&gt;=$B$9,"QUÁ HẠN", "TRONG HẠN")</f>
        <v>QUÁ HẠN</v>
      </c>
      <c r="B78" s="36"/>
      <c r="C78" s="36">
        <f t="shared" ref="C78:C141" si="8">IFERROR(IF(B79="", $B$10, B79-1), $B$10)</f>
        <v>0</v>
      </c>
      <c r="D78" s="34">
        <f t="shared" ref="D78:D141" si="9">C78-B78+1</f>
        <v>1</v>
      </c>
      <c r="E78" s="20">
        <f t="shared" si="6"/>
        <v>0</v>
      </c>
      <c r="F78" s="29"/>
      <c r="G78" s="30">
        <f t="shared" ref="G78:G141" si="10">IF(A78="QUÁ HẠN", F78*1.5,"")</f>
        <v>0</v>
      </c>
      <c r="H78" s="20" t="str">
        <f t="shared" ref="H78:H141" si="11">IF(A78="TRONG HẠN",D78*E78*F78/365,"")</f>
        <v/>
      </c>
      <c r="I78" s="20">
        <f t="shared" ref="I78:I141" si="12">IF(A78="QUÁ HẠN",D78*E78*G78/365,"")</f>
        <v>0</v>
      </c>
      <c r="J78" s="20"/>
      <c r="K78" s="20"/>
      <c r="N78" s="12"/>
    </row>
    <row r="79" spans="1:14" x14ac:dyDescent="0.3">
      <c r="A79" s="35" t="str">
        <f t="shared" si="7"/>
        <v>QUÁ HẠN</v>
      </c>
      <c r="B79" s="36"/>
      <c r="C79" s="36">
        <f t="shared" si="8"/>
        <v>0</v>
      </c>
      <c r="D79" s="34">
        <f t="shared" si="9"/>
        <v>1</v>
      </c>
      <c r="E79" s="20">
        <f t="shared" ref="E79:E142" si="13">E78-J79</f>
        <v>0</v>
      </c>
      <c r="F79" s="29"/>
      <c r="G79" s="30">
        <f t="shared" si="10"/>
        <v>0</v>
      </c>
      <c r="H79" s="20" t="str">
        <f t="shared" si="11"/>
        <v/>
      </c>
      <c r="I79" s="20">
        <f t="shared" si="12"/>
        <v>0</v>
      </c>
      <c r="J79" s="20"/>
      <c r="K79" s="20"/>
      <c r="N79" s="12"/>
    </row>
    <row r="80" spans="1:14" x14ac:dyDescent="0.3">
      <c r="A80" s="35" t="str">
        <f t="shared" si="7"/>
        <v>QUÁ HẠN</v>
      </c>
      <c r="B80" s="36"/>
      <c r="C80" s="36">
        <f t="shared" si="8"/>
        <v>0</v>
      </c>
      <c r="D80" s="34">
        <f t="shared" si="9"/>
        <v>1</v>
      </c>
      <c r="E80" s="20">
        <f t="shared" si="13"/>
        <v>0</v>
      </c>
      <c r="F80" s="29"/>
      <c r="G80" s="30">
        <f t="shared" si="10"/>
        <v>0</v>
      </c>
      <c r="H80" s="20" t="str">
        <f t="shared" si="11"/>
        <v/>
      </c>
      <c r="I80" s="20">
        <f t="shared" si="12"/>
        <v>0</v>
      </c>
      <c r="J80" s="20"/>
      <c r="K80" s="20"/>
      <c r="N80" s="12"/>
    </row>
    <row r="81" spans="1:14" x14ac:dyDescent="0.3">
      <c r="A81" s="35" t="str">
        <f t="shared" si="7"/>
        <v>QUÁ HẠN</v>
      </c>
      <c r="B81" s="36"/>
      <c r="C81" s="36">
        <f t="shared" si="8"/>
        <v>0</v>
      </c>
      <c r="D81" s="34">
        <f t="shared" si="9"/>
        <v>1</v>
      </c>
      <c r="E81" s="20">
        <f t="shared" si="13"/>
        <v>0</v>
      </c>
      <c r="F81" s="29"/>
      <c r="G81" s="30">
        <f t="shared" si="10"/>
        <v>0</v>
      </c>
      <c r="H81" s="20" t="str">
        <f t="shared" si="11"/>
        <v/>
      </c>
      <c r="I81" s="20">
        <f t="shared" si="12"/>
        <v>0</v>
      </c>
      <c r="J81" s="20"/>
      <c r="K81" s="20"/>
      <c r="N81" s="12"/>
    </row>
    <row r="82" spans="1:14" x14ac:dyDescent="0.3">
      <c r="A82" s="35" t="str">
        <f t="shared" si="7"/>
        <v>QUÁ HẠN</v>
      </c>
      <c r="B82" s="36"/>
      <c r="C82" s="36">
        <f t="shared" si="8"/>
        <v>0</v>
      </c>
      <c r="D82" s="34">
        <f t="shared" si="9"/>
        <v>1</v>
      </c>
      <c r="E82" s="20">
        <f t="shared" si="13"/>
        <v>0</v>
      </c>
      <c r="F82" s="29"/>
      <c r="G82" s="30">
        <f t="shared" si="10"/>
        <v>0</v>
      </c>
      <c r="H82" s="20" t="str">
        <f t="shared" si="11"/>
        <v/>
      </c>
      <c r="I82" s="20">
        <f t="shared" si="12"/>
        <v>0</v>
      </c>
      <c r="J82" s="20"/>
      <c r="K82" s="20"/>
      <c r="N82" s="12"/>
    </row>
    <row r="83" spans="1:14" x14ac:dyDescent="0.3">
      <c r="A83" s="35" t="str">
        <f t="shared" si="7"/>
        <v>QUÁ HẠN</v>
      </c>
      <c r="B83" s="36"/>
      <c r="C83" s="36">
        <f t="shared" si="8"/>
        <v>0</v>
      </c>
      <c r="D83" s="34">
        <f t="shared" si="9"/>
        <v>1</v>
      </c>
      <c r="E83" s="20">
        <f t="shared" si="13"/>
        <v>0</v>
      </c>
      <c r="F83" s="29"/>
      <c r="G83" s="30">
        <f t="shared" si="10"/>
        <v>0</v>
      </c>
      <c r="H83" s="20" t="str">
        <f t="shared" si="11"/>
        <v/>
      </c>
      <c r="I83" s="20">
        <f t="shared" si="12"/>
        <v>0</v>
      </c>
      <c r="J83" s="20"/>
      <c r="K83" s="20"/>
      <c r="N83" s="12"/>
    </row>
    <row r="84" spans="1:14" x14ac:dyDescent="0.3">
      <c r="A84" s="35" t="str">
        <f t="shared" si="7"/>
        <v>QUÁ HẠN</v>
      </c>
      <c r="B84" s="36"/>
      <c r="C84" s="36">
        <f t="shared" si="8"/>
        <v>0</v>
      </c>
      <c r="D84" s="34">
        <f t="shared" si="9"/>
        <v>1</v>
      </c>
      <c r="E84" s="20">
        <f t="shared" si="13"/>
        <v>0</v>
      </c>
      <c r="F84" s="29"/>
      <c r="G84" s="30">
        <f t="shared" si="10"/>
        <v>0</v>
      </c>
      <c r="H84" s="20" t="str">
        <f t="shared" si="11"/>
        <v/>
      </c>
      <c r="I84" s="20">
        <f t="shared" si="12"/>
        <v>0</v>
      </c>
      <c r="J84" s="20"/>
      <c r="K84" s="20"/>
      <c r="N84" s="12"/>
    </row>
    <row r="85" spans="1:14" x14ac:dyDescent="0.3">
      <c r="A85" s="35" t="str">
        <f t="shared" si="7"/>
        <v>QUÁ HẠN</v>
      </c>
      <c r="B85" s="36"/>
      <c r="C85" s="36">
        <f t="shared" si="8"/>
        <v>0</v>
      </c>
      <c r="D85" s="34">
        <f t="shared" si="9"/>
        <v>1</v>
      </c>
      <c r="E85" s="20">
        <f t="shared" si="13"/>
        <v>0</v>
      </c>
      <c r="F85" s="29"/>
      <c r="G85" s="30">
        <f t="shared" si="10"/>
        <v>0</v>
      </c>
      <c r="H85" s="20" t="str">
        <f t="shared" si="11"/>
        <v/>
      </c>
      <c r="I85" s="20">
        <f t="shared" si="12"/>
        <v>0</v>
      </c>
      <c r="J85" s="20"/>
      <c r="K85" s="20"/>
      <c r="N85" s="12"/>
    </row>
    <row r="86" spans="1:14" x14ac:dyDescent="0.3">
      <c r="A86" s="35" t="str">
        <f t="shared" si="7"/>
        <v>QUÁ HẠN</v>
      </c>
      <c r="B86" s="36"/>
      <c r="C86" s="36">
        <f t="shared" si="8"/>
        <v>0</v>
      </c>
      <c r="D86" s="34">
        <f t="shared" si="9"/>
        <v>1</v>
      </c>
      <c r="E86" s="20">
        <f t="shared" si="13"/>
        <v>0</v>
      </c>
      <c r="F86" s="29"/>
      <c r="G86" s="30">
        <f t="shared" si="10"/>
        <v>0</v>
      </c>
      <c r="H86" s="20" t="str">
        <f t="shared" si="11"/>
        <v/>
      </c>
      <c r="I86" s="20">
        <f t="shared" si="12"/>
        <v>0</v>
      </c>
      <c r="J86" s="20"/>
      <c r="K86" s="20"/>
      <c r="N86" s="12"/>
    </row>
    <row r="87" spans="1:14" x14ac:dyDescent="0.3">
      <c r="A87" s="35" t="str">
        <f t="shared" si="7"/>
        <v>QUÁ HẠN</v>
      </c>
      <c r="B87" s="36"/>
      <c r="C87" s="36">
        <f t="shared" si="8"/>
        <v>0</v>
      </c>
      <c r="D87" s="34">
        <f t="shared" si="9"/>
        <v>1</v>
      </c>
      <c r="E87" s="20">
        <f t="shared" si="13"/>
        <v>0</v>
      </c>
      <c r="F87" s="29"/>
      <c r="G87" s="30">
        <f t="shared" si="10"/>
        <v>0</v>
      </c>
      <c r="H87" s="20" t="str">
        <f t="shared" si="11"/>
        <v/>
      </c>
      <c r="I87" s="20">
        <f t="shared" si="12"/>
        <v>0</v>
      </c>
      <c r="J87" s="20"/>
      <c r="K87" s="20"/>
      <c r="N87" s="12"/>
    </row>
    <row r="88" spans="1:14" x14ac:dyDescent="0.3">
      <c r="A88" s="35" t="str">
        <f t="shared" si="7"/>
        <v>QUÁ HẠN</v>
      </c>
      <c r="B88" s="36"/>
      <c r="C88" s="36">
        <f t="shared" si="8"/>
        <v>0</v>
      </c>
      <c r="D88" s="34">
        <f t="shared" si="9"/>
        <v>1</v>
      </c>
      <c r="E88" s="20">
        <f t="shared" si="13"/>
        <v>0</v>
      </c>
      <c r="F88" s="29"/>
      <c r="G88" s="30">
        <f t="shared" si="10"/>
        <v>0</v>
      </c>
      <c r="H88" s="20" t="str">
        <f t="shared" si="11"/>
        <v/>
      </c>
      <c r="I88" s="20">
        <f t="shared" si="12"/>
        <v>0</v>
      </c>
      <c r="J88" s="20"/>
      <c r="K88" s="20"/>
      <c r="N88" s="12"/>
    </row>
    <row r="89" spans="1:14" x14ac:dyDescent="0.3">
      <c r="A89" s="35" t="str">
        <f t="shared" si="7"/>
        <v>QUÁ HẠN</v>
      </c>
      <c r="B89" s="36"/>
      <c r="C89" s="36">
        <f t="shared" si="8"/>
        <v>0</v>
      </c>
      <c r="D89" s="34">
        <f t="shared" si="9"/>
        <v>1</v>
      </c>
      <c r="E89" s="20">
        <f t="shared" si="13"/>
        <v>0</v>
      </c>
      <c r="F89" s="29"/>
      <c r="G89" s="30">
        <f t="shared" si="10"/>
        <v>0</v>
      </c>
      <c r="H89" s="20" t="str">
        <f t="shared" si="11"/>
        <v/>
      </c>
      <c r="I89" s="20">
        <f t="shared" si="12"/>
        <v>0</v>
      </c>
      <c r="J89" s="20"/>
      <c r="K89" s="20"/>
      <c r="N89" s="12"/>
    </row>
    <row r="90" spans="1:14" x14ac:dyDescent="0.3">
      <c r="A90" s="35" t="str">
        <f t="shared" si="7"/>
        <v>QUÁ HẠN</v>
      </c>
      <c r="B90" s="36"/>
      <c r="C90" s="36">
        <f t="shared" si="8"/>
        <v>0</v>
      </c>
      <c r="D90" s="34">
        <f t="shared" si="9"/>
        <v>1</v>
      </c>
      <c r="E90" s="20">
        <f t="shared" si="13"/>
        <v>0</v>
      </c>
      <c r="F90" s="29"/>
      <c r="G90" s="30">
        <f t="shared" si="10"/>
        <v>0</v>
      </c>
      <c r="H90" s="20" t="str">
        <f t="shared" si="11"/>
        <v/>
      </c>
      <c r="I90" s="20">
        <f t="shared" si="12"/>
        <v>0</v>
      </c>
      <c r="J90" s="20"/>
      <c r="K90" s="20"/>
      <c r="N90" s="12"/>
    </row>
    <row r="91" spans="1:14" x14ac:dyDescent="0.3">
      <c r="A91" s="35" t="str">
        <f t="shared" si="7"/>
        <v>QUÁ HẠN</v>
      </c>
      <c r="B91" s="36"/>
      <c r="C91" s="36">
        <f t="shared" si="8"/>
        <v>0</v>
      </c>
      <c r="D91" s="34">
        <f t="shared" si="9"/>
        <v>1</v>
      </c>
      <c r="E91" s="20">
        <f t="shared" si="13"/>
        <v>0</v>
      </c>
      <c r="F91" s="29"/>
      <c r="G91" s="30">
        <f t="shared" si="10"/>
        <v>0</v>
      </c>
      <c r="H91" s="20" t="str">
        <f t="shared" si="11"/>
        <v/>
      </c>
      <c r="I91" s="20">
        <f t="shared" si="12"/>
        <v>0</v>
      </c>
      <c r="J91" s="20"/>
      <c r="K91" s="20"/>
      <c r="N91" s="12"/>
    </row>
    <row r="92" spans="1:14" x14ac:dyDescent="0.3">
      <c r="A92" s="35" t="str">
        <f t="shared" si="7"/>
        <v>QUÁ HẠN</v>
      </c>
      <c r="B92" s="36"/>
      <c r="C92" s="36">
        <f t="shared" si="8"/>
        <v>0</v>
      </c>
      <c r="D92" s="34">
        <f t="shared" si="9"/>
        <v>1</v>
      </c>
      <c r="E92" s="20">
        <f t="shared" si="13"/>
        <v>0</v>
      </c>
      <c r="F92" s="29"/>
      <c r="G92" s="30">
        <f t="shared" si="10"/>
        <v>0</v>
      </c>
      <c r="H92" s="20" t="str">
        <f t="shared" si="11"/>
        <v/>
      </c>
      <c r="I92" s="20">
        <f t="shared" si="12"/>
        <v>0</v>
      </c>
      <c r="J92" s="20"/>
      <c r="K92" s="20"/>
      <c r="N92" s="12"/>
    </row>
    <row r="93" spans="1:14" x14ac:dyDescent="0.3">
      <c r="A93" s="35" t="str">
        <f t="shared" si="7"/>
        <v>QUÁ HẠN</v>
      </c>
      <c r="B93" s="36"/>
      <c r="C93" s="36">
        <f t="shared" si="8"/>
        <v>0</v>
      </c>
      <c r="D93" s="34">
        <f t="shared" si="9"/>
        <v>1</v>
      </c>
      <c r="E93" s="20">
        <f t="shared" si="13"/>
        <v>0</v>
      </c>
      <c r="F93" s="29"/>
      <c r="G93" s="30">
        <f t="shared" si="10"/>
        <v>0</v>
      </c>
      <c r="H93" s="20" t="str">
        <f t="shared" si="11"/>
        <v/>
      </c>
      <c r="I93" s="20">
        <f t="shared" si="12"/>
        <v>0</v>
      </c>
      <c r="J93" s="20"/>
      <c r="K93" s="20"/>
      <c r="N93" s="12"/>
    </row>
    <row r="94" spans="1:14" x14ac:dyDescent="0.3">
      <c r="A94" s="35" t="str">
        <f t="shared" si="7"/>
        <v>QUÁ HẠN</v>
      </c>
      <c r="B94" s="36"/>
      <c r="C94" s="36">
        <f t="shared" si="8"/>
        <v>0</v>
      </c>
      <c r="D94" s="34">
        <f t="shared" si="9"/>
        <v>1</v>
      </c>
      <c r="E94" s="20">
        <f t="shared" si="13"/>
        <v>0</v>
      </c>
      <c r="F94" s="29"/>
      <c r="G94" s="30">
        <f t="shared" si="10"/>
        <v>0</v>
      </c>
      <c r="H94" s="20" t="str">
        <f t="shared" si="11"/>
        <v/>
      </c>
      <c r="I94" s="20">
        <f t="shared" si="12"/>
        <v>0</v>
      </c>
      <c r="J94" s="20"/>
      <c r="K94" s="20"/>
      <c r="N94" s="12"/>
    </row>
    <row r="95" spans="1:14" x14ac:dyDescent="0.3">
      <c r="A95" s="35" t="str">
        <f t="shared" si="7"/>
        <v>QUÁ HẠN</v>
      </c>
      <c r="B95" s="36"/>
      <c r="C95" s="36">
        <f t="shared" si="8"/>
        <v>0</v>
      </c>
      <c r="D95" s="34">
        <f t="shared" si="9"/>
        <v>1</v>
      </c>
      <c r="E95" s="20">
        <f t="shared" si="13"/>
        <v>0</v>
      </c>
      <c r="F95" s="29"/>
      <c r="G95" s="30">
        <f t="shared" si="10"/>
        <v>0</v>
      </c>
      <c r="H95" s="20" t="str">
        <f t="shared" si="11"/>
        <v/>
      </c>
      <c r="I95" s="20">
        <f t="shared" si="12"/>
        <v>0</v>
      </c>
      <c r="J95" s="20"/>
      <c r="K95" s="20"/>
      <c r="N95" s="12"/>
    </row>
    <row r="96" spans="1:14" x14ac:dyDescent="0.3">
      <c r="A96" s="35" t="str">
        <f t="shared" si="7"/>
        <v>QUÁ HẠN</v>
      </c>
      <c r="B96" s="36"/>
      <c r="C96" s="36">
        <f t="shared" si="8"/>
        <v>0</v>
      </c>
      <c r="D96" s="34">
        <f t="shared" si="9"/>
        <v>1</v>
      </c>
      <c r="E96" s="20">
        <f t="shared" si="13"/>
        <v>0</v>
      </c>
      <c r="F96" s="29"/>
      <c r="G96" s="30">
        <f t="shared" si="10"/>
        <v>0</v>
      </c>
      <c r="H96" s="20" t="str">
        <f t="shared" si="11"/>
        <v/>
      </c>
      <c r="I96" s="20">
        <f t="shared" si="12"/>
        <v>0</v>
      </c>
      <c r="J96" s="20"/>
      <c r="K96" s="20"/>
      <c r="N96" s="12"/>
    </row>
    <row r="97" spans="1:14" x14ac:dyDescent="0.3">
      <c r="A97" s="35" t="str">
        <f t="shared" si="7"/>
        <v>QUÁ HẠN</v>
      </c>
      <c r="B97" s="36"/>
      <c r="C97" s="36">
        <f t="shared" si="8"/>
        <v>0</v>
      </c>
      <c r="D97" s="34">
        <f t="shared" si="9"/>
        <v>1</v>
      </c>
      <c r="E97" s="20">
        <f t="shared" si="13"/>
        <v>0</v>
      </c>
      <c r="F97" s="29"/>
      <c r="G97" s="30">
        <f t="shared" si="10"/>
        <v>0</v>
      </c>
      <c r="H97" s="20" t="str">
        <f t="shared" si="11"/>
        <v/>
      </c>
      <c r="I97" s="20">
        <f t="shared" si="12"/>
        <v>0</v>
      </c>
      <c r="J97" s="20"/>
      <c r="K97" s="20"/>
      <c r="N97" s="12"/>
    </row>
    <row r="98" spans="1:14" x14ac:dyDescent="0.3">
      <c r="A98" s="35" t="str">
        <f t="shared" si="7"/>
        <v>QUÁ HẠN</v>
      </c>
      <c r="B98" s="36"/>
      <c r="C98" s="36">
        <f t="shared" si="8"/>
        <v>0</v>
      </c>
      <c r="D98" s="34">
        <f t="shared" si="9"/>
        <v>1</v>
      </c>
      <c r="E98" s="20">
        <f t="shared" si="13"/>
        <v>0</v>
      </c>
      <c r="F98" s="29"/>
      <c r="G98" s="30">
        <f t="shared" si="10"/>
        <v>0</v>
      </c>
      <c r="H98" s="20" t="str">
        <f t="shared" si="11"/>
        <v/>
      </c>
      <c r="I98" s="20">
        <f t="shared" si="12"/>
        <v>0</v>
      </c>
      <c r="J98" s="20"/>
      <c r="K98" s="20"/>
      <c r="N98" s="12"/>
    </row>
    <row r="99" spans="1:14" x14ac:dyDescent="0.3">
      <c r="A99" s="35" t="str">
        <f t="shared" si="7"/>
        <v>QUÁ HẠN</v>
      </c>
      <c r="B99" s="36"/>
      <c r="C99" s="36">
        <f t="shared" si="8"/>
        <v>0</v>
      </c>
      <c r="D99" s="34">
        <f t="shared" si="9"/>
        <v>1</v>
      </c>
      <c r="E99" s="20">
        <f t="shared" si="13"/>
        <v>0</v>
      </c>
      <c r="F99" s="29"/>
      <c r="G99" s="30">
        <f t="shared" si="10"/>
        <v>0</v>
      </c>
      <c r="H99" s="20" t="str">
        <f t="shared" si="11"/>
        <v/>
      </c>
      <c r="I99" s="20">
        <f t="shared" si="12"/>
        <v>0</v>
      </c>
      <c r="J99" s="20"/>
      <c r="K99" s="20"/>
      <c r="N99" s="12"/>
    </row>
    <row r="100" spans="1:14" x14ac:dyDescent="0.3">
      <c r="A100" s="35" t="str">
        <f t="shared" si="7"/>
        <v>QUÁ HẠN</v>
      </c>
      <c r="B100" s="36"/>
      <c r="C100" s="36">
        <f t="shared" si="8"/>
        <v>0</v>
      </c>
      <c r="D100" s="34">
        <f t="shared" si="9"/>
        <v>1</v>
      </c>
      <c r="E100" s="20">
        <f t="shared" si="13"/>
        <v>0</v>
      </c>
      <c r="F100" s="29"/>
      <c r="G100" s="30">
        <f t="shared" si="10"/>
        <v>0</v>
      </c>
      <c r="H100" s="20" t="str">
        <f t="shared" si="11"/>
        <v/>
      </c>
      <c r="I100" s="20">
        <f t="shared" si="12"/>
        <v>0</v>
      </c>
      <c r="J100" s="20"/>
      <c r="K100" s="20"/>
      <c r="N100" s="12"/>
    </row>
    <row r="101" spans="1:14" x14ac:dyDescent="0.3">
      <c r="A101" s="35" t="str">
        <f t="shared" si="7"/>
        <v>QUÁ HẠN</v>
      </c>
      <c r="B101" s="36"/>
      <c r="C101" s="36">
        <f t="shared" si="8"/>
        <v>0</v>
      </c>
      <c r="D101" s="34">
        <f t="shared" si="9"/>
        <v>1</v>
      </c>
      <c r="E101" s="20">
        <f t="shared" si="13"/>
        <v>0</v>
      </c>
      <c r="F101" s="29"/>
      <c r="G101" s="30">
        <f t="shared" si="10"/>
        <v>0</v>
      </c>
      <c r="H101" s="20" t="str">
        <f t="shared" si="11"/>
        <v/>
      </c>
      <c r="I101" s="20">
        <f t="shared" si="12"/>
        <v>0</v>
      </c>
      <c r="J101" s="20"/>
      <c r="K101" s="20"/>
      <c r="N101" s="12"/>
    </row>
    <row r="102" spans="1:14" x14ac:dyDescent="0.3">
      <c r="A102" s="35" t="str">
        <f t="shared" si="7"/>
        <v>QUÁ HẠN</v>
      </c>
      <c r="B102" s="36"/>
      <c r="C102" s="36">
        <f t="shared" si="8"/>
        <v>0</v>
      </c>
      <c r="D102" s="34">
        <f t="shared" si="9"/>
        <v>1</v>
      </c>
      <c r="E102" s="20">
        <f t="shared" si="13"/>
        <v>0</v>
      </c>
      <c r="F102" s="29"/>
      <c r="G102" s="30">
        <f t="shared" si="10"/>
        <v>0</v>
      </c>
      <c r="H102" s="20" t="str">
        <f t="shared" si="11"/>
        <v/>
      </c>
      <c r="I102" s="20">
        <f t="shared" si="12"/>
        <v>0</v>
      </c>
      <c r="J102" s="20"/>
      <c r="K102" s="20"/>
      <c r="N102" s="12"/>
    </row>
    <row r="103" spans="1:14" x14ac:dyDescent="0.3">
      <c r="A103" s="35" t="str">
        <f t="shared" si="7"/>
        <v>QUÁ HẠN</v>
      </c>
      <c r="B103" s="36"/>
      <c r="C103" s="36">
        <f t="shared" si="8"/>
        <v>0</v>
      </c>
      <c r="D103" s="34">
        <f t="shared" si="9"/>
        <v>1</v>
      </c>
      <c r="E103" s="20">
        <f t="shared" si="13"/>
        <v>0</v>
      </c>
      <c r="F103" s="29"/>
      <c r="G103" s="30">
        <f t="shared" si="10"/>
        <v>0</v>
      </c>
      <c r="H103" s="20" t="str">
        <f t="shared" si="11"/>
        <v/>
      </c>
      <c r="I103" s="20">
        <f t="shared" si="12"/>
        <v>0</v>
      </c>
      <c r="J103" s="20"/>
      <c r="K103" s="20"/>
      <c r="N103" s="12"/>
    </row>
    <row r="104" spans="1:14" x14ac:dyDescent="0.3">
      <c r="A104" s="35" t="str">
        <f t="shared" si="7"/>
        <v>QUÁ HẠN</v>
      </c>
      <c r="B104" s="36"/>
      <c r="C104" s="36">
        <f t="shared" si="8"/>
        <v>0</v>
      </c>
      <c r="D104" s="34">
        <f t="shared" si="9"/>
        <v>1</v>
      </c>
      <c r="E104" s="20">
        <f t="shared" si="13"/>
        <v>0</v>
      </c>
      <c r="F104" s="29"/>
      <c r="G104" s="30">
        <f t="shared" si="10"/>
        <v>0</v>
      </c>
      <c r="H104" s="20" t="str">
        <f t="shared" si="11"/>
        <v/>
      </c>
      <c r="I104" s="20">
        <f t="shared" si="12"/>
        <v>0</v>
      </c>
      <c r="J104" s="20"/>
      <c r="K104" s="20"/>
      <c r="N104" s="12"/>
    </row>
    <row r="105" spans="1:14" x14ac:dyDescent="0.3">
      <c r="A105" s="35" t="str">
        <f t="shared" si="7"/>
        <v>QUÁ HẠN</v>
      </c>
      <c r="B105" s="36"/>
      <c r="C105" s="36">
        <f t="shared" si="8"/>
        <v>0</v>
      </c>
      <c r="D105" s="34">
        <f t="shared" si="9"/>
        <v>1</v>
      </c>
      <c r="E105" s="20">
        <f t="shared" si="13"/>
        <v>0</v>
      </c>
      <c r="F105" s="29"/>
      <c r="G105" s="30">
        <f t="shared" si="10"/>
        <v>0</v>
      </c>
      <c r="H105" s="20" t="str">
        <f t="shared" si="11"/>
        <v/>
      </c>
      <c r="I105" s="20">
        <f t="shared" si="12"/>
        <v>0</v>
      </c>
      <c r="J105" s="20"/>
      <c r="K105" s="20"/>
      <c r="N105" s="12"/>
    </row>
    <row r="106" spans="1:14" x14ac:dyDescent="0.3">
      <c r="A106" s="35" t="str">
        <f t="shared" si="7"/>
        <v>QUÁ HẠN</v>
      </c>
      <c r="B106" s="36"/>
      <c r="C106" s="36">
        <f t="shared" si="8"/>
        <v>0</v>
      </c>
      <c r="D106" s="34">
        <f t="shared" si="9"/>
        <v>1</v>
      </c>
      <c r="E106" s="20">
        <f t="shared" si="13"/>
        <v>0</v>
      </c>
      <c r="F106" s="29"/>
      <c r="G106" s="30">
        <f t="shared" si="10"/>
        <v>0</v>
      </c>
      <c r="H106" s="20" t="str">
        <f t="shared" si="11"/>
        <v/>
      </c>
      <c r="I106" s="20">
        <f t="shared" si="12"/>
        <v>0</v>
      </c>
      <c r="J106" s="20"/>
      <c r="K106" s="20"/>
      <c r="N106" s="12"/>
    </row>
    <row r="107" spans="1:14" x14ac:dyDescent="0.3">
      <c r="A107" s="35" t="str">
        <f t="shared" si="7"/>
        <v>QUÁ HẠN</v>
      </c>
      <c r="B107" s="36"/>
      <c r="C107" s="36">
        <f t="shared" si="8"/>
        <v>0</v>
      </c>
      <c r="D107" s="34">
        <f t="shared" si="9"/>
        <v>1</v>
      </c>
      <c r="E107" s="20">
        <f t="shared" si="13"/>
        <v>0</v>
      </c>
      <c r="F107" s="29"/>
      <c r="G107" s="30">
        <f t="shared" si="10"/>
        <v>0</v>
      </c>
      <c r="H107" s="20" t="str">
        <f t="shared" si="11"/>
        <v/>
      </c>
      <c r="I107" s="20">
        <f t="shared" si="12"/>
        <v>0</v>
      </c>
      <c r="J107" s="20"/>
      <c r="K107" s="20"/>
      <c r="N107" s="12"/>
    </row>
    <row r="108" spans="1:14" x14ac:dyDescent="0.3">
      <c r="A108" s="35" t="str">
        <f t="shared" si="7"/>
        <v>QUÁ HẠN</v>
      </c>
      <c r="B108" s="36"/>
      <c r="C108" s="36">
        <f t="shared" si="8"/>
        <v>0</v>
      </c>
      <c r="D108" s="34">
        <f t="shared" si="9"/>
        <v>1</v>
      </c>
      <c r="E108" s="20">
        <f t="shared" si="13"/>
        <v>0</v>
      </c>
      <c r="F108" s="29"/>
      <c r="G108" s="30">
        <f t="shared" si="10"/>
        <v>0</v>
      </c>
      <c r="H108" s="20" t="str">
        <f t="shared" si="11"/>
        <v/>
      </c>
      <c r="I108" s="20">
        <f t="shared" si="12"/>
        <v>0</v>
      </c>
      <c r="J108" s="20"/>
      <c r="K108" s="20"/>
      <c r="N108" s="12"/>
    </row>
    <row r="109" spans="1:14" x14ac:dyDescent="0.3">
      <c r="A109" s="35" t="str">
        <f t="shared" si="7"/>
        <v>QUÁ HẠN</v>
      </c>
      <c r="B109" s="36"/>
      <c r="C109" s="36">
        <f t="shared" si="8"/>
        <v>0</v>
      </c>
      <c r="D109" s="34">
        <f t="shared" si="9"/>
        <v>1</v>
      </c>
      <c r="E109" s="20">
        <f t="shared" si="13"/>
        <v>0</v>
      </c>
      <c r="F109" s="29"/>
      <c r="G109" s="30">
        <f t="shared" si="10"/>
        <v>0</v>
      </c>
      <c r="H109" s="20" t="str">
        <f t="shared" si="11"/>
        <v/>
      </c>
      <c r="I109" s="20">
        <f t="shared" si="12"/>
        <v>0</v>
      </c>
      <c r="J109" s="20"/>
      <c r="K109" s="20"/>
      <c r="N109" s="12"/>
    </row>
    <row r="110" spans="1:14" x14ac:dyDescent="0.3">
      <c r="A110" s="35" t="str">
        <f t="shared" si="7"/>
        <v>QUÁ HẠN</v>
      </c>
      <c r="B110" s="36"/>
      <c r="C110" s="36">
        <f t="shared" si="8"/>
        <v>0</v>
      </c>
      <c r="D110" s="34">
        <f t="shared" si="9"/>
        <v>1</v>
      </c>
      <c r="E110" s="20">
        <f t="shared" si="13"/>
        <v>0</v>
      </c>
      <c r="F110" s="29"/>
      <c r="G110" s="30">
        <f t="shared" si="10"/>
        <v>0</v>
      </c>
      <c r="H110" s="20" t="str">
        <f t="shared" si="11"/>
        <v/>
      </c>
      <c r="I110" s="20">
        <f t="shared" si="12"/>
        <v>0</v>
      </c>
      <c r="J110" s="20"/>
      <c r="K110" s="20"/>
      <c r="N110" s="12"/>
    </row>
    <row r="111" spans="1:14" x14ac:dyDescent="0.3">
      <c r="A111" s="35" t="str">
        <f t="shared" si="7"/>
        <v>QUÁ HẠN</v>
      </c>
      <c r="B111" s="36"/>
      <c r="C111" s="36">
        <f t="shared" si="8"/>
        <v>0</v>
      </c>
      <c r="D111" s="34">
        <f t="shared" si="9"/>
        <v>1</v>
      </c>
      <c r="E111" s="20">
        <f t="shared" si="13"/>
        <v>0</v>
      </c>
      <c r="F111" s="29"/>
      <c r="G111" s="30">
        <f t="shared" si="10"/>
        <v>0</v>
      </c>
      <c r="H111" s="20" t="str">
        <f t="shared" si="11"/>
        <v/>
      </c>
      <c r="I111" s="20">
        <f t="shared" si="12"/>
        <v>0</v>
      </c>
      <c r="J111" s="20"/>
      <c r="K111" s="20"/>
      <c r="N111" s="12"/>
    </row>
    <row r="112" spans="1:14" x14ac:dyDescent="0.3">
      <c r="A112" s="35" t="str">
        <f t="shared" si="7"/>
        <v>QUÁ HẠN</v>
      </c>
      <c r="B112" s="36"/>
      <c r="C112" s="36">
        <f t="shared" si="8"/>
        <v>0</v>
      </c>
      <c r="D112" s="34">
        <f t="shared" si="9"/>
        <v>1</v>
      </c>
      <c r="E112" s="20">
        <f t="shared" si="13"/>
        <v>0</v>
      </c>
      <c r="F112" s="29"/>
      <c r="G112" s="30">
        <f t="shared" si="10"/>
        <v>0</v>
      </c>
      <c r="H112" s="20" t="str">
        <f t="shared" si="11"/>
        <v/>
      </c>
      <c r="I112" s="20">
        <f t="shared" si="12"/>
        <v>0</v>
      </c>
      <c r="J112" s="20"/>
      <c r="K112" s="20"/>
      <c r="N112" s="12"/>
    </row>
    <row r="113" spans="1:14" x14ac:dyDescent="0.3">
      <c r="A113" s="35" t="str">
        <f t="shared" si="7"/>
        <v>QUÁ HẠN</v>
      </c>
      <c r="B113" s="36"/>
      <c r="C113" s="36">
        <f t="shared" si="8"/>
        <v>0</v>
      </c>
      <c r="D113" s="34">
        <f t="shared" si="9"/>
        <v>1</v>
      </c>
      <c r="E113" s="20">
        <f t="shared" si="13"/>
        <v>0</v>
      </c>
      <c r="F113" s="29"/>
      <c r="G113" s="30">
        <f t="shared" si="10"/>
        <v>0</v>
      </c>
      <c r="H113" s="20" t="str">
        <f t="shared" si="11"/>
        <v/>
      </c>
      <c r="I113" s="20">
        <f t="shared" si="12"/>
        <v>0</v>
      </c>
      <c r="J113" s="20"/>
      <c r="K113" s="20"/>
      <c r="N113" s="12"/>
    </row>
    <row r="114" spans="1:14" x14ac:dyDescent="0.3">
      <c r="A114" s="35" t="str">
        <f t="shared" si="7"/>
        <v>QUÁ HẠN</v>
      </c>
      <c r="B114" s="36"/>
      <c r="C114" s="36">
        <f t="shared" si="8"/>
        <v>0</v>
      </c>
      <c r="D114" s="34">
        <f t="shared" si="9"/>
        <v>1</v>
      </c>
      <c r="E114" s="20">
        <f t="shared" si="13"/>
        <v>0</v>
      </c>
      <c r="F114" s="29"/>
      <c r="G114" s="30">
        <f t="shared" si="10"/>
        <v>0</v>
      </c>
      <c r="H114" s="20" t="str">
        <f t="shared" si="11"/>
        <v/>
      </c>
      <c r="I114" s="20">
        <f t="shared" si="12"/>
        <v>0</v>
      </c>
      <c r="J114" s="20"/>
      <c r="K114" s="20"/>
      <c r="N114" s="12"/>
    </row>
    <row r="115" spans="1:14" x14ac:dyDescent="0.3">
      <c r="A115" s="35" t="str">
        <f t="shared" si="7"/>
        <v>QUÁ HẠN</v>
      </c>
      <c r="B115" s="36"/>
      <c r="C115" s="36">
        <f t="shared" si="8"/>
        <v>0</v>
      </c>
      <c r="D115" s="34">
        <f t="shared" si="9"/>
        <v>1</v>
      </c>
      <c r="E115" s="20">
        <f t="shared" si="13"/>
        <v>0</v>
      </c>
      <c r="F115" s="29"/>
      <c r="G115" s="30">
        <f t="shared" si="10"/>
        <v>0</v>
      </c>
      <c r="H115" s="20" t="str">
        <f t="shared" si="11"/>
        <v/>
      </c>
      <c r="I115" s="20">
        <f t="shared" si="12"/>
        <v>0</v>
      </c>
      <c r="J115" s="20"/>
      <c r="K115" s="20"/>
      <c r="N115" s="12"/>
    </row>
    <row r="116" spans="1:14" x14ac:dyDescent="0.3">
      <c r="A116" s="35" t="str">
        <f t="shared" si="7"/>
        <v>QUÁ HẠN</v>
      </c>
      <c r="B116" s="36"/>
      <c r="C116" s="36">
        <f t="shared" si="8"/>
        <v>0</v>
      </c>
      <c r="D116" s="34">
        <f t="shared" si="9"/>
        <v>1</v>
      </c>
      <c r="E116" s="20">
        <f t="shared" si="13"/>
        <v>0</v>
      </c>
      <c r="F116" s="29"/>
      <c r="G116" s="30">
        <f t="shared" si="10"/>
        <v>0</v>
      </c>
      <c r="H116" s="20" t="str">
        <f t="shared" si="11"/>
        <v/>
      </c>
      <c r="I116" s="20">
        <f t="shared" si="12"/>
        <v>0</v>
      </c>
      <c r="J116" s="20"/>
      <c r="K116" s="20"/>
      <c r="N116" s="12"/>
    </row>
    <row r="117" spans="1:14" x14ac:dyDescent="0.3">
      <c r="A117" s="35" t="str">
        <f t="shared" si="7"/>
        <v>QUÁ HẠN</v>
      </c>
      <c r="B117" s="36"/>
      <c r="C117" s="36">
        <f t="shared" si="8"/>
        <v>0</v>
      </c>
      <c r="D117" s="34">
        <f t="shared" si="9"/>
        <v>1</v>
      </c>
      <c r="E117" s="20">
        <f t="shared" si="13"/>
        <v>0</v>
      </c>
      <c r="F117" s="29"/>
      <c r="G117" s="30">
        <f t="shared" si="10"/>
        <v>0</v>
      </c>
      <c r="H117" s="20" t="str">
        <f t="shared" si="11"/>
        <v/>
      </c>
      <c r="I117" s="20">
        <f t="shared" si="12"/>
        <v>0</v>
      </c>
      <c r="J117" s="20"/>
      <c r="K117" s="20"/>
      <c r="N117" s="12"/>
    </row>
    <row r="118" spans="1:14" x14ac:dyDescent="0.3">
      <c r="A118" s="35" t="str">
        <f t="shared" si="7"/>
        <v>QUÁ HẠN</v>
      </c>
      <c r="B118" s="36"/>
      <c r="C118" s="36">
        <f t="shared" si="8"/>
        <v>0</v>
      </c>
      <c r="D118" s="34">
        <f t="shared" si="9"/>
        <v>1</v>
      </c>
      <c r="E118" s="20">
        <f t="shared" si="13"/>
        <v>0</v>
      </c>
      <c r="F118" s="29"/>
      <c r="G118" s="30">
        <f t="shared" si="10"/>
        <v>0</v>
      </c>
      <c r="H118" s="20" t="str">
        <f t="shared" si="11"/>
        <v/>
      </c>
      <c r="I118" s="20">
        <f t="shared" si="12"/>
        <v>0</v>
      </c>
      <c r="J118" s="20"/>
      <c r="K118" s="20"/>
      <c r="N118" s="12"/>
    </row>
    <row r="119" spans="1:14" x14ac:dyDescent="0.3">
      <c r="A119" s="35" t="str">
        <f t="shared" si="7"/>
        <v>QUÁ HẠN</v>
      </c>
      <c r="B119" s="36"/>
      <c r="C119" s="36">
        <f t="shared" si="8"/>
        <v>0</v>
      </c>
      <c r="D119" s="34">
        <f t="shared" si="9"/>
        <v>1</v>
      </c>
      <c r="E119" s="20">
        <f t="shared" si="13"/>
        <v>0</v>
      </c>
      <c r="F119" s="29"/>
      <c r="G119" s="30">
        <f t="shared" si="10"/>
        <v>0</v>
      </c>
      <c r="H119" s="20" t="str">
        <f t="shared" si="11"/>
        <v/>
      </c>
      <c r="I119" s="20">
        <f t="shared" si="12"/>
        <v>0</v>
      </c>
      <c r="J119" s="20"/>
      <c r="K119" s="20"/>
      <c r="N119" s="12"/>
    </row>
    <row r="120" spans="1:14" x14ac:dyDescent="0.3">
      <c r="A120" s="35" t="str">
        <f t="shared" si="7"/>
        <v>QUÁ HẠN</v>
      </c>
      <c r="B120" s="36"/>
      <c r="C120" s="36">
        <f t="shared" si="8"/>
        <v>0</v>
      </c>
      <c r="D120" s="34">
        <f t="shared" si="9"/>
        <v>1</v>
      </c>
      <c r="E120" s="20">
        <f t="shared" si="13"/>
        <v>0</v>
      </c>
      <c r="F120" s="29"/>
      <c r="G120" s="30">
        <f t="shared" si="10"/>
        <v>0</v>
      </c>
      <c r="H120" s="20" t="str">
        <f t="shared" si="11"/>
        <v/>
      </c>
      <c r="I120" s="20">
        <f t="shared" si="12"/>
        <v>0</v>
      </c>
      <c r="J120" s="20"/>
      <c r="K120" s="20"/>
      <c r="N120" s="12"/>
    </row>
    <row r="121" spans="1:14" x14ac:dyDescent="0.3">
      <c r="A121" s="35" t="str">
        <f t="shared" si="7"/>
        <v>QUÁ HẠN</v>
      </c>
      <c r="B121" s="36"/>
      <c r="C121" s="36">
        <f t="shared" si="8"/>
        <v>0</v>
      </c>
      <c r="D121" s="34">
        <f t="shared" si="9"/>
        <v>1</v>
      </c>
      <c r="E121" s="20">
        <f t="shared" si="13"/>
        <v>0</v>
      </c>
      <c r="F121" s="29"/>
      <c r="G121" s="30">
        <f t="shared" si="10"/>
        <v>0</v>
      </c>
      <c r="H121" s="20" t="str">
        <f t="shared" si="11"/>
        <v/>
      </c>
      <c r="I121" s="20">
        <f t="shared" si="12"/>
        <v>0</v>
      </c>
      <c r="J121" s="20"/>
      <c r="K121" s="20"/>
      <c r="N121" s="12"/>
    </row>
    <row r="122" spans="1:14" x14ac:dyDescent="0.3">
      <c r="A122" s="35" t="str">
        <f t="shared" si="7"/>
        <v>QUÁ HẠN</v>
      </c>
      <c r="B122" s="36"/>
      <c r="C122" s="36">
        <f t="shared" si="8"/>
        <v>0</v>
      </c>
      <c r="D122" s="34">
        <f t="shared" si="9"/>
        <v>1</v>
      </c>
      <c r="E122" s="20">
        <f t="shared" si="13"/>
        <v>0</v>
      </c>
      <c r="F122" s="29"/>
      <c r="G122" s="30">
        <f t="shared" si="10"/>
        <v>0</v>
      </c>
      <c r="H122" s="20" t="str">
        <f t="shared" si="11"/>
        <v/>
      </c>
      <c r="I122" s="20">
        <f t="shared" si="12"/>
        <v>0</v>
      </c>
      <c r="J122" s="20"/>
      <c r="K122" s="20"/>
      <c r="N122" s="12"/>
    </row>
    <row r="123" spans="1:14" x14ac:dyDescent="0.3">
      <c r="A123" s="35" t="str">
        <f t="shared" si="7"/>
        <v>QUÁ HẠN</v>
      </c>
      <c r="B123" s="36"/>
      <c r="C123" s="36">
        <f t="shared" si="8"/>
        <v>0</v>
      </c>
      <c r="D123" s="34">
        <f t="shared" si="9"/>
        <v>1</v>
      </c>
      <c r="E123" s="20">
        <f t="shared" si="13"/>
        <v>0</v>
      </c>
      <c r="F123" s="29"/>
      <c r="G123" s="30">
        <f t="shared" si="10"/>
        <v>0</v>
      </c>
      <c r="H123" s="20" t="str">
        <f t="shared" si="11"/>
        <v/>
      </c>
      <c r="I123" s="20">
        <f t="shared" si="12"/>
        <v>0</v>
      </c>
      <c r="J123" s="20"/>
      <c r="K123" s="20"/>
      <c r="N123" s="12"/>
    </row>
    <row r="124" spans="1:14" x14ac:dyDescent="0.3">
      <c r="A124" s="35" t="str">
        <f t="shared" si="7"/>
        <v>QUÁ HẠN</v>
      </c>
      <c r="B124" s="36"/>
      <c r="C124" s="36">
        <f t="shared" si="8"/>
        <v>0</v>
      </c>
      <c r="D124" s="34">
        <f t="shared" si="9"/>
        <v>1</v>
      </c>
      <c r="E124" s="20">
        <f t="shared" si="13"/>
        <v>0</v>
      </c>
      <c r="F124" s="29"/>
      <c r="G124" s="30">
        <f t="shared" si="10"/>
        <v>0</v>
      </c>
      <c r="H124" s="20" t="str">
        <f t="shared" si="11"/>
        <v/>
      </c>
      <c r="I124" s="20">
        <f t="shared" si="12"/>
        <v>0</v>
      </c>
      <c r="J124" s="20"/>
      <c r="K124" s="20"/>
      <c r="N124" s="12"/>
    </row>
    <row r="125" spans="1:14" x14ac:dyDescent="0.3">
      <c r="A125" s="35" t="str">
        <f t="shared" si="7"/>
        <v>QUÁ HẠN</v>
      </c>
      <c r="B125" s="36"/>
      <c r="C125" s="36">
        <f t="shared" si="8"/>
        <v>0</v>
      </c>
      <c r="D125" s="34">
        <f t="shared" si="9"/>
        <v>1</v>
      </c>
      <c r="E125" s="20">
        <f t="shared" si="13"/>
        <v>0</v>
      </c>
      <c r="F125" s="29"/>
      <c r="G125" s="30">
        <f t="shared" si="10"/>
        <v>0</v>
      </c>
      <c r="H125" s="20" t="str">
        <f t="shared" si="11"/>
        <v/>
      </c>
      <c r="I125" s="20">
        <f t="shared" si="12"/>
        <v>0</v>
      </c>
      <c r="J125" s="20"/>
      <c r="K125" s="20"/>
      <c r="N125" s="12"/>
    </row>
    <row r="126" spans="1:14" x14ac:dyDescent="0.3">
      <c r="A126" s="35" t="str">
        <f t="shared" si="7"/>
        <v>QUÁ HẠN</v>
      </c>
      <c r="B126" s="36"/>
      <c r="C126" s="36">
        <f t="shared" si="8"/>
        <v>0</v>
      </c>
      <c r="D126" s="34">
        <f t="shared" si="9"/>
        <v>1</v>
      </c>
      <c r="E126" s="20">
        <f t="shared" si="13"/>
        <v>0</v>
      </c>
      <c r="F126" s="29"/>
      <c r="G126" s="30">
        <f t="shared" si="10"/>
        <v>0</v>
      </c>
      <c r="H126" s="20" t="str">
        <f t="shared" si="11"/>
        <v/>
      </c>
      <c r="I126" s="20">
        <f t="shared" si="12"/>
        <v>0</v>
      </c>
      <c r="J126" s="20"/>
      <c r="K126" s="20"/>
      <c r="N126" s="12"/>
    </row>
    <row r="127" spans="1:14" x14ac:dyDescent="0.3">
      <c r="A127" s="35" t="str">
        <f t="shared" si="7"/>
        <v>QUÁ HẠN</v>
      </c>
      <c r="B127" s="36"/>
      <c r="C127" s="36">
        <f t="shared" si="8"/>
        <v>0</v>
      </c>
      <c r="D127" s="34">
        <f t="shared" si="9"/>
        <v>1</v>
      </c>
      <c r="E127" s="20">
        <f t="shared" si="13"/>
        <v>0</v>
      </c>
      <c r="F127" s="29"/>
      <c r="G127" s="30">
        <f t="shared" si="10"/>
        <v>0</v>
      </c>
      <c r="H127" s="20" t="str">
        <f t="shared" si="11"/>
        <v/>
      </c>
      <c r="I127" s="20">
        <f t="shared" si="12"/>
        <v>0</v>
      </c>
      <c r="J127" s="20"/>
      <c r="K127" s="20"/>
      <c r="N127" s="12"/>
    </row>
    <row r="128" spans="1:14" x14ac:dyDescent="0.3">
      <c r="A128" s="35" t="str">
        <f t="shared" si="7"/>
        <v>QUÁ HẠN</v>
      </c>
      <c r="B128" s="36"/>
      <c r="C128" s="36">
        <f t="shared" si="8"/>
        <v>0</v>
      </c>
      <c r="D128" s="34">
        <f t="shared" si="9"/>
        <v>1</v>
      </c>
      <c r="E128" s="20">
        <f t="shared" si="13"/>
        <v>0</v>
      </c>
      <c r="F128" s="29"/>
      <c r="G128" s="30">
        <f t="shared" si="10"/>
        <v>0</v>
      </c>
      <c r="H128" s="20" t="str">
        <f t="shared" si="11"/>
        <v/>
      </c>
      <c r="I128" s="20">
        <f t="shared" si="12"/>
        <v>0</v>
      </c>
      <c r="J128" s="20"/>
      <c r="K128" s="20"/>
      <c r="N128" s="12"/>
    </row>
    <row r="129" spans="1:14" x14ac:dyDescent="0.3">
      <c r="A129" s="35" t="str">
        <f t="shared" si="7"/>
        <v>QUÁ HẠN</v>
      </c>
      <c r="B129" s="36"/>
      <c r="C129" s="36">
        <f t="shared" si="8"/>
        <v>0</v>
      </c>
      <c r="D129" s="34">
        <f t="shared" si="9"/>
        <v>1</v>
      </c>
      <c r="E129" s="20">
        <f t="shared" si="13"/>
        <v>0</v>
      </c>
      <c r="F129" s="29"/>
      <c r="G129" s="30">
        <f t="shared" si="10"/>
        <v>0</v>
      </c>
      <c r="H129" s="20" t="str">
        <f t="shared" si="11"/>
        <v/>
      </c>
      <c r="I129" s="20">
        <f t="shared" si="12"/>
        <v>0</v>
      </c>
      <c r="J129" s="20"/>
      <c r="K129" s="20"/>
      <c r="N129" s="12"/>
    </row>
    <row r="130" spans="1:14" x14ac:dyDescent="0.3">
      <c r="A130" s="35" t="str">
        <f t="shared" si="7"/>
        <v>QUÁ HẠN</v>
      </c>
      <c r="B130" s="36"/>
      <c r="C130" s="36">
        <f t="shared" si="8"/>
        <v>0</v>
      </c>
      <c r="D130" s="34">
        <f t="shared" si="9"/>
        <v>1</v>
      </c>
      <c r="E130" s="20">
        <f t="shared" si="13"/>
        <v>0</v>
      </c>
      <c r="F130" s="29"/>
      <c r="G130" s="30">
        <f t="shared" si="10"/>
        <v>0</v>
      </c>
      <c r="H130" s="20" t="str">
        <f t="shared" si="11"/>
        <v/>
      </c>
      <c r="I130" s="20">
        <f t="shared" si="12"/>
        <v>0</v>
      </c>
      <c r="J130" s="20"/>
      <c r="K130" s="20"/>
      <c r="N130" s="12"/>
    </row>
    <row r="131" spans="1:14" x14ac:dyDescent="0.3">
      <c r="A131" s="35" t="str">
        <f t="shared" si="7"/>
        <v>QUÁ HẠN</v>
      </c>
      <c r="B131" s="36"/>
      <c r="C131" s="36">
        <f t="shared" si="8"/>
        <v>0</v>
      </c>
      <c r="D131" s="34">
        <f t="shared" si="9"/>
        <v>1</v>
      </c>
      <c r="E131" s="20">
        <f t="shared" si="13"/>
        <v>0</v>
      </c>
      <c r="F131" s="29"/>
      <c r="G131" s="30">
        <f t="shared" si="10"/>
        <v>0</v>
      </c>
      <c r="H131" s="20" t="str">
        <f t="shared" si="11"/>
        <v/>
      </c>
      <c r="I131" s="20">
        <f t="shared" si="12"/>
        <v>0</v>
      </c>
      <c r="J131" s="20"/>
      <c r="K131" s="20"/>
      <c r="N131" s="12"/>
    </row>
    <row r="132" spans="1:14" x14ac:dyDescent="0.3">
      <c r="A132" s="35" t="str">
        <f t="shared" si="7"/>
        <v>QUÁ HẠN</v>
      </c>
      <c r="B132" s="36"/>
      <c r="C132" s="36">
        <f t="shared" si="8"/>
        <v>0</v>
      </c>
      <c r="D132" s="34">
        <f t="shared" si="9"/>
        <v>1</v>
      </c>
      <c r="E132" s="20">
        <f t="shared" si="13"/>
        <v>0</v>
      </c>
      <c r="F132" s="29"/>
      <c r="G132" s="30">
        <f t="shared" si="10"/>
        <v>0</v>
      </c>
      <c r="H132" s="20" t="str">
        <f t="shared" si="11"/>
        <v/>
      </c>
      <c r="I132" s="20">
        <f t="shared" si="12"/>
        <v>0</v>
      </c>
      <c r="J132" s="20"/>
      <c r="K132" s="20"/>
      <c r="N132" s="12"/>
    </row>
    <row r="133" spans="1:14" x14ac:dyDescent="0.3">
      <c r="A133" s="35" t="str">
        <f t="shared" si="7"/>
        <v>QUÁ HẠN</v>
      </c>
      <c r="B133" s="36"/>
      <c r="C133" s="36">
        <f t="shared" si="8"/>
        <v>0</v>
      </c>
      <c r="D133" s="34">
        <f t="shared" si="9"/>
        <v>1</v>
      </c>
      <c r="E133" s="20">
        <f t="shared" si="13"/>
        <v>0</v>
      </c>
      <c r="F133" s="29"/>
      <c r="G133" s="30">
        <f t="shared" si="10"/>
        <v>0</v>
      </c>
      <c r="H133" s="20" t="str">
        <f t="shared" si="11"/>
        <v/>
      </c>
      <c r="I133" s="20">
        <f t="shared" si="12"/>
        <v>0</v>
      </c>
      <c r="J133" s="20"/>
      <c r="K133" s="20"/>
      <c r="N133" s="12"/>
    </row>
    <row r="134" spans="1:14" x14ac:dyDescent="0.3">
      <c r="A134" s="35" t="str">
        <f t="shared" si="7"/>
        <v>QUÁ HẠN</v>
      </c>
      <c r="B134" s="36"/>
      <c r="C134" s="36">
        <f t="shared" si="8"/>
        <v>0</v>
      </c>
      <c r="D134" s="34">
        <f t="shared" si="9"/>
        <v>1</v>
      </c>
      <c r="E134" s="20">
        <f t="shared" si="13"/>
        <v>0</v>
      </c>
      <c r="F134" s="29"/>
      <c r="G134" s="30">
        <f t="shared" si="10"/>
        <v>0</v>
      </c>
      <c r="H134" s="20" t="str">
        <f t="shared" si="11"/>
        <v/>
      </c>
      <c r="I134" s="20">
        <f t="shared" si="12"/>
        <v>0</v>
      </c>
      <c r="J134" s="20"/>
      <c r="K134" s="20"/>
      <c r="N134" s="12"/>
    </row>
    <row r="135" spans="1:14" x14ac:dyDescent="0.3">
      <c r="A135" s="35" t="str">
        <f t="shared" si="7"/>
        <v>QUÁ HẠN</v>
      </c>
      <c r="B135" s="36"/>
      <c r="C135" s="36">
        <f t="shared" si="8"/>
        <v>0</v>
      </c>
      <c r="D135" s="34">
        <f t="shared" si="9"/>
        <v>1</v>
      </c>
      <c r="E135" s="20">
        <f t="shared" si="13"/>
        <v>0</v>
      </c>
      <c r="F135" s="29"/>
      <c r="G135" s="30">
        <f t="shared" si="10"/>
        <v>0</v>
      </c>
      <c r="H135" s="20" t="str">
        <f t="shared" si="11"/>
        <v/>
      </c>
      <c r="I135" s="20">
        <f t="shared" si="12"/>
        <v>0</v>
      </c>
      <c r="J135" s="20"/>
      <c r="K135" s="20"/>
      <c r="N135" s="12"/>
    </row>
    <row r="136" spans="1:14" x14ac:dyDescent="0.3">
      <c r="A136" s="35" t="str">
        <f t="shared" si="7"/>
        <v>QUÁ HẠN</v>
      </c>
      <c r="B136" s="36"/>
      <c r="C136" s="36">
        <f t="shared" si="8"/>
        <v>0</v>
      </c>
      <c r="D136" s="34">
        <f t="shared" si="9"/>
        <v>1</v>
      </c>
      <c r="E136" s="20">
        <f t="shared" si="13"/>
        <v>0</v>
      </c>
      <c r="F136" s="29"/>
      <c r="G136" s="30">
        <f t="shared" si="10"/>
        <v>0</v>
      </c>
      <c r="H136" s="20" t="str">
        <f t="shared" si="11"/>
        <v/>
      </c>
      <c r="I136" s="20">
        <f t="shared" si="12"/>
        <v>0</v>
      </c>
      <c r="J136" s="20"/>
      <c r="K136" s="20"/>
      <c r="N136" s="12"/>
    </row>
    <row r="137" spans="1:14" x14ac:dyDescent="0.3">
      <c r="A137" s="35" t="str">
        <f t="shared" si="7"/>
        <v>QUÁ HẠN</v>
      </c>
      <c r="B137" s="36"/>
      <c r="C137" s="36">
        <f t="shared" si="8"/>
        <v>0</v>
      </c>
      <c r="D137" s="34">
        <f t="shared" si="9"/>
        <v>1</v>
      </c>
      <c r="E137" s="20">
        <f t="shared" si="13"/>
        <v>0</v>
      </c>
      <c r="F137" s="29"/>
      <c r="G137" s="30">
        <f t="shared" si="10"/>
        <v>0</v>
      </c>
      <c r="H137" s="20" t="str">
        <f t="shared" si="11"/>
        <v/>
      </c>
      <c r="I137" s="20">
        <f t="shared" si="12"/>
        <v>0</v>
      </c>
      <c r="J137" s="20"/>
      <c r="K137" s="20"/>
      <c r="N137" s="12"/>
    </row>
    <row r="138" spans="1:14" x14ac:dyDescent="0.3">
      <c r="A138" s="35" t="str">
        <f t="shared" si="7"/>
        <v>QUÁ HẠN</v>
      </c>
      <c r="B138" s="36"/>
      <c r="C138" s="36">
        <f t="shared" si="8"/>
        <v>0</v>
      </c>
      <c r="D138" s="34">
        <f t="shared" si="9"/>
        <v>1</v>
      </c>
      <c r="E138" s="20">
        <f t="shared" si="13"/>
        <v>0</v>
      </c>
      <c r="F138" s="29"/>
      <c r="G138" s="30">
        <f t="shared" si="10"/>
        <v>0</v>
      </c>
      <c r="H138" s="20" t="str">
        <f t="shared" si="11"/>
        <v/>
      </c>
      <c r="I138" s="20">
        <f t="shared" si="12"/>
        <v>0</v>
      </c>
      <c r="J138" s="20"/>
      <c r="K138" s="20"/>
      <c r="N138" s="12"/>
    </row>
    <row r="139" spans="1:14" x14ac:dyDescent="0.3">
      <c r="A139" s="35" t="str">
        <f t="shared" si="7"/>
        <v>QUÁ HẠN</v>
      </c>
      <c r="B139" s="36"/>
      <c r="C139" s="36">
        <f t="shared" si="8"/>
        <v>0</v>
      </c>
      <c r="D139" s="34">
        <f t="shared" si="9"/>
        <v>1</v>
      </c>
      <c r="E139" s="20">
        <f t="shared" si="13"/>
        <v>0</v>
      </c>
      <c r="F139" s="29"/>
      <c r="G139" s="30">
        <f t="shared" si="10"/>
        <v>0</v>
      </c>
      <c r="H139" s="20" t="str">
        <f t="shared" si="11"/>
        <v/>
      </c>
      <c r="I139" s="20">
        <f t="shared" si="12"/>
        <v>0</v>
      </c>
      <c r="J139" s="20"/>
      <c r="K139" s="20"/>
      <c r="N139" s="12"/>
    </row>
    <row r="140" spans="1:14" x14ac:dyDescent="0.3">
      <c r="A140" s="35" t="str">
        <f t="shared" si="7"/>
        <v>QUÁ HẠN</v>
      </c>
      <c r="B140" s="36"/>
      <c r="C140" s="36">
        <f t="shared" si="8"/>
        <v>0</v>
      </c>
      <c r="D140" s="34">
        <f t="shared" si="9"/>
        <v>1</v>
      </c>
      <c r="E140" s="20">
        <f t="shared" si="13"/>
        <v>0</v>
      </c>
      <c r="F140" s="29"/>
      <c r="G140" s="30">
        <f t="shared" si="10"/>
        <v>0</v>
      </c>
      <c r="H140" s="20" t="str">
        <f t="shared" si="11"/>
        <v/>
      </c>
      <c r="I140" s="20">
        <f t="shared" si="12"/>
        <v>0</v>
      </c>
      <c r="J140" s="20"/>
      <c r="K140" s="20"/>
      <c r="N140" s="12"/>
    </row>
    <row r="141" spans="1:14" x14ac:dyDescent="0.3">
      <c r="A141" s="35" t="str">
        <f t="shared" si="7"/>
        <v>QUÁ HẠN</v>
      </c>
      <c r="B141" s="36"/>
      <c r="C141" s="36">
        <f t="shared" si="8"/>
        <v>0</v>
      </c>
      <c r="D141" s="34">
        <f t="shared" si="9"/>
        <v>1</v>
      </c>
      <c r="E141" s="20">
        <f t="shared" si="13"/>
        <v>0</v>
      </c>
      <c r="F141" s="29"/>
      <c r="G141" s="30">
        <f t="shared" si="10"/>
        <v>0</v>
      </c>
      <c r="H141" s="20" t="str">
        <f t="shared" si="11"/>
        <v/>
      </c>
      <c r="I141" s="20">
        <f t="shared" si="12"/>
        <v>0</v>
      </c>
      <c r="J141" s="20"/>
      <c r="K141" s="20"/>
      <c r="N141" s="12"/>
    </row>
    <row r="142" spans="1:14" x14ac:dyDescent="0.3">
      <c r="A142" s="35" t="str">
        <f t="shared" ref="A142:A201" si="14">IF(B142&gt;=$B$9,"QUÁ HẠN", "TRONG HẠN")</f>
        <v>QUÁ HẠN</v>
      </c>
      <c r="B142" s="36"/>
      <c r="C142" s="36">
        <f t="shared" ref="C142:C201" si="15">IFERROR(IF(B143="", $B$10, B143-1), $B$10)</f>
        <v>0</v>
      </c>
      <c r="D142" s="34">
        <f t="shared" ref="D142:D201" si="16">C142-B142+1</f>
        <v>1</v>
      </c>
      <c r="E142" s="20">
        <f t="shared" si="13"/>
        <v>0</v>
      </c>
      <c r="F142" s="29"/>
      <c r="G142" s="30">
        <f t="shared" ref="G142:G201" si="17">IF(A142="QUÁ HẠN", F142*1.5,"")</f>
        <v>0</v>
      </c>
      <c r="H142" s="20" t="str">
        <f t="shared" ref="H142:H201" si="18">IF(A142="TRONG HẠN",D142*E142*F142/365,"")</f>
        <v/>
      </c>
      <c r="I142" s="20">
        <f t="shared" ref="I142:I201" si="19">IF(A142="QUÁ HẠN",D142*E142*G142/365,"")</f>
        <v>0</v>
      </c>
      <c r="J142" s="20"/>
      <c r="K142" s="20"/>
      <c r="N142" s="12"/>
    </row>
    <row r="143" spans="1:14" x14ac:dyDescent="0.3">
      <c r="A143" s="35" t="str">
        <f t="shared" si="14"/>
        <v>QUÁ HẠN</v>
      </c>
      <c r="B143" s="36"/>
      <c r="C143" s="36">
        <f t="shared" si="15"/>
        <v>0</v>
      </c>
      <c r="D143" s="34">
        <f t="shared" si="16"/>
        <v>1</v>
      </c>
      <c r="E143" s="20">
        <f t="shared" ref="E143:E201" si="20">E142-J143</f>
        <v>0</v>
      </c>
      <c r="F143" s="29"/>
      <c r="G143" s="30">
        <f t="shared" si="17"/>
        <v>0</v>
      </c>
      <c r="H143" s="20" t="str">
        <f t="shared" si="18"/>
        <v/>
      </c>
      <c r="I143" s="20">
        <f t="shared" si="19"/>
        <v>0</v>
      </c>
      <c r="J143" s="20"/>
      <c r="K143" s="20"/>
      <c r="N143" s="12"/>
    </row>
    <row r="144" spans="1:14" x14ac:dyDescent="0.3">
      <c r="A144" s="35" t="str">
        <f t="shared" si="14"/>
        <v>QUÁ HẠN</v>
      </c>
      <c r="B144" s="36"/>
      <c r="C144" s="36">
        <f t="shared" si="15"/>
        <v>0</v>
      </c>
      <c r="D144" s="34">
        <f t="shared" si="16"/>
        <v>1</v>
      </c>
      <c r="E144" s="20">
        <f t="shared" si="20"/>
        <v>0</v>
      </c>
      <c r="F144" s="29"/>
      <c r="G144" s="30">
        <f t="shared" si="17"/>
        <v>0</v>
      </c>
      <c r="H144" s="20" t="str">
        <f t="shared" si="18"/>
        <v/>
      </c>
      <c r="I144" s="20">
        <f t="shared" si="19"/>
        <v>0</v>
      </c>
      <c r="J144" s="20"/>
      <c r="K144" s="20"/>
      <c r="N144" s="12"/>
    </row>
    <row r="145" spans="1:14" x14ac:dyDescent="0.3">
      <c r="A145" s="35" t="str">
        <f t="shared" si="14"/>
        <v>QUÁ HẠN</v>
      </c>
      <c r="B145" s="36"/>
      <c r="C145" s="36">
        <f t="shared" si="15"/>
        <v>0</v>
      </c>
      <c r="D145" s="34">
        <f t="shared" si="16"/>
        <v>1</v>
      </c>
      <c r="E145" s="20">
        <f t="shared" si="20"/>
        <v>0</v>
      </c>
      <c r="F145" s="29"/>
      <c r="G145" s="30">
        <f t="shared" si="17"/>
        <v>0</v>
      </c>
      <c r="H145" s="20" t="str">
        <f t="shared" si="18"/>
        <v/>
      </c>
      <c r="I145" s="20">
        <f t="shared" si="19"/>
        <v>0</v>
      </c>
      <c r="J145" s="20"/>
      <c r="K145" s="20"/>
      <c r="N145" s="12"/>
    </row>
    <row r="146" spans="1:14" x14ac:dyDescent="0.3">
      <c r="A146" s="35" t="str">
        <f t="shared" si="14"/>
        <v>QUÁ HẠN</v>
      </c>
      <c r="B146" s="36"/>
      <c r="C146" s="36">
        <f t="shared" si="15"/>
        <v>0</v>
      </c>
      <c r="D146" s="34">
        <f t="shared" si="16"/>
        <v>1</v>
      </c>
      <c r="E146" s="20">
        <f t="shared" si="20"/>
        <v>0</v>
      </c>
      <c r="F146" s="29"/>
      <c r="G146" s="30">
        <f t="shared" si="17"/>
        <v>0</v>
      </c>
      <c r="H146" s="20" t="str">
        <f t="shared" si="18"/>
        <v/>
      </c>
      <c r="I146" s="20">
        <f t="shared" si="19"/>
        <v>0</v>
      </c>
      <c r="J146" s="20"/>
      <c r="K146" s="20"/>
      <c r="N146" s="12"/>
    </row>
    <row r="147" spans="1:14" x14ac:dyDescent="0.3">
      <c r="A147" s="35" t="str">
        <f t="shared" si="14"/>
        <v>QUÁ HẠN</v>
      </c>
      <c r="B147" s="36"/>
      <c r="C147" s="36">
        <f t="shared" si="15"/>
        <v>0</v>
      </c>
      <c r="D147" s="34">
        <f t="shared" si="16"/>
        <v>1</v>
      </c>
      <c r="E147" s="20">
        <f t="shared" si="20"/>
        <v>0</v>
      </c>
      <c r="F147" s="29"/>
      <c r="G147" s="30">
        <f t="shared" si="17"/>
        <v>0</v>
      </c>
      <c r="H147" s="20" t="str">
        <f t="shared" si="18"/>
        <v/>
      </c>
      <c r="I147" s="20">
        <f t="shared" si="19"/>
        <v>0</v>
      </c>
      <c r="J147" s="20"/>
      <c r="K147" s="20"/>
      <c r="N147" s="12"/>
    </row>
    <row r="148" spans="1:14" x14ac:dyDescent="0.3">
      <c r="A148" s="35" t="str">
        <f t="shared" si="14"/>
        <v>QUÁ HẠN</v>
      </c>
      <c r="B148" s="36"/>
      <c r="C148" s="36">
        <f t="shared" si="15"/>
        <v>0</v>
      </c>
      <c r="D148" s="34">
        <f t="shared" si="16"/>
        <v>1</v>
      </c>
      <c r="E148" s="20">
        <f t="shared" si="20"/>
        <v>0</v>
      </c>
      <c r="F148" s="29"/>
      <c r="G148" s="30">
        <f t="shared" si="17"/>
        <v>0</v>
      </c>
      <c r="H148" s="20" t="str">
        <f t="shared" si="18"/>
        <v/>
      </c>
      <c r="I148" s="20">
        <f t="shared" si="19"/>
        <v>0</v>
      </c>
      <c r="J148" s="20"/>
      <c r="K148" s="20"/>
      <c r="N148" s="12"/>
    </row>
    <row r="149" spans="1:14" x14ac:dyDescent="0.3">
      <c r="A149" s="35" t="str">
        <f t="shared" si="14"/>
        <v>QUÁ HẠN</v>
      </c>
      <c r="B149" s="36"/>
      <c r="C149" s="36">
        <f t="shared" si="15"/>
        <v>0</v>
      </c>
      <c r="D149" s="34">
        <f t="shared" si="16"/>
        <v>1</v>
      </c>
      <c r="E149" s="20">
        <f t="shared" si="20"/>
        <v>0</v>
      </c>
      <c r="F149" s="29"/>
      <c r="G149" s="30">
        <f t="shared" si="17"/>
        <v>0</v>
      </c>
      <c r="H149" s="20" t="str">
        <f t="shared" si="18"/>
        <v/>
      </c>
      <c r="I149" s="20">
        <f t="shared" si="19"/>
        <v>0</v>
      </c>
      <c r="J149" s="20"/>
      <c r="K149" s="20"/>
      <c r="N149" s="12"/>
    </row>
    <row r="150" spans="1:14" x14ac:dyDescent="0.3">
      <c r="A150" s="35" t="str">
        <f t="shared" si="14"/>
        <v>QUÁ HẠN</v>
      </c>
      <c r="B150" s="36"/>
      <c r="C150" s="36">
        <f t="shared" si="15"/>
        <v>0</v>
      </c>
      <c r="D150" s="34">
        <f t="shared" si="16"/>
        <v>1</v>
      </c>
      <c r="E150" s="20">
        <f t="shared" si="20"/>
        <v>0</v>
      </c>
      <c r="F150" s="29"/>
      <c r="G150" s="30">
        <f t="shared" si="17"/>
        <v>0</v>
      </c>
      <c r="H150" s="20" t="str">
        <f t="shared" si="18"/>
        <v/>
      </c>
      <c r="I150" s="20">
        <f t="shared" si="19"/>
        <v>0</v>
      </c>
      <c r="J150" s="20"/>
      <c r="K150" s="20"/>
      <c r="N150" s="12"/>
    </row>
    <row r="151" spans="1:14" x14ac:dyDescent="0.3">
      <c r="A151" s="35" t="str">
        <f t="shared" si="14"/>
        <v>QUÁ HẠN</v>
      </c>
      <c r="B151" s="36"/>
      <c r="C151" s="36">
        <f t="shared" si="15"/>
        <v>0</v>
      </c>
      <c r="D151" s="34">
        <f t="shared" si="16"/>
        <v>1</v>
      </c>
      <c r="E151" s="20">
        <f t="shared" si="20"/>
        <v>0</v>
      </c>
      <c r="F151" s="29"/>
      <c r="G151" s="30">
        <f t="shared" si="17"/>
        <v>0</v>
      </c>
      <c r="H151" s="20" t="str">
        <f t="shared" si="18"/>
        <v/>
      </c>
      <c r="I151" s="20">
        <f t="shared" si="19"/>
        <v>0</v>
      </c>
      <c r="J151" s="20"/>
      <c r="K151" s="20"/>
      <c r="N151" s="12"/>
    </row>
    <row r="152" spans="1:14" x14ac:dyDescent="0.3">
      <c r="A152" s="35" t="str">
        <f t="shared" si="14"/>
        <v>QUÁ HẠN</v>
      </c>
      <c r="B152" s="36"/>
      <c r="C152" s="36">
        <f t="shared" si="15"/>
        <v>0</v>
      </c>
      <c r="D152" s="34">
        <f t="shared" si="16"/>
        <v>1</v>
      </c>
      <c r="E152" s="20">
        <f t="shared" si="20"/>
        <v>0</v>
      </c>
      <c r="F152" s="29"/>
      <c r="G152" s="30">
        <f t="shared" si="17"/>
        <v>0</v>
      </c>
      <c r="H152" s="20" t="str">
        <f t="shared" si="18"/>
        <v/>
      </c>
      <c r="I152" s="20">
        <f t="shared" si="19"/>
        <v>0</v>
      </c>
      <c r="J152" s="20"/>
      <c r="K152" s="20"/>
      <c r="N152" s="12"/>
    </row>
    <row r="153" spans="1:14" x14ac:dyDescent="0.3">
      <c r="A153" s="35" t="str">
        <f t="shared" si="14"/>
        <v>QUÁ HẠN</v>
      </c>
      <c r="B153" s="36"/>
      <c r="C153" s="36">
        <f t="shared" si="15"/>
        <v>0</v>
      </c>
      <c r="D153" s="34">
        <f t="shared" si="16"/>
        <v>1</v>
      </c>
      <c r="E153" s="20">
        <f t="shared" si="20"/>
        <v>0</v>
      </c>
      <c r="F153" s="29"/>
      <c r="G153" s="30">
        <f t="shared" si="17"/>
        <v>0</v>
      </c>
      <c r="H153" s="20" t="str">
        <f t="shared" si="18"/>
        <v/>
      </c>
      <c r="I153" s="20">
        <f t="shared" si="19"/>
        <v>0</v>
      </c>
      <c r="J153" s="20"/>
      <c r="K153" s="20"/>
      <c r="N153" s="12"/>
    </row>
    <row r="154" spans="1:14" x14ac:dyDescent="0.3">
      <c r="A154" s="35" t="str">
        <f t="shared" si="14"/>
        <v>QUÁ HẠN</v>
      </c>
      <c r="B154" s="36"/>
      <c r="C154" s="36">
        <f t="shared" si="15"/>
        <v>0</v>
      </c>
      <c r="D154" s="34">
        <f t="shared" si="16"/>
        <v>1</v>
      </c>
      <c r="E154" s="20">
        <f t="shared" si="20"/>
        <v>0</v>
      </c>
      <c r="F154" s="29"/>
      <c r="G154" s="30">
        <f t="shared" si="17"/>
        <v>0</v>
      </c>
      <c r="H154" s="20" t="str">
        <f t="shared" si="18"/>
        <v/>
      </c>
      <c r="I154" s="20">
        <f t="shared" si="19"/>
        <v>0</v>
      </c>
      <c r="J154" s="20"/>
      <c r="K154" s="20"/>
      <c r="N154" s="12"/>
    </row>
    <row r="155" spans="1:14" x14ac:dyDescent="0.3">
      <c r="A155" s="35" t="str">
        <f t="shared" si="14"/>
        <v>QUÁ HẠN</v>
      </c>
      <c r="B155" s="36"/>
      <c r="C155" s="36">
        <f t="shared" si="15"/>
        <v>0</v>
      </c>
      <c r="D155" s="34">
        <f t="shared" si="16"/>
        <v>1</v>
      </c>
      <c r="E155" s="20">
        <f t="shared" si="20"/>
        <v>0</v>
      </c>
      <c r="F155" s="29"/>
      <c r="G155" s="30">
        <f t="shared" si="17"/>
        <v>0</v>
      </c>
      <c r="H155" s="20" t="str">
        <f t="shared" si="18"/>
        <v/>
      </c>
      <c r="I155" s="20">
        <f t="shared" si="19"/>
        <v>0</v>
      </c>
      <c r="J155" s="20"/>
      <c r="K155" s="20"/>
      <c r="N155" s="12"/>
    </row>
    <row r="156" spans="1:14" x14ac:dyDescent="0.3">
      <c r="A156" s="35" t="str">
        <f t="shared" si="14"/>
        <v>QUÁ HẠN</v>
      </c>
      <c r="B156" s="36"/>
      <c r="C156" s="36">
        <f t="shared" si="15"/>
        <v>0</v>
      </c>
      <c r="D156" s="34">
        <f t="shared" si="16"/>
        <v>1</v>
      </c>
      <c r="E156" s="20">
        <f t="shared" si="20"/>
        <v>0</v>
      </c>
      <c r="F156" s="29"/>
      <c r="G156" s="30">
        <f t="shared" si="17"/>
        <v>0</v>
      </c>
      <c r="H156" s="20" t="str">
        <f t="shared" si="18"/>
        <v/>
      </c>
      <c r="I156" s="20">
        <f t="shared" si="19"/>
        <v>0</v>
      </c>
      <c r="J156" s="20"/>
      <c r="K156" s="20"/>
      <c r="N156" s="12"/>
    </row>
    <row r="157" spans="1:14" x14ac:dyDescent="0.3">
      <c r="A157" s="35" t="str">
        <f t="shared" si="14"/>
        <v>QUÁ HẠN</v>
      </c>
      <c r="B157" s="36"/>
      <c r="C157" s="36">
        <f t="shared" si="15"/>
        <v>0</v>
      </c>
      <c r="D157" s="34">
        <f t="shared" si="16"/>
        <v>1</v>
      </c>
      <c r="E157" s="20">
        <f t="shared" si="20"/>
        <v>0</v>
      </c>
      <c r="F157" s="29"/>
      <c r="G157" s="30">
        <f t="shared" si="17"/>
        <v>0</v>
      </c>
      <c r="H157" s="20" t="str">
        <f t="shared" si="18"/>
        <v/>
      </c>
      <c r="I157" s="20">
        <f t="shared" si="19"/>
        <v>0</v>
      </c>
      <c r="J157" s="20"/>
      <c r="K157" s="20"/>
      <c r="N157" s="12"/>
    </row>
    <row r="158" spans="1:14" x14ac:dyDescent="0.3">
      <c r="A158" s="35" t="str">
        <f t="shared" si="14"/>
        <v>QUÁ HẠN</v>
      </c>
      <c r="B158" s="36"/>
      <c r="C158" s="36">
        <f t="shared" si="15"/>
        <v>0</v>
      </c>
      <c r="D158" s="34">
        <f t="shared" si="16"/>
        <v>1</v>
      </c>
      <c r="E158" s="20">
        <f t="shared" si="20"/>
        <v>0</v>
      </c>
      <c r="F158" s="29"/>
      <c r="G158" s="30">
        <f t="shared" si="17"/>
        <v>0</v>
      </c>
      <c r="H158" s="20" t="str">
        <f t="shared" si="18"/>
        <v/>
      </c>
      <c r="I158" s="20">
        <f t="shared" si="19"/>
        <v>0</v>
      </c>
      <c r="J158" s="20"/>
      <c r="K158" s="20"/>
      <c r="N158" s="12"/>
    </row>
    <row r="159" spans="1:14" x14ac:dyDescent="0.3">
      <c r="A159" s="35" t="str">
        <f t="shared" si="14"/>
        <v>QUÁ HẠN</v>
      </c>
      <c r="B159" s="36"/>
      <c r="C159" s="36">
        <f t="shared" si="15"/>
        <v>0</v>
      </c>
      <c r="D159" s="34">
        <f t="shared" si="16"/>
        <v>1</v>
      </c>
      <c r="E159" s="20">
        <f t="shared" si="20"/>
        <v>0</v>
      </c>
      <c r="F159" s="29"/>
      <c r="G159" s="30">
        <f t="shared" si="17"/>
        <v>0</v>
      </c>
      <c r="H159" s="20" t="str">
        <f t="shared" si="18"/>
        <v/>
      </c>
      <c r="I159" s="20">
        <f t="shared" si="19"/>
        <v>0</v>
      </c>
      <c r="J159" s="20"/>
      <c r="K159" s="20"/>
      <c r="N159" s="12"/>
    </row>
    <row r="160" spans="1:14" x14ac:dyDescent="0.3">
      <c r="A160" s="35" t="str">
        <f t="shared" si="14"/>
        <v>QUÁ HẠN</v>
      </c>
      <c r="B160" s="36"/>
      <c r="C160" s="36">
        <f t="shared" si="15"/>
        <v>0</v>
      </c>
      <c r="D160" s="34">
        <f t="shared" si="16"/>
        <v>1</v>
      </c>
      <c r="E160" s="20">
        <f t="shared" si="20"/>
        <v>0</v>
      </c>
      <c r="F160" s="29"/>
      <c r="G160" s="30">
        <f t="shared" si="17"/>
        <v>0</v>
      </c>
      <c r="H160" s="20" t="str">
        <f t="shared" si="18"/>
        <v/>
      </c>
      <c r="I160" s="20">
        <f t="shared" si="19"/>
        <v>0</v>
      </c>
      <c r="J160" s="20"/>
      <c r="K160" s="20"/>
      <c r="N160" s="12"/>
    </row>
    <row r="161" spans="1:14" x14ac:dyDescent="0.3">
      <c r="A161" s="35" t="str">
        <f t="shared" si="14"/>
        <v>QUÁ HẠN</v>
      </c>
      <c r="B161" s="36"/>
      <c r="C161" s="36">
        <f t="shared" si="15"/>
        <v>0</v>
      </c>
      <c r="D161" s="34">
        <f t="shared" si="16"/>
        <v>1</v>
      </c>
      <c r="E161" s="20">
        <f t="shared" si="20"/>
        <v>0</v>
      </c>
      <c r="F161" s="29"/>
      <c r="G161" s="30">
        <f t="shared" si="17"/>
        <v>0</v>
      </c>
      <c r="H161" s="20" t="str">
        <f t="shared" si="18"/>
        <v/>
      </c>
      <c r="I161" s="20">
        <f t="shared" si="19"/>
        <v>0</v>
      </c>
      <c r="J161" s="20"/>
      <c r="K161" s="20"/>
      <c r="N161" s="12"/>
    </row>
    <row r="162" spans="1:14" x14ac:dyDescent="0.3">
      <c r="A162" s="35" t="str">
        <f t="shared" si="14"/>
        <v>QUÁ HẠN</v>
      </c>
      <c r="B162" s="36"/>
      <c r="C162" s="36">
        <f t="shared" si="15"/>
        <v>0</v>
      </c>
      <c r="D162" s="34">
        <f t="shared" si="16"/>
        <v>1</v>
      </c>
      <c r="E162" s="20">
        <f t="shared" si="20"/>
        <v>0</v>
      </c>
      <c r="F162" s="29"/>
      <c r="G162" s="30">
        <f t="shared" si="17"/>
        <v>0</v>
      </c>
      <c r="H162" s="20" t="str">
        <f t="shared" si="18"/>
        <v/>
      </c>
      <c r="I162" s="20">
        <f t="shared" si="19"/>
        <v>0</v>
      </c>
      <c r="J162" s="20"/>
      <c r="K162" s="20"/>
      <c r="N162" s="12"/>
    </row>
    <row r="163" spans="1:14" x14ac:dyDescent="0.3">
      <c r="A163" s="35" t="str">
        <f t="shared" si="14"/>
        <v>QUÁ HẠN</v>
      </c>
      <c r="B163" s="36"/>
      <c r="C163" s="36">
        <f t="shared" si="15"/>
        <v>0</v>
      </c>
      <c r="D163" s="34">
        <f t="shared" si="16"/>
        <v>1</v>
      </c>
      <c r="E163" s="20">
        <f t="shared" si="20"/>
        <v>0</v>
      </c>
      <c r="F163" s="29"/>
      <c r="G163" s="30">
        <f t="shared" si="17"/>
        <v>0</v>
      </c>
      <c r="H163" s="20" t="str">
        <f t="shared" si="18"/>
        <v/>
      </c>
      <c r="I163" s="20">
        <f t="shared" si="19"/>
        <v>0</v>
      </c>
      <c r="J163" s="20"/>
      <c r="K163" s="20"/>
      <c r="N163" s="12"/>
    </row>
    <row r="164" spans="1:14" x14ac:dyDescent="0.3">
      <c r="A164" s="35" t="str">
        <f t="shared" si="14"/>
        <v>QUÁ HẠN</v>
      </c>
      <c r="B164" s="36"/>
      <c r="C164" s="36">
        <f t="shared" si="15"/>
        <v>0</v>
      </c>
      <c r="D164" s="34">
        <f t="shared" si="16"/>
        <v>1</v>
      </c>
      <c r="E164" s="20">
        <f t="shared" si="20"/>
        <v>0</v>
      </c>
      <c r="F164" s="29"/>
      <c r="G164" s="30">
        <f t="shared" si="17"/>
        <v>0</v>
      </c>
      <c r="H164" s="20" t="str">
        <f t="shared" si="18"/>
        <v/>
      </c>
      <c r="I164" s="20">
        <f t="shared" si="19"/>
        <v>0</v>
      </c>
      <c r="J164" s="20"/>
      <c r="K164" s="20"/>
      <c r="N164" s="12"/>
    </row>
    <row r="165" spans="1:14" x14ac:dyDescent="0.3">
      <c r="A165" s="35" t="str">
        <f t="shared" si="14"/>
        <v>QUÁ HẠN</v>
      </c>
      <c r="B165" s="36"/>
      <c r="C165" s="36">
        <f t="shared" si="15"/>
        <v>0</v>
      </c>
      <c r="D165" s="34">
        <f t="shared" si="16"/>
        <v>1</v>
      </c>
      <c r="E165" s="20">
        <f t="shared" si="20"/>
        <v>0</v>
      </c>
      <c r="F165" s="29"/>
      <c r="G165" s="30">
        <f t="shared" si="17"/>
        <v>0</v>
      </c>
      <c r="H165" s="20" t="str">
        <f t="shared" si="18"/>
        <v/>
      </c>
      <c r="I165" s="20">
        <f t="shared" si="19"/>
        <v>0</v>
      </c>
      <c r="J165" s="20"/>
      <c r="K165" s="20"/>
      <c r="N165" s="12"/>
    </row>
    <row r="166" spans="1:14" x14ac:dyDescent="0.3">
      <c r="A166" s="35" t="str">
        <f t="shared" si="14"/>
        <v>QUÁ HẠN</v>
      </c>
      <c r="B166" s="36"/>
      <c r="C166" s="36">
        <f t="shared" si="15"/>
        <v>0</v>
      </c>
      <c r="D166" s="34">
        <f t="shared" si="16"/>
        <v>1</v>
      </c>
      <c r="E166" s="20">
        <f t="shared" si="20"/>
        <v>0</v>
      </c>
      <c r="F166" s="29"/>
      <c r="G166" s="30">
        <f t="shared" si="17"/>
        <v>0</v>
      </c>
      <c r="H166" s="20" t="str">
        <f t="shared" si="18"/>
        <v/>
      </c>
      <c r="I166" s="20">
        <f t="shared" si="19"/>
        <v>0</v>
      </c>
      <c r="J166" s="20"/>
      <c r="K166" s="20"/>
      <c r="N166" s="12"/>
    </row>
    <row r="167" spans="1:14" x14ac:dyDescent="0.3">
      <c r="A167" s="35" t="str">
        <f t="shared" si="14"/>
        <v>QUÁ HẠN</v>
      </c>
      <c r="B167" s="36"/>
      <c r="C167" s="36">
        <f t="shared" si="15"/>
        <v>0</v>
      </c>
      <c r="D167" s="34">
        <f t="shared" si="16"/>
        <v>1</v>
      </c>
      <c r="E167" s="20">
        <f t="shared" si="20"/>
        <v>0</v>
      </c>
      <c r="F167" s="29"/>
      <c r="G167" s="30">
        <f t="shared" si="17"/>
        <v>0</v>
      </c>
      <c r="H167" s="20" t="str">
        <f t="shared" si="18"/>
        <v/>
      </c>
      <c r="I167" s="20">
        <f t="shared" si="19"/>
        <v>0</v>
      </c>
      <c r="J167" s="20"/>
      <c r="K167" s="20"/>
      <c r="N167" s="12"/>
    </row>
    <row r="168" spans="1:14" x14ac:dyDescent="0.3">
      <c r="A168" s="35" t="str">
        <f t="shared" si="14"/>
        <v>QUÁ HẠN</v>
      </c>
      <c r="B168" s="36"/>
      <c r="C168" s="36">
        <f t="shared" si="15"/>
        <v>0</v>
      </c>
      <c r="D168" s="34">
        <f t="shared" si="16"/>
        <v>1</v>
      </c>
      <c r="E168" s="20">
        <f t="shared" si="20"/>
        <v>0</v>
      </c>
      <c r="F168" s="29"/>
      <c r="G168" s="30">
        <f t="shared" si="17"/>
        <v>0</v>
      </c>
      <c r="H168" s="20" t="str">
        <f t="shared" si="18"/>
        <v/>
      </c>
      <c r="I168" s="20">
        <f t="shared" si="19"/>
        <v>0</v>
      </c>
      <c r="J168" s="20"/>
      <c r="K168" s="20"/>
      <c r="N168" s="12"/>
    </row>
    <row r="169" spans="1:14" x14ac:dyDescent="0.3">
      <c r="A169" s="35" t="str">
        <f t="shared" si="14"/>
        <v>QUÁ HẠN</v>
      </c>
      <c r="B169" s="36"/>
      <c r="C169" s="36">
        <f t="shared" si="15"/>
        <v>0</v>
      </c>
      <c r="D169" s="34">
        <f t="shared" si="16"/>
        <v>1</v>
      </c>
      <c r="E169" s="20">
        <f t="shared" si="20"/>
        <v>0</v>
      </c>
      <c r="F169" s="29"/>
      <c r="G169" s="30">
        <f t="shared" si="17"/>
        <v>0</v>
      </c>
      <c r="H169" s="20" t="str">
        <f t="shared" si="18"/>
        <v/>
      </c>
      <c r="I169" s="20">
        <f t="shared" si="19"/>
        <v>0</v>
      </c>
      <c r="J169" s="20"/>
      <c r="K169" s="20"/>
      <c r="N169" s="12"/>
    </row>
    <row r="170" spans="1:14" x14ac:dyDescent="0.3">
      <c r="A170" s="35" t="str">
        <f t="shared" si="14"/>
        <v>QUÁ HẠN</v>
      </c>
      <c r="B170" s="36"/>
      <c r="C170" s="36">
        <f t="shared" si="15"/>
        <v>0</v>
      </c>
      <c r="D170" s="34">
        <f t="shared" si="16"/>
        <v>1</v>
      </c>
      <c r="E170" s="20">
        <f t="shared" si="20"/>
        <v>0</v>
      </c>
      <c r="F170" s="29"/>
      <c r="G170" s="30">
        <f t="shared" si="17"/>
        <v>0</v>
      </c>
      <c r="H170" s="20" t="str">
        <f t="shared" si="18"/>
        <v/>
      </c>
      <c r="I170" s="20">
        <f t="shared" si="19"/>
        <v>0</v>
      </c>
      <c r="J170" s="20"/>
      <c r="K170" s="20"/>
      <c r="N170" s="12"/>
    </row>
    <row r="171" spans="1:14" x14ac:dyDescent="0.3">
      <c r="A171" s="35" t="str">
        <f t="shared" si="14"/>
        <v>QUÁ HẠN</v>
      </c>
      <c r="B171" s="36"/>
      <c r="C171" s="36">
        <f t="shared" si="15"/>
        <v>0</v>
      </c>
      <c r="D171" s="34">
        <f t="shared" si="16"/>
        <v>1</v>
      </c>
      <c r="E171" s="20">
        <f t="shared" si="20"/>
        <v>0</v>
      </c>
      <c r="F171" s="29"/>
      <c r="G171" s="30">
        <f t="shared" si="17"/>
        <v>0</v>
      </c>
      <c r="H171" s="20" t="str">
        <f t="shared" si="18"/>
        <v/>
      </c>
      <c r="I171" s="20">
        <f t="shared" si="19"/>
        <v>0</v>
      </c>
      <c r="J171" s="20"/>
      <c r="K171" s="20"/>
      <c r="N171" s="12"/>
    </row>
    <row r="172" spans="1:14" x14ac:dyDescent="0.3">
      <c r="A172" s="35" t="str">
        <f t="shared" si="14"/>
        <v>QUÁ HẠN</v>
      </c>
      <c r="B172" s="36"/>
      <c r="C172" s="36">
        <f t="shared" si="15"/>
        <v>0</v>
      </c>
      <c r="D172" s="34">
        <f t="shared" si="16"/>
        <v>1</v>
      </c>
      <c r="E172" s="20">
        <f t="shared" si="20"/>
        <v>0</v>
      </c>
      <c r="F172" s="29"/>
      <c r="G172" s="30">
        <f t="shared" si="17"/>
        <v>0</v>
      </c>
      <c r="H172" s="20" t="str">
        <f t="shared" si="18"/>
        <v/>
      </c>
      <c r="I172" s="20">
        <f t="shared" si="19"/>
        <v>0</v>
      </c>
      <c r="J172" s="20"/>
      <c r="K172" s="20"/>
      <c r="N172" s="12"/>
    </row>
    <row r="173" spans="1:14" x14ac:dyDescent="0.3">
      <c r="A173" s="35" t="str">
        <f t="shared" si="14"/>
        <v>QUÁ HẠN</v>
      </c>
      <c r="B173" s="36"/>
      <c r="C173" s="36">
        <f t="shared" si="15"/>
        <v>0</v>
      </c>
      <c r="D173" s="34">
        <f t="shared" si="16"/>
        <v>1</v>
      </c>
      <c r="E173" s="20">
        <f t="shared" si="20"/>
        <v>0</v>
      </c>
      <c r="F173" s="29"/>
      <c r="G173" s="30">
        <f t="shared" si="17"/>
        <v>0</v>
      </c>
      <c r="H173" s="20" t="str">
        <f t="shared" si="18"/>
        <v/>
      </c>
      <c r="I173" s="20">
        <f t="shared" si="19"/>
        <v>0</v>
      </c>
      <c r="J173" s="20"/>
      <c r="K173" s="20"/>
      <c r="N173" s="12"/>
    </row>
    <row r="174" spans="1:14" x14ac:dyDescent="0.3">
      <c r="A174" s="35" t="str">
        <f t="shared" si="14"/>
        <v>QUÁ HẠN</v>
      </c>
      <c r="B174" s="36"/>
      <c r="C174" s="36">
        <f t="shared" si="15"/>
        <v>0</v>
      </c>
      <c r="D174" s="34">
        <f t="shared" si="16"/>
        <v>1</v>
      </c>
      <c r="E174" s="20">
        <f t="shared" si="20"/>
        <v>0</v>
      </c>
      <c r="F174" s="29"/>
      <c r="G174" s="30">
        <f t="shared" si="17"/>
        <v>0</v>
      </c>
      <c r="H174" s="20" t="str">
        <f t="shared" si="18"/>
        <v/>
      </c>
      <c r="I174" s="20">
        <f t="shared" si="19"/>
        <v>0</v>
      </c>
      <c r="J174" s="20"/>
      <c r="K174" s="20"/>
      <c r="N174" s="12"/>
    </row>
    <row r="175" spans="1:14" x14ac:dyDescent="0.3">
      <c r="A175" s="35" t="str">
        <f t="shared" si="14"/>
        <v>QUÁ HẠN</v>
      </c>
      <c r="B175" s="36"/>
      <c r="C175" s="36">
        <f t="shared" si="15"/>
        <v>0</v>
      </c>
      <c r="D175" s="34">
        <f t="shared" si="16"/>
        <v>1</v>
      </c>
      <c r="E175" s="20">
        <f t="shared" si="20"/>
        <v>0</v>
      </c>
      <c r="F175" s="29"/>
      <c r="G175" s="30">
        <f t="shared" si="17"/>
        <v>0</v>
      </c>
      <c r="H175" s="20" t="str">
        <f t="shared" si="18"/>
        <v/>
      </c>
      <c r="I175" s="20">
        <f t="shared" si="19"/>
        <v>0</v>
      </c>
      <c r="J175" s="20"/>
      <c r="K175" s="20"/>
      <c r="N175" s="12"/>
    </row>
    <row r="176" spans="1:14" x14ac:dyDescent="0.3">
      <c r="A176" s="35" t="str">
        <f t="shared" si="14"/>
        <v>QUÁ HẠN</v>
      </c>
      <c r="B176" s="36"/>
      <c r="C176" s="36">
        <f t="shared" si="15"/>
        <v>0</v>
      </c>
      <c r="D176" s="34">
        <f t="shared" si="16"/>
        <v>1</v>
      </c>
      <c r="E176" s="20">
        <f t="shared" si="20"/>
        <v>0</v>
      </c>
      <c r="F176" s="29"/>
      <c r="G176" s="30">
        <f t="shared" si="17"/>
        <v>0</v>
      </c>
      <c r="H176" s="20" t="str">
        <f t="shared" si="18"/>
        <v/>
      </c>
      <c r="I176" s="20">
        <f t="shared" si="19"/>
        <v>0</v>
      </c>
      <c r="J176" s="20"/>
      <c r="K176" s="20"/>
      <c r="N176" s="12"/>
    </row>
    <row r="177" spans="1:14" x14ac:dyDescent="0.3">
      <c r="A177" s="35" t="str">
        <f t="shared" si="14"/>
        <v>QUÁ HẠN</v>
      </c>
      <c r="B177" s="36"/>
      <c r="C177" s="36">
        <f t="shared" si="15"/>
        <v>0</v>
      </c>
      <c r="D177" s="34">
        <f t="shared" si="16"/>
        <v>1</v>
      </c>
      <c r="E177" s="20">
        <f t="shared" si="20"/>
        <v>0</v>
      </c>
      <c r="F177" s="29"/>
      <c r="G177" s="30">
        <f t="shared" si="17"/>
        <v>0</v>
      </c>
      <c r="H177" s="20" t="str">
        <f t="shared" si="18"/>
        <v/>
      </c>
      <c r="I177" s="20">
        <f t="shared" si="19"/>
        <v>0</v>
      </c>
      <c r="J177" s="20"/>
      <c r="K177" s="20"/>
      <c r="N177" s="12"/>
    </row>
    <row r="178" spans="1:14" x14ac:dyDescent="0.3">
      <c r="A178" s="35" t="str">
        <f t="shared" si="14"/>
        <v>QUÁ HẠN</v>
      </c>
      <c r="B178" s="36"/>
      <c r="C178" s="36">
        <f t="shared" si="15"/>
        <v>0</v>
      </c>
      <c r="D178" s="34">
        <f t="shared" si="16"/>
        <v>1</v>
      </c>
      <c r="E178" s="20">
        <f t="shared" si="20"/>
        <v>0</v>
      </c>
      <c r="F178" s="29"/>
      <c r="G178" s="30">
        <f t="shared" si="17"/>
        <v>0</v>
      </c>
      <c r="H178" s="20" t="str">
        <f t="shared" si="18"/>
        <v/>
      </c>
      <c r="I178" s="20">
        <f t="shared" si="19"/>
        <v>0</v>
      </c>
      <c r="J178" s="20"/>
      <c r="K178" s="20"/>
      <c r="N178" s="12"/>
    </row>
    <row r="179" spans="1:14" x14ac:dyDescent="0.3">
      <c r="A179" s="35" t="str">
        <f t="shared" si="14"/>
        <v>QUÁ HẠN</v>
      </c>
      <c r="B179" s="36"/>
      <c r="C179" s="36">
        <f t="shared" si="15"/>
        <v>0</v>
      </c>
      <c r="D179" s="34">
        <f t="shared" si="16"/>
        <v>1</v>
      </c>
      <c r="E179" s="20">
        <f t="shared" si="20"/>
        <v>0</v>
      </c>
      <c r="F179" s="29"/>
      <c r="G179" s="30">
        <f t="shared" si="17"/>
        <v>0</v>
      </c>
      <c r="H179" s="20" t="str">
        <f t="shared" si="18"/>
        <v/>
      </c>
      <c r="I179" s="20">
        <f t="shared" si="19"/>
        <v>0</v>
      </c>
      <c r="J179" s="20"/>
      <c r="K179" s="20"/>
      <c r="N179" s="12"/>
    </row>
    <row r="180" spans="1:14" x14ac:dyDescent="0.3">
      <c r="A180" s="35" t="str">
        <f t="shared" si="14"/>
        <v>QUÁ HẠN</v>
      </c>
      <c r="B180" s="36"/>
      <c r="C180" s="36">
        <f t="shared" si="15"/>
        <v>0</v>
      </c>
      <c r="D180" s="34">
        <f t="shared" si="16"/>
        <v>1</v>
      </c>
      <c r="E180" s="20">
        <f t="shared" si="20"/>
        <v>0</v>
      </c>
      <c r="F180" s="29"/>
      <c r="G180" s="30">
        <f t="shared" si="17"/>
        <v>0</v>
      </c>
      <c r="H180" s="20" t="str">
        <f t="shared" si="18"/>
        <v/>
      </c>
      <c r="I180" s="20">
        <f t="shared" si="19"/>
        <v>0</v>
      </c>
      <c r="J180" s="20"/>
      <c r="K180" s="20"/>
      <c r="N180" s="12"/>
    </row>
    <row r="181" spans="1:14" x14ac:dyDescent="0.3">
      <c r="A181" s="35" t="str">
        <f t="shared" si="14"/>
        <v>QUÁ HẠN</v>
      </c>
      <c r="B181" s="36"/>
      <c r="C181" s="36">
        <f t="shared" si="15"/>
        <v>0</v>
      </c>
      <c r="D181" s="34">
        <f t="shared" si="16"/>
        <v>1</v>
      </c>
      <c r="E181" s="20">
        <f t="shared" si="20"/>
        <v>0</v>
      </c>
      <c r="F181" s="29"/>
      <c r="G181" s="30">
        <f t="shared" si="17"/>
        <v>0</v>
      </c>
      <c r="H181" s="20" t="str">
        <f t="shared" si="18"/>
        <v/>
      </c>
      <c r="I181" s="20">
        <f t="shared" si="19"/>
        <v>0</v>
      </c>
      <c r="J181" s="20"/>
      <c r="K181" s="20"/>
      <c r="N181" s="12"/>
    </row>
    <row r="182" spans="1:14" x14ac:dyDescent="0.3">
      <c r="A182" s="35" t="str">
        <f t="shared" si="14"/>
        <v>QUÁ HẠN</v>
      </c>
      <c r="B182" s="36"/>
      <c r="C182" s="36">
        <f t="shared" si="15"/>
        <v>0</v>
      </c>
      <c r="D182" s="34">
        <f t="shared" si="16"/>
        <v>1</v>
      </c>
      <c r="E182" s="20">
        <f t="shared" si="20"/>
        <v>0</v>
      </c>
      <c r="F182" s="29"/>
      <c r="G182" s="30">
        <f t="shared" si="17"/>
        <v>0</v>
      </c>
      <c r="H182" s="20" t="str">
        <f t="shared" si="18"/>
        <v/>
      </c>
      <c r="I182" s="20">
        <f t="shared" si="19"/>
        <v>0</v>
      </c>
      <c r="J182" s="20"/>
      <c r="K182" s="20"/>
      <c r="N182" s="12"/>
    </row>
    <row r="183" spans="1:14" x14ac:dyDescent="0.3">
      <c r="A183" s="35" t="str">
        <f t="shared" si="14"/>
        <v>QUÁ HẠN</v>
      </c>
      <c r="B183" s="36"/>
      <c r="C183" s="36">
        <f t="shared" si="15"/>
        <v>0</v>
      </c>
      <c r="D183" s="34">
        <f t="shared" si="16"/>
        <v>1</v>
      </c>
      <c r="E183" s="20">
        <f t="shared" si="20"/>
        <v>0</v>
      </c>
      <c r="F183" s="29"/>
      <c r="G183" s="30">
        <f t="shared" si="17"/>
        <v>0</v>
      </c>
      <c r="H183" s="20" t="str">
        <f t="shared" si="18"/>
        <v/>
      </c>
      <c r="I183" s="20">
        <f t="shared" si="19"/>
        <v>0</v>
      </c>
      <c r="J183" s="20"/>
      <c r="K183" s="20"/>
      <c r="N183" s="12"/>
    </row>
    <row r="184" spans="1:14" x14ac:dyDescent="0.3">
      <c r="A184" s="35" t="str">
        <f t="shared" si="14"/>
        <v>QUÁ HẠN</v>
      </c>
      <c r="B184" s="36"/>
      <c r="C184" s="36">
        <f t="shared" si="15"/>
        <v>0</v>
      </c>
      <c r="D184" s="34">
        <f t="shared" si="16"/>
        <v>1</v>
      </c>
      <c r="E184" s="20">
        <f t="shared" si="20"/>
        <v>0</v>
      </c>
      <c r="F184" s="29"/>
      <c r="G184" s="30">
        <f t="shared" si="17"/>
        <v>0</v>
      </c>
      <c r="H184" s="20" t="str">
        <f t="shared" si="18"/>
        <v/>
      </c>
      <c r="I184" s="20">
        <f t="shared" si="19"/>
        <v>0</v>
      </c>
      <c r="J184" s="20"/>
      <c r="K184" s="20"/>
      <c r="N184" s="12"/>
    </row>
    <row r="185" spans="1:14" x14ac:dyDescent="0.3">
      <c r="A185" s="35" t="str">
        <f t="shared" si="14"/>
        <v>QUÁ HẠN</v>
      </c>
      <c r="B185" s="36"/>
      <c r="C185" s="36">
        <f t="shared" si="15"/>
        <v>0</v>
      </c>
      <c r="D185" s="34">
        <f t="shared" si="16"/>
        <v>1</v>
      </c>
      <c r="E185" s="20">
        <f t="shared" si="20"/>
        <v>0</v>
      </c>
      <c r="F185" s="29"/>
      <c r="G185" s="30">
        <f t="shared" si="17"/>
        <v>0</v>
      </c>
      <c r="H185" s="20" t="str">
        <f t="shared" si="18"/>
        <v/>
      </c>
      <c r="I185" s="20">
        <f t="shared" si="19"/>
        <v>0</v>
      </c>
      <c r="J185" s="20"/>
      <c r="K185" s="20"/>
      <c r="N185" s="12"/>
    </row>
    <row r="186" spans="1:14" x14ac:dyDescent="0.3">
      <c r="A186" s="35" t="str">
        <f t="shared" si="14"/>
        <v>QUÁ HẠN</v>
      </c>
      <c r="B186" s="36"/>
      <c r="C186" s="36">
        <f t="shared" si="15"/>
        <v>0</v>
      </c>
      <c r="D186" s="34">
        <f t="shared" si="16"/>
        <v>1</v>
      </c>
      <c r="E186" s="20">
        <f t="shared" si="20"/>
        <v>0</v>
      </c>
      <c r="F186" s="29"/>
      <c r="G186" s="30">
        <f t="shared" si="17"/>
        <v>0</v>
      </c>
      <c r="H186" s="20" t="str">
        <f t="shared" si="18"/>
        <v/>
      </c>
      <c r="I186" s="20">
        <f t="shared" si="19"/>
        <v>0</v>
      </c>
      <c r="J186" s="20"/>
      <c r="K186" s="20"/>
      <c r="N186" s="12"/>
    </row>
    <row r="187" spans="1:14" x14ac:dyDescent="0.3">
      <c r="A187" s="35" t="str">
        <f t="shared" si="14"/>
        <v>QUÁ HẠN</v>
      </c>
      <c r="B187" s="36"/>
      <c r="C187" s="36">
        <f t="shared" si="15"/>
        <v>0</v>
      </c>
      <c r="D187" s="34">
        <f t="shared" si="16"/>
        <v>1</v>
      </c>
      <c r="E187" s="20">
        <f t="shared" si="20"/>
        <v>0</v>
      </c>
      <c r="F187" s="29"/>
      <c r="G187" s="30">
        <f t="shared" si="17"/>
        <v>0</v>
      </c>
      <c r="H187" s="20" t="str">
        <f t="shared" si="18"/>
        <v/>
      </c>
      <c r="I187" s="20">
        <f t="shared" si="19"/>
        <v>0</v>
      </c>
      <c r="J187" s="20"/>
      <c r="K187" s="20"/>
      <c r="N187" s="12"/>
    </row>
    <row r="188" spans="1:14" x14ac:dyDescent="0.3">
      <c r="A188" s="35" t="str">
        <f t="shared" si="14"/>
        <v>QUÁ HẠN</v>
      </c>
      <c r="B188" s="36"/>
      <c r="C188" s="36">
        <f t="shared" si="15"/>
        <v>0</v>
      </c>
      <c r="D188" s="34">
        <f t="shared" si="16"/>
        <v>1</v>
      </c>
      <c r="E188" s="20">
        <f t="shared" si="20"/>
        <v>0</v>
      </c>
      <c r="F188" s="29"/>
      <c r="G188" s="30">
        <f t="shared" si="17"/>
        <v>0</v>
      </c>
      <c r="H188" s="20" t="str">
        <f t="shared" si="18"/>
        <v/>
      </c>
      <c r="I188" s="20">
        <f t="shared" si="19"/>
        <v>0</v>
      </c>
      <c r="J188" s="20"/>
      <c r="K188" s="20"/>
      <c r="N188" s="12"/>
    </row>
    <row r="189" spans="1:14" x14ac:dyDescent="0.3">
      <c r="A189" s="35" t="str">
        <f t="shared" si="14"/>
        <v>QUÁ HẠN</v>
      </c>
      <c r="B189" s="36"/>
      <c r="C189" s="36">
        <f t="shared" si="15"/>
        <v>0</v>
      </c>
      <c r="D189" s="34">
        <f t="shared" si="16"/>
        <v>1</v>
      </c>
      <c r="E189" s="20">
        <f t="shared" si="20"/>
        <v>0</v>
      </c>
      <c r="F189" s="29"/>
      <c r="G189" s="30">
        <f t="shared" si="17"/>
        <v>0</v>
      </c>
      <c r="H189" s="20" t="str">
        <f t="shared" si="18"/>
        <v/>
      </c>
      <c r="I189" s="20">
        <f t="shared" si="19"/>
        <v>0</v>
      </c>
      <c r="J189" s="20"/>
      <c r="K189" s="20"/>
      <c r="N189" s="12"/>
    </row>
    <row r="190" spans="1:14" x14ac:dyDescent="0.3">
      <c r="A190" s="35" t="str">
        <f t="shared" si="14"/>
        <v>QUÁ HẠN</v>
      </c>
      <c r="B190" s="36"/>
      <c r="C190" s="36">
        <f t="shared" si="15"/>
        <v>0</v>
      </c>
      <c r="D190" s="34">
        <f t="shared" si="16"/>
        <v>1</v>
      </c>
      <c r="E190" s="20">
        <f t="shared" si="20"/>
        <v>0</v>
      </c>
      <c r="F190" s="29"/>
      <c r="G190" s="30">
        <f t="shared" si="17"/>
        <v>0</v>
      </c>
      <c r="H190" s="20" t="str">
        <f t="shared" si="18"/>
        <v/>
      </c>
      <c r="I190" s="20">
        <f t="shared" si="19"/>
        <v>0</v>
      </c>
      <c r="J190" s="20"/>
      <c r="K190" s="20"/>
      <c r="N190" s="12"/>
    </row>
    <row r="191" spans="1:14" x14ac:dyDescent="0.3">
      <c r="A191" s="35" t="str">
        <f t="shared" si="14"/>
        <v>QUÁ HẠN</v>
      </c>
      <c r="B191" s="36"/>
      <c r="C191" s="36">
        <f t="shared" si="15"/>
        <v>0</v>
      </c>
      <c r="D191" s="34">
        <f t="shared" si="16"/>
        <v>1</v>
      </c>
      <c r="E191" s="20">
        <f t="shared" si="20"/>
        <v>0</v>
      </c>
      <c r="F191" s="29"/>
      <c r="G191" s="30">
        <f t="shared" si="17"/>
        <v>0</v>
      </c>
      <c r="H191" s="20" t="str">
        <f t="shared" si="18"/>
        <v/>
      </c>
      <c r="I191" s="20">
        <f t="shared" si="19"/>
        <v>0</v>
      </c>
      <c r="J191" s="20"/>
      <c r="K191" s="20"/>
      <c r="N191" s="12"/>
    </row>
    <row r="192" spans="1:14" x14ac:dyDescent="0.3">
      <c r="A192" s="35" t="str">
        <f t="shared" si="14"/>
        <v>QUÁ HẠN</v>
      </c>
      <c r="B192" s="36"/>
      <c r="C192" s="36">
        <f t="shared" si="15"/>
        <v>0</v>
      </c>
      <c r="D192" s="34">
        <f t="shared" si="16"/>
        <v>1</v>
      </c>
      <c r="E192" s="20">
        <f t="shared" si="20"/>
        <v>0</v>
      </c>
      <c r="F192" s="29"/>
      <c r="G192" s="30">
        <f t="shared" si="17"/>
        <v>0</v>
      </c>
      <c r="H192" s="20" t="str">
        <f t="shared" si="18"/>
        <v/>
      </c>
      <c r="I192" s="20">
        <f t="shared" si="19"/>
        <v>0</v>
      </c>
      <c r="J192" s="20"/>
      <c r="K192" s="20"/>
      <c r="N192" s="12"/>
    </row>
    <row r="193" spans="1:14" x14ac:dyDescent="0.3">
      <c r="A193" s="35" t="str">
        <f t="shared" si="14"/>
        <v>QUÁ HẠN</v>
      </c>
      <c r="B193" s="36"/>
      <c r="C193" s="36">
        <f t="shared" si="15"/>
        <v>0</v>
      </c>
      <c r="D193" s="34">
        <f t="shared" si="16"/>
        <v>1</v>
      </c>
      <c r="E193" s="20">
        <f t="shared" si="20"/>
        <v>0</v>
      </c>
      <c r="F193" s="29"/>
      <c r="G193" s="30">
        <f t="shared" si="17"/>
        <v>0</v>
      </c>
      <c r="H193" s="20" t="str">
        <f t="shared" si="18"/>
        <v/>
      </c>
      <c r="I193" s="20">
        <f t="shared" si="19"/>
        <v>0</v>
      </c>
      <c r="J193" s="20"/>
      <c r="K193" s="20"/>
      <c r="N193" s="12"/>
    </row>
    <row r="194" spans="1:14" x14ac:dyDescent="0.3">
      <c r="A194" s="35" t="str">
        <f t="shared" si="14"/>
        <v>QUÁ HẠN</v>
      </c>
      <c r="B194" s="36"/>
      <c r="C194" s="36">
        <f t="shared" si="15"/>
        <v>0</v>
      </c>
      <c r="D194" s="34">
        <f t="shared" si="16"/>
        <v>1</v>
      </c>
      <c r="E194" s="20">
        <f t="shared" si="20"/>
        <v>0</v>
      </c>
      <c r="F194" s="29"/>
      <c r="G194" s="30">
        <f t="shared" si="17"/>
        <v>0</v>
      </c>
      <c r="H194" s="20" t="str">
        <f t="shared" si="18"/>
        <v/>
      </c>
      <c r="I194" s="20">
        <f t="shared" si="19"/>
        <v>0</v>
      </c>
      <c r="J194" s="20"/>
      <c r="K194" s="20"/>
      <c r="N194" s="12"/>
    </row>
    <row r="195" spans="1:14" x14ac:dyDescent="0.3">
      <c r="A195" s="35" t="str">
        <f t="shared" si="14"/>
        <v>QUÁ HẠN</v>
      </c>
      <c r="B195" s="36"/>
      <c r="C195" s="36">
        <f t="shared" si="15"/>
        <v>0</v>
      </c>
      <c r="D195" s="34">
        <f t="shared" si="16"/>
        <v>1</v>
      </c>
      <c r="E195" s="20">
        <f t="shared" si="20"/>
        <v>0</v>
      </c>
      <c r="F195" s="29"/>
      <c r="G195" s="30">
        <f t="shared" si="17"/>
        <v>0</v>
      </c>
      <c r="H195" s="20" t="str">
        <f t="shared" si="18"/>
        <v/>
      </c>
      <c r="I195" s="20">
        <f t="shared" si="19"/>
        <v>0</v>
      </c>
      <c r="J195" s="20"/>
      <c r="K195" s="20"/>
      <c r="N195" s="12"/>
    </row>
    <row r="196" spans="1:14" x14ac:dyDescent="0.3">
      <c r="A196" s="35" t="str">
        <f t="shared" si="14"/>
        <v>QUÁ HẠN</v>
      </c>
      <c r="B196" s="36"/>
      <c r="C196" s="36">
        <f t="shared" si="15"/>
        <v>0</v>
      </c>
      <c r="D196" s="34">
        <f t="shared" si="16"/>
        <v>1</v>
      </c>
      <c r="E196" s="20">
        <f t="shared" si="20"/>
        <v>0</v>
      </c>
      <c r="F196" s="29"/>
      <c r="G196" s="30">
        <f t="shared" si="17"/>
        <v>0</v>
      </c>
      <c r="H196" s="20" t="str">
        <f t="shared" si="18"/>
        <v/>
      </c>
      <c r="I196" s="20">
        <f t="shared" si="19"/>
        <v>0</v>
      </c>
      <c r="J196" s="20"/>
      <c r="K196" s="20"/>
      <c r="N196" s="12"/>
    </row>
    <row r="197" spans="1:14" x14ac:dyDescent="0.3">
      <c r="A197" s="35" t="str">
        <f t="shared" si="14"/>
        <v>QUÁ HẠN</v>
      </c>
      <c r="B197" s="36"/>
      <c r="C197" s="36">
        <f t="shared" si="15"/>
        <v>0</v>
      </c>
      <c r="D197" s="34">
        <f t="shared" si="16"/>
        <v>1</v>
      </c>
      <c r="E197" s="20">
        <f t="shared" si="20"/>
        <v>0</v>
      </c>
      <c r="F197" s="29"/>
      <c r="G197" s="30">
        <f t="shared" si="17"/>
        <v>0</v>
      </c>
      <c r="H197" s="20" t="str">
        <f t="shared" si="18"/>
        <v/>
      </c>
      <c r="I197" s="20">
        <f t="shared" si="19"/>
        <v>0</v>
      </c>
      <c r="J197" s="20"/>
      <c r="K197" s="20"/>
      <c r="N197" s="12"/>
    </row>
    <row r="198" spans="1:14" x14ac:dyDescent="0.3">
      <c r="A198" s="35" t="str">
        <f t="shared" si="14"/>
        <v>QUÁ HẠN</v>
      </c>
      <c r="B198" s="36"/>
      <c r="C198" s="36">
        <f t="shared" si="15"/>
        <v>0</v>
      </c>
      <c r="D198" s="34">
        <f t="shared" si="16"/>
        <v>1</v>
      </c>
      <c r="E198" s="20">
        <f t="shared" si="20"/>
        <v>0</v>
      </c>
      <c r="F198" s="29"/>
      <c r="G198" s="30">
        <f t="shared" si="17"/>
        <v>0</v>
      </c>
      <c r="H198" s="20" t="str">
        <f t="shared" si="18"/>
        <v/>
      </c>
      <c r="I198" s="20">
        <f t="shared" si="19"/>
        <v>0</v>
      </c>
      <c r="J198" s="20"/>
      <c r="K198" s="20"/>
      <c r="N198" s="12"/>
    </row>
    <row r="199" spans="1:14" x14ac:dyDescent="0.3">
      <c r="A199" s="35" t="str">
        <f t="shared" si="14"/>
        <v>QUÁ HẠN</v>
      </c>
      <c r="B199" s="36"/>
      <c r="C199" s="36">
        <f t="shared" si="15"/>
        <v>0</v>
      </c>
      <c r="D199" s="34">
        <f t="shared" si="16"/>
        <v>1</v>
      </c>
      <c r="E199" s="20">
        <f t="shared" si="20"/>
        <v>0</v>
      </c>
      <c r="F199" s="29"/>
      <c r="G199" s="30">
        <f t="shared" si="17"/>
        <v>0</v>
      </c>
      <c r="H199" s="20" t="str">
        <f t="shared" si="18"/>
        <v/>
      </c>
      <c r="I199" s="20">
        <f t="shared" si="19"/>
        <v>0</v>
      </c>
      <c r="J199" s="20"/>
      <c r="K199" s="20"/>
      <c r="N199" s="12"/>
    </row>
    <row r="200" spans="1:14" x14ac:dyDescent="0.3">
      <c r="A200" s="35" t="str">
        <f t="shared" si="14"/>
        <v>QUÁ HẠN</v>
      </c>
      <c r="B200" s="36"/>
      <c r="C200" s="36">
        <f t="shared" si="15"/>
        <v>0</v>
      </c>
      <c r="D200" s="34">
        <f t="shared" si="16"/>
        <v>1</v>
      </c>
      <c r="E200" s="20">
        <f t="shared" si="20"/>
        <v>0</v>
      </c>
      <c r="F200" s="29"/>
      <c r="G200" s="30">
        <f t="shared" si="17"/>
        <v>0</v>
      </c>
      <c r="H200" s="20" t="str">
        <f t="shared" si="18"/>
        <v/>
      </c>
      <c r="I200" s="20">
        <f t="shared" si="19"/>
        <v>0</v>
      </c>
      <c r="J200" s="20"/>
      <c r="K200" s="20"/>
      <c r="N200" s="12"/>
    </row>
    <row r="201" spans="1:14" x14ac:dyDescent="0.3">
      <c r="A201" s="35" t="str">
        <f t="shared" si="14"/>
        <v>QUÁ HẠN</v>
      </c>
      <c r="B201" s="36"/>
      <c r="C201" s="36">
        <f t="shared" si="15"/>
        <v>0</v>
      </c>
      <c r="D201" s="34">
        <f t="shared" si="16"/>
        <v>1</v>
      </c>
      <c r="E201" s="20">
        <f t="shared" si="20"/>
        <v>0</v>
      </c>
      <c r="F201" s="29"/>
      <c r="G201" s="30">
        <f t="shared" si="17"/>
        <v>0</v>
      </c>
      <c r="H201" s="20" t="str">
        <f t="shared" si="18"/>
        <v/>
      </c>
      <c r="I201" s="20">
        <f t="shared" si="19"/>
        <v>0</v>
      </c>
      <c r="J201" s="20"/>
      <c r="K201" s="20"/>
      <c r="N201" s="12"/>
    </row>
    <row r="202" spans="1:14" x14ac:dyDescent="0.3">
      <c r="A202" s="23"/>
      <c r="B202" s="24"/>
      <c r="C202" s="24" t="s">
        <v>16</v>
      </c>
      <c r="D202" s="25"/>
      <c r="E202" s="26">
        <f>INDEX(E12:E201, COUNTA(E12:E201))</f>
        <v>0</v>
      </c>
      <c r="F202" s="27"/>
      <c r="G202" s="27"/>
      <c r="H202" s="28">
        <f>SUM(H13:H201)</f>
        <v>0</v>
      </c>
      <c r="I202" s="28">
        <f>SUM(I13:I201)</f>
        <v>0</v>
      </c>
      <c r="J202" s="28">
        <f>SUM(J13:J201)</f>
        <v>0</v>
      </c>
      <c r="K202" s="28">
        <f>SUM(K13:K201)</f>
        <v>0</v>
      </c>
    </row>
    <row r="203" spans="1:14" x14ac:dyDescent="0.3">
      <c r="B203" s="18"/>
      <c r="C203" s="19"/>
      <c r="D203" s="19"/>
      <c r="E203" s="19"/>
      <c r="F203" s="19"/>
      <c r="G203" s="19"/>
      <c r="H203" s="19"/>
      <c r="I203" s="19"/>
      <c r="J203" s="19"/>
      <c r="K203" s="19"/>
    </row>
    <row r="204" spans="1:14" x14ac:dyDescent="0.3">
      <c r="H204" s="103" t="s">
        <v>65</v>
      </c>
      <c r="I204" s="103"/>
      <c r="J204" s="103"/>
    </row>
    <row r="205" spans="1:14" x14ac:dyDescent="0.3">
      <c r="I205" s="2"/>
      <c r="J205" s="13"/>
    </row>
    <row r="206" spans="1:14" x14ac:dyDescent="0.3">
      <c r="I206" s="2"/>
      <c r="J206" s="13"/>
    </row>
    <row r="207" spans="1:14" x14ac:dyDescent="0.3">
      <c r="I207" s="2"/>
      <c r="J207" s="13"/>
    </row>
    <row r="208" spans="1:14" x14ac:dyDescent="0.3">
      <c r="H208" s="102" t="str">
        <f>IF(THTT!C2="","",THTT!C2)</f>
        <v>baotg10</v>
      </c>
      <c r="I208" s="102"/>
      <c r="J208" s="102"/>
    </row>
  </sheetData>
  <mergeCells count="6">
    <mergeCell ref="H208:J208"/>
    <mergeCell ref="H204:J204"/>
    <mergeCell ref="A1:K1"/>
    <mergeCell ref="A3:B3"/>
    <mergeCell ref="D4:E4"/>
    <mergeCell ref="G4:H4"/>
  </mergeCells>
  <pageMargins left="0.25" right="0.25" top="0.75" bottom="0.75" header="0.3" footer="0.3"/>
  <pageSetup paperSize="9" scale="92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E283"/>
  <sheetViews>
    <sheetView showGridLines="0" tabSelected="1" zoomScaleNormal="100" workbookViewId="0">
      <selection activeCell="K12" sqref="K12"/>
    </sheetView>
  </sheetViews>
  <sheetFormatPr defaultRowHeight="16.8" x14ac:dyDescent="0.4"/>
  <cols>
    <col min="1" max="1" width="27.33203125" style="80" customWidth="1"/>
    <col min="2" max="2" width="27" style="80" customWidth="1"/>
    <col min="3" max="3" width="27.33203125" style="80" customWidth="1"/>
    <col min="4" max="4" width="13.109375" style="80" customWidth="1"/>
    <col min="5" max="5" width="15.44140625" style="80" customWidth="1"/>
    <col min="6" max="6" width="16.33203125" style="80" customWidth="1"/>
    <col min="7" max="7" width="15.5546875" style="82" customWidth="1"/>
    <col min="8" max="8" width="15.5546875" style="80" customWidth="1"/>
    <col min="9" max="9" width="11.44140625" style="80" hidden="1" customWidth="1"/>
    <col min="10" max="10" width="13" style="80" customWidth="1"/>
    <col min="11" max="11" width="14.77734375" style="80" customWidth="1"/>
    <col min="12" max="12" width="14.44140625" style="80" customWidth="1"/>
    <col min="13" max="13" width="13.109375" style="80" customWidth="1"/>
    <col min="14" max="14" width="13.6640625" style="80" customWidth="1"/>
    <col min="15" max="15" width="13.109375" style="80" customWidth="1"/>
    <col min="16" max="16" width="8.88671875" style="80"/>
    <col min="17" max="17" width="16.44140625" style="80" customWidth="1"/>
    <col min="18" max="18" width="11.6640625" style="80" customWidth="1"/>
    <col min="19" max="19" width="13.109375" style="80" customWidth="1"/>
    <col min="20" max="20" width="8.88671875" style="80"/>
    <col min="21" max="21" width="15.5546875" style="80" customWidth="1"/>
    <col min="22" max="22" width="11.6640625" style="80" customWidth="1"/>
    <col min="23" max="23" width="13.109375" style="80" customWidth="1"/>
    <col min="24" max="24" width="8.88671875" style="80"/>
    <col min="25" max="25" width="11.33203125" style="80" customWidth="1"/>
    <col min="26" max="26" width="11.6640625" style="80" customWidth="1"/>
    <col min="27" max="27" width="13.109375" style="80" customWidth="1"/>
    <col min="28" max="28" width="8.88671875" style="80"/>
    <col min="29" max="29" width="11.33203125" style="80" customWidth="1"/>
    <col min="30" max="30" width="11.6640625" style="80" customWidth="1"/>
    <col min="31" max="31" width="13.109375" style="80" customWidth="1"/>
    <col min="32" max="32" width="8.88671875" style="80"/>
    <col min="33" max="33" width="11.33203125" style="80" customWidth="1"/>
    <col min="34" max="34" width="11.6640625" style="80" customWidth="1"/>
    <col min="35" max="35" width="13.109375" style="80" customWidth="1"/>
    <col min="36" max="36" width="8.88671875" style="80"/>
    <col min="37" max="37" width="11.33203125" style="80" customWidth="1"/>
    <col min="38" max="38" width="11.6640625" style="80" customWidth="1"/>
    <col min="39" max="39" width="13.109375" style="80" customWidth="1"/>
    <col min="40" max="40" width="8.88671875" style="80"/>
    <col min="41" max="41" width="11.33203125" style="80" customWidth="1"/>
    <col min="42" max="42" width="11.6640625" style="80" customWidth="1"/>
    <col min="43" max="43" width="13.109375" style="80" customWidth="1"/>
    <col min="44" max="16384" width="8.88671875" style="80"/>
  </cols>
  <sheetData>
    <row r="1" spans="1:31" ht="17.399999999999999" customHeight="1" thickTop="1" thickBot="1" x14ac:dyDescent="0.45">
      <c r="A1" s="95" t="s">
        <v>6</v>
      </c>
      <c r="B1" s="96" t="s">
        <v>17</v>
      </c>
      <c r="C1" s="97" t="s">
        <v>65</v>
      </c>
      <c r="D1" s="83"/>
      <c r="E1" s="123" t="s">
        <v>24</v>
      </c>
      <c r="F1" s="123"/>
      <c r="G1" s="123"/>
      <c r="H1" s="12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1"/>
      <c r="U1" s="81"/>
      <c r="V1" s="81"/>
      <c r="W1" s="81"/>
      <c r="X1" s="81"/>
      <c r="Y1" s="81"/>
      <c r="Z1" s="81"/>
      <c r="AA1" s="81"/>
      <c r="AB1" s="81"/>
      <c r="AC1" s="81"/>
      <c r="AD1" s="81"/>
      <c r="AE1" s="81"/>
    </row>
    <row r="2" spans="1:31" ht="17.399999999999999" customHeight="1" thickBot="1" x14ac:dyDescent="0.45">
      <c r="A2" s="100"/>
      <c r="B2" s="100"/>
      <c r="C2" s="101" t="s">
        <v>70</v>
      </c>
      <c r="D2" s="83"/>
      <c r="E2" s="84" t="s">
        <v>66</v>
      </c>
      <c r="F2" s="85" t="s">
        <v>67</v>
      </c>
      <c r="G2" s="85" t="s">
        <v>68</v>
      </c>
      <c r="H2" s="85" t="s">
        <v>16</v>
      </c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</row>
    <row r="3" spans="1:31" ht="15.6" customHeight="1" x14ac:dyDescent="0.4">
      <c r="A3" s="130" t="s">
        <v>74</v>
      </c>
      <c r="B3" s="131"/>
      <c r="C3" s="132"/>
      <c r="D3" s="83"/>
      <c r="E3" s="88" t="str">
        <f>IFERROR(IF(INDEX(LKLS!$3:$3,1,1+3*(ROWS($A$1:A1)-1))=0,"",INDEX(LKLS!$3:$3,1,1+3*(ROWS($A$1:A1)-1))),"")</f>
        <v/>
      </c>
      <c r="F3" s="92" t="str">
        <f ca="1">IF(E3="","",IFERROR(INDIRECT("'"&amp;SUBSTITUTE(E3,"'","''")&amp;"'!H5"),""))</f>
        <v/>
      </c>
      <c r="G3" s="92" t="str">
        <f ca="1">IF(E3="","",IFERROR(INDIRECT("'"&amp;SUBSTITUTE(E3,"'","''")&amp;"'!H6"),""))</f>
        <v/>
      </c>
      <c r="H3" s="92" t="str">
        <f ca="1">IF(E3="","",IFERROR(INDIRECT("'"&amp;SUBSTITUTE(E3,"'","''")&amp;"'!H9"),""))</f>
        <v/>
      </c>
      <c r="I3" s="83" t="str">
        <f ca="1">IFERROR(COUNTIF(INDIRECT("'"&amp;E3&amp;"'!D20:D300"),"&lt;0"),"")</f>
        <v/>
      </c>
      <c r="J3" s="83"/>
      <c r="K3" s="83"/>
      <c r="L3" s="83"/>
      <c r="M3" s="83"/>
      <c r="N3" s="83"/>
      <c r="O3" s="83"/>
      <c r="P3" s="83"/>
      <c r="Q3" s="83"/>
      <c r="R3" s="83"/>
      <c r="S3" s="83"/>
      <c r="T3" s="81"/>
      <c r="U3" s="81"/>
      <c r="V3" s="81"/>
      <c r="W3" s="81"/>
      <c r="X3" s="81"/>
      <c r="Y3" s="81"/>
      <c r="Z3" s="81"/>
      <c r="AA3" s="81"/>
      <c r="AB3" s="81"/>
      <c r="AC3" s="81"/>
      <c r="AD3" s="81"/>
      <c r="AE3" s="81"/>
    </row>
    <row r="4" spans="1:31" ht="14.4" customHeight="1" x14ac:dyDescent="0.4">
      <c r="A4" s="133"/>
      <c r="B4" s="134"/>
      <c r="C4" s="135"/>
      <c r="D4" s="83"/>
      <c r="E4" s="89" t="str">
        <f>IFERROR(IF(INDEX(LKLS!$3:$3,1,1+3*(ROWS($A$1:A2)-1))=0,"",INDEX(LKLS!$3:$3,1,1+3*(ROWS($A$1:A2)-1))),"")</f>
        <v/>
      </c>
      <c r="F4" s="93" t="str">
        <f t="shared" ref="F4:F20" ca="1" si="0">IF(E4="","",IFERROR(INDIRECT("'"&amp;SUBSTITUTE(E4,"'","''")&amp;"'!H5"),""))</f>
        <v/>
      </c>
      <c r="G4" s="93" t="str">
        <f t="shared" ref="G4:G20" ca="1" si="1">IF(E4="","",IFERROR(INDIRECT("'"&amp;SUBSTITUTE(E4,"'","''")&amp;"'!H6"),""))</f>
        <v/>
      </c>
      <c r="H4" s="93" t="str">
        <f t="shared" ref="H4:H20" ca="1" si="2">IF(E4="","",IFERROR(INDIRECT("'"&amp;SUBSTITUTE(E4,"'","''")&amp;"'!H9"),""))</f>
        <v/>
      </c>
      <c r="I4" s="83" t="str">
        <f t="shared" ref="I4:I20" ca="1" si="3">IFERROR(COUNTIF(INDIRECT("'"&amp;E4&amp;"'!D20:D300"),"&lt;0"),"")</f>
        <v/>
      </c>
      <c r="J4" s="83"/>
      <c r="K4" s="83"/>
      <c r="L4" s="83"/>
      <c r="M4" s="83"/>
      <c r="N4" s="83"/>
      <c r="O4" s="83"/>
      <c r="P4" s="83"/>
      <c r="Q4" s="83"/>
      <c r="R4" s="83"/>
      <c r="S4" s="83"/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</row>
    <row r="5" spans="1:31" ht="16.8" customHeight="1" x14ac:dyDescent="0.4">
      <c r="A5" s="111" t="s">
        <v>69</v>
      </c>
      <c r="B5" s="112"/>
      <c r="C5" s="113"/>
      <c r="D5" s="83"/>
      <c r="E5" s="89" t="str">
        <f>IFERROR(IF(INDEX(LKLS!$3:$3,1,1+3*(ROWS($A$1:A3)-1))=0,"",INDEX(LKLS!$3:$3,1,1+3*(ROWS($A$1:A3)-1))),"")</f>
        <v/>
      </c>
      <c r="F5" s="93" t="str">
        <f t="shared" ca="1" si="0"/>
        <v/>
      </c>
      <c r="G5" s="93" t="str">
        <f t="shared" ca="1" si="1"/>
        <v/>
      </c>
      <c r="H5" s="93" t="str">
        <f t="shared" ca="1" si="2"/>
        <v/>
      </c>
      <c r="I5" s="83" t="str">
        <f t="shared" ca="1" si="3"/>
        <v/>
      </c>
      <c r="J5" s="83"/>
      <c r="K5" s="83"/>
      <c r="L5" s="83"/>
      <c r="M5" s="83"/>
      <c r="N5" s="83"/>
      <c r="O5" s="83"/>
      <c r="P5" s="83"/>
      <c r="Q5" s="83"/>
      <c r="R5" s="83"/>
      <c r="S5" s="83"/>
      <c r="T5" s="81"/>
      <c r="U5" s="81"/>
      <c r="V5" s="81"/>
      <c r="W5" s="81"/>
      <c r="X5" s="81"/>
      <c r="Y5" s="81"/>
      <c r="Z5" s="81"/>
      <c r="AA5" s="81"/>
      <c r="AB5" s="81"/>
      <c r="AC5" s="81"/>
      <c r="AD5" s="81"/>
      <c r="AE5" s="81"/>
    </row>
    <row r="6" spans="1:31" ht="14.4" customHeight="1" x14ac:dyDescent="0.4">
      <c r="A6" s="111"/>
      <c r="B6" s="112"/>
      <c r="C6" s="113"/>
      <c r="D6" s="83"/>
      <c r="E6" s="89" t="str">
        <f>IFERROR(IF(INDEX(LKLS!$3:$3,1,1+3*(ROWS($A$1:A4)-1))=0,"",INDEX(LKLS!$3:$3,1,1+3*(ROWS($A$1:A4)-1))),"")</f>
        <v/>
      </c>
      <c r="F6" s="93" t="str">
        <f t="shared" ca="1" si="0"/>
        <v/>
      </c>
      <c r="G6" s="93" t="str">
        <f t="shared" ca="1" si="1"/>
        <v/>
      </c>
      <c r="H6" s="93" t="str">
        <f t="shared" ca="1" si="2"/>
        <v/>
      </c>
      <c r="I6" s="83" t="str">
        <f t="shared" ca="1" si="3"/>
        <v/>
      </c>
      <c r="J6" s="83"/>
      <c r="K6" s="83"/>
      <c r="L6" s="83"/>
      <c r="M6" s="83"/>
      <c r="N6" s="83"/>
      <c r="O6" s="83"/>
      <c r="P6" s="83"/>
      <c r="Q6" s="83"/>
      <c r="R6" s="83"/>
      <c r="S6" s="83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</row>
    <row r="7" spans="1:31" ht="18" customHeight="1" x14ac:dyDescent="0.4">
      <c r="A7" s="114" t="str">
        <f ca="1">IFERROR(
    IF(
        COUNT($I$3:$I$20)=0,
        "",
        IF(
            SUM($I$3:$I$20)=0,
            "✓ Kết quả tính toán đã chính xác."
            &amp;CHAR(10)&amp;"- Gốc thấp hơn ""Fin"" do GIẢI NGÂN KỸ THUẬT: kiểm tra Chi tiết các giải và thu nợ, trừ phần GIẢI NGÂN KỸ THUẬT ở trả gốc và trả lãi."
            &amp;CHAR(10)&amp;"- Nếu cơ cấu nợ: làm như GNKT và thêm bước nữa là cộng các giao dịch vào trả gốc hoặc trả lãi của KH."
            &amp;CHAR(10)&amp;"- Nếu có thêm giao dịch mới từ KH: up lại sao kê, bấm ""Xóa"", rồi tạo lại."
            &amp;CHAR(10)&amp;"- Nếu cần đổi lãi suất: vào sheet LKLS để chỉnh.",
            "⚠ Bạn đang tính lùi ngày, có số âm trong cột D ở sheet "
            &amp;INDEX($E$3:$E$20,MATCH(1,INDEX(($I$3:$I$20&gt;0)*1,0),0))
            &amp;", hãy xóa dòng số """
            &amp;(MATCH(
                TRUE,
                INDEX(INDIRECT("'"&amp;INDEX($E$3:$E$20,MATCH(1,INDEX(($I$3:$I$20&gt;0)*1,0),0))&amp;"'!D20:D300")&lt;0,0),
                0
            )+19)
            &amp;""" để ra phép tính đúng."
        )
    ),
"")</f>
        <v/>
      </c>
      <c r="B7" s="115"/>
      <c r="C7" s="116"/>
      <c r="D7" s="83"/>
      <c r="E7" s="89" t="str">
        <f>IFERROR(IF(INDEX(LKLS!$3:$3,1,1+3*(ROWS($A$1:A5)-1))=0,"",INDEX(LKLS!$3:$3,1,1+3*(ROWS($A$1:A5)-1))),"")</f>
        <v/>
      </c>
      <c r="F7" s="93" t="str">
        <f t="shared" ca="1" si="0"/>
        <v/>
      </c>
      <c r="G7" s="93" t="str">
        <f t="shared" ca="1" si="1"/>
        <v/>
      </c>
      <c r="H7" s="93" t="str">
        <f t="shared" ca="1" si="2"/>
        <v/>
      </c>
      <c r="I7" s="83" t="str">
        <f t="shared" ca="1" si="3"/>
        <v/>
      </c>
      <c r="J7" s="83"/>
      <c r="K7" s="83"/>
      <c r="L7" s="83"/>
      <c r="M7" s="83"/>
      <c r="N7" s="83"/>
      <c r="O7" s="83"/>
      <c r="P7" s="83"/>
      <c r="Q7" s="83"/>
      <c r="R7" s="83"/>
      <c r="S7" s="83"/>
      <c r="T7" s="81"/>
      <c r="U7" s="81"/>
      <c r="V7" s="81"/>
      <c r="W7" s="81"/>
      <c r="X7" s="81"/>
      <c r="Y7" s="81"/>
      <c r="Z7" s="81"/>
      <c r="AA7" s="81"/>
      <c r="AB7" s="81"/>
      <c r="AC7" s="81"/>
      <c r="AD7" s="81"/>
      <c r="AE7" s="81"/>
    </row>
    <row r="8" spans="1:31" ht="14.4" customHeight="1" x14ac:dyDescent="0.4">
      <c r="A8" s="114"/>
      <c r="B8" s="115"/>
      <c r="C8" s="116"/>
      <c r="D8" s="83"/>
      <c r="E8" s="89" t="str">
        <f>IFERROR(IF(INDEX(LKLS!$3:$3,1,1+3*(ROWS($A$1:A6)-1))=0,"",INDEX(LKLS!$3:$3,1,1+3*(ROWS($A$1:A6)-1))),"")</f>
        <v/>
      </c>
      <c r="F8" s="93" t="str">
        <f t="shared" ca="1" si="0"/>
        <v/>
      </c>
      <c r="G8" s="93" t="str">
        <f t="shared" ca="1" si="1"/>
        <v/>
      </c>
      <c r="H8" s="93" t="str">
        <f t="shared" ca="1" si="2"/>
        <v/>
      </c>
      <c r="I8" s="83" t="str">
        <f t="shared" ca="1" si="3"/>
        <v/>
      </c>
      <c r="J8" s="83"/>
      <c r="K8" s="83"/>
      <c r="L8" s="83"/>
      <c r="M8" s="83"/>
      <c r="N8" s="83"/>
      <c r="O8" s="83"/>
      <c r="P8" s="83"/>
      <c r="Q8" s="83"/>
      <c r="R8" s="83"/>
      <c r="S8" s="83"/>
      <c r="T8" s="81"/>
      <c r="U8" s="81"/>
      <c r="V8" s="81"/>
      <c r="W8" s="81"/>
      <c r="X8" s="81"/>
      <c r="Y8" s="81"/>
      <c r="Z8" s="81"/>
      <c r="AA8" s="81"/>
      <c r="AB8" s="81"/>
      <c r="AC8" s="81"/>
      <c r="AD8" s="81"/>
      <c r="AE8" s="81"/>
    </row>
    <row r="9" spans="1:31" ht="17.399999999999999" customHeight="1" x14ac:dyDescent="0.4">
      <c r="A9" s="114"/>
      <c r="B9" s="115"/>
      <c r="C9" s="116"/>
      <c r="D9" s="83"/>
      <c r="E9" s="89" t="str">
        <f>IFERROR(IF(INDEX(LKLS!$3:$3,1,1+3*(ROWS($A$1:A7)-1))=0,"",INDEX(LKLS!$3:$3,1,1+3*(ROWS($A$1:A7)-1))),"")</f>
        <v/>
      </c>
      <c r="F9" s="93" t="str">
        <f t="shared" ca="1" si="0"/>
        <v/>
      </c>
      <c r="G9" s="93" t="str">
        <f t="shared" ca="1" si="1"/>
        <v/>
      </c>
      <c r="H9" s="93" t="str">
        <f t="shared" ca="1" si="2"/>
        <v/>
      </c>
      <c r="I9" s="83" t="str">
        <f t="shared" ca="1" si="3"/>
        <v/>
      </c>
      <c r="J9" s="83"/>
      <c r="K9" s="83"/>
      <c r="L9" s="83"/>
      <c r="M9" s="83"/>
      <c r="N9" s="83"/>
      <c r="O9" s="83"/>
      <c r="P9" s="83"/>
      <c r="Q9" s="83"/>
      <c r="R9" s="83"/>
      <c r="S9" s="83"/>
      <c r="T9" s="81"/>
      <c r="U9" s="81"/>
      <c r="V9" s="81"/>
      <c r="W9" s="81"/>
      <c r="X9" s="81"/>
      <c r="Y9" s="81"/>
      <c r="Z9" s="81"/>
      <c r="AA9" s="81"/>
      <c r="AB9" s="81"/>
      <c r="AC9" s="81"/>
      <c r="AD9" s="81"/>
      <c r="AE9" s="81"/>
    </row>
    <row r="10" spans="1:31" ht="18" customHeight="1" x14ac:dyDescent="0.4">
      <c r="A10" s="114"/>
      <c r="B10" s="115"/>
      <c r="C10" s="116"/>
      <c r="D10" s="83"/>
      <c r="E10" s="89" t="str">
        <f>IFERROR(IF(INDEX(LKLS!$3:$3,1,1+3*(ROWS($A$1:A8)-1))=0,"",INDEX(LKLS!$3:$3,1,1+3*(ROWS($A$1:A8)-1))),"")</f>
        <v/>
      </c>
      <c r="F10" s="93" t="str">
        <f t="shared" ca="1" si="0"/>
        <v/>
      </c>
      <c r="G10" s="93" t="str">
        <f t="shared" ca="1" si="1"/>
        <v/>
      </c>
      <c r="H10" s="93" t="str">
        <f t="shared" ca="1" si="2"/>
        <v/>
      </c>
      <c r="I10" s="83" t="str">
        <f t="shared" ca="1" si="3"/>
        <v/>
      </c>
      <c r="J10" s="83"/>
      <c r="K10" s="83"/>
      <c r="L10" s="83"/>
      <c r="M10" s="83"/>
      <c r="N10" s="83"/>
      <c r="O10" s="83"/>
      <c r="P10" s="83"/>
      <c r="Q10" s="83"/>
      <c r="R10" s="83"/>
      <c r="S10" s="83"/>
      <c r="T10" s="81"/>
      <c r="U10" s="81"/>
      <c r="V10" s="81"/>
      <c r="W10" s="81"/>
      <c r="X10" s="81"/>
      <c r="Y10" s="81"/>
      <c r="Z10" s="81"/>
      <c r="AA10" s="81"/>
      <c r="AB10" s="81"/>
      <c r="AC10" s="81"/>
      <c r="AD10" s="81"/>
      <c r="AE10" s="81"/>
    </row>
    <row r="11" spans="1:31" ht="18" customHeight="1" x14ac:dyDescent="0.4">
      <c r="A11" s="114"/>
      <c r="B11" s="115"/>
      <c r="C11" s="116"/>
      <c r="D11" s="83"/>
      <c r="E11" s="89" t="str">
        <f>IFERROR(IF(INDEX(LKLS!$3:$3,1,1+3*(ROWS($A$1:A9)-1))=0,"",INDEX(LKLS!$3:$3,1,1+3*(ROWS($A$1:A9)-1))),"")</f>
        <v/>
      </c>
      <c r="F11" s="93" t="str">
        <f t="shared" ca="1" si="0"/>
        <v/>
      </c>
      <c r="G11" s="93" t="str">
        <f t="shared" ca="1" si="1"/>
        <v/>
      </c>
      <c r="H11" s="93" t="str">
        <f t="shared" ca="1" si="2"/>
        <v/>
      </c>
      <c r="I11" s="83" t="str">
        <f t="shared" ca="1" si="3"/>
        <v/>
      </c>
      <c r="J11" s="83"/>
      <c r="K11" s="83"/>
      <c r="L11" s="83"/>
      <c r="M11" s="83"/>
      <c r="N11" s="83"/>
      <c r="O11" s="83"/>
      <c r="P11" s="83"/>
      <c r="Q11" s="83"/>
      <c r="R11" s="83"/>
      <c r="S11" s="83"/>
      <c r="T11" s="81"/>
      <c r="U11" s="81"/>
      <c r="V11" s="81"/>
      <c r="W11" s="81"/>
      <c r="X11" s="81"/>
      <c r="Y11" s="81"/>
      <c r="Z11" s="81"/>
      <c r="AA11" s="81"/>
      <c r="AB11" s="81"/>
      <c r="AC11" s="81"/>
      <c r="AD11" s="81"/>
      <c r="AE11" s="81"/>
    </row>
    <row r="12" spans="1:31" ht="16.8" customHeight="1" x14ac:dyDescent="0.4">
      <c r="A12" s="114"/>
      <c r="B12" s="115"/>
      <c r="C12" s="116"/>
      <c r="D12" s="83"/>
      <c r="E12" s="89" t="str">
        <f>IFERROR(IF(INDEX(LKLS!$3:$3,1,1+3*(ROWS($A$1:A16)-1))=0,"",INDEX(LKLS!$3:$3,1,1+3*(ROWS($A$1:A16)-1))),"")</f>
        <v/>
      </c>
      <c r="F12" s="93" t="str">
        <f t="shared" ca="1" si="0"/>
        <v/>
      </c>
      <c r="G12" s="93" t="str">
        <f t="shared" ca="1" si="1"/>
        <v/>
      </c>
      <c r="H12" s="93" t="str">
        <f t="shared" ca="1" si="2"/>
        <v/>
      </c>
      <c r="I12" s="83" t="str">
        <f t="shared" ca="1" si="3"/>
        <v/>
      </c>
      <c r="J12" s="83"/>
      <c r="K12" s="83"/>
      <c r="L12" s="83"/>
      <c r="M12" s="83"/>
      <c r="N12" s="83"/>
      <c r="O12" s="83"/>
      <c r="P12" s="83"/>
      <c r="Q12" s="83"/>
      <c r="R12" s="83"/>
      <c r="S12" s="83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</row>
    <row r="13" spans="1:31" ht="15" hidden="1" customHeight="1" thickBot="1" x14ac:dyDescent="0.45">
      <c r="A13" s="114"/>
      <c r="B13" s="115"/>
      <c r="C13" s="116"/>
      <c r="D13" s="83"/>
      <c r="E13" s="89" t="str">
        <f>IFERROR(IF(INDEX(LKLS!$3:$3,1,1+3*(ROWS($A$1:A11)-1))=0,"",INDEX(LKLS!$3:$3,1,1+3*(ROWS($A$1:A11)-1))),"")</f>
        <v/>
      </c>
      <c r="F13" s="93" t="str">
        <f t="shared" ca="1" si="0"/>
        <v/>
      </c>
      <c r="G13" s="93" t="str">
        <f t="shared" ca="1" si="1"/>
        <v/>
      </c>
      <c r="H13" s="93" t="str">
        <f t="shared" ca="1" si="2"/>
        <v/>
      </c>
      <c r="I13" s="83" t="str">
        <f t="shared" ca="1" si="3"/>
        <v/>
      </c>
      <c r="J13" s="83"/>
      <c r="K13" s="83"/>
      <c r="L13" s="83"/>
      <c r="M13" s="83"/>
      <c r="N13" s="83"/>
      <c r="O13" s="83"/>
      <c r="P13" s="83"/>
      <c r="Q13" s="83"/>
      <c r="R13" s="83"/>
      <c r="S13" s="83"/>
      <c r="T13" s="81"/>
      <c r="U13" s="81"/>
      <c r="V13" s="81"/>
      <c r="W13" s="81"/>
      <c r="X13" s="81"/>
      <c r="Y13" s="81"/>
      <c r="Z13" s="81"/>
      <c r="AA13" s="81"/>
      <c r="AB13" s="81"/>
      <c r="AC13" s="81"/>
      <c r="AD13" s="81"/>
      <c r="AE13" s="81"/>
    </row>
    <row r="14" spans="1:31" ht="17.399999999999999" customHeight="1" x14ac:dyDescent="0.4">
      <c r="A14" s="124" t="s">
        <v>71</v>
      </c>
      <c r="B14" s="126" t="s">
        <v>72</v>
      </c>
      <c r="C14" s="128" t="s">
        <v>73</v>
      </c>
      <c r="D14" s="83"/>
      <c r="E14" s="89" t="str">
        <f>IFERROR(IF(INDEX(LKLS!$3:$3,1,1+3*(ROWS($A$1:A12)-1))=0,"",INDEX(LKLS!$3:$3,1,1+3*(ROWS($A$1:A12)-1))),"")</f>
        <v/>
      </c>
      <c r="F14" s="93" t="str">
        <f t="shared" ca="1" si="0"/>
        <v/>
      </c>
      <c r="G14" s="93" t="str">
        <f t="shared" ca="1" si="1"/>
        <v/>
      </c>
      <c r="H14" s="93" t="str">
        <f t="shared" ca="1" si="2"/>
        <v/>
      </c>
      <c r="I14" s="83" t="str">
        <f t="shared" ca="1" si="3"/>
        <v/>
      </c>
      <c r="J14" s="83"/>
      <c r="K14" s="83"/>
      <c r="L14" s="83"/>
      <c r="M14" s="83"/>
      <c r="N14" s="83"/>
      <c r="O14" s="83"/>
      <c r="P14" s="83"/>
      <c r="Q14" s="83"/>
      <c r="R14" s="83"/>
      <c r="S14" s="83"/>
      <c r="T14" s="81"/>
      <c r="U14" s="81"/>
      <c r="V14" s="81"/>
      <c r="W14" s="81"/>
      <c r="X14" s="81"/>
      <c r="Y14" s="81"/>
      <c r="Z14" s="81"/>
      <c r="AA14" s="81"/>
      <c r="AB14" s="81"/>
      <c r="AC14" s="81"/>
      <c r="AD14" s="81"/>
      <c r="AE14" s="81"/>
    </row>
    <row r="15" spans="1:31" x14ac:dyDescent="0.4">
      <c r="A15" s="125"/>
      <c r="B15" s="127"/>
      <c r="C15" s="129"/>
      <c r="D15" s="83"/>
      <c r="E15" s="89" t="str">
        <f>IFERROR(IF(INDEX(LKLS!$3:$3,1,1+3*(ROWS($A$1:A13)-1))=0,"",INDEX(LKLS!$3:$3,1,1+3*(ROWS($A$1:A13)-1))),"")</f>
        <v/>
      </c>
      <c r="F15" s="93" t="str">
        <f t="shared" ca="1" si="0"/>
        <v/>
      </c>
      <c r="G15" s="93" t="str">
        <f t="shared" ca="1" si="1"/>
        <v/>
      </c>
      <c r="H15" s="93" t="str">
        <f t="shared" ca="1" si="2"/>
        <v/>
      </c>
      <c r="I15" s="83" t="str">
        <f t="shared" ca="1" si="3"/>
        <v/>
      </c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1"/>
      <c r="U15" s="81"/>
      <c r="V15" s="81"/>
      <c r="W15" s="81"/>
      <c r="X15" s="81"/>
      <c r="Y15" s="81"/>
      <c r="Z15" s="81"/>
      <c r="AA15" s="81"/>
      <c r="AB15" s="81"/>
      <c r="AC15" s="81"/>
      <c r="AD15" s="81"/>
      <c r="AE15" s="81"/>
    </row>
    <row r="16" spans="1:31" x14ac:dyDescent="0.4">
      <c r="A16" s="125"/>
      <c r="B16" s="127"/>
      <c r="C16" s="129"/>
      <c r="D16" s="83"/>
      <c r="E16" s="89" t="str">
        <f>IFERROR(IF(INDEX(LKLS!$3:$3,1,1+3*(ROWS($A$1:A14)-1))=0,"",INDEX(LKLS!$3:$3,1,1+3*(ROWS($A$1:A14)-1))),"")</f>
        <v/>
      </c>
      <c r="F16" s="93" t="str">
        <f t="shared" ca="1" si="0"/>
        <v/>
      </c>
      <c r="G16" s="93" t="str">
        <f t="shared" ca="1" si="1"/>
        <v/>
      </c>
      <c r="H16" s="93" t="str">
        <f t="shared" ca="1" si="2"/>
        <v/>
      </c>
      <c r="I16" s="83" t="str">
        <f t="shared" ca="1" si="3"/>
        <v/>
      </c>
      <c r="J16" s="83"/>
      <c r="K16" s="83"/>
      <c r="L16" s="83"/>
      <c r="M16" s="83"/>
      <c r="N16" s="83"/>
      <c r="O16" s="83"/>
      <c r="P16" s="83"/>
      <c r="Q16" s="83"/>
      <c r="R16" s="83"/>
      <c r="S16" s="83"/>
      <c r="T16" s="81"/>
      <c r="U16" s="81"/>
      <c r="V16" s="81"/>
      <c r="W16" s="81"/>
      <c r="X16" s="81"/>
      <c r="Y16" s="81"/>
      <c r="Z16" s="81"/>
      <c r="AA16" s="81"/>
      <c r="AB16" s="81"/>
      <c r="AC16" s="81"/>
      <c r="AD16" s="81"/>
      <c r="AE16" s="81"/>
    </row>
    <row r="17" spans="1:31" ht="18.600000000000001" customHeight="1" x14ac:dyDescent="0.4">
      <c r="A17" s="98"/>
      <c r="B17" s="86"/>
      <c r="C17" s="99"/>
      <c r="D17" s="83"/>
      <c r="E17" s="89" t="str">
        <f>IFERROR(IF(INDEX(LKLS!$3:$3,1,1+3*(ROWS($A$1:A15)-1))=0,"",INDEX(LKLS!$3:$3,1,1+3*(ROWS($A$1:A15)-1))),"")</f>
        <v/>
      </c>
      <c r="F17" s="93" t="str">
        <f t="shared" ca="1" si="0"/>
        <v/>
      </c>
      <c r="G17" s="93" t="str">
        <f t="shared" ca="1" si="1"/>
        <v/>
      </c>
      <c r="H17" s="93" t="str">
        <f t="shared" ca="1" si="2"/>
        <v/>
      </c>
      <c r="I17" s="83" t="str">
        <f t="shared" ca="1" si="3"/>
        <v/>
      </c>
      <c r="J17" s="83"/>
      <c r="K17" s="83"/>
      <c r="L17" s="83"/>
      <c r="M17" s="83"/>
      <c r="N17" s="83"/>
      <c r="O17" s="83"/>
      <c r="P17" s="83"/>
      <c r="Q17" s="83"/>
      <c r="R17" s="83"/>
      <c r="S17" s="83"/>
      <c r="T17" s="81"/>
      <c r="U17" s="81"/>
      <c r="V17" s="81"/>
      <c r="W17" s="81"/>
      <c r="X17" s="81"/>
      <c r="Y17" s="81"/>
      <c r="Z17" s="81"/>
      <c r="AA17" s="81"/>
      <c r="AB17" s="81"/>
      <c r="AC17" s="81"/>
      <c r="AD17" s="81"/>
      <c r="AE17" s="81"/>
    </row>
    <row r="18" spans="1:31" ht="15.6" customHeight="1" x14ac:dyDescent="0.4">
      <c r="A18" s="117" t="s">
        <v>75</v>
      </c>
      <c r="B18" s="118"/>
      <c r="C18" s="119"/>
      <c r="D18" s="83"/>
      <c r="E18" s="89" t="str">
        <f>IFERROR(IF(INDEX(LKLS!$3:$3,1,1+3*(ROWS($A$1:A16)-1))=0,"",INDEX(LKLS!$3:$3,1,1+3*(ROWS($A$1:A16)-1))),"")</f>
        <v/>
      </c>
      <c r="F18" s="93" t="str">
        <f t="shared" ca="1" si="0"/>
        <v/>
      </c>
      <c r="G18" s="93" t="str">
        <f t="shared" ca="1" si="1"/>
        <v/>
      </c>
      <c r="H18" s="93" t="str">
        <f t="shared" ca="1" si="2"/>
        <v/>
      </c>
      <c r="I18" s="83" t="str">
        <f t="shared" ca="1" si="3"/>
        <v/>
      </c>
      <c r="J18" s="83"/>
      <c r="K18" s="83"/>
      <c r="L18" s="83"/>
      <c r="M18" s="83"/>
      <c r="N18" s="83"/>
      <c r="O18" s="83"/>
      <c r="P18" s="83"/>
      <c r="Q18" s="83"/>
      <c r="R18" s="83"/>
      <c r="S18" s="83"/>
      <c r="T18" s="81"/>
      <c r="U18" s="81"/>
      <c r="V18" s="81"/>
      <c r="W18" s="81"/>
      <c r="X18" s="81"/>
      <c r="Y18" s="81"/>
      <c r="Z18" s="81"/>
      <c r="AA18" s="81"/>
      <c r="AB18" s="81"/>
      <c r="AC18" s="81"/>
      <c r="AD18" s="81"/>
      <c r="AE18" s="81"/>
    </row>
    <row r="19" spans="1:31" ht="16.8" customHeight="1" x14ac:dyDescent="0.4">
      <c r="A19" s="117"/>
      <c r="B19" s="118"/>
      <c r="C19" s="119"/>
      <c r="D19" s="83"/>
      <c r="E19" s="89" t="str">
        <f>IFERROR(IF(INDEX(LKLS!$3:$3,1,1+3*(ROWS($A$1:A16)-1))=0,"",INDEX(LKLS!$3:$3,1,1+3*(ROWS($A$1:A16)-1))),"")</f>
        <v/>
      </c>
      <c r="F19" s="93" t="str">
        <f t="shared" ca="1" si="0"/>
        <v/>
      </c>
      <c r="G19" s="93" t="str">
        <f t="shared" ca="1" si="1"/>
        <v/>
      </c>
      <c r="H19" s="93" t="str">
        <f t="shared" ca="1" si="2"/>
        <v/>
      </c>
      <c r="I19" s="83" t="str">
        <f t="shared" ca="1" si="3"/>
        <v/>
      </c>
      <c r="J19" s="83"/>
      <c r="K19" s="83"/>
      <c r="L19" s="83"/>
      <c r="M19" s="83"/>
      <c r="N19" s="83"/>
      <c r="O19" s="83"/>
      <c r="P19" s="83"/>
      <c r="Q19" s="83"/>
      <c r="R19" s="83"/>
      <c r="S19" s="83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81"/>
      <c r="AE19" s="81"/>
    </row>
    <row r="20" spans="1:31" ht="17.399999999999999" thickBot="1" x14ac:dyDescent="0.45">
      <c r="A20" s="120"/>
      <c r="B20" s="121"/>
      <c r="C20" s="122"/>
      <c r="D20" s="83"/>
      <c r="E20" s="89" t="str">
        <f>IFERROR(IF(INDEX(LKLS!$3:$3,1,1+3*(ROWS($A$1:A18)-1))=0,"",INDEX(LKLS!$3:$3,1,1+3*(ROWS($A$1:A18)-1))),"")</f>
        <v/>
      </c>
      <c r="F20" s="93" t="str">
        <f t="shared" ca="1" si="0"/>
        <v/>
      </c>
      <c r="G20" s="93" t="str">
        <f t="shared" ca="1" si="1"/>
        <v/>
      </c>
      <c r="H20" s="93" t="str">
        <f t="shared" ca="1" si="2"/>
        <v/>
      </c>
      <c r="I20" s="83" t="str">
        <f t="shared" ca="1" si="3"/>
        <v/>
      </c>
      <c r="J20" s="83"/>
      <c r="K20" s="83"/>
      <c r="L20" s="83"/>
      <c r="M20" s="83"/>
      <c r="N20" s="83"/>
      <c r="O20" s="83"/>
      <c r="P20" s="83"/>
      <c r="Q20" s="83"/>
      <c r="R20" s="83"/>
      <c r="S20" s="83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81"/>
      <c r="AE20" s="81"/>
    </row>
    <row r="21" spans="1:31" ht="17.399999999999999" thickTop="1" x14ac:dyDescent="0.4">
      <c r="A21" s="83"/>
      <c r="B21" s="83"/>
      <c r="C21" s="83"/>
      <c r="D21" s="83"/>
      <c r="E21" s="87" t="s">
        <v>16</v>
      </c>
      <c r="F21" s="94">
        <f ca="1">SUM(F3:F20)</f>
        <v>0</v>
      </c>
      <c r="G21" s="94">
        <f ca="1">SUM(G3:G20)</f>
        <v>0</v>
      </c>
      <c r="H21" s="94">
        <f ca="1">SUM(H3:H20)</f>
        <v>0</v>
      </c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1"/>
      <c r="U21" s="81"/>
      <c r="V21" s="81"/>
      <c r="W21" s="81"/>
      <c r="X21" s="81"/>
      <c r="Y21" s="81"/>
      <c r="Z21" s="81"/>
      <c r="AA21" s="81"/>
      <c r="AB21" s="81"/>
      <c r="AC21" s="81"/>
      <c r="AD21" s="81"/>
      <c r="AE21" s="81"/>
    </row>
    <row r="22" spans="1:31" x14ac:dyDescent="0.4">
      <c r="A22" s="83"/>
      <c r="B22" s="83"/>
      <c r="C22" s="83"/>
      <c r="D22" s="83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83"/>
      <c r="Q22" s="83"/>
      <c r="R22" s="83"/>
      <c r="S22" s="83"/>
      <c r="T22" s="81"/>
      <c r="U22" s="81"/>
      <c r="V22" s="81"/>
      <c r="W22" s="81"/>
      <c r="X22" s="81"/>
      <c r="Y22" s="81"/>
      <c r="Z22" s="81"/>
      <c r="AA22" s="81"/>
      <c r="AB22" s="81"/>
      <c r="AC22" s="81"/>
      <c r="AD22" s="81"/>
      <c r="AE22" s="81"/>
    </row>
    <row r="23" spans="1:31" x14ac:dyDescent="0.4">
      <c r="A23" s="83"/>
      <c r="B23" s="83"/>
      <c r="C23" s="83"/>
      <c r="D23" s="83"/>
      <c r="E23" s="83"/>
      <c r="F23" s="83"/>
      <c r="G23" s="83"/>
      <c r="H23" s="83"/>
      <c r="I23" s="83"/>
      <c r="J23" s="83"/>
      <c r="K23" s="83"/>
      <c r="L23" s="83"/>
      <c r="M23" s="83"/>
      <c r="N23" s="83"/>
      <c r="O23" s="83"/>
      <c r="P23" s="83"/>
      <c r="Q23" s="83"/>
      <c r="R23" s="83"/>
      <c r="S23" s="83"/>
      <c r="T23" s="81"/>
      <c r="U23" s="81"/>
      <c r="V23" s="81"/>
      <c r="W23" s="81"/>
      <c r="X23" s="81"/>
      <c r="Y23" s="81"/>
      <c r="Z23" s="81"/>
      <c r="AA23" s="81"/>
      <c r="AB23" s="81"/>
      <c r="AC23" s="81"/>
      <c r="AD23" s="81"/>
      <c r="AE23" s="81"/>
    </row>
    <row r="24" spans="1:31" x14ac:dyDescent="0.4">
      <c r="A24" s="83"/>
      <c r="B24" s="83"/>
      <c r="C24" s="83"/>
      <c r="D24" s="83"/>
      <c r="E24" s="83"/>
      <c r="F24" s="83"/>
      <c r="G24" s="83"/>
      <c r="H24" s="83"/>
      <c r="I24" s="83"/>
      <c r="J24" s="83"/>
      <c r="K24" s="83"/>
      <c r="L24" s="83"/>
      <c r="M24" s="83"/>
      <c r="N24" s="83"/>
      <c r="O24" s="83"/>
      <c r="P24" s="83"/>
      <c r="Q24" s="83"/>
      <c r="R24" s="83"/>
      <c r="S24" s="83"/>
      <c r="T24" s="83"/>
      <c r="U24" s="83"/>
      <c r="V24" s="83"/>
      <c r="W24" s="83"/>
      <c r="X24" s="83"/>
      <c r="Y24" s="83"/>
      <c r="Z24" s="83"/>
      <c r="AA24" s="83"/>
      <c r="AB24" s="83"/>
      <c r="AC24" s="83"/>
      <c r="AD24" s="81"/>
      <c r="AE24" s="81"/>
    </row>
    <row r="25" spans="1:31" x14ac:dyDescent="0.4">
      <c r="A25" s="83"/>
      <c r="B25" s="83"/>
      <c r="C25" s="83"/>
      <c r="D25" s="83"/>
      <c r="E25" s="83"/>
      <c r="F25" s="83"/>
      <c r="G25" s="83"/>
      <c r="H25" s="83"/>
      <c r="I25" s="83"/>
      <c r="J25" s="83"/>
      <c r="K25" s="83"/>
      <c r="L25" s="83"/>
      <c r="M25" s="83"/>
      <c r="N25" s="83"/>
      <c r="O25" s="83"/>
      <c r="P25" s="83"/>
      <c r="Q25" s="83"/>
      <c r="R25" s="83"/>
      <c r="S25" s="83"/>
      <c r="T25" s="83"/>
      <c r="U25" s="83"/>
      <c r="V25" s="83"/>
      <c r="W25" s="83"/>
      <c r="X25" s="83"/>
      <c r="Y25" s="83"/>
      <c r="Z25" s="83"/>
      <c r="AA25" s="83"/>
      <c r="AB25" s="83"/>
      <c r="AC25" s="83"/>
      <c r="AD25" s="81"/>
      <c r="AE25" s="81"/>
    </row>
    <row r="26" spans="1:31" x14ac:dyDescent="0.4">
      <c r="A26" s="83"/>
      <c r="B26" s="83"/>
      <c r="C26" s="83"/>
      <c r="D26" s="83"/>
      <c r="E26" s="83"/>
      <c r="F26" s="83"/>
      <c r="G26" s="83"/>
      <c r="H26" s="83"/>
      <c r="I26" s="83"/>
      <c r="J26" s="83"/>
      <c r="K26" s="83"/>
      <c r="L26" s="83"/>
      <c r="M26" s="83"/>
      <c r="N26" s="83"/>
      <c r="O26" s="83"/>
      <c r="P26" s="83"/>
      <c r="Q26" s="83"/>
      <c r="R26" s="83"/>
      <c r="S26" s="83"/>
      <c r="T26" s="83"/>
      <c r="U26" s="83"/>
      <c r="V26" s="83"/>
      <c r="W26" s="83"/>
      <c r="X26" s="83"/>
      <c r="Y26" s="83"/>
      <c r="Z26" s="83"/>
      <c r="AA26" s="83"/>
      <c r="AB26" s="83"/>
      <c r="AC26" s="83"/>
      <c r="AD26" s="81"/>
      <c r="AE26" s="81"/>
    </row>
    <row r="27" spans="1:31" x14ac:dyDescent="0.4">
      <c r="A27" s="83"/>
      <c r="B27" s="83"/>
      <c r="C27" s="83"/>
      <c r="D27" s="83"/>
      <c r="E27" s="83"/>
      <c r="F27" s="83"/>
      <c r="G27" s="83"/>
      <c r="H27" s="83"/>
      <c r="I27" s="83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83"/>
      <c r="U27" s="83"/>
      <c r="V27" s="83"/>
      <c r="W27" s="83"/>
      <c r="X27" s="83"/>
      <c r="Y27" s="83"/>
      <c r="Z27" s="83"/>
      <c r="AA27" s="83"/>
      <c r="AB27" s="83"/>
      <c r="AC27" s="83"/>
      <c r="AD27" s="81"/>
      <c r="AE27" s="81"/>
    </row>
    <row r="28" spans="1:31" x14ac:dyDescent="0.4">
      <c r="A28" s="83"/>
      <c r="B28" s="83"/>
      <c r="C28" s="83"/>
      <c r="D28" s="83"/>
      <c r="E28" s="83"/>
      <c r="F28" s="83"/>
      <c r="G28" s="83"/>
      <c r="H28" s="83"/>
      <c r="I28" s="83"/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3"/>
      <c r="U28" s="83"/>
      <c r="V28" s="83"/>
      <c r="W28" s="83"/>
      <c r="X28" s="83"/>
      <c r="Y28" s="83"/>
      <c r="Z28" s="83"/>
      <c r="AA28" s="83"/>
      <c r="AB28" s="83"/>
      <c r="AC28" s="83"/>
      <c r="AD28" s="81"/>
      <c r="AE28" s="81"/>
    </row>
    <row r="29" spans="1:31" x14ac:dyDescent="0.4">
      <c r="A29" s="83"/>
      <c r="B29" s="83"/>
      <c r="C29" s="83"/>
      <c r="D29" s="83"/>
      <c r="E29" s="83"/>
      <c r="F29" s="83"/>
      <c r="G29" s="83"/>
      <c r="H29" s="83"/>
      <c r="I29" s="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83"/>
      <c r="W29" s="83"/>
      <c r="X29" s="83"/>
      <c r="Y29" s="83"/>
      <c r="Z29" s="83"/>
      <c r="AA29" s="83"/>
      <c r="AB29" s="83"/>
      <c r="AC29" s="83"/>
      <c r="AD29" s="81"/>
      <c r="AE29" s="81"/>
    </row>
    <row r="30" spans="1:31" x14ac:dyDescent="0.4">
      <c r="A30" s="83"/>
      <c r="B30" s="83"/>
      <c r="C30" s="83"/>
      <c r="D30" s="83"/>
      <c r="E30" s="83"/>
      <c r="F30" s="83"/>
      <c r="G30" s="83"/>
      <c r="H30" s="83"/>
      <c r="I30" s="83"/>
      <c r="J30" s="83"/>
      <c r="K30" s="83"/>
      <c r="L30" s="83"/>
      <c r="M30" s="83"/>
      <c r="N30" s="83"/>
      <c r="O30" s="83"/>
      <c r="P30" s="83"/>
      <c r="Q30" s="83"/>
      <c r="R30" s="83"/>
      <c r="S30" s="83"/>
      <c r="T30" s="83"/>
      <c r="U30" s="83"/>
      <c r="V30" s="83"/>
      <c r="W30" s="83"/>
      <c r="X30" s="83"/>
      <c r="Y30" s="83"/>
      <c r="Z30" s="83"/>
      <c r="AA30" s="83"/>
      <c r="AB30" s="83"/>
      <c r="AC30" s="83"/>
      <c r="AD30" s="81"/>
      <c r="AE30" s="81"/>
    </row>
    <row r="31" spans="1:31" x14ac:dyDescent="0.4">
      <c r="A31" s="83"/>
      <c r="B31" s="83"/>
      <c r="C31" s="83"/>
      <c r="D31" s="83"/>
      <c r="E31" s="83"/>
      <c r="F31" s="83"/>
      <c r="G31" s="83"/>
      <c r="H31" s="83"/>
      <c r="I31" s="83"/>
      <c r="J31" s="83"/>
      <c r="K31" s="83"/>
      <c r="L31" s="83"/>
      <c r="M31" s="83"/>
      <c r="N31" s="83"/>
      <c r="O31" s="83"/>
      <c r="P31" s="83"/>
      <c r="Q31" s="83"/>
      <c r="R31" s="83"/>
      <c r="S31" s="83"/>
      <c r="T31" s="83"/>
      <c r="U31" s="83"/>
      <c r="V31" s="83"/>
      <c r="W31" s="83"/>
      <c r="X31" s="83"/>
      <c r="Y31" s="83"/>
      <c r="Z31" s="83"/>
      <c r="AA31" s="83"/>
      <c r="AB31" s="83"/>
      <c r="AC31" s="83"/>
      <c r="AD31" s="81"/>
      <c r="AE31" s="81"/>
    </row>
    <row r="32" spans="1:31" x14ac:dyDescent="0.4">
      <c r="A32" s="83"/>
      <c r="B32" s="83"/>
      <c r="C32" s="83"/>
      <c r="D32" s="83"/>
      <c r="E32" s="83"/>
      <c r="F32" s="83"/>
      <c r="G32" s="83"/>
      <c r="H32" s="83"/>
      <c r="I32" s="83"/>
      <c r="J32" s="83"/>
      <c r="K32" s="83"/>
      <c r="L32" s="83"/>
      <c r="M32" s="83"/>
      <c r="N32" s="83"/>
      <c r="O32" s="83"/>
      <c r="P32" s="83"/>
      <c r="Q32" s="83"/>
      <c r="R32" s="83"/>
      <c r="S32" s="83"/>
      <c r="T32" s="83"/>
      <c r="U32" s="83"/>
      <c r="V32" s="83"/>
      <c r="W32" s="83"/>
      <c r="X32" s="83"/>
      <c r="Y32" s="83"/>
      <c r="Z32" s="83"/>
      <c r="AA32" s="83"/>
      <c r="AB32" s="83"/>
      <c r="AC32" s="83"/>
      <c r="AD32" s="81"/>
      <c r="AE32" s="81"/>
    </row>
    <row r="33" spans="1:31" x14ac:dyDescent="0.4">
      <c r="A33" s="83"/>
      <c r="B33" s="83"/>
      <c r="C33" s="83"/>
      <c r="D33" s="83"/>
      <c r="E33" s="83"/>
      <c r="F33" s="83"/>
      <c r="G33" s="83"/>
      <c r="H33" s="83"/>
      <c r="I33" s="83"/>
      <c r="J33" s="83"/>
      <c r="K33" s="83"/>
      <c r="L33" s="83"/>
      <c r="M33" s="83"/>
      <c r="N33" s="83"/>
      <c r="O33" s="83"/>
      <c r="P33" s="83"/>
      <c r="Q33" s="83"/>
      <c r="R33" s="83"/>
      <c r="S33" s="83"/>
      <c r="T33" s="83"/>
      <c r="U33" s="83"/>
      <c r="V33" s="83"/>
      <c r="W33" s="83"/>
      <c r="X33" s="83"/>
      <c r="Y33" s="83"/>
      <c r="Z33" s="83"/>
      <c r="AA33" s="83"/>
      <c r="AB33" s="83"/>
      <c r="AC33" s="83"/>
      <c r="AD33" s="81"/>
      <c r="AE33" s="81"/>
    </row>
    <row r="34" spans="1:31" x14ac:dyDescent="0.4">
      <c r="A34" s="83"/>
      <c r="B34" s="83"/>
      <c r="C34" s="83"/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3"/>
      <c r="Q34" s="83"/>
      <c r="R34" s="83"/>
      <c r="S34" s="83"/>
      <c r="T34" s="83"/>
      <c r="U34" s="83"/>
      <c r="V34" s="83"/>
      <c r="W34" s="83"/>
      <c r="X34" s="83"/>
      <c r="Y34" s="83"/>
      <c r="Z34" s="83"/>
      <c r="AA34" s="83"/>
      <c r="AB34" s="83"/>
      <c r="AC34" s="83"/>
      <c r="AD34" s="81"/>
      <c r="AE34" s="81"/>
    </row>
    <row r="35" spans="1:31" x14ac:dyDescent="0.4">
      <c r="A35" s="83"/>
      <c r="B35" s="83"/>
      <c r="C35" s="83"/>
      <c r="D35" s="83"/>
      <c r="E35" s="83"/>
      <c r="F35" s="83"/>
      <c r="G35" s="83"/>
      <c r="H35" s="83"/>
      <c r="I35" s="83"/>
      <c r="J35" s="83"/>
      <c r="K35" s="83"/>
      <c r="L35" s="83"/>
      <c r="M35" s="83"/>
      <c r="N35" s="83"/>
      <c r="O35" s="83"/>
      <c r="P35" s="83"/>
      <c r="Q35" s="83"/>
      <c r="R35" s="83"/>
      <c r="S35" s="83"/>
      <c r="T35" s="83"/>
      <c r="U35" s="83"/>
      <c r="V35" s="83"/>
      <c r="W35" s="83"/>
      <c r="X35" s="83"/>
      <c r="Y35" s="83"/>
      <c r="Z35" s="83"/>
      <c r="AA35" s="83"/>
      <c r="AB35" s="83"/>
      <c r="AC35" s="83"/>
      <c r="AD35" s="81"/>
      <c r="AE35" s="81"/>
    </row>
    <row r="36" spans="1:31" x14ac:dyDescent="0.4">
      <c r="A36" s="83"/>
      <c r="B36" s="83"/>
      <c r="C36" s="83"/>
      <c r="D36" s="83"/>
      <c r="E36" s="83"/>
      <c r="F36" s="83"/>
      <c r="G36" s="83"/>
      <c r="H36" s="83"/>
      <c r="I36" s="83"/>
      <c r="J36" s="83"/>
      <c r="K36" s="83"/>
      <c r="L36" s="83"/>
      <c r="M36" s="83"/>
      <c r="N36" s="83"/>
      <c r="O36" s="83"/>
      <c r="P36" s="83"/>
      <c r="Q36" s="83"/>
      <c r="R36" s="83"/>
      <c r="S36" s="83"/>
      <c r="T36" s="83"/>
      <c r="U36" s="83"/>
      <c r="V36" s="83"/>
      <c r="W36" s="83"/>
      <c r="X36" s="83"/>
      <c r="Y36" s="83"/>
      <c r="Z36" s="83"/>
      <c r="AA36" s="83"/>
      <c r="AB36" s="83"/>
      <c r="AC36" s="83"/>
      <c r="AD36" s="81"/>
      <c r="AE36" s="81"/>
    </row>
    <row r="37" spans="1:31" x14ac:dyDescent="0.4">
      <c r="A37" s="83"/>
      <c r="B37" s="83"/>
      <c r="C37" s="83"/>
      <c r="D37" s="83"/>
      <c r="E37" s="83"/>
      <c r="F37" s="83"/>
      <c r="G37" s="83"/>
      <c r="H37" s="83"/>
      <c r="I37" s="83"/>
      <c r="J37" s="83"/>
      <c r="K37" s="83"/>
      <c r="L37" s="83"/>
      <c r="M37" s="83"/>
      <c r="N37" s="83"/>
      <c r="O37" s="83"/>
      <c r="P37" s="83"/>
      <c r="Q37" s="83"/>
      <c r="R37" s="83"/>
      <c r="S37" s="83"/>
      <c r="T37" s="83"/>
      <c r="U37" s="83"/>
      <c r="V37" s="83"/>
      <c r="W37" s="83"/>
      <c r="X37" s="83"/>
      <c r="Y37" s="83"/>
      <c r="Z37" s="83"/>
      <c r="AA37" s="83"/>
      <c r="AB37" s="83"/>
      <c r="AC37" s="83"/>
      <c r="AD37" s="81"/>
      <c r="AE37" s="81"/>
    </row>
    <row r="38" spans="1:31" x14ac:dyDescent="0.4">
      <c r="A38" s="83"/>
      <c r="B38" s="83"/>
      <c r="C38" s="83"/>
      <c r="D38" s="83"/>
      <c r="E38" s="83"/>
      <c r="F38" s="83"/>
      <c r="G38" s="83"/>
      <c r="H38" s="83"/>
      <c r="I38" s="83"/>
      <c r="J38" s="83"/>
      <c r="K38" s="83"/>
      <c r="L38" s="83"/>
      <c r="M38" s="83"/>
      <c r="N38" s="83"/>
      <c r="O38" s="83"/>
      <c r="P38" s="83"/>
      <c r="Q38" s="83"/>
      <c r="R38" s="83"/>
      <c r="S38" s="83"/>
      <c r="T38" s="83"/>
      <c r="U38" s="83"/>
      <c r="V38" s="83"/>
      <c r="W38" s="83"/>
      <c r="X38" s="83"/>
      <c r="Y38" s="83"/>
      <c r="Z38" s="83"/>
      <c r="AA38" s="83"/>
      <c r="AB38" s="83"/>
      <c r="AC38" s="83"/>
      <c r="AD38" s="81"/>
      <c r="AE38" s="81"/>
    </row>
    <row r="39" spans="1:31" x14ac:dyDescent="0.4">
      <c r="A39" s="83"/>
      <c r="B39" s="83"/>
      <c r="C39" s="83"/>
      <c r="D39" s="83"/>
      <c r="E39" s="83"/>
      <c r="F39" s="83"/>
      <c r="G39" s="83"/>
      <c r="H39" s="83"/>
      <c r="I39" s="83"/>
      <c r="J39" s="83"/>
      <c r="K39" s="83"/>
      <c r="L39" s="83"/>
      <c r="M39" s="83"/>
      <c r="N39" s="83"/>
      <c r="O39" s="83"/>
      <c r="P39" s="83"/>
      <c r="Q39" s="83"/>
      <c r="R39" s="83"/>
      <c r="S39" s="83"/>
      <c r="T39" s="83"/>
      <c r="U39" s="83"/>
      <c r="V39" s="83"/>
      <c r="W39" s="83"/>
      <c r="X39" s="83"/>
      <c r="Y39" s="83"/>
      <c r="Z39" s="83"/>
      <c r="AA39" s="83"/>
      <c r="AB39" s="83"/>
      <c r="AC39" s="83"/>
      <c r="AD39" s="81"/>
      <c r="AE39" s="81"/>
    </row>
    <row r="40" spans="1:31" x14ac:dyDescent="0.4">
      <c r="A40" s="83"/>
      <c r="B40" s="83"/>
      <c r="C40" s="83"/>
      <c r="D40" s="83"/>
      <c r="E40" s="83"/>
      <c r="F40" s="83"/>
      <c r="G40" s="83"/>
      <c r="H40" s="83"/>
      <c r="I40" s="83"/>
      <c r="J40" s="83"/>
      <c r="K40" s="83"/>
      <c r="L40" s="83"/>
      <c r="M40" s="83"/>
      <c r="N40" s="83"/>
      <c r="O40" s="83"/>
      <c r="P40" s="83"/>
      <c r="Q40" s="83"/>
      <c r="R40" s="83"/>
      <c r="S40" s="83"/>
      <c r="T40" s="83"/>
      <c r="U40" s="83"/>
      <c r="V40" s="83"/>
      <c r="W40" s="83"/>
      <c r="X40" s="83"/>
      <c r="Y40" s="83"/>
      <c r="Z40" s="83"/>
      <c r="AA40" s="83"/>
      <c r="AB40" s="83"/>
      <c r="AC40" s="83"/>
      <c r="AD40" s="81"/>
      <c r="AE40" s="81"/>
    </row>
    <row r="41" spans="1:31" x14ac:dyDescent="0.4">
      <c r="A41" s="83"/>
      <c r="B41" s="83"/>
      <c r="C41" s="83"/>
      <c r="D41" s="83"/>
      <c r="E41" s="83"/>
      <c r="F41" s="83"/>
      <c r="G41" s="83"/>
      <c r="H41" s="83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3"/>
      <c r="W41" s="83"/>
      <c r="X41" s="83"/>
      <c r="Y41" s="83"/>
      <c r="Z41" s="83"/>
      <c r="AA41" s="83"/>
      <c r="AB41" s="83"/>
      <c r="AC41" s="83"/>
      <c r="AD41" s="81"/>
      <c r="AE41" s="81"/>
    </row>
    <row r="42" spans="1:31" x14ac:dyDescent="0.4">
      <c r="A42" s="83"/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  <c r="R42" s="83"/>
      <c r="S42" s="83"/>
      <c r="T42" s="83"/>
      <c r="U42" s="83"/>
      <c r="V42" s="83"/>
      <c r="W42" s="83"/>
      <c r="X42" s="83"/>
      <c r="Y42" s="83"/>
      <c r="Z42" s="83"/>
      <c r="AA42" s="83"/>
      <c r="AB42" s="83"/>
      <c r="AC42" s="83"/>
    </row>
    <row r="43" spans="1:31" x14ac:dyDescent="0.4">
      <c r="A43" s="83"/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  <c r="R43" s="83"/>
      <c r="S43" s="83"/>
      <c r="T43" s="83"/>
      <c r="U43" s="83"/>
      <c r="V43" s="83"/>
      <c r="W43" s="83"/>
      <c r="X43" s="83"/>
      <c r="Y43" s="83"/>
      <c r="Z43" s="83"/>
      <c r="AA43" s="83"/>
      <c r="AB43" s="83"/>
      <c r="AC43" s="83"/>
    </row>
    <row r="44" spans="1:31" x14ac:dyDescent="0.4">
      <c r="A44" s="83"/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  <c r="R44" s="83"/>
      <c r="S44" s="83"/>
      <c r="T44" s="83"/>
      <c r="U44" s="83"/>
      <c r="V44" s="83"/>
      <c r="W44" s="83"/>
      <c r="X44" s="83"/>
      <c r="Y44" s="83"/>
      <c r="Z44" s="83"/>
      <c r="AA44" s="83"/>
      <c r="AB44" s="83"/>
      <c r="AC44" s="83"/>
    </row>
    <row r="45" spans="1:31" x14ac:dyDescent="0.4">
      <c r="A45" s="83"/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  <c r="R45" s="83"/>
      <c r="S45" s="83"/>
      <c r="T45" s="83"/>
      <c r="U45" s="83"/>
      <c r="V45" s="83"/>
      <c r="W45" s="83"/>
      <c r="X45" s="83"/>
      <c r="Y45" s="83"/>
      <c r="Z45" s="83"/>
      <c r="AA45" s="83"/>
      <c r="AB45" s="83"/>
      <c r="AC45" s="83"/>
    </row>
    <row r="46" spans="1:31" x14ac:dyDescent="0.4">
      <c r="A46" s="83"/>
      <c r="B46" s="83"/>
      <c r="C46" s="83"/>
      <c r="D46" s="83"/>
      <c r="E46" s="83"/>
      <c r="F46" s="83"/>
      <c r="G46" s="83"/>
      <c r="H46" s="83"/>
      <c r="I46" s="83"/>
      <c r="J46" s="83"/>
      <c r="K46" s="83"/>
      <c r="L46" s="83"/>
      <c r="M46" s="83"/>
      <c r="N46" s="83"/>
      <c r="O46" s="83"/>
      <c r="P46" s="83"/>
      <c r="Q46" s="83"/>
      <c r="R46" s="83"/>
      <c r="S46" s="83"/>
      <c r="T46" s="83"/>
      <c r="U46" s="83"/>
      <c r="V46" s="83"/>
      <c r="W46" s="83"/>
      <c r="X46" s="83"/>
      <c r="Y46" s="83"/>
      <c r="Z46" s="83"/>
      <c r="AA46" s="83"/>
      <c r="AB46" s="83"/>
      <c r="AC46" s="83"/>
    </row>
    <row r="47" spans="1:31" x14ac:dyDescent="0.4">
      <c r="A47" s="83"/>
      <c r="B47" s="83"/>
      <c r="C47" s="83"/>
      <c r="D47" s="83"/>
      <c r="E47" s="83"/>
      <c r="F47" s="83"/>
      <c r="G47" s="83"/>
      <c r="H47" s="83"/>
      <c r="I47" s="83"/>
      <c r="J47" s="83"/>
      <c r="K47" s="83"/>
      <c r="L47" s="83"/>
      <c r="M47" s="83"/>
      <c r="N47" s="83"/>
      <c r="O47" s="83"/>
      <c r="P47" s="83"/>
      <c r="Q47" s="83"/>
      <c r="R47" s="83"/>
      <c r="S47" s="83"/>
      <c r="T47" s="83"/>
      <c r="U47" s="83"/>
      <c r="V47" s="83"/>
      <c r="W47" s="83"/>
      <c r="X47" s="83"/>
      <c r="Y47" s="83"/>
      <c r="Z47" s="83"/>
      <c r="AA47" s="83"/>
      <c r="AB47" s="83"/>
      <c r="AC47" s="83"/>
    </row>
    <row r="48" spans="1:31" x14ac:dyDescent="0.4">
      <c r="A48" s="83"/>
      <c r="B48" s="83"/>
      <c r="C48" s="83"/>
      <c r="D48" s="83"/>
      <c r="E48" s="83"/>
      <c r="F48" s="83"/>
      <c r="G48" s="83"/>
      <c r="H48" s="83"/>
      <c r="I48" s="83"/>
      <c r="J48" s="83"/>
      <c r="K48" s="83"/>
      <c r="L48" s="83"/>
      <c r="M48" s="83"/>
      <c r="N48" s="83"/>
      <c r="O48" s="83"/>
      <c r="P48" s="83"/>
      <c r="Q48" s="83"/>
      <c r="R48" s="83"/>
      <c r="S48" s="83"/>
      <c r="T48" s="83"/>
      <c r="U48" s="83"/>
      <c r="V48" s="83"/>
      <c r="W48" s="83"/>
      <c r="X48" s="83"/>
      <c r="Y48" s="83"/>
      <c r="Z48" s="83"/>
      <c r="AA48" s="83"/>
      <c r="AB48" s="83"/>
      <c r="AC48" s="83"/>
    </row>
    <row r="49" spans="1:29" x14ac:dyDescent="0.4">
      <c r="A49" s="83"/>
      <c r="B49" s="83"/>
      <c r="C49" s="83"/>
      <c r="D49" s="83"/>
      <c r="E49" s="83"/>
      <c r="F49" s="83"/>
      <c r="G49" s="83"/>
      <c r="H49" s="83"/>
      <c r="I49" s="83"/>
      <c r="J49" s="83"/>
      <c r="K49" s="83"/>
      <c r="L49" s="83"/>
      <c r="M49" s="83"/>
      <c r="N49" s="83"/>
      <c r="O49" s="83"/>
      <c r="P49" s="83"/>
      <c r="Q49" s="83"/>
      <c r="R49" s="83"/>
      <c r="S49" s="83"/>
      <c r="T49" s="83"/>
      <c r="U49" s="83"/>
      <c r="V49" s="83"/>
      <c r="W49" s="83"/>
      <c r="X49" s="83"/>
      <c r="Y49" s="83"/>
      <c r="Z49" s="83"/>
      <c r="AA49" s="83"/>
      <c r="AB49" s="83"/>
      <c r="AC49" s="83"/>
    </row>
    <row r="50" spans="1:29" x14ac:dyDescent="0.4">
      <c r="A50" s="83"/>
      <c r="B50" s="83"/>
      <c r="C50" s="83"/>
      <c r="D50" s="83"/>
      <c r="E50" s="83"/>
      <c r="F50" s="83"/>
      <c r="G50" s="83"/>
      <c r="H50" s="83"/>
      <c r="I50" s="83"/>
      <c r="J50" s="83"/>
      <c r="K50" s="83"/>
      <c r="L50" s="83"/>
      <c r="M50" s="83"/>
      <c r="N50" s="83"/>
      <c r="O50" s="83"/>
      <c r="P50" s="83"/>
      <c r="Q50" s="83"/>
      <c r="R50" s="83"/>
      <c r="S50" s="83"/>
      <c r="T50" s="83"/>
      <c r="U50" s="83"/>
      <c r="V50" s="83"/>
      <c r="W50" s="83"/>
      <c r="X50" s="83"/>
      <c r="Y50" s="83"/>
      <c r="Z50" s="83"/>
      <c r="AA50" s="83"/>
      <c r="AB50" s="83"/>
      <c r="AC50" s="83"/>
    </row>
    <row r="51" spans="1:29" x14ac:dyDescent="0.4">
      <c r="A51" s="83"/>
      <c r="B51" s="83"/>
      <c r="C51" s="83"/>
      <c r="D51" s="83"/>
      <c r="E51" s="83"/>
      <c r="F51" s="83"/>
      <c r="G51" s="83"/>
      <c r="H51" s="83"/>
      <c r="I51" s="83"/>
      <c r="J51" s="83"/>
      <c r="K51" s="83"/>
      <c r="L51" s="83"/>
      <c r="M51" s="83"/>
      <c r="N51" s="83"/>
      <c r="O51" s="83"/>
      <c r="P51" s="83"/>
      <c r="Q51" s="83"/>
      <c r="R51" s="83"/>
      <c r="S51" s="83"/>
      <c r="T51" s="83"/>
      <c r="U51" s="83"/>
      <c r="V51" s="83"/>
      <c r="W51" s="83"/>
      <c r="X51" s="83"/>
      <c r="Y51" s="83"/>
      <c r="Z51" s="83"/>
      <c r="AA51" s="83"/>
      <c r="AB51" s="83"/>
      <c r="AC51" s="83"/>
    </row>
    <row r="52" spans="1:29" x14ac:dyDescent="0.4">
      <c r="A52" s="83"/>
      <c r="B52" s="83"/>
      <c r="C52" s="83"/>
      <c r="D52" s="83"/>
      <c r="E52" s="83"/>
      <c r="F52" s="83"/>
      <c r="G52" s="83"/>
      <c r="H52" s="83"/>
      <c r="I52" s="83"/>
      <c r="J52" s="83"/>
      <c r="K52" s="83"/>
      <c r="L52" s="83"/>
      <c r="M52" s="83"/>
      <c r="N52" s="83"/>
      <c r="O52" s="83"/>
      <c r="P52" s="83"/>
      <c r="Q52" s="83"/>
      <c r="R52" s="83"/>
      <c r="S52" s="83"/>
      <c r="T52" s="83"/>
      <c r="U52" s="83"/>
      <c r="V52" s="83"/>
      <c r="W52" s="83"/>
      <c r="X52" s="83"/>
      <c r="Y52" s="83"/>
      <c r="Z52" s="83"/>
      <c r="AA52" s="83"/>
      <c r="AB52" s="83"/>
      <c r="AC52" s="83"/>
    </row>
    <row r="53" spans="1:29" x14ac:dyDescent="0.4">
      <c r="A53" s="83"/>
      <c r="B53" s="83"/>
      <c r="C53" s="83"/>
      <c r="D53" s="83"/>
      <c r="E53" s="83"/>
      <c r="F53" s="83"/>
      <c r="G53" s="83"/>
      <c r="H53" s="83"/>
      <c r="I53" s="83"/>
      <c r="J53" s="83"/>
      <c r="K53" s="83"/>
      <c r="L53" s="83"/>
      <c r="M53" s="83"/>
      <c r="N53" s="83"/>
      <c r="O53" s="83"/>
      <c r="P53" s="83"/>
      <c r="Q53" s="83"/>
      <c r="R53" s="83"/>
      <c r="S53" s="83"/>
      <c r="T53" s="83"/>
      <c r="U53" s="83"/>
      <c r="V53" s="83"/>
      <c r="W53" s="83"/>
      <c r="X53" s="83"/>
      <c r="Y53" s="83"/>
      <c r="Z53" s="83"/>
      <c r="AA53" s="83"/>
      <c r="AB53" s="83"/>
      <c r="AC53" s="83"/>
    </row>
    <row r="54" spans="1:29" x14ac:dyDescent="0.4">
      <c r="A54" s="83"/>
      <c r="B54" s="83"/>
      <c r="C54" s="83"/>
      <c r="D54" s="83"/>
      <c r="E54" s="83"/>
      <c r="F54" s="83"/>
      <c r="G54" s="83"/>
      <c r="H54" s="83"/>
      <c r="I54" s="83"/>
      <c r="J54" s="83"/>
      <c r="K54" s="83"/>
      <c r="L54" s="83"/>
      <c r="M54" s="83"/>
      <c r="N54" s="83"/>
      <c r="O54" s="83"/>
      <c r="P54" s="83"/>
      <c r="Q54" s="83"/>
      <c r="R54" s="83"/>
      <c r="S54" s="83"/>
      <c r="T54" s="83"/>
      <c r="U54" s="83"/>
      <c r="V54" s="83"/>
      <c r="W54" s="83"/>
      <c r="X54" s="83"/>
      <c r="Y54" s="83"/>
      <c r="Z54" s="83"/>
      <c r="AA54" s="83"/>
      <c r="AB54" s="83"/>
      <c r="AC54" s="83"/>
    </row>
    <row r="55" spans="1:29" x14ac:dyDescent="0.4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  <c r="N55" s="83"/>
      <c r="O55" s="83"/>
      <c r="P55" s="83"/>
      <c r="Q55" s="83"/>
      <c r="R55" s="83"/>
      <c r="S55" s="83"/>
      <c r="T55" s="83"/>
      <c r="U55" s="83"/>
      <c r="V55" s="83"/>
      <c r="W55" s="83"/>
      <c r="X55" s="83"/>
      <c r="Y55" s="83"/>
      <c r="Z55" s="83"/>
      <c r="AA55" s="83"/>
      <c r="AB55" s="83"/>
      <c r="AC55" s="83"/>
    </row>
    <row r="56" spans="1:29" x14ac:dyDescent="0.4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  <c r="N56" s="83"/>
      <c r="O56" s="83"/>
      <c r="P56" s="83"/>
      <c r="Q56" s="83"/>
      <c r="R56" s="83"/>
      <c r="S56" s="83"/>
      <c r="T56" s="83"/>
      <c r="U56" s="83"/>
      <c r="V56" s="83"/>
      <c r="W56" s="83"/>
      <c r="X56" s="83"/>
      <c r="Y56" s="83"/>
      <c r="Z56" s="83"/>
      <c r="AA56" s="83"/>
      <c r="AB56" s="83"/>
      <c r="AC56" s="83"/>
    </row>
    <row r="57" spans="1:29" x14ac:dyDescent="0.4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  <c r="N57" s="83"/>
      <c r="O57" s="83"/>
      <c r="P57" s="83"/>
      <c r="Q57" s="83"/>
      <c r="R57" s="83"/>
      <c r="S57" s="83"/>
      <c r="T57" s="83"/>
      <c r="U57" s="83"/>
      <c r="V57" s="83"/>
      <c r="W57" s="83"/>
      <c r="X57" s="83"/>
      <c r="Y57" s="83"/>
      <c r="Z57" s="83"/>
      <c r="AA57" s="83"/>
      <c r="AB57" s="83"/>
      <c r="AC57" s="83"/>
    </row>
    <row r="58" spans="1:29" x14ac:dyDescent="0.4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  <c r="N58" s="83"/>
      <c r="O58" s="83"/>
      <c r="P58" s="83"/>
      <c r="Q58" s="83"/>
      <c r="R58" s="83"/>
      <c r="S58" s="83"/>
      <c r="T58" s="83"/>
      <c r="U58" s="83"/>
      <c r="V58" s="83"/>
      <c r="W58" s="83"/>
      <c r="X58" s="83"/>
      <c r="Y58" s="83"/>
      <c r="Z58" s="83"/>
      <c r="AA58" s="83"/>
      <c r="AB58" s="83"/>
      <c r="AC58" s="83"/>
    </row>
    <row r="59" spans="1:29" x14ac:dyDescent="0.4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  <c r="N59" s="83"/>
      <c r="O59" s="83"/>
      <c r="P59" s="83"/>
      <c r="Q59" s="83"/>
      <c r="R59" s="83"/>
      <c r="S59" s="83"/>
      <c r="T59" s="83"/>
      <c r="U59" s="83"/>
      <c r="V59" s="83"/>
      <c r="W59" s="83"/>
      <c r="X59" s="83"/>
      <c r="Y59" s="83"/>
      <c r="Z59" s="83"/>
      <c r="AA59" s="83"/>
      <c r="AB59" s="83"/>
      <c r="AC59" s="83"/>
    </row>
    <row r="60" spans="1:29" x14ac:dyDescent="0.4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  <c r="N60" s="83"/>
      <c r="O60" s="83"/>
      <c r="P60" s="83"/>
      <c r="Q60" s="83"/>
      <c r="R60" s="83"/>
      <c r="S60" s="83"/>
      <c r="T60" s="83"/>
      <c r="U60" s="83"/>
      <c r="V60" s="83"/>
      <c r="W60" s="83"/>
      <c r="X60" s="83"/>
      <c r="Y60" s="83"/>
      <c r="Z60" s="83"/>
      <c r="AA60" s="83"/>
      <c r="AB60" s="83"/>
      <c r="AC60" s="83"/>
    </row>
    <row r="61" spans="1:29" x14ac:dyDescent="0.4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  <c r="N61" s="83"/>
      <c r="O61" s="83"/>
      <c r="P61" s="83"/>
      <c r="Q61" s="83"/>
      <c r="R61" s="83"/>
      <c r="S61" s="83"/>
      <c r="T61" s="83"/>
      <c r="U61" s="83"/>
      <c r="V61" s="83"/>
      <c r="W61" s="83"/>
      <c r="X61" s="83"/>
      <c r="Y61" s="83"/>
      <c r="Z61" s="83"/>
      <c r="AA61" s="83"/>
      <c r="AB61" s="83"/>
      <c r="AC61" s="83"/>
    </row>
    <row r="62" spans="1:29" x14ac:dyDescent="0.4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83"/>
      <c r="W62" s="83"/>
      <c r="X62" s="83"/>
      <c r="Y62" s="83"/>
      <c r="Z62" s="83"/>
      <c r="AA62" s="83"/>
      <c r="AB62" s="83"/>
      <c r="AC62" s="83"/>
    </row>
    <row r="63" spans="1:29" x14ac:dyDescent="0.4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  <c r="N63" s="83"/>
      <c r="O63" s="83"/>
      <c r="P63" s="83"/>
      <c r="Q63" s="83"/>
      <c r="R63" s="83"/>
      <c r="S63" s="83"/>
      <c r="T63" s="83"/>
      <c r="U63" s="83"/>
      <c r="V63" s="83"/>
      <c r="W63" s="83"/>
      <c r="X63" s="83"/>
      <c r="Y63" s="83"/>
      <c r="Z63" s="83"/>
      <c r="AA63" s="83"/>
      <c r="AB63" s="83"/>
      <c r="AC63" s="83"/>
    </row>
    <row r="64" spans="1:29" x14ac:dyDescent="0.4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  <c r="N64" s="83"/>
      <c r="O64" s="83"/>
      <c r="P64" s="83"/>
      <c r="Q64" s="83"/>
      <c r="R64" s="83"/>
      <c r="S64" s="83"/>
      <c r="T64" s="83"/>
      <c r="U64" s="83"/>
      <c r="V64" s="83"/>
      <c r="W64" s="83"/>
      <c r="X64" s="83"/>
      <c r="Y64" s="83"/>
      <c r="Z64" s="83"/>
      <c r="AA64" s="83"/>
      <c r="AB64" s="83"/>
      <c r="AC64" s="83"/>
    </row>
    <row r="65" spans="1:29" x14ac:dyDescent="0.4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  <c r="N65" s="83"/>
      <c r="O65" s="83"/>
      <c r="P65" s="83"/>
      <c r="Q65" s="83"/>
      <c r="R65" s="83"/>
      <c r="S65" s="83"/>
      <c r="T65" s="83"/>
      <c r="U65" s="83"/>
      <c r="V65" s="83"/>
      <c r="W65" s="83"/>
      <c r="X65" s="83"/>
      <c r="Y65" s="83"/>
      <c r="Z65" s="83"/>
      <c r="AA65" s="83"/>
      <c r="AB65" s="83"/>
      <c r="AC65" s="83"/>
    </row>
    <row r="66" spans="1:29" x14ac:dyDescent="0.4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  <c r="N66" s="83"/>
      <c r="O66" s="83"/>
      <c r="P66" s="83"/>
      <c r="Q66" s="83"/>
      <c r="R66" s="83"/>
      <c r="S66" s="83"/>
      <c r="T66" s="83"/>
      <c r="U66" s="83"/>
      <c r="V66" s="83"/>
      <c r="W66" s="83"/>
      <c r="X66" s="83"/>
      <c r="Y66" s="83"/>
      <c r="Z66" s="83"/>
      <c r="AA66" s="83"/>
      <c r="AB66" s="83"/>
      <c r="AC66" s="83"/>
    </row>
    <row r="67" spans="1:29" x14ac:dyDescent="0.4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  <c r="N67" s="83"/>
      <c r="O67" s="83"/>
      <c r="P67" s="83"/>
      <c r="Q67" s="83"/>
      <c r="R67" s="83"/>
      <c r="S67" s="83"/>
      <c r="T67" s="83"/>
      <c r="U67" s="83"/>
      <c r="V67" s="83"/>
      <c r="W67" s="83"/>
      <c r="X67" s="83"/>
      <c r="Y67" s="83"/>
      <c r="Z67" s="83"/>
      <c r="AA67" s="83"/>
      <c r="AB67" s="83"/>
      <c r="AC67" s="83"/>
    </row>
    <row r="68" spans="1:29" x14ac:dyDescent="0.4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  <c r="N68" s="83"/>
      <c r="O68" s="83"/>
      <c r="P68" s="83"/>
      <c r="Q68" s="83"/>
      <c r="R68" s="83"/>
      <c r="S68" s="83"/>
      <c r="T68" s="83"/>
      <c r="U68" s="83"/>
      <c r="V68" s="83"/>
      <c r="W68" s="83"/>
      <c r="X68" s="83"/>
      <c r="Y68" s="83"/>
      <c r="Z68" s="83"/>
      <c r="AA68" s="83"/>
      <c r="AB68" s="83"/>
      <c r="AC68" s="83"/>
    </row>
    <row r="69" spans="1:29" x14ac:dyDescent="0.4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</row>
    <row r="70" spans="1:29" x14ac:dyDescent="0.4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3"/>
      <c r="S70" s="83"/>
      <c r="T70" s="83"/>
      <c r="U70" s="83"/>
      <c r="V70" s="83"/>
      <c r="W70" s="83"/>
      <c r="X70" s="83"/>
      <c r="Y70" s="83"/>
      <c r="Z70" s="83"/>
      <c r="AA70" s="83"/>
      <c r="AB70" s="83"/>
      <c r="AC70" s="83"/>
    </row>
    <row r="71" spans="1:29" x14ac:dyDescent="0.4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  <c r="N71" s="83"/>
      <c r="O71" s="83"/>
      <c r="P71" s="83"/>
      <c r="Q71" s="83"/>
      <c r="R71" s="83"/>
      <c r="S71" s="83"/>
      <c r="T71" s="83"/>
      <c r="U71" s="83"/>
      <c r="V71" s="83"/>
      <c r="W71" s="83"/>
      <c r="X71" s="83"/>
      <c r="Y71" s="83"/>
      <c r="Z71" s="83"/>
      <c r="AA71" s="83"/>
      <c r="AB71" s="83"/>
      <c r="AC71" s="83"/>
    </row>
    <row r="72" spans="1:29" x14ac:dyDescent="0.4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  <c r="N72" s="83"/>
      <c r="O72" s="83"/>
      <c r="P72" s="83"/>
      <c r="Q72" s="83"/>
      <c r="R72" s="83"/>
      <c r="S72" s="83"/>
      <c r="T72" s="83"/>
      <c r="U72" s="83"/>
      <c r="V72" s="83"/>
      <c r="W72" s="83"/>
      <c r="X72" s="83"/>
      <c r="Y72" s="83"/>
      <c r="Z72" s="83"/>
      <c r="AA72" s="83"/>
      <c r="AB72" s="83"/>
      <c r="AC72" s="83"/>
    </row>
    <row r="73" spans="1:29" x14ac:dyDescent="0.4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  <c r="N73" s="83"/>
      <c r="O73" s="83"/>
      <c r="P73" s="83"/>
      <c r="Q73" s="83"/>
      <c r="R73" s="83"/>
      <c r="S73" s="83"/>
      <c r="T73" s="83"/>
      <c r="U73" s="83"/>
      <c r="V73" s="83"/>
      <c r="W73" s="83"/>
      <c r="X73" s="83"/>
      <c r="Y73" s="83"/>
      <c r="Z73" s="83"/>
      <c r="AA73" s="83"/>
      <c r="AB73" s="83"/>
      <c r="AC73" s="83"/>
    </row>
    <row r="74" spans="1:29" x14ac:dyDescent="0.4">
      <c r="A74" s="83"/>
      <c r="B74" s="83"/>
      <c r="C74" s="83"/>
      <c r="D74" s="83"/>
      <c r="E74" s="83"/>
      <c r="F74" s="83"/>
      <c r="G74" s="83"/>
      <c r="H74" s="83"/>
      <c r="I74" s="83"/>
      <c r="J74" s="83"/>
      <c r="K74" s="83"/>
      <c r="L74" s="83"/>
      <c r="M74" s="83"/>
      <c r="N74" s="83"/>
      <c r="O74" s="83"/>
      <c r="P74" s="83"/>
      <c r="Q74" s="83"/>
      <c r="R74" s="83"/>
      <c r="S74" s="83"/>
      <c r="T74" s="83"/>
      <c r="U74" s="83"/>
      <c r="V74" s="83"/>
      <c r="W74" s="83"/>
      <c r="X74" s="83"/>
      <c r="Y74" s="83"/>
      <c r="Z74" s="83"/>
      <c r="AA74" s="83"/>
      <c r="AB74" s="83"/>
      <c r="AC74" s="83"/>
    </row>
    <row r="75" spans="1:29" x14ac:dyDescent="0.4">
      <c r="A75" s="83"/>
      <c r="B75" s="83"/>
      <c r="C75" s="83"/>
      <c r="D75" s="83"/>
      <c r="E75" s="83"/>
      <c r="F75" s="83"/>
      <c r="G75" s="83"/>
      <c r="H75" s="83"/>
      <c r="I75" s="83"/>
      <c r="J75" s="83"/>
      <c r="K75" s="83"/>
      <c r="L75" s="83"/>
      <c r="M75" s="83"/>
      <c r="N75" s="83"/>
      <c r="O75" s="83"/>
      <c r="P75" s="83"/>
      <c r="Q75" s="83"/>
      <c r="R75" s="83"/>
      <c r="S75" s="83"/>
      <c r="T75" s="83"/>
      <c r="U75" s="83"/>
      <c r="V75" s="83"/>
      <c r="W75" s="83"/>
      <c r="X75" s="83"/>
      <c r="Y75" s="83"/>
      <c r="Z75" s="83"/>
      <c r="AA75" s="83"/>
      <c r="AB75" s="83"/>
      <c r="AC75" s="83"/>
    </row>
    <row r="76" spans="1:29" x14ac:dyDescent="0.4">
      <c r="A76" s="83"/>
      <c r="B76" s="83"/>
      <c r="C76" s="83"/>
      <c r="D76" s="83"/>
      <c r="E76" s="83"/>
      <c r="F76" s="83"/>
      <c r="G76" s="83"/>
      <c r="H76" s="83"/>
      <c r="I76" s="83"/>
      <c r="J76" s="83"/>
      <c r="K76" s="83"/>
      <c r="L76" s="83"/>
      <c r="M76" s="83"/>
      <c r="N76" s="83"/>
      <c r="O76" s="83"/>
      <c r="P76" s="83"/>
      <c r="Q76" s="83"/>
      <c r="R76" s="83"/>
      <c r="S76" s="83"/>
      <c r="T76" s="83"/>
      <c r="U76" s="83"/>
      <c r="V76" s="83"/>
      <c r="W76" s="83"/>
      <c r="X76" s="83"/>
      <c r="Y76" s="83"/>
      <c r="Z76" s="83"/>
      <c r="AA76" s="83"/>
      <c r="AB76" s="83"/>
      <c r="AC76" s="83"/>
    </row>
    <row r="77" spans="1:29" x14ac:dyDescent="0.4">
      <c r="A77" s="83"/>
      <c r="B77" s="83"/>
      <c r="C77" s="83"/>
      <c r="D77" s="83"/>
      <c r="E77" s="83"/>
      <c r="F77" s="83"/>
      <c r="G77" s="83"/>
      <c r="H77" s="83"/>
      <c r="I77" s="83"/>
      <c r="J77" s="83"/>
      <c r="K77" s="83"/>
      <c r="L77" s="83"/>
      <c r="M77" s="83"/>
      <c r="N77" s="83"/>
      <c r="O77" s="83"/>
      <c r="P77" s="83"/>
      <c r="Q77" s="83"/>
      <c r="R77" s="83"/>
      <c r="S77" s="83"/>
      <c r="T77" s="83"/>
      <c r="U77" s="83"/>
      <c r="V77" s="83"/>
      <c r="W77" s="83"/>
      <c r="X77" s="83"/>
      <c r="Y77" s="83"/>
      <c r="Z77" s="83"/>
      <c r="AA77" s="83"/>
      <c r="AB77" s="83"/>
      <c r="AC77" s="83"/>
    </row>
    <row r="78" spans="1:29" x14ac:dyDescent="0.4">
      <c r="A78" s="83"/>
      <c r="B78" s="83"/>
      <c r="C78" s="83"/>
      <c r="D78" s="83"/>
      <c r="E78" s="83"/>
      <c r="F78" s="83"/>
      <c r="G78" s="83"/>
      <c r="H78" s="83"/>
      <c r="I78" s="83"/>
      <c r="J78" s="83"/>
      <c r="K78" s="83"/>
      <c r="L78" s="83"/>
      <c r="M78" s="83"/>
      <c r="N78" s="83"/>
      <c r="O78" s="83"/>
      <c r="P78" s="83"/>
      <c r="Q78" s="83"/>
      <c r="R78" s="83"/>
      <c r="S78" s="83"/>
      <c r="T78" s="83"/>
      <c r="U78" s="83"/>
      <c r="V78" s="83"/>
      <c r="W78" s="83"/>
      <c r="X78" s="83"/>
      <c r="Y78" s="83"/>
      <c r="Z78" s="83"/>
      <c r="AA78" s="83"/>
      <c r="AB78" s="83"/>
      <c r="AC78" s="83"/>
    </row>
    <row r="79" spans="1:29" x14ac:dyDescent="0.4">
      <c r="A79" s="83"/>
      <c r="B79" s="83"/>
      <c r="C79" s="83"/>
      <c r="D79" s="83"/>
      <c r="E79" s="83"/>
      <c r="F79" s="83"/>
      <c r="G79" s="83"/>
      <c r="H79" s="83"/>
      <c r="I79" s="83"/>
      <c r="J79" s="83"/>
      <c r="K79" s="83"/>
      <c r="L79" s="83"/>
      <c r="M79" s="83"/>
      <c r="N79" s="83"/>
      <c r="O79" s="83"/>
      <c r="P79" s="83"/>
      <c r="Q79" s="83"/>
      <c r="R79" s="83"/>
      <c r="S79" s="83"/>
      <c r="T79" s="83"/>
      <c r="U79" s="83"/>
      <c r="V79" s="83"/>
      <c r="W79" s="83"/>
      <c r="X79" s="83"/>
      <c r="Y79" s="83"/>
      <c r="Z79" s="83"/>
      <c r="AA79" s="83"/>
      <c r="AB79" s="83"/>
      <c r="AC79" s="83"/>
    </row>
    <row r="80" spans="1:29" x14ac:dyDescent="0.4">
      <c r="A80" s="83"/>
      <c r="B80" s="83"/>
      <c r="C80" s="83"/>
      <c r="D80" s="83"/>
      <c r="E80" s="83"/>
      <c r="F80" s="83"/>
      <c r="G80" s="83"/>
      <c r="H80" s="83"/>
      <c r="I80" s="83"/>
      <c r="J80" s="83"/>
      <c r="K80" s="83"/>
      <c r="L80" s="83"/>
      <c r="M80" s="83"/>
      <c r="N80" s="83"/>
      <c r="O80" s="83"/>
      <c r="P80" s="83"/>
      <c r="Q80" s="83"/>
      <c r="R80" s="83"/>
      <c r="S80" s="83"/>
      <c r="T80" s="83"/>
      <c r="U80" s="83"/>
      <c r="V80" s="83"/>
      <c r="W80" s="83"/>
      <c r="X80" s="83"/>
      <c r="Y80" s="83"/>
      <c r="Z80" s="83"/>
      <c r="AA80" s="83"/>
      <c r="AB80" s="83"/>
      <c r="AC80" s="83"/>
    </row>
    <row r="81" spans="1:29" x14ac:dyDescent="0.4">
      <c r="A81" s="83"/>
      <c r="B81" s="83"/>
      <c r="C81" s="83"/>
      <c r="D81" s="83"/>
      <c r="E81" s="83"/>
      <c r="F81" s="83"/>
      <c r="G81" s="83"/>
      <c r="H81" s="83"/>
      <c r="I81" s="83"/>
      <c r="J81" s="83"/>
      <c r="K81" s="83"/>
      <c r="L81" s="83"/>
      <c r="M81" s="83"/>
      <c r="N81" s="83"/>
      <c r="O81" s="83"/>
      <c r="P81" s="83"/>
      <c r="Q81" s="83"/>
      <c r="R81" s="83"/>
      <c r="S81" s="83"/>
      <c r="T81" s="83"/>
      <c r="U81" s="83"/>
      <c r="V81" s="83"/>
      <c r="W81" s="83"/>
      <c r="X81" s="83"/>
      <c r="Y81" s="83"/>
      <c r="Z81" s="83"/>
      <c r="AA81" s="83"/>
      <c r="AB81" s="83"/>
      <c r="AC81" s="83"/>
    </row>
    <row r="82" spans="1:29" x14ac:dyDescent="0.4">
      <c r="A82" s="83"/>
      <c r="B82" s="83"/>
      <c r="C82" s="83"/>
      <c r="D82" s="83"/>
      <c r="E82" s="83"/>
      <c r="F82" s="83"/>
      <c r="G82" s="83"/>
      <c r="H82" s="83"/>
      <c r="I82" s="83"/>
      <c r="J82" s="83"/>
      <c r="K82" s="83"/>
      <c r="L82" s="83"/>
      <c r="M82" s="83"/>
      <c r="N82" s="83"/>
      <c r="O82" s="83"/>
      <c r="P82" s="83"/>
      <c r="Q82" s="83"/>
      <c r="R82" s="83"/>
      <c r="S82" s="83"/>
      <c r="T82" s="83"/>
      <c r="U82" s="83"/>
      <c r="V82" s="83"/>
      <c r="W82" s="83"/>
      <c r="X82" s="83"/>
      <c r="Y82" s="83"/>
      <c r="Z82" s="83"/>
      <c r="AA82" s="83"/>
      <c r="AB82" s="83"/>
      <c r="AC82" s="83"/>
    </row>
    <row r="83" spans="1:29" x14ac:dyDescent="0.4">
      <c r="A83" s="83"/>
      <c r="B83" s="83"/>
      <c r="C83" s="83"/>
      <c r="D83" s="83"/>
      <c r="E83" s="83"/>
      <c r="F83" s="83"/>
      <c r="G83" s="83"/>
      <c r="H83" s="83"/>
      <c r="I83" s="83"/>
      <c r="J83" s="83"/>
      <c r="K83" s="83"/>
      <c r="L83" s="83"/>
      <c r="M83" s="83"/>
      <c r="N83" s="83"/>
      <c r="O83" s="83"/>
      <c r="P83" s="83"/>
      <c r="Q83" s="83"/>
      <c r="R83" s="83"/>
      <c r="S83" s="83"/>
      <c r="T83" s="83"/>
      <c r="U83" s="83"/>
      <c r="V83" s="83"/>
      <c r="W83" s="83"/>
      <c r="X83" s="83"/>
      <c r="Y83" s="83"/>
      <c r="Z83" s="83"/>
      <c r="AA83" s="83"/>
      <c r="AB83" s="83"/>
      <c r="AC83" s="83"/>
    </row>
    <row r="84" spans="1:29" x14ac:dyDescent="0.4">
      <c r="A84" s="83"/>
      <c r="B84" s="83"/>
      <c r="C84" s="83"/>
      <c r="D84" s="83"/>
      <c r="E84" s="83"/>
      <c r="F84" s="83"/>
      <c r="G84" s="83"/>
      <c r="H84" s="83"/>
      <c r="I84" s="83"/>
      <c r="J84" s="83"/>
      <c r="K84" s="83"/>
      <c r="L84" s="83"/>
      <c r="M84" s="83"/>
      <c r="N84" s="83"/>
      <c r="O84" s="83"/>
      <c r="P84" s="83"/>
      <c r="Q84" s="83"/>
      <c r="R84" s="83"/>
      <c r="S84" s="83"/>
      <c r="T84" s="83"/>
      <c r="U84" s="83"/>
      <c r="V84" s="83"/>
      <c r="W84" s="83"/>
      <c r="X84" s="83"/>
      <c r="Y84" s="83"/>
      <c r="Z84" s="83"/>
      <c r="AA84" s="83"/>
      <c r="AB84" s="83"/>
      <c r="AC84" s="83"/>
    </row>
    <row r="85" spans="1:29" x14ac:dyDescent="0.4">
      <c r="A85" s="83"/>
      <c r="B85" s="83"/>
      <c r="C85" s="83"/>
      <c r="D85" s="83"/>
      <c r="E85" s="83"/>
      <c r="F85" s="83"/>
      <c r="G85" s="83"/>
      <c r="H85" s="83"/>
      <c r="I85" s="83"/>
      <c r="J85" s="83"/>
      <c r="K85" s="83"/>
      <c r="L85" s="83"/>
      <c r="M85" s="83"/>
      <c r="N85" s="83"/>
      <c r="O85" s="83"/>
      <c r="P85" s="83"/>
      <c r="Q85" s="83"/>
      <c r="R85" s="83"/>
      <c r="S85" s="83"/>
      <c r="T85" s="83"/>
      <c r="U85" s="83"/>
      <c r="V85" s="83"/>
      <c r="W85" s="83"/>
      <c r="X85" s="83"/>
      <c r="Y85" s="83"/>
      <c r="Z85" s="83"/>
      <c r="AA85" s="83"/>
      <c r="AB85" s="83"/>
      <c r="AC85" s="83"/>
    </row>
    <row r="86" spans="1:29" x14ac:dyDescent="0.4">
      <c r="A86" s="83"/>
      <c r="B86" s="83"/>
      <c r="C86" s="83"/>
      <c r="D86" s="83"/>
      <c r="E86" s="83"/>
      <c r="F86" s="83"/>
      <c r="G86" s="83"/>
      <c r="H86" s="83"/>
      <c r="I86" s="83"/>
      <c r="J86" s="83"/>
      <c r="K86" s="83"/>
      <c r="L86" s="83"/>
      <c r="M86" s="83"/>
      <c r="N86" s="83"/>
      <c r="O86" s="83"/>
      <c r="P86" s="83"/>
      <c r="Q86" s="83"/>
      <c r="R86" s="83"/>
      <c r="S86" s="83"/>
      <c r="T86" s="83"/>
      <c r="U86" s="83"/>
      <c r="V86" s="83"/>
      <c r="W86" s="83"/>
      <c r="X86" s="83"/>
      <c r="Y86" s="83"/>
      <c r="Z86" s="83"/>
      <c r="AA86" s="83"/>
      <c r="AB86" s="83"/>
      <c r="AC86" s="83"/>
    </row>
    <row r="87" spans="1:29" x14ac:dyDescent="0.4">
      <c r="A87" s="83"/>
      <c r="B87" s="83"/>
      <c r="C87" s="83"/>
      <c r="D87" s="83"/>
      <c r="E87" s="83"/>
      <c r="F87" s="83"/>
      <c r="G87" s="83"/>
      <c r="H87" s="83"/>
      <c r="I87" s="83"/>
      <c r="J87" s="83"/>
      <c r="K87" s="83"/>
      <c r="L87" s="83"/>
      <c r="M87" s="83"/>
      <c r="N87" s="83"/>
      <c r="O87" s="83"/>
      <c r="P87" s="83"/>
      <c r="Q87" s="83"/>
      <c r="R87" s="83"/>
      <c r="S87" s="83"/>
      <c r="T87" s="83"/>
      <c r="U87" s="83"/>
      <c r="V87" s="83"/>
      <c r="W87" s="83"/>
      <c r="X87" s="83"/>
      <c r="Y87" s="83"/>
      <c r="Z87" s="83"/>
      <c r="AA87" s="83"/>
      <c r="AB87" s="83"/>
      <c r="AC87" s="83"/>
    </row>
    <row r="88" spans="1:29" x14ac:dyDescent="0.4">
      <c r="A88" s="83"/>
      <c r="B88" s="83"/>
      <c r="C88" s="83"/>
      <c r="D88" s="83"/>
      <c r="E88" s="83"/>
      <c r="F88" s="83"/>
      <c r="G88" s="83"/>
      <c r="H88" s="83"/>
      <c r="I88" s="83"/>
      <c r="J88" s="83"/>
      <c r="K88" s="83"/>
      <c r="L88" s="83"/>
      <c r="M88" s="83"/>
      <c r="N88" s="83"/>
      <c r="O88" s="83"/>
      <c r="P88" s="83"/>
      <c r="Q88" s="83"/>
      <c r="R88" s="83"/>
      <c r="S88" s="83"/>
      <c r="T88" s="83"/>
      <c r="U88" s="83"/>
      <c r="V88" s="83"/>
      <c r="W88" s="83"/>
      <c r="X88" s="83"/>
      <c r="Y88" s="83"/>
      <c r="Z88" s="83"/>
      <c r="AA88" s="83"/>
      <c r="AB88" s="83"/>
      <c r="AC88" s="83"/>
    </row>
    <row r="89" spans="1:29" x14ac:dyDescent="0.4">
      <c r="A89" s="83"/>
      <c r="B89" s="83"/>
      <c r="C89" s="83"/>
      <c r="D89" s="83"/>
      <c r="E89" s="83"/>
      <c r="F89" s="83"/>
      <c r="G89" s="83"/>
      <c r="H89" s="83"/>
      <c r="I89" s="83"/>
      <c r="J89" s="83"/>
      <c r="K89" s="83"/>
      <c r="L89" s="83"/>
      <c r="M89" s="83"/>
      <c r="N89" s="83"/>
      <c r="O89" s="83"/>
      <c r="P89" s="83"/>
      <c r="Q89" s="83"/>
      <c r="R89" s="83"/>
      <c r="S89" s="83"/>
      <c r="T89" s="83"/>
      <c r="U89" s="83"/>
      <c r="V89" s="83"/>
      <c r="W89" s="83"/>
      <c r="X89" s="83"/>
      <c r="Y89" s="83"/>
      <c r="Z89" s="83"/>
      <c r="AA89" s="83"/>
      <c r="AB89" s="83"/>
      <c r="AC89" s="83"/>
    </row>
    <row r="90" spans="1:29" x14ac:dyDescent="0.4">
      <c r="A90" s="83"/>
      <c r="B90" s="83"/>
      <c r="C90" s="83"/>
      <c r="D90" s="83"/>
      <c r="E90" s="83"/>
      <c r="F90" s="83"/>
      <c r="G90" s="83"/>
      <c r="H90" s="83"/>
      <c r="I90" s="83"/>
      <c r="J90" s="83"/>
      <c r="K90" s="83"/>
      <c r="L90" s="83"/>
      <c r="M90" s="83"/>
      <c r="N90" s="83"/>
      <c r="O90" s="83"/>
      <c r="P90" s="83"/>
      <c r="Q90" s="83"/>
      <c r="R90" s="83"/>
      <c r="S90" s="83"/>
      <c r="T90" s="83"/>
      <c r="U90" s="83"/>
      <c r="V90" s="83"/>
      <c r="W90" s="83"/>
      <c r="X90" s="83"/>
      <c r="Y90" s="83"/>
      <c r="Z90" s="83"/>
      <c r="AA90" s="83"/>
      <c r="AB90" s="83"/>
      <c r="AC90" s="83"/>
    </row>
    <row r="91" spans="1:29" x14ac:dyDescent="0.4">
      <c r="A91" s="83"/>
      <c r="B91" s="83"/>
      <c r="C91" s="83"/>
      <c r="D91" s="83"/>
      <c r="E91" s="83"/>
      <c r="F91" s="83"/>
      <c r="G91" s="83"/>
      <c r="H91" s="83"/>
      <c r="I91" s="83"/>
      <c r="J91" s="83"/>
      <c r="K91" s="83"/>
      <c r="L91" s="83"/>
      <c r="M91" s="83"/>
      <c r="N91" s="83"/>
      <c r="O91" s="83"/>
      <c r="P91" s="83"/>
      <c r="Q91" s="83"/>
      <c r="R91" s="83"/>
      <c r="S91" s="83"/>
      <c r="T91" s="83"/>
      <c r="U91" s="83"/>
      <c r="V91" s="83"/>
      <c r="W91" s="83"/>
      <c r="X91" s="83"/>
      <c r="Y91" s="83"/>
      <c r="Z91" s="83"/>
      <c r="AA91" s="83"/>
      <c r="AB91" s="83"/>
      <c r="AC91" s="83"/>
    </row>
    <row r="92" spans="1:29" x14ac:dyDescent="0.4">
      <c r="A92" s="83"/>
      <c r="B92" s="83"/>
      <c r="C92" s="83"/>
      <c r="D92" s="83"/>
      <c r="E92" s="83"/>
      <c r="F92" s="83"/>
      <c r="G92" s="83"/>
      <c r="H92" s="83"/>
      <c r="I92" s="83"/>
      <c r="J92" s="83"/>
      <c r="K92" s="83"/>
      <c r="L92" s="83"/>
      <c r="M92" s="83"/>
      <c r="N92" s="83"/>
      <c r="O92" s="83"/>
      <c r="P92" s="83"/>
      <c r="Q92" s="83"/>
      <c r="R92" s="83"/>
      <c r="S92" s="83"/>
      <c r="T92" s="83"/>
      <c r="U92" s="83"/>
      <c r="V92" s="83"/>
      <c r="W92" s="83"/>
      <c r="X92" s="83"/>
      <c r="Y92" s="83"/>
      <c r="Z92" s="83"/>
      <c r="AA92" s="83"/>
      <c r="AB92" s="83"/>
      <c r="AC92" s="83"/>
    </row>
    <row r="93" spans="1:29" x14ac:dyDescent="0.4">
      <c r="A93" s="83"/>
      <c r="B93" s="83"/>
      <c r="C93" s="83"/>
      <c r="D93" s="83"/>
      <c r="E93" s="83"/>
      <c r="F93" s="83"/>
      <c r="G93" s="83"/>
      <c r="H93" s="83"/>
      <c r="I93" s="83"/>
      <c r="J93" s="83"/>
      <c r="K93" s="83"/>
      <c r="L93" s="83"/>
      <c r="M93" s="83"/>
      <c r="N93" s="83"/>
      <c r="O93" s="83"/>
      <c r="P93" s="83"/>
      <c r="Q93" s="83"/>
      <c r="R93" s="83"/>
      <c r="S93" s="83"/>
      <c r="T93" s="83"/>
      <c r="U93" s="83"/>
      <c r="V93" s="83"/>
      <c r="W93" s="83"/>
      <c r="X93" s="83"/>
      <c r="Y93" s="83"/>
      <c r="Z93" s="83"/>
      <c r="AA93" s="83"/>
      <c r="AB93" s="83"/>
      <c r="AC93" s="83"/>
    </row>
    <row r="94" spans="1:29" x14ac:dyDescent="0.4">
      <c r="A94" s="83"/>
      <c r="B94" s="83"/>
      <c r="C94" s="83"/>
      <c r="D94" s="83"/>
      <c r="E94" s="83"/>
      <c r="F94" s="83"/>
      <c r="G94" s="83"/>
      <c r="H94" s="83"/>
      <c r="I94" s="83"/>
      <c r="J94" s="83"/>
      <c r="K94" s="83"/>
      <c r="L94" s="83"/>
      <c r="M94" s="83"/>
      <c r="N94" s="83"/>
      <c r="O94" s="83"/>
      <c r="P94" s="83"/>
      <c r="Q94" s="83"/>
      <c r="R94" s="83"/>
      <c r="S94" s="83"/>
      <c r="T94" s="83"/>
      <c r="U94" s="83"/>
      <c r="V94" s="83"/>
      <c r="W94" s="83"/>
      <c r="X94" s="83"/>
      <c r="Y94" s="83"/>
      <c r="Z94" s="83"/>
      <c r="AA94" s="83"/>
      <c r="AB94" s="83"/>
      <c r="AC94" s="83"/>
    </row>
    <row r="95" spans="1:29" x14ac:dyDescent="0.4">
      <c r="A95" s="83"/>
      <c r="B95" s="83"/>
      <c r="C95" s="83"/>
      <c r="D95" s="83"/>
      <c r="E95" s="83"/>
      <c r="F95" s="83"/>
      <c r="G95" s="83"/>
      <c r="H95" s="83"/>
      <c r="I95" s="83"/>
      <c r="J95" s="83"/>
      <c r="K95" s="83"/>
      <c r="L95" s="83"/>
      <c r="M95" s="83"/>
      <c r="N95" s="83"/>
      <c r="O95" s="83"/>
      <c r="P95" s="83"/>
      <c r="Q95" s="83"/>
      <c r="R95" s="83"/>
      <c r="S95" s="83"/>
      <c r="T95" s="83"/>
      <c r="U95" s="83"/>
      <c r="V95" s="83"/>
      <c r="W95" s="83"/>
      <c r="X95" s="83"/>
      <c r="Y95" s="83"/>
      <c r="Z95" s="83"/>
      <c r="AA95" s="83"/>
      <c r="AB95" s="83"/>
      <c r="AC95" s="83"/>
    </row>
    <row r="96" spans="1:29" x14ac:dyDescent="0.4">
      <c r="A96" s="83"/>
      <c r="B96" s="83"/>
      <c r="C96" s="83"/>
      <c r="D96" s="83"/>
      <c r="E96" s="83"/>
      <c r="F96" s="83"/>
      <c r="G96" s="83"/>
      <c r="H96" s="83"/>
      <c r="I96" s="83"/>
      <c r="J96" s="83"/>
      <c r="K96" s="83"/>
      <c r="L96" s="83"/>
      <c r="M96" s="83"/>
      <c r="N96" s="83"/>
      <c r="O96" s="83"/>
      <c r="P96" s="83"/>
      <c r="Q96" s="83"/>
      <c r="R96" s="83"/>
      <c r="S96" s="83"/>
      <c r="T96" s="83"/>
      <c r="U96" s="83"/>
      <c r="V96" s="83"/>
      <c r="W96" s="83"/>
      <c r="X96" s="83"/>
      <c r="Y96" s="83"/>
      <c r="Z96" s="83"/>
      <c r="AA96" s="83"/>
      <c r="AB96" s="83"/>
      <c r="AC96" s="83"/>
    </row>
    <row r="97" spans="1:29" x14ac:dyDescent="0.4">
      <c r="A97" s="83"/>
      <c r="B97" s="83"/>
      <c r="C97" s="83"/>
      <c r="D97" s="83"/>
      <c r="E97" s="83"/>
      <c r="F97" s="83"/>
      <c r="G97" s="83"/>
      <c r="H97" s="83"/>
      <c r="I97" s="83"/>
      <c r="J97" s="83"/>
      <c r="K97" s="83"/>
      <c r="L97" s="83"/>
      <c r="M97" s="83"/>
      <c r="N97" s="83"/>
      <c r="O97" s="83"/>
      <c r="P97" s="83"/>
      <c r="Q97" s="83"/>
      <c r="R97" s="83"/>
      <c r="S97" s="83"/>
      <c r="T97" s="83"/>
      <c r="U97" s="83"/>
      <c r="V97" s="83"/>
      <c r="W97" s="83"/>
      <c r="X97" s="83"/>
      <c r="Y97" s="83"/>
      <c r="Z97" s="83"/>
      <c r="AA97" s="83"/>
      <c r="AB97" s="83"/>
      <c r="AC97" s="83"/>
    </row>
    <row r="98" spans="1:29" x14ac:dyDescent="0.4">
      <c r="A98" s="83"/>
      <c r="B98" s="83"/>
      <c r="C98" s="83"/>
      <c r="D98" s="83"/>
      <c r="E98" s="83"/>
      <c r="F98" s="83"/>
      <c r="G98" s="83"/>
      <c r="H98" s="83"/>
      <c r="I98" s="83"/>
      <c r="J98" s="83"/>
      <c r="K98" s="83"/>
      <c r="L98" s="83"/>
      <c r="M98" s="83"/>
      <c r="N98" s="83"/>
      <c r="O98" s="83"/>
      <c r="P98" s="83"/>
      <c r="Q98" s="83"/>
      <c r="R98" s="83"/>
      <c r="S98" s="83"/>
      <c r="T98" s="83"/>
      <c r="U98" s="83"/>
      <c r="V98" s="83"/>
      <c r="W98" s="83"/>
      <c r="X98" s="83"/>
      <c r="Y98" s="83"/>
      <c r="Z98" s="83"/>
      <c r="AA98" s="83"/>
      <c r="AB98" s="83"/>
      <c r="AC98" s="83"/>
    </row>
    <row r="99" spans="1:29" x14ac:dyDescent="0.4">
      <c r="A99" s="83"/>
      <c r="B99" s="83"/>
      <c r="C99" s="83"/>
      <c r="D99" s="83"/>
      <c r="E99" s="83"/>
      <c r="F99" s="83"/>
      <c r="G99" s="83"/>
      <c r="H99" s="83"/>
      <c r="I99" s="83"/>
      <c r="J99" s="83"/>
      <c r="K99" s="83"/>
      <c r="L99" s="83"/>
      <c r="M99" s="83"/>
      <c r="N99" s="83"/>
      <c r="O99" s="83"/>
      <c r="P99" s="83"/>
      <c r="Q99" s="83"/>
      <c r="R99" s="83"/>
      <c r="S99" s="83"/>
      <c r="T99" s="83"/>
      <c r="U99" s="83"/>
      <c r="V99" s="83"/>
      <c r="W99" s="83"/>
      <c r="X99" s="83"/>
      <c r="Y99" s="83"/>
      <c r="Z99" s="83"/>
      <c r="AA99" s="83"/>
      <c r="AB99" s="83"/>
      <c r="AC99" s="83"/>
    </row>
    <row r="100" spans="1:29" x14ac:dyDescent="0.4">
      <c r="A100" s="83"/>
      <c r="B100" s="83"/>
      <c r="C100" s="83"/>
      <c r="D100" s="83"/>
      <c r="E100" s="83"/>
      <c r="F100" s="83"/>
      <c r="G100" s="83"/>
      <c r="H100" s="83"/>
      <c r="I100" s="83"/>
      <c r="J100" s="83"/>
      <c r="K100" s="83"/>
      <c r="L100" s="83"/>
      <c r="M100" s="83"/>
      <c r="N100" s="83"/>
      <c r="O100" s="83"/>
      <c r="P100" s="83"/>
      <c r="Q100" s="83"/>
      <c r="R100" s="83"/>
      <c r="S100" s="83"/>
      <c r="T100" s="83"/>
      <c r="U100" s="83"/>
      <c r="V100" s="83"/>
      <c r="W100" s="83"/>
      <c r="X100" s="83"/>
      <c r="Y100" s="83"/>
      <c r="Z100" s="83"/>
      <c r="AA100" s="83"/>
      <c r="AB100" s="83"/>
      <c r="AC100" s="83"/>
    </row>
    <row r="101" spans="1:29" x14ac:dyDescent="0.4">
      <c r="A101" s="83"/>
      <c r="B101" s="83"/>
      <c r="C101" s="83"/>
      <c r="D101" s="83"/>
      <c r="E101" s="83"/>
      <c r="F101" s="83"/>
      <c r="G101" s="83"/>
      <c r="H101" s="83"/>
      <c r="I101" s="83"/>
      <c r="J101" s="83"/>
      <c r="K101" s="83"/>
      <c r="L101" s="83"/>
      <c r="M101" s="83"/>
      <c r="N101" s="83"/>
      <c r="O101" s="83"/>
      <c r="P101" s="83"/>
      <c r="Q101" s="83"/>
      <c r="R101" s="83"/>
      <c r="S101" s="83"/>
      <c r="T101" s="83"/>
      <c r="U101" s="83"/>
      <c r="V101" s="83"/>
      <c r="W101" s="83"/>
      <c r="X101" s="83"/>
      <c r="Y101" s="83"/>
      <c r="Z101" s="83"/>
      <c r="AA101" s="83"/>
      <c r="AB101" s="83"/>
      <c r="AC101" s="83"/>
    </row>
    <row r="102" spans="1:29" x14ac:dyDescent="0.4">
      <c r="A102" s="83"/>
      <c r="B102" s="83"/>
      <c r="C102" s="83"/>
      <c r="D102" s="83"/>
      <c r="E102" s="83"/>
      <c r="F102" s="83"/>
      <c r="G102" s="83"/>
      <c r="H102" s="83"/>
      <c r="I102" s="83"/>
      <c r="J102" s="83"/>
      <c r="K102" s="83"/>
      <c r="L102" s="83"/>
      <c r="M102" s="83"/>
      <c r="N102" s="83"/>
      <c r="O102" s="83"/>
      <c r="P102" s="83"/>
      <c r="Q102" s="83"/>
      <c r="R102" s="83"/>
      <c r="S102" s="83"/>
      <c r="T102" s="83"/>
      <c r="U102" s="83"/>
      <c r="V102" s="83"/>
      <c r="W102" s="83"/>
      <c r="X102" s="83"/>
      <c r="Y102" s="83"/>
      <c r="Z102" s="83"/>
      <c r="AA102" s="83"/>
      <c r="AB102" s="83"/>
      <c r="AC102" s="83"/>
    </row>
    <row r="103" spans="1:29" x14ac:dyDescent="0.4">
      <c r="A103" s="83"/>
      <c r="B103" s="83"/>
      <c r="C103" s="83"/>
      <c r="D103" s="83"/>
      <c r="E103" s="83"/>
      <c r="F103" s="83"/>
      <c r="G103" s="83"/>
      <c r="H103" s="83"/>
      <c r="I103" s="83"/>
      <c r="J103" s="83"/>
      <c r="K103" s="83"/>
      <c r="L103" s="83"/>
      <c r="M103" s="83"/>
      <c r="N103" s="83"/>
      <c r="O103" s="83"/>
      <c r="P103" s="83"/>
      <c r="Q103" s="83"/>
      <c r="R103" s="83"/>
      <c r="S103" s="83"/>
      <c r="T103" s="83"/>
      <c r="U103" s="83"/>
      <c r="V103" s="83"/>
      <c r="W103" s="83"/>
      <c r="X103" s="83"/>
      <c r="Y103" s="83"/>
      <c r="Z103" s="83"/>
      <c r="AA103" s="83"/>
      <c r="AB103" s="83"/>
      <c r="AC103" s="83"/>
    </row>
    <row r="104" spans="1:29" x14ac:dyDescent="0.4">
      <c r="A104" s="83"/>
      <c r="B104" s="83"/>
      <c r="C104" s="83"/>
      <c r="D104" s="83"/>
      <c r="E104" s="83"/>
      <c r="F104" s="83"/>
      <c r="G104" s="83"/>
      <c r="H104" s="83"/>
      <c r="I104" s="83"/>
      <c r="J104" s="83"/>
      <c r="K104" s="83"/>
      <c r="L104" s="83"/>
      <c r="M104" s="83"/>
      <c r="N104" s="83"/>
      <c r="O104" s="83"/>
      <c r="P104" s="83"/>
      <c r="Q104" s="83"/>
      <c r="R104" s="83"/>
      <c r="S104" s="83"/>
      <c r="T104" s="83"/>
      <c r="U104" s="83"/>
      <c r="V104" s="83"/>
      <c r="W104" s="83"/>
      <c r="X104" s="83"/>
      <c r="Y104" s="83"/>
      <c r="Z104" s="83"/>
      <c r="AA104" s="83"/>
      <c r="AB104" s="83"/>
      <c r="AC104" s="83"/>
    </row>
    <row r="105" spans="1:29" x14ac:dyDescent="0.4">
      <c r="A105" s="83"/>
      <c r="B105" s="83"/>
      <c r="C105" s="83"/>
      <c r="D105" s="83"/>
      <c r="E105" s="83"/>
      <c r="F105" s="83"/>
      <c r="G105" s="83"/>
      <c r="H105" s="83"/>
      <c r="I105" s="83"/>
      <c r="J105" s="83"/>
      <c r="K105" s="83"/>
      <c r="L105" s="83"/>
      <c r="M105" s="83"/>
      <c r="N105" s="83"/>
      <c r="O105" s="83"/>
      <c r="P105" s="83"/>
      <c r="Q105" s="83"/>
      <c r="R105" s="83"/>
      <c r="S105" s="83"/>
      <c r="T105" s="83"/>
      <c r="U105" s="83"/>
      <c r="V105" s="83"/>
      <c r="W105" s="83"/>
      <c r="X105" s="83"/>
      <c r="Y105" s="83"/>
      <c r="Z105" s="83"/>
      <c r="AA105" s="83"/>
      <c r="AB105" s="83"/>
      <c r="AC105" s="83"/>
    </row>
    <row r="106" spans="1:29" x14ac:dyDescent="0.4">
      <c r="A106" s="83"/>
      <c r="B106" s="83"/>
      <c r="C106" s="83"/>
      <c r="D106" s="83"/>
      <c r="E106" s="83"/>
      <c r="F106" s="83"/>
      <c r="G106" s="83"/>
      <c r="H106" s="83"/>
      <c r="I106" s="83"/>
      <c r="J106" s="83"/>
      <c r="K106" s="83"/>
      <c r="L106" s="83"/>
      <c r="M106" s="83"/>
      <c r="N106" s="83"/>
      <c r="O106" s="83"/>
      <c r="P106" s="83"/>
      <c r="Q106" s="83"/>
      <c r="R106" s="83"/>
      <c r="S106" s="83"/>
      <c r="T106" s="83"/>
      <c r="U106" s="83"/>
      <c r="V106" s="83"/>
      <c r="W106" s="83"/>
      <c r="X106" s="83"/>
      <c r="Y106" s="83"/>
      <c r="Z106" s="83"/>
      <c r="AA106" s="83"/>
      <c r="AB106" s="83"/>
      <c r="AC106" s="83"/>
    </row>
    <row r="107" spans="1:29" x14ac:dyDescent="0.4">
      <c r="A107" s="83"/>
      <c r="B107" s="83"/>
      <c r="C107" s="83"/>
      <c r="D107" s="83"/>
      <c r="E107" s="83"/>
      <c r="F107" s="83"/>
      <c r="G107" s="83"/>
      <c r="H107" s="83"/>
      <c r="I107" s="83"/>
      <c r="J107" s="83"/>
      <c r="K107" s="83"/>
      <c r="L107" s="83"/>
      <c r="M107" s="83"/>
      <c r="N107" s="83"/>
      <c r="O107" s="83"/>
      <c r="P107" s="83"/>
      <c r="Q107" s="83"/>
      <c r="R107" s="83"/>
      <c r="S107" s="83"/>
      <c r="T107" s="83"/>
      <c r="U107" s="83"/>
      <c r="V107" s="83"/>
      <c r="W107" s="83"/>
      <c r="X107" s="83"/>
      <c r="Y107" s="83"/>
      <c r="Z107" s="83"/>
      <c r="AA107" s="83"/>
      <c r="AB107" s="83"/>
      <c r="AC107" s="83"/>
    </row>
    <row r="108" spans="1:29" x14ac:dyDescent="0.4">
      <c r="A108" s="83"/>
      <c r="B108" s="83"/>
      <c r="C108" s="83"/>
      <c r="D108" s="83"/>
      <c r="E108" s="83"/>
      <c r="F108" s="83"/>
      <c r="G108" s="83"/>
      <c r="H108" s="83"/>
      <c r="I108" s="83"/>
      <c r="J108" s="83"/>
      <c r="K108" s="83"/>
      <c r="L108" s="83"/>
      <c r="M108" s="83"/>
      <c r="N108" s="83"/>
      <c r="O108" s="83"/>
      <c r="P108" s="83"/>
      <c r="Q108" s="83"/>
      <c r="R108" s="83"/>
      <c r="S108" s="83"/>
      <c r="T108" s="83"/>
      <c r="U108" s="83"/>
      <c r="V108" s="83"/>
      <c r="W108" s="83"/>
      <c r="X108" s="83"/>
      <c r="Y108" s="83"/>
      <c r="Z108" s="83"/>
      <c r="AA108" s="83"/>
      <c r="AB108" s="83"/>
      <c r="AC108" s="83"/>
    </row>
    <row r="109" spans="1:29" x14ac:dyDescent="0.4">
      <c r="A109" s="83"/>
      <c r="B109" s="83"/>
      <c r="C109" s="83"/>
      <c r="D109" s="83"/>
      <c r="E109" s="83"/>
      <c r="F109" s="83"/>
      <c r="G109" s="83"/>
      <c r="H109" s="83"/>
      <c r="I109" s="83"/>
      <c r="J109" s="83"/>
      <c r="K109" s="83"/>
      <c r="L109" s="83"/>
      <c r="M109" s="83"/>
      <c r="N109" s="83"/>
      <c r="O109" s="83"/>
      <c r="P109" s="83"/>
      <c r="Q109" s="83"/>
      <c r="R109" s="83"/>
      <c r="S109" s="83"/>
      <c r="T109" s="83"/>
      <c r="U109" s="83"/>
      <c r="V109" s="83"/>
      <c r="W109" s="83"/>
      <c r="X109" s="83"/>
      <c r="Y109" s="83"/>
      <c r="Z109" s="83"/>
      <c r="AA109" s="83"/>
      <c r="AB109" s="83"/>
      <c r="AC109" s="83"/>
    </row>
    <row r="110" spans="1:29" x14ac:dyDescent="0.4">
      <c r="A110" s="83"/>
      <c r="B110" s="83"/>
      <c r="C110" s="83"/>
      <c r="D110" s="83"/>
      <c r="E110" s="83"/>
      <c r="F110" s="83"/>
      <c r="G110" s="83"/>
      <c r="H110" s="83"/>
      <c r="I110" s="83"/>
      <c r="J110" s="83"/>
      <c r="K110" s="83"/>
      <c r="L110" s="83"/>
      <c r="M110" s="83"/>
      <c r="N110" s="83"/>
      <c r="O110" s="83"/>
      <c r="P110" s="83"/>
      <c r="Q110" s="83"/>
      <c r="R110" s="83"/>
      <c r="S110" s="83"/>
      <c r="T110" s="83"/>
      <c r="U110" s="83"/>
      <c r="V110" s="83"/>
      <c r="W110" s="83"/>
      <c r="X110" s="83"/>
      <c r="Y110" s="83"/>
      <c r="Z110" s="83"/>
      <c r="AA110" s="83"/>
      <c r="AB110" s="83"/>
      <c r="AC110" s="83"/>
    </row>
    <row r="111" spans="1:29" x14ac:dyDescent="0.4">
      <c r="A111" s="83"/>
      <c r="B111" s="83"/>
      <c r="C111" s="83"/>
      <c r="D111" s="83"/>
      <c r="E111" s="83"/>
      <c r="F111" s="83"/>
      <c r="G111" s="83"/>
      <c r="H111" s="83"/>
      <c r="I111" s="83"/>
      <c r="J111" s="83"/>
      <c r="K111" s="83"/>
      <c r="L111" s="83"/>
      <c r="M111" s="83"/>
      <c r="N111" s="83"/>
      <c r="O111" s="83"/>
      <c r="P111" s="83"/>
      <c r="Q111" s="83"/>
      <c r="R111" s="83"/>
      <c r="S111" s="83"/>
      <c r="T111" s="83"/>
      <c r="U111" s="83"/>
      <c r="V111" s="83"/>
      <c r="W111" s="83"/>
      <c r="X111" s="83"/>
      <c r="Y111" s="83"/>
      <c r="Z111" s="83"/>
      <c r="AA111" s="83"/>
      <c r="AB111" s="83"/>
      <c r="AC111" s="83"/>
    </row>
    <row r="112" spans="1:29" x14ac:dyDescent="0.4">
      <c r="A112" s="83"/>
      <c r="B112" s="83"/>
      <c r="C112" s="83"/>
      <c r="D112" s="83"/>
      <c r="E112" s="83"/>
      <c r="F112" s="83"/>
      <c r="G112" s="83"/>
      <c r="H112" s="83"/>
      <c r="I112" s="83"/>
      <c r="J112" s="83"/>
      <c r="K112" s="83"/>
      <c r="L112" s="83"/>
      <c r="M112" s="83"/>
      <c r="N112" s="83"/>
      <c r="O112" s="83"/>
      <c r="P112" s="83"/>
      <c r="Q112" s="83"/>
      <c r="R112" s="83"/>
      <c r="S112" s="83"/>
      <c r="T112" s="83"/>
      <c r="U112" s="83"/>
      <c r="V112" s="83"/>
      <c r="W112" s="83"/>
      <c r="X112" s="83"/>
      <c r="Y112" s="83"/>
      <c r="Z112" s="83"/>
      <c r="AA112" s="83"/>
      <c r="AB112" s="83"/>
      <c r="AC112" s="83"/>
    </row>
    <row r="113" spans="1:29" x14ac:dyDescent="0.4">
      <c r="A113" s="83"/>
      <c r="B113" s="83"/>
      <c r="C113" s="83"/>
      <c r="D113" s="83"/>
      <c r="E113" s="83"/>
      <c r="F113" s="83"/>
      <c r="G113" s="83"/>
      <c r="H113" s="83"/>
      <c r="I113" s="83"/>
      <c r="J113" s="83"/>
      <c r="K113" s="83"/>
      <c r="L113" s="83"/>
      <c r="M113" s="83"/>
      <c r="N113" s="83"/>
      <c r="O113" s="83"/>
      <c r="P113" s="83"/>
      <c r="Q113" s="83"/>
      <c r="R113" s="83"/>
      <c r="S113" s="83"/>
      <c r="T113" s="83"/>
      <c r="U113" s="83"/>
      <c r="V113" s="83"/>
      <c r="W113" s="83"/>
      <c r="X113" s="83"/>
      <c r="Y113" s="83"/>
      <c r="Z113" s="83"/>
      <c r="AA113" s="83"/>
      <c r="AB113" s="83"/>
      <c r="AC113" s="83"/>
    </row>
    <row r="114" spans="1:29" x14ac:dyDescent="0.4">
      <c r="A114" s="83"/>
      <c r="B114" s="83"/>
      <c r="C114" s="83"/>
      <c r="D114" s="83"/>
      <c r="E114" s="83"/>
      <c r="F114" s="83"/>
      <c r="G114" s="83"/>
      <c r="H114" s="83"/>
      <c r="I114" s="83"/>
      <c r="J114" s="83"/>
      <c r="K114" s="83"/>
      <c r="L114" s="83"/>
      <c r="M114" s="83"/>
      <c r="N114" s="83"/>
      <c r="O114" s="83"/>
      <c r="P114" s="83"/>
      <c r="Q114" s="83"/>
      <c r="R114" s="83"/>
      <c r="S114" s="83"/>
      <c r="T114" s="83"/>
      <c r="U114" s="83"/>
      <c r="V114" s="83"/>
      <c r="W114" s="83"/>
      <c r="X114" s="83"/>
      <c r="Y114" s="83"/>
      <c r="Z114" s="83"/>
      <c r="AA114" s="83"/>
      <c r="AB114" s="83"/>
      <c r="AC114" s="83"/>
    </row>
    <row r="115" spans="1:29" x14ac:dyDescent="0.4">
      <c r="A115" s="83"/>
      <c r="B115" s="83"/>
      <c r="C115" s="83"/>
      <c r="D115" s="83"/>
      <c r="E115" s="83"/>
      <c r="F115" s="83"/>
      <c r="G115" s="83"/>
      <c r="H115" s="83"/>
      <c r="I115" s="83"/>
      <c r="J115" s="83"/>
      <c r="K115" s="83"/>
      <c r="L115" s="83"/>
      <c r="M115" s="83"/>
      <c r="N115" s="83"/>
      <c r="O115" s="83"/>
      <c r="P115" s="83"/>
      <c r="Q115" s="83"/>
      <c r="R115" s="83"/>
      <c r="S115" s="83"/>
      <c r="T115" s="83"/>
      <c r="U115" s="83"/>
      <c r="V115" s="83"/>
      <c r="W115" s="83"/>
      <c r="X115" s="83"/>
      <c r="Y115" s="83"/>
      <c r="Z115" s="83"/>
      <c r="AA115" s="83"/>
      <c r="AB115" s="83"/>
      <c r="AC115" s="83"/>
    </row>
    <row r="116" spans="1:29" x14ac:dyDescent="0.4">
      <c r="A116" s="83"/>
      <c r="B116" s="83"/>
      <c r="C116" s="83"/>
      <c r="D116" s="83"/>
      <c r="E116" s="83"/>
      <c r="F116" s="83"/>
      <c r="G116" s="83"/>
      <c r="H116" s="83"/>
      <c r="I116" s="83"/>
      <c r="J116" s="83"/>
      <c r="K116" s="83"/>
      <c r="L116" s="83"/>
      <c r="M116" s="83"/>
      <c r="N116" s="83"/>
      <c r="O116" s="83"/>
      <c r="P116" s="83"/>
      <c r="Q116" s="83"/>
      <c r="R116" s="83"/>
      <c r="S116" s="83"/>
      <c r="T116" s="83"/>
      <c r="U116" s="83"/>
      <c r="V116" s="83"/>
      <c r="W116" s="83"/>
      <c r="X116" s="83"/>
      <c r="Y116" s="83"/>
      <c r="Z116" s="83"/>
      <c r="AA116" s="83"/>
      <c r="AB116" s="83"/>
      <c r="AC116" s="83"/>
    </row>
    <row r="117" spans="1:29" x14ac:dyDescent="0.4">
      <c r="A117" s="83"/>
      <c r="B117" s="83"/>
      <c r="C117" s="83"/>
      <c r="D117" s="83"/>
      <c r="E117" s="83"/>
      <c r="F117" s="83"/>
      <c r="G117" s="83"/>
      <c r="H117" s="83"/>
      <c r="I117" s="83"/>
      <c r="J117" s="83"/>
      <c r="K117" s="83"/>
      <c r="L117" s="83"/>
      <c r="M117" s="83"/>
      <c r="N117" s="83"/>
      <c r="O117" s="83"/>
      <c r="P117" s="83"/>
      <c r="Q117" s="83"/>
      <c r="R117" s="83"/>
      <c r="S117" s="83"/>
      <c r="T117" s="83"/>
      <c r="U117" s="83"/>
      <c r="V117" s="83"/>
      <c r="W117" s="83"/>
      <c r="X117" s="83"/>
      <c r="Y117" s="83"/>
      <c r="Z117" s="83"/>
      <c r="AA117" s="83"/>
      <c r="AB117" s="83"/>
      <c r="AC117" s="83"/>
    </row>
    <row r="118" spans="1:29" x14ac:dyDescent="0.4">
      <c r="A118" s="83"/>
      <c r="B118" s="83"/>
      <c r="C118" s="83"/>
      <c r="D118" s="83"/>
      <c r="E118" s="83"/>
      <c r="F118" s="83"/>
      <c r="G118" s="83"/>
      <c r="H118" s="83"/>
      <c r="I118" s="83"/>
      <c r="J118" s="83"/>
      <c r="K118" s="83"/>
      <c r="L118" s="83"/>
      <c r="M118" s="83"/>
      <c r="N118" s="83"/>
      <c r="O118" s="83"/>
      <c r="P118" s="83"/>
      <c r="Q118" s="83"/>
      <c r="R118" s="83"/>
      <c r="S118" s="83"/>
      <c r="T118" s="83"/>
      <c r="U118" s="83"/>
      <c r="V118" s="83"/>
      <c r="W118" s="83"/>
      <c r="X118" s="83"/>
      <c r="Y118" s="83"/>
      <c r="Z118" s="83"/>
      <c r="AA118" s="83"/>
      <c r="AB118" s="83"/>
      <c r="AC118" s="83"/>
    </row>
    <row r="119" spans="1:29" x14ac:dyDescent="0.4">
      <c r="A119" s="83"/>
      <c r="B119" s="83"/>
      <c r="C119" s="83"/>
      <c r="D119" s="83"/>
      <c r="E119" s="83"/>
      <c r="F119" s="83"/>
      <c r="G119" s="83"/>
      <c r="H119" s="83"/>
      <c r="I119" s="83"/>
      <c r="J119" s="83"/>
      <c r="K119" s="83"/>
      <c r="L119" s="83"/>
      <c r="M119" s="83"/>
      <c r="N119" s="83"/>
      <c r="O119" s="83"/>
      <c r="P119" s="83"/>
      <c r="Q119" s="83"/>
      <c r="R119" s="83"/>
      <c r="S119" s="83"/>
      <c r="T119" s="83"/>
      <c r="U119" s="83"/>
      <c r="V119" s="83"/>
      <c r="W119" s="83"/>
      <c r="X119" s="83"/>
      <c r="Y119" s="83"/>
      <c r="Z119" s="83"/>
      <c r="AA119" s="83"/>
      <c r="AB119" s="83"/>
      <c r="AC119" s="83"/>
    </row>
    <row r="120" spans="1:29" x14ac:dyDescent="0.4">
      <c r="A120" s="83"/>
      <c r="B120" s="83"/>
      <c r="C120" s="83"/>
      <c r="D120" s="83"/>
      <c r="E120" s="83"/>
      <c r="F120" s="83"/>
      <c r="G120" s="83"/>
      <c r="H120" s="83"/>
      <c r="I120" s="83"/>
      <c r="J120" s="83"/>
      <c r="K120" s="83"/>
      <c r="L120" s="83"/>
      <c r="M120" s="83"/>
      <c r="N120" s="83"/>
      <c r="O120" s="83"/>
      <c r="P120" s="83"/>
      <c r="Q120" s="83"/>
      <c r="R120" s="83"/>
      <c r="S120" s="83"/>
      <c r="T120" s="83"/>
      <c r="U120" s="83"/>
      <c r="V120" s="83"/>
      <c r="W120" s="83"/>
      <c r="X120" s="83"/>
      <c r="Y120" s="83"/>
      <c r="Z120" s="83"/>
      <c r="AA120" s="83"/>
      <c r="AB120" s="83"/>
      <c r="AC120" s="83"/>
    </row>
    <row r="121" spans="1:29" x14ac:dyDescent="0.4">
      <c r="A121" s="83"/>
      <c r="B121" s="83"/>
      <c r="C121" s="83"/>
      <c r="D121" s="83"/>
      <c r="E121" s="83"/>
      <c r="F121" s="83"/>
      <c r="G121" s="83"/>
      <c r="H121" s="83"/>
      <c r="I121" s="83"/>
      <c r="J121" s="83"/>
      <c r="K121" s="83"/>
      <c r="L121" s="83"/>
      <c r="M121" s="83"/>
      <c r="N121" s="83"/>
      <c r="O121" s="83"/>
      <c r="P121" s="83"/>
      <c r="Q121" s="83"/>
      <c r="R121" s="83"/>
      <c r="S121" s="83"/>
      <c r="T121" s="83"/>
      <c r="U121" s="83"/>
      <c r="V121" s="83"/>
      <c r="W121" s="83"/>
      <c r="X121" s="83"/>
      <c r="Y121" s="83"/>
      <c r="Z121" s="83"/>
      <c r="AA121" s="83"/>
      <c r="AB121" s="83"/>
      <c r="AC121" s="83"/>
    </row>
    <row r="122" spans="1:29" x14ac:dyDescent="0.4">
      <c r="A122" s="83"/>
      <c r="B122" s="83"/>
      <c r="C122" s="83"/>
      <c r="D122" s="83"/>
      <c r="E122" s="83"/>
      <c r="F122" s="83"/>
      <c r="G122" s="83"/>
      <c r="H122" s="83"/>
      <c r="I122" s="83"/>
      <c r="J122" s="83"/>
      <c r="K122" s="83"/>
      <c r="L122" s="83"/>
      <c r="M122" s="83"/>
      <c r="N122" s="83"/>
      <c r="O122" s="83"/>
      <c r="P122" s="83"/>
      <c r="Q122" s="83"/>
      <c r="R122" s="83"/>
      <c r="S122" s="83"/>
      <c r="T122" s="83"/>
      <c r="U122" s="83"/>
      <c r="V122" s="83"/>
      <c r="W122" s="83"/>
      <c r="X122" s="83"/>
      <c r="Y122" s="83"/>
      <c r="Z122" s="83"/>
      <c r="AA122" s="83"/>
      <c r="AB122" s="83"/>
      <c r="AC122" s="83"/>
    </row>
    <row r="123" spans="1:29" x14ac:dyDescent="0.4">
      <c r="A123" s="83"/>
      <c r="B123" s="83"/>
      <c r="C123" s="83"/>
      <c r="D123" s="83"/>
      <c r="E123" s="83"/>
      <c r="F123" s="83"/>
      <c r="G123" s="83"/>
      <c r="H123" s="83"/>
      <c r="I123" s="83"/>
      <c r="J123" s="83"/>
      <c r="K123" s="83"/>
      <c r="L123" s="83"/>
      <c r="M123" s="83"/>
      <c r="N123" s="83"/>
      <c r="O123" s="83"/>
      <c r="P123" s="83"/>
      <c r="Q123" s="83"/>
      <c r="R123" s="83"/>
      <c r="S123" s="83"/>
      <c r="T123" s="83"/>
      <c r="U123" s="83"/>
      <c r="V123" s="83"/>
      <c r="W123" s="83"/>
      <c r="X123" s="83"/>
      <c r="Y123" s="83"/>
      <c r="Z123" s="83"/>
      <c r="AA123" s="83"/>
      <c r="AB123" s="83"/>
      <c r="AC123" s="83"/>
    </row>
    <row r="124" spans="1:29" x14ac:dyDescent="0.4">
      <c r="A124" s="83"/>
      <c r="B124" s="83"/>
      <c r="C124" s="83"/>
      <c r="D124" s="83"/>
      <c r="E124" s="83"/>
      <c r="F124" s="83"/>
      <c r="G124" s="83"/>
      <c r="H124" s="83"/>
      <c r="I124" s="83"/>
      <c r="J124" s="83"/>
      <c r="K124" s="83"/>
      <c r="L124" s="83"/>
      <c r="M124" s="83"/>
      <c r="N124" s="83"/>
      <c r="O124" s="83"/>
      <c r="P124" s="83"/>
      <c r="Q124" s="83"/>
      <c r="R124" s="83"/>
      <c r="S124" s="83"/>
      <c r="T124" s="83"/>
      <c r="U124" s="83"/>
      <c r="V124" s="83"/>
      <c r="W124" s="83"/>
      <c r="X124" s="83"/>
      <c r="Y124" s="83"/>
      <c r="Z124" s="83"/>
      <c r="AA124" s="83"/>
      <c r="AB124" s="83"/>
      <c r="AC124" s="83"/>
    </row>
    <row r="125" spans="1:29" x14ac:dyDescent="0.4">
      <c r="A125" s="83"/>
      <c r="B125" s="83"/>
      <c r="C125" s="83"/>
      <c r="D125" s="83"/>
      <c r="E125" s="83"/>
      <c r="F125" s="83"/>
      <c r="G125" s="83"/>
      <c r="H125" s="83"/>
      <c r="I125" s="83"/>
      <c r="J125" s="83"/>
      <c r="K125" s="83"/>
      <c r="L125" s="83"/>
      <c r="M125" s="83"/>
      <c r="N125" s="83"/>
      <c r="O125" s="83"/>
      <c r="P125" s="83"/>
      <c r="Q125" s="83"/>
      <c r="R125" s="83"/>
      <c r="S125" s="83"/>
      <c r="T125" s="83"/>
      <c r="U125" s="83"/>
      <c r="V125" s="83"/>
      <c r="W125" s="83"/>
      <c r="X125" s="83"/>
      <c r="Y125" s="83"/>
      <c r="Z125" s="83"/>
      <c r="AA125" s="83"/>
      <c r="AB125" s="83"/>
      <c r="AC125" s="83"/>
    </row>
    <row r="126" spans="1:29" x14ac:dyDescent="0.4">
      <c r="A126" s="83"/>
      <c r="B126" s="83"/>
      <c r="C126" s="83"/>
      <c r="D126" s="83"/>
      <c r="E126" s="83"/>
      <c r="F126" s="83"/>
      <c r="G126" s="83"/>
      <c r="H126" s="83"/>
      <c r="I126" s="83"/>
      <c r="J126" s="83"/>
      <c r="K126" s="83"/>
      <c r="L126" s="83"/>
      <c r="M126" s="83"/>
      <c r="N126" s="83"/>
      <c r="O126" s="83"/>
      <c r="P126" s="83"/>
      <c r="Q126" s="83"/>
      <c r="R126" s="83"/>
      <c r="S126" s="83"/>
      <c r="T126" s="83"/>
      <c r="U126" s="83"/>
      <c r="V126" s="83"/>
      <c r="W126" s="83"/>
      <c r="X126" s="83"/>
      <c r="Y126" s="83"/>
      <c r="Z126" s="83"/>
      <c r="AA126" s="83"/>
      <c r="AB126" s="83"/>
      <c r="AC126" s="83"/>
    </row>
    <row r="127" spans="1:29" x14ac:dyDescent="0.4">
      <c r="A127" s="83"/>
      <c r="B127" s="83"/>
      <c r="C127" s="83"/>
      <c r="D127" s="83"/>
      <c r="E127" s="83"/>
      <c r="F127" s="83"/>
      <c r="G127" s="83"/>
      <c r="H127" s="83"/>
      <c r="I127" s="83"/>
      <c r="J127" s="83"/>
      <c r="K127" s="83"/>
      <c r="L127" s="83"/>
      <c r="M127" s="83"/>
      <c r="N127" s="83"/>
      <c r="O127" s="83"/>
      <c r="P127" s="83"/>
      <c r="Q127" s="83"/>
      <c r="R127" s="83"/>
      <c r="S127" s="83"/>
      <c r="T127" s="83"/>
      <c r="U127" s="83"/>
      <c r="V127" s="83"/>
      <c r="W127" s="83"/>
      <c r="X127" s="83"/>
      <c r="Y127" s="83"/>
      <c r="Z127" s="83"/>
      <c r="AA127" s="83"/>
      <c r="AB127" s="83"/>
      <c r="AC127" s="83"/>
    </row>
    <row r="128" spans="1:29" x14ac:dyDescent="0.4">
      <c r="A128" s="83"/>
      <c r="B128" s="83"/>
      <c r="C128" s="83"/>
      <c r="D128" s="83"/>
      <c r="E128" s="83"/>
      <c r="F128" s="83"/>
      <c r="G128" s="83"/>
      <c r="H128" s="83"/>
      <c r="I128" s="83"/>
      <c r="J128" s="83"/>
      <c r="K128" s="83"/>
      <c r="L128" s="83"/>
      <c r="M128" s="83"/>
      <c r="N128" s="83"/>
      <c r="O128" s="83"/>
      <c r="P128" s="83"/>
      <c r="Q128" s="83"/>
      <c r="R128" s="83"/>
      <c r="S128" s="83"/>
      <c r="T128" s="83"/>
      <c r="U128" s="83"/>
      <c r="V128" s="83"/>
      <c r="W128" s="83"/>
      <c r="X128" s="83"/>
      <c r="Y128" s="83"/>
      <c r="Z128" s="83"/>
      <c r="AA128" s="83"/>
      <c r="AB128" s="83"/>
      <c r="AC128" s="83"/>
    </row>
    <row r="129" spans="1:29" x14ac:dyDescent="0.4">
      <c r="A129" s="83"/>
      <c r="B129" s="83"/>
      <c r="C129" s="83"/>
      <c r="D129" s="83"/>
      <c r="E129" s="83"/>
      <c r="F129" s="83"/>
      <c r="G129" s="83"/>
      <c r="H129" s="83"/>
      <c r="I129" s="83"/>
      <c r="J129" s="83"/>
      <c r="K129" s="83"/>
      <c r="L129" s="83"/>
      <c r="M129" s="83"/>
      <c r="N129" s="83"/>
      <c r="O129" s="83"/>
      <c r="P129" s="83"/>
      <c r="Q129" s="83"/>
      <c r="R129" s="83"/>
      <c r="S129" s="83"/>
      <c r="T129" s="83"/>
      <c r="U129" s="83"/>
      <c r="V129" s="83"/>
      <c r="W129" s="83"/>
      <c r="X129" s="83"/>
      <c r="Y129" s="83"/>
      <c r="Z129" s="83"/>
      <c r="AA129" s="83"/>
      <c r="AB129" s="83"/>
      <c r="AC129" s="83"/>
    </row>
    <row r="130" spans="1:29" x14ac:dyDescent="0.4">
      <c r="A130" s="83"/>
      <c r="B130" s="83"/>
      <c r="C130" s="83"/>
      <c r="D130" s="83"/>
      <c r="E130" s="83"/>
      <c r="F130" s="83"/>
      <c r="G130" s="83"/>
      <c r="H130" s="83"/>
      <c r="I130" s="83"/>
      <c r="J130" s="83"/>
      <c r="K130" s="83"/>
      <c r="L130" s="83"/>
      <c r="M130" s="83"/>
      <c r="N130" s="83"/>
      <c r="O130" s="83"/>
      <c r="P130" s="83"/>
      <c r="Q130" s="83"/>
      <c r="R130" s="83"/>
      <c r="S130" s="83"/>
      <c r="T130" s="83"/>
      <c r="U130" s="83"/>
      <c r="V130" s="83"/>
      <c r="W130" s="83"/>
      <c r="X130" s="83"/>
      <c r="Y130" s="83"/>
      <c r="Z130" s="83"/>
      <c r="AA130" s="83"/>
      <c r="AB130" s="83"/>
      <c r="AC130" s="83"/>
    </row>
    <row r="131" spans="1:29" x14ac:dyDescent="0.4">
      <c r="A131" s="83" t="s">
        <v>31</v>
      </c>
      <c r="B131" s="83"/>
      <c r="C131" s="83"/>
      <c r="D131" s="83"/>
      <c r="E131" s="83"/>
      <c r="F131" s="83"/>
      <c r="G131" s="83"/>
      <c r="H131" s="83"/>
      <c r="I131" s="83"/>
      <c r="J131" s="83"/>
      <c r="K131" s="83"/>
      <c r="L131" s="83"/>
      <c r="M131" s="83"/>
      <c r="N131" s="83"/>
      <c r="O131" s="83"/>
      <c r="P131" s="83"/>
      <c r="Q131" s="83"/>
      <c r="R131" s="83"/>
      <c r="S131" s="83"/>
      <c r="T131" s="83"/>
      <c r="U131" s="83"/>
      <c r="V131" s="83"/>
      <c r="W131" s="83"/>
      <c r="X131" s="83"/>
      <c r="Y131" s="83"/>
      <c r="Z131" s="83"/>
      <c r="AA131" s="83"/>
      <c r="AB131" s="83"/>
      <c r="AC131" s="83"/>
    </row>
    <row r="132" spans="1:29" x14ac:dyDescent="0.4">
      <c r="A132" s="83"/>
      <c r="B132" s="83"/>
      <c r="C132" s="83"/>
      <c r="D132" s="83"/>
      <c r="E132" s="83"/>
      <c r="F132" s="83"/>
      <c r="G132" s="83"/>
      <c r="H132" s="83"/>
      <c r="I132" s="83"/>
      <c r="J132" s="83"/>
      <c r="K132" s="83"/>
      <c r="L132" s="83"/>
      <c r="M132" s="83"/>
      <c r="N132" s="83"/>
      <c r="O132" s="83"/>
      <c r="P132" s="83"/>
      <c r="Q132" s="83"/>
      <c r="R132" s="83"/>
      <c r="S132" s="83"/>
      <c r="T132" s="83"/>
      <c r="U132" s="83"/>
      <c r="V132" s="83"/>
      <c r="W132" s="83"/>
      <c r="X132" s="83"/>
      <c r="Y132" s="83"/>
      <c r="Z132" s="83"/>
      <c r="AA132" s="83"/>
      <c r="AB132" s="83"/>
      <c r="AC132" s="83"/>
    </row>
    <row r="133" spans="1:29" x14ac:dyDescent="0.4">
      <c r="A133" s="83"/>
      <c r="B133" s="83"/>
      <c r="C133" s="83"/>
      <c r="D133" s="83"/>
      <c r="E133" s="83"/>
      <c r="F133" s="83"/>
      <c r="G133" s="83"/>
      <c r="H133" s="83"/>
      <c r="I133" s="83"/>
      <c r="J133" s="83"/>
      <c r="K133" s="83"/>
      <c r="L133" s="83"/>
      <c r="M133" s="83"/>
      <c r="N133" s="83"/>
      <c r="O133" s="83"/>
      <c r="P133" s="83"/>
      <c r="Q133" s="83"/>
      <c r="R133" s="83"/>
      <c r="S133" s="83"/>
      <c r="T133" s="83"/>
      <c r="U133" s="83"/>
      <c r="V133" s="83"/>
      <c r="W133" s="83"/>
      <c r="X133" s="83"/>
      <c r="Y133" s="83"/>
      <c r="Z133" s="83"/>
      <c r="AA133" s="83"/>
      <c r="AB133" s="83"/>
      <c r="AC133" s="83"/>
    </row>
    <row r="134" spans="1:29" x14ac:dyDescent="0.4">
      <c r="A134" s="83"/>
      <c r="B134" s="83"/>
      <c r="C134" s="83"/>
      <c r="D134" s="83"/>
      <c r="E134" s="83"/>
      <c r="F134" s="83"/>
      <c r="G134" s="83"/>
      <c r="H134" s="83"/>
      <c r="I134" s="83"/>
      <c r="J134" s="83"/>
      <c r="K134" s="83"/>
      <c r="L134" s="83"/>
      <c r="M134" s="83"/>
      <c r="N134" s="83"/>
      <c r="O134" s="83"/>
      <c r="P134" s="83"/>
      <c r="Q134" s="83"/>
      <c r="R134" s="83"/>
      <c r="S134" s="83"/>
      <c r="T134" s="83"/>
      <c r="U134" s="83"/>
      <c r="V134" s="83"/>
      <c r="W134" s="83"/>
      <c r="X134" s="83"/>
      <c r="Y134" s="83"/>
      <c r="Z134" s="83"/>
      <c r="AA134" s="83"/>
      <c r="AB134" s="83"/>
      <c r="AC134" s="83"/>
    </row>
    <row r="135" spans="1:29" x14ac:dyDescent="0.4">
      <c r="A135" s="83"/>
      <c r="B135" s="83"/>
      <c r="C135" s="83"/>
      <c r="D135" s="83"/>
      <c r="E135" s="83"/>
      <c r="F135" s="83"/>
      <c r="G135" s="83"/>
      <c r="H135" s="83"/>
      <c r="I135" s="83"/>
      <c r="J135" s="83"/>
      <c r="K135" s="83"/>
      <c r="L135" s="83"/>
      <c r="M135" s="83"/>
      <c r="N135" s="83"/>
      <c r="O135" s="83"/>
      <c r="P135" s="83"/>
      <c r="Q135" s="83"/>
      <c r="R135" s="83"/>
      <c r="S135" s="83"/>
      <c r="T135" s="83"/>
      <c r="U135" s="83"/>
      <c r="V135" s="83"/>
      <c r="W135" s="83"/>
      <c r="X135" s="83"/>
      <c r="Y135" s="83"/>
      <c r="Z135" s="83"/>
      <c r="AA135" s="83"/>
      <c r="AB135" s="83"/>
      <c r="AC135" s="83"/>
    </row>
    <row r="136" spans="1:29" x14ac:dyDescent="0.4">
      <c r="A136" s="83"/>
      <c r="B136" s="83"/>
      <c r="C136" s="83"/>
      <c r="D136" s="83"/>
      <c r="E136" s="83"/>
      <c r="F136" s="83"/>
      <c r="G136" s="83"/>
      <c r="H136" s="83"/>
      <c r="I136" s="83"/>
      <c r="J136" s="83"/>
      <c r="K136" s="83"/>
      <c r="L136" s="83"/>
      <c r="M136" s="83"/>
      <c r="N136" s="83"/>
      <c r="O136" s="83"/>
      <c r="P136" s="83"/>
      <c r="Q136" s="83"/>
      <c r="R136" s="83"/>
      <c r="S136" s="83"/>
      <c r="T136" s="83"/>
      <c r="U136" s="83"/>
      <c r="V136" s="83"/>
      <c r="W136" s="83"/>
      <c r="X136" s="83"/>
      <c r="Y136" s="83"/>
      <c r="Z136" s="83"/>
      <c r="AA136" s="83"/>
      <c r="AB136" s="83"/>
      <c r="AC136" s="83"/>
    </row>
    <row r="137" spans="1:29" x14ac:dyDescent="0.4">
      <c r="A137" s="83"/>
      <c r="B137" s="83"/>
      <c r="C137" s="83"/>
      <c r="D137" s="83"/>
      <c r="E137" s="83"/>
      <c r="F137" s="83"/>
      <c r="G137" s="83"/>
      <c r="H137" s="83"/>
      <c r="I137" s="83"/>
      <c r="J137" s="83"/>
      <c r="K137" s="83"/>
      <c r="L137" s="83"/>
      <c r="M137" s="83"/>
      <c r="N137" s="83"/>
      <c r="O137" s="83"/>
      <c r="P137" s="83"/>
      <c r="Q137" s="83"/>
      <c r="R137" s="83"/>
      <c r="S137" s="83"/>
      <c r="T137" s="83"/>
      <c r="U137" s="83"/>
      <c r="V137" s="83"/>
      <c r="W137" s="83"/>
      <c r="X137" s="83"/>
      <c r="Y137" s="83"/>
      <c r="Z137" s="83"/>
      <c r="AA137" s="83"/>
      <c r="AB137" s="83"/>
      <c r="AC137" s="83"/>
    </row>
    <row r="138" spans="1:29" x14ac:dyDescent="0.4">
      <c r="A138" s="83"/>
      <c r="B138" s="83"/>
      <c r="C138" s="83"/>
      <c r="D138" s="83"/>
      <c r="E138" s="83"/>
      <c r="F138" s="83"/>
      <c r="G138" s="83"/>
      <c r="H138" s="83"/>
      <c r="I138" s="83"/>
      <c r="J138" s="83"/>
      <c r="K138" s="83"/>
      <c r="L138" s="83"/>
      <c r="M138" s="83"/>
      <c r="N138" s="83"/>
      <c r="O138" s="83"/>
      <c r="P138" s="83"/>
      <c r="Q138" s="83"/>
      <c r="R138" s="83"/>
      <c r="S138" s="83"/>
      <c r="T138" s="83"/>
      <c r="U138" s="83"/>
      <c r="V138" s="83"/>
      <c r="W138" s="83"/>
      <c r="X138" s="83"/>
      <c r="Y138" s="83"/>
      <c r="Z138" s="83"/>
      <c r="AA138" s="83"/>
      <c r="AB138" s="83"/>
      <c r="AC138" s="83"/>
    </row>
    <row r="139" spans="1:29" x14ac:dyDescent="0.4">
      <c r="A139" s="83"/>
      <c r="B139" s="83"/>
      <c r="C139" s="83"/>
      <c r="D139" s="83"/>
      <c r="E139" s="83"/>
      <c r="F139" s="83"/>
      <c r="G139" s="83"/>
      <c r="H139" s="83"/>
      <c r="I139" s="83"/>
      <c r="J139" s="83"/>
      <c r="K139" s="83"/>
      <c r="L139" s="83"/>
      <c r="M139" s="83"/>
      <c r="N139" s="83"/>
      <c r="O139" s="83"/>
      <c r="P139" s="83"/>
      <c r="Q139" s="83"/>
      <c r="R139" s="83"/>
      <c r="S139" s="83"/>
      <c r="T139" s="83"/>
      <c r="U139" s="83"/>
      <c r="V139" s="83"/>
      <c r="W139" s="83"/>
      <c r="X139" s="83"/>
      <c r="Y139" s="83"/>
      <c r="Z139" s="83"/>
      <c r="AA139" s="83"/>
      <c r="AB139" s="83"/>
      <c r="AC139" s="83"/>
    </row>
    <row r="140" spans="1:29" x14ac:dyDescent="0.4">
      <c r="A140" s="83"/>
      <c r="B140" s="83"/>
      <c r="C140" s="83"/>
      <c r="D140" s="83"/>
      <c r="E140" s="83"/>
      <c r="F140" s="83"/>
      <c r="G140" s="83"/>
      <c r="H140" s="83"/>
      <c r="I140" s="83"/>
      <c r="J140" s="83"/>
      <c r="K140" s="83"/>
      <c r="L140" s="83"/>
      <c r="M140" s="83"/>
      <c r="N140" s="83"/>
      <c r="O140" s="83"/>
      <c r="P140" s="83"/>
      <c r="Q140" s="83"/>
      <c r="R140" s="83"/>
      <c r="S140" s="83"/>
      <c r="T140" s="83"/>
      <c r="U140" s="83"/>
      <c r="V140" s="83"/>
      <c r="W140" s="83"/>
      <c r="X140" s="83"/>
      <c r="Y140" s="83"/>
      <c r="Z140" s="83"/>
      <c r="AA140" s="83"/>
      <c r="AB140" s="83"/>
      <c r="AC140" s="83"/>
    </row>
    <row r="141" spans="1:29" x14ac:dyDescent="0.4">
      <c r="A141" s="83"/>
      <c r="B141" s="83"/>
      <c r="C141" s="83"/>
      <c r="D141" s="83"/>
      <c r="E141" s="83"/>
      <c r="F141" s="83"/>
      <c r="G141" s="83"/>
      <c r="H141" s="83"/>
      <c r="I141" s="83"/>
      <c r="J141" s="83"/>
      <c r="K141" s="83"/>
      <c r="L141" s="83"/>
      <c r="M141" s="83"/>
      <c r="N141" s="83"/>
      <c r="O141" s="83"/>
      <c r="P141" s="83"/>
      <c r="Q141" s="83"/>
      <c r="R141" s="83"/>
      <c r="S141" s="83"/>
      <c r="T141" s="83"/>
      <c r="U141" s="83"/>
      <c r="V141" s="83"/>
      <c r="W141" s="83"/>
      <c r="X141" s="83"/>
      <c r="Y141" s="83"/>
      <c r="Z141" s="83"/>
      <c r="AA141" s="83"/>
      <c r="AB141" s="83"/>
      <c r="AC141" s="83"/>
    </row>
    <row r="142" spans="1:29" x14ac:dyDescent="0.4">
      <c r="A142" s="83"/>
      <c r="B142" s="83"/>
      <c r="C142" s="83"/>
      <c r="D142" s="83"/>
      <c r="E142" s="83"/>
      <c r="F142" s="83"/>
      <c r="G142" s="83"/>
      <c r="H142" s="83"/>
      <c r="I142" s="83"/>
      <c r="J142" s="83"/>
      <c r="K142" s="83"/>
      <c r="L142" s="83"/>
      <c r="M142" s="83"/>
      <c r="N142" s="83"/>
      <c r="O142" s="83"/>
      <c r="P142" s="83"/>
      <c r="Q142" s="83"/>
      <c r="R142" s="83"/>
      <c r="S142" s="83"/>
      <c r="T142" s="83"/>
      <c r="U142" s="83"/>
      <c r="V142" s="83"/>
      <c r="W142" s="83"/>
      <c r="X142" s="83"/>
      <c r="Y142" s="83"/>
      <c r="Z142" s="83"/>
      <c r="AA142" s="83"/>
      <c r="AB142" s="83"/>
      <c r="AC142" s="83"/>
    </row>
    <row r="143" spans="1:29" x14ac:dyDescent="0.4">
      <c r="A143" s="83"/>
      <c r="B143" s="83"/>
      <c r="C143" s="83"/>
      <c r="D143" s="83"/>
      <c r="E143" s="83"/>
      <c r="F143" s="83"/>
      <c r="G143" s="83"/>
      <c r="H143" s="83"/>
      <c r="I143" s="83"/>
      <c r="J143" s="83"/>
      <c r="K143" s="83"/>
      <c r="L143" s="83"/>
      <c r="M143" s="83"/>
      <c r="N143" s="83"/>
      <c r="O143" s="83"/>
      <c r="P143" s="83"/>
      <c r="Q143" s="83"/>
      <c r="R143" s="83"/>
      <c r="S143" s="83"/>
      <c r="T143" s="83"/>
      <c r="U143" s="83"/>
      <c r="V143" s="83"/>
      <c r="W143" s="83"/>
      <c r="X143" s="83"/>
      <c r="Y143" s="83"/>
      <c r="Z143" s="83"/>
      <c r="AA143" s="83"/>
      <c r="AB143" s="83"/>
      <c r="AC143" s="83"/>
    </row>
    <row r="144" spans="1:29" x14ac:dyDescent="0.4">
      <c r="A144" s="83"/>
      <c r="B144" s="83"/>
      <c r="C144" s="83"/>
      <c r="D144" s="83"/>
      <c r="E144" s="83"/>
      <c r="F144" s="83"/>
      <c r="G144" s="83"/>
      <c r="H144" s="83"/>
      <c r="I144" s="83"/>
      <c r="J144" s="83"/>
      <c r="K144" s="83"/>
      <c r="L144" s="83"/>
      <c r="M144" s="83"/>
      <c r="N144" s="83"/>
      <c r="O144" s="83"/>
      <c r="P144" s="83"/>
      <c r="Q144" s="83"/>
      <c r="R144" s="83"/>
      <c r="S144" s="83"/>
      <c r="T144" s="83"/>
      <c r="U144" s="83"/>
      <c r="V144" s="83"/>
      <c r="W144" s="83"/>
      <c r="X144" s="83"/>
      <c r="Y144" s="83"/>
      <c r="Z144" s="83"/>
      <c r="AA144" s="83"/>
      <c r="AB144" s="83"/>
      <c r="AC144" s="83"/>
    </row>
    <row r="145" spans="1:29" x14ac:dyDescent="0.4">
      <c r="A145" s="83"/>
      <c r="B145" s="83"/>
      <c r="C145" s="83"/>
      <c r="D145" s="83"/>
      <c r="E145" s="83"/>
      <c r="F145" s="83"/>
      <c r="G145" s="83"/>
      <c r="H145" s="83"/>
      <c r="I145" s="83"/>
      <c r="J145" s="83"/>
      <c r="K145" s="83"/>
      <c r="L145" s="83"/>
      <c r="M145" s="83"/>
      <c r="N145" s="83"/>
      <c r="O145" s="83"/>
      <c r="P145" s="83"/>
      <c r="Q145" s="83"/>
      <c r="R145" s="83"/>
      <c r="S145" s="83"/>
      <c r="T145" s="83"/>
      <c r="U145" s="83"/>
      <c r="V145" s="83"/>
      <c r="W145" s="83"/>
      <c r="X145" s="83"/>
      <c r="Y145" s="83"/>
      <c r="Z145" s="83"/>
      <c r="AA145" s="83"/>
      <c r="AB145" s="83"/>
      <c r="AC145" s="83"/>
    </row>
    <row r="146" spans="1:29" x14ac:dyDescent="0.4">
      <c r="A146" s="83"/>
      <c r="B146" s="83"/>
      <c r="C146" s="83"/>
      <c r="D146" s="83"/>
      <c r="E146" s="83"/>
      <c r="F146" s="83"/>
      <c r="G146" s="83"/>
      <c r="H146" s="83"/>
      <c r="I146" s="83"/>
      <c r="J146" s="83"/>
      <c r="K146" s="83"/>
      <c r="L146" s="83"/>
      <c r="M146" s="83"/>
      <c r="N146" s="83"/>
      <c r="O146" s="83"/>
      <c r="P146" s="83"/>
      <c r="Q146" s="83"/>
      <c r="R146" s="83"/>
      <c r="S146" s="83"/>
      <c r="T146" s="83"/>
      <c r="U146" s="83"/>
      <c r="V146" s="83"/>
      <c r="W146" s="83"/>
      <c r="X146" s="83"/>
      <c r="Y146" s="83"/>
      <c r="Z146" s="83"/>
      <c r="AA146" s="83"/>
      <c r="AB146" s="83"/>
      <c r="AC146" s="83"/>
    </row>
    <row r="147" spans="1:29" x14ac:dyDescent="0.4">
      <c r="A147" s="83"/>
      <c r="B147" s="83"/>
      <c r="C147" s="83"/>
      <c r="D147" s="83"/>
      <c r="E147" s="83"/>
      <c r="F147" s="83"/>
      <c r="G147" s="83"/>
      <c r="H147" s="83"/>
      <c r="I147" s="83"/>
      <c r="J147" s="83"/>
      <c r="K147" s="83"/>
      <c r="L147" s="83"/>
      <c r="M147" s="83"/>
      <c r="N147" s="83"/>
      <c r="O147" s="83"/>
      <c r="P147" s="83"/>
      <c r="Q147" s="83"/>
      <c r="R147" s="83"/>
      <c r="S147" s="83"/>
      <c r="T147" s="83"/>
      <c r="U147" s="83"/>
      <c r="V147" s="83"/>
      <c r="W147" s="83"/>
      <c r="X147" s="83"/>
      <c r="Y147" s="83"/>
      <c r="Z147" s="83"/>
      <c r="AA147" s="83"/>
      <c r="AB147" s="83"/>
      <c r="AC147" s="83"/>
    </row>
    <row r="148" spans="1:29" x14ac:dyDescent="0.4">
      <c r="A148" s="83"/>
      <c r="B148" s="83"/>
      <c r="C148" s="83"/>
      <c r="D148" s="83"/>
      <c r="E148" s="83"/>
      <c r="F148" s="83"/>
      <c r="G148" s="83"/>
      <c r="H148" s="83"/>
      <c r="I148" s="83"/>
      <c r="J148" s="83"/>
      <c r="K148" s="83"/>
      <c r="L148" s="83"/>
      <c r="M148" s="83"/>
      <c r="N148" s="83"/>
      <c r="O148" s="83"/>
      <c r="P148" s="83"/>
      <c r="Q148" s="83"/>
      <c r="R148" s="83"/>
      <c r="S148" s="83"/>
      <c r="T148" s="83"/>
      <c r="U148" s="83"/>
      <c r="V148" s="83"/>
      <c r="W148" s="83"/>
      <c r="X148" s="83"/>
      <c r="Y148" s="83"/>
      <c r="Z148" s="83"/>
      <c r="AA148" s="83"/>
      <c r="AB148" s="83"/>
      <c r="AC148" s="83"/>
    </row>
    <row r="149" spans="1:29" x14ac:dyDescent="0.4">
      <c r="A149" s="83"/>
      <c r="B149" s="83"/>
      <c r="C149" s="83"/>
      <c r="D149" s="83"/>
      <c r="E149" s="83"/>
      <c r="F149" s="83"/>
      <c r="G149" s="83"/>
      <c r="H149" s="83"/>
      <c r="I149" s="83"/>
      <c r="J149" s="83"/>
      <c r="K149" s="83"/>
      <c r="L149" s="83"/>
      <c r="M149" s="83"/>
      <c r="N149" s="83"/>
      <c r="O149" s="83"/>
      <c r="P149" s="83"/>
      <c r="Q149" s="83"/>
      <c r="R149" s="83"/>
      <c r="S149" s="83"/>
      <c r="T149" s="83"/>
      <c r="U149" s="83"/>
      <c r="V149" s="83"/>
      <c r="W149" s="83"/>
      <c r="X149" s="83"/>
      <c r="Y149" s="83"/>
      <c r="Z149" s="83"/>
      <c r="AA149" s="83"/>
      <c r="AB149" s="83"/>
      <c r="AC149" s="83"/>
    </row>
    <row r="150" spans="1:29" x14ac:dyDescent="0.4">
      <c r="A150" s="83"/>
      <c r="B150" s="83"/>
      <c r="C150" s="83"/>
      <c r="D150" s="83"/>
      <c r="E150" s="83"/>
      <c r="F150" s="83"/>
      <c r="G150" s="83"/>
      <c r="H150" s="83"/>
      <c r="I150" s="83"/>
      <c r="J150" s="83"/>
      <c r="K150" s="83"/>
      <c r="L150" s="83"/>
      <c r="M150" s="83"/>
      <c r="N150" s="83"/>
      <c r="O150" s="83"/>
      <c r="P150" s="83"/>
      <c r="Q150" s="83"/>
      <c r="R150" s="83"/>
      <c r="S150" s="83"/>
      <c r="T150" s="83"/>
      <c r="U150" s="83"/>
      <c r="V150" s="83"/>
      <c r="W150" s="83"/>
      <c r="X150" s="83"/>
      <c r="Y150" s="83"/>
      <c r="Z150" s="83"/>
      <c r="AA150" s="83"/>
      <c r="AB150" s="83"/>
      <c r="AC150" s="83"/>
    </row>
    <row r="151" spans="1:29" x14ac:dyDescent="0.4">
      <c r="A151" s="83"/>
      <c r="B151" s="83"/>
      <c r="C151" s="83"/>
      <c r="D151" s="83"/>
      <c r="E151" s="83"/>
      <c r="F151" s="83"/>
      <c r="G151" s="83"/>
      <c r="H151" s="83"/>
      <c r="I151" s="83"/>
      <c r="J151" s="83"/>
      <c r="K151" s="83"/>
      <c r="L151" s="83"/>
      <c r="M151" s="83"/>
      <c r="N151" s="83"/>
      <c r="O151" s="83"/>
      <c r="P151" s="83"/>
      <c r="Q151" s="83"/>
      <c r="R151" s="83"/>
      <c r="S151" s="83"/>
      <c r="T151" s="83"/>
      <c r="U151" s="83"/>
      <c r="V151" s="83"/>
      <c r="W151" s="83"/>
      <c r="X151" s="83"/>
      <c r="Y151" s="83"/>
      <c r="Z151" s="83"/>
      <c r="AA151" s="83"/>
      <c r="AB151" s="83"/>
      <c r="AC151" s="83"/>
    </row>
    <row r="282" spans="1:1" x14ac:dyDescent="0.4">
      <c r="A282" s="80" t="s">
        <v>32</v>
      </c>
    </row>
    <row r="283" spans="1:1" x14ac:dyDescent="0.4">
      <c r="A283" s="80" t="s">
        <v>33</v>
      </c>
    </row>
  </sheetData>
  <mergeCells count="8">
    <mergeCell ref="A5:C6"/>
    <mergeCell ref="A7:C13"/>
    <mergeCell ref="A18:C20"/>
    <mergeCell ref="E1:H1"/>
    <mergeCell ref="A14:A16"/>
    <mergeCell ref="B14:B16"/>
    <mergeCell ref="C14:C16"/>
    <mergeCell ref="A3:C4"/>
  </mergeCells>
  <pageMargins left="0.7" right="0.7" top="0.75" bottom="0.75" header="0.3" footer="0.3"/>
  <pageSetup orientation="portrait" r:id="rId1"/>
  <ignoredErrors>
    <ignoredError sqref="E12 E19:E20" formula="1"/>
  </ignoredError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W99"/>
  <sheetViews>
    <sheetView showGridLines="0" topLeftCell="A3" zoomScale="69" zoomScaleNormal="70" workbookViewId="0">
      <selection activeCell="L27" sqref="L27"/>
    </sheetView>
  </sheetViews>
  <sheetFormatPr defaultRowHeight="14.4" x14ac:dyDescent="0.3"/>
  <cols>
    <col min="1" max="1" width="14.77734375" bestFit="1" customWidth="1"/>
    <col min="2" max="2" width="19.77734375" bestFit="1" customWidth="1"/>
    <col min="3" max="4" width="13.77734375" bestFit="1" customWidth="1"/>
    <col min="6" max="6" width="14.77734375" bestFit="1" customWidth="1"/>
    <col min="7" max="7" width="19.77734375" bestFit="1" customWidth="1"/>
    <col min="8" max="9" width="12.6640625" bestFit="1" customWidth="1"/>
    <col min="11" max="11" width="14.77734375" bestFit="1" customWidth="1"/>
    <col min="12" max="12" width="19.77734375" bestFit="1" customWidth="1"/>
    <col min="13" max="14" width="12.6640625" bestFit="1" customWidth="1"/>
    <col min="15" max="15" width="12.44140625" bestFit="1" customWidth="1"/>
    <col min="16" max="16" width="14" bestFit="1" customWidth="1"/>
    <col min="17" max="17" width="17.6640625" bestFit="1" customWidth="1"/>
    <col min="18" max="18" width="12.5546875" bestFit="1" customWidth="1"/>
    <col min="19" max="19" width="13.5546875" bestFit="1" customWidth="1"/>
    <col min="21" max="21" width="14" bestFit="1" customWidth="1"/>
    <col min="22" max="22" width="17.6640625" bestFit="1" customWidth="1"/>
    <col min="23" max="23" width="10.88671875" bestFit="1" customWidth="1"/>
    <col min="24" max="24" width="12.5546875" bestFit="1" customWidth="1"/>
    <col min="26" max="26" width="14.6640625" bestFit="1" customWidth="1"/>
    <col min="27" max="27" width="17.33203125" bestFit="1" customWidth="1"/>
    <col min="28" max="28" width="11.109375" bestFit="1" customWidth="1"/>
    <col min="29" max="29" width="12.6640625" bestFit="1" customWidth="1"/>
    <col min="31" max="31" width="14.109375" bestFit="1" customWidth="1"/>
    <col min="32" max="32" width="17.88671875" bestFit="1" customWidth="1"/>
    <col min="33" max="33" width="19.44140625" customWidth="1"/>
    <col min="34" max="34" width="12.6640625" bestFit="1" customWidth="1"/>
    <col min="36" max="36" width="14.109375" bestFit="1" customWidth="1"/>
    <col min="37" max="37" width="17.88671875" bestFit="1" customWidth="1"/>
    <col min="38" max="38" width="12.6640625" bestFit="1" customWidth="1"/>
    <col min="39" max="39" width="13.6640625" bestFit="1" customWidth="1"/>
    <col min="41" max="41" width="14.109375" bestFit="1" customWidth="1"/>
    <col min="42" max="42" width="17.88671875" bestFit="1" customWidth="1"/>
    <col min="43" max="43" width="12.6640625" bestFit="1" customWidth="1"/>
    <col min="44" max="44" width="13.6640625" bestFit="1" customWidth="1"/>
    <col min="46" max="46" width="14.33203125" bestFit="1" customWidth="1"/>
    <col min="47" max="47" width="18.109375" bestFit="1" customWidth="1"/>
    <col min="48" max="48" width="12.33203125" bestFit="1" customWidth="1"/>
    <col min="49" max="49" width="13.33203125" bestFit="1" customWidth="1"/>
    <col min="51" max="51" width="14.33203125" bestFit="1" customWidth="1"/>
    <col min="52" max="52" width="18.109375" bestFit="1" customWidth="1"/>
    <col min="53" max="53" width="10.6640625" bestFit="1" customWidth="1"/>
    <col min="54" max="54" width="12.33203125" bestFit="1" customWidth="1"/>
  </cols>
  <sheetData>
    <row r="1" spans="1:49" s="136" customFormat="1" ht="39" hidden="1" customHeight="1" x14ac:dyDescent="0.3"/>
    <row r="2" spans="1:49" s="136" customFormat="1" ht="153" hidden="1" customHeight="1" x14ac:dyDescent="0.3"/>
    <row r="3" spans="1:49" x14ac:dyDescent="0.3">
      <c r="A3" s="44"/>
      <c r="B3" s="44"/>
      <c r="C3" s="14"/>
      <c r="D3" s="14"/>
      <c r="F3" s="44"/>
      <c r="G3" s="44"/>
      <c r="H3" s="14"/>
      <c r="I3" s="14"/>
      <c r="K3" s="44"/>
      <c r="L3" s="44"/>
      <c r="M3" s="14"/>
      <c r="N3" s="14"/>
      <c r="P3" s="44"/>
      <c r="Q3" s="44"/>
      <c r="R3" s="14"/>
      <c r="S3" s="14"/>
      <c r="U3" s="44"/>
      <c r="V3" s="44"/>
      <c r="W3" s="14"/>
      <c r="X3" s="14"/>
      <c r="Z3" s="44"/>
      <c r="AA3" s="44"/>
      <c r="AB3" s="14"/>
      <c r="AC3" s="14"/>
      <c r="AE3" s="44"/>
      <c r="AF3" s="44"/>
      <c r="AG3" s="14"/>
      <c r="AH3" s="14"/>
      <c r="AJ3" s="44"/>
      <c r="AK3" s="44"/>
      <c r="AL3" s="14"/>
      <c r="AM3" s="14"/>
      <c r="AO3" s="44"/>
      <c r="AP3" s="44"/>
      <c r="AQ3" s="14"/>
      <c r="AR3" s="14"/>
      <c r="AT3" s="14"/>
      <c r="AU3" s="14"/>
      <c r="AV3" s="14"/>
      <c r="AW3" s="14"/>
    </row>
    <row r="4" spans="1:49" x14ac:dyDescent="0.3">
      <c r="A4" s="44"/>
      <c r="B4" s="44"/>
      <c r="C4" s="14"/>
      <c r="D4" s="14"/>
      <c r="F4" s="44"/>
      <c r="G4" s="44"/>
      <c r="H4" s="14"/>
      <c r="I4" s="14"/>
      <c r="K4" s="44"/>
      <c r="L4" s="44"/>
      <c r="M4" s="14"/>
      <c r="N4" s="14"/>
      <c r="P4" s="44"/>
      <c r="Q4" s="44"/>
      <c r="R4" s="14"/>
      <c r="S4" s="14"/>
      <c r="U4" s="44"/>
      <c r="V4" s="44"/>
      <c r="W4" s="14"/>
      <c r="X4" s="14"/>
      <c r="Z4" s="44"/>
      <c r="AA4" s="44"/>
      <c r="AB4" s="14"/>
      <c r="AC4" s="14"/>
      <c r="AE4" s="44"/>
      <c r="AF4" s="44"/>
      <c r="AG4" s="14"/>
      <c r="AH4" s="14"/>
      <c r="AJ4" s="44"/>
      <c r="AK4" s="44"/>
      <c r="AL4" s="14"/>
      <c r="AM4" s="14"/>
      <c r="AO4" s="44"/>
      <c r="AP4" s="44"/>
      <c r="AQ4" s="14"/>
      <c r="AR4" s="14"/>
      <c r="AT4" s="14"/>
      <c r="AU4" s="14"/>
      <c r="AV4" s="14"/>
      <c r="AW4" s="14"/>
    </row>
    <row r="5" spans="1:49" x14ac:dyDescent="0.3">
      <c r="A5" s="14"/>
      <c r="B5" s="14"/>
      <c r="C5" s="14"/>
      <c r="D5" s="14"/>
      <c r="F5" s="14"/>
      <c r="G5" s="14"/>
      <c r="H5" s="14"/>
      <c r="I5" s="14"/>
      <c r="K5" s="14"/>
      <c r="L5" s="14"/>
      <c r="M5" s="14"/>
      <c r="N5" s="14"/>
      <c r="P5" s="14"/>
      <c r="Q5" s="14"/>
      <c r="R5" s="14"/>
      <c r="S5" s="14"/>
      <c r="U5" s="14"/>
      <c r="V5" s="14"/>
      <c r="W5" s="14"/>
      <c r="X5" s="14"/>
      <c r="Z5" s="14"/>
      <c r="AA5" s="14"/>
      <c r="AB5" s="14"/>
      <c r="AC5" s="14"/>
      <c r="AE5" s="14"/>
      <c r="AF5" s="14"/>
      <c r="AG5" s="14"/>
      <c r="AH5" s="14"/>
      <c r="AJ5" s="14"/>
      <c r="AK5" s="14"/>
      <c r="AL5" s="14"/>
      <c r="AM5" s="14"/>
      <c r="AO5" s="14"/>
      <c r="AP5" s="14"/>
      <c r="AQ5" s="14"/>
      <c r="AR5" s="14"/>
      <c r="AT5" s="14"/>
      <c r="AU5" s="14"/>
      <c r="AV5" s="14"/>
      <c r="AW5" s="14"/>
    </row>
    <row r="6" spans="1:49" x14ac:dyDescent="0.3">
      <c r="A6" s="90"/>
      <c r="B6" s="45"/>
      <c r="C6" s="45"/>
      <c r="D6" s="45"/>
      <c r="F6" s="90"/>
      <c r="G6" s="45"/>
      <c r="H6" s="45"/>
      <c r="I6" s="45"/>
      <c r="K6" s="90"/>
      <c r="L6" s="45"/>
      <c r="M6" s="45"/>
      <c r="N6" s="45"/>
      <c r="P6" s="67"/>
      <c r="Q6" s="45"/>
      <c r="R6" s="45"/>
      <c r="S6" s="45"/>
      <c r="U6" s="67"/>
      <c r="V6" s="45"/>
      <c r="W6" s="45"/>
      <c r="X6" s="45"/>
      <c r="Z6" s="58"/>
      <c r="AA6" s="45"/>
      <c r="AB6" s="45"/>
      <c r="AC6" s="45"/>
      <c r="AE6" s="51"/>
      <c r="AF6" s="45"/>
      <c r="AG6" s="45"/>
      <c r="AH6" s="45"/>
      <c r="AJ6" s="51"/>
      <c r="AK6" s="45"/>
      <c r="AL6" s="45"/>
      <c r="AM6" s="45"/>
      <c r="AO6" s="51"/>
      <c r="AP6" s="45"/>
      <c r="AQ6" s="45"/>
      <c r="AR6" s="45"/>
      <c r="AT6" s="14"/>
      <c r="AU6" s="14"/>
      <c r="AV6" s="14"/>
      <c r="AW6" s="14"/>
    </row>
    <row r="7" spans="1:49" x14ac:dyDescent="0.3">
      <c r="A7" s="90"/>
      <c r="B7" s="45"/>
      <c r="C7" s="45"/>
      <c r="D7" s="45"/>
      <c r="F7" s="90"/>
      <c r="G7" s="45"/>
      <c r="H7" s="45"/>
      <c r="I7" s="45"/>
      <c r="K7" s="90"/>
      <c r="L7" s="45"/>
      <c r="M7" s="45"/>
      <c r="N7" s="45"/>
      <c r="P7" s="67"/>
      <c r="Q7" s="45"/>
      <c r="R7" s="45"/>
      <c r="S7" s="45"/>
      <c r="U7" s="67"/>
      <c r="V7" s="45"/>
      <c r="W7" s="45"/>
      <c r="X7" s="45"/>
      <c r="Z7" s="58"/>
      <c r="AA7" s="45"/>
      <c r="AB7" s="45"/>
      <c r="AC7" s="45"/>
      <c r="AE7" s="51"/>
      <c r="AF7" s="45"/>
      <c r="AG7" s="45"/>
      <c r="AH7" s="45"/>
      <c r="AJ7" s="51"/>
      <c r="AK7" s="45"/>
      <c r="AL7" s="45"/>
      <c r="AM7" s="45"/>
      <c r="AO7" s="51"/>
      <c r="AP7" s="45"/>
      <c r="AQ7" s="45"/>
      <c r="AR7" s="45"/>
      <c r="AT7" s="14"/>
      <c r="AU7" s="14"/>
      <c r="AV7" s="14"/>
      <c r="AW7" s="14"/>
    </row>
    <row r="8" spans="1:49" x14ac:dyDescent="0.3">
      <c r="A8" s="90"/>
      <c r="B8" s="45"/>
      <c r="C8" s="45"/>
      <c r="D8" s="45"/>
      <c r="F8" s="90"/>
      <c r="G8" s="45"/>
      <c r="H8" s="45"/>
      <c r="I8" s="45"/>
      <c r="K8" s="90"/>
      <c r="L8" s="45"/>
      <c r="M8" s="45"/>
      <c r="N8" s="45"/>
      <c r="P8" s="67"/>
      <c r="Q8" s="45"/>
      <c r="R8" s="45"/>
      <c r="S8" s="45"/>
      <c r="U8" s="67"/>
      <c r="V8" s="45"/>
      <c r="W8" s="45"/>
      <c r="X8" s="45"/>
      <c r="Z8" s="58"/>
      <c r="AA8" s="45"/>
      <c r="AB8" s="45"/>
      <c r="AC8" s="45"/>
      <c r="AE8" s="51"/>
      <c r="AF8" s="45"/>
      <c r="AG8" s="45"/>
      <c r="AH8" s="45"/>
      <c r="AJ8" s="51"/>
      <c r="AK8" s="45"/>
      <c r="AL8" s="45"/>
      <c r="AM8" s="45"/>
      <c r="AO8" s="51"/>
      <c r="AP8" s="45"/>
      <c r="AQ8" s="45"/>
      <c r="AR8" s="45"/>
      <c r="AT8" s="14"/>
      <c r="AU8" s="14"/>
      <c r="AV8" s="14"/>
      <c r="AW8" s="14"/>
    </row>
    <row r="9" spans="1:49" x14ac:dyDescent="0.3">
      <c r="A9" s="90"/>
      <c r="B9" s="45"/>
      <c r="C9" s="45"/>
      <c r="D9" s="45"/>
      <c r="F9" s="90"/>
      <c r="G9" s="45"/>
      <c r="H9" s="45"/>
      <c r="I9" s="45"/>
      <c r="K9" s="90"/>
      <c r="L9" s="45"/>
      <c r="M9" s="45"/>
      <c r="N9" s="45"/>
      <c r="P9" s="67"/>
      <c r="Q9" s="45"/>
      <c r="R9" s="45"/>
      <c r="S9" s="45"/>
      <c r="U9" s="67"/>
      <c r="V9" s="45"/>
      <c r="W9" s="45"/>
      <c r="X9" s="45"/>
      <c r="Z9" s="58"/>
      <c r="AA9" s="45"/>
      <c r="AB9" s="45"/>
      <c r="AC9" s="45"/>
      <c r="AE9" s="51"/>
      <c r="AF9" s="45"/>
      <c r="AG9" s="45"/>
      <c r="AH9" s="45"/>
      <c r="AJ9" s="51"/>
      <c r="AK9" s="45"/>
      <c r="AL9" s="45"/>
      <c r="AM9" s="45"/>
      <c r="AO9" s="51"/>
      <c r="AP9" s="45"/>
      <c r="AQ9" s="45"/>
      <c r="AR9" s="45"/>
      <c r="AT9" s="14"/>
      <c r="AU9" s="14"/>
      <c r="AV9" s="14"/>
      <c r="AW9" s="14"/>
    </row>
    <row r="10" spans="1:49" x14ac:dyDescent="0.3">
      <c r="A10" s="90"/>
      <c r="B10" s="45"/>
      <c r="C10" s="45"/>
      <c r="D10" s="45"/>
      <c r="F10" s="90"/>
      <c r="G10" s="45"/>
      <c r="H10" s="45"/>
      <c r="I10" s="45"/>
      <c r="K10" s="90"/>
      <c r="L10" s="45"/>
      <c r="M10" s="45"/>
      <c r="N10" s="45"/>
      <c r="P10" s="67"/>
      <c r="Q10" s="45"/>
      <c r="R10" s="45"/>
      <c r="S10" s="45"/>
      <c r="U10" s="67"/>
      <c r="V10" s="45"/>
      <c r="W10" s="45"/>
      <c r="X10" s="45"/>
      <c r="Z10" s="58"/>
      <c r="AA10" s="45"/>
      <c r="AB10" s="45"/>
      <c r="AC10" s="45"/>
      <c r="AE10" s="51"/>
      <c r="AF10" s="45"/>
      <c r="AG10" s="45"/>
      <c r="AH10" s="45"/>
      <c r="AJ10" s="51"/>
      <c r="AK10" s="45"/>
      <c r="AL10" s="45"/>
      <c r="AM10" s="45"/>
      <c r="AO10" s="51"/>
      <c r="AP10" s="45"/>
      <c r="AQ10" s="45"/>
      <c r="AR10" s="45"/>
      <c r="AT10" s="14"/>
      <c r="AU10" s="14"/>
      <c r="AV10" s="14"/>
      <c r="AW10" s="14"/>
    </row>
    <row r="11" spans="1:49" x14ac:dyDescent="0.3">
      <c r="A11" s="90"/>
      <c r="B11" s="45"/>
      <c r="C11" s="45"/>
      <c r="D11" s="45"/>
      <c r="F11" s="90"/>
      <c r="G11" s="45"/>
      <c r="H11" s="45"/>
      <c r="I11" s="45"/>
      <c r="K11" s="90"/>
      <c r="L11" s="45"/>
      <c r="M11" s="45"/>
      <c r="N11" s="45"/>
      <c r="P11" s="67"/>
      <c r="Q11" s="45"/>
      <c r="R11" s="45"/>
      <c r="S11" s="45"/>
      <c r="U11" s="67"/>
      <c r="V11" s="45"/>
      <c r="W11" s="45"/>
      <c r="X11" s="45"/>
      <c r="Z11" s="58"/>
      <c r="AA11" s="45"/>
      <c r="AB11" s="45"/>
      <c r="AC11" s="45"/>
      <c r="AE11" s="51"/>
      <c r="AF11" s="45"/>
      <c r="AG11" s="45"/>
      <c r="AH11" s="45"/>
      <c r="AJ11" s="51"/>
      <c r="AK11" s="45"/>
      <c r="AL11" s="45"/>
      <c r="AM11" s="45"/>
      <c r="AO11" s="51"/>
      <c r="AP11" s="45"/>
      <c r="AQ11" s="45"/>
      <c r="AR11" s="45"/>
      <c r="AT11" s="14"/>
      <c r="AU11" s="14"/>
      <c r="AV11" s="14"/>
      <c r="AW11" s="14"/>
    </row>
    <row r="12" spans="1:49" x14ac:dyDescent="0.3">
      <c r="A12" s="90"/>
      <c r="B12" s="45"/>
      <c r="C12" s="45"/>
      <c r="D12" s="45"/>
      <c r="F12" s="90"/>
      <c r="G12" s="45"/>
      <c r="H12" s="45"/>
      <c r="I12" s="45"/>
      <c r="K12" s="90"/>
      <c r="L12" s="45"/>
      <c r="M12" s="45"/>
      <c r="N12" s="45"/>
      <c r="P12" s="67"/>
      <c r="Q12" s="45"/>
      <c r="R12" s="45"/>
      <c r="S12" s="45"/>
      <c r="U12" s="67"/>
      <c r="V12" s="45"/>
      <c r="W12" s="45"/>
      <c r="X12" s="45"/>
      <c r="Z12" s="58"/>
      <c r="AA12" s="45"/>
      <c r="AB12" s="45"/>
      <c r="AC12" s="45"/>
      <c r="AE12" s="51"/>
      <c r="AF12" s="45"/>
      <c r="AG12" s="45"/>
      <c r="AH12" s="45"/>
      <c r="AJ12" s="51"/>
      <c r="AK12" s="45"/>
      <c r="AL12" s="45"/>
      <c r="AM12" s="45"/>
      <c r="AO12" s="51"/>
      <c r="AP12" s="45"/>
      <c r="AQ12" s="45"/>
      <c r="AR12" s="45"/>
      <c r="AT12" s="14"/>
      <c r="AU12" s="14"/>
      <c r="AV12" s="14"/>
      <c r="AW12" s="14"/>
    </row>
    <row r="13" spans="1:49" x14ac:dyDescent="0.3">
      <c r="A13" s="90"/>
      <c r="B13" s="45"/>
      <c r="C13" s="45"/>
      <c r="D13" s="45"/>
      <c r="F13" s="90"/>
      <c r="G13" s="45"/>
      <c r="H13" s="45"/>
      <c r="I13" s="45"/>
      <c r="K13" s="90"/>
      <c r="L13" s="45"/>
      <c r="M13" s="45"/>
      <c r="N13" s="45"/>
      <c r="P13" s="67"/>
      <c r="Q13" s="45"/>
      <c r="R13" s="45"/>
      <c r="S13" s="45"/>
      <c r="U13" s="67"/>
      <c r="V13" s="45"/>
      <c r="W13" s="45"/>
      <c r="X13" s="45"/>
      <c r="Z13" s="58"/>
      <c r="AA13" s="45"/>
      <c r="AB13" s="45"/>
      <c r="AC13" s="45"/>
      <c r="AE13" s="51"/>
      <c r="AF13" s="45"/>
      <c r="AG13" s="45"/>
      <c r="AH13" s="45"/>
      <c r="AJ13" s="51"/>
      <c r="AK13" s="45"/>
      <c r="AL13" s="45"/>
      <c r="AM13" s="45"/>
      <c r="AO13" s="51"/>
      <c r="AP13" s="45"/>
      <c r="AQ13" s="45"/>
      <c r="AR13" s="45"/>
      <c r="AT13" s="14"/>
      <c r="AU13" s="14"/>
      <c r="AV13" s="14"/>
      <c r="AW13" s="14"/>
    </row>
    <row r="14" spans="1:49" x14ac:dyDescent="0.3">
      <c r="A14" s="90"/>
      <c r="B14" s="45"/>
      <c r="C14" s="45"/>
      <c r="D14" s="45"/>
      <c r="F14" s="90"/>
      <c r="G14" s="45"/>
      <c r="H14" s="45"/>
      <c r="I14" s="45"/>
      <c r="K14" s="90"/>
      <c r="L14" s="45"/>
      <c r="M14" s="45"/>
      <c r="N14" s="45"/>
      <c r="P14" s="67"/>
      <c r="Q14" s="45"/>
      <c r="R14" s="45"/>
      <c r="S14" s="45"/>
      <c r="U14" s="67"/>
      <c r="V14" s="45"/>
      <c r="W14" s="45"/>
      <c r="X14" s="45"/>
      <c r="Z14" s="58"/>
      <c r="AA14" s="45"/>
      <c r="AB14" s="45"/>
      <c r="AC14" s="45"/>
      <c r="AE14" s="51"/>
      <c r="AF14" s="45"/>
      <c r="AG14" s="45"/>
      <c r="AH14" s="45"/>
      <c r="AJ14" s="51"/>
      <c r="AK14" s="45"/>
      <c r="AL14" s="45"/>
      <c r="AM14" s="45"/>
      <c r="AO14" s="51"/>
      <c r="AP14" s="45"/>
      <c r="AQ14" s="45"/>
      <c r="AR14" s="45"/>
      <c r="AT14" s="14"/>
      <c r="AU14" s="14"/>
      <c r="AV14" s="14"/>
      <c r="AW14" s="14"/>
    </row>
    <row r="15" spans="1:49" x14ac:dyDescent="0.3">
      <c r="A15" s="90"/>
      <c r="B15" s="45"/>
      <c r="C15" s="45"/>
      <c r="D15" s="45"/>
      <c r="F15" s="90"/>
      <c r="G15" s="45"/>
      <c r="H15" s="45"/>
      <c r="I15" s="45"/>
      <c r="K15" s="90"/>
      <c r="L15" s="45"/>
      <c r="M15" s="45"/>
      <c r="N15" s="45"/>
      <c r="P15" s="67"/>
      <c r="Q15" s="45"/>
      <c r="R15" s="45"/>
      <c r="S15" s="45"/>
      <c r="U15" s="67"/>
      <c r="V15" s="45"/>
      <c r="W15" s="45"/>
      <c r="X15" s="45"/>
      <c r="Z15" s="58"/>
      <c r="AA15" s="45"/>
      <c r="AB15" s="45"/>
      <c r="AC15" s="45"/>
      <c r="AE15" s="51"/>
      <c r="AF15" s="45"/>
      <c r="AG15" s="45"/>
      <c r="AH15" s="45"/>
      <c r="AJ15" s="51"/>
      <c r="AK15" s="45"/>
      <c r="AL15" s="45"/>
      <c r="AM15" s="45"/>
      <c r="AO15" s="51"/>
      <c r="AP15" s="45"/>
      <c r="AQ15" s="45"/>
      <c r="AR15" s="45"/>
      <c r="AT15" s="14"/>
      <c r="AU15" s="14"/>
      <c r="AV15" s="14"/>
      <c r="AW15" s="14"/>
    </row>
    <row r="16" spans="1:49" x14ac:dyDescent="0.3">
      <c r="A16" s="90"/>
      <c r="B16" s="45"/>
      <c r="C16" s="45"/>
      <c r="D16" s="45"/>
      <c r="F16" s="90"/>
      <c r="G16" s="45"/>
      <c r="H16" s="45"/>
      <c r="I16" s="45"/>
      <c r="K16" s="71"/>
      <c r="L16" s="45"/>
      <c r="M16" s="45"/>
      <c r="N16" s="45"/>
      <c r="P16" s="67"/>
      <c r="Q16" s="45"/>
      <c r="R16" s="45"/>
      <c r="S16" s="45"/>
      <c r="U16" s="67"/>
      <c r="V16" s="45"/>
      <c r="W16" s="45"/>
      <c r="X16" s="45"/>
      <c r="Z16" s="58"/>
      <c r="AA16" s="45"/>
      <c r="AB16" s="45"/>
      <c r="AC16" s="45"/>
      <c r="AE16" s="51"/>
      <c r="AF16" s="45"/>
      <c r="AG16" s="45"/>
      <c r="AH16" s="45"/>
      <c r="AJ16" s="51"/>
      <c r="AK16" s="45"/>
      <c r="AL16" s="45"/>
      <c r="AM16" s="45"/>
      <c r="AO16" s="51"/>
      <c r="AP16" s="45"/>
      <c r="AQ16" s="45"/>
      <c r="AR16" s="45"/>
      <c r="AT16" s="14"/>
      <c r="AU16" s="14"/>
      <c r="AV16" s="14"/>
      <c r="AW16" s="14"/>
    </row>
    <row r="17" spans="1:49" x14ac:dyDescent="0.3">
      <c r="A17" s="90"/>
      <c r="B17" s="45"/>
      <c r="C17" s="45"/>
      <c r="D17" s="45"/>
      <c r="F17" s="90"/>
      <c r="G17" s="45"/>
      <c r="H17" s="45"/>
      <c r="I17" s="45"/>
      <c r="K17" s="71"/>
      <c r="L17" s="45"/>
      <c r="M17" s="45"/>
      <c r="N17" s="45"/>
      <c r="P17" s="67"/>
      <c r="Q17" s="45"/>
      <c r="R17" s="45"/>
      <c r="S17" s="45"/>
      <c r="U17" s="67"/>
      <c r="V17" s="45"/>
      <c r="W17" s="45"/>
      <c r="X17" s="45"/>
      <c r="Z17" s="58"/>
      <c r="AA17" s="45"/>
      <c r="AB17" s="45"/>
      <c r="AC17" s="45"/>
      <c r="AE17" s="51"/>
      <c r="AF17" s="45"/>
      <c r="AG17" s="45"/>
      <c r="AH17" s="45"/>
      <c r="AJ17" s="51"/>
      <c r="AK17" s="45"/>
      <c r="AL17" s="45"/>
      <c r="AM17" s="45"/>
      <c r="AO17" s="51"/>
      <c r="AP17" s="45"/>
      <c r="AQ17" s="45"/>
      <c r="AR17" s="45"/>
      <c r="AT17" s="14"/>
      <c r="AU17" s="14"/>
      <c r="AV17" s="14"/>
      <c r="AW17" s="14"/>
    </row>
    <row r="18" spans="1:49" x14ac:dyDescent="0.3">
      <c r="A18" s="90"/>
      <c r="B18" s="45"/>
      <c r="C18" s="45"/>
      <c r="D18" s="45"/>
      <c r="F18" s="90"/>
      <c r="G18" s="45"/>
      <c r="H18" s="45"/>
      <c r="I18" s="45"/>
      <c r="K18" s="71"/>
      <c r="L18" s="45"/>
      <c r="M18" s="45"/>
      <c r="N18" s="45"/>
      <c r="P18" s="67"/>
      <c r="Q18" s="45"/>
      <c r="R18" s="45"/>
      <c r="S18" s="45"/>
      <c r="U18" s="67"/>
      <c r="V18" s="45"/>
      <c r="W18" s="45"/>
      <c r="X18" s="45"/>
      <c r="Z18" s="58"/>
      <c r="AA18" s="45"/>
      <c r="AB18" s="45"/>
      <c r="AC18" s="45"/>
      <c r="AE18" s="51"/>
      <c r="AF18" s="45"/>
      <c r="AG18" s="45"/>
      <c r="AH18" s="45"/>
      <c r="AJ18" s="51"/>
      <c r="AK18" s="45"/>
      <c r="AL18" s="45"/>
      <c r="AM18" s="45"/>
      <c r="AO18" s="51"/>
      <c r="AP18" s="45"/>
      <c r="AQ18" s="45"/>
      <c r="AR18" s="45"/>
      <c r="AT18" s="14"/>
      <c r="AU18" s="14"/>
      <c r="AV18" s="14"/>
      <c r="AW18" s="14"/>
    </row>
    <row r="19" spans="1:49" x14ac:dyDescent="0.3">
      <c r="A19" s="90"/>
      <c r="B19" s="45"/>
      <c r="C19" s="45"/>
      <c r="D19" s="45"/>
      <c r="F19" s="90"/>
      <c r="G19" s="45"/>
      <c r="H19" s="45"/>
      <c r="I19" s="45"/>
      <c r="K19" s="67"/>
      <c r="L19" s="45"/>
      <c r="M19" s="45"/>
      <c r="N19" s="45"/>
      <c r="P19" s="67"/>
      <c r="Q19" s="45"/>
      <c r="R19" s="45"/>
      <c r="S19" s="45"/>
      <c r="U19" s="67"/>
      <c r="V19" s="45"/>
      <c r="W19" s="45"/>
      <c r="X19" s="45"/>
      <c r="Z19" s="58"/>
      <c r="AA19" s="45"/>
      <c r="AB19" s="45"/>
      <c r="AC19" s="45"/>
      <c r="AE19" s="51"/>
      <c r="AF19" s="45"/>
      <c r="AG19" s="45"/>
      <c r="AH19" s="45"/>
      <c r="AJ19" s="51"/>
      <c r="AK19" s="45"/>
      <c r="AL19" s="45"/>
      <c r="AM19" s="45"/>
      <c r="AO19" s="51"/>
      <c r="AP19" s="45"/>
      <c r="AQ19" s="45"/>
      <c r="AR19" s="45"/>
      <c r="AT19" s="14"/>
      <c r="AU19" s="14"/>
      <c r="AV19" s="14"/>
      <c r="AW19" s="14"/>
    </row>
    <row r="20" spans="1:49" x14ac:dyDescent="0.3">
      <c r="A20" s="90"/>
      <c r="B20" s="45"/>
      <c r="C20" s="45"/>
      <c r="D20" s="45"/>
      <c r="F20" s="90"/>
      <c r="G20" s="45"/>
      <c r="H20" s="45"/>
      <c r="I20" s="45"/>
      <c r="K20" s="67"/>
      <c r="L20" s="45"/>
      <c r="M20" s="45"/>
      <c r="N20" s="45"/>
      <c r="P20" s="67"/>
      <c r="Q20" s="45"/>
      <c r="R20" s="45"/>
      <c r="S20" s="45"/>
      <c r="U20" s="67"/>
      <c r="V20" s="45"/>
      <c r="W20" s="45"/>
      <c r="X20" s="45"/>
      <c r="Z20" s="58"/>
      <c r="AA20" s="45"/>
      <c r="AB20" s="45"/>
      <c r="AC20" s="45"/>
      <c r="AE20" s="51"/>
      <c r="AF20" s="45"/>
      <c r="AG20" s="45"/>
      <c r="AH20" s="45"/>
      <c r="AJ20" s="51"/>
      <c r="AK20" s="45"/>
      <c r="AL20" s="45"/>
      <c r="AM20" s="45"/>
      <c r="AO20" s="51"/>
      <c r="AP20" s="45"/>
      <c r="AQ20" s="45"/>
      <c r="AR20" s="45"/>
      <c r="AT20" s="14"/>
      <c r="AU20" s="14"/>
      <c r="AV20" s="14"/>
      <c r="AW20" s="14"/>
    </row>
    <row r="21" spans="1:49" x14ac:dyDescent="0.3">
      <c r="A21" s="90"/>
      <c r="B21" s="45"/>
      <c r="C21" s="45"/>
      <c r="D21" s="45"/>
      <c r="F21" s="71"/>
      <c r="G21" s="45"/>
      <c r="H21" s="45"/>
      <c r="I21" s="45"/>
      <c r="K21" s="67"/>
      <c r="L21" s="45"/>
      <c r="M21" s="45"/>
      <c r="N21" s="45"/>
      <c r="P21" s="67"/>
      <c r="Q21" s="45"/>
      <c r="R21" s="45"/>
      <c r="S21" s="45"/>
      <c r="U21" s="67"/>
      <c r="V21" s="45"/>
      <c r="W21" s="45"/>
      <c r="X21" s="45"/>
      <c r="Z21" s="58"/>
      <c r="AA21" s="45"/>
      <c r="AB21" s="45"/>
      <c r="AC21" s="45"/>
      <c r="AE21" s="51"/>
      <c r="AF21" s="45"/>
      <c r="AG21" s="45"/>
      <c r="AH21" s="45"/>
      <c r="AJ21" s="51"/>
      <c r="AK21" s="45"/>
      <c r="AL21" s="45"/>
      <c r="AM21" s="45"/>
      <c r="AO21" s="51"/>
      <c r="AP21" s="45"/>
      <c r="AQ21" s="45"/>
      <c r="AR21" s="45"/>
      <c r="AT21" s="14"/>
      <c r="AU21" s="14"/>
      <c r="AV21" s="14"/>
      <c r="AW21" s="14"/>
    </row>
    <row r="22" spans="1:49" x14ac:dyDescent="0.3">
      <c r="A22" s="90"/>
      <c r="B22" s="45"/>
      <c r="C22" s="45"/>
      <c r="D22" s="45"/>
      <c r="F22" s="71"/>
      <c r="G22" s="45"/>
      <c r="H22" s="45"/>
      <c r="I22" s="45"/>
      <c r="K22" s="67"/>
      <c r="L22" s="45"/>
      <c r="M22" s="45"/>
      <c r="N22" s="45"/>
      <c r="P22" s="67"/>
      <c r="Q22" s="45"/>
      <c r="R22" s="45"/>
      <c r="S22" s="45"/>
      <c r="U22" s="67"/>
      <c r="V22" s="45"/>
      <c r="W22" s="45"/>
      <c r="X22" s="45"/>
      <c r="Z22" s="58"/>
      <c r="AA22" s="45"/>
      <c r="AB22" s="45"/>
      <c r="AC22" s="45"/>
      <c r="AE22" s="51"/>
      <c r="AF22" s="45"/>
      <c r="AG22" s="45"/>
      <c r="AH22" s="45"/>
      <c r="AJ22" s="51"/>
      <c r="AK22" s="45"/>
      <c r="AL22" s="45"/>
      <c r="AM22" s="45"/>
      <c r="AO22" s="51"/>
      <c r="AP22" s="45"/>
      <c r="AQ22" s="45"/>
      <c r="AR22" s="45"/>
      <c r="AT22" s="14"/>
      <c r="AU22" s="14"/>
      <c r="AV22" s="14"/>
      <c r="AW22" s="14"/>
    </row>
    <row r="23" spans="1:49" x14ac:dyDescent="0.3">
      <c r="A23" s="90"/>
      <c r="B23" s="45"/>
      <c r="C23" s="45"/>
      <c r="D23" s="45"/>
      <c r="F23" s="71"/>
      <c r="G23" s="45"/>
      <c r="H23" s="45"/>
      <c r="I23" s="45"/>
      <c r="K23" s="67"/>
      <c r="L23" s="45"/>
      <c r="M23" s="45"/>
      <c r="N23" s="45"/>
      <c r="P23" s="67"/>
      <c r="Q23" s="45"/>
      <c r="R23" s="45"/>
      <c r="S23" s="45"/>
      <c r="U23" s="67"/>
      <c r="V23" s="45"/>
      <c r="W23" s="45"/>
      <c r="X23" s="45"/>
      <c r="Z23" s="58"/>
      <c r="AA23" s="45"/>
      <c r="AB23" s="45"/>
      <c r="AC23" s="45"/>
      <c r="AE23" s="14"/>
      <c r="AF23" s="14"/>
      <c r="AG23" s="14"/>
      <c r="AH23" s="14"/>
      <c r="AJ23" s="51"/>
      <c r="AK23" s="45"/>
      <c r="AL23" s="45"/>
      <c r="AM23" s="45"/>
      <c r="AO23" s="51"/>
      <c r="AP23" s="45"/>
      <c r="AQ23" s="45"/>
      <c r="AR23" s="45"/>
      <c r="AT23" s="14"/>
      <c r="AU23" s="14"/>
      <c r="AV23" s="14"/>
      <c r="AW23" s="14"/>
    </row>
    <row r="24" spans="1:49" x14ac:dyDescent="0.3">
      <c r="A24" s="90"/>
      <c r="B24" s="45"/>
      <c r="C24" s="45"/>
      <c r="D24" s="45"/>
      <c r="F24" s="71"/>
      <c r="G24" s="45"/>
      <c r="H24" s="45"/>
      <c r="I24" s="45"/>
      <c r="K24" s="67"/>
      <c r="L24" s="45"/>
      <c r="M24" s="45"/>
      <c r="N24" s="45"/>
      <c r="P24" s="67"/>
      <c r="Q24" s="45"/>
      <c r="R24" s="45"/>
      <c r="S24" s="45"/>
      <c r="U24" s="67"/>
      <c r="V24" s="45"/>
      <c r="W24" s="45"/>
      <c r="X24" s="45"/>
      <c r="Z24" s="58"/>
      <c r="AA24" s="45"/>
      <c r="AB24" s="45"/>
      <c r="AC24" s="45"/>
      <c r="AE24" s="14"/>
      <c r="AF24" s="14"/>
      <c r="AG24" s="14"/>
      <c r="AH24" s="14"/>
      <c r="AJ24" s="14"/>
      <c r="AK24" s="14"/>
      <c r="AL24" s="14"/>
      <c r="AM24" s="14"/>
      <c r="AO24" s="51"/>
      <c r="AP24" s="45"/>
      <c r="AQ24" s="45"/>
      <c r="AR24" s="45"/>
      <c r="AT24" s="14"/>
      <c r="AU24" s="14"/>
      <c r="AV24" s="14"/>
      <c r="AW24" s="14"/>
    </row>
    <row r="25" spans="1:49" x14ac:dyDescent="0.3">
      <c r="A25" s="90"/>
      <c r="B25" s="45"/>
      <c r="C25" s="45"/>
      <c r="D25" s="45"/>
      <c r="F25" s="71"/>
      <c r="G25" s="45"/>
      <c r="H25" s="45"/>
      <c r="I25" s="45"/>
      <c r="K25" s="67"/>
      <c r="L25" s="45"/>
      <c r="M25" s="45"/>
      <c r="N25" s="45"/>
      <c r="P25" s="67"/>
      <c r="Q25" s="45"/>
      <c r="R25" s="45"/>
      <c r="S25" s="45"/>
      <c r="U25" s="67"/>
      <c r="V25" s="45"/>
      <c r="W25" s="45"/>
      <c r="X25" s="45"/>
      <c r="Z25" s="58"/>
      <c r="AA25" s="45"/>
      <c r="AB25" s="45"/>
      <c r="AC25" s="45"/>
      <c r="AE25" s="14"/>
      <c r="AF25" s="14"/>
      <c r="AG25" s="14"/>
      <c r="AH25" s="14"/>
      <c r="AJ25" s="14"/>
      <c r="AK25" s="14"/>
      <c r="AL25" s="14"/>
      <c r="AM25" s="14"/>
      <c r="AO25" s="51"/>
      <c r="AP25" s="45"/>
      <c r="AQ25" s="45"/>
      <c r="AR25" s="45"/>
      <c r="AT25" s="14"/>
      <c r="AU25" s="14"/>
      <c r="AV25" s="14"/>
      <c r="AW25" s="14"/>
    </row>
    <row r="26" spans="1:49" x14ac:dyDescent="0.3">
      <c r="A26" s="90"/>
      <c r="B26" s="45"/>
      <c r="C26" s="45"/>
      <c r="D26" s="45"/>
      <c r="F26" s="71"/>
      <c r="G26" s="45"/>
      <c r="H26" s="45"/>
      <c r="I26" s="45"/>
      <c r="K26" s="67"/>
      <c r="L26" s="45"/>
      <c r="M26" s="45"/>
      <c r="N26" s="45"/>
      <c r="P26" s="67"/>
      <c r="Q26" s="45"/>
      <c r="R26" s="45"/>
      <c r="S26" s="45"/>
      <c r="U26" s="67"/>
      <c r="V26" s="45"/>
      <c r="W26" s="45"/>
      <c r="X26" s="45"/>
      <c r="Z26" s="58"/>
      <c r="AA26" s="45"/>
      <c r="AB26" s="45"/>
      <c r="AC26" s="45"/>
      <c r="AE26" s="14"/>
      <c r="AF26" s="14"/>
      <c r="AG26" s="14"/>
      <c r="AH26" s="14"/>
      <c r="AJ26" s="14"/>
      <c r="AK26" s="14"/>
      <c r="AL26" s="14"/>
      <c r="AM26" s="14"/>
      <c r="AO26" s="51"/>
      <c r="AP26" s="45"/>
      <c r="AQ26" s="45"/>
      <c r="AR26" s="45"/>
      <c r="AT26" s="14"/>
      <c r="AU26" s="14"/>
      <c r="AV26" s="14"/>
      <c r="AW26" s="14"/>
    </row>
    <row r="27" spans="1:49" x14ac:dyDescent="0.3">
      <c r="A27" s="90"/>
      <c r="B27" s="45"/>
      <c r="C27" s="45"/>
      <c r="D27" s="45"/>
      <c r="F27" s="71"/>
      <c r="G27" s="45"/>
      <c r="H27" s="45"/>
      <c r="I27" s="45"/>
      <c r="K27" s="67"/>
      <c r="L27" s="45"/>
      <c r="M27" s="45"/>
      <c r="N27" s="45"/>
      <c r="P27" s="67"/>
      <c r="Q27" s="45"/>
      <c r="R27" s="45"/>
      <c r="S27" s="45"/>
      <c r="U27" s="67"/>
      <c r="V27" s="45"/>
      <c r="W27" s="45"/>
      <c r="X27" s="45"/>
      <c r="Z27" s="58"/>
      <c r="AA27" s="45"/>
      <c r="AB27" s="45"/>
      <c r="AC27" s="45"/>
      <c r="AE27" s="14"/>
      <c r="AF27" s="14"/>
      <c r="AG27" s="14"/>
      <c r="AH27" s="14"/>
      <c r="AJ27" s="14"/>
      <c r="AK27" s="14"/>
      <c r="AL27" s="14"/>
      <c r="AM27" s="14"/>
      <c r="AO27" s="51"/>
      <c r="AP27" s="45"/>
      <c r="AQ27" s="45"/>
      <c r="AR27" s="45"/>
      <c r="AT27" s="14"/>
      <c r="AU27" s="14"/>
      <c r="AV27" s="14"/>
      <c r="AW27" s="14"/>
    </row>
    <row r="28" spans="1:49" x14ac:dyDescent="0.3">
      <c r="A28" s="90"/>
      <c r="B28" s="45"/>
      <c r="C28" s="45"/>
      <c r="D28" s="45"/>
      <c r="F28" s="71"/>
      <c r="G28" s="45"/>
      <c r="H28" s="45"/>
      <c r="I28" s="45"/>
      <c r="K28" s="53"/>
      <c r="L28" s="45"/>
      <c r="M28" s="45"/>
      <c r="N28" s="45"/>
      <c r="P28" s="67"/>
      <c r="Q28" s="45"/>
      <c r="R28" s="45"/>
      <c r="S28" s="45"/>
      <c r="U28" s="67"/>
      <c r="V28" s="45"/>
      <c r="W28" s="45"/>
      <c r="X28" s="45"/>
      <c r="Z28" s="58"/>
      <c r="AA28" s="45"/>
      <c r="AB28" s="45"/>
      <c r="AC28" s="45"/>
      <c r="AE28" s="14"/>
      <c r="AF28" s="14"/>
      <c r="AG28" s="14"/>
      <c r="AH28" s="14"/>
      <c r="AJ28" s="14"/>
      <c r="AK28" s="14"/>
      <c r="AL28" s="14"/>
      <c r="AM28" s="14"/>
      <c r="AO28" s="51"/>
      <c r="AP28" s="45"/>
      <c r="AQ28" s="45"/>
      <c r="AR28" s="45"/>
      <c r="AT28" s="14"/>
      <c r="AU28" s="14"/>
      <c r="AV28" s="14"/>
      <c r="AW28" s="14"/>
    </row>
    <row r="29" spans="1:49" x14ac:dyDescent="0.3">
      <c r="A29" s="90"/>
      <c r="B29" s="45"/>
      <c r="C29" s="45"/>
      <c r="D29" s="45"/>
      <c r="F29" s="71"/>
      <c r="G29" s="45"/>
      <c r="H29" s="45"/>
      <c r="I29" s="45"/>
      <c r="K29" s="53"/>
      <c r="L29" s="45"/>
      <c r="M29" s="45"/>
      <c r="N29" s="45"/>
      <c r="P29" s="67"/>
      <c r="Q29" s="45"/>
      <c r="R29" s="45"/>
      <c r="S29" s="45"/>
      <c r="U29" s="67"/>
      <c r="V29" s="45"/>
      <c r="W29" s="45"/>
      <c r="X29" s="45"/>
      <c r="Z29" s="58"/>
      <c r="AA29" s="45"/>
      <c r="AB29" s="45"/>
      <c r="AC29" s="45"/>
      <c r="AE29" s="14"/>
      <c r="AF29" s="14"/>
      <c r="AG29" s="14"/>
      <c r="AH29" s="14"/>
      <c r="AJ29" s="14"/>
      <c r="AK29" s="14"/>
      <c r="AL29" s="14"/>
      <c r="AM29" s="14"/>
      <c r="AO29" s="51"/>
      <c r="AP29" s="45"/>
      <c r="AQ29" s="45"/>
      <c r="AR29" s="45"/>
      <c r="AT29" s="14"/>
      <c r="AU29" s="14"/>
      <c r="AV29" s="14"/>
      <c r="AW29" s="14"/>
    </row>
    <row r="30" spans="1:49" x14ac:dyDescent="0.3">
      <c r="A30" s="90"/>
      <c r="B30" s="45"/>
      <c r="C30" s="45"/>
      <c r="D30" s="45"/>
      <c r="F30" s="71"/>
      <c r="G30" s="45"/>
      <c r="H30" s="45"/>
      <c r="I30" s="45"/>
      <c r="K30" s="53"/>
      <c r="L30" s="45"/>
      <c r="M30" s="45"/>
      <c r="N30" s="45"/>
      <c r="P30" s="67"/>
      <c r="Q30" s="45"/>
      <c r="R30" s="45"/>
      <c r="S30" s="45"/>
      <c r="U30" s="67"/>
      <c r="V30" s="45"/>
      <c r="W30" s="45"/>
      <c r="X30" s="45"/>
      <c r="Z30" s="58"/>
      <c r="AA30" s="45"/>
      <c r="AB30" s="45"/>
      <c r="AC30" s="45"/>
      <c r="AE30" s="14"/>
      <c r="AF30" s="14"/>
      <c r="AG30" s="14"/>
      <c r="AH30" s="14"/>
      <c r="AJ30" s="14"/>
      <c r="AK30" s="14"/>
      <c r="AL30" s="14"/>
      <c r="AM30" s="14"/>
      <c r="AO30" s="51"/>
      <c r="AP30" s="45"/>
      <c r="AQ30" s="45"/>
      <c r="AR30" s="45"/>
      <c r="AT30" s="14"/>
      <c r="AU30" s="14"/>
      <c r="AV30" s="14"/>
      <c r="AW30" s="14"/>
    </row>
    <row r="31" spans="1:49" x14ac:dyDescent="0.3">
      <c r="A31" s="90"/>
      <c r="B31" s="45"/>
      <c r="C31" s="45"/>
      <c r="D31" s="45"/>
      <c r="F31" s="71"/>
      <c r="G31" s="45"/>
      <c r="H31" s="45"/>
      <c r="I31" s="45"/>
      <c r="K31" s="53"/>
      <c r="L31" s="45"/>
      <c r="M31" s="45"/>
      <c r="N31" s="45"/>
      <c r="P31" s="67"/>
      <c r="Q31" s="45"/>
      <c r="R31" s="45"/>
      <c r="S31" s="45"/>
      <c r="U31" s="67"/>
      <c r="V31" s="45"/>
      <c r="W31" s="45"/>
      <c r="X31" s="45"/>
      <c r="Z31" s="58"/>
      <c r="AA31" s="45"/>
      <c r="AB31" s="45"/>
      <c r="AC31" s="45"/>
      <c r="AE31" s="14"/>
      <c r="AF31" s="14"/>
      <c r="AG31" s="14"/>
      <c r="AH31" s="14"/>
      <c r="AJ31" s="14"/>
      <c r="AK31" s="14"/>
      <c r="AL31" s="14"/>
      <c r="AM31" s="14"/>
      <c r="AO31" s="51"/>
      <c r="AP31" s="45"/>
      <c r="AQ31" s="45"/>
      <c r="AR31" s="45"/>
      <c r="AT31" s="14"/>
      <c r="AU31" s="14"/>
      <c r="AV31" s="14"/>
      <c r="AW31" s="14"/>
    </row>
    <row r="32" spans="1:49" x14ac:dyDescent="0.3">
      <c r="A32" s="90"/>
      <c r="B32" s="45"/>
      <c r="C32" s="45"/>
      <c r="D32" s="45"/>
      <c r="F32" s="71"/>
      <c r="G32" s="45"/>
      <c r="H32" s="45"/>
      <c r="I32" s="45"/>
      <c r="K32" s="53"/>
      <c r="L32" s="45"/>
      <c r="M32" s="45"/>
      <c r="N32" s="45"/>
      <c r="P32" s="67"/>
      <c r="Q32" s="45"/>
      <c r="R32" s="45"/>
      <c r="S32" s="45"/>
      <c r="U32" s="67"/>
      <c r="V32" s="45"/>
      <c r="W32" s="45"/>
      <c r="X32" s="45"/>
      <c r="Z32" s="58"/>
      <c r="AA32" s="45"/>
      <c r="AB32" s="45"/>
      <c r="AC32" s="45"/>
      <c r="AE32" s="14"/>
      <c r="AF32" s="14"/>
      <c r="AG32" s="14"/>
      <c r="AH32" s="14"/>
      <c r="AJ32" s="14"/>
      <c r="AK32" s="14"/>
      <c r="AL32" s="14"/>
      <c r="AM32" s="14"/>
      <c r="AO32" s="51"/>
      <c r="AP32" s="45"/>
      <c r="AQ32" s="45"/>
      <c r="AR32" s="45"/>
      <c r="AT32" s="14"/>
      <c r="AU32" s="14"/>
      <c r="AV32" s="14"/>
      <c r="AW32" s="14"/>
    </row>
    <row r="33" spans="1:49" x14ac:dyDescent="0.3">
      <c r="A33" s="90"/>
      <c r="B33" s="45"/>
      <c r="C33" s="45"/>
      <c r="D33" s="45"/>
      <c r="F33" s="71"/>
      <c r="G33" s="45"/>
      <c r="H33" s="45"/>
      <c r="I33" s="45"/>
      <c r="K33" s="53"/>
      <c r="L33" s="45"/>
      <c r="M33" s="45"/>
      <c r="N33" s="45"/>
      <c r="P33" s="67"/>
      <c r="Q33" s="45"/>
      <c r="R33" s="45"/>
      <c r="S33" s="45"/>
      <c r="U33" s="67"/>
      <c r="V33" s="45"/>
      <c r="W33" s="45"/>
      <c r="X33" s="45"/>
      <c r="Z33" s="58"/>
      <c r="AA33" s="45"/>
      <c r="AB33" s="45"/>
      <c r="AC33" s="45"/>
      <c r="AE33" s="14"/>
      <c r="AF33" s="14"/>
      <c r="AG33" s="14"/>
      <c r="AH33" s="14"/>
      <c r="AJ33" s="14"/>
      <c r="AK33" s="14"/>
      <c r="AL33" s="14"/>
      <c r="AM33" s="14"/>
      <c r="AO33" s="51"/>
      <c r="AP33" s="45"/>
      <c r="AQ33" s="45"/>
      <c r="AR33" s="45"/>
      <c r="AT33" s="14"/>
      <c r="AU33" s="14"/>
      <c r="AV33" s="14"/>
      <c r="AW33" s="14"/>
    </row>
    <row r="34" spans="1:49" x14ac:dyDescent="0.3">
      <c r="A34" s="90"/>
      <c r="B34" s="45"/>
      <c r="C34" s="45"/>
      <c r="D34" s="45"/>
      <c r="F34" s="71"/>
      <c r="G34" s="45"/>
      <c r="H34" s="45"/>
      <c r="I34" s="45"/>
      <c r="K34" s="53"/>
      <c r="L34" s="45"/>
      <c r="M34" s="45"/>
      <c r="N34" s="45"/>
      <c r="P34" s="67"/>
      <c r="Q34" s="45"/>
      <c r="R34" s="45"/>
      <c r="S34" s="45"/>
      <c r="U34" s="67"/>
      <c r="V34" s="45"/>
      <c r="W34" s="45"/>
      <c r="X34" s="45"/>
      <c r="Z34" s="58"/>
      <c r="AA34" s="45"/>
      <c r="AB34" s="45"/>
      <c r="AC34" s="45"/>
      <c r="AE34" s="14"/>
      <c r="AF34" s="14"/>
      <c r="AG34" s="14"/>
      <c r="AH34" s="14"/>
      <c r="AJ34" s="14"/>
      <c r="AK34" s="14"/>
      <c r="AL34" s="14"/>
      <c r="AM34" s="14"/>
      <c r="AO34" s="51"/>
      <c r="AP34" s="45"/>
      <c r="AQ34" s="45"/>
      <c r="AR34" s="45"/>
      <c r="AT34" s="14"/>
      <c r="AU34" s="14"/>
      <c r="AV34" s="14"/>
      <c r="AW34" s="14"/>
    </row>
    <row r="35" spans="1:49" x14ac:dyDescent="0.3">
      <c r="A35" s="90"/>
      <c r="B35" s="45"/>
      <c r="C35" s="45"/>
      <c r="D35" s="45"/>
      <c r="F35" s="71"/>
      <c r="G35" s="45"/>
      <c r="H35" s="45"/>
      <c r="I35" s="45"/>
      <c r="K35" s="53"/>
      <c r="L35" s="45"/>
      <c r="M35" s="45"/>
      <c r="N35" s="45"/>
      <c r="P35" s="67"/>
      <c r="Q35" s="45"/>
      <c r="R35" s="45"/>
      <c r="S35" s="45"/>
      <c r="U35" s="67"/>
      <c r="V35" s="45"/>
      <c r="W35" s="45"/>
      <c r="X35" s="45"/>
      <c r="Z35" s="58"/>
      <c r="AA35" s="45"/>
      <c r="AB35" s="45"/>
      <c r="AC35" s="45"/>
      <c r="AE35" s="14"/>
      <c r="AF35" s="14"/>
      <c r="AG35" s="14"/>
      <c r="AH35" s="14"/>
      <c r="AJ35" s="14"/>
      <c r="AK35" s="14"/>
      <c r="AL35" s="14"/>
      <c r="AM35" s="14"/>
      <c r="AO35" s="51"/>
      <c r="AP35" s="45"/>
      <c r="AQ35" s="45"/>
      <c r="AR35" s="45"/>
      <c r="AT35" s="14"/>
      <c r="AU35" s="14"/>
      <c r="AV35" s="14"/>
      <c r="AW35" s="14"/>
    </row>
    <row r="36" spans="1:49" x14ac:dyDescent="0.3">
      <c r="A36" s="90"/>
      <c r="B36" s="45"/>
      <c r="C36" s="45"/>
      <c r="D36" s="45"/>
      <c r="F36" s="71"/>
      <c r="G36" s="45"/>
      <c r="H36" s="45"/>
      <c r="I36" s="45"/>
      <c r="K36" s="53"/>
      <c r="L36" s="45"/>
      <c r="M36" s="45"/>
      <c r="N36" s="45"/>
      <c r="P36" s="67"/>
      <c r="Q36" s="45"/>
      <c r="R36" s="45"/>
      <c r="S36" s="45"/>
      <c r="U36" s="67"/>
      <c r="V36" s="45"/>
      <c r="W36" s="45"/>
      <c r="X36" s="45"/>
      <c r="Z36" s="58"/>
      <c r="AA36" s="45"/>
      <c r="AB36" s="45"/>
      <c r="AC36" s="45"/>
      <c r="AE36" s="14"/>
      <c r="AF36" s="14"/>
      <c r="AG36" s="14"/>
      <c r="AH36" s="14"/>
      <c r="AJ36" s="14"/>
      <c r="AK36" s="14"/>
      <c r="AL36" s="14"/>
      <c r="AM36" s="14"/>
      <c r="AO36" s="51"/>
      <c r="AP36" s="45"/>
      <c r="AQ36" s="45"/>
      <c r="AR36" s="45"/>
      <c r="AT36" s="14"/>
      <c r="AU36" s="14"/>
      <c r="AV36" s="14"/>
      <c r="AW36" s="14"/>
    </row>
    <row r="37" spans="1:49" x14ac:dyDescent="0.3">
      <c r="A37" s="90"/>
      <c r="B37" s="45"/>
      <c r="C37" s="45"/>
      <c r="D37" s="45"/>
      <c r="F37" s="71"/>
      <c r="G37" s="45"/>
      <c r="H37" s="45"/>
      <c r="I37" s="45"/>
      <c r="K37" s="53"/>
      <c r="L37" s="45"/>
      <c r="M37" s="45"/>
      <c r="N37" s="45"/>
      <c r="P37" s="67"/>
      <c r="Q37" s="45"/>
      <c r="R37" s="45"/>
      <c r="S37" s="45"/>
      <c r="U37" s="67"/>
      <c r="V37" s="45"/>
      <c r="W37" s="45"/>
      <c r="X37" s="45"/>
      <c r="Z37" s="58"/>
      <c r="AA37" s="45"/>
      <c r="AB37" s="45"/>
      <c r="AC37" s="45"/>
      <c r="AE37" s="14"/>
      <c r="AF37" s="14"/>
      <c r="AG37" s="14"/>
      <c r="AH37" s="14"/>
      <c r="AJ37" s="14"/>
      <c r="AK37" s="14"/>
      <c r="AL37" s="14"/>
      <c r="AM37" s="14"/>
      <c r="AO37" s="51"/>
      <c r="AP37" s="45"/>
      <c r="AQ37" s="45"/>
      <c r="AR37" s="45"/>
      <c r="AT37" s="14"/>
      <c r="AU37" s="14"/>
      <c r="AV37" s="14"/>
      <c r="AW37" s="14"/>
    </row>
    <row r="38" spans="1:49" x14ac:dyDescent="0.3">
      <c r="A38" s="90"/>
      <c r="B38" s="45"/>
      <c r="C38" s="45"/>
      <c r="D38" s="45"/>
      <c r="F38" s="71"/>
      <c r="G38" s="45"/>
      <c r="H38" s="45"/>
      <c r="I38" s="45"/>
      <c r="K38" s="53"/>
      <c r="L38" s="45"/>
      <c r="M38" s="45"/>
      <c r="N38" s="45"/>
      <c r="P38" s="67"/>
      <c r="Q38" s="45"/>
      <c r="R38" s="45"/>
      <c r="S38" s="45"/>
      <c r="U38" s="67"/>
      <c r="V38" s="45"/>
      <c r="W38" s="45"/>
      <c r="X38" s="45"/>
      <c r="Z38" s="58"/>
      <c r="AA38" s="45"/>
      <c r="AB38" s="45"/>
      <c r="AC38" s="45"/>
      <c r="AE38" s="14"/>
      <c r="AF38" s="14"/>
      <c r="AG38" s="14"/>
      <c r="AH38" s="14"/>
      <c r="AJ38" s="14"/>
      <c r="AK38" s="14"/>
      <c r="AL38" s="14"/>
      <c r="AM38" s="14"/>
      <c r="AO38" s="51"/>
      <c r="AP38" s="45"/>
      <c r="AQ38" s="45"/>
      <c r="AR38" s="45"/>
      <c r="AT38" s="14"/>
      <c r="AU38" s="14"/>
      <c r="AV38" s="14"/>
      <c r="AW38" s="14"/>
    </row>
    <row r="39" spans="1:49" x14ac:dyDescent="0.3">
      <c r="A39" s="90"/>
      <c r="B39" s="45"/>
      <c r="C39" s="45"/>
      <c r="D39" s="45"/>
      <c r="F39" s="71"/>
      <c r="G39" s="45"/>
      <c r="H39" s="45"/>
      <c r="I39" s="45"/>
      <c r="K39" s="47"/>
      <c r="L39" s="45"/>
      <c r="M39" s="45"/>
      <c r="N39" s="45"/>
      <c r="P39" s="67"/>
      <c r="Q39" s="45"/>
      <c r="R39" s="45"/>
      <c r="S39" s="45"/>
      <c r="U39" s="67"/>
      <c r="V39" s="45"/>
      <c r="W39" s="45"/>
      <c r="X39" s="45"/>
      <c r="Z39" s="58"/>
      <c r="AA39" s="45"/>
      <c r="AB39" s="45"/>
      <c r="AC39" s="45"/>
      <c r="AE39" s="14"/>
      <c r="AF39" s="14"/>
      <c r="AG39" s="14"/>
      <c r="AH39" s="14"/>
      <c r="AJ39" s="14"/>
      <c r="AK39" s="14"/>
      <c r="AL39" s="14"/>
      <c r="AM39" s="14"/>
      <c r="AO39" s="51"/>
      <c r="AP39" s="45"/>
      <c r="AQ39" s="45"/>
      <c r="AR39" s="45"/>
      <c r="AT39" s="14"/>
      <c r="AU39" s="14"/>
      <c r="AV39" s="14"/>
      <c r="AW39" s="14"/>
    </row>
    <row r="40" spans="1:49" x14ac:dyDescent="0.3">
      <c r="A40" s="90"/>
      <c r="B40" s="45"/>
      <c r="C40" s="45"/>
      <c r="D40" s="45"/>
      <c r="F40" s="71"/>
      <c r="G40" s="45"/>
      <c r="H40" s="45"/>
      <c r="I40" s="45"/>
      <c r="K40" s="47"/>
      <c r="L40" s="45"/>
      <c r="M40" s="45"/>
      <c r="N40" s="45"/>
      <c r="P40" s="67"/>
      <c r="Q40" s="45"/>
      <c r="R40" s="45"/>
      <c r="S40" s="45"/>
      <c r="U40" s="67"/>
      <c r="V40" s="45"/>
      <c r="W40" s="45"/>
      <c r="X40" s="45"/>
      <c r="Z40" s="58"/>
      <c r="AA40" s="45"/>
      <c r="AB40" s="45"/>
      <c r="AC40" s="45"/>
      <c r="AE40" s="14"/>
      <c r="AF40" s="14"/>
      <c r="AG40" s="14"/>
      <c r="AH40" s="14"/>
      <c r="AJ40" s="14"/>
      <c r="AK40" s="14"/>
      <c r="AL40" s="14"/>
      <c r="AM40" s="14"/>
      <c r="AO40" s="51"/>
      <c r="AP40" s="45"/>
      <c r="AQ40" s="45"/>
      <c r="AR40" s="45"/>
      <c r="AT40" s="14"/>
      <c r="AU40" s="14"/>
      <c r="AV40" s="14"/>
      <c r="AW40" s="14"/>
    </row>
    <row r="41" spans="1:49" x14ac:dyDescent="0.3">
      <c r="A41" s="90"/>
      <c r="B41" s="45"/>
      <c r="C41" s="45"/>
      <c r="D41" s="45"/>
      <c r="F41" s="71"/>
      <c r="G41" s="45"/>
      <c r="H41" s="45"/>
      <c r="I41" s="45"/>
      <c r="K41" s="47"/>
      <c r="L41" s="45"/>
      <c r="M41" s="45"/>
      <c r="N41" s="45"/>
      <c r="P41" s="67"/>
      <c r="Q41" s="45"/>
      <c r="R41" s="45"/>
      <c r="S41" s="45"/>
      <c r="U41" s="67"/>
      <c r="V41" s="45"/>
      <c r="W41" s="45"/>
      <c r="X41" s="45"/>
      <c r="Z41" s="58"/>
      <c r="AA41" s="45"/>
      <c r="AB41" s="45"/>
      <c r="AC41" s="45"/>
      <c r="AE41" s="14"/>
      <c r="AF41" s="14"/>
      <c r="AG41" s="14"/>
      <c r="AH41" s="14"/>
      <c r="AJ41" s="14"/>
      <c r="AK41" s="14"/>
      <c r="AL41" s="14"/>
      <c r="AM41" s="14"/>
      <c r="AO41" s="51"/>
      <c r="AP41" s="45"/>
      <c r="AQ41" s="45"/>
      <c r="AR41" s="45"/>
      <c r="AT41" s="14"/>
      <c r="AU41" s="14"/>
      <c r="AV41" s="14"/>
      <c r="AW41" s="14"/>
    </row>
    <row r="42" spans="1:49" x14ac:dyDescent="0.3">
      <c r="A42" s="90"/>
      <c r="B42" s="45"/>
      <c r="C42" s="45"/>
      <c r="D42" s="45"/>
      <c r="F42" s="71"/>
      <c r="G42" s="45"/>
      <c r="H42" s="45"/>
      <c r="I42" s="45"/>
      <c r="K42" s="47"/>
      <c r="L42" s="45"/>
      <c r="M42" s="45"/>
      <c r="N42" s="45"/>
      <c r="P42" s="67"/>
      <c r="Q42" s="45"/>
      <c r="R42" s="45"/>
      <c r="S42" s="45"/>
      <c r="U42" s="67"/>
      <c r="V42" s="45"/>
      <c r="W42" s="45"/>
      <c r="X42" s="45"/>
      <c r="Z42" s="58"/>
      <c r="AA42" s="45"/>
      <c r="AB42" s="45"/>
      <c r="AC42" s="45"/>
      <c r="AE42" s="14"/>
      <c r="AF42" s="14"/>
      <c r="AG42" s="14"/>
      <c r="AH42" s="14"/>
      <c r="AJ42" s="14"/>
      <c r="AK42" s="14"/>
      <c r="AL42" s="14"/>
      <c r="AM42" s="14"/>
      <c r="AO42" s="51"/>
      <c r="AP42" s="45"/>
      <c r="AQ42" s="45"/>
      <c r="AR42" s="45"/>
      <c r="AT42" s="14"/>
      <c r="AU42" s="14"/>
      <c r="AV42" s="14"/>
      <c r="AW42" s="14"/>
    </row>
    <row r="43" spans="1:49" x14ac:dyDescent="0.3">
      <c r="A43" s="90"/>
      <c r="B43" s="45"/>
      <c r="C43" s="45"/>
      <c r="D43" s="45"/>
      <c r="F43" s="14"/>
      <c r="G43" s="14"/>
      <c r="H43" s="14"/>
      <c r="I43" s="14"/>
      <c r="K43" s="14"/>
      <c r="L43" s="14"/>
      <c r="M43" s="14"/>
      <c r="N43" s="14"/>
      <c r="P43" s="67"/>
      <c r="Q43" s="45"/>
      <c r="R43" s="45"/>
      <c r="S43" s="45"/>
      <c r="U43" s="58"/>
      <c r="V43" s="45"/>
      <c r="W43" s="45"/>
      <c r="X43" s="45"/>
      <c r="Z43" s="14"/>
      <c r="AA43" s="14"/>
      <c r="AB43" s="14"/>
      <c r="AC43" s="14"/>
      <c r="AE43" s="14"/>
      <c r="AF43" s="14"/>
      <c r="AG43" s="14"/>
      <c r="AH43" s="14"/>
      <c r="AJ43" s="14"/>
      <c r="AK43" s="14"/>
      <c r="AL43" s="14"/>
      <c r="AM43" s="14"/>
      <c r="AO43" s="51"/>
      <c r="AP43" s="45"/>
      <c r="AQ43" s="45"/>
      <c r="AR43" s="45"/>
      <c r="AT43" s="14"/>
      <c r="AU43" s="14"/>
      <c r="AV43" s="14"/>
      <c r="AW43" s="14"/>
    </row>
    <row r="44" spans="1:49" x14ac:dyDescent="0.3">
      <c r="A44" s="90"/>
      <c r="B44" s="45"/>
      <c r="C44" s="45"/>
      <c r="D44" s="45"/>
      <c r="F44" s="14"/>
      <c r="G44" s="14"/>
      <c r="H44" s="14"/>
      <c r="I44" s="14"/>
      <c r="K44" s="14"/>
      <c r="L44" s="14"/>
      <c r="M44" s="14"/>
      <c r="N44" s="14"/>
      <c r="P44" s="14"/>
      <c r="Q44" s="14"/>
      <c r="R44" s="14"/>
      <c r="S44" s="14"/>
      <c r="U44" s="14"/>
      <c r="V44" s="14"/>
      <c r="W44" s="14"/>
      <c r="X44" s="14"/>
      <c r="Z44" s="14"/>
      <c r="AA44" s="14"/>
      <c r="AB44" s="14"/>
      <c r="AC44" s="14"/>
      <c r="AE44" s="14"/>
      <c r="AF44" s="14"/>
      <c r="AG44" s="14"/>
      <c r="AH44" s="14"/>
      <c r="AJ44" s="14"/>
      <c r="AK44" s="14"/>
      <c r="AL44" s="14"/>
      <c r="AM44" s="14"/>
      <c r="AO44" s="14"/>
      <c r="AP44" s="14"/>
      <c r="AQ44" s="14"/>
      <c r="AR44" s="14"/>
      <c r="AT44" s="14"/>
      <c r="AU44" s="14"/>
      <c r="AV44" s="14"/>
      <c r="AW44" s="14"/>
    </row>
    <row r="45" spans="1:49" x14ac:dyDescent="0.3">
      <c r="A45" s="77"/>
      <c r="B45" s="45"/>
      <c r="C45" s="45"/>
      <c r="D45" s="45"/>
      <c r="F45" s="14"/>
      <c r="G45" s="14"/>
      <c r="H45" s="14"/>
      <c r="I45" s="14"/>
      <c r="K45" s="14"/>
      <c r="L45" s="14"/>
      <c r="M45" s="14"/>
      <c r="N45" s="14"/>
      <c r="P45" s="14"/>
      <c r="Q45" s="14"/>
      <c r="R45" s="14"/>
      <c r="S45" s="14"/>
      <c r="U45" s="14"/>
      <c r="V45" s="14"/>
      <c r="W45" s="14"/>
      <c r="X45" s="14"/>
      <c r="Z45" s="14"/>
      <c r="AA45" s="14"/>
      <c r="AB45" s="14"/>
      <c r="AC45" s="14"/>
      <c r="AE45" s="14"/>
      <c r="AF45" s="14"/>
      <c r="AG45" s="14"/>
      <c r="AH45" s="14"/>
      <c r="AJ45" s="14"/>
      <c r="AK45" s="14"/>
      <c r="AL45" s="14"/>
      <c r="AM45" s="14"/>
      <c r="AO45" s="14"/>
      <c r="AP45" s="14"/>
      <c r="AQ45" s="14"/>
      <c r="AR45" s="14"/>
      <c r="AT45" s="14"/>
      <c r="AU45" s="14"/>
      <c r="AV45" s="14"/>
      <c r="AW45" s="14"/>
    </row>
    <row r="46" spans="1:49" x14ac:dyDescent="0.3">
      <c r="A46" s="73"/>
      <c r="B46" s="45"/>
      <c r="C46" s="45"/>
      <c r="D46" s="45"/>
      <c r="F46" s="14"/>
      <c r="G46" s="14"/>
      <c r="H46" s="14"/>
      <c r="I46" s="14"/>
      <c r="K46" s="14"/>
      <c r="L46" s="14"/>
      <c r="M46" s="14"/>
      <c r="N46" s="14"/>
      <c r="P46" s="14"/>
      <c r="Q46" s="14"/>
      <c r="R46" s="14"/>
      <c r="S46" s="14"/>
      <c r="U46" s="14"/>
      <c r="V46" s="14"/>
      <c r="W46" s="14"/>
      <c r="X46" s="14"/>
      <c r="Z46" s="14"/>
      <c r="AA46" s="14"/>
      <c r="AB46" s="14"/>
      <c r="AC46" s="14"/>
      <c r="AE46" s="14"/>
      <c r="AF46" s="14"/>
      <c r="AG46" s="14"/>
      <c r="AH46" s="14"/>
      <c r="AJ46" s="14"/>
      <c r="AK46" s="14"/>
      <c r="AL46" s="14"/>
      <c r="AM46" s="14"/>
      <c r="AO46" s="14"/>
      <c r="AP46" s="14"/>
      <c r="AQ46" s="14"/>
      <c r="AR46" s="14"/>
      <c r="AT46" s="14"/>
      <c r="AU46" s="14"/>
      <c r="AV46" s="14"/>
      <c r="AW46" s="14"/>
    </row>
    <row r="47" spans="1:49" x14ac:dyDescent="0.3">
      <c r="A47" s="73"/>
      <c r="B47" s="45"/>
      <c r="C47" s="45"/>
      <c r="D47" s="45"/>
      <c r="F47" s="14"/>
      <c r="G47" s="14"/>
      <c r="H47" s="14"/>
      <c r="I47" s="14"/>
      <c r="K47" s="14"/>
      <c r="L47" s="14"/>
      <c r="M47" s="14"/>
      <c r="N47" s="14"/>
      <c r="P47" s="14"/>
      <c r="Q47" s="14"/>
      <c r="R47" s="14"/>
      <c r="S47" s="14"/>
      <c r="U47" s="14"/>
      <c r="V47" s="14"/>
      <c r="W47" s="14"/>
      <c r="X47" s="14"/>
      <c r="Z47" s="14"/>
      <c r="AA47" s="14"/>
      <c r="AB47" s="14"/>
      <c r="AC47" s="14"/>
      <c r="AE47" s="14"/>
      <c r="AF47" s="14"/>
      <c r="AG47" s="14"/>
      <c r="AH47" s="14"/>
      <c r="AJ47" s="14"/>
      <c r="AK47" s="14"/>
      <c r="AL47" s="14"/>
      <c r="AM47" s="14"/>
      <c r="AO47" s="14"/>
      <c r="AP47" s="14"/>
      <c r="AQ47" s="14"/>
      <c r="AR47" s="14"/>
      <c r="AT47" s="14"/>
      <c r="AU47" s="14"/>
      <c r="AV47" s="14"/>
      <c r="AW47" s="14"/>
    </row>
    <row r="48" spans="1:49" x14ac:dyDescent="0.3">
      <c r="A48" s="73"/>
      <c r="B48" s="45"/>
      <c r="C48" s="45"/>
      <c r="D48" s="45"/>
      <c r="F48" s="14"/>
      <c r="G48" s="14"/>
      <c r="H48" s="14"/>
      <c r="I48" s="14"/>
      <c r="K48" s="14"/>
      <c r="L48" s="14"/>
      <c r="M48" s="14"/>
      <c r="N48" s="14"/>
      <c r="P48" s="14"/>
      <c r="Q48" s="14"/>
      <c r="R48" s="14"/>
      <c r="S48" s="14"/>
      <c r="U48" s="14"/>
      <c r="V48" s="14"/>
      <c r="W48" s="14"/>
      <c r="X48" s="14"/>
      <c r="Z48" s="14"/>
      <c r="AA48" s="14"/>
      <c r="AB48" s="14"/>
      <c r="AC48" s="14"/>
      <c r="AE48" s="14"/>
      <c r="AF48" s="14"/>
      <c r="AG48" s="14"/>
      <c r="AH48" s="14"/>
      <c r="AJ48" s="14"/>
      <c r="AK48" s="14"/>
      <c r="AL48" s="14"/>
      <c r="AM48" s="14"/>
      <c r="AO48" s="14"/>
      <c r="AP48" s="14"/>
      <c r="AQ48" s="14"/>
      <c r="AR48" s="14"/>
      <c r="AT48" s="14"/>
      <c r="AU48" s="14"/>
      <c r="AV48" s="14"/>
      <c r="AW48" s="14"/>
    </row>
    <row r="49" spans="1:49" x14ac:dyDescent="0.3">
      <c r="A49" s="73"/>
      <c r="B49" s="45"/>
      <c r="C49" s="45"/>
      <c r="D49" s="45"/>
      <c r="F49" s="14"/>
      <c r="G49" s="14"/>
      <c r="H49" s="14"/>
      <c r="I49" s="14"/>
      <c r="K49" s="14"/>
      <c r="L49" s="14"/>
      <c r="M49" s="14"/>
      <c r="N49" s="14"/>
      <c r="P49" s="14"/>
      <c r="Q49" s="14"/>
      <c r="R49" s="14"/>
      <c r="S49" s="14"/>
      <c r="U49" s="14"/>
      <c r="V49" s="14"/>
      <c r="W49" s="14"/>
      <c r="X49" s="14"/>
      <c r="Z49" s="14"/>
      <c r="AA49" s="14"/>
      <c r="AB49" s="14"/>
      <c r="AC49" s="14"/>
      <c r="AE49" s="14"/>
      <c r="AF49" s="14"/>
      <c r="AG49" s="14"/>
      <c r="AH49" s="14"/>
      <c r="AJ49" s="14"/>
      <c r="AK49" s="14"/>
      <c r="AL49" s="14"/>
      <c r="AM49" s="14"/>
      <c r="AO49" s="14"/>
      <c r="AP49" s="14"/>
      <c r="AQ49" s="14"/>
      <c r="AR49" s="14"/>
      <c r="AT49" s="14"/>
      <c r="AU49" s="14"/>
      <c r="AV49" s="14"/>
      <c r="AW49" s="14"/>
    </row>
    <row r="50" spans="1:49" x14ac:dyDescent="0.3">
      <c r="A50" s="73"/>
      <c r="B50" s="45"/>
      <c r="C50" s="45"/>
      <c r="D50" s="45"/>
      <c r="F50" s="14"/>
      <c r="G50" s="14"/>
      <c r="H50" s="14"/>
      <c r="I50" s="14"/>
      <c r="K50" s="14"/>
      <c r="L50" s="14"/>
      <c r="M50" s="14"/>
      <c r="N50" s="14"/>
      <c r="P50" s="14"/>
      <c r="Q50" s="14"/>
      <c r="R50" s="14"/>
      <c r="S50" s="14"/>
      <c r="U50" s="14"/>
      <c r="V50" s="14"/>
      <c r="W50" s="14"/>
      <c r="X50" s="14"/>
      <c r="Z50" s="14"/>
      <c r="AA50" s="14"/>
      <c r="AB50" s="14"/>
      <c r="AC50" s="14"/>
      <c r="AE50" s="14"/>
      <c r="AF50" s="14"/>
      <c r="AG50" s="14"/>
      <c r="AH50" s="14"/>
      <c r="AJ50" s="14"/>
      <c r="AK50" s="14"/>
      <c r="AL50" s="14"/>
      <c r="AM50" s="14"/>
      <c r="AO50" s="14"/>
      <c r="AP50" s="14"/>
      <c r="AQ50" s="14"/>
      <c r="AR50" s="14"/>
      <c r="AT50" s="14"/>
      <c r="AU50" s="14"/>
      <c r="AV50" s="14"/>
      <c r="AW50" s="14"/>
    </row>
    <row r="51" spans="1:49" x14ac:dyDescent="0.3">
      <c r="A51" s="74"/>
      <c r="B51" s="75"/>
      <c r="C51" s="75"/>
      <c r="D51" s="75"/>
    </row>
    <row r="52" spans="1:49" x14ac:dyDescent="0.3">
      <c r="A52" s="74"/>
      <c r="B52" s="75"/>
      <c r="C52" s="75"/>
      <c r="D52" s="75"/>
    </row>
    <row r="53" spans="1:49" x14ac:dyDescent="0.3">
      <c r="A53" s="74"/>
      <c r="B53" s="75"/>
      <c r="C53" s="75"/>
      <c r="D53" s="75"/>
    </row>
    <row r="54" spans="1:49" x14ac:dyDescent="0.3">
      <c r="A54" s="74"/>
      <c r="B54" s="75"/>
      <c r="C54" s="75"/>
      <c r="D54" s="75"/>
    </row>
    <row r="55" spans="1:49" x14ac:dyDescent="0.3">
      <c r="A55" s="74"/>
      <c r="B55" s="75"/>
      <c r="C55" s="75"/>
      <c r="D55" s="75"/>
    </row>
    <row r="56" spans="1:49" x14ac:dyDescent="0.3">
      <c r="A56" s="74"/>
      <c r="B56" s="75"/>
      <c r="C56" s="75"/>
      <c r="D56" s="75"/>
    </row>
    <row r="57" spans="1:49" x14ac:dyDescent="0.3">
      <c r="A57" s="74"/>
      <c r="B57" s="75"/>
      <c r="C57" s="75"/>
      <c r="D57" s="75"/>
    </row>
    <row r="58" spans="1:49" x14ac:dyDescent="0.3">
      <c r="A58" s="74"/>
      <c r="B58" s="75"/>
      <c r="C58" s="75"/>
      <c r="D58" s="75"/>
    </row>
    <row r="59" spans="1:49" x14ac:dyDescent="0.3">
      <c r="A59" s="74"/>
      <c r="B59" s="75"/>
      <c r="C59" s="75"/>
      <c r="D59" s="75"/>
    </row>
    <row r="60" spans="1:49" x14ac:dyDescent="0.3">
      <c r="A60" s="74"/>
      <c r="B60" s="75"/>
      <c r="C60" s="75"/>
      <c r="D60" s="75"/>
    </row>
    <row r="61" spans="1:49" x14ac:dyDescent="0.3">
      <c r="A61" s="74"/>
      <c r="B61" s="75"/>
      <c r="C61" s="75"/>
      <c r="D61" s="75"/>
    </row>
    <row r="62" spans="1:49" x14ac:dyDescent="0.3">
      <c r="A62" s="74"/>
      <c r="B62" s="75"/>
      <c r="C62" s="75"/>
      <c r="D62" s="75"/>
    </row>
    <row r="63" spans="1:49" x14ac:dyDescent="0.3">
      <c r="A63" s="74"/>
      <c r="B63" s="75"/>
      <c r="C63" s="75"/>
      <c r="D63" s="75"/>
    </row>
    <row r="64" spans="1:49" x14ac:dyDescent="0.3">
      <c r="A64" s="74"/>
      <c r="B64" s="75"/>
      <c r="C64" s="75"/>
      <c r="D64" s="75"/>
    </row>
    <row r="65" spans="1:4" x14ac:dyDescent="0.3">
      <c r="A65" s="74"/>
      <c r="B65" s="75"/>
      <c r="C65" s="75"/>
      <c r="D65" s="75"/>
    </row>
    <row r="66" spans="1:4" x14ac:dyDescent="0.3">
      <c r="A66" s="74"/>
      <c r="B66" s="75"/>
      <c r="C66" s="75"/>
      <c r="D66" s="75"/>
    </row>
    <row r="67" spans="1:4" x14ac:dyDescent="0.3">
      <c r="A67" s="74"/>
      <c r="B67" s="75"/>
      <c r="C67" s="75"/>
      <c r="D67" s="75"/>
    </row>
    <row r="68" spans="1:4" x14ac:dyDescent="0.3">
      <c r="A68" s="74"/>
      <c r="B68" s="75"/>
      <c r="C68" s="75"/>
      <c r="D68" s="75"/>
    </row>
    <row r="69" spans="1:4" x14ac:dyDescent="0.3">
      <c r="A69" s="74"/>
      <c r="B69" s="75"/>
      <c r="C69" s="75"/>
      <c r="D69" s="75"/>
    </row>
    <row r="70" spans="1:4" x14ac:dyDescent="0.3">
      <c r="A70" s="74"/>
      <c r="B70" s="75"/>
      <c r="C70" s="75"/>
      <c r="D70" s="75"/>
    </row>
    <row r="71" spans="1:4" x14ac:dyDescent="0.3">
      <c r="A71" s="74"/>
      <c r="B71" s="75"/>
      <c r="C71" s="75"/>
      <c r="D71" s="75"/>
    </row>
    <row r="72" spans="1:4" x14ac:dyDescent="0.3">
      <c r="A72" s="74"/>
      <c r="B72" s="75"/>
      <c r="C72" s="75"/>
      <c r="D72" s="75"/>
    </row>
    <row r="73" spans="1:4" x14ac:dyDescent="0.3">
      <c r="A73" s="74"/>
      <c r="B73" s="75"/>
      <c r="C73" s="75"/>
      <c r="D73" s="75"/>
    </row>
    <row r="74" spans="1:4" x14ac:dyDescent="0.3">
      <c r="A74" s="74"/>
      <c r="B74" s="75"/>
      <c r="C74" s="75"/>
      <c r="D74" s="75"/>
    </row>
    <row r="75" spans="1:4" x14ac:dyDescent="0.3">
      <c r="A75" s="74"/>
      <c r="B75" s="75"/>
      <c r="C75" s="75"/>
      <c r="D75" s="75"/>
    </row>
    <row r="76" spans="1:4" x14ac:dyDescent="0.3">
      <c r="A76" s="74"/>
      <c r="B76" s="75"/>
      <c r="C76" s="75"/>
      <c r="D76" s="75"/>
    </row>
    <row r="77" spans="1:4" x14ac:dyDescent="0.3">
      <c r="A77" s="74"/>
      <c r="B77" s="75"/>
      <c r="C77" s="75"/>
      <c r="D77" s="75"/>
    </row>
    <row r="78" spans="1:4" x14ac:dyDescent="0.3">
      <c r="A78" s="74"/>
      <c r="B78" s="75"/>
      <c r="C78" s="75"/>
      <c r="D78" s="75"/>
    </row>
    <row r="79" spans="1:4" x14ac:dyDescent="0.3">
      <c r="A79" s="74"/>
      <c r="B79" s="75"/>
      <c r="C79" s="75"/>
      <c r="D79" s="75"/>
    </row>
    <row r="80" spans="1:4" x14ac:dyDescent="0.3">
      <c r="A80" s="74"/>
      <c r="B80" s="75"/>
      <c r="C80" s="75"/>
      <c r="D80" s="75"/>
    </row>
    <row r="81" spans="1:4" x14ac:dyDescent="0.3">
      <c r="A81" s="74"/>
      <c r="B81" s="75"/>
      <c r="C81" s="75"/>
      <c r="D81" s="75"/>
    </row>
    <row r="82" spans="1:4" x14ac:dyDescent="0.3">
      <c r="A82" s="74"/>
      <c r="B82" s="75"/>
      <c r="C82" s="75"/>
      <c r="D82" s="75"/>
    </row>
    <row r="83" spans="1:4" x14ac:dyDescent="0.3">
      <c r="A83" s="74"/>
      <c r="B83" s="75"/>
      <c r="C83" s="75"/>
      <c r="D83" s="75"/>
    </row>
    <row r="84" spans="1:4" x14ac:dyDescent="0.3">
      <c r="A84" s="74"/>
      <c r="B84" s="75"/>
      <c r="C84" s="75"/>
      <c r="D84" s="75"/>
    </row>
    <row r="85" spans="1:4" x14ac:dyDescent="0.3">
      <c r="A85" s="74"/>
      <c r="B85" s="75"/>
      <c r="C85" s="75"/>
      <c r="D85" s="75"/>
    </row>
    <row r="86" spans="1:4" x14ac:dyDescent="0.3">
      <c r="A86" s="74"/>
      <c r="B86" s="75"/>
      <c r="C86" s="75"/>
      <c r="D86" s="75"/>
    </row>
    <row r="87" spans="1:4" x14ac:dyDescent="0.3">
      <c r="A87" s="74"/>
      <c r="B87" s="75"/>
      <c r="C87" s="75"/>
      <c r="D87" s="75"/>
    </row>
    <row r="88" spans="1:4" x14ac:dyDescent="0.3">
      <c r="A88" s="74"/>
      <c r="B88" s="75"/>
      <c r="C88" s="75"/>
      <c r="D88" s="75"/>
    </row>
    <row r="89" spans="1:4" x14ac:dyDescent="0.3">
      <c r="A89" s="74"/>
      <c r="B89" s="75"/>
      <c r="C89" s="75"/>
      <c r="D89" s="75"/>
    </row>
    <row r="90" spans="1:4" x14ac:dyDescent="0.3">
      <c r="A90" s="74"/>
      <c r="B90" s="75"/>
      <c r="C90" s="75"/>
      <c r="D90" s="75"/>
    </row>
    <row r="91" spans="1:4" x14ac:dyDescent="0.3">
      <c r="A91" s="74"/>
      <c r="B91" s="75"/>
      <c r="C91" s="75"/>
      <c r="D91" s="75"/>
    </row>
    <row r="92" spans="1:4" x14ac:dyDescent="0.3">
      <c r="A92" s="74"/>
      <c r="B92" s="75"/>
      <c r="C92" s="75"/>
      <c r="D92" s="75"/>
    </row>
    <row r="93" spans="1:4" x14ac:dyDescent="0.3">
      <c r="A93" s="74"/>
      <c r="B93" s="75"/>
      <c r="C93" s="75"/>
      <c r="D93" s="75"/>
    </row>
    <row r="94" spans="1:4" x14ac:dyDescent="0.3">
      <c r="A94" s="74"/>
      <c r="B94" s="75"/>
      <c r="C94" s="75"/>
      <c r="D94" s="75"/>
    </row>
    <row r="95" spans="1:4" x14ac:dyDescent="0.3">
      <c r="A95" s="74"/>
      <c r="B95" s="75"/>
      <c r="C95" s="75"/>
      <c r="D95" s="75"/>
    </row>
    <row r="96" spans="1:4" x14ac:dyDescent="0.3">
      <c r="A96" s="74"/>
      <c r="B96" s="75"/>
      <c r="C96" s="75"/>
      <c r="D96" s="75"/>
    </row>
    <row r="97" spans="1:4" x14ac:dyDescent="0.3">
      <c r="A97" s="74"/>
      <c r="B97" s="75"/>
      <c r="C97" s="75"/>
      <c r="D97" s="75"/>
    </row>
    <row r="98" spans="1:4" x14ac:dyDescent="0.3">
      <c r="A98" s="74"/>
      <c r="B98" s="75"/>
      <c r="C98" s="75"/>
      <c r="D98" s="75"/>
    </row>
    <row r="99" spans="1:4" x14ac:dyDescent="0.3">
      <c r="A99" s="74"/>
      <c r="B99" s="75"/>
      <c r="C99" s="75"/>
      <c r="D99" s="75"/>
    </row>
  </sheetData>
  <mergeCells count="1">
    <mergeCell ref="A1:XFD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21"/>
  <sheetViews>
    <sheetView showGridLines="0" topLeftCell="A3" zoomScale="88" zoomScaleNormal="100" workbookViewId="0">
      <selection activeCell="E27" sqref="E27"/>
    </sheetView>
  </sheetViews>
  <sheetFormatPr defaultColWidth="8.88671875" defaultRowHeight="14.4" x14ac:dyDescent="0.3"/>
  <cols>
    <col min="1" max="1" width="13.21875" style="66" customWidth="1"/>
    <col min="2" max="2" width="9.77734375" style="48" customWidth="1"/>
    <col min="3" max="3" width="10.44140625" style="49" bestFit="1" customWidth="1"/>
    <col min="4" max="4" width="13.21875" style="66" customWidth="1"/>
    <col min="5" max="5" width="9.77734375" style="48" customWidth="1"/>
    <col min="6" max="6" width="8.88671875" style="49"/>
    <col min="7" max="7" width="13.21875" style="66" customWidth="1"/>
    <col min="8" max="8" width="9.77734375" style="48" customWidth="1"/>
    <col min="9" max="9" width="8.88671875" style="49"/>
    <col min="10" max="10" width="13.33203125" style="66" customWidth="1"/>
    <col min="11" max="11" width="9.6640625" style="48" customWidth="1"/>
    <col min="12" max="12" width="8.88671875" style="49"/>
    <col min="13" max="13" width="14.5546875" style="66" customWidth="1"/>
    <col min="14" max="14" width="9.6640625" style="48" customWidth="1"/>
    <col min="15" max="15" width="14.33203125" style="49" bestFit="1" customWidth="1"/>
    <col min="16" max="16" width="13.33203125" style="62" bestFit="1" customWidth="1"/>
    <col min="17" max="17" width="7.33203125" style="48" bestFit="1" customWidth="1"/>
    <col min="18" max="18" width="8.88671875" style="49"/>
    <col min="19" max="19" width="9.44140625" style="49" customWidth="1"/>
    <col min="20" max="20" width="10.44140625" style="49" bestFit="1" customWidth="1"/>
    <col min="21" max="16384" width="8.88671875" style="49"/>
  </cols>
  <sheetData>
    <row r="1" spans="1:26" s="137" customFormat="1" ht="39" hidden="1" customHeight="1" x14ac:dyDescent="0.3"/>
    <row r="2" spans="1:26" s="137" customFormat="1" ht="120" hidden="1" customHeight="1" x14ac:dyDescent="0.3"/>
    <row r="3" spans="1:26" x14ac:dyDescent="0.3">
      <c r="A3" s="63"/>
      <c r="B3" s="50"/>
      <c r="D3" s="63"/>
      <c r="E3" s="50"/>
      <c r="G3" s="63"/>
      <c r="H3" s="50"/>
      <c r="J3" s="63"/>
      <c r="K3" s="50"/>
      <c r="M3" s="63"/>
      <c r="N3" s="50"/>
      <c r="P3" s="59"/>
      <c r="Q3" s="50"/>
      <c r="S3" s="55"/>
      <c r="T3" s="50"/>
      <c r="V3" s="55"/>
      <c r="W3" s="50"/>
      <c r="Y3" s="55"/>
      <c r="Z3" s="50"/>
    </row>
    <row r="4" spans="1:26" x14ac:dyDescent="0.3">
      <c r="A4" s="64"/>
      <c r="B4" s="50"/>
      <c r="D4" s="64"/>
      <c r="E4" s="50"/>
      <c r="G4" s="64"/>
      <c r="H4" s="50"/>
      <c r="J4" s="64"/>
      <c r="K4" s="50"/>
      <c r="M4" s="64"/>
      <c r="N4" s="50"/>
      <c r="P4" s="60"/>
      <c r="Q4" s="50"/>
      <c r="S4" s="54"/>
      <c r="T4" s="50"/>
      <c r="V4" s="54"/>
      <c r="W4" s="50"/>
      <c r="Y4" s="54"/>
      <c r="Z4" s="50"/>
    </row>
    <row r="5" spans="1:26" x14ac:dyDescent="0.3">
      <c r="A5" s="64"/>
      <c r="B5" s="50"/>
      <c r="D5" s="64"/>
      <c r="E5" s="50"/>
      <c r="G5" s="64"/>
      <c r="H5" s="50"/>
      <c r="J5" s="64"/>
      <c r="K5" s="50"/>
      <c r="M5" s="64"/>
      <c r="N5" s="50"/>
      <c r="P5" s="60"/>
      <c r="Q5" s="50"/>
      <c r="S5" s="54"/>
      <c r="T5" s="50"/>
      <c r="V5" s="54"/>
      <c r="W5" s="50"/>
      <c r="Y5" s="54"/>
      <c r="Z5" s="50"/>
    </row>
    <row r="6" spans="1:26" x14ac:dyDescent="0.3">
      <c r="A6" s="91"/>
      <c r="B6" s="57"/>
      <c r="D6" s="91"/>
      <c r="E6" s="57"/>
      <c r="G6" s="91"/>
      <c r="H6" s="57"/>
      <c r="J6" s="69"/>
      <c r="K6" s="57"/>
      <c r="M6" s="68"/>
      <c r="N6" s="57"/>
      <c r="P6" s="61"/>
      <c r="Q6" s="57"/>
      <c r="S6" s="56"/>
      <c r="T6" s="57"/>
      <c r="V6" s="56"/>
      <c r="W6" s="57"/>
      <c r="Y6" s="56"/>
      <c r="Z6" s="57"/>
    </row>
    <row r="7" spans="1:26" x14ac:dyDescent="0.3">
      <c r="A7" s="91"/>
      <c r="B7" s="57"/>
      <c r="D7" s="72"/>
      <c r="E7" s="57"/>
      <c r="G7" s="69"/>
      <c r="H7" s="57"/>
      <c r="J7" s="69"/>
      <c r="K7" s="57"/>
      <c r="M7" s="68"/>
      <c r="N7" s="57"/>
      <c r="P7" s="61"/>
      <c r="Q7" s="57"/>
      <c r="S7" s="56"/>
      <c r="T7" s="57"/>
      <c r="V7" s="56"/>
      <c r="W7" s="57"/>
      <c r="Y7" s="56"/>
      <c r="Z7" s="57"/>
    </row>
    <row r="8" spans="1:26" x14ac:dyDescent="0.3">
      <c r="A8" s="91"/>
      <c r="B8" s="57"/>
      <c r="D8" s="72"/>
      <c r="E8" s="57"/>
      <c r="G8" s="69"/>
      <c r="H8" s="57"/>
      <c r="J8" s="70"/>
      <c r="K8" s="57"/>
      <c r="M8" s="68"/>
      <c r="N8" s="57"/>
      <c r="P8" s="61"/>
      <c r="Q8" s="57"/>
      <c r="S8" s="56"/>
      <c r="T8" s="57"/>
      <c r="V8" s="56"/>
      <c r="W8" s="57"/>
      <c r="Y8" s="56"/>
      <c r="Z8" s="57"/>
    </row>
    <row r="9" spans="1:26" x14ac:dyDescent="0.3">
      <c r="A9" s="91"/>
      <c r="B9" s="57"/>
      <c r="D9" s="72"/>
      <c r="E9" s="57"/>
      <c r="G9" s="69"/>
      <c r="H9" s="57"/>
      <c r="J9" s="70"/>
      <c r="K9" s="57"/>
      <c r="M9" s="68"/>
      <c r="N9" s="57"/>
      <c r="P9" s="61"/>
      <c r="Q9" s="57"/>
      <c r="S9" s="56"/>
      <c r="T9" s="57"/>
      <c r="V9" s="56"/>
      <c r="W9" s="57"/>
      <c r="Y9" s="56"/>
      <c r="Z9" s="57"/>
    </row>
    <row r="10" spans="1:26" x14ac:dyDescent="0.3">
      <c r="A10" s="78"/>
      <c r="B10" s="57"/>
      <c r="D10" s="69"/>
      <c r="E10" s="57"/>
      <c r="G10" s="69"/>
      <c r="H10" s="57"/>
      <c r="J10" s="68"/>
      <c r="K10" s="57"/>
      <c r="M10" s="68"/>
      <c r="N10" s="57"/>
      <c r="P10" s="61"/>
      <c r="Q10" s="57"/>
      <c r="S10" s="56"/>
      <c r="T10" s="57"/>
      <c r="V10" s="56"/>
      <c r="W10" s="57"/>
      <c r="Y10" s="56"/>
      <c r="Z10" s="57"/>
    </row>
    <row r="11" spans="1:26" x14ac:dyDescent="0.3">
      <c r="A11" s="78"/>
      <c r="B11" s="57"/>
      <c r="D11" s="69"/>
      <c r="E11" s="57"/>
      <c r="G11" s="69"/>
      <c r="H11" s="57"/>
      <c r="J11" s="68"/>
      <c r="K11" s="57"/>
      <c r="M11" s="68"/>
      <c r="N11" s="57"/>
      <c r="P11" s="61"/>
      <c r="Q11" s="57"/>
      <c r="S11" s="56"/>
      <c r="T11" s="57"/>
      <c r="V11" s="56"/>
      <c r="W11" s="57"/>
      <c r="Y11" s="56"/>
      <c r="Z11" s="57"/>
    </row>
    <row r="12" spans="1:26" x14ac:dyDescent="0.3">
      <c r="A12" s="78"/>
      <c r="B12" s="57"/>
      <c r="D12" s="69"/>
      <c r="E12" s="57"/>
      <c r="G12" s="69"/>
      <c r="H12" s="57"/>
      <c r="J12" s="68"/>
      <c r="K12" s="57"/>
      <c r="M12" s="68"/>
      <c r="N12" s="57"/>
      <c r="P12" s="61"/>
      <c r="Q12" s="57"/>
      <c r="S12" s="56"/>
      <c r="T12" s="57"/>
      <c r="V12" s="56"/>
      <c r="W12" s="57"/>
      <c r="Y12" s="56"/>
      <c r="Z12" s="57"/>
    </row>
    <row r="13" spans="1:26" x14ac:dyDescent="0.3">
      <c r="A13" s="78"/>
      <c r="B13" s="57"/>
      <c r="D13" s="69"/>
      <c r="E13" s="57"/>
      <c r="G13" s="69"/>
      <c r="H13" s="57"/>
      <c r="J13" s="68"/>
      <c r="K13" s="57"/>
      <c r="M13" s="68"/>
      <c r="N13" s="57"/>
      <c r="P13" s="61"/>
      <c r="Q13" s="57"/>
      <c r="S13" s="56"/>
      <c r="T13" s="57"/>
      <c r="V13" s="56"/>
      <c r="W13" s="57"/>
      <c r="Y13" s="56"/>
      <c r="Z13" s="57"/>
    </row>
    <row r="14" spans="1:26" x14ac:dyDescent="0.3">
      <c r="A14" s="78"/>
      <c r="B14" s="57"/>
      <c r="D14" s="68"/>
      <c r="E14" s="57"/>
      <c r="G14" s="68"/>
      <c r="H14" s="57"/>
      <c r="J14" s="65"/>
      <c r="K14" s="57"/>
      <c r="M14" s="65"/>
      <c r="N14" s="57"/>
      <c r="P14" s="61"/>
      <c r="Q14" s="57"/>
      <c r="S14" s="56"/>
      <c r="T14" s="57"/>
      <c r="V14" s="56"/>
      <c r="W14" s="57"/>
      <c r="Y14" s="56"/>
      <c r="Z14" s="57"/>
    </row>
    <row r="15" spans="1:26" x14ac:dyDescent="0.3">
      <c r="A15" s="78"/>
      <c r="B15" s="57"/>
      <c r="D15" s="68"/>
      <c r="E15" s="57"/>
      <c r="G15" s="68"/>
      <c r="H15" s="57"/>
      <c r="J15" s="65"/>
      <c r="K15" s="57"/>
      <c r="M15" s="65"/>
      <c r="N15" s="57"/>
      <c r="P15" s="61"/>
      <c r="Q15" s="57"/>
      <c r="S15" s="56"/>
      <c r="T15" s="57"/>
      <c r="V15" s="56"/>
      <c r="W15" s="57"/>
      <c r="Y15" s="56"/>
      <c r="Z15" s="57"/>
    </row>
    <row r="16" spans="1:26" x14ac:dyDescent="0.3">
      <c r="A16" s="78"/>
      <c r="B16" s="57"/>
      <c r="D16" s="65"/>
      <c r="E16" s="57"/>
      <c r="G16" s="65"/>
      <c r="H16" s="57"/>
      <c r="J16" s="65"/>
      <c r="K16" s="57"/>
      <c r="M16" s="65"/>
      <c r="N16" s="57"/>
      <c r="P16" s="61"/>
      <c r="Q16" s="57"/>
      <c r="S16" s="56"/>
      <c r="T16" s="57"/>
      <c r="V16" s="56"/>
      <c r="W16" s="57"/>
      <c r="Y16" s="56"/>
      <c r="Z16" s="57"/>
    </row>
    <row r="17" spans="1:1" x14ac:dyDescent="0.3">
      <c r="A17" s="76"/>
    </row>
    <row r="18" spans="1:1" x14ac:dyDescent="0.3">
      <c r="A18" s="76"/>
    </row>
    <row r="19" spans="1:1" x14ac:dyDescent="0.3">
      <c r="A19" s="76"/>
    </row>
    <row r="20" spans="1:1" x14ac:dyDescent="0.3">
      <c r="A20" s="76"/>
    </row>
    <row r="21" spans="1:1" x14ac:dyDescent="0.3">
      <c r="A21" s="76"/>
    </row>
  </sheetData>
  <sortState ref="A2:C22">
    <sortCondition ref="A2:A22"/>
    <sortCondition ref="B2:B22"/>
  </sortState>
  <mergeCells count="1">
    <mergeCell ref="A1:XFD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1"/>
  <sheetViews>
    <sheetView workbookViewId="0"/>
  </sheetViews>
  <sheetFormatPr defaultRowHeight="14.4" x14ac:dyDescent="0.3"/>
  <sheetData>
    <row r="1" spans="1:6" x14ac:dyDescent="0.3">
      <c r="A1" t="s">
        <v>47</v>
      </c>
      <c r="B1" t="s">
        <v>48</v>
      </c>
      <c r="C1" t="s">
        <v>49</v>
      </c>
      <c r="D1" t="s">
        <v>50</v>
      </c>
    </row>
    <row r="2" spans="1:6" x14ac:dyDescent="0.3">
      <c r="A2" s="46">
        <v>45913.589942129627</v>
      </c>
      <c r="B2" t="s">
        <v>51</v>
      </c>
      <c r="C2" t="s">
        <v>44</v>
      </c>
      <c r="D2">
        <v>14</v>
      </c>
      <c r="E2" t="s">
        <v>52</v>
      </c>
      <c r="F2" t="s">
        <v>53</v>
      </c>
    </row>
    <row r="3" spans="1:6" x14ac:dyDescent="0.3">
      <c r="A3" s="46">
        <v>45913.589942129627</v>
      </c>
      <c r="B3" t="s">
        <v>54</v>
      </c>
      <c r="C3" t="s">
        <v>42</v>
      </c>
      <c r="D3">
        <v>33</v>
      </c>
      <c r="E3" t="s">
        <v>52</v>
      </c>
      <c r="F3" t="s">
        <v>53</v>
      </c>
    </row>
    <row r="4" spans="1:6" x14ac:dyDescent="0.3">
      <c r="A4" s="46">
        <v>45913.589942129627</v>
      </c>
      <c r="B4" t="s">
        <v>55</v>
      </c>
      <c r="C4" t="s">
        <v>43</v>
      </c>
      <c r="D4">
        <v>33</v>
      </c>
      <c r="E4" t="s">
        <v>52</v>
      </c>
      <c r="F4" t="s">
        <v>53</v>
      </c>
    </row>
    <row r="5" spans="1:6" x14ac:dyDescent="0.3">
      <c r="A5" s="46">
        <v>45913.589942129627</v>
      </c>
      <c r="B5" t="s">
        <v>56</v>
      </c>
      <c r="C5" t="s">
        <v>46</v>
      </c>
      <c r="D5">
        <v>12</v>
      </c>
      <c r="E5" t="s">
        <v>52</v>
      </c>
      <c r="F5" t="s">
        <v>53</v>
      </c>
    </row>
    <row r="6" spans="1:6" x14ac:dyDescent="0.3">
      <c r="A6" s="46">
        <v>45913.590243055558</v>
      </c>
      <c r="B6" t="s">
        <v>57</v>
      </c>
      <c r="C6" t="s">
        <v>45</v>
      </c>
      <c r="D6">
        <v>11</v>
      </c>
      <c r="E6" t="s">
        <v>52</v>
      </c>
      <c r="F6" t="s">
        <v>53</v>
      </c>
    </row>
    <row r="7" spans="1:6" x14ac:dyDescent="0.3">
      <c r="A7" s="46">
        <v>45913.590243055558</v>
      </c>
      <c r="B7" t="s">
        <v>51</v>
      </c>
      <c r="C7" t="s">
        <v>44</v>
      </c>
      <c r="D7">
        <v>14</v>
      </c>
      <c r="E7" t="s">
        <v>52</v>
      </c>
      <c r="F7" t="s">
        <v>53</v>
      </c>
    </row>
    <row r="8" spans="1:6" x14ac:dyDescent="0.3">
      <c r="A8" s="46">
        <v>45913.590243055558</v>
      </c>
      <c r="B8" t="s">
        <v>54</v>
      </c>
      <c r="C8" t="s">
        <v>42</v>
      </c>
      <c r="D8">
        <v>33</v>
      </c>
      <c r="E8" t="s">
        <v>52</v>
      </c>
      <c r="F8" t="s">
        <v>53</v>
      </c>
    </row>
    <row r="9" spans="1:6" x14ac:dyDescent="0.3">
      <c r="A9" s="46">
        <v>45913.590243055558</v>
      </c>
      <c r="B9" t="s">
        <v>55</v>
      </c>
      <c r="C9" t="s">
        <v>43</v>
      </c>
      <c r="D9">
        <v>33</v>
      </c>
      <c r="E9" t="s">
        <v>52</v>
      </c>
      <c r="F9" t="s">
        <v>53</v>
      </c>
    </row>
    <row r="10" spans="1:6" x14ac:dyDescent="0.3">
      <c r="A10" s="46">
        <v>45913.590254629627</v>
      </c>
      <c r="B10" t="s">
        <v>56</v>
      </c>
      <c r="C10" t="s">
        <v>46</v>
      </c>
      <c r="D10">
        <v>12</v>
      </c>
      <c r="E10" t="s">
        <v>52</v>
      </c>
      <c r="F10" t="s">
        <v>53</v>
      </c>
    </row>
    <row r="11" spans="1:6" x14ac:dyDescent="0.3">
      <c r="A11" s="46">
        <v>45913.616481481484</v>
      </c>
      <c r="B11" t="s">
        <v>58</v>
      </c>
      <c r="C11" t="s">
        <v>46</v>
      </c>
      <c r="D11">
        <v>3</v>
      </c>
      <c r="E11" t="s">
        <v>52</v>
      </c>
      <c r="F11" t="s">
        <v>53</v>
      </c>
    </row>
    <row r="12" spans="1:6" x14ac:dyDescent="0.3">
      <c r="A12" s="46">
        <v>45913.617245370369</v>
      </c>
      <c r="B12" t="s">
        <v>59</v>
      </c>
      <c r="C12" t="s">
        <v>45</v>
      </c>
      <c r="D12">
        <v>0</v>
      </c>
      <c r="E12" t="s">
        <v>52</v>
      </c>
      <c r="F12" t="s">
        <v>53</v>
      </c>
    </row>
    <row r="13" spans="1:6" x14ac:dyDescent="0.3">
      <c r="A13" s="46">
        <v>45913.617245370369</v>
      </c>
      <c r="B13" t="s">
        <v>60</v>
      </c>
      <c r="C13" t="s">
        <v>44</v>
      </c>
      <c r="D13">
        <v>0</v>
      </c>
      <c r="E13" t="s">
        <v>52</v>
      </c>
      <c r="F13" t="s">
        <v>53</v>
      </c>
    </row>
    <row r="14" spans="1:6" x14ac:dyDescent="0.3">
      <c r="A14" s="46">
        <v>45913.617245370369</v>
      </c>
      <c r="B14" t="s">
        <v>61</v>
      </c>
      <c r="C14" t="s">
        <v>42</v>
      </c>
      <c r="D14">
        <v>7</v>
      </c>
      <c r="E14" t="s">
        <v>52</v>
      </c>
      <c r="F14" t="s">
        <v>53</v>
      </c>
    </row>
    <row r="15" spans="1:6" x14ac:dyDescent="0.3">
      <c r="A15" s="46">
        <v>45913.617245370369</v>
      </c>
      <c r="B15" t="s">
        <v>62</v>
      </c>
      <c r="C15" t="s">
        <v>43</v>
      </c>
      <c r="D15">
        <v>7</v>
      </c>
      <c r="E15" t="s">
        <v>52</v>
      </c>
      <c r="F15" t="s">
        <v>53</v>
      </c>
    </row>
    <row r="16" spans="1:6" x14ac:dyDescent="0.3">
      <c r="A16" s="46">
        <v>45913.617256944446</v>
      </c>
      <c r="B16" t="s">
        <v>58</v>
      </c>
      <c r="C16" t="s">
        <v>46</v>
      </c>
      <c r="D16">
        <v>3</v>
      </c>
      <c r="E16" t="s">
        <v>63</v>
      </c>
      <c r="F16" t="s">
        <v>64</v>
      </c>
    </row>
    <row r="17" spans="1:6" x14ac:dyDescent="0.3">
      <c r="A17" s="46">
        <v>45913.620682870373</v>
      </c>
      <c r="B17" t="s">
        <v>59</v>
      </c>
      <c r="C17" t="s">
        <v>45</v>
      </c>
      <c r="D17">
        <v>1</v>
      </c>
      <c r="E17" t="s">
        <v>52</v>
      </c>
      <c r="F17" t="s">
        <v>53</v>
      </c>
    </row>
    <row r="18" spans="1:6" x14ac:dyDescent="0.3">
      <c r="A18" s="46">
        <v>45913.620682870373</v>
      </c>
      <c r="B18" t="s">
        <v>60</v>
      </c>
      <c r="C18" t="s">
        <v>44</v>
      </c>
      <c r="D18">
        <v>1</v>
      </c>
      <c r="E18" t="s">
        <v>52</v>
      </c>
      <c r="F18" t="s">
        <v>53</v>
      </c>
    </row>
    <row r="19" spans="1:6" x14ac:dyDescent="0.3">
      <c r="A19" s="46">
        <v>45913.620682870373</v>
      </c>
      <c r="B19" t="s">
        <v>61</v>
      </c>
      <c r="C19" t="s">
        <v>42</v>
      </c>
      <c r="D19">
        <v>7</v>
      </c>
      <c r="E19" t="s">
        <v>52</v>
      </c>
      <c r="F19" t="s">
        <v>53</v>
      </c>
    </row>
    <row r="20" spans="1:6" x14ac:dyDescent="0.3">
      <c r="A20" s="46">
        <v>45913.620694444442</v>
      </c>
      <c r="B20" t="s">
        <v>62</v>
      </c>
      <c r="C20" t="s">
        <v>43</v>
      </c>
      <c r="D20">
        <v>7</v>
      </c>
      <c r="E20" t="s">
        <v>52</v>
      </c>
      <c r="F20" t="s">
        <v>53</v>
      </c>
    </row>
    <row r="21" spans="1:6" x14ac:dyDescent="0.3">
      <c r="A21" s="46">
        <v>45913.620694444442</v>
      </c>
      <c r="B21" t="s">
        <v>58</v>
      </c>
      <c r="C21" t="s">
        <v>46</v>
      </c>
      <c r="D21">
        <v>3</v>
      </c>
      <c r="E21" t="s">
        <v>52</v>
      </c>
      <c r="F21" t="s">
        <v>53</v>
      </c>
    </row>
    <row r="22" spans="1:6" x14ac:dyDescent="0.3">
      <c r="A22" s="46">
        <v>45913.621365740742</v>
      </c>
      <c r="B22" t="s">
        <v>59</v>
      </c>
      <c r="C22" t="s">
        <v>45</v>
      </c>
      <c r="D22">
        <v>1</v>
      </c>
      <c r="E22" t="s">
        <v>52</v>
      </c>
      <c r="F22" t="s">
        <v>53</v>
      </c>
    </row>
    <row r="23" spans="1:6" x14ac:dyDescent="0.3">
      <c r="A23" s="46">
        <v>45913.621365740742</v>
      </c>
      <c r="B23" t="s">
        <v>60</v>
      </c>
      <c r="C23" t="s">
        <v>44</v>
      </c>
      <c r="D23">
        <v>1</v>
      </c>
      <c r="E23" t="s">
        <v>52</v>
      </c>
      <c r="F23" t="s">
        <v>53</v>
      </c>
    </row>
    <row r="24" spans="1:6" x14ac:dyDescent="0.3">
      <c r="A24" s="46">
        <v>45913.621365740742</v>
      </c>
      <c r="B24" t="s">
        <v>61</v>
      </c>
      <c r="C24" t="s">
        <v>42</v>
      </c>
      <c r="D24">
        <v>7</v>
      </c>
      <c r="E24" t="s">
        <v>52</v>
      </c>
      <c r="F24" t="s">
        <v>53</v>
      </c>
    </row>
    <row r="25" spans="1:6" x14ac:dyDescent="0.3">
      <c r="A25" s="46">
        <v>45913.621365740742</v>
      </c>
      <c r="B25" t="s">
        <v>62</v>
      </c>
      <c r="C25" t="s">
        <v>43</v>
      </c>
      <c r="D25">
        <v>7</v>
      </c>
      <c r="E25" t="s">
        <v>52</v>
      </c>
      <c r="F25" t="s">
        <v>53</v>
      </c>
    </row>
    <row r="26" spans="1:6" x14ac:dyDescent="0.3">
      <c r="A26" s="46">
        <v>45913.621365740742</v>
      </c>
      <c r="B26" t="s">
        <v>58</v>
      </c>
      <c r="C26" t="s">
        <v>46</v>
      </c>
      <c r="D26">
        <v>3</v>
      </c>
      <c r="E26" t="s">
        <v>52</v>
      </c>
      <c r="F26" t="s">
        <v>53</v>
      </c>
    </row>
    <row r="27" spans="1:6" x14ac:dyDescent="0.3">
      <c r="A27" s="46">
        <v>45913.840555555558</v>
      </c>
      <c r="B27" t="s">
        <v>59</v>
      </c>
      <c r="C27" t="s">
        <v>45</v>
      </c>
      <c r="D27">
        <v>1</v>
      </c>
      <c r="E27" t="s">
        <v>52</v>
      </c>
    </row>
    <row r="28" spans="1:6" x14ac:dyDescent="0.3">
      <c r="A28" s="46">
        <v>45913.840555555558</v>
      </c>
      <c r="B28" t="s">
        <v>60</v>
      </c>
      <c r="C28" t="s">
        <v>44</v>
      </c>
      <c r="D28">
        <v>1</v>
      </c>
      <c r="E28" t="s">
        <v>52</v>
      </c>
    </row>
    <row r="29" spans="1:6" x14ac:dyDescent="0.3">
      <c r="A29" s="46">
        <v>45913.840555555558</v>
      </c>
      <c r="B29" t="s">
        <v>61</v>
      </c>
      <c r="C29" t="s">
        <v>42</v>
      </c>
      <c r="D29">
        <v>7</v>
      </c>
      <c r="E29" t="s">
        <v>52</v>
      </c>
    </row>
    <row r="30" spans="1:6" x14ac:dyDescent="0.3">
      <c r="A30" s="46">
        <v>45913.840555555558</v>
      </c>
      <c r="B30" t="s">
        <v>62</v>
      </c>
      <c r="C30" t="s">
        <v>43</v>
      </c>
      <c r="D30">
        <v>7</v>
      </c>
      <c r="E30" t="s">
        <v>52</v>
      </c>
    </row>
    <row r="31" spans="1:6" x14ac:dyDescent="0.3">
      <c r="A31" s="46">
        <v>45913.840567129628</v>
      </c>
      <c r="B31" t="s">
        <v>58</v>
      </c>
      <c r="C31" t="s">
        <v>46</v>
      </c>
      <c r="D31">
        <v>5</v>
      </c>
      <c r="E31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BANGTINH</vt:lpstr>
      <vt:lpstr>THTT</vt:lpstr>
      <vt:lpstr>LKGD</vt:lpstr>
      <vt:lpstr>LKLS</vt:lpstr>
      <vt:lpstr>BANGTINH!Print_Area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2025-12-28T16:17:48Z</cp:lastPrinted>
  <dcterms:created xsi:type="dcterms:W3CDTF">2025-08-10T08:27:57Z</dcterms:created>
  <dcterms:modified xsi:type="dcterms:W3CDTF">2026-04-19T17:51:50Z</dcterms:modified>
</cp:coreProperties>
</file>