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bookViews>
    <workbookView xWindow="0" yWindow="0" windowWidth="2364" windowHeight="0"/>
  </bookViews>
  <sheets>
    <sheet name="THTT" sheetId="3" r:id="rId1"/>
    <sheet name="PVSKTC" sheetId="27" state="hidden" r:id="rId2"/>
    <sheet name="SKTC" sheetId="26" state="hidden" r:id="rId3"/>
    <sheet name="BANGTINH" sheetId="30" state="hidden" r:id="rId4"/>
    <sheet name="hehe" sheetId="23" state="hidden" r:id="rId5"/>
    <sheet name="_LKLS_LOG" sheetId="21" state="veryHidden" r:id="rId6"/>
  </sheets>
  <definedNames>
    <definedName name="__AUTH_CACHE_OK__">FALSE</definedName>
    <definedName name="__AUTH_CACHE_TS__">"2025-09-07 03:21:58"</definedName>
    <definedName name="__RUN_ONCE_INIT__">TRUE</definedName>
    <definedName name="_xlnm._FilterDatabase" localSheetId="3" hidden="1">BANGTINH!$A$12:$L$251</definedName>
    <definedName name="_xlnm._FilterDatabase" localSheetId="4" hidden="1">hehe!$A$12:$L$184</definedName>
    <definedName name="_xlnm._FilterDatabase" localSheetId="2" hidden="1">SKTC!$I$6:$X$386</definedName>
    <definedName name="_xlnm.Print_Area" localSheetId="3">BANGTINH!$A$1:$L$260</definedName>
    <definedName name="_xlnm.Print_Area" localSheetId="4">hehe!$A$1:$L$193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30" l="1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83" i="30"/>
  <c r="H84" i="30"/>
  <c r="H85" i="30"/>
  <c r="H86" i="30"/>
  <c r="H87" i="30"/>
  <c r="H88" i="30"/>
  <c r="H89" i="30"/>
  <c r="H90" i="30"/>
  <c r="H91" i="30"/>
  <c r="H92" i="30"/>
  <c r="H93" i="30"/>
  <c r="H94" i="30"/>
  <c r="H95" i="30"/>
  <c r="H96" i="30"/>
  <c r="H97" i="30"/>
  <c r="H98" i="30"/>
  <c r="H99" i="30"/>
  <c r="H100" i="30"/>
  <c r="H101" i="30"/>
  <c r="H102" i="30"/>
  <c r="H103" i="30"/>
  <c r="H104" i="30"/>
  <c r="H105" i="30"/>
  <c r="H106" i="30"/>
  <c r="H107" i="30"/>
  <c r="H108" i="30"/>
  <c r="H109" i="30"/>
  <c r="H110" i="30"/>
  <c r="H111" i="30"/>
  <c r="H112" i="30"/>
  <c r="H113" i="30"/>
  <c r="H114" i="30"/>
  <c r="H115" i="30"/>
  <c r="H116" i="30"/>
  <c r="H117" i="30"/>
  <c r="H118" i="30"/>
  <c r="H119" i="30"/>
  <c r="H120" i="30"/>
  <c r="H121" i="30"/>
  <c r="H122" i="30"/>
  <c r="H123" i="30"/>
  <c r="H124" i="30"/>
  <c r="H125" i="30"/>
  <c r="H126" i="30"/>
  <c r="H127" i="30"/>
  <c r="H128" i="30"/>
  <c r="H129" i="30"/>
  <c r="H130" i="30"/>
  <c r="H131" i="30"/>
  <c r="H132" i="30"/>
  <c r="H133" i="30"/>
  <c r="H134" i="30"/>
  <c r="H135" i="30"/>
  <c r="H136" i="30"/>
  <c r="H137" i="30"/>
  <c r="H138" i="30"/>
  <c r="H139" i="30"/>
  <c r="H140" i="30"/>
  <c r="H141" i="30"/>
  <c r="H142" i="30"/>
  <c r="H143" i="30"/>
  <c r="H144" i="30"/>
  <c r="H145" i="30"/>
  <c r="H146" i="30"/>
  <c r="H147" i="30"/>
  <c r="H148" i="30"/>
  <c r="H149" i="30"/>
  <c r="H150" i="30"/>
  <c r="H151" i="30"/>
  <c r="H152" i="30"/>
  <c r="H153" i="30"/>
  <c r="H154" i="30"/>
  <c r="H155" i="30"/>
  <c r="H156" i="30"/>
  <c r="H157" i="30"/>
  <c r="H158" i="30"/>
  <c r="H159" i="30"/>
  <c r="H160" i="30"/>
  <c r="H161" i="30"/>
  <c r="H162" i="30"/>
  <c r="H163" i="30"/>
  <c r="H164" i="30"/>
  <c r="H165" i="30"/>
  <c r="H166" i="30"/>
  <c r="H167" i="30"/>
  <c r="H168" i="30"/>
  <c r="H169" i="30"/>
  <c r="H170" i="30"/>
  <c r="H171" i="30"/>
  <c r="H172" i="30"/>
  <c r="H173" i="30"/>
  <c r="H174" i="30"/>
  <c r="H175" i="30"/>
  <c r="H176" i="30"/>
  <c r="H177" i="30"/>
  <c r="H178" i="30"/>
  <c r="H179" i="30"/>
  <c r="H180" i="30"/>
  <c r="H181" i="30"/>
  <c r="H182" i="30"/>
  <c r="H183" i="30"/>
  <c r="H184" i="30"/>
  <c r="H185" i="30"/>
  <c r="H186" i="30"/>
  <c r="H187" i="30"/>
  <c r="H188" i="30"/>
  <c r="H189" i="30"/>
  <c r="H190" i="30"/>
  <c r="H191" i="30"/>
  <c r="H192" i="30"/>
  <c r="H193" i="30"/>
  <c r="H194" i="30"/>
  <c r="H195" i="30"/>
  <c r="H196" i="30"/>
  <c r="H197" i="30"/>
  <c r="H198" i="30"/>
  <c r="H199" i="30"/>
  <c r="H200" i="30"/>
  <c r="H201" i="30"/>
  <c r="H202" i="30"/>
  <c r="H203" i="30"/>
  <c r="H204" i="30"/>
  <c r="H205" i="30"/>
  <c r="H206" i="30"/>
  <c r="H207" i="30"/>
  <c r="H208" i="30"/>
  <c r="H209" i="30"/>
  <c r="H210" i="30"/>
  <c r="H211" i="30"/>
  <c r="H212" i="30"/>
  <c r="H213" i="30"/>
  <c r="H214" i="30"/>
  <c r="H215" i="30"/>
  <c r="H216" i="30"/>
  <c r="H217" i="30"/>
  <c r="H218" i="30"/>
  <c r="H219" i="30"/>
  <c r="H220" i="30"/>
  <c r="H221" i="30"/>
  <c r="H222" i="30"/>
  <c r="H223" i="30"/>
  <c r="H224" i="30"/>
  <c r="H225" i="30"/>
  <c r="H226" i="30"/>
  <c r="H227" i="30"/>
  <c r="H228" i="30"/>
  <c r="H229" i="30"/>
  <c r="H230" i="30"/>
  <c r="H231" i="30"/>
  <c r="H232" i="30"/>
  <c r="H233" i="30"/>
  <c r="H234" i="30"/>
  <c r="H235" i="30"/>
  <c r="H236" i="30"/>
  <c r="H237" i="30"/>
  <c r="H238" i="30"/>
  <c r="H239" i="30"/>
  <c r="H240" i="30"/>
  <c r="H241" i="30"/>
  <c r="H242" i="30"/>
  <c r="H243" i="30"/>
  <c r="H244" i="30"/>
  <c r="H245" i="30"/>
  <c r="H246" i="30"/>
  <c r="H247" i="30"/>
  <c r="H248" i="30"/>
  <c r="H249" i="30"/>
  <c r="H250" i="30"/>
  <c r="H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55" i="30"/>
  <c r="G56" i="30"/>
  <c r="G57" i="30"/>
  <c r="G58" i="30"/>
  <c r="G59" i="30"/>
  <c r="G60" i="30"/>
  <c r="G61" i="30"/>
  <c r="G62" i="30"/>
  <c r="G63" i="30"/>
  <c r="G64" i="30"/>
  <c r="G65" i="30"/>
  <c r="G66" i="30"/>
  <c r="G67" i="30"/>
  <c r="G68" i="30"/>
  <c r="G69" i="30"/>
  <c r="G70" i="30"/>
  <c r="G71" i="30"/>
  <c r="G72" i="30"/>
  <c r="G73" i="30"/>
  <c r="G74" i="30"/>
  <c r="G75" i="30"/>
  <c r="G76" i="30"/>
  <c r="G77" i="30"/>
  <c r="G78" i="30"/>
  <c r="G79" i="30"/>
  <c r="G80" i="30"/>
  <c r="G81" i="30"/>
  <c r="G82" i="30"/>
  <c r="G83" i="30"/>
  <c r="G84" i="30"/>
  <c r="G85" i="30"/>
  <c r="G86" i="30"/>
  <c r="G87" i="30"/>
  <c r="G88" i="30"/>
  <c r="G89" i="30"/>
  <c r="G90" i="30"/>
  <c r="G91" i="30"/>
  <c r="G92" i="30"/>
  <c r="G93" i="30"/>
  <c r="G94" i="30"/>
  <c r="G95" i="30"/>
  <c r="G96" i="30"/>
  <c r="G97" i="30"/>
  <c r="G98" i="30"/>
  <c r="G99" i="30"/>
  <c r="G100" i="30"/>
  <c r="G101" i="30"/>
  <c r="G102" i="30"/>
  <c r="G103" i="30"/>
  <c r="G104" i="30"/>
  <c r="G105" i="30"/>
  <c r="G106" i="30"/>
  <c r="G107" i="30"/>
  <c r="G108" i="30"/>
  <c r="G109" i="30"/>
  <c r="G110" i="30"/>
  <c r="G111" i="30"/>
  <c r="G112" i="30"/>
  <c r="G113" i="30"/>
  <c r="G114" i="30"/>
  <c r="G115" i="30"/>
  <c r="G116" i="30"/>
  <c r="G117" i="30"/>
  <c r="G118" i="30"/>
  <c r="G119" i="30"/>
  <c r="G120" i="30"/>
  <c r="G121" i="30"/>
  <c r="G122" i="30"/>
  <c r="G123" i="30"/>
  <c r="G124" i="30"/>
  <c r="G125" i="30"/>
  <c r="G126" i="30"/>
  <c r="G127" i="30"/>
  <c r="G128" i="30"/>
  <c r="G129" i="30"/>
  <c r="G130" i="30"/>
  <c r="G131" i="30"/>
  <c r="G132" i="30"/>
  <c r="G133" i="30"/>
  <c r="G134" i="30"/>
  <c r="G135" i="30"/>
  <c r="G136" i="30"/>
  <c r="G137" i="30"/>
  <c r="G138" i="30"/>
  <c r="G139" i="30"/>
  <c r="G140" i="30"/>
  <c r="G141" i="30"/>
  <c r="G142" i="30"/>
  <c r="G143" i="30"/>
  <c r="G144" i="30"/>
  <c r="G145" i="30"/>
  <c r="G146" i="30"/>
  <c r="G147" i="30"/>
  <c r="G148" i="30"/>
  <c r="G149" i="30"/>
  <c r="G150" i="30"/>
  <c r="G151" i="30"/>
  <c r="G152" i="30"/>
  <c r="G153" i="30"/>
  <c r="G154" i="30"/>
  <c r="G155" i="30"/>
  <c r="G156" i="30"/>
  <c r="G157" i="30"/>
  <c r="G158" i="30"/>
  <c r="G159" i="30"/>
  <c r="G160" i="30"/>
  <c r="G161" i="30"/>
  <c r="G162" i="30"/>
  <c r="G163" i="30"/>
  <c r="G164" i="30"/>
  <c r="G165" i="30"/>
  <c r="G166" i="30"/>
  <c r="G167" i="30"/>
  <c r="G168" i="30"/>
  <c r="G169" i="30"/>
  <c r="G170" i="30"/>
  <c r="G171" i="30"/>
  <c r="G172" i="30"/>
  <c r="G173" i="30"/>
  <c r="G174" i="30"/>
  <c r="G175" i="30"/>
  <c r="G176" i="30"/>
  <c r="G177" i="30"/>
  <c r="G178" i="30"/>
  <c r="G179" i="30"/>
  <c r="G180" i="30"/>
  <c r="G181" i="30"/>
  <c r="G182" i="30"/>
  <c r="G183" i="30"/>
  <c r="G184" i="30"/>
  <c r="G185" i="30"/>
  <c r="G186" i="30"/>
  <c r="G187" i="30"/>
  <c r="G188" i="30"/>
  <c r="G189" i="30"/>
  <c r="G190" i="30"/>
  <c r="G191" i="30"/>
  <c r="G192" i="30"/>
  <c r="G193" i="30"/>
  <c r="G194" i="30"/>
  <c r="G195" i="30"/>
  <c r="G196" i="30"/>
  <c r="G197" i="30"/>
  <c r="G198" i="30"/>
  <c r="G199" i="30"/>
  <c r="G200" i="30"/>
  <c r="G201" i="30"/>
  <c r="G202" i="30"/>
  <c r="G203" i="30"/>
  <c r="G204" i="30"/>
  <c r="G205" i="30"/>
  <c r="G206" i="30"/>
  <c r="G207" i="30"/>
  <c r="G208" i="30"/>
  <c r="G209" i="30"/>
  <c r="G210" i="30"/>
  <c r="G211" i="30"/>
  <c r="G212" i="30"/>
  <c r="G213" i="30"/>
  <c r="G214" i="30"/>
  <c r="G215" i="30"/>
  <c r="G216" i="30"/>
  <c r="G217" i="30"/>
  <c r="G218" i="30"/>
  <c r="G219" i="30"/>
  <c r="G220" i="30"/>
  <c r="G221" i="30"/>
  <c r="G222" i="30"/>
  <c r="G223" i="30"/>
  <c r="G224" i="30"/>
  <c r="G225" i="30"/>
  <c r="G226" i="30"/>
  <c r="G227" i="30"/>
  <c r="G228" i="30"/>
  <c r="G229" i="30"/>
  <c r="G230" i="30"/>
  <c r="G231" i="30"/>
  <c r="G232" i="30"/>
  <c r="G233" i="30"/>
  <c r="G234" i="30"/>
  <c r="G235" i="30"/>
  <c r="G236" i="30"/>
  <c r="G237" i="30"/>
  <c r="G238" i="30"/>
  <c r="G239" i="30"/>
  <c r="G240" i="30"/>
  <c r="G241" i="30"/>
  <c r="G242" i="30"/>
  <c r="G243" i="30"/>
  <c r="G244" i="30"/>
  <c r="G245" i="30"/>
  <c r="G246" i="30"/>
  <c r="G247" i="30"/>
  <c r="G248" i="30"/>
  <c r="G249" i="30"/>
  <c r="G250" i="30"/>
  <c r="E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51" i="30"/>
  <c r="F52" i="30"/>
  <c r="F53" i="30"/>
  <c r="F54" i="30"/>
  <c r="F55" i="30"/>
  <c r="F56" i="30"/>
  <c r="F57" i="30"/>
  <c r="F58" i="30"/>
  <c r="F59" i="30"/>
  <c r="F60" i="30"/>
  <c r="F61" i="30"/>
  <c r="F62" i="30"/>
  <c r="F63" i="30"/>
  <c r="F64" i="30"/>
  <c r="F65" i="30"/>
  <c r="F66" i="30"/>
  <c r="F67" i="30"/>
  <c r="F68" i="30"/>
  <c r="F69" i="30"/>
  <c r="F70" i="30"/>
  <c r="F71" i="30"/>
  <c r="F72" i="30"/>
  <c r="F73" i="30"/>
  <c r="F74" i="30"/>
  <c r="F75" i="30"/>
  <c r="F76" i="30"/>
  <c r="F77" i="30"/>
  <c r="F78" i="30"/>
  <c r="F79" i="30"/>
  <c r="F80" i="30"/>
  <c r="F81" i="30"/>
  <c r="F82" i="30"/>
  <c r="F83" i="30"/>
  <c r="F84" i="30"/>
  <c r="F85" i="30"/>
  <c r="F86" i="30"/>
  <c r="F87" i="30"/>
  <c r="F88" i="30"/>
  <c r="F89" i="30"/>
  <c r="F90" i="30"/>
  <c r="F91" i="30"/>
  <c r="F92" i="30"/>
  <c r="F93" i="30"/>
  <c r="F94" i="30"/>
  <c r="F95" i="30"/>
  <c r="F96" i="30"/>
  <c r="F97" i="30"/>
  <c r="F98" i="30"/>
  <c r="F99" i="30"/>
  <c r="F100" i="30"/>
  <c r="F101" i="30"/>
  <c r="F102" i="30"/>
  <c r="F103" i="30"/>
  <c r="F104" i="30"/>
  <c r="F105" i="30"/>
  <c r="F106" i="30"/>
  <c r="F107" i="30"/>
  <c r="F108" i="30"/>
  <c r="F109" i="30"/>
  <c r="F110" i="30"/>
  <c r="F111" i="30"/>
  <c r="F112" i="30"/>
  <c r="F113" i="30"/>
  <c r="F114" i="30"/>
  <c r="F115" i="30"/>
  <c r="F116" i="30"/>
  <c r="F117" i="30"/>
  <c r="F118" i="30"/>
  <c r="F119" i="30"/>
  <c r="F120" i="30"/>
  <c r="F121" i="30"/>
  <c r="F122" i="30"/>
  <c r="F123" i="30"/>
  <c r="F124" i="30"/>
  <c r="F125" i="30"/>
  <c r="F126" i="30"/>
  <c r="F127" i="30"/>
  <c r="F128" i="30"/>
  <c r="F129" i="30"/>
  <c r="F130" i="30"/>
  <c r="F131" i="30"/>
  <c r="F132" i="30"/>
  <c r="F133" i="30"/>
  <c r="F134" i="30"/>
  <c r="F135" i="30"/>
  <c r="F136" i="30"/>
  <c r="F137" i="30"/>
  <c r="F138" i="30"/>
  <c r="F139" i="30"/>
  <c r="F140" i="30"/>
  <c r="F141" i="30"/>
  <c r="F142" i="30"/>
  <c r="F143" i="30"/>
  <c r="F144" i="30"/>
  <c r="F145" i="30"/>
  <c r="F146" i="30"/>
  <c r="F147" i="30"/>
  <c r="F148" i="30"/>
  <c r="F149" i="30"/>
  <c r="F150" i="30"/>
  <c r="F151" i="30"/>
  <c r="F152" i="30"/>
  <c r="F153" i="30"/>
  <c r="F154" i="30"/>
  <c r="F155" i="30"/>
  <c r="F156" i="30"/>
  <c r="F157" i="30"/>
  <c r="F158" i="30"/>
  <c r="F159" i="30"/>
  <c r="F160" i="30"/>
  <c r="F161" i="30"/>
  <c r="F162" i="30"/>
  <c r="F163" i="30"/>
  <c r="F164" i="30"/>
  <c r="F165" i="30"/>
  <c r="F166" i="30"/>
  <c r="F167" i="30"/>
  <c r="F168" i="30"/>
  <c r="F169" i="30"/>
  <c r="F170" i="30"/>
  <c r="F171" i="30"/>
  <c r="F172" i="30"/>
  <c r="F173" i="30"/>
  <c r="F174" i="30"/>
  <c r="F175" i="30"/>
  <c r="F176" i="30"/>
  <c r="F177" i="30"/>
  <c r="F178" i="30"/>
  <c r="F179" i="30"/>
  <c r="F180" i="30"/>
  <c r="F181" i="30"/>
  <c r="F182" i="30"/>
  <c r="F183" i="30"/>
  <c r="F184" i="30"/>
  <c r="F185" i="30"/>
  <c r="F186" i="30"/>
  <c r="F187" i="30"/>
  <c r="F188" i="30"/>
  <c r="F189" i="30"/>
  <c r="F190" i="30"/>
  <c r="F191" i="30"/>
  <c r="F192" i="30"/>
  <c r="F193" i="30"/>
  <c r="F194" i="30"/>
  <c r="F195" i="30"/>
  <c r="F196" i="30"/>
  <c r="F197" i="30"/>
  <c r="F198" i="30"/>
  <c r="F199" i="30"/>
  <c r="F200" i="30"/>
  <c r="F201" i="30"/>
  <c r="F202" i="30"/>
  <c r="F203" i="30"/>
  <c r="F204" i="30"/>
  <c r="F205" i="30"/>
  <c r="F206" i="30"/>
  <c r="F207" i="30"/>
  <c r="F208" i="30"/>
  <c r="F209" i="30"/>
  <c r="F210" i="30"/>
  <c r="F211" i="30"/>
  <c r="F212" i="30"/>
  <c r="F213" i="30"/>
  <c r="F214" i="30"/>
  <c r="F215" i="30"/>
  <c r="F216" i="30"/>
  <c r="F217" i="30"/>
  <c r="F218" i="30"/>
  <c r="F219" i="30"/>
  <c r="F220" i="30"/>
  <c r="F221" i="30"/>
  <c r="F222" i="30"/>
  <c r="F223" i="30"/>
  <c r="F224" i="30"/>
  <c r="F225" i="30"/>
  <c r="F226" i="30"/>
  <c r="F227" i="30"/>
  <c r="F228" i="30"/>
  <c r="F229" i="30"/>
  <c r="F230" i="30"/>
  <c r="F231" i="30"/>
  <c r="F232" i="30"/>
  <c r="F233" i="30"/>
  <c r="F234" i="30"/>
  <c r="F235" i="30"/>
  <c r="F236" i="30"/>
  <c r="F237" i="30"/>
  <c r="F238" i="30"/>
  <c r="F239" i="30"/>
  <c r="F240" i="30"/>
  <c r="F241" i="30"/>
  <c r="F242" i="30"/>
  <c r="F243" i="30"/>
  <c r="F244" i="30"/>
  <c r="F245" i="30"/>
  <c r="F246" i="30"/>
  <c r="F247" i="30"/>
  <c r="F248" i="30"/>
  <c r="F249" i="30"/>
  <c r="F250" i="30"/>
  <c r="A13" i="30" l="1"/>
  <c r="K13" i="30"/>
  <c r="I13" i="30"/>
  <c r="E14" i="30"/>
  <c r="L13" i="30" l="1"/>
  <c r="J13" i="30"/>
  <c r="A14" i="30"/>
  <c r="K14" i="30"/>
  <c r="I14" i="30"/>
  <c r="E15" i="30"/>
  <c r="A15" i="30" l="1"/>
  <c r="K15" i="30"/>
  <c r="I15" i="30"/>
  <c r="L14" i="30"/>
  <c r="J14" i="30"/>
  <c r="E16" i="30"/>
  <c r="A16" i="30" l="1"/>
  <c r="K16" i="30"/>
  <c r="I16" i="30"/>
  <c r="J15" i="30"/>
  <c r="L15" i="30"/>
  <c r="E17" i="30"/>
  <c r="A17" i="30" l="1"/>
  <c r="I17" i="30"/>
  <c r="K17" i="30"/>
  <c r="J16" i="30"/>
  <c r="L16" i="30"/>
  <c r="E18" i="30"/>
  <c r="A18" i="30" l="1"/>
  <c r="K18" i="30"/>
  <c r="I18" i="30"/>
  <c r="L17" i="30"/>
  <c r="J17" i="30"/>
  <c r="E19" i="30"/>
  <c r="J18" i="30" l="1"/>
  <c r="L18" i="30"/>
  <c r="A19" i="30"/>
  <c r="K19" i="30"/>
  <c r="I19" i="30"/>
  <c r="E20" i="30"/>
  <c r="A20" i="30" l="1"/>
  <c r="K20" i="30"/>
  <c r="I20" i="30"/>
  <c r="L19" i="30"/>
  <c r="J19" i="30"/>
  <c r="E21" i="30"/>
  <c r="L20" i="30" l="1"/>
  <c r="J20" i="30"/>
  <c r="A21" i="30"/>
  <c r="K21" i="30"/>
  <c r="I21" i="30"/>
  <c r="E22" i="30"/>
  <c r="A22" i="30" l="1"/>
  <c r="K22" i="30"/>
  <c r="I22" i="30"/>
  <c r="J21" i="30"/>
  <c r="L21" i="30"/>
  <c r="E23" i="30"/>
  <c r="A23" i="30" l="1"/>
  <c r="K23" i="30"/>
  <c r="I23" i="30"/>
  <c r="L22" i="30"/>
  <c r="J22" i="30"/>
  <c r="E24" i="30"/>
  <c r="J23" i="30" l="1"/>
  <c r="L23" i="30"/>
  <c r="A24" i="30"/>
  <c r="K24" i="30"/>
  <c r="I24" i="30"/>
  <c r="E25" i="30"/>
  <c r="A25" i="30" l="1"/>
  <c r="I25" i="30"/>
  <c r="K25" i="30"/>
  <c r="J24" i="30"/>
  <c r="L24" i="30"/>
  <c r="E26" i="30"/>
  <c r="A26" i="30" l="1"/>
  <c r="I26" i="30"/>
  <c r="K26" i="30"/>
  <c r="L25" i="30"/>
  <c r="J25" i="30"/>
  <c r="E27" i="30"/>
  <c r="A27" i="30" l="1"/>
  <c r="K27" i="30"/>
  <c r="I27" i="30"/>
  <c r="J26" i="30"/>
  <c r="L26" i="30"/>
  <c r="E28" i="30"/>
  <c r="A28" i="30" l="1"/>
  <c r="K28" i="30"/>
  <c r="I28" i="30"/>
  <c r="L27" i="30"/>
  <c r="J27" i="30"/>
  <c r="E29" i="30"/>
  <c r="A29" i="30" l="1"/>
  <c r="K29" i="30"/>
  <c r="I29" i="30"/>
  <c r="L28" i="30"/>
  <c r="J28" i="30"/>
  <c r="E30" i="30"/>
  <c r="A30" i="30" l="1"/>
  <c r="K30" i="30"/>
  <c r="I30" i="30"/>
  <c r="J29" i="30"/>
  <c r="L29" i="30"/>
  <c r="E31" i="30"/>
  <c r="A31" i="30" l="1"/>
  <c r="K31" i="30"/>
  <c r="I31" i="30"/>
  <c r="L30" i="30"/>
  <c r="J30" i="30"/>
  <c r="E32" i="30"/>
  <c r="A32" i="30" l="1"/>
  <c r="K32" i="30"/>
  <c r="I32" i="30"/>
  <c r="J31" i="30"/>
  <c r="L31" i="30"/>
  <c r="E33" i="30"/>
  <c r="A33" i="30" l="1"/>
  <c r="I33" i="30"/>
  <c r="K33" i="30"/>
  <c r="J32" i="30"/>
  <c r="L32" i="30"/>
  <c r="E34" i="30"/>
  <c r="A34" i="30" l="1"/>
  <c r="I34" i="30"/>
  <c r="K34" i="30"/>
  <c r="L33" i="30"/>
  <c r="J33" i="30"/>
  <c r="E35" i="30"/>
  <c r="A35" i="30" l="1"/>
  <c r="K35" i="30"/>
  <c r="I35" i="30"/>
  <c r="J34" i="30"/>
  <c r="L34" i="30"/>
  <c r="E36" i="30"/>
  <c r="A36" i="30" l="1"/>
  <c r="I36" i="30"/>
  <c r="K36" i="30"/>
  <c r="L35" i="30"/>
  <c r="J35" i="30"/>
  <c r="E37" i="30"/>
  <c r="A37" i="30" l="1"/>
  <c r="K37" i="30"/>
  <c r="I37" i="30"/>
  <c r="L36" i="30"/>
  <c r="J36" i="30"/>
  <c r="E38" i="30"/>
  <c r="A38" i="30" l="1"/>
  <c r="K38" i="30"/>
  <c r="I38" i="30"/>
  <c r="J37" i="30"/>
  <c r="L37" i="30"/>
  <c r="E39" i="30"/>
  <c r="A39" i="30" l="1"/>
  <c r="K39" i="30"/>
  <c r="I39" i="30"/>
  <c r="L38" i="30"/>
  <c r="J38" i="30"/>
  <c r="E40" i="30"/>
  <c r="A40" i="30" l="1"/>
  <c r="K40" i="30"/>
  <c r="I40" i="30"/>
  <c r="J39" i="30"/>
  <c r="L39" i="30"/>
  <c r="E41" i="30"/>
  <c r="J40" i="30" l="1"/>
  <c r="L40" i="30"/>
  <c r="A41" i="30"/>
  <c r="K41" i="30"/>
  <c r="I41" i="30"/>
  <c r="E42" i="30"/>
  <c r="A42" i="30" l="1"/>
  <c r="K42" i="30"/>
  <c r="I42" i="30"/>
  <c r="L41" i="30"/>
  <c r="J41" i="30"/>
  <c r="E43" i="30"/>
  <c r="A43" i="30" l="1"/>
  <c r="K43" i="30"/>
  <c r="I43" i="30"/>
  <c r="J42" i="30"/>
  <c r="L42" i="30"/>
  <c r="E44" i="30"/>
  <c r="A44" i="30" l="1"/>
  <c r="K44" i="30"/>
  <c r="I44" i="30"/>
  <c r="L43" i="30"/>
  <c r="J43" i="30"/>
  <c r="E45" i="30"/>
  <c r="A45" i="30" l="1"/>
  <c r="K45" i="30"/>
  <c r="I45" i="30"/>
  <c r="L44" i="30"/>
  <c r="J44" i="30"/>
  <c r="E46" i="30"/>
  <c r="A46" i="30" l="1"/>
  <c r="K46" i="30"/>
  <c r="I46" i="30"/>
  <c r="J45" i="30"/>
  <c r="L45" i="30"/>
  <c r="E47" i="30"/>
  <c r="A47" i="30" l="1"/>
  <c r="K47" i="30"/>
  <c r="I47" i="30"/>
  <c r="L46" i="30"/>
  <c r="J46" i="30"/>
  <c r="E48" i="30"/>
  <c r="A48" i="30" l="1"/>
  <c r="K48" i="30"/>
  <c r="I48" i="30"/>
  <c r="J47" i="30"/>
  <c r="L47" i="30"/>
  <c r="E49" i="30"/>
  <c r="A49" i="30" l="1"/>
  <c r="I49" i="30"/>
  <c r="K49" i="30"/>
  <c r="J48" i="30"/>
  <c r="L48" i="30"/>
  <c r="E50" i="30"/>
  <c r="A50" i="30" l="1"/>
  <c r="I50" i="30"/>
  <c r="K50" i="30"/>
  <c r="L49" i="30"/>
  <c r="J49" i="30"/>
  <c r="E51" i="30"/>
  <c r="A51" i="30" l="1"/>
  <c r="K51" i="30"/>
  <c r="I51" i="30"/>
  <c r="J50" i="30"/>
  <c r="L50" i="30"/>
  <c r="E52" i="30"/>
  <c r="A52" i="30" l="1"/>
  <c r="I52" i="30"/>
  <c r="K52" i="30"/>
  <c r="L51" i="30"/>
  <c r="J51" i="30"/>
  <c r="E53" i="30"/>
  <c r="A53" i="30" l="1"/>
  <c r="K53" i="30"/>
  <c r="I53" i="30"/>
  <c r="L52" i="30"/>
  <c r="J52" i="30"/>
  <c r="E54" i="30"/>
  <c r="A54" i="30" l="1"/>
  <c r="K54" i="30"/>
  <c r="I54" i="30"/>
  <c r="J53" i="30"/>
  <c r="L53" i="30"/>
  <c r="E55" i="30"/>
  <c r="A55" i="30" l="1"/>
  <c r="K55" i="30"/>
  <c r="I55" i="30"/>
  <c r="L54" i="30"/>
  <c r="J54" i="30"/>
  <c r="E56" i="30"/>
  <c r="A56" i="30" l="1"/>
  <c r="K56" i="30"/>
  <c r="I56" i="30"/>
  <c r="J55" i="30"/>
  <c r="L55" i="30"/>
  <c r="E57" i="30"/>
  <c r="A57" i="30" l="1"/>
  <c r="I57" i="30"/>
  <c r="K57" i="30"/>
  <c r="J56" i="30"/>
  <c r="L56" i="30"/>
  <c r="E58" i="30"/>
  <c r="A58" i="30" l="1"/>
  <c r="I58" i="30"/>
  <c r="K58" i="30"/>
  <c r="L57" i="30"/>
  <c r="J57" i="30"/>
  <c r="E59" i="30"/>
  <c r="A59" i="30" l="1"/>
  <c r="K59" i="30"/>
  <c r="I59" i="30"/>
  <c r="J58" i="30"/>
  <c r="L58" i="30"/>
  <c r="E60" i="30"/>
  <c r="A60" i="30" l="1"/>
  <c r="K60" i="30"/>
  <c r="I60" i="30"/>
  <c r="L59" i="30"/>
  <c r="J59" i="30"/>
  <c r="E61" i="30"/>
  <c r="A61" i="30" l="1"/>
  <c r="K61" i="30"/>
  <c r="I61" i="30"/>
  <c r="L60" i="30"/>
  <c r="J60" i="30"/>
  <c r="E62" i="30"/>
  <c r="A62" i="30" l="1"/>
  <c r="K62" i="30"/>
  <c r="I62" i="30"/>
  <c r="J61" i="30"/>
  <c r="L61" i="30"/>
  <c r="E63" i="30"/>
  <c r="A63" i="30" l="1"/>
  <c r="K63" i="30"/>
  <c r="I63" i="30"/>
  <c r="L62" i="30"/>
  <c r="J62" i="30"/>
  <c r="E64" i="30"/>
  <c r="A64" i="30" l="1"/>
  <c r="K64" i="30"/>
  <c r="I64" i="30"/>
  <c r="J63" i="30"/>
  <c r="L63" i="30"/>
  <c r="E65" i="30"/>
  <c r="A65" i="30" l="1"/>
  <c r="K65" i="30"/>
  <c r="I65" i="30"/>
  <c r="J64" i="30"/>
  <c r="L64" i="30"/>
  <c r="E66" i="30"/>
  <c r="L65" i="30" l="1"/>
  <c r="J65" i="30"/>
  <c r="A66" i="30"/>
  <c r="K66" i="30"/>
  <c r="I66" i="30"/>
  <c r="E67" i="30"/>
  <c r="A67" i="30" l="1"/>
  <c r="K67" i="30"/>
  <c r="I67" i="30"/>
  <c r="J66" i="30"/>
  <c r="L66" i="30"/>
  <c r="E68" i="30"/>
  <c r="L67" i="30" l="1"/>
  <c r="J67" i="30"/>
  <c r="A68" i="30"/>
  <c r="K68" i="30"/>
  <c r="I68" i="30"/>
  <c r="E69" i="30"/>
  <c r="A69" i="30" l="1"/>
  <c r="K69" i="30"/>
  <c r="I69" i="30"/>
  <c r="L68" i="30"/>
  <c r="J68" i="30"/>
  <c r="E70" i="30"/>
  <c r="J69" i="30" l="1"/>
  <c r="L69" i="30"/>
  <c r="A70" i="30"/>
  <c r="K70" i="30"/>
  <c r="I70" i="30"/>
  <c r="E71" i="30"/>
  <c r="A71" i="30" l="1"/>
  <c r="K71" i="30"/>
  <c r="I71" i="30"/>
  <c r="L70" i="30"/>
  <c r="J70" i="30"/>
  <c r="E72" i="30"/>
  <c r="A72" i="30" l="1"/>
  <c r="K72" i="30"/>
  <c r="I72" i="30"/>
  <c r="J71" i="30"/>
  <c r="L71" i="30"/>
  <c r="E73" i="30"/>
  <c r="A73" i="30" l="1"/>
  <c r="I73" i="30"/>
  <c r="K73" i="30"/>
  <c r="J72" i="30"/>
  <c r="L72" i="30"/>
  <c r="E74" i="30"/>
  <c r="A74" i="30" l="1"/>
  <c r="I74" i="30"/>
  <c r="K74" i="30"/>
  <c r="L73" i="30"/>
  <c r="J73" i="30"/>
  <c r="E75" i="30"/>
  <c r="A75" i="30" l="1"/>
  <c r="K75" i="30"/>
  <c r="I75" i="30"/>
  <c r="J74" i="30"/>
  <c r="L74" i="30"/>
  <c r="E76" i="30"/>
  <c r="A76" i="30" l="1"/>
  <c r="I76" i="30"/>
  <c r="K76" i="30"/>
  <c r="L75" i="30"/>
  <c r="J75" i="30"/>
  <c r="E77" i="30"/>
  <c r="A77" i="30" l="1"/>
  <c r="K77" i="30"/>
  <c r="I77" i="30"/>
  <c r="L76" i="30"/>
  <c r="J76" i="30"/>
  <c r="E78" i="30"/>
  <c r="A78" i="30" l="1"/>
  <c r="K78" i="30"/>
  <c r="I78" i="30"/>
  <c r="J77" i="30"/>
  <c r="L77" i="30"/>
  <c r="E79" i="30"/>
  <c r="A79" i="30" l="1"/>
  <c r="K79" i="30"/>
  <c r="I79" i="30"/>
  <c r="L78" i="30"/>
  <c r="J78" i="30"/>
  <c r="E80" i="30"/>
  <c r="A80" i="30" l="1"/>
  <c r="K80" i="30"/>
  <c r="I80" i="30"/>
  <c r="J79" i="30"/>
  <c r="L79" i="30"/>
  <c r="E81" i="30"/>
  <c r="A81" i="30" l="1"/>
  <c r="I81" i="30"/>
  <c r="K81" i="30"/>
  <c r="J80" i="30"/>
  <c r="L80" i="30"/>
  <c r="E82" i="30"/>
  <c r="L81" i="30" l="1"/>
  <c r="J81" i="30"/>
  <c r="A82" i="30"/>
  <c r="K82" i="30"/>
  <c r="I82" i="30"/>
  <c r="E83" i="30"/>
  <c r="A83" i="30" l="1"/>
  <c r="K83" i="30"/>
  <c r="I83" i="30"/>
  <c r="J82" i="30"/>
  <c r="L82" i="30"/>
  <c r="E84" i="30"/>
  <c r="A84" i="30" l="1"/>
  <c r="K84" i="30"/>
  <c r="I84" i="30"/>
  <c r="L83" i="30"/>
  <c r="J83" i="30"/>
  <c r="E85" i="30"/>
  <c r="L84" i="30" l="1"/>
  <c r="J84" i="30"/>
  <c r="A85" i="30"/>
  <c r="K85" i="30"/>
  <c r="I85" i="30"/>
  <c r="E86" i="30"/>
  <c r="A86" i="30" l="1"/>
  <c r="K86" i="30"/>
  <c r="I86" i="30"/>
  <c r="J85" i="30"/>
  <c r="L85" i="30"/>
  <c r="E87" i="30"/>
  <c r="A87" i="30" l="1"/>
  <c r="K87" i="30"/>
  <c r="I87" i="30"/>
  <c r="L86" i="30"/>
  <c r="J86" i="30"/>
  <c r="E88" i="30"/>
  <c r="J87" i="30" l="1"/>
  <c r="L87" i="30"/>
  <c r="A88" i="30"/>
  <c r="K88" i="30"/>
  <c r="I88" i="30"/>
  <c r="E89" i="30"/>
  <c r="A89" i="30" l="1"/>
  <c r="I89" i="30"/>
  <c r="K89" i="30"/>
  <c r="J88" i="30"/>
  <c r="L88" i="30"/>
  <c r="E90" i="30"/>
  <c r="A90" i="30" l="1"/>
  <c r="I90" i="30"/>
  <c r="K90" i="30"/>
  <c r="L89" i="30"/>
  <c r="J89" i="30"/>
  <c r="E91" i="30"/>
  <c r="J90" i="30" l="1"/>
  <c r="L90" i="30"/>
  <c r="A91" i="30"/>
  <c r="K91" i="30"/>
  <c r="I91" i="30"/>
  <c r="E92" i="30"/>
  <c r="A92" i="30" l="1"/>
  <c r="K92" i="30"/>
  <c r="I92" i="30"/>
  <c r="L91" i="30"/>
  <c r="J91" i="30"/>
  <c r="E93" i="30"/>
  <c r="L92" i="30" l="1"/>
  <c r="J92" i="30"/>
  <c r="A93" i="30"/>
  <c r="K93" i="30"/>
  <c r="I93" i="30"/>
  <c r="E94" i="30"/>
  <c r="A94" i="30" l="1"/>
  <c r="K94" i="30"/>
  <c r="I94" i="30"/>
  <c r="J93" i="30"/>
  <c r="L93" i="30"/>
  <c r="E95" i="30"/>
  <c r="L94" i="30" l="1"/>
  <c r="J94" i="30"/>
  <c r="A95" i="30"/>
  <c r="K95" i="30"/>
  <c r="I95" i="30"/>
  <c r="E96" i="30"/>
  <c r="A96" i="30" l="1"/>
  <c r="K96" i="30"/>
  <c r="I96" i="30"/>
  <c r="J95" i="30"/>
  <c r="L95" i="30"/>
  <c r="E97" i="30"/>
  <c r="J96" i="30" l="1"/>
  <c r="L96" i="30"/>
  <c r="A97" i="30"/>
  <c r="I97" i="30"/>
  <c r="K97" i="30"/>
  <c r="E98" i="30"/>
  <c r="A98" i="30" l="1"/>
  <c r="I98" i="30"/>
  <c r="K98" i="30"/>
  <c r="L97" i="30"/>
  <c r="J97" i="30"/>
  <c r="E99" i="30"/>
  <c r="J98" i="30" l="1"/>
  <c r="L98" i="30"/>
  <c r="A99" i="30"/>
  <c r="K99" i="30"/>
  <c r="I99" i="30"/>
  <c r="E100" i="30"/>
  <c r="A100" i="30" l="1"/>
  <c r="I100" i="30"/>
  <c r="K100" i="30"/>
  <c r="L99" i="30"/>
  <c r="J99" i="30"/>
  <c r="E101" i="30"/>
  <c r="L100" i="30" l="1"/>
  <c r="J100" i="30"/>
  <c r="A101" i="30"/>
  <c r="K101" i="30"/>
  <c r="I101" i="30"/>
  <c r="E102" i="30"/>
  <c r="A102" i="30" l="1"/>
  <c r="K102" i="30"/>
  <c r="I102" i="30"/>
  <c r="J101" i="30"/>
  <c r="L101" i="30"/>
  <c r="E103" i="30"/>
  <c r="L102" i="30" l="1"/>
  <c r="J102" i="30"/>
  <c r="A103" i="30"/>
  <c r="K103" i="30"/>
  <c r="I103" i="30"/>
  <c r="E104" i="30"/>
  <c r="A104" i="30" l="1"/>
  <c r="K104" i="30"/>
  <c r="I104" i="30"/>
  <c r="J103" i="30"/>
  <c r="L103" i="30"/>
  <c r="E105" i="30"/>
  <c r="A105" i="30" l="1"/>
  <c r="K105" i="30"/>
  <c r="I105" i="30"/>
  <c r="J104" i="30"/>
  <c r="L104" i="30"/>
  <c r="E106" i="30"/>
  <c r="A106" i="30" l="1"/>
  <c r="K106" i="30"/>
  <c r="I106" i="30"/>
  <c r="L105" i="30"/>
  <c r="J105" i="30"/>
  <c r="E107" i="30"/>
  <c r="A107" i="30" l="1"/>
  <c r="K107" i="30"/>
  <c r="I107" i="30"/>
  <c r="J106" i="30"/>
  <c r="L106" i="30"/>
  <c r="E108" i="30"/>
  <c r="L107" i="30" l="1"/>
  <c r="J107" i="30"/>
  <c r="A108" i="30"/>
  <c r="K108" i="30"/>
  <c r="I108" i="30"/>
  <c r="E109" i="30"/>
  <c r="A109" i="30" l="1"/>
  <c r="K109" i="30"/>
  <c r="I109" i="30"/>
  <c r="L108" i="30"/>
  <c r="J108" i="30"/>
  <c r="E110" i="30"/>
  <c r="A110" i="30" l="1"/>
  <c r="K110" i="30"/>
  <c r="I110" i="30"/>
  <c r="J109" i="30"/>
  <c r="L109" i="30"/>
  <c r="E111" i="30"/>
  <c r="A111" i="30" l="1"/>
  <c r="K111" i="30"/>
  <c r="I111" i="30"/>
  <c r="L110" i="30"/>
  <c r="J110" i="30"/>
  <c r="E112" i="30"/>
  <c r="A112" i="30" l="1"/>
  <c r="K112" i="30"/>
  <c r="I112" i="30"/>
  <c r="J111" i="30"/>
  <c r="L111" i="30"/>
  <c r="E113" i="30"/>
  <c r="A113" i="30" l="1"/>
  <c r="I113" i="30"/>
  <c r="K113" i="30"/>
  <c r="J112" i="30"/>
  <c r="L112" i="30"/>
  <c r="E114" i="30"/>
  <c r="A114" i="30" l="1"/>
  <c r="I114" i="30"/>
  <c r="K114" i="30"/>
  <c r="L113" i="30"/>
  <c r="J113" i="30"/>
  <c r="E115" i="30"/>
  <c r="A115" i="30" l="1"/>
  <c r="K115" i="30"/>
  <c r="I115" i="30"/>
  <c r="J114" i="30"/>
  <c r="L114" i="30"/>
  <c r="E116" i="30"/>
  <c r="A116" i="30" l="1"/>
  <c r="I116" i="30"/>
  <c r="K116" i="30"/>
  <c r="L115" i="30"/>
  <c r="J115" i="30"/>
  <c r="E117" i="30"/>
  <c r="A117" i="30" l="1"/>
  <c r="K117" i="30"/>
  <c r="I117" i="30"/>
  <c r="L116" i="30"/>
  <c r="J116" i="30"/>
  <c r="E118" i="30"/>
  <c r="A118" i="30" l="1"/>
  <c r="K118" i="30"/>
  <c r="I118" i="30"/>
  <c r="J117" i="30"/>
  <c r="L117" i="30"/>
  <c r="E119" i="30"/>
  <c r="A119" i="30" l="1"/>
  <c r="K119" i="30"/>
  <c r="I119" i="30"/>
  <c r="L118" i="30"/>
  <c r="J118" i="30"/>
  <c r="E120" i="30"/>
  <c r="A120" i="30" l="1"/>
  <c r="K120" i="30"/>
  <c r="I120" i="30"/>
  <c r="J119" i="30"/>
  <c r="L119" i="30"/>
  <c r="E121" i="30"/>
  <c r="A121" i="30" l="1"/>
  <c r="I121" i="30"/>
  <c r="K121" i="30"/>
  <c r="J120" i="30"/>
  <c r="L120" i="30"/>
  <c r="E122" i="30"/>
  <c r="A122" i="30" l="1"/>
  <c r="I122" i="30"/>
  <c r="K122" i="30"/>
  <c r="L121" i="30"/>
  <c r="J121" i="30"/>
  <c r="E123" i="30"/>
  <c r="A123" i="30" l="1"/>
  <c r="K123" i="30"/>
  <c r="I123" i="30"/>
  <c r="J122" i="30"/>
  <c r="L122" i="30"/>
  <c r="E124" i="30"/>
  <c r="A124" i="30" l="1"/>
  <c r="K124" i="30"/>
  <c r="I124" i="30"/>
  <c r="L123" i="30"/>
  <c r="J123" i="30"/>
  <c r="E125" i="30"/>
  <c r="A125" i="30" l="1"/>
  <c r="K125" i="30"/>
  <c r="I125" i="30"/>
  <c r="L124" i="30"/>
  <c r="J124" i="30"/>
  <c r="E126" i="30"/>
  <c r="A126" i="30" l="1"/>
  <c r="K126" i="30"/>
  <c r="I126" i="30"/>
  <c r="J125" i="30"/>
  <c r="L125" i="30"/>
  <c r="E127" i="30"/>
  <c r="A127" i="30" l="1"/>
  <c r="K127" i="30"/>
  <c r="I127" i="30"/>
  <c r="L126" i="30"/>
  <c r="J126" i="30"/>
  <c r="E128" i="30"/>
  <c r="A128" i="30" l="1"/>
  <c r="K128" i="30"/>
  <c r="I128" i="30"/>
  <c r="J127" i="30"/>
  <c r="L127" i="30"/>
  <c r="E129" i="30"/>
  <c r="A129" i="30" l="1"/>
  <c r="K129" i="30"/>
  <c r="I129" i="30"/>
  <c r="J128" i="30"/>
  <c r="L128" i="30"/>
  <c r="E130" i="30"/>
  <c r="A130" i="30" l="1"/>
  <c r="K130" i="30"/>
  <c r="I130" i="30"/>
  <c r="L129" i="30"/>
  <c r="J129" i="30"/>
  <c r="E131" i="30"/>
  <c r="A131" i="30" l="1"/>
  <c r="K131" i="30"/>
  <c r="I131" i="30"/>
  <c r="J130" i="30"/>
  <c r="L130" i="30"/>
  <c r="E132" i="30"/>
  <c r="A132" i="30" l="1"/>
  <c r="K132" i="30"/>
  <c r="I132" i="30"/>
  <c r="L131" i="30"/>
  <c r="J131" i="30"/>
  <c r="E133" i="30"/>
  <c r="A133" i="30" l="1"/>
  <c r="K133" i="30"/>
  <c r="I133" i="30"/>
  <c r="L132" i="30"/>
  <c r="J132" i="30"/>
  <c r="E134" i="30"/>
  <c r="A134" i="30" l="1"/>
  <c r="K134" i="30"/>
  <c r="I134" i="30"/>
  <c r="J133" i="30"/>
  <c r="L133" i="30"/>
  <c r="E135" i="30"/>
  <c r="A135" i="30" l="1"/>
  <c r="K135" i="30"/>
  <c r="I135" i="30"/>
  <c r="L134" i="30"/>
  <c r="J134" i="30"/>
  <c r="E136" i="30"/>
  <c r="A136" i="30" l="1"/>
  <c r="K136" i="30"/>
  <c r="I136" i="30"/>
  <c r="J135" i="30"/>
  <c r="L135" i="30"/>
  <c r="E137" i="30"/>
  <c r="A137" i="30" l="1"/>
  <c r="I137" i="30"/>
  <c r="K137" i="30"/>
  <c r="J136" i="30"/>
  <c r="L136" i="30"/>
  <c r="E138" i="30"/>
  <c r="A138" i="30" l="1"/>
  <c r="I138" i="30"/>
  <c r="K138" i="30"/>
  <c r="L137" i="30"/>
  <c r="J137" i="30"/>
  <c r="E139" i="30"/>
  <c r="A139" i="30" l="1"/>
  <c r="K139" i="30"/>
  <c r="I139" i="30"/>
  <c r="J138" i="30"/>
  <c r="L138" i="30"/>
  <c r="E140" i="30"/>
  <c r="A140" i="30" l="1"/>
  <c r="I140" i="30"/>
  <c r="K140" i="30"/>
  <c r="L139" i="30"/>
  <c r="J139" i="30"/>
  <c r="E141" i="30"/>
  <c r="A141" i="30" l="1"/>
  <c r="K141" i="30"/>
  <c r="I141" i="30"/>
  <c r="L140" i="30"/>
  <c r="J140" i="30"/>
  <c r="E142" i="30"/>
  <c r="A142" i="30" l="1"/>
  <c r="K142" i="30"/>
  <c r="I142" i="30"/>
  <c r="J141" i="30"/>
  <c r="L141" i="30"/>
  <c r="E143" i="30"/>
  <c r="A143" i="30" l="1"/>
  <c r="K143" i="30"/>
  <c r="I143" i="30"/>
  <c r="L142" i="30"/>
  <c r="J142" i="30"/>
  <c r="E144" i="30"/>
  <c r="A144" i="30" l="1"/>
  <c r="K144" i="30"/>
  <c r="I144" i="30"/>
  <c r="J143" i="30"/>
  <c r="L143" i="30"/>
  <c r="E145" i="30"/>
  <c r="A145" i="30" l="1"/>
  <c r="I145" i="30"/>
  <c r="K145" i="30"/>
  <c r="J144" i="30"/>
  <c r="L144" i="30"/>
  <c r="E146" i="30"/>
  <c r="A146" i="30" l="1"/>
  <c r="K146" i="30"/>
  <c r="I146" i="30"/>
  <c r="L145" i="30"/>
  <c r="J145" i="30"/>
  <c r="E147" i="30"/>
  <c r="A147" i="30" l="1"/>
  <c r="K147" i="30"/>
  <c r="I147" i="30"/>
  <c r="J146" i="30"/>
  <c r="L146" i="30"/>
  <c r="E148" i="30"/>
  <c r="A148" i="30" l="1"/>
  <c r="K148" i="30"/>
  <c r="I148" i="30"/>
  <c r="L147" i="30"/>
  <c r="J147" i="30"/>
  <c r="E149" i="30"/>
  <c r="A149" i="30" l="1"/>
  <c r="K149" i="30"/>
  <c r="I149" i="30"/>
  <c r="L148" i="30"/>
  <c r="J148" i="30"/>
  <c r="E150" i="30"/>
  <c r="A150" i="30" l="1"/>
  <c r="K150" i="30"/>
  <c r="I150" i="30"/>
  <c r="J149" i="30"/>
  <c r="L149" i="30"/>
  <c r="E151" i="30"/>
  <c r="A151" i="30" l="1"/>
  <c r="K151" i="30"/>
  <c r="I151" i="30"/>
  <c r="L150" i="30"/>
  <c r="J150" i="30"/>
  <c r="E152" i="30"/>
  <c r="A152" i="30" l="1"/>
  <c r="K152" i="30"/>
  <c r="I152" i="30"/>
  <c r="J151" i="30"/>
  <c r="L151" i="30"/>
  <c r="E153" i="30"/>
  <c r="A153" i="30" l="1"/>
  <c r="I153" i="30"/>
  <c r="K153" i="30"/>
  <c r="J152" i="30"/>
  <c r="L152" i="30"/>
  <c r="E154" i="30"/>
  <c r="A154" i="30" l="1"/>
  <c r="I154" i="30"/>
  <c r="K154" i="30"/>
  <c r="L153" i="30"/>
  <c r="J153" i="30"/>
  <c r="E155" i="30"/>
  <c r="A155" i="30" l="1"/>
  <c r="K155" i="30"/>
  <c r="I155" i="30"/>
  <c r="J154" i="30"/>
  <c r="L154" i="30"/>
  <c r="E156" i="30"/>
  <c r="A156" i="30" l="1"/>
  <c r="K156" i="30"/>
  <c r="I156" i="30"/>
  <c r="L155" i="30"/>
  <c r="J155" i="30"/>
  <c r="E157" i="30"/>
  <c r="A157" i="30" l="1"/>
  <c r="K157" i="30"/>
  <c r="I157" i="30"/>
  <c r="L156" i="30"/>
  <c r="J156" i="30"/>
  <c r="E158" i="30"/>
  <c r="A158" i="30" l="1"/>
  <c r="K158" i="30"/>
  <c r="I158" i="30"/>
  <c r="J157" i="30"/>
  <c r="L157" i="30"/>
  <c r="E159" i="30"/>
  <c r="A159" i="30" l="1"/>
  <c r="K159" i="30"/>
  <c r="I159" i="30"/>
  <c r="L158" i="30"/>
  <c r="J158" i="30"/>
  <c r="E160" i="30"/>
  <c r="A160" i="30" l="1"/>
  <c r="K160" i="30"/>
  <c r="I160" i="30"/>
  <c r="J159" i="30"/>
  <c r="L159" i="30"/>
  <c r="E161" i="30"/>
  <c r="B10" i="30"/>
  <c r="B9" i="30"/>
  <c r="B8" i="30"/>
  <c r="B7" i="30"/>
  <c r="B6" i="30"/>
  <c r="B5" i="30"/>
  <c r="B4" i="30"/>
  <c r="A161" i="30" l="1"/>
  <c r="I161" i="30"/>
  <c r="K161" i="30"/>
  <c r="J160" i="30"/>
  <c r="L160" i="30"/>
  <c r="E162" i="30"/>
  <c r="C17" i="30"/>
  <c r="D17" i="30" s="1"/>
  <c r="C25" i="30"/>
  <c r="D25" i="30" s="1"/>
  <c r="C33" i="30"/>
  <c r="D33" i="30" s="1"/>
  <c r="C41" i="30"/>
  <c r="D41" i="30" s="1"/>
  <c r="C49" i="30"/>
  <c r="D49" i="30" s="1"/>
  <c r="C57" i="30"/>
  <c r="D57" i="30" s="1"/>
  <c r="C65" i="30"/>
  <c r="D65" i="30" s="1"/>
  <c r="C73" i="30"/>
  <c r="D73" i="30" s="1"/>
  <c r="C81" i="30"/>
  <c r="D81" i="30" s="1"/>
  <c r="C89" i="30"/>
  <c r="D89" i="30" s="1"/>
  <c r="C97" i="30"/>
  <c r="D97" i="30" s="1"/>
  <c r="C105" i="30"/>
  <c r="D105" i="30" s="1"/>
  <c r="C113" i="30"/>
  <c r="D113" i="30" s="1"/>
  <c r="C121" i="30"/>
  <c r="D121" i="30" s="1"/>
  <c r="C129" i="30"/>
  <c r="D129" i="30" s="1"/>
  <c r="C137" i="30"/>
  <c r="D137" i="30" s="1"/>
  <c r="C145" i="30"/>
  <c r="D145" i="30" s="1"/>
  <c r="C153" i="30"/>
  <c r="D153" i="30" s="1"/>
  <c r="C161" i="30"/>
  <c r="D161" i="30" s="1"/>
  <c r="C169" i="30"/>
  <c r="D169" i="30" s="1"/>
  <c r="C177" i="30"/>
  <c r="D177" i="30" s="1"/>
  <c r="C185" i="30"/>
  <c r="D185" i="30" s="1"/>
  <c r="C193" i="30"/>
  <c r="D193" i="30" s="1"/>
  <c r="C201" i="30"/>
  <c r="D201" i="30" s="1"/>
  <c r="C209" i="30"/>
  <c r="D209" i="30" s="1"/>
  <c r="C217" i="30"/>
  <c r="D217" i="30" s="1"/>
  <c r="C225" i="30"/>
  <c r="D225" i="30" s="1"/>
  <c r="C18" i="30"/>
  <c r="D18" i="30" s="1"/>
  <c r="C26" i="30"/>
  <c r="D26" i="30" s="1"/>
  <c r="C34" i="30"/>
  <c r="D34" i="30" s="1"/>
  <c r="C42" i="30"/>
  <c r="D42" i="30" s="1"/>
  <c r="C50" i="30"/>
  <c r="D50" i="30" s="1"/>
  <c r="C58" i="30"/>
  <c r="D58" i="30" s="1"/>
  <c r="C66" i="30"/>
  <c r="D66" i="30" s="1"/>
  <c r="C74" i="30"/>
  <c r="D74" i="30" s="1"/>
  <c r="C82" i="30"/>
  <c r="D82" i="30" s="1"/>
  <c r="C90" i="30"/>
  <c r="D90" i="30" s="1"/>
  <c r="C98" i="30"/>
  <c r="D98" i="30" s="1"/>
  <c r="C106" i="30"/>
  <c r="D106" i="30" s="1"/>
  <c r="C114" i="30"/>
  <c r="D114" i="30" s="1"/>
  <c r="C122" i="30"/>
  <c r="D122" i="30" s="1"/>
  <c r="C130" i="30"/>
  <c r="D130" i="30" s="1"/>
  <c r="C138" i="30"/>
  <c r="D138" i="30" s="1"/>
  <c r="C146" i="30"/>
  <c r="D146" i="30" s="1"/>
  <c r="C154" i="30"/>
  <c r="D154" i="30" s="1"/>
  <c r="C162" i="30"/>
  <c r="D162" i="30" s="1"/>
  <c r="C170" i="30"/>
  <c r="D170" i="30" s="1"/>
  <c r="C178" i="30"/>
  <c r="D178" i="30" s="1"/>
  <c r="C186" i="30"/>
  <c r="D186" i="30" s="1"/>
  <c r="C194" i="30"/>
  <c r="D194" i="30" s="1"/>
  <c r="C202" i="30"/>
  <c r="D202" i="30" s="1"/>
  <c r="C210" i="30"/>
  <c r="D210" i="30" s="1"/>
  <c r="C218" i="30"/>
  <c r="D218" i="30" s="1"/>
  <c r="C226" i="30"/>
  <c r="D226" i="30" s="1"/>
  <c r="C234" i="30"/>
  <c r="D234" i="30" s="1"/>
  <c r="C242" i="30"/>
  <c r="D242" i="30" s="1"/>
  <c r="C250" i="30"/>
  <c r="D250" i="30" s="1"/>
  <c r="C243" i="30"/>
  <c r="D243" i="30" s="1"/>
  <c r="C20" i="30"/>
  <c r="D20" i="30" s="1"/>
  <c r="C44" i="30"/>
  <c r="D44" i="30" s="1"/>
  <c r="C60" i="30"/>
  <c r="D60" i="30" s="1"/>
  <c r="C92" i="30"/>
  <c r="D92" i="30" s="1"/>
  <c r="C108" i="30"/>
  <c r="D108" i="30" s="1"/>
  <c r="C132" i="30"/>
  <c r="D132" i="30" s="1"/>
  <c r="C156" i="30"/>
  <c r="D156" i="30" s="1"/>
  <c r="C180" i="30"/>
  <c r="D180" i="30" s="1"/>
  <c r="C204" i="30"/>
  <c r="D204" i="30" s="1"/>
  <c r="C228" i="30"/>
  <c r="D228" i="30" s="1"/>
  <c r="C244" i="30"/>
  <c r="D244" i="30" s="1"/>
  <c r="C19" i="30"/>
  <c r="D19" i="30" s="1"/>
  <c r="C27" i="30"/>
  <c r="D27" i="30" s="1"/>
  <c r="C35" i="30"/>
  <c r="D35" i="30" s="1"/>
  <c r="C43" i="30"/>
  <c r="D43" i="30" s="1"/>
  <c r="C51" i="30"/>
  <c r="D51" i="30" s="1"/>
  <c r="C59" i="30"/>
  <c r="D59" i="30" s="1"/>
  <c r="C67" i="30"/>
  <c r="D67" i="30" s="1"/>
  <c r="C75" i="30"/>
  <c r="D75" i="30" s="1"/>
  <c r="C83" i="30"/>
  <c r="D83" i="30" s="1"/>
  <c r="C91" i="30"/>
  <c r="D91" i="30" s="1"/>
  <c r="C99" i="30"/>
  <c r="D99" i="30" s="1"/>
  <c r="C107" i="30"/>
  <c r="D107" i="30" s="1"/>
  <c r="C115" i="30"/>
  <c r="D115" i="30" s="1"/>
  <c r="C123" i="30"/>
  <c r="D123" i="30" s="1"/>
  <c r="C131" i="30"/>
  <c r="D131" i="30" s="1"/>
  <c r="C139" i="30"/>
  <c r="D139" i="30" s="1"/>
  <c r="C147" i="30"/>
  <c r="D147" i="30" s="1"/>
  <c r="C155" i="30"/>
  <c r="D155" i="30" s="1"/>
  <c r="C163" i="30"/>
  <c r="D163" i="30" s="1"/>
  <c r="C171" i="30"/>
  <c r="D171" i="30" s="1"/>
  <c r="C179" i="30"/>
  <c r="D179" i="30" s="1"/>
  <c r="C187" i="30"/>
  <c r="D187" i="30" s="1"/>
  <c r="C195" i="30"/>
  <c r="D195" i="30" s="1"/>
  <c r="C203" i="30"/>
  <c r="D203" i="30" s="1"/>
  <c r="C211" i="30"/>
  <c r="D211" i="30" s="1"/>
  <c r="C219" i="30"/>
  <c r="D219" i="30" s="1"/>
  <c r="C227" i="30"/>
  <c r="D227" i="30" s="1"/>
  <c r="C235" i="30"/>
  <c r="D235" i="30" s="1"/>
  <c r="C13" i="30"/>
  <c r="D13" i="30" s="1"/>
  <c r="C28" i="30"/>
  <c r="D28" i="30" s="1"/>
  <c r="C52" i="30"/>
  <c r="D52" i="30" s="1"/>
  <c r="C68" i="30"/>
  <c r="D68" i="30" s="1"/>
  <c r="C84" i="30"/>
  <c r="D84" i="30" s="1"/>
  <c r="C100" i="30"/>
  <c r="D100" i="30" s="1"/>
  <c r="C124" i="30"/>
  <c r="D124" i="30" s="1"/>
  <c r="C148" i="30"/>
  <c r="D148" i="30" s="1"/>
  <c r="C172" i="30"/>
  <c r="D172" i="30" s="1"/>
  <c r="C196" i="30"/>
  <c r="D196" i="30" s="1"/>
  <c r="C212" i="30"/>
  <c r="D212" i="30" s="1"/>
  <c r="C236" i="30"/>
  <c r="D236" i="30" s="1"/>
  <c r="C36" i="30"/>
  <c r="D36" i="30" s="1"/>
  <c r="C76" i="30"/>
  <c r="D76" i="30" s="1"/>
  <c r="C116" i="30"/>
  <c r="D116" i="30" s="1"/>
  <c r="C140" i="30"/>
  <c r="D140" i="30" s="1"/>
  <c r="C164" i="30"/>
  <c r="D164" i="30" s="1"/>
  <c r="C188" i="30"/>
  <c r="D188" i="30" s="1"/>
  <c r="C220" i="30"/>
  <c r="D220" i="30" s="1"/>
  <c r="C21" i="30"/>
  <c r="D21" i="30" s="1"/>
  <c r="C29" i="30"/>
  <c r="D29" i="30" s="1"/>
  <c r="C37" i="30"/>
  <c r="D37" i="30" s="1"/>
  <c r="C45" i="30"/>
  <c r="D45" i="30" s="1"/>
  <c r="C53" i="30"/>
  <c r="D53" i="30" s="1"/>
  <c r="C61" i="30"/>
  <c r="D61" i="30" s="1"/>
  <c r="C69" i="30"/>
  <c r="D69" i="30" s="1"/>
  <c r="C77" i="30"/>
  <c r="D77" i="30" s="1"/>
  <c r="C85" i="30"/>
  <c r="D85" i="30" s="1"/>
  <c r="C93" i="30"/>
  <c r="D93" i="30" s="1"/>
  <c r="C101" i="30"/>
  <c r="D101" i="30" s="1"/>
  <c r="C109" i="30"/>
  <c r="D109" i="30" s="1"/>
  <c r="C117" i="30"/>
  <c r="D117" i="30" s="1"/>
  <c r="C125" i="30"/>
  <c r="D125" i="30" s="1"/>
  <c r="C133" i="30"/>
  <c r="D133" i="30" s="1"/>
  <c r="C141" i="30"/>
  <c r="D141" i="30" s="1"/>
  <c r="C149" i="30"/>
  <c r="D149" i="30" s="1"/>
  <c r="C157" i="30"/>
  <c r="D157" i="30" s="1"/>
  <c r="C165" i="30"/>
  <c r="D165" i="30" s="1"/>
  <c r="C173" i="30"/>
  <c r="D173" i="30" s="1"/>
  <c r="C181" i="30"/>
  <c r="D181" i="30" s="1"/>
  <c r="C189" i="30"/>
  <c r="D189" i="30" s="1"/>
  <c r="C197" i="30"/>
  <c r="D197" i="30" s="1"/>
  <c r="C205" i="30"/>
  <c r="D205" i="30" s="1"/>
  <c r="C213" i="30"/>
  <c r="D213" i="30" s="1"/>
  <c r="C221" i="30"/>
  <c r="D221" i="30" s="1"/>
  <c r="C229" i="30"/>
  <c r="D229" i="30" s="1"/>
  <c r="C237" i="30"/>
  <c r="D237" i="30" s="1"/>
  <c r="C245" i="30"/>
  <c r="D245" i="30" s="1"/>
  <c r="C15" i="30"/>
  <c r="D15" i="30" s="1"/>
  <c r="C23" i="30"/>
  <c r="D23" i="30" s="1"/>
  <c r="C31" i="30"/>
  <c r="D31" i="30" s="1"/>
  <c r="C39" i="30"/>
  <c r="D39" i="30" s="1"/>
  <c r="C47" i="30"/>
  <c r="D47" i="30" s="1"/>
  <c r="C55" i="30"/>
  <c r="D55" i="30" s="1"/>
  <c r="C32" i="30"/>
  <c r="D32" i="30" s="1"/>
  <c r="C63" i="30"/>
  <c r="D63" i="30" s="1"/>
  <c r="C86" i="30"/>
  <c r="D86" i="30" s="1"/>
  <c r="C104" i="30"/>
  <c r="D104" i="30" s="1"/>
  <c r="C127" i="30"/>
  <c r="D127" i="30" s="1"/>
  <c r="C150" i="30"/>
  <c r="D150" i="30" s="1"/>
  <c r="C168" i="30"/>
  <c r="D168" i="30" s="1"/>
  <c r="C191" i="30"/>
  <c r="D191" i="30" s="1"/>
  <c r="C214" i="30"/>
  <c r="D214" i="30" s="1"/>
  <c r="C232" i="30"/>
  <c r="D232" i="30" s="1"/>
  <c r="C248" i="30"/>
  <c r="D248" i="30" s="1"/>
  <c r="C215" i="30"/>
  <c r="D215" i="30" s="1"/>
  <c r="C249" i="30"/>
  <c r="D249" i="30" s="1"/>
  <c r="C160" i="30"/>
  <c r="D160" i="30" s="1"/>
  <c r="C24" i="30"/>
  <c r="D24" i="30" s="1"/>
  <c r="C143" i="30"/>
  <c r="D143" i="30" s="1"/>
  <c r="C207" i="30"/>
  <c r="D207" i="30" s="1"/>
  <c r="C30" i="30"/>
  <c r="D30" i="30" s="1"/>
  <c r="C126" i="30"/>
  <c r="D126" i="30" s="1"/>
  <c r="C38" i="30"/>
  <c r="D38" i="30" s="1"/>
  <c r="C64" i="30"/>
  <c r="D64" i="30" s="1"/>
  <c r="C87" i="30"/>
  <c r="D87" i="30" s="1"/>
  <c r="C110" i="30"/>
  <c r="D110" i="30" s="1"/>
  <c r="C128" i="30"/>
  <c r="D128" i="30" s="1"/>
  <c r="C151" i="30"/>
  <c r="D151" i="30" s="1"/>
  <c r="C174" i="30"/>
  <c r="D174" i="30" s="1"/>
  <c r="C192" i="30"/>
  <c r="D192" i="30" s="1"/>
  <c r="C233" i="30"/>
  <c r="D233" i="30" s="1"/>
  <c r="C119" i="30"/>
  <c r="D119" i="30" s="1"/>
  <c r="C230" i="30"/>
  <c r="D230" i="30" s="1"/>
  <c r="C167" i="30"/>
  <c r="D167" i="30" s="1"/>
  <c r="C40" i="30"/>
  <c r="D40" i="30" s="1"/>
  <c r="C70" i="30"/>
  <c r="D70" i="30" s="1"/>
  <c r="C88" i="30"/>
  <c r="D88" i="30" s="1"/>
  <c r="C111" i="30"/>
  <c r="D111" i="30" s="1"/>
  <c r="C134" i="30"/>
  <c r="D134" i="30" s="1"/>
  <c r="C152" i="30"/>
  <c r="D152" i="30" s="1"/>
  <c r="C175" i="30"/>
  <c r="D175" i="30" s="1"/>
  <c r="C198" i="30"/>
  <c r="D198" i="30" s="1"/>
  <c r="C216" i="30"/>
  <c r="D216" i="30" s="1"/>
  <c r="C238" i="30"/>
  <c r="D238" i="30" s="1"/>
  <c r="C224" i="30"/>
  <c r="D224" i="30" s="1"/>
  <c r="C102" i="30"/>
  <c r="D102" i="30" s="1"/>
  <c r="C190" i="30"/>
  <c r="D190" i="30" s="1"/>
  <c r="C14" i="30"/>
  <c r="D14" i="30" s="1"/>
  <c r="C46" i="30"/>
  <c r="D46" i="30" s="1"/>
  <c r="C71" i="30"/>
  <c r="D71" i="30" s="1"/>
  <c r="C94" i="30"/>
  <c r="D94" i="30" s="1"/>
  <c r="C112" i="30"/>
  <c r="D112" i="30" s="1"/>
  <c r="C135" i="30"/>
  <c r="D135" i="30" s="1"/>
  <c r="C158" i="30"/>
  <c r="D158" i="30" s="1"/>
  <c r="C176" i="30"/>
  <c r="D176" i="30" s="1"/>
  <c r="C199" i="30"/>
  <c r="D199" i="30" s="1"/>
  <c r="C222" i="30"/>
  <c r="D222" i="30" s="1"/>
  <c r="C239" i="30"/>
  <c r="D239" i="30" s="1"/>
  <c r="C142" i="30"/>
  <c r="D142" i="30" s="1"/>
  <c r="C241" i="30"/>
  <c r="D241" i="30" s="1"/>
  <c r="C79" i="30"/>
  <c r="D79" i="30" s="1"/>
  <c r="C184" i="30"/>
  <c r="D184" i="30" s="1"/>
  <c r="C62" i="30"/>
  <c r="D62" i="30" s="1"/>
  <c r="C144" i="30"/>
  <c r="D144" i="30" s="1"/>
  <c r="C231" i="30"/>
  <c r="D231" i="30" s="1"/>
  <c r="C16" i="30"/>
  <c r="D16" i="30" s="1"/>
  <c r="C48" i="30"/>
  <c r="D48" i="30" s="1"/>
  <c r="C72" i="30"/>
  <c r="D72" i="30" s="1"/>
  <c r="C95" i="30"/>
  <c r="D95" i="30" s="1"/>
  <c r="C118" i="30"/>
  <c r="D118" i="30" s="1"/>
  <c r="C136" i="30"/>
  <c r="D136" i="30" s="1"/>
  <c r="C159" i="30"/>
  <c r="D159" i="30" s="1"/>
  <c r="C182" i="30"/>
  <c r="D182" i="30" s="1"/>
  <c r="C200" i="30"/>
  <c r="D200" i="30" s="1"/>
  <c r="C223" i="30"/>
  <c r="D223" i="30" s="1"/>
  <c r="C240" i="30"/>
  <c r="D240" i="30" s="1"/>
  <c r="C54" i="30"/>
  <c r="D54" i="30" s="1"/>
  <c r="C78" i="30"/>
  <c r="D78" i="30" s="1"/>
  <c r="C96" i="30"/>
  <c r="D96" i="30" s="1"/>
  <c r="C206" i="30"/>
  <c r="D206" i="30" s="1"/>
  <c r="C56" i="30"/>
  <c r="D56" i="30" s="1"/>
  <c r="C166" i="30"/>
  <c r="D166" i="30" s="1"/>
  <c r="C80" i="30"/>
  <c r="D80" i="30" s="1"/>
  <c r="C208" i="30"/>
  <c r="D208" i="30" s="1"/>
  <c r="C22" i="30"/>
  <c r="D22" i="30" s="1"/>
  <c r="C183" i="30"/>
  <c r="D183" i="30" s="1"/>
  <c r="C120" i="30"/>
  <c r="D120" i="30" s="1"/>
  <c r="C246" i="30"/>
  <c r="D246" i="30" s="1"/>
  <c r="C103" i="30"/>
  <c r="D103" i="30" s="1"/>
  <c r="C247" i="30"/>
  <c r="D247" i="30" s="1"/>
  <c r="H251" i="30"/>
  <c r="G251" i="30"/>
  <c r="F251" i="30"/>
  <c r="A162" i="30" l="1"/>
  <c r="I162" i="30"/>
  <c r="K162" i="30"/>
  <c r="L161" i="30"/>
  <c r="J161" i="30"/>
  <c r="E163" i="30"/>
  <c r="H6" i="23"/>
  <c r="L177" i="23"/>
  <c r="L178" i="23"/>
  <c r="L179" i="23"/>
  <c r="L180" i="23"/>
  <c r="L181" i="23"/>
  <c r="L182" i="23"/>
  <c r="L183" i="23"/>
  <c r="L176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79" i="23"/>
  <c r="D180" i="23"/>
  <c r="D181" i="23"/>
  <c r="D182" i="23"/>
  <c r="D183" i="23"/>
  <c r="D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C101" i="23"/>
  <c r="C102" i="23"/>
  <c r="C103" i="23"/>
  <c r="C104" i="23"/>
  <c r="C105" i="23"/>
  <c r="C106" i="23"/>
  <c r="C107" i="23"/>
  <c r="C108" i="23"/>
  <c r="C109" i="23"/>
  <c r="C110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3" i="23"/>
  <c r="K158" i="23"/>
  <c r="J177" i="23"/>
  <c r="J178" i="23"/>
  <c r="J179" i="23"/>
  <c r="J180" i="23"/>
  <c r="J181" i="23"/>
  <c r="J182" i="23"/>
  <c r="J183" i="23"/>
  <c r="J176" i="23"/>
  <c r="F184" i="23"/>
  <c r="E13" i="23"/>
  <c r="E14" i="23" s="1"/>
  <c r="E15" i="23" s="1"/>
  <c r="E16" i="23" s="1"/>
  <c r="E17" i="23" s="1"/>
  <c r="E18" i="23" s="1"/>
  <c r="E19" i="23" s="1"/>
  <c r="E20" i="23" s="1"/>
  <c r="E21" i="23" s="1"/>
  <c r="E22" i="23" s="1"/>
  <c r="E23" i="23" s="1"/>
  <c r="E24" i="23" s="1"/>
  <c r="E25" i="23" s="1"/>
  <c r="E26" i="23" s="1"/>
  <c r="E27" i="23" s="1"/>
  <c r="E28" i="23" s="1"/>
  <c r="E29" i="23" s="1"/>
  <c r="E30" i="23" s="1"/>
  <c r="E31" i="23" s="1"/>
  <c r="E32" i="23" s="1"/>
  <c r="E33" i="23" s="1"/>
  <c r="E34" i="23" s="1"/>
  <c r="E35" i="23" s="1"/>
  <c r="E36" i="23" s="1"/>
  <c r="E37" i="23" s="1"/>
  <c r="E38" i="23" s="1"/>
  <c r="E39" i="23" s="1"/>
  <c r="E40" i="23" s="1"/>
  <c r="E41" i="23" s="1"/>
  <c r="E42" i="23" s="1"/>
  <c r="E43" i="23" s="1"/>
  <c r="E44" i="23" s="1"/>
  <c r="E45" i="23" s="1"/>
  <c r="E46" i="23" s="1"/>
  <c r="E47" i="23" s="1"/>
  <c r="E48" i="23" s="1"/>
  <c r="E49" i="23" s="1"/>
  <c r="E50" i="23" s="1"/>
  <c r="E51" i="23" s="1"/>
  <c r="E52" i="23" s="1"/>
  <c r="E53" i="23" s="1"/>
  <c r="E54" i="23" s="1"/>
  <c r="E55" i="23" s="1"/>
  <c r="E56" i="23" s="1"/>
  <c r="E57" i="23" s="1"/>
  <c r="E58" i="23" s="1"/>
  <c r="E59" i="23" s="1"/>
  <c r="E60" i="23" s="1"/>
  <c r="E61" i="23" s="1"/>
  <c r="E62" i="23" s="1"/>
  <c r="E63" i="23" s="1"/>
  <c r="E64" i="23" s="1"/>
  <c r="E65" i="23" s="1"/>
  <c r="E66" i="23" s="1"/>
  <c r="E67" i="23" s="1"/>
  <c r="E68" i="23" s="1"/>
  <c r="E69" i="23" s="1"/>
  <c r="E70" i="23" s="1"/>
  <c r="E71" i="23" s="1"/>
  <c r="E72" i="23" s="1"/>
  <c r="E73" i="23" s="1"/>
  <c r="E74" i="23" s="1"/>
  <c r="E75" i="23" s="1"/>
  <c r="E76" i="23" s="1"/>
  <c r="E77" i="23" s="1"/>
  <c r="E78" i="23" s="1"/>
  <c r="E79" i="23" s="1"/>
  <c r="E80" i="23" s="1"/>
  <c r="E81" i="23" s="1"/>
  <c r="E82" i="23" s="1"/>
  <c r="E83" i="23" s="1"/>
  <c r="E84" i="23" s="1"/>
  <c r="E85" i="23" s="1"/>
  <c r="E86" i="23" s="1"/>
  <c r="E87" i="23" s="1"/>
  <c r="E88" i="23" s="1"/>
  <c r="E89" i="23" s="1"/>
  <c r="E90" i="23" s="1"/>
  <c r="E91" i="23" s="1"/>
  <c r="E92" i="23" s="1"/>
  <c r="E93" i="23" s="1"/>
  <c r="E94" i="23" s="1"/>
  <c r="E95" i="23" s="1"/>
  <c r="E96" i="23" s="1"/>
  <c r="E97" i="23" s="1"/>
  <c r="E98" i="23" s="1"/>
  <c r="E99" i="23" s="1"/>
  <c r="E100" i="23" s="1"/>
  <c r="E101" i="23" s="1"/>
  <c r="E102" i="23" s="1"/>
  <c r="E103" i="23" s="1"/>
  <c r="E104" i="23" s="1"/>
  <c r="E105" i="23" s="1"/>
  <c r="E106" i="23" s="1"/>
  <c r="E107" i="23" s="1"/>
  <c r="E108" i="23" s="1"/>
  <c r="E109" i="23" s="1"/>
  <c r="E110" i="23" s="1"/>
  <c r="E111" i="23" s="1"/>
  <c r="E112" i="23" s="1"/>
  <c r="E113" i="23" s="1"/>
  <c r="E114" i="23" s="1"/>
  <c r="E115" i="23" s="1"/>
  <c r="E116" i="23" s="1"/>
  <c r="E117" i="23" s="1"/>
  <c r="E118" i="23" s="1"/>
  <c r="E119" i="23" s="1"/>
  <c r="E120" i="23" s="1"/>
  <c r="E121" i="23" s="1"/>
  <c r="E122" i="23" s="1"/>
  <c r="E123" i="23" s="1"/>
  <c r="E124" i="23" s="1"/>
  <c r="E125" i="23" s="1"/>
  <c r="E126" i="23" s="1"/>
  <c r="E127" i="23" s="1"/>
  <c r="E128" i="23" s="1"/>
  <c r="E129" i="23" s="1"/>
  <c r="E130" i="23" s="1"/>
  <c r="E131" i="23" s="1"/>
  <c r="E132" i="23" s="1"/>
  <c r="E133" i="23" s="1"/>
  <c r="E134" i="23" s="1"/>
  <c r="E135" i="23" s="1"/>
  <c r="E136" i="23" s="1"/>
  <c r="E137" i="23" s="1"/>
  <c r="E138" i="23" s="1"/>
  <c r="E139" i="23" s="1"/>
  <c r="E140" i="23" s="1"/>
  <c r="E141" i="23" s="1"/>
  <c r="E142" i="23" s="1"/>
  <c r="E143" i="23" s="1"/>
  <c r="E144" i="23" s="1"/>
  <c r="E145" i="23" s="1"/>
  <c r="E146" i="23" s="1"/>
  <c r="E147" i="23" s="1"/>
  <c r="E148" i="23" s="1"/>
  <c r="E149" i="23" s="1"/>
  <c r="E150" i="23" s="1"/>
  <c r="E151" i="23" s="1"/>
  <c r="E152" i="23" s="1"/>
  <c r="E153" i="23" s="1"/>
  <c r="E154" i="23" s="1"/>
  <c r="E155" i="23" s="1"/>
  <c r="E156" i="23" s="1"/>
  <c r="E157" i="23" s="1"/>
  <c r="E158" i="23" s="1"/>
  <c r="E159" i="23" s="1"/>
  <c r="E160" i="23" s="1"/>
  <c r="E161" i="23" s="1"/>
  <c r="E162" i="23" s="1"/>
  <c r="E163" i="23" s="1"/>
  <c r="E164" i="23" s="1"/>
  <c r="E165" i="23" s="1"/>
  <c r="E166" i="23" s="1"/>
  <c r="E167" i="23" s="1"/>
  <c r="E168" i="23" s="1"/>
  <c r="E169" i="23" s="1"/>
  <c r="E170" i="23" s="1"/>
  <c r="E171" i="23" s="1"/>
  <c r="E172" i="23" s="1"/>
  <c r="E173" i="23" s="1"/>
  <c r="E174" i="23" s="1"/>
  <c r="E175" i="23" s="1"/>
  <c r="E176" i="23" s="1"/>
  <c r="E177" i="23" s="1"/>
  <c r="E178" i="23" s="1"/>
  <c r="E179" i="23" s="1"/>
  <c r="E180" i="23" s="1"/>
  <c r="E181" i="23" s="1"/>
  <c r="E182" i="23" s="1"/>
  <c r="E183" i="23" s="1"/>
  <c r="E184" i="23" s="1"/>
  <c r="A163" i="30" l="1"/>
  <c r="K163" i="30"/>
  <c r="I163" i="30"/>
  <c r="J162" i="30"/>
  <c r="L162" i="30"/>
  <c r="E164" i="30"/>
  <c r="G184" i="23"/>
  <c r="H184" i="23"/>
  <c r="A164" i="30" l="1"/>
  <c r="I164" i="30"/>
  <c r="K164" i="30"/>
  <c r="L163" i="30"/>
  <c r="J163" i="30"/>
  <c r="E165" i="30"/>
  <c r="K184" i="23"/>
  <c r="A165" i="30" l="1"/>
  <c r="K165" i="30"/>
  <c r="I165" i="30"/>
  <c r="L164" i="30"/>
  <c r="J164" i="30"/>
  <c r="E166" i="30"/>
  <c r="H5" i="23"/>
  <c r="L184" i="23"/>
  <c r="A166" i="30" l="1"/>
  <c r="K166" i="30"/>
  <c r="I166" i="30"/>
  <c r="J165" i="30"/>
  <c r="L165" i="30"/>
  <c r="E167" i="30"/>
  <c r="H7" i="23"/>
  <c r="A167" i="30" l="1"/>
  <c r="K167" i="30"/>
  <c r="I167" i="30"/>
  <c r="L166" i="30"/>
  <c r="J166" i="30"/>
  <c r="E168" i="30"/>
  <c r="A168" i="30" l="1"/>
  <c r="K168" i="30"/>
  <c r="I168" i="30"/>
  <c r="J167" i="30"/>
  <c r="L167" i="30"/>
  <c r="E169" i="30"/>
  <c r="A169" i="30" l="1"/>
  <c r="K169" i="30"/>
  <c r="I169" i="30"/>
  <c r="J168" i="30"/>
  <c r="L168" i="30"/>
  <c r="E170" i="30"/>
  <c r="A170" i="30" l="1"/>
  <c r="K170" i="30"/>
  <c r="I170" i="30"/>
  <c r="L169" i="30"/>
  <c r="J169" i="30"/>
  <c r="E171" i="30"/>
  <c r="J170" i="30" l="1"/>
  <c r="L170" i="30"/>
  <c r="A171" i="30"/>
  <c r="K171" i="30"/>
  <c r="I171" i="30"/>
  <c r="E172" i="30"/>
  <c r="L171" i="30" l="1"/>
  <c r="J171" i="30"/>
  <c r="A172" i="30"/>
  <c r="K172" i="30"/>
  <c r="I172" i="30"/>
  <c r="E173" i="30"/>
  <c r="L172" i="30" l="1"/>
  <c r="J172" i="30"/>
  <c r="A173" i="30"/>
  <c r="K173" i="30"/>
  <c r="I173" i="30"/>
  <c r="E174" i="30"/>
  <c r="J173" i="30" l="1"/>
  <c r="L173" i="30"/>
  <c r="A174" i="30"/>
  <c r="K174" i="30"/>
  <c r="I174" i="30"/>
  <c r="E175" i="30"/>
  <c r="A175" i="30" l="1"/>
  <c r="K175" i="30"/>
  <c r="I175" i="30"/>
  <c r="L174" i="30"/>
  <c r="J174" i="30"/>
  <c r="E176" i="30"/>
  <c r="A176" i="30" l="1"/>
  <c r="K176" i="30"/>
  <c r="I176" i="30"/>
  <c r="J175" i="30"/>
  <c r="L175" i="30"/>
  <c r="E177" i="30"/>
  <c r="A177" i="30" l="1"/>
  <c r="I177" i="30"/>
  <c r="K177" i="30"/>
  <c r="J176" i="30"/>
  <c r="L176" i="30"/>
  <c r="E178" i="30"/>
  <c r="A178" i="30" l="1"/>
  <c r="I178" i="30"/>
  <c r="K178" i="30"/>
  <c r="L177" i="30"/>
  <c r="J177" i="30"/>
  <c r="E179" i="30"/>
  <c r="A179" i="30" l="1"/>
  <c r="K179" i="30"/>
  <c r="I179" i="30"/>
  <c r="J178" i="30"/>
  <c r="L178" i="30"/>
  <c r="E180" i="30"/>
  <c r="A180" i="30" l="1"/>
  <c r="I180" i="30"/>
  <c r="K180" i="30"/>
  <c r="L179" i="30"/>
  <c r="J179" i="30"/>
  <c r="E181" i="30"/>
  <c r="L180" i="30" l="1"/>
  <c r="J180" i="30"/>
  <c r="A181" i="30"/>
  <c r="K181" i="30"/>
  <c r="I181" i="30"/>
  <c r="E182" i="30"/>
  <c r="A182" i="30" l="1"/>
  <c r="K182" i="30"/>
  <c r="I182" i="30"/>
  <c r="J181" i="30"/>
  <c r="L181" i="30"/>
  <c r="E183" i="30"/>
  <c r="A183" i="30" l="1"/>
  <c r="K183" i="30"/>
  <c r="I183" i="30"/>
  <c r="L182" i="30"/>
  <c r="J182" i="30"/>
  <c r="E184" i="30"/>
  <c r="A184" i="30" l="1"/>
  <c r="K184" i="30"/>
  <c r="I184" i="30"/>
  <c r="J183" i="30"/>
  <c r="L183" i="30"/>
  <c r="E185" i="30"/>
  <c r="A185" i="30" l="1"/>
  <c r="I185" i="30"/>
  <c r="K185" i="30"/>
  <c r="J184" i="30"/>
  <c r="L184" i="30"/>
  <c r="E186" i="30"/>
  <c r="A186" i="30" l="1"/>
  <c r="I186" i="30"/>
  <c r="K186" i="30"/>
  <c r="L185" i="30"/>
  <c r="J185" i="30"/>
  <c r="E187" i="30"/>
  <c r="A187" i="30" l="1"/>
  <c r="K187" i="30"/>
  <c r="I187" i="30"/>
  <c r="J186" i="30"/>
  <c r="L186" i="30"/>
  <c r="E188" i="30"/>
  <c r="A188" i="30" l="1"/>
  <c r="K188" i="30"/>
  <c r="I188" i="30"/>
  <c r="L187" i="30"/>
  <c r="J187" i="30"/>
  <c r="E189" i="30"/>
  <c r="A189" i="30" l="1"/>
  <c r="K189" i="30"/>
  <c r="I189" i="30"/>
  <c r="L188" i="30"/>
  <c r="J188" i="30"/>
  <c r="E190" i="30"/>
  <c r="A190" i="30" l="1"/>
  <c r="K190" i="30"/>
  <c r="I190" i="30"/>
  <c r="J189" i="30"/>
  <c r="L189" i="30"/>
  <c r="E191" i="30"/>
  <c r="A191" i="30" l="1"/>
  <c r="K191" i="30"/>
  <c r="I191" i="30"/>
  <c r="L190" i="30"/>
  <c r="J190" i="30"/>
  <c r="E192" i="30"/>
  <c r="J191" i="30" l="1"/>
  <c r="L191" i="30"/>
  <c r="A192" i="30"/>
  <c r="K192" i="30"/>
  <c r="I192" i="30"/>
  <c r="E193" i="30"/>
  <c r="A193" i="30" l="1"/>
  <c r="K193" i="30"/>
  <c r="I193" i="30"/>
  <c r="J192" i="30"/>
  <c r="L192" i="30"/>
  <c r="E194" i="30"/>
  <c r="A194" i="30" l="1"/>
  <c r="K194" i="30"/>
  <c r="I194" i="30"/>
  <c r="L193" i="30"/>
  <c r="J193" i="30"/>
  <c r="E195" i="30"/>
  <c r="A195" i="30" l="1"/>
  <c r="K195" i="30"/>
  <c r="I195" i="30"/>
  <c r="L194" i="30"/>
  <c r="J194" i="30"/>
  <c r="E196" i="30"/>
  <c r="A196" i="30" l="1"/>
  <c r="K196" i="30"/>
  <c r="I196" i="30"/>
  <c r="L195" i="30"/>
  <c r="J195" i="30"/>
  <c r="E197" i="30"/>
  <c r="A197" i="30" l="1"/>
  <c r="K197" i="30"/>
  <c r="I197" i="30"/>
  <c r="L196" i="30"/>
  <c r="J196" i="30"/>
  <c r="E198" i="30"/>
  <c r="A198" i="30" l="1"/>
  <c r="K198" i="30"/>
  <c r="I198" i="30"/>
  <c r="J197" i="30"/>
  <c r="L197" i="30"/>
  <c r="E199" i="30"/>
  <c r="A199" i="30" l="1"/>
  <c r="K199" i="30"/>
  <c r="I199" i="30"/>
  <c r="L198" i="30"/>
  <c r="J198" i="30"/>
  <c r="E200" i="30"/>
  <c r="A200" i="30" l="1"/>
  <c r="K200" i="30"/>
  <c r="I200" i="30"/>
  <c r="J199" i="30"/>
  <c r="L199" i="30"/>
  <c r="E201" i="30"/>
  <c r="A201" i="30" l="1"/>
  <c r="I201" i="30"/>
  <c r="K201" i="30"/>
  <c r="J200" i="30"/>
  <c r="L200" i="30"/>
  <c r="E202" i="30"/>
  <c r="A202" i="30" l="1"/>
  <c r="I202" i="30"/>
  <c r="K202" i="30"/>
  <c r="L201" i="30"/>
  <c r="J201" i="30"/>
  <c r="E203" i="30"/>
  <c r="A203" i="30" l="1"/>
  <c r="K203" i="30"/>
  <c r="I203" i="30"/>
  <c r="J202" i="30"/>
  <c r="L202" i="30"/>
  <c r="E204" i="30"/>
  <c r="A204" i="30" l="1"/>
  <c r="I204" i="30"/>
  <c r="K204" i="30"/>
  <c r="L203" i="30"/>
  <c r="J203" i="30"/>
  <c r="E205" i="30"/>
  <c r="A205" i="30" l="1"/>
  <c r="K205" i="30"/>
  <c r="I205" i="30"/>
  <c r="L204" i="30"/>
  <c r="J204" i="30"/>
  <c r="E206" i="30"/>
  <c r="A206" i="30" l="1"/>
  <c r="K206" i="30"/>
  <c r="I206" i="30"/>
  <c r="J205" i="30"/>
  <c r="L205" i="30"/>
  <c r="E207" i="30"/>
  <c r="A207" i="30" l="1"/>
  <c r="K207" i="30"/>
  <c r="I207" i="30"/>
  <c r="L206" i="30"/>
  <c r="J206" i="30"/>
  <c r="E208" i="30"/>
  <c r="A208" i="30" l="1"/>
  <c r="K208" i="30"/>
  <c r="I208" i="30"/>
  <c r="J207" i="30"/>
  <c r="L207" i="30"/>
  <c r="E209" i="30"/>
  <c r="A209" i="30" l="1"/>
  <c r="I209" i="30"/>
  <c r="K209" i="30"/>
  <c r="J208" i="30"/>
  <c r="L208" i="30"/>
  <c r="E210" i="30"/>
  <c r="A210" i="30" l="1"/>
  <c r="K210" i="30"/>
  <c r="I210" i="30"/>
  <c r="L209" i="30"/>
  <c r="J209" i="30"/>
  <c r="E211" i="30"/>
  <c r="A211" i="30" l="1"/>
  <c r="K211" i="30"/>
  <c r="I211" i="30"/>
  <c r="J210" i="30"/>
  <c r="L210" i="30"/>
  <c r="E212" i="30"/>
  <c r="A212" i="30" l="1"/>
  <c r="K212" i="30"/>
  <c r="I212" i="30"/>
  <c r="L211" i="30"/>
  <c r="J211" i="30"/>
  <c r="E213" i="30"/>
  <c r="A213" i="30" l="1"/>
  <c r="K213" i="30"/>
  <c r="I213" i="30"/>
  <c r="L212" i="30"/>
  <c r="J212" i="30"/>
  <c r="E214" i="30"/>
  <c r="A214" i="30" l="1"/>
  <c r="K214" i="30"/>
  <c r="I214" i="30"/>
  <c r="J213" i="30"/>
  <c r="L213" i="30"/>
  <c r="E215" i="30"/>
  <c r="A215" i="30" l="1"/>
  <c r="K215" i="30"/>
  <c r="I215" i="30"/>
  <c r="L214" i="30"/>
  <c r="J214" i="30"/>
  <c r="E216" i="30"/>
  <c r="A216" i="30" l="1"/>
  <c r="K216" i="30"/>
  <c r="I216" i="30"/>
  <c r="L215" i="30"/>
  <c r="J215" i="30"/>
  <c r="E217" i="30"/>
  <c r="A217" i="30" l="1"/>
  <c r="I217" i="30"/>
  <c r="K217" i="30"/>
  <c r="L216" i="30"/>
  <c r="J216" i="30"/>
  <c r="E218" i="30"/>
  <c r="L217" i="30" l="1"/>
  <c r="J217" i="30"/>
  <c r="A218" i="30"/>
  <c r="I218" i="30"/>
  <c r="K218" i="30"/>
  <c r="E219" i="30"/>
  <c r="A219" i="30" l="1"/>
  <c r="K219" i="30"/>
  <c r="I219" i="30"/>
  <c r="L218" i="30"/>
  <c r="J218" i="30"/>
  <c r="E220" i="30"/>
  <c r="A220" i="30" l="1"/>
  <c r="K220" i="30"/>
  <c r="I220" i="30"/>
  <c r="L219" i="30"/>
  <c r="J219" i="30"/>
  <c r="E221" i="30"/>
  <c r="A221" i="30" l="1"/>
  <c r="K221" i="30"/>
  <c r="I221" i="30"/>
  <c r="L220" i="30"/>
  <c r="J220" i="30"/>
  <c r="E222" i="30"/>
  <c r="A222" i="30" l="1"/>
  <c r="K222" i="30"/>
  <c r="I222" i="30"/>
  <c r="L221" i="30"/>
  <c r="J221" i="30"/>
  <c r="E223" i="30"/>
  <c r="A223" i="30" l="1"/>
  <c r="K223" i="30"/>
  <c r="I223" i="30"/>
  <c r="L222" i="30"/>
  <c r="J222" i="30"/>
  <c r="E224" i="30"/>
  <c r="A224" i="30" l="1"/>
  <c r="K224" i="30"/>
  <c r="I224" i="30"/>
  <c r="J223" i="30"/>
  <c r="L223" i="30"/>
  <c r="E225" i="30"/>
  <c r="A225" i="30" l="1"/>
  <c r="I225" i="30"/>
  <c r="K225" i="30"/>
  <c r="J224" i="30"/>
  <c r="L224" i="30"/>
  <c r="E226" i="30"/>
  <c r="A226" i="30" l="1"/>
  <c r="I226" i="30"/>
  <c r="K226" i="30"/>
  <c r="L225" i="30"/>
  <c r="J225" i="30"/>
  <c r="E227" i="30"/>
  <c r="A227" i="30" l="1"/>
  <c r="K227" i="30"/>
  <c r="I227" i="30"/>
  <c r="J226" i="30"/>
  <c r="L226" i="30"/>
  <c r="E228" i="30"/>
  <c r="A228" i="30" l="1"/>
  <c r="I228" i="30"/>
  <c r="K228" i="30"/>
  <c r="L227" i="30"/>
  <c r="J227" i="30"/>
  <c r="E229" i="30"/>
  <c r="A229" i="30" l="1"/>
  <c r="K229" i="30"/>
  <c r="I229" i="30"/>
  <c r="L228" i="30"/>
  <c r="J228" i="30"/>
  <c r="E230" i="30"/>
  <c r="A230" i="30" l="1"/>
  <c r="K230" i="30"/>
  <c r="I230" i="30"/>
  <c r="L229" i="30"/>
  <c r="J229" i="30"/>
  <c r="E231" i="30"/>
  <c r="A231" i="30" l="1"/>
  <c r="K231" i="30"/>
  <c r="I231" i="30"/>
  <c r="L230" i="30"/>
  <c r="J230" i="30"/>
  <c r="E232" i="30"/>
  <c r="A232" i="30" l="1"/>
  <c r="K232" i="30"/>
  <c r="I232" i="30"/>
  <c r="J231" i="30"/>
  <c r="L231" i="30"/>
  <c r="E233" i="30"/>
  <c r="A233" i="30" l="1"/>
  <c r="K233" i="30"/>
  <c r="I233" i="30"/>
  <c r="J232" i="30"/>
  <c r="L232" i="30"/>
  <c r="E234" i="30"/>
  <c r="A234" i="30" l="1"/>
  <c r="K234" i="30"/>
  <c r="I234" i="30"/>
  <c r="L233" i="30"/>
  <c r="J233" i="30"/>
  <c r="E235" i="30"/>
  <c r="A235" i="30" l="1"/>
  <c r="K235" i="30"/>
  <c r="I235" i="30"/>
  <c r="L234" i="30"/>
  <c r="J234" i="30"/>
  <c r="E236" i="30"/>
  <c r="A236" i="30" l="1"/>
  <c r="K236" i="30"/>
  <c r="I236" i="30"/>
  <c r="L235" i="30"/>
  <c r="J235" i="30"/>
  <c r="E237" i="30"/>
  <c r="A237" i="30" l="1"/>
  <c r="K237" i="30"/>
  <c r="I237" i="30"/>
  <c r="L236" i="30"/>
  <c r="J236" i="30"/>
  <c r="E238" i="30"/>
  <c r="A238" i="30" l="1"/>
  <c r="K238" i="30"/>
  <c r="I238" i="30"/>
  <c r="L237" i="30"/>
  <c r="J237" i="30"/>
  <c r="E239" i="30"/>
  <c r="A239" i="30" l="1"/>
  <c r="K239" i="30"/>
  <c r="I239" i="30"/>
  <c r="L238" i="30"/>
  <c r="J238" i="30"/>
  <c r="E240" i="30"/>
  <c r="A240" i="30" l="1"/>
  <c r="K240" i="30"/>
  <c r="I240" i="30"/>
  <c r="J239" i="30"/>
  <c r="L239" i="30"/>
  <c r="E241" i="30"/>
  <c r="A241" i="30" l="1"/>
  <c r="I241" i="30"/>
  <c r="K241" i="30"/>
  <c r="J240" i="30"/>
  <c r="L240" i="30"/>
  <c r="E242" i="30"/>
  <c r="A242" i="30" l="1"/>
  <c r="I242" i="30"/>
  <c r="K242" i="30"/>
  <c r="L241" i="30"/>
  <c r="J241" i="30"/>
  <c r="E243" i="30"/>
  <c r="A243" i="30" l="1"/>
  <c r="K243" i="30"/>
  <c r="I243" i="30"/>
  <c r="L242" i="30"/>
  <c r="J242" i="30"/>
  <c r="E244" i="30"/>
  <c r="A244" i="30" l="1"/>
  <c r="I244" i="30"/>
  <c r="K244" i="30"/>
  <c r="L243" i="30"/>
  <c r="J243" i="30"/>
  <c r="E245" i="30"/>
  <c r="A245" i="30" l="1"/>
  <c r="K245" i="30"/>
  <c r="I245" i="30"/>
  <c r="L244" i="30"/>
  <c r="J244" i="30"/>
  <c r="E246" i="30"/>
  <c r="L245" i="30" l="1"/>
  <c r="J245" i="30"/>
  <c r="A246" i="30"/>
  <c r="K246" i="30"/>
  <c r="I246" i="30"/>
  <c r="E247" i="30"/>
  <c r="A247" i="30" l="1"/>
  <c r="K247" i="30"/>
  <c r="I247" i="30"/>
  <c r="L246" i="30"/>
  <c r="J246" i="30"/>
  <c r="E248" i="30"/>
  <c r="A248" i="30" l="1"/>
  <c r="K248" i="30"/>
  <c r="I248" i="30"/>
  <c r="J247" i="30"/>
  <c r="L247" i="30"/>
  <c r="E249" i="30"/>
  <c r="A249" i="30" l="1"/>
  <c r="I249" i="30"/>
  <c r="K249" i="30"/>
  <c r="J248" i="30"/>
  <c r="L248" i="30"/>
  <c r="E250" i="30"/>
  <c r="E251" i="30" s="1"/>
  <c r="A250" i="30" l="1"/>
  <c r="I250" i="30"/>
  <c r="K250" i="30"/>
  <c r="K251" i="30" s="1"/>
  <c r="L249" i="30"/>
  <c r="J249" i="30"/>
  <c r="H5" i="30"/>
  <c r="J250" i="30" l="1"/>
  <c r="L250" i="30"/>
  <c r="L251" i="30" s="1"/>
  <c r="H6" i="30" s="1"/>
  <c r="H7" i="30" s="1"/>
</calcChain>
</file>

<file path=xl/sharedStrings.xml><?xml version="1.0" encoding="utf-8"?>
<sst xmlns="http://schemas.openxmlformats.org/spreadsheetml/2006/main" count="210" uniqueCount="60">
  <si>
    <t>Tổng hợp thông tin hợp đồng</t>
  </si>
  <si>
    <t>Tên khách hàng</t>
  </si>
  <si>
    <t>Mã khách hàng</t>
  </si>
  <si>
    <t>Ngày quá hạn</t>
  </si>
  <si>
    <t>Trạng thái</t>
  </si>
  <si>
    <t>Đến ngày</t>
  </si>
  <si>
    <t>Số ngày tính lãi</t>
  </si>
  <si>
    <t>Lãi suất TH (%)</t>
  </si>
  <si>
    <t>Lãi trong hạn</t>
  </si>
  <si>
    <t>Lãi quá hạn</t>
  </si>
  <si>
    <t>Lãi đã trả</t>
  </si>
  <si>
    <t>Tổng</t>
  </si>
  <si>
    <t>Ngày cần tính</t>
  </si>
  <si>
    <t>- Nợ lãi</t>
  </si>
  <si>
    <t>Từ ngày</t>
  </si>
  <si>
    <t xml:space="preserve">BẢNG TÓM TẮT SAO KÊ    </t>
  </si>
  <si>
    <t>Thống kê</t>
  </si>
  <si>
    <t>Lãi suất QH (%)</t>
  </si>
  <si>
    <t>BAOTG10</t>
  </si>
  <si>
    <t>BAO</t>
  </si>
  <si>
    <t>TG10</t>
  </si>
  <si>
    <t>- Tổng dư nợ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</si>
  <si>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</si>
  <si>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</si>
  <si>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</si>
  <si>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</si>
  <si>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</si>
  <si>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</si>
  <si>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</si>
  <si>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</si>
  <si>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</si>
  <si>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</si>
  <si>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</si>
  <si>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</si>
  <si>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</si>
  <si>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</si>
  <si>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</si>
  <si>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</si>
  <si>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</si>
  <si>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</si>
  <si>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</si>
  <si>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</si>
  <si>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</si>
  <si>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</si>
  <si>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</si>
  <si>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</si>
  <si>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 xml:space="preserve">Hạn mức thấu chi </t>
  </si>
  <si>
    <t>Dư nợ thấu chi</t>
  </si>
  <si>
    <t>Gốc Đã Trả</t>
  </si>
  <si>
    <t>Nợ phát sinh</t>
  </si>
  <si>
    <t>- Dư nợ thấu chi</t>
  </si>
  <si>
    <t>Trần Gia Bảo</t>
  </si>
  <si>
    <t>QUA HAN</t>
  </si>
  <si>
    <t>TRONG HAN</t>
  </si>
  <si>
    <t>NGUYEN THI KIEU OANH</t>
  </si>
  <si>
    <t>Ngày mở thấu chi</t>
  </si>
  <si>
    <t>Hạn mức TC</t>
  </si>
  <si>
    <t>Ngày mở TC</t>
  </si>
  <si>
    <t>Lãi suát</t>
  </si>
  <si>
    <t>Số tài khoản 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</si>
</sst>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  <numFmt numFmtId="165" formatCode="_-* #,##0\ _₫_-;\-* #,##0\ _₫_-;_-* &quot;-&quot;??\ _₫_-;_-@_-"/>
  </numFmts>
  <fonts count="1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Wingdings 2"/>
      <family val="1"/>
      <charset val="2"/>
    </font>
    <font>
      <sz val="9"/>
      <color theme="1"/>
      <name val="Calibri"/>
      <family val="2"/>
      <charset val="163"/>
      <scheme val="minor"/>
    </font>
    <font>
      <b/>
      <i/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Protection="1"/>
    <xf numFmtId="0" fontId="0" fillId="3" borderId="0" xfId="0" applyNumberFormat="1" applyFont="1" applyFill="1" applyBorder="1" applyProtection="1"/>
    <xf numFmtId="0" fontId="4" fillId="0" borderId="4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5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0" fontId="8" fillId="0" borderId="4" xfId="0" quotePrefix="1" applyFont="1" applyBorder="1"/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right"/>
    </xf>
    <xf numFmtId="0" fontId="11" fillId="0" borderId="0" xfId="0" applyFont="1"/>
    <xf numFmtId="0" fontId="4" fillId="0" borderId="4" xfId="0" quotePrefix="1" applyFont="1" applyBorder="1"/>
    <xf numFmtId="0" fontId="12" fillId="0" borderId="0" xfId="0" applyFont="1"/>
    <xf numFmtId="0" fontId="12" fillId="0" borderId="0" xfId="0" quotePrefix="1" applyFont="1"/>
    <xf numFmtId="22" fontId="0" fillId="0" borderId="0" xfId="0" applyNumberFormat="1"/>
    <xf numFmtId="3" fontId="4" fillId="0" borderId="4" xfId="0" applyNumberFormat="1" applyFont="1" applyFill="1" applyBorder="1" applyAlignment="1" applyProtection="1">
      <alignment horizontal="center" vertical="center"/>
    </xf>
    <xf numFmtId="0" fontId="13" fillId="0" borderId="0" xfId="0" applyFont="1"/>
    <xf numFmtId="14" fontId="11" fillId="0" borderId="0" xfId="0" applyNumberFormat="1" applyFont="1"/>
    <xf numFmtId="164" fontId="3" fillId="0" borderId="4" xfId="0" applyNumberFormat="1" applyFont="1" applyFill="1" applyBorder="1" applyAlignment="1">
      <alignment horizontal="center" vertical="center"/>
    </xf>
    <xf numFmtId="3" fontId="0" fillId="0" borderId="0" xfId="0" applyNumberFormat="1"/>
    <xf numFmtId="165" fontId="0" fillId="0" borderId="0" xfId="0" applyNumberFormat="1" applyAlignment="1">
      <alignment horizontal="right"/>
    </xf>
    <xf numFmtId="3" fontId="0" fillId="0" borderId="0" xfId="0" applyNumberFormat="1" applyFont="1" applyFill="1" applyBorder="1" applyProtection="1"/>
    <xf numFmtId="164" fontId="0" fillId="0" borderId="0" xfId="0" applyNumberFormat="1" applyFont="1" applyFill="1" applyBorder="1" applyProtection="1"/>
    <xf numFmtId="0" fontId="0" fillId="0" borderId="4" xfId="0" applyNumberFormat="1" applyFont="1" applyFill="1" applyBorder="1" applyProtection="1"/>
    <xf numFmtId="0" fontId="0" fillId="0" borderId="4" xfId="0" applyNumberFormat="1" applyFont="1" applyFill="1" applyBorder="1" applyAlignment="1" applyProtection="1">
      <alignment horizontal="center"/>
    </xf>
    <xf numFmtId="14" fontId="3" fillId="0" borderId="4" xfId="0" applyNumberFormat="1" applyFont="1" applyFill="1" applyBorder="1" applyAlignment="1">
      <alignment horizontal="center" vertical="center"/>
    </xf>
    <xf numFmtId="0" fontId="6" fillId="0" borderId="4" xfId="0" applyNumberFormat="1" applyFont="1" applyFill="1" applyBorder="1" applyProtection="1"/>
    <xf numFmtId="0" fontId="4" fillId="0" borderId="6" xfId="0" applyNumberFormat="1" applyFont="1" applyFill="1" applyBorder="1" applyProtection="1"/>
    <xf numFmtId="164" fontId="3" fillId="0" borderId="4" xfId="0" applyNumberFormat="1" applyFont="1" applyFill="1" applyBorder="1" applyAlignment="1">
      <alignment horizontal="left" vertical="top"/>
    </xf>
    <xf numFmtId="0" fontId="4" fillId="0" borderId="0" xfId="0" applyNumberFormat="1" applyFont="1" applyFill="1" applyBorder="1" applyProtection="1"/>
    <xf numFmtId="14" fontId="0" fillId="0" borderId="0" xfId="0" applyNumberFormat="1" applyFont="1" applyFill="1" applyBorder="1" applyAlignment="1" applyProtection="1">
      <alignment horizontal="center"/>
    </xf>
    <xf numFmtId="14" fontId="6" fillId="0" borderId="4" xfId="0" applyNumberFormat="1" applyFont="1" applyFill="1" applyBorder="1" applyAlignment="1" applyProtection="1">
      <alignment horizontal="center"/>
    </xf>
    <xf numFmtId="10" fontId="0" fillId="0" borderId="0" xfId="0" applyNumberFormat="1" applyFont="1" applyFill="1" applyBorder="1" applyProtection="1"/>
    <xf numFmtId="10" fontId="0" fillId="0" borderId="0" xfId="0" applyNumberFormat="1"/>
    <xf numFmtId="10" fontId="0" fillId="0" borderId="0" xfId="0" applyNumberFormat="1" applyAlignment="1">
      <alignment horizontal="right"/>
    </xf>
    <xf numFmtId="10" fontId="9" fillId="2" borderId="4" xfId="0" applyNumberFormat="1" applyFont="1" applyFill="1" applyBorder="1" applyAlignment="1">
      <alignment horizontal="center" vertical="center" wrapText="1"/>
    </xf>
    <xf numFmtId="10" fontId="4" fillId="0" borderId="4" xfId="0" applyNumberFormat="1" applyFont="1" applyBorder="1" applyAlignment="1">
      <alignment horizontal="center" vertical="center"/>
    </xf>
    <xf numFmtId="10" fontId="0" fillId="0" borderId="0" xfId="0" applyNumberFormat="1" applyFont="1" applyFill="1" applyBorder="1" applyAlignment="1" applyProtection="1">
      <alignment vertical="center"/>
    </xf>
    <xf numFmtId="3" fontId="6" fillId="0" borderId="4" xfId="0" applyNumberFormat="1" applyFont="1" applyFill="1" applyBorder="1" applyAlignment="1" applyProtection="1">
      <alignment horizontal="center"/>
    </xf>
    <xf numFmtId="0" fontId="15" fillId="0" borderId="0" xfId="0" applyFont="1"/>
    <xf numFmtId="0" fontId="14" fillId="4" borderId="4" xfId="0" applyFont="1" applyFill="1" applyBorder="1" applyAlignment="1">
      <alignment horizontal="center" vertical="center"/>
    </xf>
    <xf numFmtId="41" fontId="6" fillId="0" borderId="4" xfId="3" applyFont="1" applyBorder="1" applyAlignment="1">
      <alignment horizontal="right"/>
    </xf>
    <xf numFmtId="14" fontId="6" fillId="0" borderId="4" xfId="0" applyNumberFormat="1" applyFont="1" applyBorder="1" applyAlignment="1">
      <alignment horizontal="right"/>
    </xf>
    <xf numFmtId="10" fontId="6" fillId="0" borderId="4" xfId="0" applyNumberFormat="1" applyFont="1" applyBorder="1" applyAlignment="1">
      <alignment horizontal="right"/>
    </xf>
    <xf numFmtId="0" fontId="6" fillId="0" borderId="4" xfId="0" applyFont="1" applyBorder="1" applyAlignment="1">
      <alignment horizontal="right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0" borderId="0" xfId="0" applyNumberFormat="1" applyFont="1" applyFill="1" applyBorder="1" applyAlignment="1" applyProtection="1">
      <alignment horizontal="center"/>
    </xf>
    <xf numFmtId="0" fontId="5" fillId="0" borderId="0" xfId="0" applyNumberFormat="1" applyFont="1" applyFill="1" applyBorder="1" applyAlignment="1" applyProtection="1">
      <alignment horizontal="center" vertical="center"/>
    </xf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676836</xdr:colOff>
      <xdr:row>5</xdr:row>
      <xdr:rowOff>69922</xdr:rowOff>
    </xdr:from>
    <xdr:to>
      <xdr:col>6</xdr:col>
      <xdr:colOff>39894</xdr:colOff>
      <xdr:row>13</xdr:row>
      <xdr:rowOff>30480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9" t="8422" r="-89" b="23797"/>
        <a:stretch/>
      </xdr:blipFill>
      <xdr:spPr>
        <a:xfrm>
          <a:off x="3877236" y="1266262"/>
          <a:ext cx="3081618" cy="1423598"/>
        </a:xfrm>
        <a:prstGeom prst="rect">
          <a:avLst/>
        </a:prstGeom>
      </xdr:spPr>
    </xdr:pic>
    <xdr:clientData/>
  </xdr:twoCellAnchor>
  <xdr:twoCellAnchor editAs="oneCell">
    <xdr:from>
      <xdr:col>0</xdr:col>
      <xdr:colOff>255047</xdr:colOff>
      <xdr:row>5</xdr:row>
      <xdr:rowOff>57375</xdr:rowOff>
    </xdr:from>
    <xdr:to>
      <xdr:col>3</xdr:col>
      <xdr:colOff>449581</xdr:colOff>
      <xdr:row>14</xdr:row>
      <xdr:rowOff>155689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23" b="15413"/>
        <a:stretch/>
      </xdr:blipFill>
      <xdr:spPr>
        <a:xfrm>
          <a:off x="255047" y="1253715"/>
          <a:ext cx="3394934" cy="17442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283"/>
  <sheetViews>
    <sheetView showGridLines="0" tabSelected="1" zoomScale="115" zoomScaleNormal="115" workbookViewId="0">
      <selection activeCell="J4" sqref="J4"/>
    </sheetView>
  </sheetViews>
  <sheetFormatPr defaultRowHeight="14.4" x14ac:dyDescent="0.3"/>
  <cols>
    <col min="1" max="1" width="16.21875" customWidth="1"/>
    <col min="2" max="2" width="16.77734375" customWidth="1"/>
    <col min="3" max="3" width="13.6640625" customWidth="1"/>
    <col min="4" max="5" width="15" customWidth="1"/>
    <col min="6" max="6" width="24.21875" customWidth="1"/>
    <col min="9" max="9" width="8.44140625" customWidth="1"/>
    <col min="10" max="10" width="14.33203125" customWidth="1"/>
    <col min="11" max="11" width="13.6640625" customWidth="1"/>
    <col min="12" max="12" width="13.33203125" customWidth="1"/>
    <col min="13" max="13" width="13" customWidth="1"/>
    <col min="14" max="14" width="13.5546875" customWidth="1"/>
    <col min="15" max="15" width="12.6640625" customWidth="1"/>
    <col min="16" max="16" width="5.5546875" customWidth="1"/>
    <col min="17" max="17" width="14.44140625" customWidth="1"/>
    <col min="18" max="18" width="13.109375" customWidth="1"/>
    <col min="19" max="19" width="13.6640625" customWidth="1"/>
    <col min="20" max="20" width="13.109375" customWidth="1"/>
    <col min="22" max="22" width="16.44140625" customWidth="1"/>
    <col min="23" max="23" width="11.6640625" customWidth="1"/>
    <col min="24" max="24" width="13.109375" customWidth="1"/>
    <col min="26" max="26" width="15.5546875" customWidth="1"/>
    <col min="27" max="27" width="11.6640625" customWidth="1"/>
    <col min="28" max="28" width="13.109375" customWidth="1"/>
    <col min="30" max="30" width="11.33203125" customWidth="1"/>
    <col min="31" max="31" width="11.6640625" customWidth="1"/>
    <col min="32" max="32" width="13.109375" customWidth="1"/>
    <col min="34" max="34" width="11.33203125" customWidth="1"/>
    <col min="35" max="35" width="11.6640625" customWidth="1"/>
    <col min="36" max="36" width="13.109375" customWidth="1"/>
    <col min="38" max="38" width="11.33203125" customWidth="1"/>
    <col min="39" max="39" width="11.6640625" customWidth="1"/>
    <col min="40" max="40" width="13.109375" customWidth="1"/>
    <col min="42" max="42" width="11.33203125" customWidth="1"/>
    <col min="43" max="43" width="11.6640625" customWidth="1"/>
    <col min="44" max="44" width="13.109375" customWidth="1"/>
    <col min="46" max="46" width="11.33203125" customWidth="1"/>
    <col min="47" max="47" width="11.6640625" customWidth="1"/>
    <col min="48" max="48" width="13.109375" customWidth="1"/>
  </cols>
  <sheetData>
    <row r="1" spans="1:36" ht="37.200000000000003" customHeight="1" x14ac:dyDescent="0.3">
      <c r="A1" s="54" t="s">
        <v>56</v>
      </c>
      <c r="B1" s="54" t="s">
        <v>57</v>
      </c>
      <c r="C1" s="54" t="s">
        <v>3</v>
      </c>
      <c r="D1" s="54" t="s">
        <v>12</v>
      </c>
      <c r="E1" s="54" t="s">
        <v>58</v>
      </c>
      <c r="F1" s="54" t="s">
        <v>45</v>
      </c>
      <c r="G1" s="53"/>
      <c r="I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</row>
    <row r="2" spans="1:36" ht="13.8" customHeight="1" x14ac:dyDescent="0.3">
      <c r="A2" s="55">
        <v>40000000</v>
      </c>
      <c r="B2" s="56">
        <v>45440</v>
      </c>
      <c r="C2" s="56">
        <v>45477</v>
      </c>
      <c r="D2" s="56">
        <v>45721</v>
      </c>
      <c r="E2" s="57">
        <v>0.28000000000000003</v>
      </c>
      <c r="F2" s="58"/>
      <c r="I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</row>
    <row r="3" spans="1:36" x14ac:dyDescent="0.3">
      <c r="F3" s="24"/>
      <c r="G3" s="24"/>
      <c r="H3" s="24"/>
      <c r="I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</row>
    <row r="4" spans="1:36" x14ac:dyDescent="0.3">
      <c r="C4" s="30"/>
      <c r="D4" s="23"/>
      <c r="E4" s="23"/>
      <c r="F4" s="24"/>
      <c r="G4" s="24"/>
      <c r="H4" s="24"/>
      <c r="I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</row>
    <row r="5" spans="1:36" x14ac:dyDescent="0.3">
      <c r="C5" s="30"/>
      <c r="D5" s="23"/>
      <c r="E5" s="23"/>
      <c r="F5" s="24"/>
      <c r="G5" s="24"/>
      <c r="H5" s="24"/>
      <c r="I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</row>
    <row r="6" spans="1:36" x14ac:dyDescent="0.3">
      <c r="C6" s="30"/>
      <c r="F6" s="24"/>
      <c r="G6" s="24"/>
      <c r="H6" s="24"/>
      <c r="I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</row>
    <row r="7" spans="1:36" x14ac:dyDescent="0.3">
      <c r="F7" s="24"/>
      <c r="G7" s="24"/>
      <c r="H7" s="24"/>
      <c r="I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</row>
    <row r="8" spans="1:36" x14ac:dyDescent="0.3">
      <c r="F8" s="24"/>
      <c r="G8" s="24"/>
      <c r="H8" s="24"/>
      <c r="I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</row>
    <row r="9" spans="1:36" x14ac:dyDescent="0.3">
      <c r="C9" s="22"/>
      <c r="F9" s="24"/>
      <c r="G9" s="24"/>
      <c r="H9" s="24"/>
      <c r="I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</row>
    <row r="10" spans="1:36" x14ac:dyDescent="0.3">
      <c r="F10" s="24"/>
      <c r="G10" s="24"/>
      <c r="H10" s="24"/>
      <c r="I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</row>
    <row r="11" spans="1:36" x14ac:dyDescent="0.3">
      <c r="F11" s="24"/>
      <c r="G11" s="24"/>
      <c r="H11" s="24"/>
      <c r="I11" s="31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</row>
    <row r="12" spans="1:36" x14ac:dyDescent="0.3">
      <c r="F12" s="24"/>
      <c r="G12" s="24"/>
      <c r="H12" s="24"/>
      <c r="I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</row>
    <row r="13" spans="1:36" x14ac:dyDescent="0.3">
      <c r="F13" s="24"/>
      <c r="G13" s="24"/>
      <c r="H13" s="24"/>
      <c r="I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</row>
    <row r="14" spans="1:36" x14ac:dyDescent="0.3">
      <c r="F14" s="24"/>
      <c r="G14" s="24"/>
      <c r="H14" s="24"/>
      <c r="I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</row>
    <row r="15" spans="1:36" x14ac:dyDescent="0.3">
      <c r="C15" s="26"/>
      <c r="F15" s="24"/>
      <c r="G15" s="24"/>
      <c r="H15" s="24"/>
      <c r="I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</row>
    <row r="16" spans="1:36" x14ac:dyDescent="0.3">
      <c r="F16" s="24"/>
      <c r="G16" s="24"/>
      <c r="H16" s="24"/>
      <c r="I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</row>
    <row r="17" spans="3:36" x14ac:dyDescent="0.3">
      <c r="F17" s="24"/>
      <c r="G17" s="24"/>
      <c r="H17" s="24"/>
      <c r="I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</row>
    <row r="18" spans="3:36" x14ac:dyDescent="0.3"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</row>
    <row r="19" spans="3:36" x14ac:dyDescent="0.3"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</row>
    <row r="20" spans="3:36" x14ac:dyDescent="0.3"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</row>
    <row r="21" spans="3:36" x14ac:dyDescent="0.3"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</row>
    <row r="22" spans="3:36" x14ac:dyDescent="0.3">
      <c r="C22" s="27"/>
      <c r="F22" s="24"/>
      <c r="G22" s="24"/>
      <c r="H22" s="24"/>
      <c r="I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</row>
    <row r="23" spans="3:36" x14ac:dyDescent="0.3">
      <c r="C23" s="27"/>
      <c r="F23" s="24"/>
      <c r="G23" s="24"/>
      <c r="H23" s="24"/>
      <c r="I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</row>
    <row r="24" spans="3:36" x14ac:dyDescent="0.3">
      <c r="C24" s="27"/>
      <c r="F24" s="24"/>
      <c r="G24" s="24"/>
      <c r="I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</row>
    <row r="25" spans="3:36" x14ac:dyDescent="0.3">
      <c r="I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</row>
    <row r="26" spans="3:36" x14ac:dyDescent="0.3">
      <c r="I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</row>
    <row r="27" spans="3:36" x14ac:dyDescent="0.3">
      <c r="I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</row>
    <row r="28" spans="3:36" x14ac:dyDescent="0.3">
      <c r="I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</row>
    <row r="29" spans="3:36" x14ac:dyDescent="0.3">
      <c r="I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</row>
    <row r="30" spans="3:36" x14ac:dyDescent="0.3">
      <c r="I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</row>
    <row r="31" spans="3:36" x14ac:dyDescent="0.3">
      <c r="I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</row>
    <row r="32" spans="3:36" x14ac:dyDescent="0.3">
      <c r="I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</row>
    <row r="33" spans="9:36" x14ac:dyDescent="0.3">
      <c r="I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</row>
    <row r="34" spans="9:36" x14ac:dyDescent="0.3">
      <c r="I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</row>
    <row r="35" spans="9:36" x14ac:dyDescent="0.3">
      <c r="I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</row>
    <row r="36" spans="9:36" x14ac:dyDescent="0.3">
      <c r="I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</row>
    <row r="37" spans="9:36" x14ac:dyDescent="0.3">
      <c r="I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</row>
    <row r="38" spans="9:36" x14ac:dyDescent="0.3">
      <c r="I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</row>
    <row r="39" spans="9:36" x14ac:dyDescent="0.3">
      <c r="I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</row>
    <row r="40" spans="9:36" x14ac:dyDescent="0.3">
      <c r="I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</row>
    <row r="41" spans="9:36" x14ac:dyDescent="0.3">
      <c r="I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</row>
    <row r="131" spans="3:3" x14ac:dyDescent="0.3">
      <c r="C131" t="s">
        <v>18</v>
      </c>
    </row>
    <row r="282" spans="3:3" x14ac:dyDescent="0.3">
      <c r="C282" t="s">
        <v>19</v>
      </c>
    </row>
    <row r="283" spans="3:3" x14ac:dyDescent="0.3">
      <c r="C283" t="s">
        <v>20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G11" sqref="G11"/>
    </sheetView>
  </sheetViews>
  <sheetFormatPr defaultRowHeight="14.4" x14ac:dyDescent="0.3"/>
  <cols>
    <col min="1" max="1" width="10.5546875" bestFit="1" customWidth="1"/>
    <col min="2" max="2" width="9.88671875" bestFit="1" customWidth="1"/>
    <col min="3" max="3" width="21.5546875" bestFit="1" customWidth="1"/>
    <col min="4" max="4" width="23.109375" customWidth="1"/>
    <col min="8" max="8" width="9.88671875" bestFit="1" customWidth="1"/>
    <col min="9" max="9" width="10.6640625" bestFit="1" customWidth="1"/>
    <col min="10" max="10" width="20.21875" customWidth="1"/>
  </cols>
  <sheetData/>
  <sortState ref="A4:D28">
    <sortCondition ref="A4:A2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opLeftCell="B1" workbookViewId="0">
      <selection activeCell="K11" sqref="A1:XFD1048576"/>
    </sheetView>
  </sheetViews>
  <sheetFormatPr defaultRowHeight="14.4" x14ac:dyDescent="0.3"/>
  <cols>
    <col min="3" max="3" width="44" customWidth="1"/>
    <col min="7" max="7" width="10.554687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K257"/>
  <sheetViews>
    <sheetView showGridLines="0" topLeftCell="A4" zoomScale="85" zoomScaleNormal="85" workbookViewId="0">
      <selection activeCell="I8" sqref="I8"/>
    </sheetView>
  </sheetViews>
  <sheetFormatPr defaultColWidth="9.109375" defaultRowHeight="14.4" x14ac:dyDescent="0.3"/>
  <cols>
    <col min="1" max="1" width="16.6640625" style="1" customWidth="1"/>
    <col min="2" max="2" width="24.33203125" style="2" customWidth="1"/>
    <col min="3" max="3" width="18.5546875" style="1" customWidth="1"/>
    <col min="4" max="5" width="15.6640625" style="1" customWidth="1"/>
    <col min="6" max="7" width="21.33203125" style="1" customWidth="1"/>
    <col min="8" max="8" width="14.33203125" style="1" customWidth="1"/>
    <col min="9" max="9" width="12.6640625" style="1" customWidth="1"/>
    <col min="10" max="10" width="17" style="46" customWidth="1"/>
    <col min="11" max="11" width="17.109375" style="1" customWidth="1"/>
    <col min="12" max="12" width="19.33203125" style="1" customWidth="1"/>
    <col min="13" max="14" width="9.109375" style="1"/>
    <col min="15" max="15" width="9.6640625" style="1" bestFit="1" customWidth="1"/>
    <col min="16" max="16384" width="9.109375" style="1"/>
  </cols>
  <sheetData>
    <row r="1" spans="1:63" x14ac:dyDescent="0.3">
      <c r="A1" s="59" t="s">
        <v>15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</row>
    <row r="3" spans="1:63" x14ac:dyDescent="0.3">
      <c r="A3" s="60" t="s">
        <v>0</v>
      </c>
      <c r="B3" s="61"/>
      <c r="C3" s="3"/>
      <c r="D3" s="3"/>
      <c r="E3"/>
      <c r="F3"/>
      <c r="K3"/>
      <c r="L3"/>
    </row>
    <row r="4" spans="1:63" x14ac:dyDescent="0.3">
      <c r="A4" s="5" t="s">
        <v>1</v>
      </c>
      <c r="B4" s="29">
        <f>PVSKTC!C2</f>
        <v>0</v>
      </c>
      <c r="C4" s="3"/>
      <c r="D4" s="3"/>
      <c r="E4"/>
      <c r="F4"/>
      <c r="G4" s="62" t="s">
        <v>16</v>
      </c>
      <c r="H4" s="63"/>
      <c r="J4" s="47"/>
      <c r="K4"/>
      <c r="L4"/>
    </row>
    <row r="5" spans="1:63" x14ac:dyDescent="0.3">
      <c r="A5" s="5" t="s">
        <v>2</v>
      </c>
      <c r="B5" s="29">
        <f>PVSKTC!B2</f>
        <v>0</v>
      </c>
      <c r="C5" s="3"/>
      <c r="D5" s="3"/>
      <c r="E5"/>
      <c r="F5"/>
      <c r="G5" s="18" t="s">
        <v>50</v>
      </c>
      <c r="H5" s="17">
        <f>E251</f>
        <v>0</v>
      </c>
      <c r="J5" s="47"/>
      <c r="K5"/>
      <c r="L5"/>
    </row>
    <row r="6" spans="1:63" x14ac:dyDescent="0.3">
      <c r="A6" s="40" t="s">
        <v>59</v>
      </c>
      <c r="B6" s="52">
        <f>PVSKTC!D2</f>
        <v>0</v>
      </c>
      <c r="C6"/>
      <c r="D6" s="3"/>
      <c r="E6"/>
      <c r="F6"/>
      <c r="G6" s="18" t="s">
        <v>13</v>
      </c>
      <c r="H6" s="17">
        <f>L251+K251-H251</f>
        <v>0</v>
      </c>
      <c r="J6" s="48"/>
      <c r="K6"/>
      <c r="L6"/>
    </row>
    <row r="7" spans="1:63" x14ac:dyDescent="0.3">
      <c r="A7" s="5" t="s">
        <v>46</v>
      </c>
      <c r="B7" s="29">
        <f>THTT!A2</f>
        <v>40000000</v>
      </c>
      <c r="C7" s="3"/>
      <c r="D7" s="3"/>
      <c r="E7"/>
      <c r="F7"/>
      <c r="G7" s="25" t="s">
        <v>21</v>
      </c>
      <c r="H7" s="17">
        <f>H5+H6</f>
        <v>0</v>
      </c>
      <c r="J7" s="47"/>
      <c r="K7"/>
      <c r="L7"/>
    </row>
    <row r="8" spans="1:63" x14ac:dyDescent="0.3">
      <c r="A8" s="41" t="s">
        <v>55</v>
      </c>
      <c r="B8" s="10">
        <f>THTT!B2</f>
        <v>45440</v>
      </c>
      <c r="C8" s="3"/>
      <c r="D8" s="3"/>
      <c r="E8"/>
      <c r="F8"/>
      <c r="G8"/>
      <c r="H8"/>
      <c r="I8"/>
      <c r="J8" s="47"/>
      <c r="K8"/>
      <c r="L8"/>
    </row>
    <row r="9" spans="1:63" x14ac:dyDescent="0.3">
      <c r="A9" s="5" t="s">
        <v>3</v>
      </c>
      <c r="B9" s="10">
        <f>THTT!C2</f>
        <v>45477</v>
      </c>
      <c r="C9" s="3"/>
      <c r="D9" s="3"/>
      <c r="E9"/>
      <c r="F9"/>
      <c r="G9"/>
      <c r="H9"/>
      <c r="J9" s="47"/>
      <c r="K9"/>
      <c r="L9"/>
    </row>
    <row r="10" spans="1:63" x14ac:dyDescent="0.3">
      <c r="A10" s="5" t="s">
        <v>12</v>
      </c>
      <c r="B10" s="45">
        <f>THTT!D2</f>
        <v>45721</v>
      </c>
      <c r="C10" s="3"/>
      <c r="D10" s="3"/>
      <c r="E10"/>
      <c r="F10"/>
      <c r="G10"/>
      <c r="H10"/>
      <c r="J10" s="47"/>
      <c r="K10"/>
      <c r="L10"/>
    </row>
    <row r="11" spans="1:63" x14ac:dyDescent="0.3">
      <c r="A11" s="43"/>
      <c r="B11" s="44"/>
      <c r="C11" s="3"/>
      <c r="D11" s="3"/>
      <c r="E11"/>
      <c r="F11"/>
      <c r="G11"/>
      <c r="H11"/>
      <c r="J11" s="47"/>
      <c r="K11"/>
      <c r="L11"/>
    </row>
    <row r="12" spans="1:63" ht="39" customHeight="1" x14ac:dyDescent="0.3">
      <c r="A12" s="21" t="s">
        <v>4</v>
      </c>
      <c r="B12" s="21" t="s">
        <v>14</v>
      </c>
      <c r="C12" s="21" t="s">
        <v>5</v>
      </c>
      <c r="D12" s="21" t="s">
        <v>6</v>
      </c>
      <c r="E12" s="21" t="s">
        <v>47</v>
      </c>
      <c r="F12" s="21" t="s">
        <v>49</v>
      </c>
      <c r="G12" s="21" t="s">
        <v>48</v>
      </c>
      <c r="H12" s="21" t="s">
        <v>10</v>
      </c>
      <c r="I12" s="21" t="s">
        <v>7</v>
      </c>
      <c r="J12" s="49" t="s">
        <v>17</v>
      </c>
      <c r="K12" s="21" t="s">
        <v>8</v>
      </c>
      <c r="L12" s="21" t="s">
        <v>9</v>
      </c>
    </row>
    <row r="13" spans="1:63" s="4" customFormat="1" x14ac:dyDescent="0.3">
      <c r="A13" s="19" t="str">
        <f>IF(E13&lt;=0,"",IF(B13&gt;=$B$9,"QUÁ HẠN","TRONG HẠN"))</f>
        <v/>
      </c>
      <c r="B13" s="20"/>
      <c r="C13" s="39">
        <f>IFERROR(IF(B14="", $B$10, B14-1), $B$10)</f>
        <v>45721</v>
      </c>
      <c r="D13" s="19">
        <f>C13-B13+1</f>
        <v>45722</v>
      </c>
      <c r="E13" s="42">
        <f>F13-G13</f>
        <v>0</v>
      </c>
      <c r="F13" s="8"/>
      <c r="G13" s="8"/>
      <c r="H13" s="8">
        <f>IFERROR(VLOOKUP(B13,PVSKTC!$A$4:$D$1048576,4,0),0)</f>
        <v>0</v>
      </c>
      <c r="I13" s="15" t="str">
        <f>IFERROR(IF(E13&gt;0,THTT!E$2,""),0)</f>
        <v/>
      </c>
      <c r="J13" s="16" t="str">
        <f>IF(A13="QUÁ HẠN",I13*150%,"")</f>
        <v/>
      </c>
      <c r="K13" s="8" t="str">
        <f>IF(E13&gt;0,E13*I13*D13/365,"")</f>
        <v/>
      </c>
      <c r="L13" s="8" t="str">
        <f>IF(A13="QUÁ HẠN",E13*I13*D13/365,"")</f>
        <v/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</row>
    <row r="14" spans="1:63" s="4" customFormat="1" x14ac:dyDescent="0.3">
      <c r="A14" s="19" t="str">
        <f t="shared" ref="A14:A77" si="0">IF(E14&lt;=0,"",IF(B14&gt;=$B$9,"QUÁ HẠN","TRONG HẠN"))</f>
        <v/>
      </c>
      <c r="B14" s="20"/>
      <c r="C14" s="39">
        <f t="shared" ref="C14:C77" si="1">IFERROR(IF(B15="", $B$10, B15-1), $B$10)</f>
        <v>45721</v>
      </c>
      <c r="D14" s="19">
        <f t="shared" ref="D14:D77" si="2">C14-B14+1</f>
        <v>45722</v>
      </c>
      <c r="E14" s="42">
        <f>E13+F14-G14</f>
        <v>0</v>
      </c>
      <c r="F14" s="8">
        <f>IFERROR(VLOOKUP(B14,PVSKTC!$A$4:$D$1048576,2,0),0)</f>
        <v>0</v>
      </c>
      <c r="G14" s="8">
        <f>IFERROR(VLOOKUP(B14,PVSKTC!$A$4:$D$1048576,3,0),0)</f>
        <v>0</v>
      </c>
      <c r="H14" s="8">
        <f>IFERROR(VLOOKUP(B14,PVSKTC!$A$4:$D$1048576,4,0),0)</f>
        <v>0</v>
      </c>
      <c r="I14" s="15" t="str">
        <f>IFERROR(IF(E14&gt;0,THTT!E$2,""),"")</f>
        <v/>
      </c>
      <c r="J14" s="16" t="str">
        <f t="shared" ref="J14:J77" si="3">IF(A14="QUÁ HẠN",I14*150%,"")</f>
        <v/>
      </c>
      <c r="K14" s="8" t="str">
        <f t="shared" ref="K14:K77" si="4">IF(E14&gt;0,E14*I14*D14/365,"")</f>
        <v/>
      </c>
      <c r="L14" s="8" t="str">
        <f t="shared" ref="L14:L77" si="5">IF(A14="QUÁ HẠN",E14*I14*D14/365,"")</f>
        <v/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</row>
    <row r="15" spans="1:63" s="4" customFormat="1" x14ac:dyDescent="0.3">
      <c r="A15" s="19" t="str">
        <f t="shared" si="0"/>
        <v/>
      </c>
      <c r="B15" s="20"/>
      <c r="C15" s="39">
        <f t="shared" si="1"/>
        <v>45721</v>
      </c>
      <c r="D15" s="19">
        <f t="shared" si="2"/>
        <v>45722</v>
      </c>
      <c r="E15" s="42">
        <f t="shared" ref="E15:E78" si="6">E14+F15-G15</f>
        <v>0</v>
      </c>
      <c r="F15" s="8">
        <f>IFERROR(VLOOKUP(B15,PVSKTC!$A$4:$D$1048576,2,0),0)</f>
        <v>0</v>
      </c>
      <c r="G15" s="8">
        <f>IFERROR(VLOOKUP(B15,PVSKTC!$A$4:$D$1048576,3,0),0)</f>
        <v>0</v>
      </c>
      <c r="H15" s="8">
        <f>IFERROR(VLOOKUP(B15,PVSKTC!$A$4:$D$1048576,4,0),0)</f>
        <v>0</v>
      </c>
      <c r="I15" s="15" t="str">
        <f>IFERROR(IF(E15&gt;0,THTT!E$2,""),"")</f>
        <v/>
      </c>
      <c r="J15" s="16" t="str">
        <f t="shared" si="3"/>
        <v/>
      </c>
      <c r="K15" s="8" t="str">
        <f t="shared" si="4"/>
        <v/>
      </c>
      <c r="L15" s="8" t="str">
        <f t="shared" si="5"/>
        <v/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</row>
    <row r="16" spans="1:63" s="4" customFormat="1" x14ac:dyDescent="0.3">
      <c r="A16" s="19" t="str">
        <f t="shared" si="0"/>
        <v/>
      </c>
      <c r="B16" s="20"/>
      <c r="C16" s="39">
        <f t="shared" si="1"/>
        <v>45721</v>
      </c>
      <c r="D16" s="19">
        <f t="shared" si="2"/>
        <v>45722</v>
      </c>
      <c r="E16" s="42">
        <f t="shared" si="6"/>
        <v>0</v>
      </c>
      <c r="F16" s="8">
        <f>IFERROR(VLOOKUP(B16,PVSKTC!$A$4:$D$1048576,2,0),0)</f>
        <v>0</v>
      </c>
      <c r="G16" s="8">
        <f>IFERROR(VLOOKUP(B16,PVSKTC!$A$4:$D$1048576,3,0),0)</f>
        <v>0</v>
      </c>
      <c r="H16" s="8">
        <f>IFERROR(VLOOKUP(B16,PVSKTC!$A$4:$D$1048576,4,0),0)</f>
        <v>0</v>
      </c>
      <c r="I16" s="15" t="str">
        <f>IFERROR(IF(E16&gt;0,THTT!E$2,""),"")</f>
        <v/>
      </c>
      <c r="J16" s="16" t="str">
        <f t="shared" si="3"/>
        <v/>
      </c>
      <c r="K16" s="8" t="str">
        <f t="shared" si="4"/>
        <v/>
      </c>
      <c r="L16" s="8" t="str">
        <f t="shared" si="5"/>
        <v/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</row>
    <row r="17" spans="1:63" s="4" customFormat="1" x14ac:dyDescent="0.3">
      <c r="A17" s="19" t="str">
        <f t="shared" si="0"/>
        <v/>
      </c>
      <c r="B17" s="20"/>
      <c r="C17" s="39">
        <f t="shared" si="1"/>
        <v>45721</v>
      </c>
      <c r="D17" s="19">
        <f t="shared" si="2"/>
        <v>45722</v>
      </c>
      <c r="E17" s="42">
        <f t="shared" si="6"/>
        <v>0</v>
      </c>
      <c r="F17" s="8">
        <f>IFERROR(VLOOKUP(B17,PVSKTC!$A$4:$D$1048576,2,0),0)</f>
        <v>0</v>
      </c>
      <c r="G17" s="8">
        <f>IFERROR(VLOOKUP(B17,PVSKTC!$A$4:$D$1048576,3,0),0)</f>
        <v>0</v>
      </c>
      <c r="H17" s="8">
        <f>IFERROR(VLOOKUP(B17,PVSKTC!$A$4:$D$1048576,4,0),0)</f>
        <v>0</v>
      </c>
      <c r="I17" s="15" t="str">
        <f>IFERROR(IF(E17&gt;0,THTT!E$2,""),"")</f>
        <v/>
      </c>
      <c r="J17" s="16" t="str">
        <f t="shared" si="3"/>
        <v/>
      </c>
      <c r="K17" s="8" t="str">
        <f t="shared" si="4"/>
        <v/>
      </c>
      <c r="L17" s="8" t="str">
        <f t="shared" si="5"/>
        <v/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</row>
    <row r="18" spans="1:63" s="4" customFormat="1" x14ac:dyDescent="0.3">
      <c r="A18" s="19" t="str">
        <f t="shared" si="0"/>
        <v/>
      </c>
      <c r="B18" s="20"/>
      <c r="C18" s="39">
        <f t="shared" si="1"/>
        <v>45721</v>
      </c>
      <c r="D18" s="19">
        <f t="shared" si="2"/>
        <v>45722</v>
      </c>
      <c r="E18" s="42">
        <f t="shared" si="6"/>
        <v>0</v>
      </c>
      <c r="F18" s="8">
        <f>IFERROR(VLOOKUP(B18,PVSKTC!$A$4:$D$1048576,2,0),0)</f>
        <v>0</v>
      </c>
      <c r="G18" s="8">
        <f>IFERROR(VLOOKUP(B18,PVSKTC!$A$4:$D$1048576,3,0),0)</f>
        <v>0</v>
      </c>
      <c r="H18" s="8">
        <f>IFERROR(VLOOKUP(B18,PVSKTC!$A$4:$D$1048576,4,0),0)</f>
        <v>0</v>
      </c>
      <c r="I18" s="15" t="str">
        <f>IFERROR(IF(E18&gt;0,THTT!E$2,""),"")</f>
        <v/>
      </c>
      <c r="J18" s="16" t="str">
        <f t="shared" si="3"/>
        <v/>
      </c>
      <c r="K18" s="8" t="str">
        <f t="shared" si="4"/>
        <v/>
      </c>
      <c r="L18" s="8" t="str">
        <f t="shared" si="5"/>
        <v/>
      </c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</row>
    <row r="19" spans="1:63" s="4" customFormat="1" x14ac:dyDescent="0.3">
      <c r="A19" s="19" t="str">
        <f t="shared" si="0"/>
        <v/>
      </c>
      <c r="B19" s="20"/>
      <c r="C19" s="39">
        <f t="shared" si="1"/>
        <v>45721</v>
      </c>
      <c r="D19" s="19">
        <f t="shared" si="2"/>
        <v>45722</v>
      </c>
      <c r="E19" s="42">
        <f t="shared" si="6"/>
        <v>0</v>
      </c>
      <c r="F19" s="8">
        <f>IFERROR(VLOOKUP(B19,PVSKTC!$A$4:$D$1048576,2,0),0)</f>
        <v>0</v>
      </c>
      <c r="G19" s="8">
        <f>IFERROR(VLOOKUP(B19,PVSKTC!$A$4:$D$1048576,3,0),0)</f>
        <v>0</v>
      </c>
      <c r="H19" s="8">
        <f>IFERROR(VLOOKUP(B19,PVSKTC!$A$4:$D$1048576,4,0),0)</f>
        <v>0</v>
      </c>
      <c r="I19" s="15" t="str">
        <f>IFERROR(IF(E19&gt;0,THTT!E$2,""),"")</f>
        <v/>
      </c>
      <c r="J19" s="16" t="str">
        <f t="shared" si="3"/>
        <v/>
      </c>
      <c r="K19" s="8" t="str">
        <f t="shared" si="4"/>
        <v/>
      </c>
      <c r="L19" s="8" t="str">
        <f t="shared" si="5"/>
        <v/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</row>
    <row r="20" spans="1:63" s="4" customFormat="1" x14ac:dyDescent="0.3">
      <c r="A20" s="19" t="str">
        <f t="shared" si="0"/>
        <v/>
      </c>
      <c r="B20" s="20"/>
      <c r="C20" s="39">
        <f t="shared" si="1"/>
        <v>45721</v>
      </c>
      <c r="D20" s="19">
        <f t="shared" si="2"/>
        <v>45722</v>
      </c>
      <c r="E20" s="42">
        <f t="shared" si="6"/>
        <v>0</v>
      </c>
      <c r="F20" s="8">
        <f>IFERROR(VLOOKUP(B20,PVSKTC!$A$4:$D$1048576,2,0),0)</f>
        <v>0</v>
      </c>
      <c r="G20" s="8">
        <f>IFERROR(VLOOKUP(B20,PVSKTC!$A$4:$D$1048576,3,0),0)</f>
        <v>0</v>
      </c>
      <c r="H20" s="8">
        <f>IFERROR(VLOOKUP(B20,PVSKTC!$A$4:$D$1048576,4,0),0)</f>
        <v>0</v>
      </c>
      <c r="I20" s="15" t="str">
        <f>IFERROR(IF(E20&gt;0,THTT!E$2,""),"")</f>
        <v/>
      </c>
      <c r="J20" s="16" t="str">
        <f t="shared" si="3"/>
        <v/>
      </c>
      <c r="K20" s="8" t="str">
        <f t="shared" si="4"/>
        <v/>
      </c>
      <c r="L20" s="8" t="str">
        <f t="shared" si="5"/>
        <v/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</row>
    <row r="21" spans="1:63" s="4" customFormat="1" x14ac:dyDescent="0.3">
      <c r="A21" s="19" t="str">
        <f t="shared" si="0"/>
        <v/>
      </c>
      <c r="B21" s="20"/>
      <c r="C21" s="39">
        <f t="shared" si="1"/>
        <v>45721</v>
      </c>
      <c r="D21" s="19">
        <f t="shared" si="2"/>
        <v>45722</v>
      </c>
      <c r="E21" s="42">
        <f t="shared" si="6"/>
        <v>0</v>
      </c>
      <c r="F21" s="8">
        <f>IFERROR(VLOOKUP(B21,PVSKTC!$A$4:$D$1048576,2,0),0)</f>
        <v>0</v>
      </c>
      <c r="G21" s="8">
        <f>IFERROR(VLOOKUP(B21,PVSKTC!$A$4:$D$1048576,3,0),0)</f>
        <v>0</v>
      </c>
      <c r="H21" s="8">
        <f>IFERROR(VLOOKUP(B21,PVSKTC!$A$4:$D$1048576,4,0),0)</f>
        <v>0</v>
      </c>
      <c r="I21" s="15" t="str">
        <f>IFERROR(IF(E21&gt;0,THTT!E$2,""),"")</f>
        <v/>
      </c>
      <c r="J21" s="16" t="str">
        <f t="shared" si="3"/>
        <v/>
      </c>
      <c r="K21" s="8" t="str">
        <f t="shared" si="4"/>
        <v/>
      </c>
      <c r="L21" s="8" t="str">
        <f t="shared" si="5"/>
        <v/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</row>
    <row r="22" spans="1:63" s="4" customFormat="1" x14ac:dyDescent="0.3">
      <c r="A22" s="19" t="str">
        <f t="shared" si="0"/>
        <v/>
      </c>
      <c r="B22" s="20"/>
      <c r="C22" s="39">
        <f t="shared" si="1"/>
        <v>45721</v>
      </c>
      <c r="D22" s="19">
        <f t="shared" si="2"/>
        <v>45722</v>
      </c>
      <c r="E22" s="42">
        <f t="shared" si="6"/>
        <v>0</v>
      </c>
      <c r="F22" s="8">
        <f>IFERROR(VLOOKUP(B22,PVSKTC!$A$4:$D$1048576,2,0),0)</f>
        <v>0</v>
      </c>
      <c r="G22" s="8">
        <f>IFERROR(VLOOKUP(B22,PVSKTC!$A$4:$D$1048576,3,0),0)</f>
        <v>0</v>
      </c>
      <c r="H22" s="8">
        <f>IFERROR(VLOOKUP(B22,PVSKTC!$A$4:$D$1048576,4,0),0)</f>
        <v>0</v>
      </c>
      <c r="I22" s="15" t="str">
        <f>IFERROR(IF(E22&gt;0,THTT!E$2,""),"")</f>
        <v/>
      </c>
      <c r="J22" s="16" t="str">
        <f t="shared" si="3"/>
        <v/>
      </c>
      <c r="K22" s="8" t="str">
        <f t="shared" si="4"/>
        <v/>
      </c>
      <c r="L22" s="8" t="str">
        <f t="shared" si="5"/>
        <v/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</row>
    <row r="23" spans="1:63" s="4" customFormat="1" x14ac:dyDescent="0.3">
      <c r="A23" s="19" t="str">
        <f t="shared" si="0"/>
        <v/>
      </c>
      <c r="B23" s="20"/>
      <c r="C23" s="39">
        <f t="shared" si="1"/>
        <v>45721</v>
      </c>
      <c r="D23" s="19">
        <f t="shared" si="2"/>
        <v>45722</v>
      </c>
      <c r="E23" s="42">
        <f t="shared" si="6"/>
        <v>0</v>
      </c>
      <c r="F23" s="8">
        <f>IFERROR(VLOOKUP(B23,PVSKTC!$A$4:$D$1048576,2,0),0)</f>
        <v>0</v>
      </c>
      <c r="G23" s="8">
        <f>IFERROR(VLOOKUP(B23,PVSKTC!$A$4:$D$1048576,3,0),0)</f>
        <v>0</v>
      </c>
      <c r="H23" s="8">
        <f>IFERROR(VLOOKUP(B23,PVSKTC!$A$4:$D$1048576,4,0),0)</f>
        <v>0</v>
      </c>
      <c r="I23" s="15" t="str">
        <f>IFERROR(IF(E23&gt;0,THTT!E$2,""),"")</f>
        <v/>
      </c>
      <c r="J23" s="16" t="str">
        <f t="shared" si="3"/>
        <v/>
      </c>
      <c r="K23" s="8" t="str">
        <f t="shared" si="4"/>
        <v/>
      </c>
      <c r="L23" s="8" t="str">
        <f t="shared" si="5"/>
        <v/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</row>
    <row r="24" spans="1:63" s="4" customFormat="1" x14ac:dyDescent="0.3">
      <c r="A24" s="19" t="str">
        <f t="shared" si="0"/>
        <v/>
      </c>
      <c r="B24" s="20"/>
      <c r="C24" s="39">
        <f t="shared" si="1"/>
        <v>45721</v>
      </c>
      <c r="D24" s="19">
        <f t="shared" si="2"/>
        <v>45722</v>
      </c>
      <c r="E24" s="42">
        <f t="shared" si="6"/>
        <v>0</v>
      </c>
      <c r="F24" s="8">
        <f>IFERROR(VLOOKUP(B24,PVSKTC!$A$4:$D$1048576,2,0),0)</f>
        <v>0</v>
      </c>
      <c r="G24" s="8">
        <f>IFERROR(VLOOKUP(B24,PVSKTC!$A$4:$D$1048576,3,0),0)</f>
        <v>0</v>
      </c>
      <c r="H24" s="8">
        <f>IFERROR(VLOOKUP(B24,PVSKTC!$A$4:$D$1048576,4,0),0)</f>
        <v>0</v>
      </c>
      <c r="I24" s="15" t="str">
        <f>IFERROR(IF(E24&gt;0,THTT!E$2,""),"")</f>
        <v/>
      </c>
      <c r="J24" s="16" t="str">
        <f t="shared" si="3"/>
        <v/>
      </c>
      <c r="K24" s="8" t="str">
        <f t="shared" si="4"/>
        <v/>
      </c>
      <c r="L24" s="8" t="str">
        <f t="shared" si="5"/>
        <v/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</row>
    <row r="25" spans="1:63" s="4" customFormat="1" x14ac:dyDescent="0.3">
      <c r="A25" s="19" t="str">
        <f t="shared" si="0"/>
        <v/>
      </c>
      <c r="B25" s="20"/>
      <c r="C25" s="39">
        <f t="shared" si="1"/>
        <v>45721</v>
      </c>
      <c r="D25" s="19">
        <f t="shared" si="2"/>
        <v>45722</v>
      </c>
      <c r="E25" s="42">
        <f t="shared" si="6"/>
        <v>0</v>
      </c>
      <c r="F25" s="8">
        <f>IFERROR(VLOOKUP(B25,PVSKTC!$A$4:$D$1048576,2,0),0)</f>
        <v>0</v>
      </c>
      <c r="G25" s="8">
        <f>IFERROR(VLOOKUP(B25,PVSKTC!$A$4:$D$1048576,3,0),0)</f>
        <v>0</v>
      </c>
      <c r="H25" s="8">
        <f>IFERROR(VLOOKUP(B25,PVSKTC!$A$4:$D$1048576,4,0),0)</f>
        <v>0</v>
      </c>
      <c r="I25" s="15" t="str">
        <f>IFERROR(IF(E25&gt;0,THTT!E$2,""),"")</f>
        <v/>
      </c>
      <c r="J25" s="16" t="str">
        <f t="shared" si="3"/>
        <v/>
      </c>
      <c r="K25" s="8" t="str">
        <f t="shared" si="4"/>
        <v/>
      </c>
      <c r="L25" s="8" t="str">
        <f t="shared" si="5"/>
        <v/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</row>
    <row r="26" spans="1:63" s="4" customFormat="1" x14ac:dyDescent="0.3">
      <c r="A26" s="19" t="str">
        <f t="shared" si="0"/>
        <v/>
      </c>
      <c r="B26" s="20"/>
      <c r="C26" s="39">
        <f t="shared" si="1"/>
        <v>45721</v>
      </c>
      <c r="D26" s="19">
        <f t="shared" si="2"/>
        <v>45722</v>
      </c>
      <c r="E26" s="42">
        <f t="shared" si="6"/>
        <v>0</v>
      </c>
      <c r="F26" s="8">
        <f>IFERROR(VLOOKUP(B26,PVSKTC!$A$4:$D$1048576,2,0),0)</f>
        <v>0</v>
      </c>
      <c r="G26" s="8">
        <f>IFERROR(VLOOKUP(B26,PVSKTC!$A$4:$D$1048576,3,0),0)</f>
        <v>0</v>
      </c>
      <c r="H26" s="8">
        <f>IFERROR(VLOOKUP(B26,PVSKTC!$A$4:$D$1048576,4,0),0)</f>
        <v>0</v>
      </c>
      <c r="I26" s="15" t="str">
        <f>IFERROR(IF(E26&gt;0,THTT!E$2,""),"")</f>
        <v/>
      </c>
      <c r="J26" s="16" t="str">
        <f t="shared" si="3"/>
        <v/>
      </c>
      <c r="K26" s="8" t="str">
        <f t="shared" si="4"/>
        <v/>
      </c>
      <c r="L26" s="8" t="str">
        <f t="shared" si="5"/>
        <v/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</row>
    <row r="27" spans="1:63" s="4" customFormat="1" x14ac:dyDescent="0.3">
      <c r="A27" s="19" t="str">
        <f t="shared" si="0"/>
        <v/>
      </c>
      <c r="B27" s="20"/>
      <c r="C27" s="39">
        <f t="shared" si="1"/>
        <v>45721</v>
      </c>
      <c r="D27" s="19">
        <f t="shared" si="2"/>
        <v>45722</v>
      </c>
      <c r="E27" s="42">
        <f t="shared" si="6"/>
        <v>0</v>
      </c>
      <c r="F27" s="8">
        <f>IFERROR(VLOOKUP(B27,PVSKTC!$A$4:$D$1048576,2,0),0)</f>
        <v>0</v>
      </c>
      <c r="G27" s="8">
        <f>IFERROR(VLOOKUP(B27,PVSKTC!$A$4:$D$1048576,3,0),0)</f>
        <v>0</v>
      </c>
      <c r="H27" s="8">
        <f>IFERROR(VLOOKUP(B27,PVSKTC!$A$4:$D$1048576,4,0),0)</f>
        <v>0</v>
      </c>
      <c r="I27" s="15" t="str">
        <f>IFERROR(IF(E27&gt;0,THTT!E$2,""),"")</f>
        <v/>
      </c>
      <c r="J27" s="16" t="str">
        <f t="shared" si="3"/>
        <v/>
      </c>
      <c r="K27" s="8" t="str">
        <f t="shared" si="4"/>
        <v/>
      </c>
      <c r="L27" s="8" t="str">
        <f t="shared" si="5"/>
        <v/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</row>
    <row r="28" spans="1:63" s="4" customFormat="1" x14ac:dyDescent="0.3">
      <c r="A28" s="19" t="str">
        <f t="shared" si="0"/>
        <v/>
      </c>
      <c r="B28" s="20"/>
      <c r="C28" s="39">
        <f t="shared" si="1"/>
        <v>45721</v>
      </c>
      <c r="D28" s="19">
        <f t="shared" si="2"/>
        <v>45722</v>
      </c>
      <c r="E28" s="42">
        <f t="shared" si="6"/>
        <v>0</v>
      </c>
      <c r="F28" s="8">
        <f>IFERROR(VLOOKUP(B28,PVSKTC!$A$4:$D$1048576,2,0),0)</f>
        <v>0</v>
      </c>
      <c r="G28" s="8">
        <f>IFERROR(VLOOKUP(B28,PVSKTC!$A$4:$D$1048576,3,0),0)</f>
        <v>0</v>
      </c>
      <c r="H28" s="8">
        <f>IFERROR(VLOOKUP(B28,PVSKTC!$A$4:$D$1048576,4,0),0)</f>
        <v>0</v>
      </c>
      <c r="I28" s="15" t="str">
        <f>IFERROR(IF(E28&gt;0,THTT!E$2,""),"")</f>
        <v/>
      </c>
      <c r="J28" s="16" t="str">
        <f t="shared" si="3"/>
        <v/>
      </c>
      <c r="K28" s="8" t="str">
        <f t="shared" si="4"/>
        <v/>
      </c>
      <c r="L28" s="8" t="str">
        <f t="shared" si="5"/>
        <v/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</row>
    <row r="29" spans="1:63" s="4" customFormat="1" x14ac:dyDescent="0.3">
      <c r="A29" s="19" t="str">
        <f t="shared" si="0"/>
        <v/>
      </c>
      <c r="B29" s="20"/>
      <c r="C29" s="39">
        <f t="shared" si="1"/>
        <v>45721</v>
      </c>
      <c r="D29" s="19">
        <f t="shared" si="2"/>
        <v>45722</v>
      </c>
      <c r="E29" s="42">
        <f t="shared" si="6"/>
        <v>0</v>
      </c>
      <c r="F29" s="8">
        <f>IFERROR(VLOOKUP(B29,PVSKTC!$A$4:$D$1048576,2,0),0)</f>
        <v>0</v>
      </c>
      <c r="G29" s="8">
        <f>IFERROR(VLOOKUP(B29,PVSKTC!$A$4:$D$1048576,3,0),0)</f>
        <v>0</v>
      </c>
      <c r="H29" s="8">
        <f>IFERROR(VLOOKUP(B29,PVSKTC!$A$4:$D$1048576,4,0),0)</f>
        <v>0</v>
      </c>
      <c r="I29" s="15" t="str">
        <f>IFERROR(IF(E29&gt;0,THTT!E$2,""),"")</f>
        <v/>
      </c>
      <c r="J29" s="16" t="str">
        <f t="shared" si="3"/>
        <v/>
      </c>
      <c r="K29" s="8" t="str">
        <f t="shared" si="4"/>
        <v/>
      </c>
      <c r="L29" s="8" t="str">
        <f t="shared" si="5"/>
        <v/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</row>
    <row r="30" spans="1:63" s="4" customFormat="1" x14ac:dyDescent="0.3">
      <c r="A30" s="19" t="str">
        <f t="shared" si="0"/>
        <v/>
      </c>
      <c r="B30" s="20"/>
      <c r="C30" s="39">
        <f t="shared" si="1"/>
        <v>45721</v>
      </c>
      <c r="D30" s="19">
        <f t="shared" si="2"/>
        <v>45722</v>
      </c>
      <c r="E30" s="42">
        <f t="shared" si="6"/>
        <v>0</v>
      </c>
      <c r="F30" s="8">
        <f>IFERROR(VLOOKUP(B30,PVSKTC!$A$4:$D$1048576,2,0),0)</f>
        <v>0</v>
      </c>
      <c r="G30" s="8">
        <f>IFERROR(VLOOKUP(B30,PVSKTC!$A$4:$D$1048576,3,0),0)</f>
        <v>0</v>
      </c>
      <c r="H30" s="8">
        <f>IFERROR(VLOOKUP(B30,PVSKTC!$A$4:$D$1048576,4,0),0)</f>
        <v>0</v>
      </c>
      <c r="I30" s="15" t="str">
        <f>IFERROR(IF(E30&gt;0,THTT!E$2,""),"")</f>
        <v/>
      </c>
      <c r="J30" s="16" t="str">
        <f t="shared" si="3"/>
        <v/>
      </c>
      <c r="K30" s="8" t="str">
        <f t="shared" si="4"/>
        <v/>
      </c>
      <c r="L30" s="8" t="str">
        <f t="shared" si="5"/>
        <v/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</row>
    <row r="31" spans="1:63" s="4" customFormat="1" x14ac:dyDescent="0.3">
      <c r="A31" s="19" t="str">
        <f t="shared" si="0"/>
        <v/>
      </c>
      <c r="B31" s="20"/>
      <c r="C31" s="39">
        <f t="shared" si="1"/>
        <v>45721</v>
      </c>
      <c r="D31" s="19">
        <f t="shared" si="2"/>
        <v>45722</v>
      </c>
      <c r="E31" s="42">
        <f t="shared" si="6"/>
        <v>0</v>
      </c>
      <c r="F31" s="8">
        <f>IFERROR(VLOOKUP(B31,PVSKTC!$A$4:$D$1048576,2,0),0)</f>
        <v>0</v>
      </c>
      <c r="G31" s="8">
        <f>IFERROR(VLOOKUP(B31,PVSKTC!$A$4:$D$1048576,3,0),0)</f>
        <v>0</v>
      </c>
      <c r="H31" s="8">
        <f>IFERROR(VLOOKUP(B31,PVSKTC!$A$4:$D$1048576,4,0),0)</f>
        <v>0</v>
      </c>
      <c r="I31" s="15" t="str">
        <f>IFERROR(IF(E31&gt;0,THTT!E$2,""),"")</f>
        <v/>
      </c>
      <c r="J31" s="16" t="str">
        <f t="shared" si="3"/>
        <v/>
      </c>
      <c r="K31" s="8" t="str">
        <f t="shared" si="4"/>
        <v/>
      </c>
      <c r="L31" s="8" t="str">
        <f t="shared" si="5"/>
        <v/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</row>
    <row r="32" spans="1:63" s="4" customFormat="1" x14ac:dyDescent="0.3">
      <c r="A32" s="19" t="str">
        <f t="shared" si="0"/>
        <v/>
      </c>
      <c r="B32" s="20"/>
      <c r="C32" s="39">
        <f t="shared" si="1"/>
        <v>45721</v>
      </c>
      <c r="D32" s="19">
        <f t="shared" si="2"/>
        <v>45722</v>
      </c>
      <c r="E32" s="42">
        <f t="shared" si="6"/>
        <v>0</v>
      </c>
      <c r="F32" s="8">
        <f>IFERROR(VLOOKUP(B32,PVSKTC!$A$4:$D$1048576,2,0),0)</f>
        <v>0</v>
      </c>
      <c r="G32" s="8">
        <f>IFERROR(VLOOKUP(B32,PVSKTC!$A$4:$D$1048576,3,0),0)</f>
        <v>0</v>
      </c>
      <c r="H32" s="8">
        <f>IFERROR(VLOOKUP(B32,PVSKTC!$A$4:$D$1048576,4,0),0)</f>
        <v>0</v>
      </c>
      <c r="I32" s="15" t="str">
        <f>IFERROR(IF(E32&gt;0,THTT!E$2,""),"")</f>
        <v/>
      </c>
      <c r="J32" s="16" t="str">
        <f t="shared" si="3"/>
        <v/>
      </c>
      <c r="K32" s="8" t="str">
        <f t="shared" si="4"/>
        <v/>
      </c>
      <c r="L32" s="8" t="str">
        <f t="shared" si="5"/>
        <v/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</row>
    <row r="33" spans="1:63" s="4" customFormat="1" x14ac:dyDescent="0.3">
      <c r="A33" s="19" t="str">
        <f t="shared" si="0"/>
        <v/>
      </c>
      <c r="B33" s="20"/>
      <c r="C33" s="39">
        <f t="shared" si="1"/>
        <v>45721</v>
      </c>
      <c r="D33" s="19">
        <f t="shared" si="2"/>
        <v>45722</v>
      </c>
      <c r="E33" s="42">
        <f t="shared" si="6"/>
        <v>0</v>
      </c>
      <c r="F33" s="8">
        <f>IFERROR(VLOOKUP(B33,PVSKTC!$A$4:$D$1048576,2,0),0)</f>
        <v>0</v>
      </c>
      <c r="G33" s="8">
        <f>IFERROR(VLOOKUP(B33,PVSKTC!$A$4:$D$1048576,3,0),0)</f>
        <v>0</v>
      </c>
      <c r="H33" s="8">
        <f>IFERROR(VLOOKUP(B33,PVSKTC!$A$4:$D$1048576,4,0),0)</f>
        <v>0</v>
      </c>
      <c r="I33" s="15" t="str">
        <f>IFERROR(IF(E33&gt;0,THTT!E$2,""),"")</f>
        <v/>
      </c>
      <c r="J33" s="16" t="str">
        <f t="shared" si="3"/>
        <v/>
      </c>
      <c r="K33" s="8" t="str">
        <f t="shared" si="4"/>
        <v/>
      </c>
      <c r="L33" s="8" t="str">
        <f t="shared" si="5"/>
        <v/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</row>
    <row r="34" spans="1:63" s="4" customFormat="1" x14ac:dyDescent="0.3">
      <c r="A34" s="19" t="str">
        <f t="shared" si="0"/>
        <v/>
      </c>
      <c r="B34" s="20"/>
      <c r="C34" s="39">
        <f t="shared" si="1"/>
        <v>45721</v>
      </c>
      <c r="D34" s="19">
        <f t="shared" si="2"/>
        <v>45722</v>
      </c>
      <c r="E34" s="42">
        <f t="shared" si="6"/>
        <v>0</v>
      </c>
      <c r="F34" s="8">
        <f>IFERROR(VLOOKUP(B34,PVSKTC!$A$4:$D$1048576,2,0),0)</f>
        <v>0</v>
      </c>
      <c r="G34" s="8">
        <f>IFERROR(VLOOKUP(B34,PVSKTC!$A$4:$D$1048576,3,0),0)</f>
        <v>0</v>
      </c>
      <c r="H34" s="8">
        <f>IFERROR(VLOOKUP(B34,PVSKTC!$A$4:$D$1048576,4,0),0)</f>
        <v>0</v>
      </c>
      <c r="I34" s="15" t="str">
        <f>IFERROR(IF(E34&gt;0,THTT!E$2,""),"")</f>
        <v/>
      </c>
      <c r="J34" s="16" t="str">
        <f t="shared" si="3"/>
        <v/>
      </c>
      <c r="K34" s="8" t="str">
        <f t="shared" si="4"/>
        <v/>
      </c>
      <c r="L34" s="8" t="str">
        <f t="shared" si="5"/>
        <v/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</row>
    <row r="35" spans="1:63" s="4" customFormat="1" x14ac:dyDescent="0.3">
      <c r="A35" s="19" t="str">
        <f t="shared" si="0"/>
        <v/>
      </c>
      <c r="B35" s="20"/>
      <c r="C35" s="39">
        <f t="shared" si="1"/>
        <v>45721</v>
      </c>
      <c r="D35" s="19">
        <f t="shared" si="2"/>
        <v>45722</v>
      </c>
      <c r="E35" s="42">
        <f t="shared" si="6"/>
        <v>0</v>
      </c>
      <c r="F35" s="8">
        <f>IFERROR(VLOOKUP(B35,PVSKTC!$A$4:$D$1048576,2,0),0)</f>
        <v>0</v>
      </c>
      <c r="G35" s="8">
        <f>IFERROR(VLOOKUP(B35,PVSKTC!$A$4:$D$1048576,3,0),0)</f>
        <v>0</v>
      </c>
      <c r="H35" s="8">
        <f>IFERROR(VLOOKUP(B35,PVSKTC!$A$4:$D$1048576,4,0),0)</f>
        <v>0</v>
      </c>
      <c r="I35" s="15" t="str">
        <f>IFERROR(IF(E35&gt;0,THTT!E$2,""),"")</f>
        <v/>
      </c>
      <c r="J35" s="16" t="str">
        <f t="shared" si="3"/>
        <v/>
      </c>
      <c r="K35" s="8" t="str">
        <f t="shared" si="4"/>
        <v/>
      </c>
      <c r="L35" s="8" t="str">
        <f t="shared" si="5"/>
        <v/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</row>
    <row r="36" spans="1:63" s="4" customFormat="1" x14ac:dyDescent="0.3">
      <c r="A36" s="19" t="str">
        <f t="shared" si="0"/>
        <v/>
      </c>
      <c r="B36" s="20"/>
      <c r="C36" s="39">
        <f t="shared" si="1"/>
        <v>45721</v>
      </c>
      <c r="D36" s="19">
        <f t="shared" si="2"/>
        <v>45722</v>
      </c>
      <c r="E36" s="42">
        <f t="shared" si="6"/>
        <v>0</v>
      </c>
      <c r="F36" s="8">
        <f>IFERROR(VLOOKUP(B36,PVSKTC!$A$4:$D$1048576,2,0),0)</f>
        <v>0</v>
      </c>
      <c r="G36" s="8">
        <f>IFERROR(VLOOKUP(B36,PVSKTC!$A$4:$D$1048576,3,0),0)</f>
        <v>0</v>
      </c>
      <c r="H36" s="8">
        <f>IFERROR(VLOOKUP(B36,PVSKTC!$A$4:$D$1048576,4,0),0)</f>
        <v>0</v>
      </c>
      <c r="I36" s="15" t="str">
        <f>IFERROR(IF(E36&gt;0,THTT!E$2,""),"")</f>
        <v/>
      </c>
      <c r="J36" s="16" t="str">
        <f t="shared" si="3"/>
        <v/>
      </c>
      <c r="K36" s="8" t="str">
        <f t="shared" si="4"/>
        <v/>
      </c>
      <c r="L36" s="8" t="str">
        <f t="shared" si="5"/>
        <v/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</row>
    <row r="37" spans="1:63" s="4" customFormat="1" x14ac:dyDescent="0.3">
      <c r="A37" s="19" t="str">
        <f t="shared" si="0"/>
        <v/>
      </c>
      <c r="B37" s="20"/>
      <c r="C37" s="39">
        <f t="shared" si="1"/>
        <v>45721</v>
      </c>
      <c r="D37" s="19">
        <f t="shared" si="2"/>
        <v>45722</v>
      </c>
      <c r="E37" s="42">
        <f t="shared" si="6"/>
        <v>0</v>
      </c>
      <c r="F37" s="8">
        <f>IFERROR(VLOOKUP(B37,PVSKTC!$A$4:$D$1048576,2,0),0)</f>
        <v>0</v>
      </c>
      <c r="G37" s="8">
        <f>IFERROR(VLOOKUP(B37,PVSKTC!$A$4:$D$1048576,3,0),0)</f>
        <v>0</v>
      </c>
      <c r="H37" s="8">
        <f>IFERROR(VLOOKUP(B37,PVSKTC!$A$4:$D$1048576,4,0),0)</f>
        <v>0</v>
      </c>
      <c r="I37" s="15" t="str">
        <f>IFERROR(IF(E37&gt;0,THTT!E$2,""),"")</f>
        <v/>
      </c>
      <c r="J37" s="16" t="str">
        <f t="shared" si="3"/>
        <v/>
      </c>
      <c r="K37" s="8" t="str">
        <f t="shared" si="4"/>
        <v/>
      </c>
      <c r="L37" s="8" t="str">
        <f t="shared" si="5"/>
        <v/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</row>
    <row r="38" spans="1:63" s="4" customFormat="1" x14ac:dyDescent="0.3">
      <c r="A38" s="19" t="str">
        <f t="shared" si="0"/>
        <v/>
      </c>
      <c r="B38" s="20"/>
      <c r="C38" s="39">
        <f t="shared" si="1"/>
        <v>45721</v>
      </c>
      <c r="D38" s="19">
        <f t="shared" si="2"/>
        <v>45722</v>
      </c>
      <c r="E38" s="42">
        <f t="shared" si="6"/>
        <v>0</v>
      </c>
      <c r="F38" s="8">
        <f>IFERROR(VLOOKUP(B38,PVSKTC!$A$4:$D$1048576,2,0),0)</f>
        <v>0</v>
      </c>
      <c r="G38" s="8">
        <f>IFERROR(VLOOKUP(B38,PVSKTC!$A$4:$D$1048576,3,0),0)</f>
        <v>0</v>
      </c>
      <c r="H38" s="8">
        <f>IFERROR(VLOOKUP(B38,PVSKTC!$A$4:$D$1048576,4,0),0)</f>
        <v>0</v>
      </c>
      <c r="I38" s="15" t="str">
        <f>IFERROR(IF(E38&gt;0,THTT!E$2,""),"")</f>
        <v/>
      </c>
      <c r="J38" s="16" t="str">
        <f t="shared" si="3"/>
        <v/>
      </c>
      <c r="K38" s="8" t="str">
        <f t="shared" si="4"/>
        <v/>
      </c>
      <c r="L38" s="8" t="str">
        <f t="shared" si="5"/>
        <v/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</row>
    <row r="39" spans="1:63" s="4" customFormat="1" x14ac:dyDescent="0.3">
      <c r="A39" s="19" t="str">
        <f t="shared" si="0"/>
        <v/>
      </c>
      <c r="B39" s="20"/>
      <c r="C39" s="39">
        <f t="shared" si="1"/>
        <v>45721</v>
      </c>
      <c r="D39" s="19">
        <f t="shared" si="2"/>
        <v>45722</v>
      </c>
      <c r="E39" s="42">
        <f t="shared" si="6"/>
        <v>0</v>
      </c>
      <c r="F39" s="8">
        <f>IFERROR(VLOOKUP(B39,PVSKTC!$A$4:$D$1048576,2,0),0)</f>
        <v>0</v>
      </c>
      <c r="G39" s="8">
        <f>IFERROR(VLOOKUP(B39,PVSKTC!$A$4:$D$1048576,3,0),0)</f>
        <v>0</v>
      </c>
      <c r="H39" s="8">
        <f>IFERROR(VLOOKUP(B39,PVSKTC!$A$4:$D$1048576,4,0),0)</f>
        <v>0</v>
      </c>
      <c r="I39" s="15" t="str">
        <f>IFERROR(IF(E39&gt;0,THTT!E$2,""),"")</f>
        <v/>
      </c>
      <c r="J39" s="16" t="str">
        <f t="shared" si="3"/>
        <v/>
      </c>
      <c r="K39" s="8" t="str">
        <f t="shared" si="4"/>
        <v/>
      </c>
      <c r="L39" s="8" t="str">
        <f t="shared" si="5"/>
        <v/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</row>
    <row r="40" spans="1:63" s="4" customFormat="1" x14ac:dyDescent="0.3">
      <c r="A40" s="19" t="str">
        <f t="shared" si="0"/>
        <v/>
      </c>
      <c r="B40" s="20"/>
      <c r="C40" s="39">
        <f t="shared" si="1"/>
        <v>45721</v>
      </c>
      <c r="D40" s="19">
        <f t="shared" si="2"/>
        <v>45722</v>
      </c>
      <c r="E40" s="42">
        <f t="shared" si="6"/>
        <v>0</v>
      </c>
      <c r="F40" s="8">
        <f>IFERROR(VLOOKUP(B40,PVSKTC!$A$4:$D$1048576,2,0),0)</f>
        <v>0</v>
      </c>
      <c r="G40" s="8">
        <f>IFERROR(VLOOKUP(B40,PVSKTC!$A$4:$D$1048576,3,0),0)</f>
        <v>0</v>
      </c>
      <c r="H40" s="8">
        <f>IFERROR(VLOOKUP(B40,PVSKTC!$A$4:$D$1048576,4,0),0)</f>
        <v>0</v>
      </c>
      <c r="I40" s="15" t="str">
        <f>IFERROR(IF(E40&gt;0,THTT!E$2,""),"")</f>
        <v/>
      </c>
      <c r="J40" s="16" t="str">
        <f t="shared" si="3"/>
        <v/>
      </c>
      <c r="K40" s="8" t="str">
        <f t="shared" si="4"/>
        <v/>
      </c>
      <c r="L40" s="8" t="str">
        <f t="shared" si="5"/>
        <v/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</row>
    <row r="41" spans="1:63" s="4" customFormat="1" x14ac:dyDescent="0.3">
      <c r="A41" s="19" t="str">
        <f t="shared" si="0"/>
        <v/>
      </c>
      <c r="B41" s="20"/>
      <c r="C41" s="39">
        <f t="shared" si="1"/>
        <v>45721</v>
      </c>
      <c r="D41" s="19">
        <f t="shared" si="2"/>
        <v>45722</v>
      </c>
      <c r="E41" s="42">
        <f t="shared" si="6"/>
        <v>0</v>
      </c>
      <c r="F41" s="8">
        <f>IFERROR(VLOOKUP(B41,PVSKTC!$A$4:$D$1048576,2,0),0)</f>
        <v>0</v>
      </c>
      <c r="G41" s="8">
        <f>IFERROR(VLOOKUP(B41,PVSKTC!$A$4:$D$1048576,3,0),0)</f>
        <v>0</v>
      </c>
      <c r="H41" s="8">
        <f>IFERROR(VLOOKUP(B41,PVSKTC!$A$4:$D$1048576,4,0),0)</f>
        <v>0</v>
      </c>
      <c r="I41" s="15" t="str">
        <f>IFERROR(IF(E41&gt;0,THTT!E$2,""),"")</f>
        <v/>
      </c>
      <c r="J41" s="16" t="str">
        <f t="shared" si="3"/>
        <v/>
      </c>
      <c r="K41" s="8" t="str">
        <f t="shared" si="4"/>
        <v/>
      </c>
      <c r="L41" s="8" t="str">
        <f t="shared" si="5"/>
        <v/>
      </c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</row>
    <row r="42" spans="1:63" s="4" customFormat="1" x14ac:dyDescent="0.3">
      <c r="A42" s="19" t="str">
        <f t="shared" si="0"/>
        <v/>
      </c>
      <c r="B42" s="20"/>
      <c r="C42" s="39">
        <f t="shared" si="1"/>
        <v>45721</v>
      </c>
      <c r="D42" s="19">
        <f t="shared" si="2"/>
        <v>45722</v>
      </c>
      <c r="E42" s="42">
        <f t="shared" si="6"/>
        <v>0</v>
      </c>
      <c r="F42" s="8">
        <f>IFERROR(VLOOKUP(B42,PVSKTC!$A$4:$D$1048576,2,0),0)</f>
        <v>0</v>
      </c>
      <c r="G42" s="8">
        <f>IFERROR(VLOOKUP(B42,PVSKTC!$A$4:$D$1048576,3,0),0)</f>
        <v>0</v>
      </c>
      <c r="H42" s="8">
        <f>IFERROR(VLOOKUP(B42,PVSKTC!$A$4:$D$1048576,4,0),0)</f>
        <v>0</v>
      </c>
      <c r="I42" s="15" t="str">
        <f>IFERROR(IF(E42&gt;0,THTT!E$2,""),"")</f>
        <v/>
      </c>
      <c r="J42" s="16" t="str">
        <f t="shared" si="3"/>
        <v/>
      </c>
      <c r="K42" s="8" t="str">
        <f t="shared" si="4"/>
        <v/>
      </c>
      <c r="L42" s="8" t="str">
        <f t="shared" si="5"/>
        <v/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</row>
    <row r="43" spans="1:63" s="4" customFormat="1" x14ac:dyDescent="0.3">
      <c r="A43" s="19" t="str">
        <f t="shared" si="0"/>
        <v/>
      </c>
      <c r="B43" s="20"/>
      <c r="C43" s="39">
        <f t="shared" si="1"/>
        <v>45721</v>
      </c>
      <c r="D43" s="19">
        <f t="shared" si="2"/>
        <v>45722</v>
      </c>
      <c r="E43" s="42">
        <f t="shared" si="6"/>
        <v>0</v>
      </c>
      <c r="F43" s="8">
        <f>IFERROR(VLOOKUP(B43,PVSKTC!$A$4:$D$1048576,2,0),0)</f>
        <v>0</v>
      </c>
      <c r="G43" s="8">
        <f>IFERROR(VLOOKUP(B43,PVSKTC!$A$4:$D$1048576,3,0),0)</f>
        <v>0</v>
      </c>
      <c r="H43" s="8">
        <f>IFERROR(VLOOKUP(B43,PVSKTC!$A$4:$D$1048576,4,0),0)</f>
        <v>0</v>
      </c>
      <c r="I43" s="15" t="str">
        <f>IFERROR(IF(E43&gt;0,THTT!E$2,""),"")</f>
        <v/>
      </c>
      <c r="J43" s="16" t="str">
        <f t="shared" si="3"/>
        <v/>
      </c>
      <c r="K43" s="8" t="str">
        <f t="shared" si="4"/>
        <v/>
      </c>
      <c r="L43" s="8" t="str">
        <f t="shared" si="5"/>
        <v/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</row>
    <row r="44" spans="1:63" s="4" customFormat="1" x14ac:dyDescent="0.3">
      <c r="A44" s="19" t="str">
        <f t="shared" si="0"/>
        <v/>
      </c>
      <c r="B44" s="20"/>
      <c r="C44" s="39">
        <f t="shared" si="1"/>
        <v>45721</v>
      </c>
      <c r="D44" s="19">
        <f t="shared" si="2"/>
        <v>45722</v>
      </c>
      <c r="E44" s="42">
        <f t="shared" si="6"/>
        <v>0</v>
      </c>
      <c r="F44" s="8">
        <f>IFERROR(VLOOKUP(B44,PVSKTC!$A$4:$D$1048576,2,0),0)</f>
        <v>0</v>
      </c>
      <c r="G44" s="8">
        <f>IFERROR(VLOOKUP(B44,PVSKTC!$A$4:$D$1048576,3,0),0)</f>
        <v>0</v>
      </c>
      <c r="H44" s="8">
        <f>IFERROR(VLOOKUP(B44,PVSKTC!$A$4:$D$1048576,4,0),0)</f>
        <v>0</v>
      </c>
      <c r="I44" s="15" t="str">
        <f>IFERROR(IF(E44&gt;0,THTT!E$2,""),"")</f>
        <v/>
      </c>
      <c r="J44" s="16" t="str">
        <f t="shared" si="3"/>
        <v/>
      </c>
      <c r="K44" s="8" t="str">
        <f t="shared" si="4"/>
        <v/>
      </c>
      <c r="L44" s="8" t="str">
        <f t="shared" si="5"/>
        <v/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</row>
    <row r="45" spans="1:63" s="4" customFormat="1" x14ac:dyDescent="0.3">
      <c r="A45" s="19" t="str">
        <f t="shared" si="0"/>
        <v/>
      </c>
      <c r="B45" s="20"/>
      <c r="C45" s="39">
        <f t="shared" si="1"/>
        <v>45721</v>
      </c>
      <c r="D45" s="19">
        <f t="shared" si="2"/>
        <v>45722</v>
      </c>
      <c r="E45" s="42">
        <f t="shared" si="6"/>
        <v>0</v>
      </c>
      <c r="F45" s="8">
        <f>IFERROR(VLOOKUP(B45,PVSKTC!$A$4:$D$1048576,2,0),0)</f>
        <v>0</v>
      </c>
      <c r="G45" s="8">
        <f>IFERROR(VLOOKUP(B45,PVSKTC!$A$4:$D$1048576,3,0),0)</f>
        <v>0</v>
      </c>
      <c r="H45" s="8">
        <f>IFERROR(VLOOKUP(B45,PVSKTC!$A$4:$D$1048576,4,0),0)</f>
        <v>0</v>
      </c>
      <c r="I45" s="15" t="str">
        <f>IFERROR(IF(E45&gt;0,THTT!E$2,""),"")</f>
        <v/>
      </c>
      <c r="J45" s="16" t="str">
        <f t="shared" si="3"/>
        <v/>
      </c>
      <c r="K45" s="8" t="str">
        <f t="shared" si="4"/>
        <v/>
      </c>
      <c r="L45" s="8" t="str">
        <f t="shared" si="5"/>
        <v/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</row>
    <row r="46" spans="1:63" s="4" customFormat="1" x14ac:dyDescent="0.3">
      <c r="A46" s="19" t="str">
        <f t="shared" si="0"/>
        <v/>
      </c>
      <c r="B46" s="20"/>
      <c r="C46" s="39">
        <f t="shared" si="1"/>
        <v>45721</v>
      </c>
      <c r="D46" s="19">
        <f t="shared" si="2"/>
        <v>45722</v>
      </c>
      <c r="E46" s="42">
        <f t="shared" si="6"/>
        <v>0</v>
      </c>
      <c r="F46" s="8">
        <f>IFERROR(VLOOKUP(B46,PVSKTC!$A$4:$D$1048576,2,0),0)</f>
        <v>0</v>
      </c>
      <c r="G46" s="8">
        <f>IFERROR(VLOOKUP(B46,PVSKTC!$A$4:$D$1048576,3,0),0)</f>
        <v>0</v>
      </c>
      <c r="H46" s="8">
        <f>IFERROR(VLOOKUP(B46,PVSKTC!$A$4:$D$1048576,4,0),0)</f>
        <v>0</v>
      </c>
      <c r="I46" s="15" t="str">
        <f>IFERROR(IF(E46&gt;0,THTT!E$2,""),"")</f>
        <v/>
      </c>
      <c r="J46" s="16" t="str">
        <f t="shared" si="3"/>
        <v/>
      </c>
      <c r="K46" s="8" t="str">
        <f t="shared" si="4"/>
        <v/>
      </c>
      <c r="L46" s="8" t="str">
        <f t="shared" si="5"/>
        <v/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</row>
    <row r="47" spans="1:63" s="4" customFormat="1" x14ac:dyDescent="0.3">
      <c r="A47" s="19" t="str">
        <f t="shared" si="0"/>
        <v/>
      </c>
      <c r="B47" s="20"/>
      <c r="C47" s="39">
        <f t="shared" si="1"/>
        <v>45721</v>
      </c>
      <c r="D47" s="19">
        <f t="shared" si="2"/>
        <v>45722</v>
      </c>
      <c r="E47" s="42">
        <f t="shared" si="6"/>
        <v>0</v>
      </c>
      <c r="F47" s="8">
        <f>IFERROR(VLOOKUP(B47,PVSKTC!$A$4:$D$1048576,2,0),0)</f>
        <v>0</v>
      </c>
      <c r="G47" s="8">
        <f>IFERROR(VLOOKUP(B47,PVSKTC!$A$4:$D$1048576,3,0),0)</f>
        <v>0</v>
      </c>
      <c r="H47" s="8">
        <f>IFERROR(VLOOKUP(B47,PVSKTC!$A$4:$D$1048576,4,0),0)</f>
        <v>0</v>
      </c>
      <c r="I47" s="15" t="str">
        <f>IFERROR(IF(E47&gt;0,THTT!E$2,""),"")</f>
        <v/>
      </c>
      <c r="J47" s="16" t="str">
        <f t="shared" si="3"/>
        <v/>
      </c>
      <c r="K47" s="8" t="str">
        <f t="shared" si="4"/>
        <v/>
      </c>
      <c r="L47" s="8" t="str">
        <f t="shared" si="5"/>
        <v/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</row>
    <row r="48" spans="1:63" s="4" customFormat="1" x14ac:dyDescent="0.3">
      <c r="A48" s="19" t="str">
        <f t="shared" si="0"/>
        <v/>
      </c>
      <c r="B48" s="20"/>
      <c r="C48" s="39">
        <f t="shared" si="1"/>
        <v>45721</v>
      </c>
      <c r="D48" s="19">
        <f t="shared" si="2"/>
        <v>45722</v>
      </c>
      <c r="E48" s="42">
        <f t="shared" si="6"/>
        <v>0</v>
      </c>
      <c r="F48" s="8">
        <f>IFERROR(VLOOKUP(B48,PVSKTC!$A$4:$D$1048576,2,0),0)</f>
        <v>0</v>
      </c>
      <c r="G48" s="8">
        <f>IFERROR(VLOOKUP(B48,PVSKTC!$A$4:$D$1048576,3,0),0)</f>
        <v>0</v>
      </c>
      <c r="H48" s="8">
        <f>IFERROR(VLOOKUP(B48,PVSKTC!$A$4:$D$1048576,4,0),0)</f>
        <v>0</v>
      </c>
      <c r="I48" s="15" t="str">
        <f>IFERROR(IF(E48&gt;0,THTT!E$2,""),"")</f>
        <v/>
      </c>
      <c r="J48" s="16" t="str">
        <f t="shared" si="3"/>
        <v/>
      </c>
      <c r="K48" s="8" t="str">
        <f t="shared" si="4"/>
        <v/>
      </c>
      <c r="L48" s="8" t="str">
        <f t="shared" si="5"/>
        <v/>
      </c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</row>
    <row r="49" spans="1:63" s="4" customFormat="1" x14ac:dyDescent="0.3">
      <c r="A49" s="19" t="str">
        <f t="shared" si="0"/>
        <v/>
      </c>
      <c r="B49" s="20"/>
      <c r="C49" s="39">
        <f t="shared" si="1"/>
        <v>45721</v>
      </c>
      <c r="D49" s="19">
        <f t="shared" si="2"/>
        <v>45722</v>
      </c>
      <c r="E49" s="42">
        <f t="shared" si="6"/>
        <v>0</v>
      </c>
      <c r="F49" s="8">
        <f>IFERROR(VLOOKUP(B49,PVSKTC!$A$4:$D$1048576,2,0),0)</f>
        <v>0</v>
      </c>
      <c r="G49" s="8">
        <f>IFERROR(VLOOKUP(B49,PVSKTC!$A$4:$D$1048576,3,0),0)</f>
        <v>0</v>
      </c>
      <c r="H49" s="8">
        <f>IFERROR(VLOOKUP(B49,PVSKTC!$A$4:$D$1048576,4,0),0)</f>
        <v>0</v>
      </c>
      <c r="I49" s="15" t="str">
        <f>IFERROR(IF(E49&gt;0,THTT!E$2,""),"")</f>
        <v/>
      </c>
      <c r="J49" s="16" t="str">
        <f t="shared" si="3"/>
        <v/>
      </c>
      <c r="K49" s="8" t="str">
        <f t="shared" si="4"/>
        <v/>
      </c>
      <c r="L49" s="8" t="str">
        <f t="shared" si="5"/>
        <v/>
      </c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</row>
    <row r="50" spans="1:63" s="4" customFormat="1" x14ac:dyDescent="0.3">
      <c r="A50" s="19" t="str">
        <f t="shared" si="0"/>
        <v/>
      </c>
      <c r="B50" s="20"/>
      <c r="C50" s="39">
        <f t="shared" si="1"/>
        <v>45721</v>
      </c>
      <c r="D50" s="19">
        <f t="shared" si="2"/>
        <v>45722</v>
      </c>
      <c r="E50" s="42">
        <f t="shared" si="6"/>
        <v>0</v>
      </c>
      <c r="F50" s="8">
        <f>IFERROR(VLOOKUP(B50,PVSKTC!$A$4:$D$1048576,2,0),0)</f>
        <v>0</v>
      </c>
      <c r="G50" s="8">
        <f>IFERROR(VLOOKUP(B50,PVSKTC!$A$4:$D$1048576,3,0),0)</f>
        <v>0</v>
      </c>
      <c r="H50" s="8">
        <f>IFERROR(VLOOKUP(B50,PVSKTC!$A$4:$D$1048576,4,0),0)</f>
        <v>0</v>
      </c>
      <c r="I50" s="15" t="str">
        <f>IFERROR(IF(E50&gt;0,THTT!E$2,""),"")</f>
        <v/>
      </c>
      <c r="J50" s="16" t="str">
        <f t="shared" si="3"/>
        <v/>
      </c>
      <c r="K50" s="8" t="str">
        <f t="shared" si="4"/>
        <v/>
      </c>
      <c r="L50" s="8" t="str">
        <f t="shared" si="5"/>
        <v/>
      </c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</row>
    <row r="51" spans="1:63" s="4" customFormat="1" x14ac:dyDescent="0.3">
      <c r="A51" s="19" t="str">
        <f t="shared" si="0"/>
        <v/>
      </c>
      <c r="B51" s="20"/>
      <c r="C51" s="39">
        <f t="shared" si="1"/>
        <v>45721</v>
      </c>
      <c r="D51" s="19">
        <f t="shared" si="2"/>
        <v>45722</v>
      </c>
      <c r="E51" s="42">
        <f t="shared" si="6"/>
        <v>0</v>
      </c>
      <c r="F51" s="8">
        <f>IFERROR(VLOOKUP(B51,PVSKTC!$A$4:$D$1048576,2,0),0)</f>
        <v>0</v>
      </c>
      <c r="G51" s="8">
        <f>IFERROR(VLOOKUP(B51,PVSKTC!$A$4:$D$1048576,3,0),0)</f>
        <v>0</v>
      </c>
      <c r="H51" s="8">
        <f>IFERROR(VLOOKUP(B51,PVSKTC!$A$4:$D$1048576,4,0),0)</f>
        <v>0</v>
      </c>
      <c r="I51" s="15" t="str">
        <f>IFERROR(IF(E51&gt;0,THTT!E$2,""),"")</f>
        <v/>
      </c>
      <c r="J51" s="16" t="str">
        <f t="shared" si="3"/>
        <v/>
      </c>
      <c r="K51" s="8" t="str">
        <f t="shared" si="4"/>
        <v/>
      </c>
      <c r="L51" s="8" t="str">
        <f t="shared" si="5"/>
        <v/>
      </c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</row>
    <row r="52" spans="1:63" s="4" customFormat="1" x14ac:dyDescent="0.3">
      <c r="A52" s="19" t="str">
        <f t="shared" si="0"/>
        <v/>
      </c>
      <c r="B52" s="20"/>
      <c r="C52" s="39">
        <f t="shared" si="1"/>
        <v>45721</v>
      </c>
      <c r="D52" s="19">
        <f t="shared" si="2"/>
        <v>45722</v>
      </c>
      <c r="E52" s="42">
        <f t="shared" si="6"/>
        <v>0</v>
      </c>
      <c r="F52" s="8">
        <f>IFERROR(VLOOKUP(B52,PVSKTC!$A$4:$D$1048576,2,0),0)</f>
        <v>0</v>
      </c>
      <c r="G52" s="8">
        <f>IFERROR(VLOOKUP(B52,PVSKTC!$A$4:$D$1048576,3,0),0)</f>
        <v>0</v>
      </c>
      <c r="H52" s="8">
        <f>IFERROR(VLOOKUP(B52,PVSKTC!$A$4:$D$1048576,4,0),0)</f>
        <v>0</v>
      </c>
      <c r="I52" s="15" t="str">
        <f>IFERROR(IF(E52&gt;0,THTT!E$2,""),"")</f>
        <v/>
      </c>
      <c r="J52" s="16" t="str">
        <f t="shared" si="3"/>
        <v/>
      </c>
      <c r="K52" s="8" t="str">
        <f t="shared" si="4"/>
        <v/>
      </c>
      <c r="L52" s="8" t="str">
        <f t="shared" si="5"/>
        <v/>
      </c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</row>
    <row r="53" spans="1:63" s="4" customFormat="1" x14ac:dyDescent="0.3">
      <c r="A53" s="19" t="str">
        <f t="shared" si="0"/>
        <v/>
      </c>
      <c r="B53" s="20"/>
      <c r="C53" s="39">
        <f t="shared" si="1"/>
        <v>45721</v>
      </c>
      <c r="D53" s="19">
        <f t="shared" si="2"/>
        <v>45722</v>
      </c>
      <c r="E53" s="42">
        <f t="shared" si="6"/>
        <v>0</v>
      </c>
      <c r="F53" s="8">
        <f>IFERROR(VLOOKUP(B53,PVSKTC!$A$4:$D$1048576,2,0),0)</f>
        <v>0</v>
      </c>
      <c r="G53" s="8">
        <f>IFERROR(VLOOKUP(B53,PVSKTC!$A$4:$D$1048576,3,0),0)</f>
        <v>0</v>
      </c>
      <c r="H53" s="8">
        <f>IFERROR(VLOOKUP(B53,PVSKTC!$A$4:$D$1048576,4,0),0)</f>
        <v>0</v>
      </c>
      <c r="I53" s="15" t="str">
        <f>IFERROR(IF(E53&gt;0,THTT!E$2,""),"")</f>
        <v/>
      </c>
      <c r="J53" s="16" t="str">
        <f t="shared" si="3"/>
        <v/>
      </c>
      <c r="K53" s="8" t="str">
        <f t="shared" si="4"/>
        <v/>
      </c>
      <c r="L53" s="8" t="str">
        <f t="shared" si="5"/>
        <v/>
      </c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</row>
    <row r="54" spans="1:63" s="4" customFormat="1" x14ac:dyDescent="0.3">
      <c r="A54" s="19" t="str">
        <f t="shared" si="0"/>
        <v/>
      </c>
      <c r="B54" s="20"/>
      <c r="C54" s="39">
        <f t="shared" si="1"/>
        <v>45721</v>
      </c>
      <c r="D54" s="19">
        <f t="shared" si="2"/>
        <v>45722</v>
      </c>
      <c r="E54" s="42">
        <f t="shared" si="6"/>
        <v>0</v>
      </c>
      <c r="F54" s="8">
        <f>IFERROR(VLOOKUP(B54,PVSKTC!$A$4:$D$1048576,2,0),0)</f>
        <v>0</v>
      </c>
      <c r="G54" s="8">
        <f>IFERROR(VLOOKUP(B54,PVSKTC!$A$4:$D$1048576,3,0),0)</f>
        <v>0</v>
      </c>
      <c r="H54" s="8">
        <f>IFERROR(VLOOKUP(B54,PVSKTC!$A$4:$D$1048576,4,0),0)</f>
        <v>0</v>
      </c>
      <c r="I54" s="15" t="str">
        <f>IFERROR(IF(E54&gt;0,THTT!E$2,""),"")</f>
        <v/>
      </c>
      <c r="J54" s="16" t="str">
        <f t="shared" si="3"/>
        <v/>
      </c>
      <c r="K54" s="8" t="str">
        <f t="shared" si="4"/>
        <v/>
      </c>
      <c r="L54" s="8" t="str">
        <f t="shared" si="5"/>
        <v/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</row>
    <row r="55" spans="1:63" s="4" customFormat="1" x14ac:dyDescent="0.3">
      <c r="A55" s="19" t="str">
        <f t="shared" si="0"/>
        <v/>
      </c>
      <c r="B55" s="20"/>
      <c r="C55" s="39">
        <f t="shared" si="1"/>
        <v>45721</v>
      </c>
      <c r="D55" s="19">
        <f t="shared" si="2"/>
        <v>45722</v>
      </c>
      <c r="E55" s="42">
        <f t="shared" si="6"/>
        <v>0</v>
      </c>
      <c r="F55" s="8">
        <f>IFERROR(VLOOKUP(B55,PVSKTC!$A$4:$D$1048576,2,0),0)</f>
        <v>0</v>
      </c>
      <c r="G55" s="8">
        <f>IFERROR(VLOOKUP(B55,PVSKTC!$A$4:$D$1048576,3,0),0)</f>
        <v>0</v>
      </c>
      <c r="H55" s="8">
        <f>IFERROR(VLOOKUP(B55,PVSKTC!$A$4:$D$1048576,4,0),0)</f>
        <v>0</v>
      </c>
      <c r="I55" s="15" t="str">
        <f>IFERROR(IF(E55&gt;0,THTT!E$2,""),"")</f>
        <v/>
      </c>
      <c r="J55" s="16" t="str">
        <f t="shared" si="3"/>
        <v/>
      </c>
      <c r="K55" s="8" t="str">
        <f t="shared" si="4"/>
        <v/>
      </c>
      <c r="L55" s="8" t="str">
        <f t="shared" si="5"/>
        <v/>
      </c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</row>
    <row r="56" spans="1:63" s="4" customFormat="1" x14ac:dyDescent="0.3">
      <c r="A56" s="19" t="str">
        <f t="shared" si="0"/>
        <v/>
      </c>
      <c r="B56" s="20"/>
      <c r="C56" s="39">
        <f t="shared" si="1"/>
        <v>45721</v>
      </c>
      <c r="D56" s="19">
        <f t="shared" si="2"/>
        <v>45722</v>
      </c>
      <c r="E56" s="42">
        <f t="shared" si="6"/>
        <v>0</v>
      </c>
      <c r="F56" s="8">
        <f>IFERROR(VLOOKUP(B56,PVSKTC!$A$4:$D$1048576,2,0),0)</f>
        <v>0</v>
      </c>
      <c r="G56" s="8">
        <f>IFERROR(VLOOKUP(B56,PVSKTC!$A$4:$D$1048576,3,0),0)</f>
        <v>0</v>
      </c>
      <c r="H56" s="8">
        <f>IFERROR(VLOOKUP(B56,PVSKTC!$A$4:$D$1048576,4,0),0)</f>
        <v>0</v>
      </c>
      <c r="I56" s="15" t="str">
        <f>IFERROR(IF(E56&gt;0,THTT!E$2,""),"")</f>
        <v/>
      </c>
      <c r="J56" s="16" t="str">
        <f t="shared" si="3"/>
        <v/>
      </c>
      <c r="K56" s="8" t="str">
        <f t="shared" si="4"/>
        <v/>
      </c>
      <c r="L56" s="8" t="str">
        <f t="shared" si="5"/>
        <v/>
      </c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</row>
    <row r="57" spans="1:63" s="4" customFormat="1" x14ac:dyDescent="0.3">
      <c r="A57" s="19" t="str">
        <f t="shared" si="0"/>
        <v/>
      </c>
      <c r="B57" s="20"/>
      <c r="C57" s="39">
        <f t="shared" si="1"/>
        <v>45721</v>
      </c>
      <c r="D57" s="19">
        <f t="shared" si="2"/>
        <v>45722</v>
      </c>
      <c r="E57" s="42">
        <f t="shared" si="6"/>
        <v>0</v>
      </c>
      <c r="F57" s="8">
        <f>IFERROR(VLOOKUP(B57,PVSKTC!$A$4:$D$1048576,2,0),0)</f>
        <v>0</v>
      </c>
      <c r="G57" s="8">
        <f>IFERROR(VLOOKUP(B57,PVSKTC!$A$4:$D$1048576,3,0),0)</f>
        <v>0</v>
      </c>
      <c r="H57" s="8">
        <f>IFERROR(VLOOKUP(B57,PVSKTC!$A$4:$D$1048576,4,0),0)</f>
        <v>0</v>
      </c>
      <c r="I57" s="15" t="str">
        <f>IFERROR(IF(E57&gt;0,THTT!E$2,""),"")</f>
        <v/>
      </c>
      <c r="J57" s="16" t="str">
        <f t="shared" si="3"/>
        <v/>
      </c>
      <c r="K57" s="8" t="str">
        <f t="shared" si="4"/>
        <v/>
      </c>
      <c r="L57" s="8" t="str">
        <f t="shared" si="5"/>
        <v/>
      </c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</row>
    <row r="58" spans="1:63" s="4" customFormat="1" x14ac:dyDescent="0.3">
      <c r="A58" s="19" t="str">
        <f t="shared" si="0"/>
        <v/>
      </c>
      <c r="B58" s="20"/>
      <c r="C58" s="39">
        <f t="shared" si="1"/>
        <v>45721</v>
      </c>
      <c r="D58" s="19">
        <f t="shared" si="2"/>
        <v>45722</v>
      </c>
      <c r="E58" s="42">
        <f t="shared" si="6"/>
        <v>0</v>
      </c>
      <c r="F58" s="8">
        <f>IFERROR(VLOOKUP(B58,PVSKTC!$A$4:$D$1048576,2,0),0)</f>
        <v>0</v>
      </c>
      <c r="G58" s="8">
        <f>IFERROR(VLOOKUP(B58,PVSKTC!$A$4:$D$1048576,3,0),0)</f>
        <v>0</v>
      </c>
      <c r="H58" s="8">
        <f>IFERROR(VLOOKUP(B58,PVSKTC!$A$4:$D$1048576,4,0),0)</f>
        <v>0</v>
      </c>
      <c r="I58" s="15" t="str">
        <f>IFERROR(IF(E58&gt;0,THTT!E$2,""),"")</f>
        <v/>
      </c>
      <c r="J58" s="16" t="str">
        <f t="shared" si="3"/>
        <v/>
      </c>
      <c r="K58" s="8" t="str">
        <f t="shared" si="4"/>
        <v/>
      </c>
      <c r="L58" s="8" t="str">
        <f t="shared" si="5"/>
        <v/>
      </c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</row>
    <row r="59" spans="1:63" s="4" customFormat="1" x14ac:dyDescent="0.3">
      <c r="A59" s="19" t="str">
        <f t="shared" si="0"/>
        <v/>
      </c>
      <c r="B59" s="20"/>
      <c r="C59" s="39">
        <f t="shared" si="1"/>
        <v>45721</v>
      </c>
      <c r="D59" s="19">
        <f t="shared" si="2"/>
        <v>45722</v>
      </c>
      <c r="E59" s="42">
        <f t="shared" si="6"/>
        <v>0</v>
      </c>
      <c r="F59" s="8">
        <f>IFERROR(VLOOKUP(B59,PVSKTC!$A$4:$D$1048576,2,0),0)</f>
        <v>0</v>
      </c>
      <c r="G59" s="8">
        <f>IFERROR(VLOOKUP(B59,PVSKTC!$A$4:$D$1048576,3,0),0)</f>
        <v>0</v>
      </c>
      <c r="H59" s="8">
        <f>IFERROR(VLOOKUP(B59,PVSKTC!$A$4:$D$1048576,4,0),0)</f>
        <v>0</v>
      </c>
      <c r="I59" s="15" t="str">
        <f>IFERROR(IF(E59&gt;0,THTT!E$2,""),"")</f>
        <v/>
      </c>
      <c r="J59" s="16" t="str">
        <f t="shared" si="3"/>
        <v/>
      </c>
      <c r="K59" s="8" t="str">
        <f t="shared" si="4"/>
        <v/>
      </c>
      <c r="L59" s="8" t="str">
        <f t="shared" si="5"/>
        <v/>
      </c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</row>
    <row r="60" spans="1:63" s="4" customFormat="1" x14ac:dyDescent="0.3">
      <c r="A60" s="19" t="str">
        <f t="shared" si="0"/>
        <v/>
      </c>
      <c r="B60" s="20"/>
      <c r="C60" s="39">
        <f t="shared" si="1"/>
        <v>45721</v>
      </c>
      <c r="D60" s="19">
        <f t="shared" si="2"/>
        <v>45722</v>
      </c>
      <c r="E60" s="42">
        <f t="shared" si="6"/>
        <v>0</v>
      </c>
      <c r="F60" s="8">
        <f>IFERROR(VLOOKUP(B60,PVSKTC!$A$4:$D$1048576,2,0),0)</f>
        <v>0</v>
      </c>
      <c r="G60" s="8">
        <f>IFERROR(VLOOKUP(B60,PVSKTC!$A$4:$D$1048576,3,0),0)</f>
        <v>0</v>
      </c>
      <c r="H60" s="8">
        <f>IFERROR(VLOOKUP(B60,PVSKTC!$A$4:$D$1048576,4,0),0)</f>
        <v>0</v>
      </c>
      <c r="I60" s="15" t="str">
        <f>IFERROR(IF(E60&gt;0,THTT!E$2,""),"")</f>
        <v/>
      </c>
      <c r="J60" s="16" t="str">
        <f t="shared" si="3"/>
        <v/>
      </c>
      <c r="K60" s="8" t="str">
        <f t="shared" si="4"/>
        <v/>
      </c>
      <c r="L60" s="8" t="str">
        <f t="shared" si="5"/>
        <v/>
      </c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</row>
    <row r="61" spans="1:63" s="4" customFormat="1" x14ac:dyDescent="0.3">
      <c r="A61" s="19" t="str">
        <f t="shared" si="0"/>
        <v/>
      </c>
      <c r="B61" s="20"/>
      <c r="C61" s="39">
        <f t="shared" si="1"/>
        <v>45721</v>
      </c>
      <c r="D61" s="19">
        <f t="shared" si="2"/>
        <v>45722</v>
      </c>
      <c r="E61" s="42">
        <f t="shared" si="6"/>
        <v>0</v>
      </c>
      <c r="F61" s="8">
        <f>IFERROR(VLOOKUP(B61,PVSKTC!$A$4:$D$1048576,2,0),0)</f>
        <v>0</v>
      </c>
      <c r="G61" s="8">
        <f>IFERROR(VLOOKUP(B61,PVSKTC!$A$4:$D$1048576,3,0),0)</f>
        <v>0</v>
      </c>
      <c r="H61" s="8">
        <f>IFERROR(VLOOKUP(B61,PVSKTC!$A$4:$D$1048576,4,0),0)</f>
        <v>0</v>
      </c>
      <c r="I61" s="15" t="str">
        <f>IFERROR(IF(E61&gt;0,THTT!E$2,""),"")</f>
        <v/>
      </c>
      <c r="J61" s="16" t="str">
        <f t="shared" si="3"/>
        <v/>
      </c>
      <c r="K61" s="8" t="str">
        <f t="shared" si="4"/>
        <v/>
      </c>
      <c r="L61" s="8" t="str">
        <f t="shared" si="5"/>
        <v/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</row>
    <row r="62" spans="1:63" s="4" customFormat="1" x14ac:dyDescent="0.3">
      <c r="A62" s="19" t="str">
        <f t="shared" si="0"/>
        <v/>
      </c>
      <c r="B62" s="20"/>
      <c r="C62" s="39">
        <f t="shared" si="1"/>
        <v>45721</v>
      </c>
      <c r="D62" s="19">
        <f t="shared" si="2"/>
        <v>45722</v>
      </c>
      <c r="E62" s="42">
        <f t="shared" si="6"/>
        <v>0</v>
      </c>
      <c r="F62" s="8">
        <f>IFERROR(VLOOKUP(B62,PVSKTC!$A$4:$D$1048576,2,0),0)</f>
        <v>0</v>
      </c>
      <c r="G62" s="8">
        <f>IFERROR(VLOOKUP(B62,PVSKTC!$A$4:$D$1048576,3,0),0)</f>
        <v>0</v>
      </c>
      <c r="H62" s="8">
        <f>IFERROR(VLOOKUP(B62,PVSKTC!$A$4:$D$1048576,4,0),0)</f>
        <v>0</v>
      </c>
      <c r="I62" s="15" t="str">
        <f>IFERROR(IF(E62&gt;0,THTT!E$2,""),"")</f>
        <v/>
      </c>
      <c r="J62" s="16" t="str">
        <f t="shared" si="3"/>
        <v/>
      </c>
      <c r="K62" s="8" t="str">
        <f t="shared" si="4"/>
        <v/>
      </c>
      <c r="L62" s="8" t="str">
        <f t="shared" si="5"/>
        <v/>
      </c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</row>
    <row r="63" spans="1:63" s="4" customFormat="1" x14ac:dyDescent="0.3">
      <c r="A63" s="19" t="str">
        <f t="shared" si="0"/>
        <v/>
      </c>
      <c r="B63" s="20"/>
      <c r="C63" s="39">
        <f t="shared" si="1"/>
        <v>45721</v>
      </c>
      <c r="D63" s="19">
        <f t="shared" si="2"/>
        <v>45722</v>
      </c>
      <c r="E63" s="42">
        <f t="shared" si="6"/>
        <v>0</v>
      </c>
      <c r="F63" s="8">
        <f>IFERROR(VLOOKUP(B63,PVSKTC!$A$4:$D$1048576,2,0),0)</f>
        <v>0</v>
      </c>
      <c r="G63" s="8">
        <f>IFERROR(VLOOKUP(B63,PVSKTC!$A$4:$D$1048576,3,0),0)</f>
        <v>0</v>
      </c>
      <c r="H63" s="8">
        <f>IFERROR(VLOOKUP(B63,PVSKTC!$A$4:$D$1048576,4,0),0)</f>
        <v>0</v>
      </c>
      <c r="I63" s="15" t="str">
        <f>IFERROR(IF(E63&gt;0,THTT!E$2,""),"")</f>
        <v/>
      </c>
      <c r="J63" s="16" t="str">
        <f t="shared" si="3"/>
        <v/>
      </c>
      <c r="K63" s="8" t="str">
        <f t="shared" si="4"/>
        <v/>
      </c>
      <c r="L63" s="8" t="str">
        <f t="shared" si="5"/>
        <v/>
      </c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</row>
    <row r="64" spans="1:63" s="4" customFormat="1" x14ac:dyDescent="0.3">
      <c r="A64" s="19" t="str">
        <f t="shared" si="0"/>
        <v/>
      </c>
      <c r="B64" s="20"/>
      <c r="C64" s="39">
        <f t="shared" si="1"/>
        <v>45721</v>
      </c>
      <c r="D64" s="19">
        <f t="shared" si="2"/>
        <v>45722</v>
      </c>
      <c r="E64" s="42">
        <f t="shared" si="6"/>
        <v>0</v>
      </c>
      <c r="F64" s="8">
        <f>IFERROR(VLOOKUP(B64,PVSKTC!$A$4:$D$1048576,2,0),0)</f>
        <v>0</v>
      </c>
      <c r="G64" s="8">
        <f>IFERROR(VLOOKUP(B64,PVSKTC!$A$4:$D$1048576,3,0),0)</f>
        <v>0</v>
      </c>
      <c r="H64" s="8">
        <f>IFERROR(VLOOKUP(B64,PVSKTC!$A$4:$D$1048576,4,0),0)</f>
        <v>0</v>
      </c>
      <c r="I64" s="15" t="str">
        <f>IFERROR(IF(E64&gt;0,THTT!E$2,""),"")</f>
        <v/>
      </c>
      <c r="J64" s="16" t="str">
        <f t="shared" si="3"/>
        <v/>
      </c>
      <c r="K64" s="8" t="str">
        <f t="shared" si="4"/>
        <v/>
      </c>
      <c r="L64" s="8" t="str">
        <f t="shared" si="5"/>
        <v/>
      </c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</row>
    <row r="65" spans="1:63" s="4" customFormat="1" x14ac:dyDescent="0.3">
      <c r="A65" s="19" t="str">
        <f t="shared" si="0"/>
        <v/>
      </c>
      <c r="B65" s="20"/>
      <c r="C65" s="39">
        <f t="shared" si="1"/>
        <v>45721</v>
      </c>
      <c r="D65" s="19">
        <f t="shared" si="2"/>
        <v>45722</v>
      </c>
      <c r="E65" s="42">
        <f t="shared" si="6"/>
        <v>0</v>
      </c>
      <c r="F65" s="8">
        <f>IFERROR(VLOOKUP(B65,PVSKTC!$A$4:$D$1048576,2,0),0)</f>
        <v>0</v>
      </c>
      <c r="G65" s="8">
        <f>IFERROR(VLOOKUP(B65,PVSKTC!$A$4:$D$1048576,3,0),0)</f>
        <v>0</v>
      </c>
      <c r="H65" s="8">
        <f>IFERROR(VLOOKUP(B65,PVSKTC!$A$4:$D$1048576,4,0),0)</f>
        <v>0</v>
      </c>
      <c r="I65" s="15" t="str">
        <f>IFERROR(IF(E65&gt;0,THTT!E$2,""),"")</f>
        <v/>
      </c>
      <c r="J65" s="16" t="str">
        <f t="shared" si="3"/>
        <v/>
      </c>
      <c r="K65" s="8" t="str">
        <f t="shared" si="4"/>
        <v/>
      </c>
      <c r="L65" s="8" t="str">
        <f t="shared" si="5"/>
        <v/>
      </c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</row>
    <row r="66" spans="1:63" s="4" customFormat="1" x14ac:dyDescent="0.3">
      <c r="A66" s="19" t="str">
        <f t="shared" si="0"/>
        <v/>
      </c>
      <c r="B66" s="20"/>
      <c r="C66" s="39">
        <f t="shared" si="1"/>
        <v>45721</v>
      </c>
      <c r="D66" s="19">
        <f t="shared" si="2"/>
        <v>45722</v>
      </c>
      <c r="E66" s="42">
        <f t="shared" si="6"/>
        <v>0</v>
      </c>
      <c r="F66" s="8">
        <f>IFERROR(VLOOKUP(B66,PVSKTC!$A$4:$D$1048576,2,0),0)</f>
        <v>0</v>
      </c>
      <c r="G66" s="8">
        <f>IFERROR(VLOOKUP(B66,PVSKTC!$A$4:$D$1048576,3,0),0)</f>
        <v>0</v>
      </c>
      <c r="H66" s="8">
        <f>IFERROR(VLOOKUP(B66,PVSKTC!$A$4:$D$1048576,4,0),0)</f>
        <v>0</v>
      </c>
      <c r="I66" s="15" t="str">
        <f>IFERROR(IF(E66&gt;0,THTT!E$2,""),"")</f>
        <v/>
      </c>
      <c r="J66" s="16" t="str">
        <f t="shared" si="3"/>
        <v/>
      </c>
      <c r="K66" s="8" t="str">
        <f t="shared" si="4"/>
        <v/>
      </c>
      <c r="L66" s="8" t="str">
        <f t="shared" si="5"/>
        <v/>
      </c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</row>
    <row r="67" spans="1:63" s="4" customFormat="1" x14ac:dyDescent="0.3">
      <c r="A67" s="19" t="str">
        <f t="shared" si="0"/>
        <v/>
      </c>
      <c r="B67" s="20"/>
      <c r="C67" s="39">
        <f t="shared" si="1"/>
        <v>45721</v>
      </c>
      <c r="D67" s="19">
        <f t="shared" si="2"/>
        <v>45722</v>
      </c>
      <c r="E67" s="42">
        <f t="shared" si="6"/>
        <v>0</v>
      </c>
      <c r="F67" s="8">
        <f>IFERROR(VLOOKUP(B67,PVSKTC!$A$4:$D$1048576,2,0),0)</f>
        <v>0</v>
      </c>
      <c r="G67" s="8">
        <f>IFERROR(VLOOKUP(B67,PVSKTC!$A$4:$D$1048576,3,0),0)</f>
        <v>0</v>
      </c>
      <c r="H67" s="8">
        <f>IFERROR(VLOOKUP(B67,PVSKTC!$A$4:$D$1048576,4,0),0)</f>
        <v>0</v>
      </c>
      <c r="I67" s="15" t="str">
        <f>IFERROR(IF(E67&gt;0,THTT!E$2,""),"")</f>
        <v/>
      </c>
      <c r="J67" s="16" t="str">
        <f t="shared" si="3"/>
        <v/>
      </c>
      <c r="K67" s="8" t="str">
        <f t="shared" si="4"/>
        <v/>
      </c>
      <c r="L67" s="8" t="str">
        <f t="shared" si="5"/>
        <v/>
      </c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</row>
    <row r="68" spans="1:63" s="4" customFormat="1" x14ac:dyDescent="0.3">
      <c r="A68" s="19" t="str">
        <f t="shared" si="0"/>
        <v/>
      </c>
      <c r="B68" s="20"/>
      <c r="C68" s="39">
        <f t="shared" si="1"/>
        <v>45721</v>
      </c>
      <c r="D68" s="19">
        <f t="shared" si="2"/>
        <v>45722</v>
      </c>
      <c r="E68" s="42">
        <f t="shared" si="6"/>
        <v>0</v>
      </c>
      <c r="F68" s="8">
        <f>IFERROR(VLOOKUP(B68,PVSKTC!$A$4:$D$1048576,2,0),0)</f>
        <v>0</v>
      </c>
      <c r="G68" s="8">
        <f>IFERROR(VLOOKUP(B68,PVSKTC!$A$4:$D$1048576,3,0),0)</f>
        <v>0</v>
      </c>
      <c r="H68" s="8">
        <f>IFERROR(VLOOKUP(B68,PVSKTC!$A$4:$D$1048576,4,0),0)</f>
        <v>0</v>
      </c>
      <c r="I68" s="15" t="str">
        <f>IFERROR(IF(E68&gt;0,THTT!E$2,""),"")</f>
        <v/>
      </c>
      <c r="J68" s="16" t="str">
        <f t="shared" si="3"/>
        <v/>
      </c>
      <c r="K68" s="8" t="str">
        <f t="shared" si="4"/>
        <v/>
      </c>
      <c r="L68" s="8" t="str">
        <f t="shared" si="5"/>
        <v/>
      </c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</row>
    <row r="69" spans="1:63" s="4" customFormat="1" x14ac:dyDescent="0.3">
      <c r="A69" s="19" t="str">
        <f t="shared" si="0"/>
        <v/>
      </c>
      <c r="B69" s="20"/>
      <c r="C69" s="39">
        <f t="shared" si="1"/>
        <v>45721</v>
      </c>
      <c r="D69" s="19">
        <f t="shared" si="2"/>
        <v>45722</v>
      </c>
      <c r="E69" s="42">
        <f t="shared" si="6"/>
        <v>0</v>
      </c>
      <c r="F69" s="8">
        <f>IFERROR(VLOOKUP(B69,PVSKTC!$A$4:$D$1048576,2,0),0)</f>
        <v>0</v>
      </c>
      <c r="G69" s="8">
        <f>IFERROR(VLOOKUP(B69,PVSKTC!$A$4:$D$1048576,3,0),0)</f>
        <v>0</v>
      </c>
      <c r="H69" s="8">
        <f>IFERROR(VLOOKUP(B69,PVSKTC!$A$4:$D$1048576,4,0),0)</f>
        <v>0</v>
      </c>
      <c r="I69" s="15" t="str">
        <f>IFERROR(IF(E69&gt;0,THTT!E$2,""),"")</f>
        <v/>
      </c>
      <c r="J69" s="16" t="str">
        <f t="shared" si="3"/>
        <v/>
      </c>
      <c r="K69" s="8" t="str">
        <f t="shared" si="4"/>
        <v/>
      </c>
      <c r="L69" s="8" t="str">
        <f t="shared" si="5"/>
        <v/>
      </c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</row>
    <row r="70" spans="1:63" s="4" customFormat="1" x14ac:dyDescent="0.3">
      <c r="A70" s="19" t="str">
        <f t="shared" si="0"/>
        <v/>
      </c>
      <c r="B70" s="20"/>
      <c r="C70" s="39">
        <f t="shared" si="1"/>
        <v>45721</v>
      </c>
      <c r="D70" s="19">
        <f t="shared" si="2"/>
        <v>45722</v>
      </c>
      <c r="E70" s="42">
        <f t="shared" si="6"/>
        <v>0</v>
      </c>
      <c r="F70" s="8">
        <f>IFERROR(VLOOKUP(B70,PVSKTC!$A$4:$D$1048576,2,0),0)</f>
        <v>0</v>
      </c>
      <c r="G70" s="8">
        <f>IFERROR(VLOOKUP(B70,PVSKTC!$A$4:$D$1048576,3,0),0)</f>
        <v>0</v>
      </c>
      <c r="H70" s="8">
        <f>IFERROR(VLOOKUP(B70,PVSKTC!$A$4:$D$1048576,4,0),0)</f>
        <v>0</v>
      </c>
      <c r="I70" s="15" t="str">
        <f>IFERROR(IF(E70&gt;0,THTT!E$2,""),"")</f>
        <v/>
      </c>
      <c r="J70" s="16" t="str">
        <f t="shared" si="3"/>
        <v/>
      </c>
      <c r="K70" s="8" t="str">
        <f t="shared" si="4"/>
        <v/>
      </c>
      <c r="L70" s="8" t="str">
        <f t="shared" si="5"/>
        <v/>
      </c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</row>
    <row r="71" spans="1:63" s="4" customFormat="1" x14ac:dyDescent="0.3">
      <c r="A71" s="19" t="str">
        <f t="shared" si="0"/>
        <v/>
      </c>
      <c r="B71" s="20"/>
      <c r="C71" s="39">
        <f t="shared" si="1"/>
        <v>45721</v>
      </c>
      <c r="D71" s="19">
        <f t="shared" si="2"/>
        <v>45722</v>
      </c>
      <c r="E71" s="42">
        <f t="shared" si="6"/>
        <v>0</v>
      </c>
      <c r="F71" s="8">
        <f>IFERROR(VLOOKUP(B71,PVSKTC!$A$4:$D$1048576,2,0),0)</f>
        <v>0</v>
      </c>
      <c r="G71" s="8">
        <f>IFERROR(VLOOKUP(B71,PVSKTC!$A$4:$D$1048576,3,0),0)</f>
        <v>0</v>
      </c>
      <c r="H71" s="8">
        <f>IFERROR(VLOOKUP(B71,PVSKTC!$A$4:$D$1048576,4,0),0)</f>
        <v>0</v>
      </c>
      <c r="I71" s="15" t="str">
        <f>IFERROR(IF(E71&gt;0,THTT!E$2,""),"")</f>
        <v/>
      </c>
      <c r="J71" s="16" t="str">
        <f t="shared" si="3"/>
        <v/>
      </c>
      <c r="K71" s="8" t="str">
        <f t="shared" si="4"/>
        <v/>
      </c>
      <c r="L71" s="8" t="str">
        <f t="shared" si="5"/>
        <v/>
      </c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</row>
    <row r="72" spans="1:63" s="4" customFormat="1" x14ac:dyDescent="0.3">
      <c r="A72" s="19" t="str">
        <f t="shared" si="0"/>
        <v/>
      </c>
      <c r="B72" s="20"/>
      <c r="C72" s="39">
        <f t="shared" si="1"/>
        <v>45721</v>
      </c>
      <c r="D72" s="19">
        <f t="shared" si="2"/>
        <v>45722</v>
      </c>
      <c r="E72" s="42">
        <f t="shared" si="6"/>
        <v>0</v>
      </c>
      <c r="F72" s="8">
        <f>IFERROR(VLOOKUP(B72,PVSKTC!$A$4:$D$1048576,2,0),0)</f>
        <v>0</v>
      </c>
      <c r="G72" s="8">
        <f>IFERROR(VLOOKUP(B72,PVSKTC!$A$4:$D$1048576,3,0),0)</f>
        <v>0</v>
      </c>
      <c r="H72" s="8">
        <f>IFERROR(VLOOKUP(B72,PVSKTC!$A$4:$D$1048576,4,0),0)</f>
        <v>0</v>
      </c>
      <c r="I72" s="15" t="str">
        <f>IFERROR(IF(E72&gt;0,THTT!E$2,""),"")</f>
        <v/>
      </c>
      <c r="J72" s="16" t="str">
        <f t="shared" si="3"/>
        <v/>
      </c>
      <c r="K72" s="8" t="str">
        <f t="shared" si="4"/>
        <v/>
      </c>
      <c r="L72" s="8" t="str">
        <f t="shared" si="5"/>
        <v/>
      </c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</row>
    <row r="73" spans="1:63" s="4" customFormat="1" x14ac:dyDescent="0.3">
      <c r="A73" s="19" t="str">
        <f t="shared" si="0"/>
        <v/>
      </c>
      <c r="B73" s="20"/>
      <c r="C73" s="39">
        <f t="shared" si="1"/>
        <v>45721</v>
      </c>
      <c r="D73" s="19">
        <f t="shared" si="2"/>
        <v>45722</v>
      </c>
      <c r="E73" s="42">
        <f t="shared" si="6"/>
        <v>0</v>
      </c>
      <c r="F73" s="8">
        <f>IFERROR(VLOOKUP(B73,PVSKTC!$A$4:$D$1048576,2,0),0)</f>
        <v>0</v>
      </c>
      <c r="G73" s="8">
        <f>IFERROR(VLOOKUP(B73,PVSKTC!$A$4:$D$1048576,3,0),0)</f>
        <v>0</v>
      </c>
      <c r="H73" s="8">
        <f>IFERROR(VLOOKUP(B73,PVSKTC!$A$4:$D$1048576,4,0),0)</f>
        <v>0</v>
      </c>
      <c r="I73" s="15" t="str">
        <f>IFERROR(IF(E73&gt;0,THTT!E$2,""),"")</f>
        <v/>
      </c>
      <c r="J73" s="16" t="str">
        <f t="shared" si="3"/>
        <v/>
      </c>
      <c r="K73" s="8" t="str">
        <f t="shared" si="4"/>
        <v/>
      </c>
      <c r="L73" s="8" t="str">
        <f t="shared" si="5"/>
        <v/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</row>
    <row r="74" spans="1:63" s="4" customFormat="1" x14ac:dyDescent="0.3">
      <c r="A74" s="19" t="str">
        <f t="shared" si="0"/>
        <v/>
      </c>
      <c r="B74" s="20"/>
      <c r="C74" s="39">
        <f t="shared" si="1"/>
        <v>45721</v>
      </c>
      <c r="D74" s="19">
        <f t="shared" si="2"/>
        <v>45722</v>
      </c>
      <c r="E74" s="42">
        <f t="shared" si="6"/>
        <v>0</v>
      </c>
      <c r="F74" s="8">
        <f>IFERROR(VLOOKUP(B74,PVSKTC!$A$4:$D$1048576,2,0),0)</f>
        <v>0</v>
      </c>
      <c r="G74" s="8">
        <f>IFERROR(VLOOKUP(B74,PVSKTC!$A$4:$D$1048576,3,0),0)</f>
        <v>0</v>
      </c>
      <c r="H74" s="8">
        <f>IFERROR(VLOOKUP(B74,PVSKTC!$A$4:$D$1048576,4,0),0)</f>
        <v>0</v>
      </c>
      <c r="I74" s="15" t="str">
        <f>IFERROR(IF(E74&gt;0,THTT!E$2,""),"")</f>
        <v/>
      </c>
      <c r="J74" s="16" t="str">
        <f t="shared" si="3"/>
        <v/>
      </c>
      <c r="K74" s="8" t="str">
        <f t="shared" si="4"/>
        <v/>
      </c>
      <c r="L74" s="8" t="str">
        <f t="shared" si="5"/>
        <v/>
      </c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</row>
    <row r="75" spans="1:63" s="4" customFormat="1" x14ac:dyDescent="0.3">
      <c r="A75" s="19" t="str">
        <f t="shared" si="0"/>
        <v/>
      </c>
      <c r="B75" s="20"/>
      <c r="C75" s="39">
        <f t="shared" si="1"/>
        <v>45721</v>
      </c>
      <c r="D75" s="19">
        <f t="shared" si="2"/>
        <v>45722</v>
      </c>
      <c r="E75" s="42">
        <f t="shared" si="6"/>
        <v>0</v>
      </c>
      <c r="F75" s="8">
        <f>IFERROR(VLOOKUP(B75,PVSKTC!$A$4:$D$1048576,2,0),0)</f>
        <v>0</v>
      </c>
      <c r="G75" s="8">
        <f>IFERROR(VLOOKUP(B75,PVSKTC!$A$4:$D$1048576,3,0),0)</f>
        <v>0</v>
      </c>
      <c r="H75" s="8">
        <f>IFERROR(VLOOKUP(B75,PVSKTC!$A$4:$D$1048576,4,0),0)</f>
        <v>0</v>
      </c>
      <c r="I75" s="15" t="str">
        <f>IFERROR(IF(E75&gt;0,THTT!E$2,""),"")</f>
        <v/>
      </c>
      <c r="J75" s="16" t="str">
        <f t="shared" si="3"/>
        <v/>
      </c>
      <c r="K75" s="8" t="str">
        <f t="shared" si="4"/>
        <v/>
      </c>
      <c r="L75" s="8" t="str">
        <f t="shared" si="5"/>
        <v/>
      </c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</row>
    <row r="76" spans="1:63" s="4" customFormat="1" x14ac:dyDescent="0.3">
      <c r="A76" s="19" t="str">
        <f t="shared" si="0"/>
        <v/>
      </c>
      <c r="B76" s="20"/>
      <c r="C76" s="39">
        <f t="shared" si="1"/>
        <v>45721</v>
      </c>
      <c r="D76" s="19">
        <f t="shared" si="2"/>
        <v>45722</v>
      </c>
      <c r="E76" s="42">
        <f t="shared" si="6"/>
        <v>0</v>
      </c>
      <c r="F76" s="8">
        <f>IFERROR(VLOOKUP(B76,PVSKTC!$A$4:$D$1048576,2,0),0)</f>
        <v>0</v>
      </c>
      <c r="G76" s="8">
        <f>IFERROR(VLOOKUP(B76,PVSKTC!$A$4:$D$1048576,3,0),0)</f>
        <v>0</v>
      </c>
      <c r="H76" s="8">
        <f>IFERROR(VLOOKUP(B76,PVSKTC!$A$4:$D$1048576,4,0),0)</f>
        <v>0</v>
      </c>
      <c r="I76" s="15" t="str">
        <f>IFERROR(IF(E76&gt;0,THTT!E$2,""),"")</f>
        <v/>
      </c>
      <c r="J76" s="16" t="str">
        <f t="shared" si="3"/>
        <v/>
      </c>
      <c r="K76" s="8" t="str">
        <f t="shared" si="4"/>
        <v/>
      </c>
      <c r="L76" s="8" t="str">
        <f t="shared" si="5"/>
        <v/>
      </c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</row>
    <row r="77" spans="1:63" s="4" customFormat="1" x14ac:dyDescent="0.3">
      <c r="A77" s="19" t="str">
        <f t="shared" si="0"/>
        <v/>
      </c>
      <c r="B77" s="20"/>
      <c r="C77" s="39">
        <f t="shared" si="1"/>
        <v>45721</v>
      </c>
      <c r="D77" s="19">
        <f t="shared" si="2"/>
        <v>45722</v>
      </c>
      <c r="E77" s="42">
        <f t="shared" si="6"/>
        <v>0</v>
      </c>
      <c r="F77" s="8">
        <f>IFERROR(VLOOKUP(B77,PVSKTC!$A$4:$D$1048576,2,0),0)</f>
        <v>0</v>
      </c>
      <c r="G77" s="8">
        <f>IFERROR(VLOOKUP(B77,PVSKTC!$A$4:$D$1048576,3,0),0)</f>
        <v>0</v>
      </c>
      <c r="H77" s="8">
        <f>IFERROR(VLOOKUP(B77,PVSKTC!$A$4:$D$1048576,4,0),0)</f>
        <v>0</v>
      </c>
      <c r="I77" s="15" t="str">
        <f>IFERROR(IF(E77&gt;0,THTT!E$2,""),"")</f>
        <v/>
      </c>
      <c r="J77" s="16" t="str">
        <f t="shared" si="3"/>
        <v/>
      </c>
      <c r="K77" s="8" t="str">
        <f t="shared" si="4"/>
        <v/>
      </c>
      <c r="L77" s="8" t="str">
        <f t="shared" si="5"/>
        <v/>
      </c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</row>
    <row r="78" spans="1:63" s="4" customFormat="1" x14ac:dyDescent="0.3">
      <c r="A78" s="19" t="str">
        <f t="shared" ref="A78:A141" si="7">IF(E78&lt;=0,"",IF(B78&gt;=$B$9,"QUÁ HẠN","TRONG HẠN"))</f>
        <v/>
      </c>
      <c r="B78" s="20"/>
      <c r="C78" s="39">
        <f t="shared" ref="C78:C141" si="8">IFERROR(IF(B79="", $B$10, B79-1), $B$10)</f>
        <v>45721</v>
      </c>
      <c r="D78" s="19">
        <f t="shared" ref="D78:D141" si="9">C78-B78+1</f>
        <v>45722</v>
      </c>
      <c r="E78" s="42">
        <f t="shared" si="6"/>
        <v>0</v>
      </c>
      <c r="F78" s="8">
        <f>IFERROR(VLOOKUP(B78,PVSKTC!$A$4:$D$1048576,2,0),0)</f>
        <v>0</v>
      </c>
      <c r="G78" s="8">
        <f>IFERROR(VLOOKUP(B78,PVSKTC!$A$4:$D$1048576,3,0),0)</f>
        <v>0</v>
      </c>
      <c r="H78" s="8">
        <f>IFERROR(VLOOKUP(B78,PVSKTC!$A$4:$D$1048576,4,0),0)</f>
        <v>0</v>
      </c>
      <c r="I78" s="15" t="str">
        <f>IFERROR(IF(E78&gt;0,THTT!E$2,""),"")</f>
        <v/>
      </c>
      <c r="J78" s="16" t="str">
        <f t="shared" ref="J78:J141" si="10">IF(A78="QUÁ HẠN",I78*150%,"")</f>
        <v/>
      </c>
      <c r="K78" s="8" t="str">
        <f t="shared" ref="K78:K141" si="11">IF(E78&gt;0,E78*I78*D78/365,"")</f>
        <v/>
      </c>
      <c r="L78" s="8" t="str">
        <f t="shared" ref="L78:L141" si="12">IF(A78="QUÁ HẠN",E78*I78*D78/365,"")</f>
        <v/>
      </c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</row>
    <row r="79" spans="1:63" s="4" customFormat="1" x14ac:dyDescent="0.3">
      <c r="A79" s="19" t="str">
        <f t="shared" si="7"/>
        <v/>
      </c>
      <c r="B79" s="20"/>
      <c r="C79" s="39">
        <f t="shared" si="8"/>
        <v>45721</v>
      </c>
      <c r="D79" s="19">
        <f t="shared" si="9"/>
        <v>45722</v>
      </c>
      <c r="E79" s="42">
        <f t="shared" ref="E79:E142" si="13">E78+F79-G79</f>
        <v>0</v>
      </c>
      <c r="F79" s="8">
        <f>IFERROR(VLOOKUP(B79,PVSKTC!$A$4:$D$1048576,2,0),0)</f>
        <v>0</v>
      </c>
      <c r="G79" s="8">
        <f>IFERROR(VLOOKUP(B79,PVSKTC!$A$4:$D$1048576,3,0),0)</f>
        <v>0</v>
      </c>
      <c r="H79" s="8">
        <f>IFERROR(VLOOKUP(B79,PVSKTC!$A$4:$D$1048576,4,0),0)</f>
        <v>0</v>
      </c>
      <c r="I79" s="15" t="str">
        <f>IFERROR(IF(E79&gt;0,THTT!E$2,""),"")</f>
        <v/>
      </c>
      <c r="J79" s="16" t="str">
        <f t="shared" si="10"/>
        <v/>
      </c>
      <c r="K79" s="8" t="str">
        <f t="shared" si="11"/>
        <v/>
      </c>
      <c r="L79" s="8" t="str">
        <f t="shared" si="12"/>
        <v/>
      </c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</row>
    <row r="80" spans="1:63" s="4" customFormat="1" x14ac:dyDescent="0.3">
      <c r="A80" s="19" t="str">
        <f t="shared" si="7"/>
        <v/>
      </c>
      <c r="B80" s="20"/>
      <c r="C80" s="39">
        <f t="shared" si="8"/>
        <v>45721</v>
      </c>
      <c r="D80" s="19">
        <f t="shared" si="9"/>
        <v>45722</v>
      </c>
      <c r="E80" s="42">
        <f t="shared" si="13"/>
        <v>0</v>
      </c>
      <c r="F80" s="8">
        <f>IFERROR(VLOOKUP(B80,PVSKTC!$A$4:$D$1048576,2,0),0)</f>
        <v>0</v>
      </c>
      <c r="G80" s="8">
        <f>IFERROR(VLOOKUP(B80,PVSKTC!$A$4:$D$1048576,3,0),0)</f>
        <v>0</v>
      </c>
      <c r="H80" s="8">
        <f>IFERROR(VLOOKUP(B80,PVSKTC!$A$4:$D$1048576,4,0),0)</f>
        <v>0</v>
      </c>
      <c r="I80" s="15" t="str">
        <f>IFERROR(IF(E80&gt;0,THTT!E$2,""),"")</f>
        <v/>
      </c>
      <c r="J80" s="16" t="str">
        <f t="shared" si="10"/>
        <v/>
      </c>
      <c r="K80" s="8" t="str">
        <f t="shared" si="11"/>
        <v/>
      </c>
      <c r="L80" s="8" t="str">
        <f t="shared" si="12"/>
        <v/>
      </c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</row>
    <row r="81" spans="1:63" s="4" customFormat="1" x14ac:dyDescent="0.3">
      <c r="A81" s="19" t="str">
        <f t="shared" si="7"/>
        <v/>
      </c>
      <c r="B81" s="20"/>
      <c r="C81" s="39">
        <f t="shared" si="8"/>
        <v>45721</v>
      </c>
      <c r="D81" s="19">
        <f t="shared" si="9"/>
        <v>45722</v>
      </c>
      <c r="E81" s="42">
        <f t="shared" si="13"/>
        <v>0</v>
      </c>
      <c r="F81" s="8">
        <f>IFERROR(VLOOKUP(B81,PVSKTC!$A$4:$D$1048576,2,0),0)</f>
        <v>0</v>
      </c>
      <c r="G81" s="8">
        <f>IFERROR(VLOOKUP(B81,PVSKTC!$A$4:$D$1048576,3,0),0)</f>
        <v>0</v>
      </c>
      <c r="H81" s="8">
        <f>IFERROR(VLOOKUP(B81,PVSKTC!$A$4:$D$1048576,4,0),0)</f>
        <v>0</v>
      </c>
      <c r="I81" s="15" t="str">
        <f>IFERROR(IF(E81&gt;0,THTT!E$2,""),"")</f>
        <v/>
      </c>
      <c r="J81" s="16" t="str">
        <f t="shared" si="10"/>
        <v/>
      </c>
      <c r="K81" s="8" t="str">
        <f t="shared" si="11"/>
        <v/>
      </c>
      <c r="L81" s="8" t="str">
        <f t="shared" si="12"/>
        <v/>
      </c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</row>
    <row r="82" spans="1:63" s="4" customFormat="1" x14ac:dyDescent="0.3">
      <c r="A82" s="19" t="str">
        <f t="shared" si="7"/>
        <v/>
      </c>
      <c r="B82" s="20"/>
      <c r="C82" s="39">
        <f t="shared" si="8"/>
        <v>45721</v>
      </c>
      <c r="D82" s="19">
        <f t="shared" si="9"/>
        <v>45722</v>
      </c>
      <c r="E82" s="42">
        <f t="shared" si="13"/>
        <v>0</v>
      </c>
      <c r="F82" s="8">
        <f>IFERROR(VLOOKUP(B82,PVSKTC!$A$4:$D$1048576,2,0),0)</f>
        <v>0</v>
      </c>
      <c r="G82" s="8">
        <f>IFERROR(VLOOKUP(B82,PVSKTC!$A$4:$D$1048576,3,0),0)</f>
        <v>0</v>
      </c>
      <c r="H82" s="8">
        <f>IFERROR(VLOOKUP(B82,PVSKTC!$A$4:$D$1048576,4,0),0)</f>
        <v>0</v>
      </c>
      <c r="I82" s="15" t="str">
        <f>IFERROR(IF(E82&gt;0,THTT!E$2,""),"")</f>
        <v/>
      </c>
      <c r="J82" s="16" t="str">
        <f t="shared" si="10"/>
        <v/>
      </c>
      <c r="K82" s="8" t="str">
        <f t="shared" si="11"/>
        <v/>
      </c>
      <c r="L82" s="8" t="str">
        <f t="shared" si="12"/>
        <v/>
      </c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</row>
    <row r="83" spans="1:63" s="4" customFormat="1" x14ac:dyDescent="0.3">
      <c r="A83" s="19" t="str">
        <f t="shared" si="7"/>
        <v/>
      </c>
      <c r="B83" s="20"/>
      <c r="C83" s="39">
        <f t="shared" si="8"/>
        <v>45721</v>
      </c>
      <c r="D83" s="19">
        <f t="shared" si="9"/>
        <v>45722</v>
      </c>
      <c r="E83" s="42">
        <f t="shared" si="13"/>
        <v>0</v>
      </c>
      <c r="F83" s="8">
        <f>IFERROR(VLOOKUP(B83,PVSKTC!$A$4:$D$1048576,2,0),0)</f>
        <v>0</v>
      </c>
      <c r="G83" s="8">
        <f>IFERROR(VLOOKUP(B83,PVSKTC!$A$4:$D$1048576,3,0),0)</f>
        <v>0</v>
      </c>
      <c r="H83" s="8">
        <f>IFERROR(VLOOKUP(B83,PVSKTC!$A$4:$D$1048576,4,0),0)</f>
        <v>0</v>
      </c>
      <c r="I83" s="15" t="str">
        <f>IFERROR(IF(E83&gt;0,THTT!E$2,""),"")</f>
        <v/>
      </c>
      <c r="J83" s="16" t="str">
        <f t="shared" si="10"/>
        <v/>
      </c>
      <c r="K83" s="8" t="str">
        <f t="shared" si="11"/>
        <v/>
      </c>
      <c r="L83" s="8" t="str">
        <f t="shared" si="12"/>
        <v/>
      </c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</row>
    <row r="84" spans="1:63" s="4" customFormat="1" x14ac:dyDescent="0.3">
      <c r="A84" s="19" t="str">
        <f t="shared" si="7"/>
        <v/>
      </c>
      <c r="B84" s="20"/>
      <c r="C84" s="39">
        <f t="shared" si="8"/>
        <v>45721</v>
      </c>
      <c r="D84" s="19">
        <f t="shared" si="9"/>
        <v>45722</v>
      </c>
      <c r="E84" s="42">
        <f t="shared" si="13"/>
        <v>0</v>
      </c>
      <c r="F84" s="8">
        <f>IFERROR(VLOOKUP(B84,PVSKTC!$A$4:$D$1048576,2,0),0)</f>
        <v>0</v>
      </c>
      <c r="G84" s="8">
        <f>IFERROR(VLOOKUP(B84,PVSKTC!$A$4:$D$1048576,3,0),0)</f>
        <v>0</v>
      </c>
      <c r="H84" s="8">
        <f>IFERROR(VLOOKUP(B84,PVSKTC!$A$4:$D$1048576,4,0),0)</f>
        <v>0</v>
      </c>
      <c r="I84" s="15" t="str">
        <f>IFERROR(IF(E84&gt;0,THTT!E$2,""),"")</f>
        <v/>
      </c>
      <c r="J84" s="16" t="str">
        <f t="shared" si="10"/>
        <v/>
      </c>
      <c r="K84" s="8" t="str">
        <f t="shared" si="11"/>
        <v/>
      </c>
      <c r="L84" s="8" t="str">
        <f t="shared" si="12"/>
        <v/>
      </c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</row>
    <row r="85" spans="1:63" s="4" customFormat="1" x14ac:dyDescent="0.3">
      <c r="A85" s="19" t="str">
        <f t="shared" si="7"/>
        <v/>
      </c>
      <c r="B85" s="20"/>
      <c r="C85" s="39">
        <f t="shared" si="8"/>
        <v>45721</v>
      </c>
      <c r="D85" s="19">
        <f t="shared" si="9"/>
        <v>45722</v>
      </c>
      <c r="E85" s="42">
        <f t="shared" si="13"/>
        <v>0</v>
      </c>
      <c r="F85" s="8">
        <f>IFERROR(VLOOKUP(B85,PVSKTC!$A$4:$D$1048576,2,0),0)</f>
        <v>0</v>
      </c>
      <c r="G85" s="8">
        <f>IFERROR(VLOOKUP(B85,PVSKTC!$A$4:$D$1048576,3,0),0)</f>
        <v>0</v>
      </c>
      <c r="H85" s="8">
        <f>IFERROR(VLOOKUP(B85,PVSKTC!$A$4:$D$1048576,4,0),0)</f>
        <v>0</v>
      </c>
      <c r="I85" s="15" t="str">
        <f>IFERROR(IF(E85&gt;0,THTT!E$2,""),"")</f>
        <v/>
      </c>
      <c r="J85" s="16" t="str">
        <f t="shared" si="10"/>
        <v/>
      </c>
      <c r="K85" s="8" t="str">
        <f t="shared" si="11"/>
        <v/>
      </c>
      <c r="L85" s="8" t="str">
        <f t="shared" si="12"/>
        <v/>
      </c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</row>
    <row r="86" spans="1:63" s="4" customFormat="1" x14ac:dyDescent="0.3">
      <c r="A86" s="19" t="str">
        <f t="shared" si="7"/>
        <v/>
      </c>
      <c r="B86" s="20"/>
      <c r="C86" s="39">
        <f t="shared" si="8"/>
        <v>45721</v>
      </c>
      <c r="D86" s="19">
        <f t="shared" si="9"/>
        <v>45722</v>
      </c>
      <c r="E86" s="42">
        <f t="shared" si="13"/>
        <v>0</v>
      </c>
      <c r="F86" s="8">
        <f>IFERROR(VLOOKUP(B86,PVSKTC!$A$4:$D$1048576,2,0),0)</f>
        <v>0</v>
      </c>
      <c r="G86" s="8">
        <f>IFERROR(VLOOKUP(B86,PVSKTC!$A$4:$D$1048576,3,0),0)</f>
        <v>0</v>
      </c>
      <c r="H86" s="8">
        <f>IFERROR(VLOOKUP(B86,PVSKTC!$A$4:$D$1048576,4,0),0)</f>
        <v>0</v>
      </c>
      <c r="I86" s="15" t="str">
        <f>IFERROR(IF(E86&gt;0,THTT!E$2,""),"")</f>
        <v/>
      </c>
      <c r="J86" s="16" t="str">
        <f t="shared" si="10"/>
        <v/>
      </c>
      <c r="K86" s="8" t="str">
        <f t="shared" si="11"/>
        <v/>
      </c>
      <c r="L86" s="8" t="str">
        <f t="shared" si="12"/>
        <v/>
      </c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</row>
    <row r="87" spans="1:63" s="4" customFormat="1" x14ac:dyDescent="0.3">
      <c r="A87" s="19" t="str">
        <f t="shared" si="7"/>
        <v/>
      </c>
      <c r="B87" s="20"/>
      <c r="C87" s="39">
        <f t="shared" si="8"/>
        <v>45721</v>
      </c>
      <c r="D87" s="19">
        <f t="shared" si="9"/>
        <v>45722</v>
      </c>
      <c r="E87" s="42">
        <f t="shared" si="13"/>
        <v>0</v>
      </c>
      <c r="F87" s="8">
        <f>IFERROR(VLOOKUP(B87,PVSKTC!$A$4:$D$1048576,2,0),0)</f>
        <v>0</v>
      </c>
      <c r="G87" s="8">
        <f>IFERROR(VLOOKUP(B87,PVSKTC!$A$4:$D$1048576,3,0),0)</f>
        <v>0</v>
      </c>
      <c r="H87" s="8">
        <f>IFERROR(VLOOKUP(B87,PVSKTC!$A$4:$D$1048576,4,0),0)</f>
        <v>0</v>
      </c>
      <c r="I87" s="15" t="str">
        <f>IFERROR(IF(E87&gt;0,THTT!E$2,""),"")</f>
        <v/>
      </c>
      <c r="J87" s="16" t="str">
        <f t="shared" si="10"/>
        <v/>
      </c>
      <c r="K87" s="8" t="str">
        <f t="shared" si="11"/>
        <v/>
      </c>
      <c r="L87" s="8" t="str">
        <f t="shared" si="12"/>
        <v/>
      </c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</row>
    <row r="88" spans="1:63" s="4" customFormat="1" x14ac:dyDescent="0.3">
      <c r="A88" s="19" t="str">
        <f t="shared" si="7"/>
        <v/>
      </c>
      <c r="B88" s="20"/>
      <c r="C88" s="39">
        <f t="shared" si="8"/>
        <v>45721</v>
      </c>
      <c r="D88" s="19">
        <f t="shared" si="9"/>
        <v>45722</v>
      </c>
      <c r="E88" s="42">
        <f t="shared" si="13"/>
        <v>0</v>
      </c>
      <c r="F88" s="8">
        <f>IFERROR(VLOOKUP(B88,PVSKTC!$A$4:$D$1048576,2,0),0)</f>
        <v>0</v>
      </c>
      <c r="G88" s="8">
        <f>IFERROR(VLOOKUP(B88,PVSKTC!$A$4:$D$1048576,3,0),0)</f>
        <v>0</v>
      </c>
      <c r="H88" s="8">
        <f>IFERROR(VLOOKUP(B88,PVSKTC!$A$4:$D$1048576,4,0),0)</f>
        <v>0</v>
      </c>
      <c r="I88" s="15" t="str">
        <f>IFERROR(IF(E88&gt;0,THTT!E$2,""),"")</f>
        <v/>
      </c>
      <c r="J88" s="16" t="str">
        <f t="shared" si="10"/>
        <v/>
      </c>
      <c r="K88" s="8" t="str">
        <f t="shared" si="11"/>
        <v/>
      </c>
      <c r="L88" s="8" t="str">
        <f t="shared" si="12"/>
        <v/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</row>
    <row r="89" spans="1:63" s="4" customFormat="1" x14ac:dyDescent="0.3">
      <c r="A89" s="19" t="str">
        <f t="shared" si="7"/>
        <v/>
      </c>
      <c r="B89" s="20"/>
      <c r="C89" s="39">
        <f t="shared" si="8"/>
        <v>45721</v>
      </c>
      <c r="D89" s="19">
        <f t="shared" si="9"/>
        <v>45722</v>
      </c>
      <c r="E89" s="42">
        <f t="shared" si="13"/>
        <v>0</v>
      </c>
      <c r="F89" s="8">
        <f>IFERROR(VLOOKUP(B89,PVSKTC!$A$4:$D$1048576,2,0),0)</f>
        <v>0</v>
      </c>
      <c r="G89" s="8">
        <f>IFERROR(VLOOKUP(B89,PVSKTC!$A$4:$D$1048576,3,0),0)</f>
        <v>0</v>
      </c>
      <c r="H89" s="8">
        <f>IFERROR(VLOOKUP(B89,PVSKTC!$A$4:$D$1048576,4,0),0)</f>
        <v>0</v>
      </c>
      <c r="I89" s="15" t="str">
        <f>IFERROR(IF(E89&gt;0,THTT!E$2,""),"")</f>
        <v/>
      </c>
      <c r="J89" s="16" t="str">
        <f t="shared" si="10"/>
        <v/>
      </c>
      <c r="K89" s="8" t="str">
        <f t="shared" si="11"/>
        <v/>
      </c>
      <c r="L89" s="8" t="str">
        <f t="shared" si="12"/>
        <v/>
      </c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</row>
    <row r="90" spans="1:63" s="4" customFormat="1" x14ac:dyDescent="0.3">
      <c r="A90" s="19" t="str">
        <f t="shared" si="7"/>
        <v/>
      </c>
      <c r="B90" s="20"/>
      <c r="C90" s="39">
        <f t="shared" si="8"/>
        <v>45721</v>
      </c>
      <c r="D90" s="19">
        <f t="shared" si="9"/>
        <v>45722</v>
      </c>
      <c r="E90" s="42">
        <f t="shared" si="13"/>
        <v>0</v>
      </c>
      <c r="F90" s="8">
        <f>IFERROR(VLOOKUP(B90,PVSKTC!$A$4:$D$1048576,2,0),0)</f>
        <v>0</v>
      </c>
      <c r="G90" s="8">
        <f>IFERROR(VLOOKUP(B90,PVSKTC!$A$4:$D$1048576,3,0),0)</f>
        <v>0</v>
      </c>
      <c r="H90" s="8">
        <f>IFERROR(VLOOKUP(B90,PVSKTC!$A$4:$D$1048576,4,0),0)</f>
        <v>0</v>
      </c>
      <c r="I90" s="15" t="str">
        <f>IFERROR(IF(E90&gt;0,THTT!E$2,""),"")</f>
        <v/>
      </c>
      <c r="J90" s="16" t="str">
        <f t="shared" si="10"/>
        <v/>
      </c>
      <c r="K90" s="8" t="str">
        <f t="shared" si="11"/>
        <v/>
      </c>
      <c r="L90" s="8" t="str">
        <f t="shared" si="12"/>
        <v/>
      </c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</row>
    <row r="91" spans="1:63" s="4" customFormat="1" x14ac:dyDescent="0.3">
      <c r="A91" s="19" t="str">
        <f t="shared" si="7"/>
        <v/>
      </c>
      <c r="B91" s="20"/>
      <c r="C91" s="39">
        <f t="shared" si="8"/>
        <v>45721</v>
      </c>
      <c r="D91" s="19">
        <f t="shared" si="9"/>
        <v>45722</v>
      </c>
      <c r="E91" s="42">
        <f t="shared" si="13"/>
        <v>0</v>
      </c>
      <c r="F91" s="8">
        <f>IFERROR(VLOOKUP(B91,PVSKTC!$A$4:$D$1048576,2,0),0)</f>
        <v>0</v>
      </c>
      <c r="G91" s="8">
        <f>IFERROR(VLOOKUP(B91,PVSKTC!$A$4:$D$1048576,3,0),0)</f>
        <v>0</v>
      </c>
      <c r="H91" s="8">
        <f>IFERROR(VLOOKUP(B91,PVSKTC!$A$4:$D$1048576,4,0),0)</f>
        <v>0</v>
      </c>
      <c r="I91" s="15" t="str">
        <f>IFERROR(IF(E91&gt;0,THTT!E$2,""),"")</f>
        <v/>
      </c>
      <c r="J91" s="16" t="str">
        <f t="shared" si="10"/>
        <v/>
      </c>
      <c r="K91" s="8" t="str">
        <f t="shared" si="11"/>
        <v/>
      </c>
      <c r="L91" s="8" t="str">
        <f t="shared" si="12"/>
        <v/>
      </c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</row>
    <row r="92" spans="1:63" s="4" customFormat="1" x14ac:dyDescent="0.3">
      <c r="A92" s="19" t="str">
        <f t="shared" si="7"/>
        <v/>
      </c>
      <c r="B92" s="20"/>
      <c r="C92" s="39">
        <f t="shared" si="8"/>
        <v>45721</v>
      </c>
      <c r="D92" s="19">
        <f t="shared" si="9"/>
        <v>45722</v>
      </c>
      <c r="E92" s="42">
        <f t="shared" si="13"/>
        <v>0</v>
      </c>
      <c r="F92" s="8">
        <f>IFERROR(VLOOKUP(B92,PVSKTC!$A$4:$D$1048576,2,0),0)</f>
        <v>0</v>
      </c>
      <c r="G92" s="8">
        <f>IFERROR(VLOOKUP(B92,PVSKTC!$A$4:$D$1048576,3,0),0)</f>
        <v>0</v>
      </c>
      <c r="H92" s="8">
        <f>IFERROR(VLOOKUP(B92,PVSKTC!$A$4:$D$1048576,4,0),0)</f>
        <v>0</v>
      </c>
      <c r="I92" s="15" t="str">
        <f>IFERROR(IF(E92&gt;0,THTT!E$2,""),"")</f>
        <v/>
      </c>
      <c r="J92" s="16" t="str">
        <f t="shared" si="10"/>
        <v/>
      </c>
      <c r="K92" s="8" t="str">
        <f t="shared" si="11"/>
        <v/>
      </c>
      <c r="L92" s="8" t="str">
        <f t="shared" si="12"/>
        <v/>
      </c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</row>
    <row r="93" spans="1:63" s="4" customFormat="1" x14ac:dyDescent="0.3">
      <c r="A93" s="19" t="str">
        <f t="shared" si="7"/>
        <v/>
      </c>
      <c r="B93" s="20"/>
      <c r="C93" s="39">
        <f t="shared" si="8"/>
        <v>45721</v>
      </c>
      <c r="D93" s="19">
        <f t="shared" si="9"/>
        <v>45722</v>
      </c>
      <c r="E93" s="42">
        <f t="shared" si="13"/>
        <v>0</v>
      </c>
      <c r="F93" s="8">
        <f>IFERROR(VLOOKUP(B93,PVSKTC!$A$4:$D$1048576,2,0),0)</f>
        <v>0</v>
      </c>
      <c r="G93" s="8">
        <f>IFERROR(VLOOKUP(B93,PVSKTC!$A$4:$D$1048576,3,0),0)</f>
        <v>0</v>
      </c>
      <c r="H93" s="8">
        <f>IFERROR(VLOOKUP(B93,PVSKTC!$A$4:$D$1048576,4,0),0)</f>
        <v>0</v>
      </c>
      <c r="I93" s="15" t="str">
        <f>IFERROR(IF(E93&gt;0,THTT!E$2,""),"")</f>
        <v/>
      </c>
      <c r="J93" s="16" t="str">
        <f t="shared" si="10"/>
        <v/>
      </c>
      <c r="K93" s="8" t="str">
        <f t="shared" si="11"/>
        <v/>
      </c>
      <c r="L93" s="8" t="str">
        <f t="shared" si="12"/>
        <v/>
      </c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</row>
    <row r="94" spans="1:63" s="4" customFormat="1" x14ac:dyDescent="0.3">
      <c r="A94" s="19" t="str">
        <f t="shared" si="7"/>
        <v/>
      </c>
      <c r="B94" s="20"/>
      <c r="C94" s="39">
        <f t="shared" si="8"/>
        <v>45721</v>
      </c>
      <c r="D94" s="19">
        <f t="shared" si="9"/>
        <v>45722</v>
      </c>
      <c r="E94" s="42">
        <f t="shared" si="13"/>
        <v>0</v>
      </c>
      <c r="F94" s="8">
        <f>IFERROR(VLOOKUP(B94,PVSKTC!$A$4:$D$1048576,2,0),0)</f>
        <v>0</v>
      </c>
      <c r="G94" s="8">
        <f>IFERROR(VLOOKUP(B94,PVSKTC!$A$4:$D$1048576,3,0),0)</f>
        <v>0</v>
      </c>
      <c r="H94" s="8">
        <f>IFERROR(VLOOKUP(B94,PVSKTC!$A$4:$D$1048576,4,0),0)</f>
        <v>0</v>
      </c>
      <c r="I94" s="15" t="str">
        <f>IFERROR(IF(E94&gt;0,THTT!E$2,""),"")</f>
        <v/>
      </c>
      <c r="J94" s="16" t="str">
        <f t="shared" si="10"/>
        <v/>
      </c>
      <c r="K94" s="8" t="str">
        <f t="shared" si="11"/>
        <v/>
      </c>
      <c r="L94" s="8" t="str">
        <f t="shared" si="12"/>
        <v/>
      </c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</row>
    <row r="95" spans="1:63" s="4" customFormat="1" x14ac:dyDescent="0.3">
      <c r="A95" s="19" t="str">
        <f t="shared" si="7"/>
        <v/>
      </c>
      <c r="B95" s="20"/>
      <c r="C95" s="39">
        <f t="shared" si="8"/>
        <v>45721</v>
      </c>
      <c r="D95" s="19">
        <f t="shared" si="9"/>
        <v>45722</v>
      </c>
      <c r="E95" s="42">
        <f t="shared" si="13"/>
        <v>0</v>
      </c>
      <c r="F95" s="8">
        <f>IFERROR(VLOOKUP(B95,PVSKTC!$A$4:$D$1048576,2,0),0)</f>
        <v>0</v>
      </c>
      <c r="G95" s="8">
        <f>IFERROR(VLOOKUP(B95,PVSKTC!$A$4:$D$1048576,3,0),0)</f>
        <v>0</v>
      </c>
      <c r="H95" s="8">
        <f>IFERROR(VLOOKUP(B95,PVSKTC!$A$4:$D$1048576,4,0),0)</f>
        <v>0</v>
      </c>
      <c r="I95" s="15" t="str">
        <f>IFERROR(IF(E95&gt;0,THTT!E$2,""),"")</f>
        <v/>
      </c>
      <c r="J95" s="16" t="str">
        <f t="shared" si="10"/>
        <v/>
      </c>
      <c r="K95" s="8" t="str">
        <f t="shared" si="11"/>
        <v/>
      </c>
      <c r="L95" s="8" t="str">
        <f t="shared" si="12"/>
        <v/>
      </c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</row>
    <row r="96" spans="1:63" s="4" customFormat="1" x14ac:dyDescent="0.3">
      <c r="A96" s="19" t="str">
        <f t="shared" si="7"/>
        <v/>
      </c>
      <c r="B96" s="20"/>
      <c r="C96" s="39">
        <f t="shared" si="8"/>
        <v>45721</v>
      </c>
      <c r="D96" s="19">
        <f t="shared" si="9"/>
        <v>45722</v>
      </c>
      <c r="E96" s="42">
        <f t="shared" si="13"/>
        <v>0</v>
      </c>
      <c r="F96" s="8">
        <f>IFERROR(VLOOKUP(B96,PVSKTC!$A$4:$D$1048576,2,0),0)</f>
        <v>0</v>
      </c>
      <c r="G96" s="8">
        <f>IFERROR(VLOOKUP(B96,PVSKTC!$A$4:$D$1048576,3,0),0)</f>
        <v>0</v>
      </c>
      <c r="H96" s="8">
        <f>IFERROR(VLOOKUP(B96,PVSKTC!$A$4:$D$1048576,4,0),0)</f>
        <v>0</v>
      </c>
      <c r="I96" s="15" t="str">
        <f>IFERROR(IF(E96&gt;0,THTT!E$2,""),"")</f>
        <v/>
      </c>
      <c r="J96" s="16" t="str">
        <f t="shared" si="10"/>
        <v/>
      </c>
      <c r="K96" s="8" t="str">
        <f t="shared" si="11"/>
        <v/>
      </c>
      <c r="L96" s="8" t="str">
        <f t="shared" si="12"/>
        <v/>
      </c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</row>
    <row r="97" spans="1:63" s="4" customFormat="1" x14ac:dyDescent="0.3">
      <c r="A97" s="19" t="str">
        <f t="shared" si="7"/>
        <v/>
      </c>
      <c r="B97" s="20"/>
      <c r="C97" s="39">
        <f t="shared" si="8"/>
        <v>45721</v>
      </c>
      <c r="D97" s="19">
        <f t="shared" si="9"/>
        <v>45722</v>
      </c>
      <c r="E97" s="42">
        <f t="shared" si="13"/>
        <v>0</v>
      </c>
      <c r="F97" s="8">
        <f>IFERROR(VLOOKUP(B97,PVSKTC!$A$4:$D$1048576,2,0),0)</f>
        <v>0</v>
      </c>
      <c r="G97" s="8">
        <f>IFERROR(VLOOKUP(B97,PVSKTC!$A$4:$D$1048576,3,0),0)</f>
        <v>0</v>
      </c>
      <c r="H97" s="8">
        <f>IFERROR(VLOOKUP(B97,PVSKTC!$A$4:$D$1048576,4,0),0)</f>
        <v>0</v>
      </c>
      <c r="I97" s="15" t="str">
        <f>IFERROR(IF(E97&gt;0,THTT!E$2,""),"")</f>
        <v/>
      </c>
      <c r="J97" s="16" t="str">
        <f t="shared" si="10"/>
        <v/>
      </c>
      <c r="K97" s="8" t="str">
        <f t="shared" si="11"/>
        <v/>
      </c>
      <c r="L97" s="8" t="str">
        <f t="shared" si="12"/>
        <v/>
      </c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</row>
    <row r="98" spans="1:63" s="4" customFormat="1" x14ac:dyDescent="0.3">
      <c r="A98" s="19" t="str">
        <f t="shared" si="7"/>
        <v/>
      </c>
      <c r="B98" s="20"/>
      <c r="C98" s="39">
        <f t="shared" si="8"/>
        <v>45721</v>
      </c>
      <c r="D98" s="19">
        <f t="shared" si="9"/>
        <v>45722</v>
      </c>
      <c r="E98" s="42">
        <f t="shared" si="13"/>
        <v>0</v>
      </c>
      <c r="F98" s="8">
        <f>IFERROR(VLOOKUP(B98,PVSKTC!$A$4:$D$1048576,2,0),0)</f>
        <v>0</v>
      </c>
      <c r="G98" s="8">
        <f>IFERROR(VLOOKUP(B98,PVSKTC!$A$4:$D$1048576,3,0),0)</f>
        <v>0</v>
      </c>
      <c r="H98" s="8">
        <f>IFERROR(VLOOKUP(B98,PVSKTC!$A$4:$D$1048576,4,0),0)</f>
        <v>0</v>
      </c>
      <c r="I98" s="15" t="str">
        <f>IFERROR(IF(E98&gt;0,THTT!E$2,""),"")</f>
        <v/>
      </c>
      <c r="J98" s="16" t="str">
        <f t="shared" si="10"/>
        <v/>
      </c>
      <c r="K98" s="8" t="str">
        <f t="shared" si="11"/>
        <v/>
      </c>
      <c r="L98" s="8" t="str">
        <f t="shared" si="12"/>
        <v/>
      </c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</row>
    <row r="99" spans="1:63" s="4" customFormat="1" x14ac:dyDescent="0.3">
      <c r="A99" s="19" t="str">
        <f t="shared" si="7"/>
        <v/>
      </c>
      <c r="B99" s="20"/>
      <c r="C99" s="39">
        <f t="shared" si="8"/>
        <v>45721</v>
      </c>
      <c r="D99" s="19">
        <f t="shared" si="9"/>
        <v>45722</v>
      </c>
      <c r="E99" s="42">
        <f t="shared" si="13"/>
        <v>0</v>
      </c>
      <c r="F99" s="8">
        <f>IFERROR(VLOOKUP(B99,PVSKTC!$A$4:$D$1048576,2,0),0)</f>
        <v>0</v>
      </c>
      <c r="G99" s="8">
        <f>IFERROR(VLOOKUP(B99,PVSKTC!$A$4:$D$1048576,3,0),0)</f>
        <v>0</v>
      </c>
      <c r="H99" s="8">
        <f>IFERROR(VLOOKUP(B99,PVSKTC!$A$4:$D$1048576,4,0),0)</f>
        <v>0</v>
      </c>
      <c r="I99" s="15" t="str">
        <f>IFERROR(IF(E99&gt;0,THTT!E$2,""),"")</f>
        <v/>
      </c>
      <c r="J99" s="16" t="str">
        <f t="shared" si="10"/>
        <v/>
      </c>
      <c r="K99" s="8" t="str">
        <f t="shared" si="11"/>
        <v/>
      </c>
      <c r="L99" s="8" t="str">
        <f t="shared" si="12"/>
        <v/>
      </c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</row>
    <row r="100" spans="1:63" s="4" customFormat="1" x14ac:dyDescent="0.3">
      <c r="A100" s="19" t="str">
        <f t="shared" si="7"/>
        <v/>
      </c>
      <c r="B100" s="20"/>
      <c r="C100" s="39">
        <f t="shared" si="8"/>
        <v>45721</v>
      </c>
      <c r="D100" s="19">
        <f t="shared" si="9"/>
        <v>45722</v>
      </c>
      <c r="E100" s="42">
        <f t="shared" si="13"/>
        <v>0</v>
      </c>
      <c r="F100" s="8">
        <f>IFERROR(VLOOKUP(B100,PVSKTC!$A$4:$D$1048576,2,0),0)</f>
        <v>0</v>
      </c>
      <c r="G100" s="8">
        <f>IFERROR(VLOOKUP(B100,PVSKTC!$A$4:$D$1048576,3,0),0)</f>
        <v>0</v>
      </c>
      <c r="H100" s="8">
        <f>IFERROR(VLOOKUP(B100,PVSKTC!$A$4:$D$1048576,4,0),0)</f>
        <v>0</v>
      </c>
      <c r="I100" s="15" t="str">
        <f>IFERROR(IF(E100&gt;0,THTT!E$2,""),"")</f>
        <v/>
      </c>
      <c r="J100" s="16" t="str">
        <f t="shared" si="10"/>
        <v/>
      </c>
      <c r="K100" s="8" t="str">
        <f t="shared" si="11"/>
        <v/>
      </c>
      <c r="L100" s="8" t="str">
        <f t="shared" si="12"/>
        <v/>
      </c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</row>
    <row r="101" spans="1:63" s="4" customFormat="1" x14ac:dyDescent="0.3">
      <c r="A101" s="19" t="str">
        <f t="shared" si="7"/>
        <v/>
      </c>
      <c r="B101" s="20"/>
      <c r="C101" s="39">
        <f t="shared" si="8"/>
        <v>45721</v>
      </c>
      <c r="D101" s="19">
        <f t="shared" si="9"/>
        <v>45722</v>
      </c>
      <c r="E101" s="42">
        <f t="shared" si="13"/>
        <v>0</v>
      </c>
      <c r="F101" s="8">
        <f>IFERROR(VLOOKUP(B101,PVSKTC!$A$4:$D$1048576,2,0),0)</f>
        <v>0</v>
      </c>
      <c r="G101" s="8">
        <f>IFERROR(VLOOKUP(B101,PVSKTC!$A$4:$D$1048576,3,0),0)</f>
        <v>0</v>
      </c>
      <c r="H101" s="8">
        <f>IFERROR(VLOOKUP(B101,PVSKTC!$A$4:$D$1048576,4,0),0)</f>
        <v>0</v>
      </c>
      <c r="I101" s="15" t="str">
        <f>IFERROR(IF(E101&gt;0,THTT!E$2,""),"")</f>
        <v/>
      </c>
      <c r="J101" s="16" t="str">
        <f t="shared" si="10"/>
        <v/>
      </c>
      <c r="K101" s="8" t="str">
        <f t="shared" si="11"/>
        <v/>
      </c>
      <c r="L101" s="8" t="str">
        <f t="shared" si="12"/>
        <v/>
      </c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</row>
    <row r="102" spans="1:63" s="4" customFormat="1" x14ac:dyDescent="0.3">
      <c r="A102" s="19" t="str">
        <f t="shared" si="7"/>
        <v/>
      </c>
      <c r="B102" s="20"/>
      <c r="C102" s="39">
        <f t="shared" si="8"/>
        <v>45721</v>
      </c>
      <c r="D102" s="19">
        <f t="shared" si="9"/>
        <v>45722</v>
      </c>
      <c r="E102" s="42">
        <f t="shared" si="13"/>
        <v>0</v>
      </c>
      <c r="F102" s="8">
        <f>IFERROR(VLOOKUP(B102,PVSKTC!$A$4:$D$1048576,2,0),0)</f>
        <v>0</v>
      </c>
      <c r="G102" s="8">
        <f>IFERROR(VLOOKUP(B102,PVSKTC!$A$4:$D$1048576,3,0),0)</f>
        <v>0</v>
      </c>
      <c r="H102" s="8">
        <f>IFERROR(VLOOKUP(B102,PVSKTC!$A$4:$D$1048576,4,0),0)</f>
        <v>0</v>
      </c>
      <c r="I102" s="15" t="str">
        <f>IFERROR(IF(E102&gt;0,THTT!E$2,""),"")</f>
        <v/>
      </c>
      <c r="J102" s="16" t="str">
        <f t="shared" si="10"/>
        <v/>
      </c>
      <c r="K102" s="8" t="str">
        <f t="shared" si="11"/>
        <v/>
      </c>
      <c r="L102" s="8" t="str">
        <f t="shared" si="12"/>
        <v/>
      </c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</row>
    <row r="103" spans="1:63" s="4" customFormat="1" x14ac:dyDescent="0.3">
      <c r="A103" s="19" t="str">
        <f t="shared" si="7"/>
        <v/>
      </c>
      <c r="B103" s="20"/>
      <c r="C103" s="39">
        <f t="shared" si="8"/>
        <v>45721</v>
      </c>
      <c r="D103" s="19">
        <f t="shared" si="9"/>
        <v>45722</v>
      </c>
      <c r="E103" s="42">
        <f t="shared" si="13"/>
        <v>0</v>
      </c>
      <c r="F103" s="8">
        <f>IFERROR(VLOOKUP(B103,PVSKTC!$A$4:$D$1048576,2,0),0)</f>
        <v>0</v>
      </c>
      <c r="G103" s="8">
        <f>IFERROR(VLOOKUP(B103,PVSKTC!$A$4:$D$1048576,3,0),0)</f>
        <v>0</v>
      </c>
      <c r="H103" s="8">
        <f>IFERROR(VLOOKUP(B103,PVSKTC!$A$4:$D$1048576,4,0),0)</f>
        <v>0</v>
      </c>
      <c r="I103" s="15" t="str">
        <f>IFERROR(IF(E103&gt;0,THTT!E$2,""),"")</f>
        <v/>
      </c>
      <c r="J103" s="16" t="str">
        <f t="shared" si="10"/>
        <v/>
      </c>
      <c r="K103" s="8" t="str">
        <f t="shared" si="11"/>
        <v/>
      </c>
      <c r="L103" s="8" t="str">
        <f t="shared" si="12"/>
        <v/>
      </c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</row>
    <row r="104" spans="1:63" s="4" customFormat="1" x14ac:dyDescent="0.3">
      <c r="A104" s="19" t="str">
        <f t="shared" si="7"/>
        <v/>
      </c>
      <c r="B104" s="20"/>
      <c r="C104" s="39">
        <f t="shared" si="8"/>
        <v>45721</v>
      </c>
      <c r="D104" s="19">
        <f t="shared" si="9"/>
        <v>45722</v>
      </c>
      <c r="E104" s="42">
        <f t="shared" si="13"/>
        <v>0</v>
      </c>
      <c r="F104" s="8">
        <f>IFERROR(VLOOKUP(B104,PVSKTC!$A$4:$D$1048576,2,0),0)</f>
        <v>0</v>
      </c>
      <c r="G104" s="8">
        <f>IFERROR(VLOOKUP(B104,PVSKTC!$A$4:$D$1048576,3,0),0)</f>
        <v>0</v>
      </c>
      <c r="H104" s="8">
        <f>IFERROR(VLOOKUP(B104,PVSKTC!$A$4:$D$1048576,4,0),0)</f>
        <v>0</v>
      </c>
      <c r="I104" s="15" t="str">
        <f>IFERROR(IF(E104&gt;0,THTT!E$2,""),"")</f>
        <v/>
      </c>
      <c r="J104" s="16" t="str">
        <f t="shared" si="10"/>
        <v/>
      </c>
      <c r="K104" s="8" t="str">
        <f t="shared" si="11"/>
        <v/>
      </c>
      <c r="L104" s="8" t="str">
        <f t="shared" si="12"/>
        <v/>
      </c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</row>
    <row r="105" spans="1:63" s="4" customFormat="1" x14ac:dyDescent="0.3">
      <c r="A105" s="19" t="str">
        <f t="shared" si="7"/>
        <v/>
      </c>
      <c r="B105" s="20"/>
      <c r="C105" s="39">
        <f t="shared" si="8"/>
        <v>45721</v>
      </c>
      <c r="D105" s="19">
        <f t="shared" si="9"/>
        <v>45722</v>
      </c>
      <c r="E105" s="42">
        <f t="shared" si="13"/>
        <v>0</v>
      </c>
      <c r="F105" s="8">
        <f>IFERROR(VLOOKUP(B105,PVSKTC!$A$4:$D$1048576,2,0),0)</f>
        <v>0</v>
      </c>
      <c r="G105" s="8">
        <f>IFERROR(VLOOKUP(B105,PVSKTC!$A$4:$D$1048576,3,0),0)</f>
        <v>0</v>
      </c>
      <c r="H105" s="8">
        <f>IFERROR(VLOOKUP(B105,PVSKTC!$A$4:$D$1048576,4,0),0)</f>
        <v>0</v>
      </c>
      <c r="I105" s="15" t="str">
        <f>IFERROR(IF(E105&gt;0,THTT!E$2,""),"")</f>
        <v/>
      </c>
      <c r="J105" s="16" t="str">
        <f t="shared" si="10"/>
        <v/>
      </c>
      <c r="K105" s="8" t="str">
        <f t="shared" si="11"/>
        <v/>
      </c>
      <c r="L105" s="8" t="str">
        <f t="shared" si="12"/>
        <v/>
      </c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</row>
    <row r="106" spans="1:63" s="4" customFormat="1" x14ac:dyDescent="0.3">
      <c r="A106" s="19" t="str">
        <f t="shared" si="7"/>
        <v/>
      </c>
      <c r="B106" s="20"/>
      <c r="C106" s="39">
        <f t="shared" si="8"/>
        <v>45721</v>
      </c>
      <c r="D106" s="19">
        <f t="shared" si="9"/>
        <v>45722</v>
      </c>
      <c r="E106" s="42">
        <f t="shared" si="13"/>
        <v>0</v>
      </c>
      <c r="F106" s="8">
        <f>IFERROR(VLOOKUP(B106,PVSKTC!$A$4:$D$1048576,2,0),0)</f>
        <v>0</v>
      </c>
      <c r="G106" s="8">
        <f>IFERROR(VLOOKUP(B106,PVSKTC!$A$4:$D$1048576,3,0),0)</f>
        <v>0</v>
      </c>
      <c r="H106" s="8">
        <f>IFERROR(VLOOKUP(B106,PVSKTC!$A$4:$D$1048576,4,0),0)</f>
        <v>0</v>
      </c>
      <c r="I106" s="15" t="str">
        <f>IFERROR(IF(E106&gt;0,THTT!E$2,""),"")</f>
        <v/>
      </c>
      <c r="J106" s="16" t="str">
        <f t="shared" si="10"/>
        <v/>
      </c>
      <c r="K106" s="8" t="str">
        <f t="shared" si="11"/>
        <v/>
      </c>
      <c r="L106" s="8" t="str">
        <f t="shared" si="12"/>
        <v/>
      </c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</row>
    <row r="107" spans="1:63" s="4" customFormat="1" x14ac:dyDescent="0.3">
      <c r="A107" s="19" t="str">
        <f t="shared" si="7"/>
        <v/>
      </c>
      <c r="B107" s="20"/>
      <c r="C107" s="39">
        <f t="shared" si="8"/>
        <v>45721</v>
      </c>
      <c r="D107" s="19">
        <f t="shared" si="9"/>
        <v>45722</v>
      </c>
      <c r="E107" s="42">
        <f t="shared" si="13"/>
        <v>0</v>
      </c>
      <c r="F107" s="8">
        <f>IFERROR(VLOOKUP(B107,PVSKTC!$A$4:$D$1048576,2,0),0)</f>
        <v>0</v>
      </c>
      <c r="G107" s="8">
        <f>IFERROR(VLOOKUP(B107,PVSKTC!$A$4:$D$1048576,3,0),0)</f>
        <v>0</v>
      </c>
      <c r="H107" s="8">
        <f>IFERROR(VLOOKUP(B107,PVSKTC!$A$4:$D$1048576,4,0),0)</f>
        <v>0</v>
      </c>
      <c r="I107" s="15" t="str">
        <f>IFERROR(IF(E107&gt;0,THTT!E$2,""),"")</f>
        <v/>
      </c>
      <c r="J107" s="16" t="str">
        <f t="shared" si="10"/>
        <v/>
      </c>
      <c r="K107" s="8" t="str">
        <f t="shared" si="11"/>
        <v/>
      </c>
      <c r="L107" s="8" t="str">
        <f t="shared" si="12"/>
        <v/>
      </c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</row>
    <row r="108" spans="1:63" s="4" customFormat="1" x14ac:dyDescent="0.3">
      <c r="A108" s="19" t="str">
        <f t="shared" si="7"/>
        <v/>
      </c>
      <c r="B108" s="20"/>
      <c r="C108" s="39">
        <f t="shared" si="8"/>
        <v>45721</v>
      </c>
      <c r="D108" s="19">
        <f t="shared" si="9"/>
        <v>45722</v>
      </c>
      <c r="E108" s="42">
        <f t="shared" si="13"/>
        <v>0</v>
      </c>
      <c r="F108" s="8">
        <f>IFERROR(VLOOKUP(B108,PVSKTC!$A$4:$D$1048576,2,0),0)</f>
        <v>0</v>
      </c>
      <c r="G108" s="8">
        <f>IFERROR(VLOOKUP(B108,PVSKTC!$A$4:$D$1048576,3,0),0)</f>
        <v>0</v>
      </c>
      <c r="H108" s="8">
        <f>IFERROR(VLOOKUP(B108,PVSKTC!$A$4:$D$1048576,4,0),0)</f>
        <v>0</v>
      </c>
      <c r="I108" s="15" t="str">
        <f>IFERROR(IF(E108&gt;0,THTT!E$2,""),"")</f>
        <v/>
      </c>
      <c r="J108" s="16" t="str">
        <f t="shared" si="10"/>
        <v/>
      </c>
      <c r="K108" s="8" t="str">
        <f t="shared" si="11"/>
        <v/>
      </c>
      <c r="L108" s="8" t="str">
        <f t="shared" si="12"/>
        <v/>
      </c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</row>
    <row r="109" spans="1:63" s="4" customFormat="1" x14ac:dyDescent="0.3">
      <c r="A109" s="19" t="str">
        <f t="shared" si="7"/>
        <v/>
      </c>
      <c r="B109" s="20"/>
      <c r="C109" s="39">
        <f t="shared" si="8"/>
        <v>45721</v>
      </c>
      <c r="D109" s="19">
        <f t="shared" si="9"/>
        <v>45722</v>
      </c>
      <c r="E109" s="42">
        <f t="shared" si="13"/>
        <v>0</v>
      </c>
      <c r="F109" s="8">
        <f>IFERROR(VLOOKUP(B109,PVSKTC!$A$4:$D$1048576,2,0),0)</f>
        <v>0</v>
      </c>
      <c r="G109" s="8">
        <f>IFERROR(VLOOKUP(B109,PVSKTC!$A$4:$D$1048576,3,0),0)</f>
        <v>0</v>
      </c>
      <c r="H109" s="8">
        <f>IFERROR(VLOOKUP(B109,PVSKTC!$A$4:$D$1048576,4,0),0)</f>
        <v>0</v>
      </c>
      <c r="I109" s="15" t="str">
        <f>IFERROR(IF(E109&gt;0,THTT!E$2,""),"")</f>
        <v/>
      </c>
      <c r="J109" s="16" t="str">
        <f t="shared" si="10"/>
        <v/>
      </c>
      <c r="K109" s="8" t="str">
        <f t="shared" si="11"/>
        <v/>
      </c>
      <c r="L109" s="8" t="str">
        <f t="shared" si="12"/>
        <v/>
      </c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</row>
    <row r="110" spans="1:63" s="4" customFormat="1" x14ac:dyDescent="0.3">
      <c r="A110" s="19" t="str">
        <f t="shared" si="7"/>
        <v/>
      </c>
      <c r="B110" s="20"/>
      <c r="C110" s="39">
        <f t="shared" si="8"/>
        <v>45721</v>
      </c>
      <c r="D110" s="19">
        <f t="shared" si="9"/>
        <v>45722</v>
      </c>
      <c r="E110" s="42">
        <f t="shared" si="13"/>
        <v>0</v>
      </c>
      <c r="F110" s="8">
        <f>IFERROR(VLOOKUP(B110,PVSKTC!$A$4:$D$1048576,2,0),0)</f>
        <v>0</v>
      </c>
      <c r="G110" s="8">
        <f>IFERROR(VLOOKUP(B110,PVSKTC!$A$4:$D$1048576,3,0),0)</f>
        <v>0</v>
      </c>
      <c r="H110" s="8">
        <f>IFERROR(VLOOKUP(B110,PVSKTC!$A$4:$D$1048576,4,0),0)</f>
        <v>0</v>
      </c>
      <c r="I110" s="15" t="str">
        <f>IFERROR(IF(E110&gt;0,THTT!E$2,""),"")</f>
        <v/>
      </c>
      <c r="J110" s="16" t="str">
        <f t="shared" si="10"/>
        <v/>
      </c>
      <c r="K110" s="8" t="str">
        <f t="shared" si="11"/>
        <v/>
      </c>
      <c r="L110" s="8" t="str">
        <f t="shared" si="12"/>
        <v/>
      </c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</row>
    <row r="111" spans="1:63" s="4" customFormat="1" x14ac:dyDescent="0.3">
      <c r="A111" s="19" t="str">
        <f t="shared" si="7"/>
        <v/>
      </c>
      <c r="B111" s="20"/>
      <c r="C111" s="39">
        <f t="shared" si="8"/>
        <v>45721</v>
      </c>
      <c r="D111" s="19">
        <f t="shared" si="9"/>
        <v>45722</v>
      </c>
      <c r="E111" s="42">
        <f t="shared" si="13"/>
        <v>0</v>
      </c>
      <c r="F111" s="8">
        <f>IFERROR(VLOOKUP(B111,PVSKTC!$A$4:$D$1048576,2,0),0)</f>
        <v>0</v>
      </c>
      <c r="G111" s="8">
        <f>IFERROR(VLOOKUP(B111,PVSKTC!$A$4:$D$1048576,3,0),0)</f>
        <v>0</v>
      </c>
      <c r="H111" s="8">
        <f>IFERROR(VLOOKUP(B111,PVSKTC!$A$4:$D$1048576,4,0),0)</f>
        <v>0</v>
      </c>
      <c r="I111" s="15" t="str">
        <f>IFERROR(IF(E111&gt;0,THTT!E$2,""),"")</f>
        <v/>
      </c>
      <c r="J111" s="16" t="str">
        <f t="shared" si="10"/>
        <v/>
      </c>
      <c r="K111" s="8" t="str">
        <f t="shared" si="11"/>
        <v/>
      </c>
      <c r="L111" s="8" t="str">
        <f t="shared" si="12"/>
        <v/>
      </c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</row>
    <row r="112" spans="1:63" s="4" customFormat="1" x14ac:dyDescent="0.3">
      <c r="A112" s="19" t="str">
        <f t="shared" si="7"/>
        <v/>
      </c>
      <c r="B112" s="20"/>
      <c r="C112" s="39">
        <f t="shared" si="8"/>
        <v>45721</v>
      </c>
      <c r="D112" s="19">
        <f t="shared" si="9"/>
        <v>45722</v>
      </c>
      <c r="E112" s="42">
        <f t="shared" si="13"/>
        <v>0</v>
      </c>
      <c r="F112" s="8">
        <f>IFERROR(VLOOKUP(B112,PVSKTC!$A$4:$D$1048576,2,0),0)</f>
        <v>0</v>
      </c>
      <c r="G112" s="8">
        <f>IFERROR(VLOOKUP(B112,PVSKTC!$A$4:$D$1048576,3,0),0)</f>
        <v>0</v>
      </c>
      <c r="H112" s="8">
        <f>IFERROR(VLOOKUP(B112,PVSKTC!$A$4:$D$1048576,4,0),0)</f>
        <v>0</v>
      </c>
      <c r="I112" s="15" t="str">
        <f>IFERROR(IF(E112&gt;0,THTT!E$2,""),"")</f>
        <v/>
      </c>
      <c r="J112" s="16" t="str">
        <f t="shared" si="10"/>
        <v/>
      </c>
      <c r="K112" s="8" t="str">
        <f t="shared" si="11"/>
        <v/>
      </c>
      <c r="L112" s="8" t="str">
        <f t="shared" si="12"/>
        <v/>
      </c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</row>
    <row r="113" spans="1:63" s="4" customFormat="1" x14ac:dyDescent="0.3">
      <c r="A113" s="19" t="str">
        <f t="shared" si="7"/>
        <v/>
      </c>
      <c r="B113" s="20"/>
      <c r="C113" s="39">
        <f t="shared" si="8"/>
        <v>45721</v>
      </c>
      <c r="D113" s="19">
        <f t="shared" si="9"/>
        <v>45722</v>
      </c>
      <c r="E113" s="42">
        <f t="shared" si="13"/>
        <v>0</v>
      </c>
      <c r="F113" s="8">
        <f>IFERROR(VLOOKUP(B113,PVSKTC!$A$4:$D$1048576,2,0),0)</f>
        <v>0</v>
      </c>
      <c r="G113" s="8">
        <f>IFERROR(VLOOKUP(B113,PVSKTC!$A$4:$D$1048576,3,0),0)</f>
        <v>0</v>
      </c>
      <c r="H113" s="8">
        <f>IFERROR(VLOOKUP(B113,PVSKTC!$A$4:$D$1048576,4,0),0)</f>
        <v>0</v>
      </c>
      <c r="I113" s="15" t="str">
        <f>IFERROR(IF(E113&gt;0,THTT!E$2,""),"")</f>
        <v/>
      </c>
      <c r="J113" s="16" t="str">
        <f t="shared" si="10"/>
        <v/>
      </c>
      <c r="K113" s="8" t="str">
        <f t="shared" si="11"/>
        <v/>
      </c>
      <c r="L113" s="8" t="str">
        <f t="shared" si="12"/>
        <v/>
      </c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</row>
    <row r="114" spans="1:63" s="4" customFormat="1" x14ac:dyDescent="0.3">
      <c r="A114" s="19" t="str">
        <f t="shared" si="7"/>
        <v/>
      </c>
      <c r="B114" s="20"/>
      <c r="C114" s="39">
        <f t="shared" si="8"/>
        <v>45721</v>
      </c>
      <c r="D114" s="19">
        <f t="shared" si="9"/>
        <v>45722</v>
      </c>
      <c r="E114" s="42">
        <f t="shared" si="13"/>
        <v>0</v>
      </c>
      <c r="F114" s="8">
        <f>IFERROR(VLOOKUP(B114,PVSKTC!$A$4:$D$1048576,2,0),0)</f>
        <v>0</v>
      </c>
      <c r="G114" s="8">
        <f>IFERROR(VLOOKUP(B114,PVSKTC!$A$4:$D$1048576,3,0),0)</f>
        <v>0</v>
      </c>
      <c r="H114" s="8">
        <f>IFERROR(VLOOKUP(B114,PVSKTC!$A$4:$D$1048576,4,0),0)</f>
        <v>0</v>
      </c>
      <c r="I114" s="15" t="str">
        <f>IFERROR(IF(E114&gt;0,THTT!E$2,""),"")</f>
        <v/>
      </c>
      <c r="J114" s="16" t="str">
        <f t="shared" si="10"/>
        <v/>
      </c>
      <c r="K114" s="8" t="str">
        <f t="shared" si="11"/>
        <v/>
      </c>
      <c r="L114" s="8" t="str">
        <f t="shared" si="12"/>
        <v/>
      </c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</row>
    <row r="115" spans="1:63" s="4" customFormat="1" x14ac:dyDescent="0.3">
      <c r="A115" s="19" t="str">
        <f t="shared" si="7"/>
        <v/>
      </c>
      <c r="B115" s="20"/>
      <c r="C115" s="39">
        <f t="shared" si="8"/>
        <v>45721</v>
      </c>
      <c r="D115" s="19">
        <f t="shared" si="9"/>
        <v>45722</v>
      </c>
      <c r="E115" s="42">
        <f t="shared" si="13"/>
        <v>0</v>
      </c>
      <c r="F115" s="8">
        <f>IFERROR(VLOOKUP(B115,PVSKTC!$A$4:$D$1048576,2,0),0)</f>
        <v>0</v>
      </c>
      <c r="G115" s="8">
        <f>IFERROR(VLOOKUP(B115,PVSKTC!$A$4:$D$1048576,3,0),0)</f>
        <v>0</v>
      </c>
      <c r="H115" s="8">
        <f>IFERROR(VLOOKUP(B115,PVSKTC!$A$4:$D$1048576,4,0),0)</f>
        <v>0</v>
      </c>
      <c r="I115" s="15" t="str">
        <f>IFERROR(IF(E115&gt;0,THTT!E$2,""),"")</f>
        <v/>
      </c>
      <c r="J115" s="16" t="str">
        <f t="shared" si="10"/>
        <v/>
      </c>
      <c r="K115" s="8" t="str">
        <f t="shared" si="11"/>
        <v/>
      </c>
      <c r="L115" s="8" t="str">
        <f t="shared" si="12"/>
        <v/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</row>
    <row r="116" spans="1:63" s="4" customFormat="1" x14ac:dyDescent="0.3">
      <c r="A116" s="19" t="str">
        <f t="shared" si="7"/>
        <v/>
      </c>
      <c r="B116" s="20"/>
      <c r="C116" s="39">
        <f t="shared" si="8"/>
        <v>45721</v>
      </c>
      <c r="D116" s="19">
        <f t="shared" si="9"/>
        <v>45722</v>
      </c>
      <c r="E116" s="42">
        <f t="shared" si="13"/>
        <v>0</v>
      </c>
      <c r="F116" s="8">
        <f>IFERROR(VLOOKUP(B116,PVSKTC!$A$4:$D$1048576,2,0),0)</f>
        <v>0</v>
      </c>
      <c r="G116" s="8">
        <f>IFERROR(VLOOKUP(B116,PVSKTC!$A$4:$D$1048576,3,0),0)</f>
        <v>0</v>
      </c>
      <c r="H116" s="8">
        <f>IFERROR(VLOOKUP(B116,PVSKTC!$A$4:$D$1048576,4,0),0)</f>
        <v>0</v>
      </c>
      <c r="I116" s="15" t="str">
        <f>IFERROR(IF(E116&gt;0,THTT!E$2,""),"")</f>
        <v/>
      </c>
      <c r="J116" s="16" t="str">
        <f t="shared" si="10"/>
        <v/>
      </c>
      <c r="K116" s="8" t="str">
        <f t="shared" si="11"/>
        <v/>
      </c>
      <c r="L116" s="8" t="str">
        <f t="shared" si="12"/>
        <v/>
      </c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</row>
    <row r="117" spans="1:63" s="4" customFormat="1" x14ac:dyDescent="0.3">
      <c r="A117" s="19" t="str">
        <f t="shared" si="7"/>
        <v/>
      </c>
      <c r="B117" s="20"/>
      <c r="C117" s="39">
        <f t="shared" si="8"/>
        <v>45721</v>
      </c>
      <c r="D117" s="19">
        <f t="shared" si="9"/>
        <v>45722</v>
      </c>
      <c r="E117" s="42">
        <f t="shared" si="13"/>
        <v>0</v>
      </c>
      <c r="F117" s="8">
        <f>IFERROR(VLOOKUP(B117,PVSKTC!$A$4:$D$1048576,2,0),0)</f>
        <v>0</v>
      </c>
      <c r="G117" s="8">
        <f>IFERROR(VLOOKUP(B117,PVSKTC!$A$4:$D$1048576,3,0),0)</f>
        <v>0</v>
      </c>
      <c r="H117" s="8">
        <f>IFERROR(VLOOKUP(B117,PVSKTC!$A$4:$D$1048576,4,0),0)</f>
        <v>0</v>
      </c>
      <c r="I117" s="15" t="str">
        <f>IFERROR(IF(E117&gt;0,THTT!E$2,""),"")</f>
        <v/>
      </c>
      <c r="J117" s="16" t="str">
        <f t="shared" si="10"/>
        <v/>
      </c>
      <c r="K117" s="8" t="str">
        <f t="shared" si="11"/>
        <v/>
      </c>
      <c r="L117" s="8" t="str">
        <f t="shared" si="12"/>
        <v/>
      </c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</row>
    <row r="118" spans="1:63" s="4" customFormat="1" x14ac:dyDescent="0.3">
      <c r="A118" s="19" t="str">
        <f t="shared" si="7"/>
        <v/>
      </c>
      <c r="B118" s="20"/>
      <c r="C118" s="39">
        <f t="shared" si="8"/>
        <v>45721</v>
      </c>
      <c r="D118" s="19">
        <f t="shared" si="9"/>
        <v>45722</v>
      </c>
      <c r="E118" s="42">
        <f t="shared" si="13"/>
        <v>0</v>
      </c>
      <c r="F118" s="8">
        <f>IFERROR(VLOOKUP(B118,PVSKTC!$A$4:$D$1048576,2,0),0)</f>
        <v>0</v>
      </c>
      <c r="G118" s="8">
        <f>IFERROR(VLOOKUP(B118,PVSKTC!$A$4:$D$1048576,3,0),0)</f>
        <v>0</v>
      </c>
      <c r="H118" s="8">
        <f>IFERROR(VLOOKUP(B118,PVSKTC!$A$4:$D$1048576,4,0),0)</f>
        <v>0</v>
      </c>
      <c r="I118" s="15" t="str">
        <f>IFERROR(IF(E118&gt;0,THTT!E$2,""),"")</f>
        <v/>
      </c>
      <c r="J118" s="16" t="str">
        <f t="shared" si="10"/>
        <v/>
      </c>
      <c r="K118" s="8" t="str">
        <f t="shared" si="11"/>
        <v/>
      </c>
      <c r="L118" s="8" t="str">
        <f t="shared" si="12"/>
        <v/>
      </c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</row>
    <row r="119" spans="1:63" s="4" customFormat="1" x14ac:dyDescent="0.3">
      <c r="A119" s="19" t="str">
        <f t="shared" si="7"/>
        <v/>
      </c>
      <c r="B119" s="20"/>
      <c r="C119" s="39">
        <f t="shared" si="8"/>
        <v>45721</v>
      </c>
      <c r="D119" s="19">
        <f t="shared" si="9"/>
        <v>45722</v>
      </c>
      <c r="E119" s="42">
        <f t="shared" si="13"/>
        <v>0</v>
      </c>
      <c r="F119" s="8">
        <f>IFERROR(VLOOKUP(B119,PVSKTC!$A$4:$D$1048576,2,0),0)</f>
        <v>0</v>
      </c>
      <c r="G119" s="8">
        <f>IFERROR(VLOOKUP(B119,PVSKTC!$A$4:$D$1048576,3,0),0)</f>
        <v>0</v>
      </c>
      <c r="H119" s="8">
        <f>IFERROR(VLOOKUP(B119,PVSKTC!$A$4:$D$1048576,4,0),0)</f>
        <v>0</v>
      </c>
      <c r="I119" s="15" t="str">
        <f>IFERROR(IF(E119&gt;0,THTT!E$2,""),"")</f>
        <v/>
      </c>
      <c r="J119" s="16" t="str">
        <f t="shared" si="10"/>
        <v/>
      </c>
      <c r="K119" s="8" t="str">
        <f t="shared" si="11"/>
        <v/>
      </c>
      <c r="L119" s="8" t="str">
        <f t="shared" si="12"/>
        <v/>
      </c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</row>
    <row r="120" spans="1:63" s="4" customFormat="1" x14ac:dyDescent="0.3">
      <c r="A120" s="19" t="str">
        <f t="shared" si="7"/>
        <v/>
      </c>
      <c r="B120" s="20"/>
      <c r="C120" s="39">
        <f t="shared" si="8"/>
        <v>45721</v>
      </c>
      <c r="D120" s="19">
        <f t="shared" si="9"/>
        <v>45722</v>
      </c>
      <c r="E120" s="42">
        <f t="shared" si="13"/>
        <v>0</v>
      </c>
      <c r="F120" s="8">
        <f>IFERROR(VLOOKUP(B120,PVSKTC!$A$4:$D$1048576,2,0),0)</f>
        <v>0</v>
      </c>
      <c r="G120" s="8">
        <f>IFERROR(VLOOKUP(B120,PVSKTC!$A$4:$D$1048576,3,0),0)</f>
        <v>0</v>
      </c>
      <c r="H120" s="8">
        <f>IFERROR(VLOOKUP(B120,PVSKTC!$A$4:$D$1048576,4,0),0)</f>
        <v>0</v>
      </c>
      <c r="I120" s="15" t="str">
        <f>IFERROR(IF(E120&gt;0,THTT!E$2,""),"")</f>
        <v/>
      </c>
      <c r="J120" s="16" t="str">
        <f t="shared" si="10"/>
        <v/>
      </c>
      <c r="K120" s="8" t="str">
        <f t="shared" si="11"/>
        <v/>
      </c>
      <c r="L120" s="8" t="str">
        <f t="shared" si="12"/>
        <v/>
      </c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</row>
    <row r="121" spans="1:63" s="4" customFormat="1" x14ac:dyDescent="0.3">
      <c r="A121" s="19" t="str">
        <f t="shared" si="7"/>
        <v/>
      </c>
      <c r="B121" s="20"/>
      <c r="C121" s="39">
        <f t="shared" si="8"/>
        <v>45721</v>
      </c>
      <c r="D121" s="19">
        <f t="shared" si="9"/>
        <v>45722</v>
      </c>
      <c r="E121" s="42">
        <f t="shared" si="13"/>
        <v>0</v>
      </c>
      <c r="F121" s="8">
        <f>IFERROR(VLOOKUP(B121,PVSKTC!$A$4:$D$1048576,2,0),0)</f>
        <v>0</v>
      </c>
      <c r="G121" s="8">
        <f>IFERROR(VLOOKUP(B121,PVSKTC!$A$4:$D$1048576,3,0),0)</f>
        <v>0</v>
      </c>
      <c r="H121" s="8">
        <f>IFERROR(VLOOKUP(B121,PVSKTC!$A$4:$D$1048576,4,0),0)</f>
        <v>0</v>
      </c>
      <c r="I121" s="15" t="str">
        <f>IFERROR(IF(E121&gt;0,THTT!E$2,""),"")</f>
        <v/>
      </c>
      <c r="J121" s="16" t="str">
        <f t="shared" si="10"/>
        <v/>
      </c>
      <c r="K121" s="8" t="str">
        <f t="shared" si="11"/>
        <v/>
      </c>
      <c r="L121" s="8" t="str">
        <f t="shared" si="12"/>
        <v/>
      </c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</row>
    <row r="122" spans="1:63" s="4" customFormat="1" x14ac:dyDescent="0.3">
      <c r="A122" s="19" t="str">
        <f t="shared" si="7"/>
        <v/>
      </c>
      <c r="B122" s="20"/>
      <c r="C122" s="39">
        <f t="shared" si="8"/>
        <v>45721</v>
      </c>
      <c r="D122" s="19">
        <f t="shared" si="9"/>
        <v>45722</v>
      </c>
      <c r="E122" s="42">
        <f t="shared" si="13"/>
        <v>0</v>
      </c>
      <c r="F122" s="8">
        <f>IFERROR(VLOOKUP(B122,PVSKTC!$A$4:$D$1048576,2,0),0)</f>
        <v>0</v>
      </c>
      <c r="G122" s="8">
        <f>IFERROR(VLOOKUP(B122,PVSKTC!$A$4:$D$1048576,3,0),0)</f>
        <v>0</v>
      </c>
      <c r="H122" s="8">
        <f>IFERROR(VLOOKUP(B122,PVSKTC!$A$4:$D$1048576,4,0),0)</f>
        <v>0</v>
      </c>
      <c r="I122" s="15" t="str">
        <f>IFERROR(IF(E122&gt;0,THTT!E$2,""),"")</f>
        <v/>
      </c>
      <c r="J122" s="16" t="str">
        <f t="shared" si="10"/>
        <v/>
      </c>
      <c r="K122" s="8" t="str">
        <f t="shared" si="11"/>
        <v/>
      </c>
      <c r="L122" s="8" t="str">
        <f t="shared" si="12"/>
        <v/>
      </c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</row>
    <row r="123" spans="1:63" s="4" customFormat="1" x14ac:dyDescent="0.3">
      <c r="A123" s="19" t="str">
        <f t="shared" si="7"/>
        <v/>
      </c>
      <c r="B123" s="20"/>
      <c r="C123" s="39">
        <f t="shared" si="8"/>
        <v>45721</v>
      </c>
      <c r="D123" s="19">
        <f t="shared" si="9"/>
        <v>45722</v>
      </c>
      <c r="E123" s="42">
        <f t="shared" si="13"/>
        <v>0</v>
      </c>
      <c r="F123" s="8">
        <f>IFERROR(VLOOKUP(B123,PVSKTC!$A$4:$D$1048576,2,0),0)</f>
        <v>0</v>
      </c>
      <c r="G123" s="8">
        <f>IFERROR(VLOOKUP(B123,PVSKTC!$A$4:$D$1048576,3,0),0)</f>
        <v>0</v>
      </c>
      <c r="H123" s="8">
        <f>IFERROR(VLOOKUP(B123,PVSKTC!$A$4:$D$1048576,4,0),0)</f>
        <v>0</v>
      </c>
      <c r="I123" s="15" t="str">
        <f>IFERROR(IF(E123&gt;0,THTT!E$2,""),"")</f>
        <v/>
      </c>
      <c r="J123" s="16" t="str">
        <f t="shared" si="10"/>
        <v/>
      </c>
      <c r="K123" s="8" t="str">
        <f t="shared" si="11"/>
        <v/>
      </c>
      <c r="L123" s="8" t="str">
        <f t="shared" si="12"/>
        <v/>
      </c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</row>
    <row r="124" spans="1:63" s="4" customFormat="1" x14ac:dyDescent="0.3">
      <c r="A124" s="19" t="str">
        <f t="shared" si="7"/>
        <v/>
      </c>
      <c r="B124" s="20"/>
      <c r="C124" s="39">
        <f t="shared" si="8"/>
        <v>45721</v>
      </c>
      <c r="D124" s="19">
        <f t="shared" si="9"/>
        <v>45722</v>
      </c>
      <c r="E124" s="42">
        <f t="shared" si="13"/>
        <v>0</v>
      </c>
      <c r="F124" s="8">
        <f>IFERROR(VLOOKUP(B124,PVSKTC!$A$4:$D$1048576,2,0),0)</f>
        <v>0</v>
      </c>
      <c r="G124" s="8">
        <f>IFERROR(VLOOKUP(B124,PVSKTC!$A$4:$D$1048576,3,0),0)</f>
        <v>0</v>
      </c>
      <c r="H124" s="8">
        <f>IFERROR(VLOOKUP(B124,PVSKTC!$A$4:$D$1048576,4,0),0)</f>
        <v>0</v>
      </c>
      <c r="I124" s="15" t="str">
        <f>IFERROR(IF(E124&gt;0,THTT!E$2,""),"")</f>
        <v/>
      </c>
      <c r="J124" s="16" t="str">
        <f t="shared" si="10"/>
        <v/>
      </c>
      <c r="K124" s="8" t="str">
        <f t="shared" si="11"/>
        <v/>
      </c>
      <c r="L124" s="8" t="str">
        <f t="shared" si="12"/>
        <v/>
      </c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</row>
    <row r="125" spans="1:63" s="4" customFormat="1" x14ac:dyDescent="0.3">
      <c r="A125" s="19" t="str">
        <f t="shared" si="7"/>
        <v/>
      </c>
      <c r="B125" s="20"/>
      <c r="C125" s="39">
        <f t="shared" si="8"/>
        <v>45721</v>
      </c>
      <c r="D125" s="19">
        <f t="shared" si="9"/>
        <v>45722</v>
      </c>
      <c r="E125" s="42">
        <f t="shared" si="13"/>
        <v>0</v>
      </c>
      <c r="F125" s="8">
        <f>IFERROR(VLOOKUP(B125,PVSKTC!$A$4:$D$1048576,2,0),0)</f>
        <v>0</v>
      </c>
      <c r="G125" s="8">
        <f>IFERROR(VLOOKUP(B125,PVSKTC!$A$4:$D$1048576,3,0),0)</f>
        <v>0</v>
      </c>
      <c r="H125" s="8">
        <f>IFERROR(VLOOKUP(B125,PVSKTC!$A$4:$D$1048576,4,0),0)</f>
        <v>0</v>
      </c>
      <c r="I125" s="15" t="str">
        <f>IFERROR(IF(E125&gt;0,THTT!E$2,""),"")</f>
        <v/>
      </c>
      <c r="J125" s="16" t="str">
        <f t="shared" si="10"/>
        <v/>
      </c>
      <c r="K125" s="8" t="str">
        <f t="shared" si="11"/>
        <v/>
      </c>
      <c r="L125" s="8" t="str">
        <f t="shared" si="12"/>
        <v/>
      </c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</row>
    <row r="126" spans="1:63" s="4" customFormat="1" x14ac:dyDescent="0.3">
      <c r="A126" s="19" t="str">
        <f t="shared" si="7"/>
        <v/>
      </c>
      <c r="B126" s="20"/>
      <c r="C126" s="39">
        <f t="shared" si="8"/>
        <v>45721</v>
      </c>
      <c r="D126" s="19">
        <f t="shared" si="9"/>
        <v>45722</v>
      </c>
      <c r="E126" s="42">
        <f t="shared" si="13"/>
        <v>0</v>
      </c>
      <c r="F126" s="8">
        <f>IFERROR(VLOOKUP(B126,PVSKTC!$A$4:$D$1048576,2,0),0)</f>
        <v>0</v>
      </c>
      <c r="G126" s="8">
        <f>IFERROR(VLOOKUP(B126,PVSKTC!$A$4:$D$1048576,3,0),0)</f>
        <v>0</v>
      </c>
      <c r="H126" s="8">
        <f>IFERROR(VLOOKUP(B126,PVSKTC!$A$4:$D$1048576,4,0),0)</f>
        <v>0</v>
      </c>
      <c r="I126" s="15" t="str">
        <f>IFERROR(IF(E126&gt;0,THTT!E$2,""),"")</f>
        <v/>
      </c>
      <c r="J126" s="16" t="str">
        <f t="shared" si="10"/>
        <v/>
      </c>
      <c r="K126" s="8" t="str">
        <f t="shared" si="11"/>
        <v/>
      </c>
      <c r="L126" s="8" t="str">
        <f t="shared" si="12"/>
        <v/>
      </c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</row>
    <row r="127" spans="1:63" s="4" customFormat="1" x14ac:dyDescent="0.3">
      <c r="A127" s="19" t="str">
        <f t="shared" si="7"/>
        <v/>
      </c>
      <c r="B127" s="20"/>
      <c r="C127" s="39">
        <f t="shared" si="8"/>
        <v>45721</v>
      </c>
      <c r="D127" s="19">
        <f t="shared" si="9"/>
        <v>45722</v>
      </c>
      <c r="E127" s="42">
        <f t="shared" si="13"/>
        <v>0</v>
      </c>
      <c r="F127" s="8">
        <f>IFERROR(VLOOKUP(B127,PVSKTC!$A$4:$D$1048576,2,0),0)</f>
        <v>0</v>
      </c>
      <c r="G127" s="8">
        <f>IFERROR(VLOOKUP(B127,PVSKTC!$A$4:$D$1048576,3,0),0)</f>
        <v>0</v>
      </c>
      <c r="H127" s="8">
        <f>IFERROR(VLOOKUP(B127,PVSKTC!$A$4:$D$1048576,4,0),0)</f>
        <v>0</v>
      </c>
      <c r="I127" s="15" t="str">
        <f>IFERROR(IF(E127&gt;0,THTT!E$2,""),"")</f>
        <v/>
      </c>
      <c r="J127" s="16" t="str">
        <f t="shared" si="10"/>
        <v/>
      </c>
      <c r="K127" s="8" t="str">
        <f t="shared" si="11"/>
        <v/>
      </c>
      <c r="L127" s="8" t="str">
        <f t="shared" si="12"/>
        <v/>
      </c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</row>
    <row r="128" spans="1:63" s="4" customFormat="1" x14ac:dyDescent="0.3">
      <c r="A128" s="19" t="str">
        <f t="shared" si="7"/>
        <v/>
      </c>
      <c r="B128" s="20"/>
      <c r="C128" s="39">
        <f t="shared" si="8"/>
        <v>45721</v>
      </c>
      <c r="D128" s="19">
        <f t="shared" si="9"/>
        <v>45722</v>
      </c>
      <c r="E128" s="42">
        <f t="shared" si="13"/>
        <v>0</v>
      </c>
      <c r="F128" s="8">
        <f>IFERROR(VLOOKUP(B128,PVSKTC!$A$4:$D$1048576,2,0),0)</f>
        <v>0</v>
      </c>
      <c r="G128" s="8">
        <f>IFERROR(VLOOKUP(B128,PVSKTC!$A$4:$D$1048576,3,0),0)</f>
        <v>0</v>
      </c>
      <c r="H128" s="8">
        <f>IFERROR(VLOOKUP(B128,PVSKTC!$A$4:$D$1048576,4,0),0)</f>
        <v>0</v>
      </c>
      <c r="I128" s="15" t="str">
        <f>IFERROR(IF(E128&gt;0,THTT!E$2,""),"")</f>
        <v/>
      </c>
      <c r="J128" s="16" t="str">
        <f t="shared" si="10"/>
        <v/>
      </c>
      <c r="K128" s="8" t="str">
        <f t="shared" si="11"/>
        <v/>
      </c>
      <c r="L128" s="8" t="str">
        <f t="shared" si="12"/>
        <v/>
      </c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</row>
    <row r="129" spans="1:63" s="4" customFormat="1" x14ac:dyDescent="0.3">
      <c r="A129" s="19" t="str">
        <f t="shared" si="7"/>
        <v/>
      </c>
      <c r="B129" s="20"/>
      <c r="C129" s="39">
        <f t="shared" si="8"/>
        <v>45721</v>
      </c>
      <c r="D129" s="19">
        <f t="shared" si="9"/>
        <v>45722</v>
      </c>
      <c r="E129" s="42">
        <f t="shared" si="13"/>
        <v>0</v>
      </c>
      <c r="F129" s="8">
        <f>IFERROR(VLOOKUP(B129,PVSKTC!$A$4:$D$1048576,2,0),0)</f>
        <v>0</v>
      </c>
      <c r="G129" s="8">
        <f>IFERROR(VLOOKUP(B129,PVSKTC!$A$4:$D$1048576,3,0),0)</f>
        <v>0</v>
      </c>
      <c r="H129" s="8">
        <f>IFERROR(VLOOKUP(B129,PVSKTC!$A$4:$D$1048576,4,0),0)</f>
        <v>0</v>
      </c>
      <c r="I129" s="15" t="str">
        <f>IFERROR(IF(E129&gt;0,THTT!E$2,""),"")</f>
        <v/>
      </c>
      <c r="J129" s="16" t="str">
        <f t="shared" si="10"/>
        <v/>
      </c>
      <c r="K129" s="8" t="str">
        <f t="shared" si="11"/>
        <v/>
      </c>
      <c r="L129" s="8" t="str">
        <f t="shared" si="12"/>
        <v/>
      </c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</row>
    <row r="130" spans="1:63" s="4" customFormat="1" x14ac:dyDescent="0.3">
      <c r="A130" s="19" t="str">
        <f t="shared" si="7"/>
        <v/>
      </c>
      <c r="B130" s="20"/>
      <c r="C130" s="39">
        <f t="shared" si="8"/>
        <v>45721</v>
      </c>
      <c r="D130" s="19">
        <f t="shared" si="9"/>
        <v>45722</v>
      </c>
      <c r="E130" s="42">
        <f t="shared" si="13"/>
        <v>0</v>
      </c>
      <c r="F130" s="8">
        <f>IFERROR(VLOOKUP(B130,PVSKTC!$A$4:$D$1048576,2,0),0)</f>
        <v>0</v>
      </c>
      <c r="G130" s="8">
        <f>IFERROR(VLOOKUP(B130,PVSKTC!$A$4:$D$1048576,3,0),0)</f>
        <v>0</v>
      </c>
      <c r="H130" s="8">
        <f>IFERROR(VLOOKUP(B130,PVSKTC!$A$4:$D$1048576,4,0),0)</f>
        <v>0</v>
      </c>
      <c r="I130" s="15" t="str">
        <f>IFERROR(IF(E130&gt;0,THTT!E$2,""),"")</f>
        <v/>
      </c>
      <c r="J130" s="16" t="str">
        <f t="shared" si="10"/>
        <v/>
      </c>
      <c r="K130" s="8" t="str">
        <f t="shared" si="11"/>
        <v/>
      </c>
      <c r="L130" s="8" t="str">
        <f t="shared" si="12"/>
        <v/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</row>
    <row r="131" spans="1:63" s="4" customFormat="1" x14ac:dyDescent="0.3">
      <c r="A131" s="19" t="str">
        <f t="shared" si="7"/>
        <v/>
      </c>
      <c r="B131" s="20"/>
      <c r="C131" s="39">
        <f t="shared" si="8"/>
        <v>45721</v>
      </c>
      <c r="D131" s="19">
        <f t="shared" si="9"/>
        <v>45722</v>
      </c>
      <c r="E131" s="42">
        <f t="shared" si="13"/>
        <v>0</v>
      </c>
      <c r="F131" s="8">
        <f>IFERROR(VLOOKUP(B131,PVSKTC!$A$4:$D$1048576,2,0),0)</f>
        <v>0</v>
      </c>
      <c r="G131" s="8">
        <f>IFERROR(VLOOKUP(B131,PVSKTC!$A$4:$D$1048576,3,0),0)</f>
        <v>0</v>
      </c>
      <c r="H131" s="8">
        <f>IFERROR(VLOOKUP(B131,PVSKTC!$A$4:$D$1048576,4,0),0)</f>
        <v>0</v>
      </c>
      <c r="I131" s="15" t="str">
        <f>IFERROR(IF(E131&gt;0,THTT!E$2,""),"")</f>
        <v/>
      </c>
      <c r="J131" s="16" t="str">
        <f t="shared" si="10"/>
        <v/>
      </c>
      <c r="K131" s="8" t="str">
        <f t="shared" si="11"/>
        <v/>
      </c>
      <c r="L131" s="8" t="str">
        <f t="shared" si="12"/>
        <v/>
      </c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</row>
    <row r="132" spans="1:63" s="4" customFormat="1" x14ac:dyDescent="0.3">
      <c r="A132" s="19" t="str">
        <f t="shared" si="7"/>
        <v/>
      </c>
      <c r="B132" s="20"/>
      <c r="C132" s="39">
        <f t="shared" si="8"/>
        <v>45721</v>
      </c>
      <c r="D132" s="19">
        <f t="shared" si="9"/>
        <v>45722</v>
      </c>
      <c r="E132" s="42">
        <f t="shared" si="13"/>
        <v>0</v>
      </c>
      <c r="F132" s="8">
        <f>IFERROR(VLOOKUP(B132,PVSKTC!$A$4:$D$1048576,2,0),0)</f>
        <v>0</v>
      </c>
      <c r="G132" s="8">
        <f>IFERROR(VLOOKUP(B132,PVSKTC!$A$4:$D$1048576,3,0),0)</f>
        <v>0</v>
      </c>
      <c r="H132" s="8">
        <f>IFERROR(VLOOKUP(B132,PVSKTC!$A$4:$D$1048576,4,0),0)</f>
        <v>0</v>
      </c>
      <c r="I132" s="15" t="str">
        <f>IFERROR(IF(E132&gt;0,THTT!E$2,""),"")</f>
        <v/>
      </c>
      <c r="J132" s="16" t="str">
        <f t="shared" si="10"/>
        <v/>
      </c>
      <c r="K132" s="8" t="str">
        <f t="shared" si="11"/>
        <v/>
      </c>
      <c r="L132" s="8" t="str">
        <f t="shared" si="12"/>
        <v/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</row>
    <row r="133" spans="1:63" s="4" customFormat="1" x14ac:dyDescent="0.3">
      <c r="A133" s="19" t="str">
        <f t="shared" si="7"/>
        <v/>
      </c>
      <c r="B133" s="20"/>
      <c r="C133" s="39">
        <f t="shared" si="8"/>
        <v>45721</v>
      </c>
      <c r="D133" s="19">
        <f t="shared" si="9"/>
        <v>45722</v>
      </c>
      <c r="E133" s="42">
        <f t="shared" si="13"/>
        <v>0</v>
      </c>
      <c r="F133" s="8">
        <f>IFERROR(VLOOKUP(B133,PVSKTC!$A$4:$D$1048576,2,0),0)</f>
        <v>0</v>
      </c>
      <c r="G133" s="8">
        <f>IFERROR(VLOOKUP(B133,PVSKTC!$A$4:$D$1048576,3,0),0)</f>
        <v>0</v>
      </c>
      <c r="H133" s="8">
        <f>IFERROR(VLOOKUP(B133,PVSKTC!$A$4:$D$1048576,4,0),0)</f>
        <v>0</v>
      </c>
      <c r="I133" s="15" t="str">
        <f>IFERROR(IF(E133&gt;0,THTT!E$2,""),"")</f>
        <v/>
      </c>
      <c r="J133" s="16" t="str">
        <f t="shared" si="10"/>
        <v/>
      </c>
      <c r="K133" s="8" t="str">
        <f t="shared" si="11"/>
        <v/>
      </c>
      <c r="L133" s="8" t="str">
        <f t="shared" si="12"/>
        <v/>
      </c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</row>
    <row r="134" spans="1:63" s="4" customFormat="1" x14ac:dyDescent="0.3">
      <c r="A134" s="19" t="str">
        <f t="shared" si="7"/>
        <v/>
      </c>
      <c r="B134" s="20"/>
      <c r="C134" s="39">
        <f t="shared" si="8"/>
        <v>45721</v>
      </c>
      <c r="D134" s="19">
        <f t="shared" si="9"/>
        <v>45722</v>
      </c>
      <c r="E134" s="42">
        <f t="shared" si="13"/>
        <v>0</v>
      </c>
      <c r="F134" s="8">
        <f>IFERROR(VLOOKUP(B134,PVSKTC!$A$4:$D$1048576,2,0),0)</f>
        <v>0</v>
      </c>
      <c r="G134" s="8">
        <f>IFERROR(VLOOKUP(B134,PVSKTC!$A$4:$D$1048576,3,0),0)</f>
        <v>0</v>
      </c>
      <c r="H134" s="8">
        <f>IFERROR(VLOOKUP(B134,PVSKTC!$A$4:$D$1048576,4,0),0)</f>
        <v>0</v>
      </c>
      <c r="I134" s="15" t="str">
        <f>IFERROR(IF(E134&gt;0,THTT!E$2,""),"")</f>
        <v/>
      </c>
      <c r="J134" s="16" t="str">
        <f t="shared" si="10"/>
        <v/>
      </c>
      <c r="K134" s="8" t="str">
        <f t="shared" si="11"/>
        <v/>
      </c>
      <c r="L134" s="8" t="str">
        <f t="shared" si="12"/>
        <v/>
      </c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</row>
    <row r="135" spans="1:63" s="4" customFormat="1" x14ac:dyDescent="0.3">
      <c r="A135" s="19" t="str">
        <f t="shared" si="7"/>
        <v/>
      </c>
      <c r="B135" s="20"/>
      <c r="C135" s="39">
        <f t="shared" si="8"/>
        <v>45721</v>
      </c>
      <c r="D135" s="19">
        <f t="shared" si="9"/>
        <v>45722</v>
      </c>
      <c r="E135" s="42">
        <f t="shared" si="13"/>
        <v>0</v>
      </c>
      <c r="F135" s="8">
        <f>IFERROR(VLOOKUP(B135,PVSKTC!$A$4:$D$1048576,2,0),0)</f>
        <v>0</v>
      </c>
      <c r="G135" s="8">
        <f>IFERROR(VLOOKUP(B135,PVSKTC!$A$4:$D$1048576,3,0),0)</f>
        <v>0</v>
      </c>
      <c r="H135" s="8">
        <f>IFERROR(VLOOKUP(B135,PVSKTC!$A$4:$D$1048576,4,0),0)</f>
        <v>0</v>
      </c>
      <c r="I135" s="15" t="str">
        <f>IFERROR(IF(E135&gt;0,THTT!E$2,""),"")</f>
        <v/>
      </c>
      <c r="J135" s="16" t="str">
        <f t="shared" si="10"/>
        <v/>
      </c>
      <c r="K135" s="8" t="str">
        <f t="shared" si="11"/>
        <v/>
      </c>
      <c r="L135" s="8" t="str">
        <f t="shared" si="12"/>
        <v/>
      </c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</row>
    <row r="136" spans="1:63" s="4" customFormat="1" x14ac:dyDescent="0.3">
      <c r="A136" s="19" t="str">
        <f t="shared" si="7"/>
        <v/>
      </c>
      <c r="B136" s="20"/>
      <c r="C136" s="39">
        <f t="shared" si="8"/>
        <v>45721</v>
      </c>
      <c r="D136" s="19">
        <f t="shared" si="9"/>
        <v>45722</v>
      </c>
      <c r="E136" s="42">
        <f t="shared" si="13"/>
        <v>0</v>
      </c>
      <c r="F136" s="8">
        <f>IFERROR(VLOOKUP(B136,PVSKTC!$A$4:$D$1048576,2,0),0)</f>
        <v>0</v>
      </c>
      <c r="G136" s="8">
        <f>IFERROR(VLOOKUP(B136,PVSKTC!$A$4:$D$1048576,3,0),0)</f>
        <v>0</v>
      </c>
      <c r="H136" s="8">
        <f>IFERROR(VLOOKUP(B136,PVSKTC!$A$4:$D$1048576,4,0),0)</f>
        <v>0</v>
      </c>
      <c r="I136" s="15" t="str">
        <f>IFERROR(IF(E136&gt;0,THTT!E$2,""),"")</f>
        <v/>
      </c>
      <c r="J136" s="16" t="str">
        <f t="shared" si="10"/>
        <v/>
      </c>
      <c r="K136" s="8" t="str">
        <f t="shared" si="11"/>
        <v/>
      </c>
      <c r="L136" s="8" t="str">
        <f t="shared" si="12"/>
        <v/>
      </c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</row>
    <row r="137" spans="1:63" s="4" customFormat="1" x14ac:dyDescent="0.3">
      <c r="A137" s="19" t="str">
        <f t="shared" si="7"/>
        <v/>
      </c>
      <c r="B137" s="20"/>
      <c r="C137" s="39">
        <f t="shared" si="8"/>
        <v>45721</v>
      </c>
      <c r="D137" s="19">
        <f t="shared" si="9"/>
        <v>45722</v>
      </c>
      <c r="E137" s="42">
        <f t="shared" si="13"/>
        <v>0</v>
      </c>
      <c r="F137" s="8">
        <f>IFERROR(VLOOKUP(B137,PVSKTC!$A$4:$D$1048576,2,0),0)</f>
        <v>0</v>
      </c>
      <c r="G137" s="8">
        <f>IFERROR(VLOOKUP(B137,PVSKTC!$A$4:$D$1048576,3,0),0)</f>
        <v>0</v>
      </c>
      <c r="H137" s="8">
        <f>IFERROR(VLOOKUP(B137,PVSKTC!$A$4:$D$1048576,4,0),0)</f>
        <v>0</v>
      </c>
      <c r="I137" s="15" t="str">
        <f>IFERROR(IF(E137&gt;0,THTT!E$2,""),"")</f>
        <v/>
      </c>
      <c r="J137" s="16" t="str">
        <f t="shared" si="10"/>
        <v/>
      </c>
      <c r="K137" s="8" t="str">
        <f t="shared" si="11"/>
        <v/>
      </c>
      <c r="L137" s="8" t="str">
        <f t="shared" si="12"/>
        <v/>
      </c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</row>
    <row r="138" spans="1:63" s="4" customFormat="1" x14ac:dyDescent="0.3">
      <c r="A138" s="19" t="str">
        <f t="shared" si="7"/>
        <v/>
      </c>
      <c r="B138" s="20"/>
      <c r="C138" s="39">
        <f t="shared" si="8"/>
        <v>45721</v>
      </c>
      <c r="D138" s="19">
        <f t="shared" si="9"/>
        <v>45722</v>
      </c>
      <c r="E138" s="42">
        <f t="shared" si="13"/>
        <v>0</v>
      </c>
      <c r="F138" s="8">
        <f>IFERROR(VLOOKUP(B138,PVSKTC!$A$4:$D$1048576,2,0),0)</f>
        <v>0</v>
      </c>
      <c r="G138" s="8">
        <f>IFERROR(VLOOKUP(B138,PVSKTC!$A$4:$D$1048576,3,0),0)</f>
        <v>0</v>
      </c>
      <c r="H138" s="8">
        <f>IFERROR(VLOOKUP(B138,PVSKTC!$A$4:$D$1048576,4,0),0)</f>
        <v>0</v>
      </c>
      <c r="I138" s="15" t="str">
        <f>IFERROR(IF(E138&gt;0,THTT!E$2,""),"")</f>
        <v/>
      </c>
      <c r="J138" s="16" t="str">
        <f t="shared" si="10"/>
        <v/>
      </c>
      <c r="K138" s="8" t="str">
        <f t="shared" si="11"/>
        <v/>
      </c>
      <c r="L138" s="8" t="str">
        <f t="shared" si="12"/>
        <v/>
      </c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</row>
    <row r="139" spans="1:63" s="4" customFormat="1" x14ac:dyDescent="0.3">
      <c r="A139" s="19" t="str">
        <f t="shared" si="7"/>
        <v/>
      </c>
      <c r="B139" s="20"/>
      <c r="C139" s="39">
        <f t="shared" si="8"/>
        <v>45721</v>
      </c>
      <c r="D139" s="19">
        <f t="shared" si="9"/>
        <v>45722</v>
      </c>
      <c r="E139" s="42">
        <f t="shared" si="13"/>
        <v>0</v>
      </c>
      <c r="F139" s="8">
        <f>IFERROR(VLOOKUP(B139,PVSKTC!$A$4:$D$1048576,2,0),0)</f>
        <v>0</v>
      </c>
      <c r="G139" s="8">
        <f>IFERROR(VLOOKUP(B139,PVSKTC!$A$4:$D$1048576,3,0),0)</f>
        <v>0</v>
      </c>
      <c r="H139" s="8">
        <f>IFERROR(VLOOKUP(B139,PVSKTC!$A$4:$D$1048576,4,0),0)</f>
        <v>0</v>
      </c>
      <c r="I139" s="15" t="str">
        <f>IFERROR(IF(E139&gt;0,THTT!E$2,""),"")</f>
        <v/>
      </c>
      <c r="J139" s="16" t="str">
        <f t="shared" si="10"/>
        <v/>
      </c>
      <c r="K139" s="8" t="str">
        <f t="shared" si="11"/>
        <v/>
      </c>
      <c r="L139" s="8" t="str">
        <f t="shared" si="12"/>
        <v/>
      </c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</row>
    <row r="140" spans="1:63" s="4" customFormat="1" x14ac:dyDescent="0.3">
      <c r="A140" s="19" t="str">
        <f t="shared" si="7"/>
        <v/>
      </c>
      <c r="B140" s="20"/>
      <c r="C140" s="39">
        <f t="shared" si="8"/>
        <v>45721</v>
      </c>
      <c r="D140" s="19">
        <f t="shared" si="9"/>
        <v>45722</v>
      </c>
      <c r="E140" s="42">
        <f t="shared" si="13"/>
        <v>0</v>
      </c>
      <c r="F140" s="8">
        <f>IFERROR(VLOOKUP(B140,PVSKTC!$A$4:$D$1048576,2,0),0)</f>
        <v>0</v>
      </c>
      <c r="G140" s="8">
        <f>IFERROR(VLOOKUP(B140,PVSKTC!$A$4:$D$1048576,3,0),0)</f>
        <v>0</v>
      </c>
      <c r="H140" s="8">
        <f>IFERROR(VLOOKUP(B140,PVSKTC!$A$4:$D$1048576,4,0),0)</f>
        <v>0</v>
      </c>
      <c r="I140" s="15" t="str">
        <f>IFERROR(IF(E140&gt;0,THTT!E$2,""),"")</f>
        <v/>
      </c>
      <c r="J140" s="16" t="str">
        <f t="shared" si="10"/>
        <v/>
      </c>
      <c r="K140" s="8" t="str">
        <f t="shared" si="11"/>
        <v/>
      </c>
      <c r="L140" s="8" t="str">
        <f t="shared" si="12"/>
        <v/>
      </c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</row>
    <row r="141" spans="1:63" s="4" customFormat="1" x14ac:dyDescent="0.3">
      <c r="A141" s="19" t="str">
        <f t="shared" si="7"/>
        <v/>
      </c>
      <c r="B141" s="20"/>
      <c r="C141" s="39">
        <f t="shared" si="8"/>
        <v>45721</v>
      </c>
      <c r="D141" s="19">
        <f t="shared" si="9"/>
        <v>45722</v>
      </c>
      <c r="E141" s="42">
        <f t="shared" si="13"/>
        <v>0</v>
      </c>
      <c r="F141" s="8">
        <f>IFERROR(VLOOKUP(B141,PVSKTC!$A$4:$D$1048576,2,0),0)</f>
        <v>0</v>
      </c>
      <c r="G141" s="8">
        <f>IFERROR(VLOOKUP(B141,PVSKTC!$A$4:$D$1048576,3,0),0)</f>
        <v>0</v>
      </c>
      <c r="H141" s="8">
        <f>IFERROR(VLOOKUP(B141,PVSKTC!$A$4:$D$1048576,4,0),0)</f>
        <v>0</v>
      </c>
      <c r="I141" s="15" t="str">
        <f>IFERROR(IF(E141&gt;0,THTT!E$2,""),"")</f>
        <v/>
      </c>
      <c r="J141" s="16" t="str">
        <f t="shared" si="10"/>
        <v/>
      </c>
      <c r="K141" s="8" t="str">
        <f t="shared" si="11"/>
        <v/>
      </c>
      <c r="L141" s="8" t="str">
        <f t="shared" si="12"/>
        <v/>
      </c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</row>
    <row r="142" spans="1:63" s="4" customFormat="1" x14ac:dyDescent="0.3">
      <c r="A142" s="19" t="str">
        <f t="shared" ref="A142:A205" si="14">IF(E142&lt;=0,"",IF(B142&gt;=$B$9,"QUÁ HẠN","TRONG HẠN"))</f>
        <v/>
      </c>
      <c r="B142" s="20"/>
      <c r="C142" s="39">
        <f t="shared" ref="C142:C205" si="15">IFERROR(IF(B143="", $B$10, B143-1), $B$10)</f>
        <v>45721</v>
      </c>
      <c r="D142" s="19">
        <f t="shared" ref="D142:D205" si="16">C142-B142+1</f>
        <v>45722</v>
      </c>
      <c r="E142" s="42">
        <f t="shared" si="13"/>
        <v>0</v>
      </c>
      <c r="F142" s="8">
        <f>IFERROR(VLOOKUP(B142,PVSKTC!$A$4:$D$1048576,2,0),0)</f>
        <v>0</v>
      </c>
      <c r="G142" s="8">
        <f>IFERROR(VLOOKUP(B142,PVSKTC!$A$4:$D$1048576,3,0),0)</f>
        <v>0</v>
      </c>
      <c r="H142" s="8">
        <f>IFERROR(VLOOKUP(B142,PVSKTC!$A$4:$D$1048576,4,0),0)</f>
        <v>0</v>
      </c>
      <c r="I142" s="15" t="str">
        <f>IFERROR(IF(E142&gt;0,THTT!E$2,""),"")</f>
        <v/>
      </c>
      <c r="J142" s="16" t="str">
        <f t="shared" ref="J142:J205" si="17">IF(A142="QUÁ HẠN",I142*150%,"")</f>
        <v/>
      </c>
      <c r="K142" s="8" t="str">
        <f t="shared" ref="K142:K205" si="18">IF(E142&gt;0,E142*I142*D142/365,"")</f>
        <v/>
      </c>
      <c r="L142" s="8" t="str">
        <f t="shared" ref="L142:L205" si="19">IF(A142="QUÁ HẠN",E142*I142*D142/365,"")</f>
        <v/>
      </c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</row>
    <row r="143" spans="1:63" s="4" customFormat="1" x14ac:dyDescent="0.3">
      <c r="A143" s="19" t="str">
        <f t="shared" si="14"/>
        <v/>
      </c>
      <c r="B143" s="20"/>
      <c r="C143" s="39">
        <f t="shared" si="15"/>
        <v>45721</v>
      </c>
      <c r="D143" s="19">
        <f t="shared" si="16"/>
        <v>45722</v>
      </c>
      <c r="E143" s="42">
        <f t="shared" ref="E143:E206" si="20">E142+F143-G143</f>
        <v>0</v>
      </c>
      <c r="F143" s="8">
        <f>IFERROR(VLOOKUP(B143,PVSKTC!$A$4:$D$1048576,2,0),0)</f>
        <v>0</v>
      </c>
      <c r="G143" s="8">
        <f>IFERROR(VLOOKUP(B143,PVSKTC!$A$4:$D$1048576,3,0),0)</f>
        <v>0</v>
      </c>
      <c r="H143" s="8">
        <f>IFERROR(VLOOKUP(B143,PVSKTC!$A$4:$D$1048576,4,0),0)</f>
        <v>0</v>
      </c>
      <c r="I143" s="15" t="str">
        <f>IFERROR(IF(E143&gt;0,THTT!E$2,""),"")</f>
        <v/>
      </c>
      <c r="J143" s="16" t="str">
        <f t="shared" si="17"/>
        <v/>
      </c>
      <c r="K143" s="8" t="str">
        <f t="shared" si="18"/>
        <v/>
      </c>
      <c r="L143" s="8" t="str">
        <f t="shared" si="19"/>
        <v/>
      </c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</row>
    <row r="144" spans="1:63" s="4" customFormat="1" x14ac:dyDescent="0.3">
      <c r="A144" s="19" t="str">
        <f t="shared" si="14"/>
        <v/>
      </c>
      <c r="B144" s="20"/>
      <c r="C144" s="39">
        <f t="shared" si="15"/>
        <v>45721</v>
      </c>
      <c r="D144" s="19">
        <f t="shared" si="16"/>
        <v>45722</v>
      </c>
      <c r="E144" s="42">
        <f t="shared" si="20"/>
        <v>0</v>
      </c>
      <c r="F144" s="8">
        <f>IFERROR(VLOOKUP(B144,PVSKTC!$A$4:$D$1048576,2,0),0)</f>
        <v>0</v>
      </c>
      <c r="G144" s="8">
        <f>IFERROR(VLOOKUP(B144,PVSKTC!$A$4:$D$1048576,3,0),0)</f>
        <v>0</v>
      </c>
      <c r="H144" s="8">
        <f>IFERROR(VLOOKUP(B144,PVSKTC!$A$4:$D$1048576,4,0),0)</f>
        <v>0</v>
      </c>
      <c r="I144" s="15" t="str">
        <f>IFERROR(IF(E144&gt;0,THTT!E$2,""),"")</f>
        <v/>
      </c>
      <c r="J144" s="16" t="str">
        <f t="shared" si="17"/>
        <v/>
      </c>
      <c r="K144" s="8" t="str">
        <f t="shared" si="18"/>
        <v/>
      </c>
      <c r="L144" s="8" t="str">
        <f t="shared" si="19"/>
        <v/>
      </c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</row>
    <row r="145" spans="1:63" s="4" customFormat="1" x14ac:dyDescent="0.3">
      <c r="A145" s="19" t="str">
        <f t="shared" si="14"/>
        <v/>
      </c>
      <c r="B145" s="20"/>
      <c r="C145" s="39">
        <f t="shared" si="15"/>
        <v>45721</v>
      </c>
      <c r="D145" s="19">
        <f t="shared" si="16"/>
        <v>45722</v>
      </c>
      <c r="E145" s="42">
        <f t="shared" si="20"/>
        <v>0</v>
      </c>
      <c r="F145" s="8">
        <f>IFERROR(VLOOKUP(B145,PVSKTC!$A$4:$D$1048576,2,0),0)</f>
        <v>0</v>
      </c>
      <c r="G145" s="8">
        <f>IFERROR(VLOOKUP(B145,PVSKTC!$A$4:$D$1048576,3,0),0)</f>
        <v>0</v>
      </c>
      <c r="H145" s="8">
        <f>IFERROR(VLOOKUP(B145,PVSKTC!$A$4:$D$1048576,4,0),0)</f>
        <v>0</v>
      </c>
      <c r="I145" s="15" t="str">
        <f>IFERROR(IF(E145&gt;0,THTT!E$2,""),"")</f>
        <v/>
      </c>
      <c r="J145" s="16" t="str">
        <f t="shared" si="17"/>
        <v/>
      </c>
      <c r="K145" s="8" t="str">
        <f t="shared" si="18"/>
        <v/>
      </c>
      <c r="L145" s="8" t="str">
        <f t="shared" si="19"/>
        <v/>
      </c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</row>
    <row r="146" spans="1:63" s="4" customFormat="1" x14ac:dyDescent="0.3">
      <c r="A146" s="19" t="str">
        <f t="shared" si="14"/>
        <v/>
      </c>
      <c r="B146" s="20"/>
      <c r="C146" s="39">
        <f t="shared" si="15"/>
        <v>45721</v>
      </c>
      <c r="D146" s="19">
        <f t="shared" si="16"/>
        <v>45722</v>
      </c>
      <c r="E146" s="42">
        <f t="shared" si="20"/>
        <v>0</v>
      </c>
      <c r="F146" s="8">
        <f>IFERROR(VLOOKUP(B146,PVSKTC!$A$4:$D$1048576,2,0),0)</f>
        <v>0</v>
      </c>
      <c r="G146" s="8">
        <f>IFERROR(VLOOKUP(B146,PVSKTC!$A$4:$D$1048576,3,0),0)</f>
        <v>0</v>
      </c>
      <c r="H146" s="8">
        <f>IFERROR(VLOOKUP(B146,PVSKTC!$A$4:$D$1048576,4,0),0)</f>
        <v>0</v>
      </c>
      <c r="I146" s="15" t="str">
        <f>IFERROR(IF(E146&gt;0,THTT!E$2,""),"")</f>
        <v/>
      </c>
      <c r="J146" s="16" t="str">
        <f t="shared" si="17"/>
        <v/>
      </c>
      <c r="K146" s="8" t="str">
        <f t="shared" si="18"/>
        <v/>
      </c>
      <c r="L146" s="8" t="str">
        <f t="shared" si="19"/>
        <v/>
      </c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</row>
    <row r="147" spans="1:63" s="4" customFormat="1" x14ac:dyDescent="0.3">
      <c r="A147" s="19" t="str">
        <f t="shared" si="14"/>
        <v/>
      </c>
      <c r="B147" s="20"/>
      <c r="C147" s="39">
        <f t="shared" si="15"/>
        <v>45721</v>
      </c>
      <c r="D147" s="19">
        <f t="shared" si="16"/>
        <v>45722</v>
      </c>
      <c r="E147" s="42">
        <f t="shared" si="20"/>
        <v>0</v>
      </c>
      <c r="F147" s="8">
        <f>IFERROR(VLOOKUP(B147,PVSKTC!$A$4:$D$1048576,2,0),0)</f>
        <v>0</v>
      </c>
      <c r="G147" s="8">
        <f>IFERROR(VLOOKUP(B147,PVSKTC!$A$4:$D$1048576,3,0),0)</f>
        <v>0</v>
      </c>
      <c r="H147" s="8">
        <f>IFERROR(VLOOKUP(B147,PVSKTC!$A$4:$D$1048576,4,0),0)</f>
        <v>0</v>
      </c>
      <c r="I147" s="15" t="str">
        <f>IFERROR(IF(E147&gt;0,THTT!E$2,""),"")</f>
        <v/>
      </c>
      <c r="J147" s="16" t="str">
        <f t="shared" si="17"/>
        <v/>
      </c>
      <c r="K147" s="8" t="str">
        <f t="shared" si="18"/>
        <v/>
      </c>
      <c r="L147" s="8" t="str">
        <f t="shared" si="19"/>
        <v/>
      </c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</row>
    <row r="148" spans="1:63" s="4" customFormat="1" x14ac:dyDescent="0.3">
      <c r="A148" s="19" t="str">
        <f t="shared" si="14"/>
        <v/>
      </c>
      <c r="B148" s="20"/>
      <c r="C148" s="39">
        <f t="shared" si="15"/>
        <v>45721</v>
      </c>
      <c r="D148" s="19">
        <f t="shared" si="16"/>
        <v>45722</v>
      </c>
      <c r="E148" s="42">
        <f t="shared" si="20"/>
        <v>0</v>
      </c>
      <c r="F148" s="8">
        <f>IFERROR(VLOOKUP(B148,PVSKTC!$A$4:$D$1048576,2,0),0)</f>
        <v>0</v>
      </c>
      <c r="G148" s="8">
        <f>IFERROR(VLOOKUP(B148,PVSKTC!$A$4:$D$1048576,3,0),0)</f>
        <v>0</v>
      </c>
      <c r="H148" s="8">
        <f>IFERROR(VLOOKUP(B148,PVSKTC!$A$4:$D$1048576,4,0),0)</f>
        <v>0</v>
      </c>
      <c r="I148" s="15" t="str">
        <f>IFERROR(IF(E148&gt;0,THTT!E$2,""),"")</f>
        <v/>
      </c>
      <c r="J148" s="16" t="str">
        <f t="shared" si="17"/>
        <v/>
      </c>
      <c r="K148" s="8" t="str">
        <f t="shared" si="18"/>
        <v/>
      </c>
      <c r="L148" s="8" t="str">
        <f t="shared" si="19"/>
        <v/>
      </c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</row>
    <row r="149" spans="1:63" s="4" customFormat="1" x14ac:dyDescent="0.3">
      <c r="A149" s="19" t="str">
        <f t="shared" si="14"/>
        <v/>
      </c>
      <c r="B149" s="20"/>
      <c r="C149" s="39">
        <f t="shared" si="15"/>
        <v>45721</v>
      </c>
      <c r="D149" s="19">
        <f t="shared" si="16"/>
        <v>45722</v>
      </c>
      <c r="E149" s="42">
        <f t="shared" si="20"/>
        <v>0</v>
      </c>
      <c r="F149" s="8">
        <f>IFERROR(VLOOKUP(B149,PVSKTC!$A$4:$D$1048576,2,0),0)</f>
        <v>0</v>
      </c>
      <c r="G149" s="8">
        <f>IFERROR(VLOOKUP(B149,PVSKTC!$A$4:$D$1048576,3,0),0)</f>
        <v>0</v>
      </c>
      <c r="H149" s="8">
        <f>IFERROR(VLOOKUP(B149,PVSKTC!$A$4:$D$1048576,4,0),0)</f>
        <v>0</v>
      </c>
      <c r="I149" s="15" t="str">
        <f>IFERROR(IF(E149&gt;0,THTT!E$2,""),"")</f>
        <v/>
      </c>
      <c r="J149" s="16" t="str">
        <f t="shared" si="17"/>
        <v/>
      </c>
      <c r="K149" s="8" t="str">
        <f t="shared" si="18"/>
        <v/>
      </c>
      <c r="L149" s="8" t="str">
        <f t="shared" si="19"/>
        <v/>
      </c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</row>
    <row r="150" spans="1:63" s="4" customFormat="1" x14ac:dyDescent="0.3">
      <c r="A150" s="19" t="str">
        <f t="shared" si="14"/>
        <v/>
      </c>
      <c r="B150" s="20"/>
      <c r="C150" s="39">
        <f t="shared" si="15"/>
        <v>45721</v>
      </c>
      <c r="D150" s="19">
        <f t="shared" si="16"/>
        <v>45722</v>
      </c>
      <c r="E150" s="42">
        <f t="shared" si="20"/>
        <v>0</v>
      </c>
      <c r="F150" s="8">
        <f>IFERROR(VLOOKUP(B150,PVSKTC!$A$4:$D$1048576,2,0),0)</f>
        <v>0</v>
      </c>
      <c r="G150" s="8">
        <f>IFERROR(VLOOKUP(B150,PVSKTC!$A$4:$D$1048576,3,0),0)</f>
        <v>0</v>
      </c>
      <c r="H150" s="8">
        <f>IFERROR(VLOOKUP(B150,PVSKTC!$A$4:$D$1048576,4,0),0)</f>
        <v>0</v>
      </c>
      <c r="I150" s="15" t="str">
        <f>IFERROR(IF(E150&gt;0,THTT!E$2,""),"")</f>
        <v/>
      </c>
      <c r="J150" s="16" t="str">
        <f t="shared" si="17"/>
        <v/>
      </c>
      <c r="K150" s="8" t="str">
        <f t="shared" si="18"/>
        <v/>
      </c>
      <c r="L150" s="8" t="str">
        <f t="shared" si="19"/>
        <v/>
      </c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</row>
    <row r="151" spans="1:63" s="4" customFormat="1" x14ac:dyDescent="0.3">
      <c r="A151" s="19" t="str">
        <f t="shared" si="14"/>
        <v/>
      </c>
      <c r="B151" s="20"/>
      <c r="C151" s="39">
        <f t="shared" si="15"/>
        <v>45721</v>
      </c>
      <c r="D151" s="19">
        <f t="shared" si="16"/>
        <v>45722</v>
      </c>
      <c r="E151" s="42">
        <f t="shared" si="20"/>
        <v>0</v>
      </c>
      <c r="F151" s="8">
        <f>IFERROR(VLOOKUP(B151,PVSKTC!$A$4:$D$1048576,2,0),0)</f>
        <v>0</v>
      </c>
      <c r="G151" s="8">
        <f>IFERROR(VLOOKUP(B151,PVSKTC!$A$4:$D$1048576,3,0),0)</f>
        <v>0</v>
      </c>
      <c r="H151" s="8">
        <f>IFERROR(VLOOKUP(B151,PVSKTC!$A$4:$D$1048576,4,0),0)</f>
        <v>0</v>
      </c>
      <c r="I151" s="15" t="str">
        <f>IFERROR(IF(E151&gt;0,THTT!E$2,""),"")</f>
        <v/>
      </c>
      <c r="J151" s="16" t="str">
        <f t="shared" si="17"/>
        <v/>
      </c>
      <c r="K151" s="8" t="str">
        <f t="shared" si="18"/>
        <v/>
      </c>
      <c r="L151" s="8" t="str">
        <f t="shared" si="19"/>
        <v/>
      </c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</row>
    <row r="152" spans="1:63" s="4" customFormat="1" x14ac:dyDescent="0.3">
      <c r="A152" s="19" t="str">
        <f t="shared" si="14"/>
        <v/>
      </c>
      <c r="B152" s="20"/>
      <c r="C152" s="39">
        <f t="shared" si="15"/>
        <v>45721</v>
      </c>
      <c r="D152" s="19">
        <f t="shared" si="16"/>
        <v>45722</v>
      </c>
      <c r="E152" s="42">
        <f t="shared" si="20"/>
        <v>0</v>
      </c>
      <c r="F152" s="8">
        <f>IFERROR(VLOOKUP(B152,PVSKTC!$A$4:$D$1048576,2,0),0)</f>
        <v>0</v>
      </c>
      <c r="G152" s="8">
        <f>IFERROR(VLOOKUP(B152,PVSKTC!$A$4:$D$1048576,3,0),0)</f>
        <v>0</v>
      </c>
      <c r="H152" s="8">
        <f>IFERROR(VLOOKUP(B152,PVSKTC!$A$4:$D$1048576,4,0),0)</f>
        <v>0</v>
      </c>
      <c r="I152" s="15" t="str">
        <f>IFERROR(IF(E152&gt;0,THTT!E$2,""),"")</f>
        <v/>
      </c>
      <c r="J152" s="16" t="str">
        <f t="shared" si="17"/>
        <v/>
      </c>
      <c r="K152" s="8" t="str">
        <f t="shared" si="18"/>
        <v/>
      </c>
      <c r="L152" s="8" t="str">
        <f t="shared" si="19"/>
        <v/>
      </c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</row>
    <row r="153" spans="1:63" s="4" customFormat="1" x14ac:dyDescent="0.3">
      <c r="A153" s="19" t="str">
        <f t="shared" si="14"/>
        <v/>
      </c>
      <c r="B153" s="20"/>
      <c r="C153" s="39">
        <f t="shared" si="15"/>
        <v>45721</v>
      </c>
      <c r="D153" s="19">
        <f t="shared" si="16"/>
        <v>45722</v>
      </c>
      <c r="E153" s="42">
        <f t="shared" si="20"/>
        <v>0</v>
      </c>
      <c r="F153" s="8">
        <f>IFERROR(VLOOKUP(B153,PVSKTC!$A$4:$D$1048576,2,0),0)</f>
        <v>0</v>
      </c>
      <c r="G153" s="8">
        <f>IFERROR(VLOOKUP(B153,PVSKTC!$A$4:$D$1048576,3,0),0)</f>
        <v>0</v>
      </c>
      <c r="H153" s="8">
        <f>IFERROR(VLOOKUP(B153,PVSKTC!$A$4:$D$1048576,4,0),0)</f>
        <v>0</v>
      </c>
      <c r="I153" s="15" t="str">
        <f>IFERROR(IF(E153&gt;0,THTT!E$2,""),"")</f>
        <v/>
      </c>
      <c r="J153" s="16" t="str">
        <f t="shared" si="17"/>
        <v/>
      </c>
      <c r="K153" s="8" t="str">
        <f t="shared" si="18"/>
        <v/>
      </c>
      <c r="L153" s="8" t="str">
        <f t="shared" si="19"/>
        <v/>
      </c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</row>
    <row r="154" spans="1:63" s="4" customFormat="1" x14ac:dyDescent="0.3">
      <c r="A154" s="19" t="str">
        <f t="shared" si="14"/>
        <v/>
      </c>
      <c r="B154" s="20"/>
      <c r="C154" s="39">
        <f t="shared" si="15"/>
        <v>45721</v>
      </c>
      <c r="D154" s="19">
        <f t="shared" si="16"/>
        <v>45722</v>
      </c>
      <c r="E154" s="42">
        <f t="shared" si="20"/>
        <v>0</v>
      </c>
      <c r="F154" s="8">
        <f>IFERROR(VLOOKUP(B154,PVSKTC!$A$4:$D$1048576,2,0),0)</f>
        <v>0</v>
      </c>
      <c r="G154" s="8">
        <f>IFERROR(VLOOKUP(B154,PVSKTC!$A$4:$D$1048576,3,0),0)</f>
        <v>0</v>
      </c>
      <c r="H154" s="8">
        <f>IFERROR(VLOOKUP(B154,PVSKTC!$A$4:$D$1048576,4,0),0)</f>
        <v>0</v>
      </c>
      <c r="I154" s="15" t="str">
        <f>IFERROR(IF(E154&gt;0,THTT!E$2,""),"")</f>
        <v/>
      </c>
      <c r="J154" s="16" t="str">
        <f t="shared" si="17"/>
        <v/>
      </c>
      <c r="K154" s="8" t="str">
        <f t="shared" si="18"/>
        <v/>
      </c>
      <c r="L154" s="8" t="str">
        <f t="shared" si="19"/>
        <v/>
      </c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</row>
    <row r="155" spans="1:63" s="4" customFormat="1" x14ac:dyDescent="0.3">
      <c r="A155" s="19" t="str">
        <f t="shared" si="14"/>
        <v/>
      </c>
      <c r="B155" s="20"/>
      <c r="C155" s="39">
        <f t="shared" si="15"/>
        <v>45721</v>
      </c>
      <c r="D155" s="19">
        <f t="shared" si="16"/>
        <v>45722</v>
      </c>
      <c r="E155" s="42">
        <f t="shared" si="20"/>
        <v>0</v>
      </c>
      <c r="F155" s="8">
        <f>IFERROR(VLOOKUP(B155,PVSKTC!$A$4:$D$1048576,2,0),0)</f>
        <v>0</v>
      </c>
      <c r="G155" s="8">
        <f>IFERROR(VLOOKUP(B155,PVSKTC!$A$4:$D$1048576,3,0),0)</f>
        <v>0</v>
      </c>
      <c r="H155" s="8">
        <f>IFERROR(VLOOKUP(B155,PVSKTC!$A$4:$D$1048576,4,0),0)</f>
        <v>0</v>
      </c>
      <c r="I155" s="15" t="str">
        <f>IFERROR(IF(E155&gt;0,THTT!E$2,""),"")</f>
        <v/>
      </c>
      <c r="J155" s="16" t="str">
        <f t="shared" si="17"/>
        <v/>
      </c>
      <c r="K155" s="8" t="str">
        <f t="shared" si="18"/>
        <v/>
      </c>
      <c r="L155" s="8" t="str">
        <f t="shared" si="19"/>
        <v/>
      </c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</row>
    <row r="156" spans="1:63" s="4" customFormat="1" x14ac:dyDescent="0.3">
      <c r="A156" s="19" t="str">
        <f t="shared" si="14"/>
        <v/>
      </c>
      <c r="B156" s="20"/>
      <c r="C156" s="39">
        <f t="shared" si="15"/>
        <v>45721</v>
      </c>
      <c r="D156" s="19">
        <f t="shared" si="16"/>
        <v>45722</v>
      </c>
      <c r="E156" s="42">
        <f t="shared" si="20"/>
        <v>0</v>
      </c>
      <c r="F156" s="8">
        <f>IFERROR(VLOOKUP(B156,PVSKTC!$A$4:$D$1048576,2,0),0)</f>
        <v>0</v>
      </c>
      <c r="G156" s="8">
        <f>IFERROR(VLOOKUP(B156,PVSKTC!$A$4:$D$1048576,3,0),0)</f>
        <v>0</v>
      </c>
      <c r="H156" s="8">
        <f>IFERROR(VLOOKUP(B156,PVSKTC!$A$4:$D$1048576,4,0),0)</f>
        <v>0</v>
      </c>
      <c r="I156" s="15" t="str">
        <f>IFERROR(IF(E156&gt;0,THTT!E$2,""),"")</f>
        <v/>
      </c>
      <c r="J156" s="16" t="str">
        <f t="shared" si="17"/>
        <v/>
      </c>
      <c r="K156" s="8" t="str">
        <f t="shared" si="18"/>
        <v/>
      </c>
      <c r="L156" s="8" t="str">
        <f t="shared" si="19"/>
        <v/>
      </c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</row>
    <row r="157" spans="1:63" s="4" customFormat="1" x14ac:dyDescent="0.3">
      <c r="A157" s="19" t="str">
        <f t="shared" si="14"/>
        <v/>
      </c>
      <c r="B157" s="20"/>
      <c r="C157" s="39">
        <f t="shared" si="15"/>
        <v>45721</v>
      </c>
      <c r="D157" s="19">
        <f t="shared" si="16"/>
        <v>45722</v>
      </c>
      <c r="E157" s="42">
        <f t="shared" si="20"/>
        <v>0</v>
      </c>
      <c r="F157" s="8">
        <f>IFERROR(VLOOKUP(B157,PVSKTC!$A$4:$D$1048576,2,0),0)</f>
        <v>0</v>
      </c>
      <c r="G157" s="8">
        <f>IFERROR(VLOOKUP(B157,PVSKTC!$A$4:$D$1048576,3,0),0)</f>
        <v>0</v>
      </c>
      <c r="H157" s="8">
        <f>IFERROR(VLOOKUP(B157,PVSKTC!$A$4:$D$1048576,4,0),0)</f>
        <v>0</v>
      </c>
      <c r="I157" s="15" t="str">
        <f>IFERROR(IF(E157&gt;0,THTT!E$2,""),"")</f>
        <v/>
      </c>
      <c r="J157" s="16" t="str">
        <f t="shared" si="17"/>
        <v/>
      </c>
      <c r="K157" s="8" t="str">
        <f t="shared" si="18"/>
        <v/>
      </c>
      <c r="L157" s="8" t="str">
        <f t="shared" si="19"/>
        <v/>
      </c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</row>
    <row r="158" spans="1:63" s="4" customFormat="1" x14ac:dyDescent="0.3">
      <c r="A158" s="19" t="str">
        <f t="shared" si="14"/>
        <v/>
      </c>
      <c r="B158" s="20"/>
      <c r="C158" s="39">
        <f t="shared" si="15"/>
        <v>45721</v>
      </c>
      <c r="D158" s="19">
        <f t="shared" si="16"/>
        <v>45722</v>
      </c>
      <c r="E158" s="42">
        <f t="shared" si="20"/>
        <v>0</v>
      </c>
      <c r="F158" s="8">
        <f>IFERROR(VLOOKUP(B158,PVSKTC!$A$4:$D$1048576,2,0),0)</f>
        <v>0</v>
      </c>
      <c r="G158" s="8">
        <f>IFERROR(VLOOKUP(B158,PVSKTC!$A$4:$D$1048576,3,0),0)</f>
        <v>0</v>
      </c>
      <c r="H158" s="8">
        <f>IFERROR(VLOOKUP(B158,PVSKTC!$A$4:$D$1048576,4,0),0)</f>
        <v>0</v>
      </c>
      <c r="I158" s="15" t="str">
        <f>IFERROR(IF(E158&gt;0,THTT!E$2,""),"")</f>
        <v/>
      </c>
      <c r="J158" s="16" t="str">
        <f t="shared" si="17"/>
        <v/>
      </c>
      <c r="K158" s="8" t="str">
        <f t="shared" si="18"/>
        <v/>
      </c>
      <c r="L158" s="8" t="str">
        <f t="shared" si="19"/>
        <v/>
      </c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</row>
    <row r="159" spans="1:63" s="4" customFormat="1" x14ac:dyDescent="0.3">
      <c r="A159" s="19" t="str">
        <f t="shared" si="14"/>
        <v/>
      </c>
      <c r="B159" s="20"/>
      <c r="C159" s="39">
        <f t="shared" si="15"/>
        <v>45721</v>
      </c>
      <c r="D159" s="19">
        <f t="shared" si="16"/>
        <v>45722</v>
      </c>
      <c r="E159" s="42">
        <f t="shared" si="20"/>
        <v>0</v>
      </c>
      <c r="F159" s="8">
        <f>IFERROR(VLOOKUP(B159,PVSKTC!$A$4:$D$1048576,2,0),0)</f>
        <v>0</v>
      </c>
      <c r="G159" s="8">
        <f>IFERROR(VLOOKUP(B159,PVSKTC!$A$4:$D$1048576,3,0),0)</f>
        <v>0</v>
      </c>
      <c r="H159" s="8">
        <f>IFERROR(VLOOKUP(B159,PVSKTC!$A$4:$D$1048576,4,0),0)</f>
        <v>0</v>
      </c>
      <c r="I159" s="15" t="str">
        <f>IFERROR(IF(E159&gt;0,THTT!E$2,""),"")</f>
        <v/>
      </c>
      <c r="J159" s="16" t="str">
        <f t="shared" si="17"/>
        <v/>
      </c>
      <c r="K159" s="8" t="str">
        <f t="shared" si="18"/>
        <v/>
      </c>
      <c r="L159" s="8" t="str">
        <f t="shared" si="19"/>
        <v/>
      </c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</row>
    <row r="160" spans="1:63" s="4" customFormat="1" x14ac:dyDescent="0.3">
      <c r="A160" s="19" t="str">
        <f t="shared" si="14"/>
        <v/>
      </c>
      <c r="B160" s="20"/>
      <c r="C160" s="39">
        <f t="shared" si="15"/>
        <v>45721</v>
      </c>
      <c r="D160" s="19">
        <f t="shared" si="16"/>
        <v>45722</v>
      </c>
      <c r="E160" s="42">
        <f t="shared" si="20"/>
        <v>0</v>
      </c>
      <c r="F160" s="8">
        <f>IFERROR(VLOOKUP(B160,PVSKTC!$A$4:$D$1048576,2,0),0)</f>
        <v>0</v>
      </c>
      <c r="G160" s="8">
        <f>IFERROR(VLOOKUP(B160,PVSKTC!$A$4:$D$1048576,3,0),0)</f>
        <v>0</v>
      </c>
      <c r="H160" s="8">
        <f>IFERROR(VLOOKUP(B160,PVSKTC!$A$4:$D$1048576,4,0),0)</f>
        <v>0</v>
      </c>
      <c r="I160" s="15" t="str">
        <f>IFERROR(IF(E160&gt;0,THTT!E$2,""),"")</f>
        <v/>
      </c>
      <c r="J160" s="16" t="str">
        <f t="shared" si="17"/>
        <v/>
      </c>
      <c r="K160" s="8" t="str">
        <f t="shared" si="18"/>
        <v/>
      </c>
      <c r="L160" s="8" t="str">
        <f t="shared" si="19"/>
        <v/>
      </c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</row>
    <row r="161" spans="1:63" s="4" customFormat="1" x14ac:dyDescent="0.3">
      <c r="A161" s="19" t="str">
        <f t="shared" si="14"/>
        <v/>
      </c>
      <c r="B161" s="20"/>
      <c r="C161" s="39">
        <f t="shared" si="15"/>
        <v>45721</v>
      </c>
      <c r="D161" s="19">
        <f t="shared" si="16"/>
        <v>45722</v>
      </c>
      <c r="E161" s="42">
        <f t="shared" si="20"/>
        <v>0</v>
      </c>
      <c r="F161" s="8">
        <f>IFERROR(VLOOKUP(B161,PVSKTC!$A$4:$D$1048576,2,0),0)</f>
        <v>0</v>
      </c>
      <c r="G161" s="8">
        <f>IFERROR(VLOOKUP(B161,PVSKTC!$A$4:$D$1048576,3,0),0)</f>
        <v>0</v>
      </c>
      <c r="H161" s="8">
        <f>IFERROR(VLOOKUP(B161,PVSKTC!$A$4:$D$1048576,4,0),0)</f>
        <v>0</v>
      </c>
      <c r="I161" s="15" t="str">
        <f>IFERROR(IF(E161&gt;0,THTT!E$2,""),"")</f>
        <v/>
      </c>
      <c r="J161" s="16" t="str">
        <f t="shared" si="17"/>
        <v/>
      </c>
      <c r="K161" s="8" t="str">
        <f t="shared" si="18"/>
        <v/>
      </c>
      <c r="L161" s="8" t="str">
        <f t="shared" si="19"/>
        <v/>
      </c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</row>
    <row r="162" spans="1:63" s="4" customFormat="1" x14ac:dyDescent="0.3">
      <c r="A162" s="19" t="str">
        <f t="shared" si="14"/>
        <v/>
      </c>
      <c r="B162" s="20"/>
      <c r="C162" s="39">
        <f t="shared" si="15"/>
        <v>45721</v>
      </c>
      <c r="D162" s="19">
        <f t="shared" si="16"/>
        <v>45722</v>
      </c>
      <c r="E162" s="42">
        <f t="shared" si="20"/>
        <v>0</v>
      </c>
      <c r="F162" s="8">
        <f>IFERROR(VLOOKUP(B162,PVSKTC!$A$4:$D$1048576,2,0),0)</f>
        <v>0</v>
      </c>
      <c r="G162" s="8">
        <f>IFERROR(VLOOKUP(B162,PVSKTC!$A$4:$D$1048576,3,0),0)</f>
        <v>0</v>
      </c>
      <c r="H162" s="8">
        <f>IFERROR(VLOOKUP(B162,PVSKTC!$A$4:$D$1048576,4,0),0)</f>
        <v>0</v>
      </c>
      <c r="I162" s="15" t="str">
        <f>IFERROR(IF(E162&gt;0,THTT!E$2,""),"")</f>
        <v/>
      </c>
      <c r="J162" s="16" t="str">
        <f t="shared" si="17"/>
        <v/>
      </c>
      <c r="K162" s="8" t="str">
        <f t="shared" si="18"/>
        <v/>
      </c>
      <c r="L162" s="8" t="str">
        <f t="shared" si="19"/>
        <v/>
      </c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</row>
    <row r="163" spans="1:63" s="4" customFormat="1" x14ac:dyDescent="0.3">
      <c r="A163" s="19" t="str">
        <f t="shared" si="14"/>
        <v/>
      </c>
      <c r="B163" s="20"/>
      <c r="C163" s="39">
        <f t="shared" si="15"/>
        <v>45721</v>
      </c>
      <c r="D163" s="19">
        <f t="shared" si="16"/>
        <v>45722</v>
      </c>
      <c r="E163" s="42">
        <f t="shared" si="20"/>
        <v>0</v>
      </c>
      <c r="F163" s="8">
        <f>IFERROR(VLOOKUP(B163,PVSKTC!$A$4:$D$1048576,2,0),0)</f>
        <v>0</v>
      </c>
      <c r="G163" s="8">
        <f>IFERROR(VLOOKUP(B163,PVSKTC!$A$4:$D$1048576,3,0),0)</f>
        <v>0</v>
      </c>
      <c r="H163" s="8">
        <f>IFERROR(VLOOKUP(B163,PVSKTC!$A$4:$D$1048576,4,0),0)</f>
        <v>0</v>
      </c>
      <c r="I163" s="15" t="str">
        <f>IFERROR(IF(E163&gt;0,THTT!E$2,""),"")</f>
        <v/>
      </c>
      <c r="J163" s="16" t="str">
        <f t="shared" si="17"/>
        <v/>
      </c>
      <c r="K163" s="8" t="str">
        <f t="shared" si="18"/>
        <v/>
      </c>
      <c r="L163" s="8" t="str">
        <f t="shared" si="19"/>
        <v/>
      </c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</row>
    <row r="164" spans="1:63" s="4" customFormat="1" x14ac:dyDescent="0.3">
      <c r="A164" s="19" t="str">
        <f t="shared" si="14"/>
        <v/>
      </c>
      <c r="B164" s="20"/>
      <c r="C164" s="39">
        <f t="shared" si="15"/>
        <v>45721</v>
      </c>
      <c r="D164" s="19">
        <f t="shared" si="16"/>
        <v>45722</v>
      </c>
      <c r="E164" s="42">
        <f t="shared" si="20"/>
        <v>0</v>
      </c>
      <c r="F164" s="8">
        <f>IFERROR(VLOOKUP(B164,PVSKTC!$A$4:$D$1048576,2,0),0)</f>
        <v>0</v>
      </c>
      <c r="G164" s="8">
        <f>IFERROR(VLOOKUP(B164,PVSKTC!$A$4:$D$1048576,3,0),0)</f>
        <v>0</v>
      </c>
      <c r="H164" s="8">
        <f>IFERROR(VLOOKUP(B164,PVSKTC!$A$4:$D$1048576,4,0),0)</f>
        <v>0</v>
      </c>
      <c r="I164" s="15" t="str">
        <f>IFERROR(IF(E164&gt;0,THTT!E$2,""),"")</f>
        <v/>
      </c>
      <c r="J164" s="16" t="str">
        <f t="shared" si="17"/>
        <v/>
      </c>
      <c r="K164" s="8" t="str">
        <f t="shared" si="18"/>
        <v/>
      </c>
      <c r="L164" s="8" t="str">
        <f t="shared" si="19"/>
        <v/>
      </c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</row>
    <row r="165" spans="1:63" s="4" customFormat="1" x14ac:dyDescent="0.3">
      <c r="A165" s="19" t="str">
        <f t="shared" si="14"/>
        <v/>
      </c>
      <c r="B165" s="20"/>
      <c r="C165" s="39">
        <f t="shared" si="15"/>
        <v>45721</v>
      </c>
      <c r="D165" s="19">
        <f t="shared" si="16"/>
        <v>45722</v>
      </c>
      <c r="E165" s="42">
        <f t="shared" si="20"/>
        <v>0</v>
      </c>
      <c r="F165" s="8">
        <f>IFERROR(VLOOKUP(B165,PVSKTC!$A$4:$D$1048576,2,0),0)</f>
        <v>0</v>
      </c>
      <c r="G165" s="8">
        <f>IFERROR(VLOOKUP(B165,PVSKTC!$A$4:$D$1048576,3,0),0)</f>
        <v>0</v>
      </c>
      <c r="H165" s="8">
        <f>IFERROR(VLOOKUP(B165,PVSKTC!$A$4:$D$1048576,4,0),0)</f>
        <v>0</v>
      </c>
      <c r="I165" s="15" t="str">
        <f>IFERROR(IF(E165&gt;0,THTT!E$2,""),"")</f>
        <v/>
      </c>
      <c r="J165" s="16" t="str">
        <f t="shared" si="17"/>
        <v/>
      </c>
      <c r="K165" s="8" t="str">
        <f t="shared" si="18"/>
        <v/>
      </c>
      <c r="L165" s="8" t="str">
        <f t="shared" si="19"/>
        <v/>
      </c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</row>
    <row r="166" spans="1:63" s="4" customFormat="1" x14ac:dyDescent="0.3">
      <c r="A166" s="19" t="str">
        <f t="shared" si="14"/>
        <v/>
      </c>
      <c r="B166" s="20"/>
      <c r="C166" s="39">
        <f t="shared" si="15"/>
        <v>45721</v>
      </c>
      <c r="D166" s="19">
        <f t="shared" si="16"/>
        <v>45722</v>
      </c>
      <c r="E166" s="42">
        <f t="shared" si="20"/>
        <v>0</v>
      </c>
      <c r="F166" s="8">
        <f>IFERROR(VLOOKUP(B166,PVSKTC!$A$4:$D$1048576,2,0),0)</f>
        <v>0</v>
      </c>
      <c r="G166" s="8">
        <f>IFERROR(VLOOKUP(B166,PVSKTC!$A$4:$D$1048576,3,0),0)</f>
        <v>0</v>
      </c>
      <c r="H166" s="8">
        <f>IFERROR(VLOOKUP(B166,PVSKTC!$A$4:$D$1048576,4,0),0)</f>
        <v>0</v>
      </c>
      <c r="I166" s="15" t="str">
        <f>IFERROR(IF(E166&gt;0,THTT!E$2,""),"")</f>
        <v/>
      </c>
      <c r="J166" s="16" t="str">
        <f t="shared" si="17"/>
        <v/>
      </c>
      <c r="K166" s="8" t="str">
        <f t="shared" si="18"/>
        <v/>
      </c>
      <c r="L166" s="8" t="str">
        <f t="shared" si="19"/>
        <v/>
      </c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</row>
    <row r="167" spans="1:63" s="4" customFormat="1" x14ac:dyDescent="0.3">
      <c r="A167" s="19" t="str">
        <f t="shared" si="14"/>
        <v/>
      </c>
      <c r="B167" s="20"/>
      <c r="C167" s="39">
        <f t="shared" si="15"/>
        <v>45721</v>
      </c>
      <c r="D167" s="19">
        <f t="shared" si="16"/>
        <v>45722</v>
      </c>
      <c r="E167" s="42">
        <f t="shared" si="20"/>
        <v>0</v>
      </c>
      <c r="F167" s="8">
        <f>IFERROR(VLOOKUP(B167,PVSKTC!$A$4:$D$1048576,2,0),0)</f>
        <v>0</v>
      </c>
      <c r="G167" s="8">
        <f>IFERROR(VLOOKUP(B167,PVSKTC!$A$4:$D$1048576,3,0),0)</f>
        <v>0</v>
      </c>
      <c r="H167" s="8">
        <f>IFERROR(VLOOKUP(B167,PVSKTC!$A$4:$D$1048576,4,0),0)</f>
        <v>0</v>
      </c>
      <c r="I167" s="15" t="str">
        <f>IFERROR(IF(E167&gt;0,THTT!E$2,""),"")</f>
        <v/>
      </c>
      <c r="J167" s="16" t="str">
        <f t="shared" si="17"/>
        <v/>
      </c>
      <c r="K167" s="8" t="str">
        <f t="shared" si="18"/>
        <v/>
      </c>
      <c r="L167" s="8" t="str">
        <f t="shared" si="19"/>
        <v/>
      </c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</row>
    <row r="168" spans="1:63" s="4" customFormat="1" x14ac:dyDescent="0.3">
      <c r="A168" s="19" t="str">
        <f t="shared" si="14"/>
        <v/>
      </c>
      <c r="B168" s="20"/>
      <c r="C168" s="39">
        <f t="shared" si="15"/>
        <v>45721</v>
      </c>
      <c r="D168" s="19">
        <f t="shared" si="16"/>
        <v>45722</v>
      </c>
      <c r="E168" s="42">
        <f t="shared" si="20"/>
        <v>0</v>
      </c>
      <c r="F168" s="8">
        <f>IFERROR(VLOOKUP(B168,PVSKTC!$A$4:$D$1048576,2,0),0)</f>
        <v>0</v>
      </c>
      <c r="G168" s="8">
        <f>IFERROR(VLOOKUP(B168,PVSKTC!$A$4:$D$1048576,3,0),0)</f>
        <v>0</v>
      </c>
      <c r="H168" s="8">
        <f>IFERROR(VLOOKUP(B168,PVSKTC!$A$4:$D$1048576,4,0),0)</f>
        <v>0</v>
      </c>
      <c r="I168" s="15" t="str">
        <f>IFERROR(IF(E168&gt;0,THTT!E$2,""),"")</f>
        <v/>
      </c>
      <c r="J168" s="16" t="str">
        <f t="shared" si="17"/>
        <v/>
      </c>
      <c r="K168" s="8" t="str">
        <f t="shared" si="18"/>
        <v/>
      </c>
      <c r="L168" s="8" t="str">
        <f t="shared" si="19"/>
        <v/>
      </c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</row>
    <row r="169" spans="1:63" s="4" customFormat="1" x14ac:dyDescent="0.3">
      <c r="A169" s="19" t="str">
        <f t="shared" si="14"/>
        <v/>
      </c>
      <c r="B169" s="20"/>
      <c r="C169" s="39">
        <f t="shared" si="15"/>
        <v>45721</v>
      </c>
      <c r="D169" s="19">
        <f t="shared" si="16"/>
        <v>45722</v>
      </c>
      <c r="E169" s="42">
        <f t="shared" si="20"/>
        <v>0</v>
      </c>
      <c r="F169" s="8">
        <f>IFERROR(VLOOKUP(B169,PVSKTC!$A$4:$D$1048576,2,0),0)</f>
        <v>0</v>
      </c>
      <c r="G169" s="8">
        <f>IFERROR(VLOOKUP(B169,PVSKTC!$A$4:$D$1048576,3,0),0)</f>
        <v>0</v>
      </c>
      <c r="H169" s="8">
        <f>IFERROR(VLOOKUP(B169,PVSKTC!$A$4:$D$1048576,4,0),0)</f>
        <v>0</v>
      </c>
      <c r="I169" s="15" t="str">
        <f>IFERROR(IF(E169&gt;0,THTT!E$2,""),"")</f>
        <v/>
      </c>
      <c r="J169" s="16" t="str">
        <f t="shared" si="17"/>
        <v/>
      </c>
      <c r="K169" s="8" t="str">
        <f t="shared" si="18"/>
        <v/>
      </c>
      <c r="L169" s="8" t="str">
        <f t="shared" si="19"/>
        <v/>
      </c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</row>
    <row r="170" spans="1:63" s="4" customFormat="1" x14ac:dyDescent="0.3">
      <c r="A170" s="19" t="str">
        <f t="shared" si="14"/>
        <v/>
      </c>
      <c r="B170" s="20"/>
      <c r="C170" s="39">
        <f t="shared" si="15"/>
        <v>45721</v>
      </c>
      <c r="D170" s="19">
        <f t="shared" si="16"/>
        <v>45722</v>
      </c>
      <c r="E170" s="42">
        <f t="shared" si="20"/>
        <v>0</v>
      </c>
      <c r="F170" s="8">
        <f>IFERROR(VLOOKUP(B170,PVSKTC!$A$4:$D$1048576,2,0),0)</f>
        <v>0</v>
      </c>
      <c r="G170" s="8">
        <f>IFERROR(VLOOKUP(B170,PVSKTC!$A$4:$D$1048576,3,0),0)</f>
        <v>0</v>
      </c>
      <c r="H170" s="8">
        <f>IFERROR(VLOOKUP(B170,PVSKTC!$A$4:$D$1048576,4,0),0)</f>
        <v>0</v>
      </c>
      <c r="I170" s="15" t="str">
        <f>IFERROR(IF(E170&gt;0,THTT!E$2,""),"")</f>
        <v/>
      </c>
      <c r="J170" s="16" t="str">
        <f t="shared" si="17"/>
        <v/>
      </c>
      <c r="K170" s="8" t="str">
        <f t="shared" si="18"/>
        <v/>
      </c>
      <c r="L170" s="8" t="str">
        <f t="shared" si="19"/>
        <v/>
      </c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</row>
    <row r="171" spans="1:63" s="4" customFormat="1" x14ac:dyDescent="0.3">
      <c r="A171" s="19" t="str">
        <f t="shared" si="14"/>
        <v/>
      </c>
      <c r="B171" s="20"/>
      <c r="C171" s="39">
        <f t="shared" si="15"/>
        <v>45721</v>
      </c>
      <c r="D171" s="19">
        <f t="shared" si="16"/>
        <v>45722</v>
      </c>
      <c r="E171" s="42">
        <f t="shared" si="20"/>
        <v>0</v>
      </c>
      <c r="F171" s="8">
        <f>IFERROR(VLOOKUP(B171,PVSKTC!$A$4:$D$1048576,2,0),0)</f>
        <v>0</v>
      </c>
      <c r="G171" s="8">
        <f>IFERROR(VLOOKUP(B171,PVSKTC!$A$4:$D$1048576,3,0),0)</f>
        <v>0</v>
      </c>
      <c r="H171" s="8">
        <f>IFERROR(VLOOKUP(B171,PVSKTC!$A$4:$D$1048576,4,0),0)</f>
        <v>0</v>
      </c>
      <c r="I171" s="15" t="str">
        <f>IFERROR(IF(E171&gt;0,THTT!E$2,""),"")</f>
        <v/>
      </c>
      <c r="J171" s="16" t="str">
        <f t="shared" si="17"/>
        <v/>
      </c>
      <c r="K171" s="8" t="str">
        <f t="shared" si="18"/>
        <v/>
      </c>
      <c r="L171" s="8" t="str">
        <f t="shared" si="19"/>
        <v/>
      </c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</row>
    <row r="172" spans="1:63" s="4" customFormat="1" x14ac:dyDescent="0.3">
      <c r="A172" s="19" t="str">
        <f t="shared" si="14"/>
        <v/>
      </c>
      <c r="B172" s="20"/>
      <c r="C172" s="39">
        <f t="shared" si="15"/>
        <v>45721</v>
      </c>
      <c r="D172" s="19">
        <f t="shared" si="16"/>
        <v>45722</v>
      </c>
      <c r="E172" s="42">
        <f t="shared" si="20"/>
        <v>0</v>
      </c>
      <c r="F172" s="8">
        <f>IFERROR(VLOOKUP(B172,PVSKTC!$A$4:$D$1048576,2,0),0)</f>
        <v>0</v>
      </c>
      <c r="G172" s="8">
        <f>IFERROR(VLOOKUP(B172,PVSKTC!$A$4:$D$1048576,3,0),0)</f>
        <v>0</v>
      </c>
      <c r="H172" s="8">
        <f>IFERROR(VLOOKUP(B172,PVSKTC!$A$4:$D$1048576,4,0),0)</f>
        <v>0</v>
      </c>
      <c r="I172" s="15" t="str">
        <f>IFERROR(IF(E172&gt;0,THTT!E$2,""),"")</f>
        <v/>
      </c>
      <c r="J172" s="16" t="str">
        <f t="shared" si="17"/>
        <v/>
      </c>
      <c r="K172" s="8" t="str">
        <f t="shared" si="18"/>
        <v/>
      </c>
      <c r="L172" s="8" t="str">
        <f t="shared" si="19"/>
        <v/>
      </c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</row>
    <row r="173" spans="1:63" s="4" customFormat="1" x14ac:dyDescent="0.3">
      <c r="A173" s="19" t="str">
        <f t="shared" si="14"/>
        <v/>
      </c>
      <c r="B173" s="20"/>
      <c r="C173" s="39">
        <f t="shared" si="15"/>
        <v>45721</v>
      </c>
      <c r="D173" s="19">
        <f t="shared" si="16"/>
        <v>45722</v>
      </c>
      <c r="E173" s="42">
        <f t="shared" si="20"/>
        <v>0</v>
      </c>
      <c r="F173" s="8">
        <f>IFERROR(VLOOKUP(B173,PVSKTC!$A$4:$D$1048576,2,0),0)</f>
        <v>0</v>
      </c>
      <c r="G173" s="8">
        <f>IFERROR(VLOOKUP(B173,PVSKTC!$A$4:$D$1048576,3,0),0)</f>
        <v>0</v>
      </c>
      <c r="H173" s="8">
        <f>IFERROR(VLOOKUP(B173,PVSKTC!$A$4:$D$1048576,4,0),0)</f>
        <v>0</v>
      </c>
      <c r="I173" s="15" t="str">
        <f>IFERROR(IF(E173&gt;0,THTT!E$2,""),"")</f>
        <v/>
      </c>
      <c r="J173" s="16" t="str">
        <f t="shared" si="17"/>
        <v/>
      </c>
      <c r="K173" s="8" t="str">
        <f t="shared" si="18"/>
        <v/>
      </c>
      <c r="L173" s="8" t="str">
        <f t="shared" si="19"/>
        <v/>
      </c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</row>
    <row r="174" spans="1:63" s="4" customFormat="1" x14ac:dyDescent="0.3">
      <c r="A174" s="19" t="str">
        <f t="shared" si="14"/>
        <v/>
      </c>
      <c r="B174" s="20"/>
      <c r="C174" s="39">
        <f t="shared" si="15"/>
        <v>45721</v>
      </c>
      <c r="D174" s="19">
        <f t="shared" si="16"/>
        <v>45722</v>
      </c>
      <c r="E174" s="42">
        <f t="shared" si="20"/>
        <v>0</v>
      </c>
      <c r="F174" s="8">
        <f>IFERROR(VLOOKUP(B174,PVSKTC!$A$4:$D$1048576,2,0),0)</f>
        <v>0</v>
      </c>
      <c r="G174" s="8">
        <f>IFERROR(VLOOKUP(B174,PVSKTC!$A$4:$D$1048576,3,0),0)</f>
        <v>0</v>
      </c>
      <c r="H174" s="8">
        <f>IFERROR(VLOOKUP(B174,PVSKTC!$A$4:$D$1048576,4,0),0)</f>
        <v>0</v>
      </c>
      <c r="I174" s="15" t="str">
        <f>IFERROR(IF(E174&gt;0,THTT!E$2,""),"")</f>
        <v/>
      </c>
      <c r="J174" s="16" t="str">
        <f t="shared" si="17"/>
        <v/>
      </c>
      <c r="K174" s="8" t="str">
        <f t="shared" si="18"/>
        <v/>
      </c>
      <c r="L174" s="8" t="str">
        <f t="shared" si="19"/>
        <v/>
      </c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</row>
    <row r="175" spans="1:63" s="4" customFormat="1" x14ac:dyDescent="0.3">
      <c r="A175" s="19" t="str">
        <f t="shared" si="14"/>
        <v/>
      </c>
      <c r="B175" s="20"/>
      <c r="C175" s="39">
        <f t="shared" si="15"/>
        <v>45721</v>
      </c>
      <c r="D175" s="19">
        <f t="shared" si="16"/>
        <v>45722</v>
      </c>
      <c r="E175" s="42">
        <f t="shared" si="20"/>
        <v>0</v>
      </c>
      <c r="F175" s="8">
        <f>IFERROR(VLOOKUP(B175,PVSKTC!$A$4:$D$1048576,2,0),0)</f>
        <v>0</v>
      </c>
      <c r="G175" s="8">
        <f>IFERROR(VLOOKUP(B175,PVSKTC!$A$4:$D$1048576,3,0),0)</f>
        <v>0</v>
      </c>
      <c r="H175" s="8">
        <f>IFERROR(VLOOKUP(B175,PVSKTC!$A$4:$D$1048576,4,0),0)</f>
        <v>0</v>
      </c>
      <c r="I175" s="15" t="str">
        <f>IFERROR(IF(E175&gt;0,THTT!E$2,""),"")</f>
        <v/>
      </c>
      <c r="J175" s="16" t="str">
        <f t="shared" si="17"/>
        <v/>
      </c>
      <c r="K175" s="8" t="str">
        <f t="shared" si="18"/>
        <v/>
      </c>
      <c r="L175" s="8" t="str">
        <f t="shared" si="19"/>
        <v/>
      </c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</row>
    <row r="176" spans="1:63" s="4" customFormat="1" x14ac:dyDescent="0.3">
      <c r="A176" s="19" t="str">
        <f t="shared" si="14"/>
        <v/>
      </c>
      <c r="B176" s="20"/>
      <c r="C176" s="39">
        <f t="shared" si="15"/>
        <v>45721</v>
      </c>
      <c r="D176" s="19">
        <f t="shared" si="16"/>
        <v>45722</v>
      </c>
      <c r="E176" s="42">
        <f t="shared" si="20"/>
        <v>0</v>
      </c>
      <c r="F176" s="8">
        <f>IFERROR(VLOOKUP(B176,PVSKTC!$A$4:$D$1048576,2,0),0)</f>
        <v>0</v>
      </c>
      <c r="G176" s="8">
        <f>IFERROR(VLOOKUP(B176,PVSKTC!$A$4:$D$1048576,3,0),0)</f>
        <v>0</v>
      </c>
      <c r="H176" s="8">
        <f>IFERROR(VLOOKUP(B176,PVSKTC!$A$4:$D$1048576,4,0),0)</f>
        <v>0</v>
      </c>
      <c r="I176" s="15" t="str">
        <f>IFERROR(IF(E176&gt;0,THTT!E$2,""),"")</f>
        <v/>
      </c>
      <c r="J176" s="16" t="str">
        <f t="shared" si="17"/>
        <v/>
      </c>
      <c r="K176" s="8" t="str">
        <f t="shared" si="18"/>
        <v/>
      </c>
      <c r="L176" s="8" t="str">
        <f t="shared" si="19"/>
        <v/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</row>
    <row r="177" spans="1:63" s="4" customFormat="1" x14ac:dyDescent="0.3">
      <c r="A177" s="19" t="str">
        <f t="shared" si="14"/>
        <v/>
      </c>
      <c r="B177" s="20"/>
      <c r="C177" s="39">
        <f t="shared" si="15"/>
        <v>45721</v>
      </c>
      <c r="D177" s="19">
        <f t="shared" si="16"/>
        <v>45722</v>
      </c>
      <c r="E177" s="42">
        <f t="shared" si="20"/>
        <v>0</v>
      </c>
      <c r="F177" s="8">
        <f>IFERROR(VLOOKUP(B177,PVSKTC!$A$4:$D$1048576,2,0),0)</f>
        <v>0</v>
      </c>
      <c r="G177" s="8">
        <f>IFERROR(VLOOKUP(B177,PVSKTC!$A$4:$D$1048576,3,0),0)</f>
        <v>0</v>
      </c>
      <c r="H177" s="8">
        <f>IFERROR(VLOOKUP(B177,PVSKTC!$A$4:$D$1048576,4,0),0)</f>
        <v>0</v>
      </c>
      <c r="I177" s="15" t="str">
        <f>IFERROR(IF(E177&gt;0,THTT!E$2,""),"")</f>
        <v/>
      </c>
      <c r="J177" s="16" t="str">
        <f t="shared" si="17"/>
        <v/>
      </c>
      <c r="K177" s="8" t="str">
        <f t="shared" si="18"/>
        <v/>
      </c>
      <c r="L177" s="8" t="str">
        <f t="shared" si="19"/>
        <v/>
      </c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</row>
    <row r="178" spans="1:63" s="4" customFormat="1" x14ac:dyDescent="0.3">
      <c r="A178" s="19" t="str">
        <f t="shared" si="14"/>
        <v/>
      </c>
      <c r="B178" s="20"/>
      <c r="C178" s="39">
        <f t="shared" si="15"/>
        <v>45721</v>
      </c>
      <c r="D178" s="19">
        <f t="shared" si="16"/>
        <v>45722</v>
      </c>
      <c r="E178" s="42">
        <f t="shared" si="20"/>
        <v>0</v>
      </c>
      <c r="F178" s="8">
        <f>IFERROR(VLOOKUP(B178,PVSKTC!$A$4:$D$1048576,2,0),0)</f>
        <v>0</v>
      </c>
      <c r="G178" s="8">
        <f>IFERROR(VLOOKUP(B178,PVSKTC!$A$4:$D$1048576,3,0),0)</f>
        <v>0</v>
      </c>
      <c r="H178" s="8">
        <f>IFERROR(VLOOKUP(B178,PVSKTC!$A$4:$D$1048576,4,0),0)</f>
        <v>0</v>
      </c>
      <c r="I178" s="15" t="str">
        <f>IFERROR(IF(E178&gt;0,THTT!E$2,""),"")</f>
        <v/>
      </c>
      <c r="J178" s="16" t="str">
        <f t="shared" si="17"/>
        <v/>
      </c>
      <c r="K178" s="8" t="str">
        <f t="shared" si="18"/>
        <v/>
      </c>
      <c r="L178" s="8" t="str">
        <f t="shared" si="19"/>
        <v/>
      </c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</row>
    <row r="179" spans="1:63" s="4" customFormat="1" x14ac:dyDescent="0.3">
      <c r="A179" s="19" t="str">
        <f t="shared" si="14"/>
        <v/>
      </c>
      <c r="B179" s="20"/>
      <c r="C179" s="39">
        <f t="shared" si="15"/>
        <v>45721</v>
      </c>
      <c r="D179" s="19">
        <f t="shared" si="16"/>
        <v>45722</v>
      </c>
      <c r="E179" s="42">
        <f t="shared" si="20"/>
        <v>0</v>
      </c>
      <c r="F179" s="8">
        <f>IFERROR(VLOOKUP(B179,PVSKTC!$A$4:$D$1048576,2,0),0)</f>
        <v>0</v>
      </c>
      <c r="G179" s="8">
        <f>IFERROR(VLOOKUP(B179,PVSKTC!$A$4:$D$1048576,3,0),0)</f>
        <v>0</v>
      </c>
      <c r="H179" s="8">
        <f>IFERROR(VLOOKUP(B179,PVSKTC!$A$4:$D$1048576,4,0),0)</f>
        <v>0</v>
      </c>
      <c r="I179" s="15" t="str">
        <f>IFERROR(IF(E179&gt;0,THTT!E$2,""),"")</f>
        <v/>
      </c>
      <c r="J179" s="16" t="str">
        <f t="shared" si="17"/>
        <v/>
      </c>
      <c r="K179" s="8" t="str">
        <f t="shared" si="18"/>
        <v/>
      </c>
      <c r="L179" s="8" t="str">
        <f t="shared" si="19"/>
        <v/>
      </c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</row>
    <row r="180" spans="1:63" s="4" customFormat="1" x14ac:dyDescent="0.3">
      <c r="A180" s="19" t="str">
        <f t="shared" si="14"/>
        <v/>
      </c>
      <c r="B180" s="20"/>
      <c r="C180" s="39">
        <f t="shared" si="15"/>
        <v>45721</v>
      </c>
      <c r="D180" s="19">
        <f t="shared" si="16"/>
        <v>45722</v>
      </c>
      <c r="E180" s="42">
        <f t="shared" si="20"/>
        <v>0</v>
      </c>
      <c r="F180" s="8">
        <f>IFERROR(VLOOKUP(B180,PVSKTC!$A$4:$D$1048576,2,0),0)</f>
        <v>0</v>
      </c>
      <c r="G180" s="8">
        <f>IFERROR(VLOOKUP(B180,PVSKTC!$A$4:$D$1048576,3,0),0)</f>
        <v>0</v>
      </c>
      <c r="H180" s="8">
        <f>IFERROR(VLOOKUP(B180,PVSKTC!$A$4:$D$1048576,4,0),0)</f>
        <v>0</v>
      </c>
      <c r="I180" s="15" t="str">
        <f>IFERROR(IF(E180&gt;0,THTT!E$2,""),"")</f>
        <v/>
      </c>
      <c r="J180" s="16" t="str">
        <f t="shared" si="17"/>
        <v/>
      </c>
      <c r="K180" s="8" t="str">
        <f t="shared" si="18"/>
        <v/>
      </c>
      <c r="L180" s="8" t="str">
        <f t="shared" si="19"/>
        <v/>
      </c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</row>
    <row r="181" spans="1:63" s="4" customFormat="1" x14ac:dyDescent="0.3">
      <c r="A181" s="19" t="str">
        <f t="shared" si="14"/>
        <v/>
      </c>
      <c r="B181" s="20"/>
      <c r="C181" s="39">
        <f t="shared" si="15"/>
        <v>45721</v>
      </c>
      <c r="D181" s="19">
        <f t="shared" si="16"/>
        <v>45722</v>
      </c>
      <c r="E181" s="42">
        <f t="shared" si="20"/>
        <v>0</v>
      </c>
      <c r="F181" s="8">
        <f>IFERROR(VLOOKUP(B181,PVSKTC!$A$4:$D$1048576,2,0),0)</f>
        <v>0</v>
      </c>
      <c r="G181" s="8">
        <f>IFERROR(VLOOKUP(B181,PVSKTC!$A$4:$D$1048576,3,0),0)</f>
        <v>0</v>
      </c>
      <c r="H181" s="8">
        <f>IFERROR(VLOOKUP(B181,PVSKTC!$A$4:$D$1048576,4,0),0)</f>
        <v>0</v>
      </c>
      <c r="I181" s="15" t="str">
        <f>IFERROR(IF(E181&gt;0,THTT!E$2,""),"")</f>
        <v/>
      </c>
      <c r="J181" s="16" t="str">
        <f t="shared" si="17"/>
        <v/>
      </c>
      <c r="K181" s="8" t="str">
        <f t="shared" si="18"/>
        <v/>
      </c>
      <c r="L181" s="8" t="str">
        <f t="shared" si="19"/>
        <v/>
      </c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</row>
    <row r="182" spans="1:63" s="4" customFormat="1" x14ac:dyDescent="0.3">
      <c r="A182" s="19" t="str">
        <f t="shared" si="14"/>
        <v/>
      </c>
      <c r="B182" s="20"/>
      <c r="C182" s="39">
        <f t="shared" si="15"/>
        <v>45721</v>
      </c>
      <c r="D182" s="19">
        <f t="shared" si="16"/>
        <v>45722</v>
      </c>
      <c r="E182" s="42">
        <f t="shared" si="20"/>
        <v>0</v>
      </c>
      <c r="F182" s="8">
        <f>IFERROR(VLOOKUP(B182,PVSKTC!$A$4:$D$1048576,2,0),0)</f>
        <v>0</v>
      </c>
      <c r="G182" s="8">
        <f>IFERROR(VLOOKUP(B182,PVSKTC!$A$4:$D$1048576,3,0),0)</f>
        <v>0</v>
      </c>
      <c r="H182" s="8">
        <f>IFERROR(VLOOKUP(B182,PVSKTC!$A$4:$D$1048576,4,0),0)</f>
        <v>0</v>
      </c>
      <c r="I182" s="15" t="str">
        <f>IFERROR(IF(E182&gt;0,THTT!E$2,""),"")</f>
        <v/>
      </c>
      <c r="J182" s="16" t="str">
        <f t="shared" si="17"/>
        <v/>
      </c>
      <c r="K182" s="8" t="str">
        <f t="shared" si="18"/>
        <v/>
      </c>
      <c r="L182" s="8" t="str">
        <f t="shared" si="19"/>
        <v/>
      </c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</row>
    <row r="183" spans="1:63" s="4" customFormat="1" x14ac:dyDescent="0.3">
      <c r="A183" s="19" t="str">
        <f t="shared" si="14"/>
        <v/>
      </c>
      <c r="B183" s="20"/>
      <c r="C183" s="39">
        <f t="shared" si="15"/>
        <v>45721</v>
      </c>
      <c r="D183" s="19">
        <f t="shared" si="16"/>
        <v>45722</v>
      </c>
      <c r="E183" s="42">
        <f t="shared" si="20"/>
        <v>0</v>
      </c>
      <c r="F183" s="8">
        <f>IFERROR(VLOOKUP(B183,PVSKTC!$A$4:$D$1048576,2,0),0)</f>
        <v>0</v>
      </c>
      <c r="G183" s="8">
        <f>IFERROR(VLOOKUP(B183,PVSKTC!$A$4:$D$1048576,3,0),0)</f>
        <v>0</v>
      </c>
      <c r="H183" s="8">
        <f>IFERROR(VLOOKUP(B183,PVSKTC!$A$4:$D$1048576,4,0),0)</f>
        <v>0</v>
      </c>
      <c r="I183" s="15" t="str">
        <f>IFERROR(IF(E183&gt;0,THTT!E$2,""),"")</f>
        <v/>
      </c>
      <c r="J183" s="16" t="str">
        <f t="shared" si="17"/>
        <v/>
      </c>
      <c r="K183" s="8" t="str">
        <f t="shared" si="18"/>
        <v/>
      </c>
      <c r="L183" s="8" t="str">
        <f t="shared" si="19"/>
        <v/>
      </c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</row>
    <row r="184" spans="1:63" s="4" customFormat="1" x14ac:dyDescent="0.3">
      <c r="A184" s="19" t="str">
        <f t="shared" si="14"/>
        <v/>
      </c>
      <c r="B184" s="20"/>
      <c r="C184" s="39">
        <f t="shared" si="15"/>
        <v>45721</v>
      </c>
      <c r="D184" s="19">
        <f t="shared" si="16"/>
        <v>45722</v>
      </c>
      <c r="E184" s="42">
        <f t="shared" si="20"/>
        <v>0</v>
      </c>
      <c r="F184" s="8">
        <f>IFERROR(VLOOKUP(B184,PVSKTC!$A$4:$D$1048576,2,0),0)</f>
        <v>0</v>
      </c>
      <c r="G184" s="8">
        <f>IFERROR(VLOOKUP(B184,PVSKTC!$A$4:$D$1048576,3,0),0)</f>
        <v>0</v>
      </c>
      <c r="H184" s="8">
        <f>IFERROR(VLOOKUP(B184,PVSKTC!$A$4:$D$1048576,4,0),0)</f>
        <v>0</v>
      </c>
      <c r="I184" s="15" t="str">
        <f>IFERROR(IF(E184&gt;0,THTT!E$2,""),"")</f>
        <v/>
      </c>
      <c r="J184" s="16" t="str">
        <f t="shared" si="17"/>
        <v/>
      </c>
      <c r="K184" s="8" t="str">
        <f t="shared" si="18"/>
        <v/>
      </c>
      <c r="L184" s="8" t="str">
        <f t="shared" si="19"/>
        <v/>
      </c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</row>
    <row r="185" spans="1:63" s="4" customFormat="1" x14ac:dyDescent="0.3">
      <c r="A185" s="19" t="str">
        <f t="shared" si="14"/>
        <v/>
      </c>
      <c r="B185" s="20"/>
      <c r="C185" s="39">
        <f t="shared" si="15"/>
        <v>45721</v>
      </c>
      <c r="D185" s="19">
        <f t="shared" si="16"/>
        <v>45722</v>
      </c>
      <c r="E185" s="42">
        <f t="shared" si="20"/>
        <v>0</v>
      </c>
      <c r="F185" s="8">
        <f>IFERROR(VLOOKUP(B185,PVSKTC!$A$4:$D$1048576,2,0),0)</f>
        <v>0</v>
      </c>
      <c r="G185" s="8">
        <f>IFERROR(VLOOKUP(B185,PVSKTC!$A$4:$D$1048576,3,0),0)</f>
        <v>0</v>
      </c>
      <c r="H185" s="8">
        <f>IFERROR(VLOOKUP(B185,PVSKTC!$A$4:$D$1048576,4,0),0)</f>
        <v>0</v>
      </c>
      <c r="I185" s="15" t="str">
        <f>IFERROR(IF(E185&gt;0,THTT!E$2,""),"")</f>
        <v/>
      </c>
      <c r="J185" s="16" t="str">
        <f t="shared" si="17"/>
        <v/>
      </c>
      <c r="K185" s="8" t="str">
        <f t="shared" si="18"/>
        <v/>
      </c>
      <c r="L185" s="8" t="str">
        <f t="shared" si="19"/>
        <v/>
      </c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</row>
    <row r="186" spans="1:63" s="4" customFormat="1" x14ac:dyDescent="0.3">
      <c r="A186" s="19" t="str">
        <f t="shared" si="14"/>
        <v/>
      </c>
      <c r="B186" s="20"/>
      <c r="C186" s="39">
        <f t="shared" si="15"/>
        <v>45721</v>
      </c>
      <c r="D186" s="19">
        <f t="shared" si="16"/>
        <v>45722</v>
      </c>
      <c r="E186" s="42">
        <f t="shared" si="20"/>
        <v>0</v>
      </c>
      <c r="F186" s="8">
        <f>IFERROR(VLOOKUP(B186,PVSKTC!$A$4:$D$1048576,2,0),0)</f>
        <v>0</v>
      </c>
      <c r="G186" s="8">
        <f>IFERROR(VLOOKUP(B186,PVSKTC!$A$4:$D$1048576,3,0),0)</f>
        <v>0</v>
      </c>
      <c r="H186" s="8">
        <f>IFERROR(VLOOKUP(B186,PVSKTC!$A$4:$D$1048576,4,0),0)</f>
        <v>0</v>
      </c>
      <c r="I186" s="15" t="str">
        <f>IFERROR(IF(E186&gt;0,THTT!E$2,""),"")</f>
        <v/>
      </c>
      <c r="J186" s="16" t="str">
        <f t="shared" si="17"/>
        <v/>
      </c>
      <c r="K186" s="8" t="str">
        <f t="shared" si="18"/>
        <v/>
      </c>
      <c r="L186" s="8" t="str">
        <f t="shared" si="19"/>
        <v/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</row>
    <row r="187" spans="1:63" s="4" customFormat="1" x14ac:dyDescent="0.3">
      <c r="A187" s="19" t="str">
        <f t="shared" si="14"/>
        <v/>
      </c>
      <c r="B187" s="20"/>
      <c r="C187" s="39">
        <f t="shared" si="15"/>
        <v>45721</v>
      </c>
      <c r="D187" s="19">
        <f t="shared" si="16"/>
        <v>45722</v>
      </c>
      <c r="E187" s="42">
        <f t="shared" si="20"/>
        <v>0</v>
      </c>
      <c r="F187" s="8">
        <f>IFERROR(VLOOKUP(B187,PVSKTC!$A$4:$D$1048576,2,0),0)</f>
        <v>0</v>
      </c>
      <c r="G187" s="8">
        <f>IFERROR(VLOOKUP(B187,PVSKTC!$A$4:$D$1048576,3,0),0)</f>
        <v>0</v>
      </c>
      <c r="H187" s="8">
        <f>IFERROR(VLOOKUP(B187,PVSKTC!$A$4:$D$1048576,4,0),0)</f>
        <v>0</v>
      </c>
      <c r="I187" s="15" t="str">
        <f>IFERROR(IF(E187&gt;0,THTT!E$2,""),"")</f>
        <v/>
      </c>
      <c r="J187" s="16" t="str">
        <f t="shared" si="17"/>
        <v/>
      </c>
      <c r="K187" s="8" t="str">
        <f t="shared" si="18"/>
        <v/>
      </c>
      <c r="L187" s="8" t="str">
        <f t="shared" si="19"/>
        <v/>
      </c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</row>
    <row r="188" spans="1:63" s="4" customFormat="1" x14ac:dyDescent="0.3">
      <c r="A188" s="19" t="str">
        <f t="shared" si="14"/>
        <v/>
      </c>
      <c r="B188" s="20"/>
      <c r="C188" s="39">
        <f t="shared" si="15"/>
        <v>45721</v>
      </c>
      <c r="D188" s="19">
        <f t="shared" si="16"/>
        <v>45722</v>
      </c>
      <c r="E188" s="42">
        <f t="shared" si="20"/>
        <v>0</v>
      </c>
      <c r="F188" s="8">
        <f>IFERROR(VLOOKUP(B188,PVSKTC!$A$4:$D$1048576,2,0),0)</f>
        <v>0</v>
      </c>
      <c r="G188" s="8">
        <f>IFERROR(VLOOKUP(B188,PVSKTC!$A$4:$D$1048576,3,0),0)</f>
        <v>0</v>
      </c>
      <c r="H188" s="8">
        <f>IFERROR(VLOOKUP(B188,PVSKTC!$A$4:$D$1048576,4,0),0)</f>
        <v>0</v>
      </c>
      <c r="I188" s="15" t="str">
        <f>IFERROR(IF(E188&gt;0,THTT!E$2,""),"")</f>
        <v/>
      </c>
      <c r="J188" s="16" t="str">
        <f t="shared" si="17"/>
        <v/>
      </c>
      <c r="K188" s="8" t="str">
        <f t="shared" si="18"/>
        <v/>
      </c>
      <c r="L188" s="8" t="str">
        <f t="shared" si="19"/>
        <v/>
      </c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</row>
    <row r="189" spans="1:63" s="4" customFormat="1" x14ac:dyDescent="0.3">
      <c r="A189" s="19" t="str">
        <f t="shared" si="14"/>
        <v/>
      </c>
      <c r="B189" s="20"/>
      <c r="C189" s="39">
        <f t="shared" si="15"/>
        <v>45721</v>
      </c>
      <c r="D189" s="19">
        <f t="shared" si="16"/>
        <v>45722</v>
      </c>
      <c r="E189" s="42">
        <f t="shared" si="20"/>
        <v>0</v>
      </c>
      <c r="F189" s="8">
        <f>IFERROR(VLOOKUP(B189,PVSKTC!$A$4:$D$1048576,2,0),0)</f>
        <v>0</v>
      </c>
      <c r="G189" s="8">
        <f>IFERROR(VLOOKUP(B189,PVSKTC!$A$4:$D$1048576,3,0),0)</f>
        <v>0</v>
      </c>
      <c r="H189" s="8">
        <f>IFERROR(VLOOKUP(B189,PVSKTC!$A$4:$D$1048576,4,0),0)</f>
        <v>0</v>
      </c>
      <c r="I189" s="15" t="str">
        <f>IFERROR(IF(E189&gt;0,THTT!E$2,""),"")</f>
        <v/>
      </c>
      <c r="J189" s="16" t="str">
        <f t="shared" si="17"/>
        <v/>
      </c>
      <c r="K189" s="8" t="str">
        <f t="shared" si="18"/>
        <v/>
      </c>
      <c r="L189" s="8" t="str">
        <f t="shared" si="19"/>
        <v/>
      </c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</row>
    <row r="190" spans="1:63" s="4" customFormat="1" x14ac:dyDescent="0.3">
      <c r="A190" s="19" t="str">
        <f t="shared" si="14"/>
        <v/>
      </c>
      <c r="B190" s="20"/>
      <c r="C190" s="39">
        <f t="shared" si="15"/>
        <v>45721</v>
      </c>
      <c r="D190" s="19">
        <f t="shared" si="16"/>
        <v>45722</v>
      </c>
      <c r="E190" s="42">
        <f t="shared" si="20"/>
        <v>0</v>
      </c>
      <c r="F190" s="8">
        <f>IFERROR(VLOOKUP(B190,PVSKTC!$A$4:$D$1048576,2,0),0)</f>
        <v>0</v>
      </c>
      <c r="G190" s="8">
        <f>IFERROR(VLOOKUP(B190,PVSKTC!$A$4:$D$1048576,3,0),0)</f>
        <v>0</v>
      </c>
      <c r="H190" s="8">
        <f>IFERROR(VLOOKUP(B190,PVSKTC!$A$4:$D$1048576,4,0),0)</f>
        <v>0</v>
      </c>
      <c r="I190" s="15" t="str">
        <f>IFERROR(IF(E190&gt;0,THTT!E$2,""),"")</f>
        <v/>
      </c>
      <c r="J190" s="16" t="str">
        <f t="shared" si="17"/>
        <v/>
      </c>
      <c r="K190" s="8" t="str">
        <f t="shared" si="18"/>
        <v/>
      </c>
      <c r="L190" s="8" t="str">
        <f t="shared" si="19"/>
        <v/>
      </c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</row>
    <row r="191" spans="1:63" s="4" customFormat="1" x14ac:dyDescent="0.3">
      <c r="A191" s="19" t="str">
        <f t="shared" si="14"/>
        <v/>
      </c>
      <c r="B191" s="20"/>
      <c r="C191" s="39">
        <f t="shared" si="15"/>
        <v>45721</v>
      </c>
      <c r="D191" s="19">
        <f t="shared" si="16"/>
        <v>45722</v>
      </c>
      <c r="E191" s="42">
        <f t="shared" si="20"/>
        <v>0</v>
      </c>
      <c r="F191" s="8">
        <f>IFERROR(VLOOKUP(B191,PVSKTC!$A$4:$D$1048576,2,0),0)</f>
        <v>0</v>
      </c>
      <c r="G191" s="8">
        <f>IFERROR(VLOOKUP(B191,PVSKTC!$A$4:$D$1048576,3,0),0)</f>
        <v>0</v>
      </c>
      <c r="H191" s="8">
        <f>IFERROR(VLOOKUP(B191,PVSKTC!$A$4:$D$1048576,4,0),0)</f>
        <v>0</v>
      </c>
      <c r="I191" s="15" t="str">
        <f>IFERROR(IF(E191&gt;0,THTT!E$2,""),"")</f>
        <v/>
      </c>
      <c r="J191" s="16" t="str">
        <f t="shared" si="17"/>
        <v/>
      </c>
      <c r="K191" s="8" t="str">
        <f t="shared" si="18"/>
        <v/>
      </c>
      <c r="L191" s="8" t="str">
        <f t="shared" si="19"/>
        <v/>
      </c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</row>
    <row r="192" spans="1:63" s="4" customFormat="1" x14ac:dyDescent="0.3">
      <c r="A192" s="19" t="str">
        <f t="shared" si="14"/>
        <v/>
      </c>
      <c r="B192" s="20"/>
      <c r="C192" s="39">
        <f t="shared" si="15"/>
        <v>45721</v>
      </c>
      <c r="D192" s="19">
        <f t="shared" si="16"/>
        <v>45722</v>
      </c>
      <c r="E192" s="42">
        <f t="shared" si="20"/>
        <v>0</v>
      </c>
      <c r="F192" s="8">
        <f>IFERROR(VLOOKUP(B192,PVSKTC!$A$4:$D$1048576,2,0),0)</f>
        <v>0</v>
      </c>
      <c r="G192" s="8">
        <f>IFERROR(VLOOKUP(B192,PVSKTC!$A$4:$D$1048576,3,0),0)</f>
        <v>0</v>
      </c>
      <c r="H192" s="8">
        <f>IFERROR(VLOOKUP(B192,PVSKTC!$A$4:$D$1048576,4,0),0)</f>
        <v>0</v>
      </c>
      <c r="I192" s="15" t="str">
        <f>IFERROR(IF(E192&gt;0,THTT!E$2,""),"")</f>
        <v/>
      </c>
      <c r="J192" s="16" t="str">
        <f t="shared" si="17"/>
        <v/>
      </c>
      <c r="K192" s="8" t="str">
        <f t="shared" si="18"/>
        <v/>
      </c>
      <c r="L192" s="8" t="str">
        <f t="shared" si="19"/>
        <v/>
      </c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</row>
    <row r="193" spans="1:63" s="4" customFormat="1" x14ac:dyDescent="0.3">
      <c r="A193" s="19" t="str">
        <f t="shared" si="14"/>
        <v/>
      </c>
      <c r="B193" s="20"/>
      <c r="C193" s="39">
        <f t="shared" si="15"/>
        <v>45721</v>
      </c>
      <c r="D193" s="19">
        <f t="shared" si="16"/>
        <v>45722</v>
      </c>
      <c r="E193" s="42">
        <f t="shared" si="20"/>
        <v>0</v>
      </c>
      <c r="F193" s="8">
        <f>IFERROR(VLOOKUP(B193,PVSKTC!$A$4:$D$1048576,2,0),0)</f>
        <v>0</v>
      </c>
      <c r="G193" s="8">
        <f>IFERROR(VLOOKUP(B193,PVSKTC!$A$4:$D$1048576,3,0),0)</f>
        <v>0</v>
      </c>
      <c r="H193" s="8">
        <f>IFERROR(VLOOKUP(B193,PVSKTC!$A$4:$D$1048576,4,0),0)</f>
        <v>0</v>
      </c>
      <c r="I193" s="15" t="str">
        <f>IFERROR(IF(E193&gt;0,THTT!E$2,""),"")</f>
        <v/>
      </c>
      <c r="J193" s="16" t="str">
        <f t="shared" si="17"/>
        <v/>
      </c>
      <c r="K193" s="8" t="str">
        <f t="shared" si="18"/>
        <v/>
      </c>
      <c r="L193" s="8" t="str">
        <f t="shared" si="19"/>
        <v/>
      </c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</row>
    <row r="194" spans="1:63" s="4" customFormat="1" x14ac:dyDescent="0.3">
      <c r="A194" s="19" t="str">
        <f t="shared" si="14"/>
        <v/>
      </c>
      <c r="B194" s="20"/>
      <c r="C194" s="39">
        <f t="shared" si="15"/>
        <v>45721</v>
      </c>
      <c r="D194" s="19">
        <f t="shared" si="16"/>
        <v>45722</v>
      </c>
      <c r="E194" s="42">
        <f t="shared" si="20"/>
        <v>0</v>
      </c>
      <c r="F194" s="8">
        <f>IFERROR(VLOOKUP(B194,PVSKTC!$A$4:$D$1048576,2,0),0)</f>
        <v>0</v>
      </c>
      <c r="G194" s="8">
        <f>IFERROR(VLOOKUP(B194,PVSKTC!$A$4:$D$1048576,3,0),0)</f>
        <v>0</v>
      </c>
      <c r="H194" s="8">
        <f>IFERROR(VLOOKUP(B194,PVSKTC!$A$4:$D$1048576,4,0),0)</f>
        <v>0</v>
      </c>
      <c r="I194" s="15" t="str">
        <f>IFERROR(IF(E194&gt;0,THTT!E$2,""),"")</f>
        <v/>
      </c>
      <c r="J194" s="16" t="str">
        <f t="shared" si="17"/>
        <v/>
      </c>
      <c r="K194" s="8" t="str">
        <f t="shared" si="18"/>
        <v/>
      </c>
      <c r="L194" s="8" t="str">
        <f t="shared" si="19"/>
        <v/>
      </c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</row>
    <row r="195" spans="1:63" s="4" customFormat="1" x14ac:dyDescent="0.3">
      <c r="A195" s="19" t="str">
        <f t="shared" si="14"/>
        <v/>
      </c>
      <c r="B195" s="20"/>
      <c r="C195" s="39">
        <f t="shared" si="15"/>
        <v>45721</v>
      </c>
      <c r="D195" s="19">
        <f t="shared" si="16"/>
        <v>45722</v>
      </c>
      <c r="E195" s="42">
        <f t="shared" si="20"/>
        <v>0</v>
      </c>
      <c r="F195" s="8">
        <f>IFERROR(VLOOKUP(B195,PVSKTC!$A$4:$D$1048576,2,0),0)</f>
        <v>0</v>
      </c>
      <c r="G195" s="8">
        <f>IFERROR(VLOOKUP(B195,PVSKTC!$A$4:$D$1048576,3,0),0)</f>
        <v>0</v>
      </c>
      <c r="H195" s="8">
        <f>IFERROR(VLOOKUP(B195,PVSKTC!$A$4:$D$1048576,4,0),0)</f>
        <v>0</v>
      </c>
      <c r="I195" s="15" t="str">
        <f>IFERROR(IF(E195&gt;0,THTT!E$2,""),"")</f>
        <v/>
      </c>
      <c r="J195" s="16" t="str">
        <f t="shared" si="17"/>
        <v/>
      </c>
      <c r="K195" s="8" t="str">
        <f t="shared" si="18"/>
        <v/>
      </c>
      <c r="L195" s="8" t="str">
        <f t="shared" si="19"/>
        <v/>
      </c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</row>
    <row r="196" spans="1:63" s="4" customFormat="1" x14ac:dyDescent="0.3">
      <c r="A196" s="19" t="str">
        <f t="shared" si="14"/>
        <v/>
      </c>
      <c r="B196" s="20"/>
      <c r="C196" s="39">
        <f t="shared" si="15"/>
        <v>45721</v>
      </c>
      <c r="D196" s="19">
        <f t="shared" si="16"/>
        <v>45722</v>
      </c>
      <c r="E196" s="42">
        <f t="shared" si="20"/>
        <v>0</v>
      </c>
      <c r="F196" s="8">
        <f>IFERROR(VLOOKUP(B196,PVSKTC!$A$4:$D$1048576,2,0),0)</f>
        <v>0</v>
      </c>
      <c r="G196" s="8">
        <f>IFERROR(VLOOKUP(B196,PVSKTC!$A$4:$D$1048576,3,0),0)</f>
        <v>0</v>
      </c>
      <c r="H196" s="8">
        <f>IFERROR(VLOOKUP(B196,PVSKTC!$A$4:$D$1048576,4,0),0)</f>
        <v>0</v>
      </c>
      <c r="I196" s="15" t="str">
        <f>IFERROR(IF(E196&gt;0,THTT!E$2,""),"")</f>
        <v/>
      </c>
      <c r="J196" s="16" t="str">
        <f t="shared" si="17"/>
        <v/>
      </c>
      <c r="K196" s="8" t="str">
        <f t="shared" si="18"/>
        <v/>
      </c>
      <c r="L196" s="8" t="str">
        <f t="shared" si="19"/>
        <v/>
      </c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</row>
    <row r="197" spans="1:63" s="4" customFormat="1" x14ac:dyDescent="0.3">
      <c r="A197" s="19" t="str">
        <f t="shared" si="14"/>
        <v/>
      </c>
      <c r="B197" s="20"/>
      <c r="C197" s="39">
        <f t="shared" si="15"/>
        <v>45721</v>
      </c>
      <c r="D197" s="19">
        <f t="shared" si="16"/>
        <v>45722</v>
      </c>
      <c r="E197" s="42">
        <f t="shared" si="20"/>
        <v>0</v>
      </c>
      <c r="F197" s="8">
        <f>IFERROR(VLOOKUP(B197,PVSKTC!$A$4:$D$1048576,2,0),0)</f>
        <v>0</v>
      </c>
      <c r="G197" s="8">
        <f>IFERROR(VLOOKUP(B197,PVSKTC!$A$4:$D$1048576,3,0),0)</f>
        <v>0</v>
      </c>
      <c r="H197" s="8">
        <f>IFERROR(VLOOKUP(B197,PVSKTC!$A$4:$D$1048576,4,0),0)</f>
        <v>0</v>
      </c>
      <c r="I197" s="15" t="str">
        <f>IFERROR(IF(E197&gt;0,THTT!E$2,""),"")</f>
        <v/>
      </c>
      <c r="J197" s="16" t="str">
        <f t="shared" si="17"/>
        <v/>
      </c>
      <c r="K197" s="8" t="str">
        <f t="shared" si="18"/>
        <v/>
      </c>
      <c r="L197" s="8" t="str">
        <f t="shared" si="19"/>
        <v/>
      </c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</row>
    <row r="198" spans="1:63" s="4" customFormat="1" x14ac:dyDescent="0.3">
      <c r="A198" s="19" t="str">
        <f t="shared" si="14"/>
        <v/>
      </c>
      <c r="B198" s="20"/>
      <c r="C198" s="39">
        <f t="shared" si="15"/>
        <v>45721</v>
      </c>
      <c r="D198" s="19">
        <f t="shared" si="16"/>
        <v>45722</v>
      </c>
      <c r="E198" s="42">
        <f t="shared" si="20"/>
        <v>0</v>
      </c>
      <c r="F198" s="8">
        <f>IFERROR(VLOOKUP(B198,PVSKTC!$A$4:$D$1048576,2,0),0)</f>
        <v>0</v>
      </c>
      <c r="G198" s="8">
        <f>IFERROR(VLOOKUP(B198,PVSKTC!$A$4:$D$1048576,3,0),0)</f>
        <v>0</v>
      </c>
      <c r="H198" s="8">
        <f>IFERROR(VLOOKUP(B198,PVSKTC!$A$4:$D$1048576,4,0),0)</f>
        <v>0</v>
      </c>
      <c r="I198" s="15" t="str">
        <f>IFERROR(IF(E198&gt;0,THTT!E$2,""),"")</f>
        <v/>
      </c>
      <c r="J198" s="16" t="str">
        <f t="shared" si="17"/>
        <v/>
      </c>
      <c r="K198" s="8" t="str">
        <f t="shared" si="18"/>
        <v/>
      </c>
      <c r="L198" s="8" t="str">
        <f t="shared" si="19"/>
        <v/>
      </c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</row>
    <row r="199" spans="1:63" s="4" customFormat="1" x14ac:dyDescent="0.3">
      <c r="A199" s="19" t="str">
        <f t="shared" si="14"/>
        <v/>
      </c>
      <c r="B199" s="20"/>
      <c r="C199" s="39">
        <f t="shared" si="15"/>
        <v>45721</v>
      </c>
      <c r="D199" s="19">
        <f t="shared" si="16"/>
        <v>45722</v>
      </c>
      <c r="E199" s="42">
        <f t="shared" si="20"/>
        <v>0</v>
      </c>
      <c r="F199" s="8">
        <f>IFERROR(VLOOKUP(B199,PVSKTC!$A$4:$D$1048576,2,0),0)</f>
        <v>0</v>
      </c>
      <c r="G199" s="8">
        <f>IFERROR(VLOOKUP(B199,PVSKTC!$A$4:$D$1048576,3,0),0)</f>
        <v>0</v>
      </c>
      <c r="H199" s="8">
        <f>IFERROR(VLOOKUP(B199,PVSKTC!$A$4:$D$1048576,4,0),0)</f>
        <v>0</v>
      </c>
      <c r="I199" s="15" t="str">
        <f>IFERROR(IF(E199&gt;0,THTT!E$2,""),"")</f>
        <v/>
      </c>
      <c r="J199" s="16" t="str">
        <f t="shared" si="17"/>
        <v/>
      </c>
      <c r="K199" s="8" t="str">
        <f t="shared" si="18"/>
        <v/>
      </c>
      <c r="L199" s="8" t="str">
        <f t="shared" si="19"/>
        <v/>
      </c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</row>
    <row r="200" spans="1:63" s="4" customFormat="1" x14ac:dyDescent="0.3">
      <c r="A200" s="19" t="str">
        <f t="shared" si="14"/>
        <v/>
      </c>
      <c r="B200" s="20"/>
      <c r="C200" s="39">
        <f t="shared" si="15"/>
        <v>45721</v>
      </c>
      <c r="D200" s="19">
        <f t="shared" si="16"/>
        <v>45722</v>
      </c>
      <c r="E200" s="42">
        <f t="shared" si="20"/>
        <v>0</v>
      </c>
      <c r="F200" s="8">
        <f>IFERROR(VLOOKUP(B200,PVSKTC!$A$4:$D$1048576,2,0),0)</f>
        <v>0</v>
      </c>
      <c r="G200" s="8">
        <f>IFERROR(VLOOKUP(B200,PVSKTC!$A$4:$D$1048576,3,0),0)</f>
        <v>0</v>
      </c>
      <c r="H200" s="8">
        <f>IFERROR(VLOOKUP(B200,PVSKTC!$A$4:$D$1048576,4,0),0)</f>
        <v>0</v>
      </c>
      <c r="I200" s="15" t="str">
        <f>IFERROR(IF(E200&gt;0,THTT!E$2,""),"")</f>
        <v/>
      </c>
      <c r="J200" s="16" t="str">
        <f t="shared" si="17"/>
        <v/>
      </c>
      <c r="K200" s="8" t="str">
        <f t="shared" si="18"/>
        <v/>
      </c>
      <c r="L200" s="8" t="str">
        <f t="shared" si="19"/>
        <v/>
      </c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</row>
    <row r="201" spans="1:63" s="4" customFormat="1" x14ac:dyDescent="0.3">
      <c r="A201" s="19" t="str">
        <f t="shared" si="14"/>
        <v/>
      </c>
      <c r="B201" s="20"/>
      <c r="C201" s="39">
        <f t="shared" si="15"/>
        <v>45721</v>
      </c>
      <c r="D201" s="19">
        <f t="shared" si="16"/>
        <v>45722</v>
      </c>
      <c r="E201" s="42">
        <f t="shared" si="20"/>
        <v>0</v>
      </c>
      <c r="F201" s="8">
        <f>IFERROR(VLOOKUP(B201,PVSKTC!$A$4:$D$1048576,2,0),0)</f>
        <v>0</v>
      </c>
      <c r="G201" s="8">
        <f>IFERROR(VLOOKUP(B201,PVSKTC!$A$4:$D$1048576,3,0),0)</f>
        <v>0</v>
      </c>
      <c r="H201" s="8">
        <f>IFERROR(VLOOKUP(B201,PVSKTC!$A$4:$D$1048576,4,0),0)</f>
        <v>0</v>
      </c>
      <c r="I201" s="15" t="str">
        <f>IFERROR(IF(E201&gt;0,THTT!E$2,""),"")</f>
        <v/>
      </c>
      <c r="J201" s="16" t="str">
        <f t="shared" si="17"/>
        <v/>
      </c>
      <c r="K201" s="8" t="str">
        <f t="shared" si="18"/>
        <v/>
      </c>
      <c r="L201" s="8" t="str">
        <f t="shared" si="19"/>
        <v/>
      </c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</row>
    <row r="202" spans="1:63" s="4" customFormat="1" x14ac:dyDescent="0.3">
      <c r="A202" s="19" t="str">
        <f t="shared" si="14"/>
        <v/>
      </c>
      <c r="B202" s="20"/>
      <c r="C202" s="39">
        <f t="shared" si="15"/>
        <v>45721</v>
      </c>
      <c r="D202" s="19">
        <f t="shared" si="16"/>
        <v>45722</v>
      </c>
      <c r="E202" s="42">
        <f t="shared" si="20"/>
        <v>0</v>
      </c>
      <c r="F202" s="8">
        <f>IFERROR(VLOOKUP(B202,PVSKTC!$A$4:$D$1048576,2,0),0)</f>
        <v>0</v>
      </c>
      <c r="G202" s="8">
        <f>IFERROR(VLOOKUP(B202,PVSKTC!$A$4:$D$1048576,3,0),0)</f>
        <v>0</v>
      </c>
      <c r="H202" s="8">
        <f>IFERROR(VLOOKUP(B202,PVSKTC!$A$4:$D$1048576,4,0),0)</f>
        <v>0</v>
      </c>
      <c r="I202" s="15" t="str">
        <f>IFERROR(IF(E202&gt;0,THTT!E$2,""),"")</f>
        <v/>
      </c>
      <c r="J202" s="16" t="str">
        <f t="shared" si="17"/>
        <v/>
      </c>
      <c r="K202" s="8" t="str">
        <f t="shared" si="18"/>
        <v/>
      </c>
      <c r="L202" s="8" t="str">
        <f t="shared" si="19"/>
        <v/>
      </c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</row>
    <row r="203" spans="1:63" s="4" customFormat="1" x14ac:dyDescent="0.3">
      <c r="A203" s="19" t="str">
        <f t="shared" si="14"/>
        <v/>
      </c>
      <c r="B203" s="20"/>
      <c r="C203" s="39">
        <f t="shared" si="15"/>
        <v>45721</v>
      </c>
      <c r="D203" s="19">
        <f t="shared" si="16"/>
        <v>45722</v>
      </c>
      <c r="E203" s="42">
        <f t="shared" si="20"/>
        <v>0</v>
      </c>
      <c r="F203" s="8">
        <f>IFERROR(VLOOKUP(B203,PVSKTC!$A$4:$D$1048576,2,0),0)</f>
        <v>0</v>
      </c>
      <c r="G203" s="8">
        <f>IFERROR(VLOOKUP(B203,PVSKTC!$A$4:$D$1048576,3,0),0)</f>
        <v>0</v>
      </c>
      <c r="H203" s="8">
        <f>IFERROR(VLOOKUP(B203,PVSKTC!$A$4:$D$1048576,4,0),0)</f>
        <v>0</v>
      </c>
      <c r="I203" s="15" t="str">
        <f>IFERROR(IF(E203&gt;0,THTT!E$2,""),"")</f>
        <v/>
      </c>
      <c r="J203" s="16" t="str">
        <f t="shared" si="17"/>
        <v/>
      </c>
      <c r="K203" s="8" t="str">
        <f t="shared" si="18"/>
        <v/>
      </c>
      <c r="L203" s="8" t="str">
        <f t="shared" si="19"/>
        <v/>
      </c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</row>
    <row r="204" spans="1:63" s="4" customFormat="1" x14ac:dyDescent="0.3">
      <c r="A204" s="19" t="str">
        <f t="shared" si="14"/>
        <v/>
      </c>
      <c r="B204" s="20"/>
      <c r="C204" s="39">
        <f t="shared" si="15"/>
        <v>45721</v>
      </c>
      <c r="D204" s="19">
        <f t="shared" si="16"/>
        <v>45722</v>
      </c>
      <c r="E204" s="42">
        <f t="shared" si="20"/>
        <v>0</v>
      </c>
      <c r="F204" s="8">
        <f>IFERROR(VLOOKUP(B204,PVSKTC!$A$4:$D$1048576,2,0),0)</f>
        <v>0</v>
      </c>
      <c r="G204" s="8">
        <f>IFERROR(VLOOKUP(B204,PVSKTC!$A$4:$D$1048576,3,0),0)</f>
        <v>0</v>
      </c>
      <c r="H204" s="8">
        <f>IFERROR(VLOOKUP(B204,PVSKTC!$A$4:$D$1048576,4,0),0)</f>
        <v>0</v>
      </c>
      <c r="I204" s="15" t="str">
        <f>IFERROR(IF(E204&gt;0,THTT!E$2,""),"")</f>
        <v/>
      </c>
      <c r="J204" s="16" t="str">
        <f t="shared" si="17"/>
        <v/>
      </c>
      <c r="K204" s="8" t="str">
        <f t="shared" si="18"/>
        <v/>
      </c>
      <c r="L204" s="8" t="str">
        <f t="shared" si="19"/>
        <v/>
      </c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</row>
    <row r="205" spans="1:63" s="4" customFormat="1" x14ac:dyDescent="0.3">
      <c r="A205" s="19" t="str">
        <f t="shared" si="14"/>
        <v/>
      </c>
      <c r="B205" s="20"/>
      <c r="C205" s="39">
        <f t="shared" si="15"/>
        <v>45721</v>
      </c>
      <c r="D205" s="19">
        <f t="shared" si="16"/>
        <v>45722</v>
      </c>
      <c r="E205" s="42">
        <f t="shared" si="20"/>
        <v>0</v>
      </c>
      <c r="F205" s="8">
        <f>IFERROR(VLOOKUP(B205,PVSKTC!$A$4:$D$1048576,2,0),0)</f>
        <v>0</v>
      </c>
      <c r="G205" s="8">
        <f>IFERROR(VLOOKUP(B205,PVSKTC!$A$4:$D$1048576,3,0),0)</f>
        <v>0</v>
      </c>
      <c r="H205" s="8">
        <f>IFERROR(VLOOKUP(B205,PVSKTC!$A$4:$D$1048576,4,0),0)</f>
        <v>0</v>
      </c>
      <c r="I205" s="15" t="str">
        <f>IFERROR(IF(E205&gt;0,THTT!E$2,""),"")</f>
        <v/>
      </c>
      <c r="J205" s="16" t="str">
        <f t="shared" si="17"/>
        <v/>
      </c>
      <c r="K205" s="8" t="str">
        <f t="shared" si="18"/>
        <v/>
      </c>
      <c r="L205" s="8" t="str">
        <f t="shared" si="19"/>
        <v/>
      </c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</row>
    <row r="206" spans="1:63" s="4" customFormat="1" x14ac:dyDescent="0.3">
      <c r="A206" s="19" t="str">
        <f t="shared" ref="A206:A250" si="21">IF(E206&lt;=0,"",IF(B206&gt;=$B$9,"QUÁ HẠN","TRONG HẠN"))</f>
        <v/>
      </c>
      <c r="B206" s="20"/>
      <c r="C206" s="39">
        <f t="shared" ref="C206:C250" si="22">IFERROR(IF(B207="", $B$10, B207-1), $B$10)</f>
        <v>45721</v>
      </c>
      <c r="D206" s="19">
        <f t="shared" ref="D206:D250" si="23">C206-B206+1</f>
        <v>45722</v>
      </c>
      <c r="E206" s="42">
        <f t="shared" si="20"/>
        <v>0</v>
      </c>
      <c r="F206" s="8">
        <f>IFERROR(VLOOKUP(B206,PVSKTC!$A$4:$D$1048576,2,0),0)</f>
        <v>0</v>
      </c>
      <c r="G206" s="8">
        <f>IFERROR(VLOOKUP(B206,PVSKTC!$A$4:$D$1048576,3,0),0)</f>
        <v>0</v>
      </c>
      <c r="H206" s="8">
        <f>IFERROR(VLOOKUP(B206,PVSKTC!$A$4:$D$1048576,4,0),0)</f>
        <v>0</v>
      </c>
      <c r="I206" s="15" t="str">
        <f>IFERROR(IF(E206&gt;0,THTT!E$2,""),"")</f>
        <v/>
      </c>
      <c r="J206" s="16" t="str">
        <f t="shared" ref="J206:J250" si="24">IF(A206="QUÁ HẠN",I206*150%,"")</f>
        <v/>
      </c>
      <c r="K206" s="8" t="str">
        <f t="shared" ref="K206:K250" si="25">IF(E206&gt;0,E206*I206*D206/365,"")</f>
        <v/>
      </c>
      <c r="L206" s="8" t="str">
        <f t="shared" ref="L206:L250" si="26">IF(A206="QUÁ HẠN",E206*I206*D206/365,"")</f>
        <v/>
      </c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</row>
    <row r="207" spans="1:63" s="4" customFormat="1" x14ac:dyDescent="0.3">
      <c r="A207" s="19" t="str">
        <f t="shared" si="21"/>
        <v/>
      </c>
      <c r="B207" s="20"/>
      <c r="C207" s="39">
        <f t="shared" si="22"/>
        <v>45721</v>
      </c>
      <c r="D207" s="19">
        <f t="shared" si="23"/>
        <v>45722</v>
      </c>
      <c r="E207" s="42">
        <f t="shared" ref="E207:E250" si="27">E206+F207-G207</f>
        <v>0</v>
      </c>
      <c r="F207" s="8">
        <f>IFERROR(VLOOKUP(B207,PVSKTC!$A$4:$D$1048576,2,0),0)</f>
        <v>0</v>
      </c>
      <c r="G207" s="8">
        <f>IFERROR(VLOOKUP(B207,PVSKTC!$A$4:$D$1048576,3,0),0)</f>
        <v>0</v>
      </c>
      <c r="H207" s="8">
        <f>IFERROR(VLOOKUP(B207,PVSKTC!$A$4:$D$1048576,4,0),0)</f>
        <v>0</v>
      </c>
      <c r="I207" s="15" t="str">
        <f>IFERROR(IF(E207&gt;0,THTT!E$2,""),"")</f>
        <v/>
      </c>
      <c r="J207" s="16" t="str">
        <f t="shared" si="24"/>
        <v/>
      </c>
      <c r="K207" s="8" t="str">
        <f t="shared" si="25"/>
        <v/>
      </c>
      <c r="L207" s="8" t="str">
        <f t="shared" si="26"/>
        <v/>
      </c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</row>
    <row r="208" spans="1:63" s="4" customFormat="1" x14ac:dyDescent="0.3">
      <c r="A208" s="19" t="str">
        <f t="shared" si="21"/>
        <v/>
      </c>
      <c r="B208" s="20"/>
      <c r="C208" s="39">
        <f t="shared" si="22"/>
        <v>45721</v>
      </c>
      <c r="D208" s="19">
        <f t="shared" si="23"/>
        <v>45722</v>
      </c>
      <c r="E208" s="42">
        <f t="shared" si="27"/>
        <v>0</v>
      </c>
      <c r="F208" s="8">
        <f>IFERROR(VLOOKUP(B208,PVSKTC!$A$4:$D$1048576,2,0),0)</f>
        <v>0</v>
      </c>
      <c r="G208" s="8">
        <f>IFERROR(VLOOKUP(B208,PVSKTC!$A$4:$D$1048576,3,0),0)</f>
        <v>0</v>
      </c>
      <c r="H208" s="8">
        <f>IFERROR(VLOOKUP(B208,PVSKTC!$A$4:$D$1048576,4,0),0)</f>
        <v>0</v>
      </c>
      <c r="I208" s="15" t="str">
        <f>IFERROR(IF(E208&gt;0,THTT!E$2,""),"")</f>
        <v/>
      </c>
      <c r="J208" s="16" t="str">
        <f t="shared" si="24"/>
        <v/>
      </c>
      <c r="K208" s="8" t="str">
        <f t="shared" si="25"/>
        <v/>
      </c>
      <c r="L208" s="8" t="str">
        <f t="shared" si="26"/>
        <v/>
      </c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</row>
    <row r="209" spans="1:63" s="4" customFormat="1" x14ac:dyDescent="0.3">
      <c r="A209" s="19" t="str">
        <f t="shared" si="21"/>
        <v/>
      </c>
      <c r="B209" s="20"/>
      <c r="C209" s="39">
        <f t="shared" si="22"/>
        <v>45721</v>
      </c>
      <c r="D209" s="19">
        <f t="shared" si="23"/>
        <v>45722</v>
      </c>
      <c r="E209" s="42">
        <f t="shared" si="27"/>
        <v>0</v>
      </c>
      <c r="F209" s="8">
        <f>IFERROR(VLOOKUP(B209,PVSKTC!$A$4:$D$1048576,2,0),0)</f>
        <v>0</v>
      </c>
      <c r="G209" s="8">
        <f>IFERROR(VLOOKUP(B209,PVSKTC!$A$4:$D$1048576,3,0),0)</f>
        <v>0</v>
      </c>
      <c r="H209" s="8">
        <f>IFERROR(VLOOKUP(B209,PVSKTC!$A$4:$D$1048576,4,0),0)</f>
        <v>0</v>
      </c>
      <c r="I209" s="15" t="str">
        <f>IFERROR(IF(E209&gt;0,THTT!E$2,""),"")</f>
        <v/>
      </c>
      <c r="J209" s="16" t="str">
        <f t="shared" si="24"/>
        <v/>
      </c>
      <c r="K209" s="8" t="str">
        <f t="shared" si="25"/>
        <v/>
      </c>
      <c r="L209" s="8" t="str">
        <f t="shared" si="26"/>
        <v/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</row>
    <row r="210" spans="1:63" s="4" customFormat="1" x14ac:dyDescent="0.3">
      <c r="A210" s="19" t="str">
        <f t="shared" si="21"/>
        <v/>
      </c>
      <c r="B210" s="20"/>
      <c r="C210" s="39">
        <f t="shared" si="22"/>
        <v>45721</v>
      </c>
      <c r="D210" s="19">
        <f t="shared" si="23"/>
        <v>45722</v>
      </c>
      <c r="E210" s="42">
        <f t="shared" si="27"/>
        <v>0</v>
      </c>
      <c r="F210" s="8">
        <f>IFERROR(VLOOKUP(B210,PVSKTC!$A$4:$D$1048576,2,0),0)</f>
        <v>0</v>
      </c>
      <c r="G210" s="8">
        <f>IFERROR(VLOOKUP(B210,PVSKTC!$A$4:$D$1048576,3,0),0)</f>
        <v>0</v>
      </c>
      <c r="H210" s="8">
        <f>IFERROR(VLOOKUP(B210,PVSKTC!$A$4:$D$1048576,4,0),0)</f>
        <v>0</v>
      </c>
      <c r="I210" s="15" t="str">
        <f>IFERROR(IF(E210&gt;0,THTT!E$2,""),"")</f>
        <v/>
      </c>
      <c r="J210" s="16" t="str">
        <f t="shared" si="24"/>
        <v/>
      </c>
      <c r="K210" s="8" t="str">
        <f t="shared" si="25"/>
        <v/>
      </c>
      <c r="L210" s="8" t="str">
        <f t="shared" si="26"/>
        <v/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</row>
    <row r="211" spans="1:63" s="4" customFormat="1" x14ac:dyDescent="0.3">
      <c r="A211" s="19" t="str">
        <f t="shared" si="21"/>
        <v/>
      </c>
      <c r="B211" s="20"/>
      <c r="C211" s="39">
        <f t="shared" si="22"/>
        <v>45721</v>
      </c>
      <c r="D211" s="19">
        <f t="shared" si="23"/>
        <v>45722</v>
      </c>
      <c r="E211" s="42">
        <f t="shared" si="27"/>
        <v>0</v>
      </c>
      <c r="F211" s="8">
        <f>IFERROR(VLOOKUP(B211,PVSKTC!$A$4:$D$1048576,2,0),0)</f>
        <v>0</v>
      </c>
      <c r="G211" s="8">
        <f>IFERROR(VLOOKUP(B211,PVSKTC!$A$4:$D$1048576,3,0),0)</f>
        <v>0</v>
      </c>
      <c r="H211" s="8">
        <f>IFERROR(VLOOKUP(B211,PVSKTC!$A$4:$D$1048576,4,0),0)</f>
        <v>0</v>
      </c>
      <c r="I211" s="15" t="str">
        <f>IFERROR(IF(E211&gt;0,THTT!E$2,""),"")</f>
        <v/>
      </c>
      <c r="J211" s="16" t="str">
        <f t="shared" si="24"/>
        <v/>
      </c>
      <c r="K211" s="8" t="str">
        <f t="shared" si="25"/>
        <v/>
      </c>
      <c r="L211" s="8" t="str">
        <f t="shared" si="26"/>
        <v/>
      </c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</row>
    <row r="212" spans="1:63" s="4" customFormat="1" x14ac:dyDescent="0.3">
      <c r="A212" s="19" t="str">
        <f t="shared" si="21"/>
        <v/>
      </c>
      <c r="B212" s="20"/>
      <c r="C212" s="39">
        <f t="shared" si="22"/>
        <v>45721</v>
      </c>
      <c r="D212" s="19">
        <f t="shared" si="23"/>
        <v>45722</v>
      </c>
      <c r="E212" s="42">
        <f t="shared" si="27"/>
        <v>0</v>
      </c>
      <c r="F212" s="8">
        <f>IFERROR(VLOOKUP(B212,PVSKTC!$A$4:$D$1048576,2,0),0)</f>
        <v>0</v>
      </c>
      <c r="G212" s="8">
        <f>IFERROR(VLOOKUP(B212,PVSKTC!$A$4:$D$1048576,3,0),0)</f>
        <v>0</v>
      </c>
      <c r="H212" s="8">
        <f>IFERROR(VLOOKUP(B212,PVSKTC!$A$4:$D$1048576,4,0),0)</f>
        <v>0</v>
      </c>
      <c r="I212" s="15" t="str">
        <f>IFERROR(IF(E212&gt;0,THTT!E$2,""),"")</f>
        <v/>
      </c>
      <c r="J212" s="16" t="str">
        <f t="shared" si="24"/>
        <v/>
      </c>
      <c r="K212" s="8" t="str">
        <f t="shared" si="25"/>
        <v/>
      </c>
      <c r="L212" s="8" t="str">
        <f t="shared" si="26"/>
        <v/>
      </c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</row>
    <row r="213" spans="1:63" s="4" customFormat="1" x14ac:dyDescent="0.3">
      <c r="A213" s="19" t="str">
        <f t="shared" si="21"/>
        <v/>
      </c>
      <c r="B213" s="20"/>
      <c r="C213" s="39">
        <f t="shared" si="22"/>
        <v>45721</v>
      </c>
      <c r="D213" s="19">
        <f t="shared" si="23"/>
        <v>45722</v>
      </c>
      <c r="E213" s="42">
        <f t="shared" si="27"/>
        <v>0</v>
      </c>
      <c r="F213" s="8">
        <f>IFERROR(VLOOKUP(B213,PVSKTC!$A$4:$D$1048576,2,0),0)</f>
        <v>0</v>
      </c>
      <c r="G213" s="8">
        <f>IFERROR(VLOOKUP(B213,PVSKTC!$A$4:$D$1048576,3,0),0)</f>
        <v>0</v>
      </c>
      <c r="H213" s="8">
        <f>IFERROR(VLOOKUP(B213,PVSKTC!$A$4:$D$1048576,4,0),0)</f>
        <v>0</v>
      </c>
      <c r="I213" s="15" t="str">
        <f>IFERROR(IF(E213&gt;0,THTT!E$2,""),"")</f>
        <v/>
      </c>
      <c r="J213" s="16" t="str">
        <f t="shared" si="24"/>
        <v/>
      </c>
      <c r="K213" s="8" t="str">
        <f t="shared" si="25"/>
        <v/>
      </c>
      <c r="L213" s="8" t="str">
        <f t="shared" si="26"/>
        <v/>
      </c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</row>
    <row r="214" spans="1:63" s="4" customFormat="1" x14ac:dyDescent="0.3">
      <c r="A214" s="19" t="str">
        <f t="shared" si="21"/>
        <v/>
      </c>
      <c r="B214" s="20"/>
      <c r="C214" s="39">
        <f t="shared" si="22"/>
        <v>45721</v>
      </c>
      <c r="D214" s="19">
        <f t="shared" si="23"/>
        <v>45722</v>
      </c>
      <c r="E214" s="42">
        <f t="shared" si="27"/>
        <v>0</v>
      </c>
      <c r="F214" s="8">
        <f>IFERROR(VLOOKUP(B214,PVSKTC!$A$4:$D$1048576,2,0),0)</f>
        <v>0</v>
      </c>
      <c r="G214" s="8">
        <f>IFERROR(VLOOKUP(B214,PVSKTC!$A$4:$D$1048576,3,0),0)</f>
        <v>0</v>
      </c>
      <c r="H214" s="8">
        <f>IFERROR(VLOOKUP(B214,PVSKTC!$A$4:$D$1048576,4,0),0)</f>
        <v>0</v>
      </c>
      <c r="I214" s="15" t="str">
        <f>IFERROR(IF(E214&gt;0,THTT!E$2,""),"")</f>
        <v/>
      </c>
      <c r="J214" s="16" t="str">
        <f t="shared" si="24"/>
        <v/>
      </c>
      <c r="K214" s="8" t="str">
        <f t="shared" si="25"/>
        <v/>
      </c>
      <c r="L214" s="8" t="str">
        <f t="shared" si="26"/>
        <v/>
      </c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</row>
    <row r="215" spans="1:63" s="4" customFormat="1" x14ac:dyDescent="0.3">
      <c r="A215" s="19" t="str">
        <f t="shared" si="21"/>
        <v/>
      </c>
      <c r="B215" s="20"/>
      <c r="C215" s="39">
        <f t="shared" si="22"/>
        <v>45721</v>
      </c>
      <c r="D215" s="19">
        <f t="shared" si="23"/>
        <v>45722</v>
      </c>
      <c r="E215" s="42">
        <f t="shared" si="27"/>
        <v>0</v>
      </c>
      <c r="F215" s="8">
        <f>IFERROR(VLOOKUP(B215,PVSKTC!$A$4:$D$1048576,2,0),0)</f>
        <v>0</v>
      </c>
      <c r="G215" s="8">
        <f>IFERROR(VLOOKUP(B215,PVSKTC!$A$4:$D$1048576,3,0),0)</f>
        <v>0</v>
      </c>
      <c r="H215" s="8">
        <f>IFERROR(VLOOKUP(B215,PVSKTC!$A$4:$D$1048576,4,0),0)</f>
        <v>0</v>
      </c>
      <c r="I215" s="15" t="str">
        <f>IFERROR(IF(E215&gt;0,THTT!E$2,""),"")</f>
        <v/>
      </c>
      <c r="J215" s="16" t="str">
        <f t="shared" si="24"/>
        <v/>
      </c>
      <c r="K215" s="8" t="str">
        <f t="shared" si="25"/>
        <v/>
      </c>
      <c r="L215" s="8" t="str">
        <f t="shared" si="26"/>
        <v/>
      </c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</row>
    <row r="216" spans="1:63" s="4" customFormat="1" x14ac:dyDescent="0.3">
      <c r="A216" s="19" t="str">
        <f t="shared" si="21"/>
        <v/>
      </c>
      <c r="B216" s="20"/>
      <c r="C216" s="39">
        <f t="shared" si="22"/>
        <v>45721</v>
      </c>
      <c r="D216" s="19">
        <f t="shared" si="23"/>
        <v>45722</v>
      </c>
      <c r="E216" s="42">
        <f t="shared" si="27"/>
        <v>0</v>
      </c>
      <c r="F216" s="8">
        <f>IFERROR(VLOOKUP(B216,PVSKTC!$A$4:$D$1048576,2,0),0)</f>
        <v>0</v>
      </c>
      <c r="G216" s="8">
        <f>IFERROR(VLOOKUP(B216,PVSKTC!$A$4:$D$1048576,3,0),0)</f>
        <v>0</v>
      </c>
      <c r="H216" s="8">
        <f>IFERROR(VLOOKUP(B216,PVSKTC!$A$4:$D$1048576,4,0),0)</f>
        <v>0</v>
      </c>
      <c r="I216" s="15" t="str">
        <f>IFERROR(IF(E216&gt;0,THTT!E$2,""),"")</f>
        <v/>
      </c>
      <c r="J216" s="16" t="str">
        <f t="shared" si="24"/>
        <v/>
      </c>
      <c r="K216" s="8" t="str">
        <f t="shared" si="25"/>
        <v/>
      </c>
      <c r="L216" s="8" t="str">
        <f t="shared" si="26"/>
        <v/>
      </c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</row>
    <row r="217" spans="1:63" s="4" customFormat="1" x14ac:dyDescent="0.3">
      <c r="A217" s="19" t="str">
        <f t="shared" si="21"/>
        <v/>
      </c>
      <c r="B217" s="20"/>
      <c r="C217" s="39">
        <f t="shared" si="22"/>
        <v>45721</v>
      </c>
      <c r="D217" s="19">
        <f t="shared" si="23"/>
        <v>45722</v>
      </c>
      <c r="E217" s="42">
        <f t="shared" si="27"/>
        <v>0</v>
      </c>
      <c r="F217" s="8">
        <f>IFERROR(VLOOKUP(B217,PVSKTC!$A$4:$D$1048576,2,0),0)</f>
        <v>0</v>
      </c>
      <c r="G217" s="8">
        <f>IFERROR(VLOOKUP(B217,PVSKTC!$A$4:$D$1048576,3,0),0)</f>
        <v>0</v>
      </c>
      <c r="H217" s="8">
        <f>IFERROR(VLOOKUP(B217,PVSKTC!$A$4:$D$1048576,4,0),0)</f>
        <v>0</v>
      </c>
      <c r="I217" s="15" t="str">
        <f>IFERROR(IF(E217&gt;0,THTT!E$2,""),"")</f>
        <v/>
      </c>
      <c r="J217" s="16" t="str">
        <f t="shared" si="24"/>
        <v/>
      </c>
      <c r="K217" s="8" t="str">
        <f t="shared" si="25"/>
        <v/>
      </c>
      <c r="L217" s="8" t="str">
        <f t="shared" si="26"/>
        <v/>
      </c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</row>
    <row r="218" spans="1:63" s="4" customFormat="1" x14ac:dyDescent="0.3">
      <c r="A218" s="19" t="str">
        <f t="shared" si="21"/>
        <v/>
      </c>
      <c r="B218" s="20"/>
      <c r="C218" s="39">
        <f t="shared" si="22"/>
        <v>45721</v>
      </c>
      <c r="D218" s="19">
        <f t="shared" si="23"/>
        <v>45722</v>
      </c>
      <c r="E218" s="42">
        <f t="shared" si="27"/>
        <v>0</v>
      </c>
      <c r="F218" s="8">
        <f>IFERROR(VLOOKUP(B218,PVSKTC!$A$4:$D$1048576,2,0),0)</f>
        <v>0</v>
      </c>
      <c r="G218" s="8">
        <f>IFERROR(VLOOKUP(B218,PVSKTC!$A$4:$D$1048576,3,0),0)</f>
        <v>0</v>
      </c>
      <c r="H218" s="8">
        <f>IFERROR(VLOOKUP(B218,PVSKTC!$A$4:$D$1048576,4,0),0)</f>
        <v>0</v>
      </c>
      <c r="I218" s="15" t="str">
        <f>IFERROR(IF(E218&gt;0,THTT!E$2,""),"")</f>
        <v/>
      </c>
      <c r="J218" s="16" t="str">
        <f t="shared" si="24"/>
        <v/>
      </c>
      <c r="K218" s="8" t="str">
        <f t="shared" si="25"/>
        <v/>
      </c>
      <c r="L218" s="8" t="str">
        <f t="shared" si="26"/>
        <v/>
      </c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</row>
    <row r="219" spans="1:63" s="4" customFormat="1" x14ac:dyDescent="0.3">
      <c r="A219" s="19" t="str">
        <f t="shared" si="21"/>
        <v/>
      </c>
      <c r="B219" s="20"/>
      <c r="C219" s="39">
        <f t="shared" si="22"/>
        <v>45721</v>
      </c>
      <c r="D219" s="19">
        <f t="shared" si="23"/>
        <v>45722</v>
      </c>
      <c r="E219" s="42">
        <f t="shared" si="27"/>
        <v>0</v>
      </c>
      <c r="F219" s="8">
        <f>IFERROR(VLOOKUP(B219,PVSKTC!$A$4:$D$1048576,2,0),0)</f>
        <v>0</v>
      </c>
      <c r="G219" s="8">
        <f>IFERROR(VLOOKUP(B219,PVSKTC!$A$4:$D$1048576,3,0),0)</f>
        <v>0</v>
      </c>
      <c r="H219" s="8">
        <f>IFERROR(VLOOKUP(B219,PVSKTC!$A$4:$D$1048576,4,0),0)</f>
        <v>0</v>
      </c>
      <c r="I219" s="15" t="str">
        <f>IFERROR(IF(E219&gt;0,THTT!E$2,""),"")</f>
        <v/>
      </c>
      <c r="J219" s="16" t="str">
        <f t="shared" si="24"/>
        <v/>
      </c>
      <c r="K219" s="8" t="str">
        <f t="shared" si="25"/>
        <v/>
      </c>
      <c r="L219" s="8" t="str">
        <f t="shared" si="26"/>
        <v/>
      </c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</row>
    <row r="220" spans="1:63" s="4" customFormat="1" x14ac:dyDescent="0.3">
      <c r="A220" s="19" t="str">
        <f t="shared" si="21"/>
        <v/>
      </c>
      <c r="B220" s="20"/>
      <c r="C220" s="39">
        <f t="shared" si="22"/>
        <v>45721</v>
      </c>
      <c r="D220" s="19">
        <f t="shared" si="23"/>
        <v>45722</v>
      </c>
      <c r="E220" s="42">
        <f t="shared" si="27"/>
        <v>0</v>
      </c>
      <c r="F220" s="8">
        <f>IFERROR(VLOOKUP(B220,PVSKTC!$A$4:$D$1048576,2,0),0)</f>
        <v>0</v>
      </c>
      <c r="G220" s="8">
        <f>IFERROR(VLOOKUP(B220,PVSKTC!$A$4:$D$1048576,3,0),0)</f>
        <v>0</v>
      </c>
      <c r="H220" s="8">
        <f>IFERROR(VLOOKUP(B220,PVSKTC!$A$4:$D$1048576,4,0),0)</f>
        <v>0</v>
      </c>
      <c r="I220" s="15" t="str">
        <f>IFERROR(IF(E220&gt;0,THTT!E$2,""),"")</f>
        <v/>
      </c>
      <c r="J220" s="16" t="str">
        <f t="shared" si="24"/>
        <v/>
      </c>
      <c r="K220" s="8" t="str">
        <f t="shared" si="25"/>
        <v/>
      </c>
      <c r="L220" s="8" t="str">
        <f t="shared" si="26"/>
        <v/>
      </c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</row>
    <row r="221" spans="1:63" s="4" customFormat="1" x14ac:dyDescent="0.3">
      <c r="A221" s="19" t="str">
        <f t="shared" si="21"/>
        <v/>
      </c>
      <c r="B221" s="20"/>
      <c r="C221" s="39">
        <f t="shared" si="22"/>
        <v>45721</v>
      </c>
      <c r="D221" s="19">
        <f t="shared" si="23"/>
        <v>45722</v>
      </c>
      <c r="E221" s="42">
        <f t="shared" si="27"/>
        <v>0</v>
      </c>
      <c r="F221" s="8">
        <f>IFERROR(VLOOKUP(B221,PVSKTC!$A$4:$D$1048576,2,0),0)</f>
        <v>0</v>
      </c>
      <c r="G221" s="8">
        <f>IFERROR(VLOOKUP(B221,PVSKTC!$A$4:$D$1048576,3,0),0)</f>
        <v>0</v>
      </c>
      <c r="H221" s="8">
        <f>IFERROR(VLOOKUP(B221,PVSKTC!$A$4:$D$1048576,4,0),0)</f>
        <v>0</v>
      </c>
      <c r="I221" s="15" t="str">
        <f>IFERROR(IF(E221&gt;0,THTT!E$2,""),"")</f>
        <v/>
      </c>
      <c r="J221" s="16" t="str">
        <f t="shared" si="24"/>
        <v/>
      </c>
      <c r="K221" s="8" t="str">
        <f t="shared" si="25"/>
        <v/>
      </c>
      <c r="L221" s="8" t="str">
        <f t="shared" si="26"/>
        <v/>
      </c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</row>
    <row r="222" spans="1:63" s="4" customFormat="1" x14ac:dyDescent="0.3">
      <c r="A222" s="19" t="str">
        <f t="shared" si="21"/>
        <v/>
      </c>
      <c r="B222" s="20"/>
      <c r="C222" s="39">
        <f t="shared" si="22"/>
        <v>45721</v>
      </c>
      <c r="D222" s="19">
        <f t="shared" si="23"/>
        <v>45722</v>
      </c>
      <c r="E222" s="42">
        <f t="shared" si="27"/>
        <v>0</v>
      </c>
      <c r="F222" s="8">
        <f>IFERROR(VLOOKUP(B222,PVSKTC!$A$4:$D$1048576,2,0),0)</f>
        <v>0</v>
      </c>
      <c r="G222" s="8">
        <f>IFERROR(VLOOKUP(B222,PVSKTC!$A$4:$D$1048576,3,0),0)</f>
        <v>0</v>
      </c>
      <c r="H222" s="8">
        <f>IFERROR(VLOOKUP(B222,PVSKTC!$A$4:$D$1048576,4,0),0)</f>
        <v>0</v>
      </c>
      <c r="I222" s="15" t="str">
        <f>IFERROR(IF(E222&gt;0,THTT!E$2,""),"")</f>
        <v/>
      </c>
      <c r="J222" s="16" t="str">
        <f t="shared" si="24"/>
        <v/>
      </c>
      <c r="K222" s="8" t="str">
        <f t="shared" si="25"/>
        <v/>
      </c>
      <c r="L222" s="8" t="str">
        <f t="shared" si="26"/>
        <v/>
      </c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</row>
    <row r="223" spans="1:63" s="4" customFormat="1" x14ac:dyDescent="0.3">
      <c r="A223" s="19" t="str">
        <f t="shared" si="21"/>
        <v/>
      </c>
      <c r="B223" s="20"/>
      <c r="C223" s="39">
        <f t="shared" si="22"/>
        <v>45721</v>
      </c>
      <c r="D223" s="19">
        <f t="shared" si="23"/>
        <v>45722</v>
      </c>
      <c r="E223" s="42">
        <f t="shared" si="27"/>
        <v>0</v>
      </c>
      <c r="F223" s="8">
        <f>IFERROR(VLOOKUP(B223,PVSKTC!$A$4:$D$1048576,2,0),0)</f>
        <v>0</v>
      </c>
      <c r="G223" s="8">
        <f>IFERROR(VLOOKUP(B223,PVSKTC!$A$4:$D$1048576,3,0),0)</f>
        <v>0</v>
      </c>
      <c r="H223" s="8">
        <f>IFERROR(VLOOKUP(B223,PVSKTC!$A$4:$D$1048576,4,0),0)</f>
        <v>0</v>
      </c>
      <c r="I223" s="15" t="str">
        <f>IFERROR(IF(E223&gt;0,THTT!E$2,""),"")</f>
        <v/>
      </c>
      <c r="J223" s="16" t="str">
        <f t="shared" si="24"/>
        <v/>
      </c>
      <c r="K223" s="8" t="str">
        <f t="shared" si="25"/>
        <v/>
      </c>
      <c r="L223" s="8" t="str">
        <f t="shared" si="26"/>
        <v/>
      </c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</row>
    <row r="224" spans="1:63" s="4" customFormat="1" x14ac:dyDescent="0.3">
      <c r="A224" s="19" t="str">
        <f t="shared" si="21"/>
        <v/>
      </c>
      <c r="B224" s="20"/>
      <c r="C224" s="39">
        <f t="shared" si="22"/>
        <v>45721</v>
      </c>
      <c r="D224" s="19">
        <f t="shared" si="23"/>
        <v>45722</v>
      </c>
      <c r="E224" s="42">
        <f t="shared" si="27"/>
        <v>0</v>
      </c>
      <c r="F224" s="8">
        <f>IFERROR(VLOOKUP(B224,PVSKTC!$A$4:$D$1048576,2,0),0)</f>
        <v>0</v>
      </c>
      <c r="G224" s="8">
        <f>IFERROR(VLOOKUP(B224,PVSKTC!$A$4:$D$1048576,3,0),0)</f>
        <v>0</v>
      </c>
      <c r="H224" s="8">
        <f>IFERROR(VLOOKUP(B224,PVSKTC!$A$4:$D$1048576,4,0),0)</f>
        <v>0</v>
      </c>
      <c r="I224" s="15" t="str">
        <f>IFERROR(IF(E224&gt;0,THTT!E$2,""),"")</f>
        <v/>
      </c>
      <c r="J224" s="16" t="str">
        <f t="shared" si="24"/>
        <v/>
      </c>
      <c r="K224" s="8" t="str">
        <f t="shared" si="25"/>
        <v/>
      </c>
      <c r="L224" s="8" t="str">
        <f t="shared" si="26"/>
        <v/>
      </c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</row>
    <row r="225" spans="1:63" s="4" customFormat="1" x14ac:dyDescent="0.3">
      <c r="A225" s="19" t="str">
        <f t="shared" si="21"/>
        <v/>
      </c>
      <c r="B225" s="20"/>
      <c r="C225" s="39">
        <f t="shared" si="22"/>
        <v>45721</v>
      </c>
      <c r="D225" s="19">
        <f t="shared" si="23"/>
        <v>45722</v>
      </c>
      <c r="E225" s="42">
        <f t="shared" si="27"/>
        <v>0</v>
      </c>
      <c r="F225" s="8">
        <f>IFERROR(VLOOKUP(B225,PVSKTC!$A$4:$D$1048576,2,0),0)</f>
        <v>0</v>
      </c>
      <c r="G225" s="8">
        <f>IFERROR(VLOOKUP(B225,PVSKTC!$A$4:$D$1048576,3,0),0)</f>
        <v>0</v>
      </c>
      <c r="H225" s="8">
        <f>IFERROR(VLOOKUP(B225,PVSKTC!$A$4:$D$1048576,4,0),0)</f>
        <v>0</v>
      </c>
      <c r="I225" s="15" t="str">
        <f>IFERROR(IF(E225&gt;0,THTT!E$2,""),"")</f>
        <v/>
      </c>
      <c r="J225" s="16" t="str">
        <f t="shared" si="24"/>
        <v/>
      </c>
      <c r="K225" s="8" t="str">
        <f t="shared" si="25"/>
        <v/>
      </c>
      <c r="L225" s="8" t="str">
        <f t="shared" si="26"/>
        <v/>
      </c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</row>
    <row r="226" spans="1:63" s="4" customFormat="1" x14ac:dyDescent="0.3">
      <c r="A226" s="19" t="str">
        <f t="shared" si="21"/>
        <v/>
      </c>
      <c r="B226" s="20"/>
      <c r="C226" s="39">
        <f t="shared" si="22"/>
        <v>45721</v>
      </c>
      <c r="D226" s="19">
        <f t="shared" si="23"/>
        <v>45722</v>
      </c>
      <c r="E226" s="42">
        <f t="shared" si="27"/>
        <v>0</v>
      </c>
      <c r="F226" s="8">
        <f>IFERROR(VLOOKUP(B226,PVSKTC!$A$4:$D$1048576,2,0),0)</f>
        <v>0</v>
      </c>
      <c r="G226" s="8">
        <f>IFERROR(VLOOKUP(B226,PVSKTC!$A$4:$D$1048576,3,0),0)</f>
        <v>0</v>
      </c>
      <c r="H226" s="8">
        <f>IFERROR(VLOOKUP(B226,PVSKTC!$A$4:$D$1048576,4,0),0)</f>
        <v>0</v>
      </c>
      <c r="I226" s="15" t="str">
        <f>IFERROR(IF(E226&gt;0,THTT!E$2,""),"")</f>
        <v/>
      </c>
      <c r="J226" s="16" t="str">
        <f t="shared" si="24"/>
        <v/>
      </c>
      <c r="K226" s="8" t="str">
        <f t="shared" si="25"/>
        <v/>
      </c>
      <c r="L226" s="8" t="str">
        <f t="shared" si="26"/>
        <v/>
      </c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</row>
    <row r="227" spans="1:63" s="4" customFormat="1" x14ac:dyDescent="0.3">
      <c r="A227" s="19" t="str">
        <f t="shared" si="21"/>
        <v/>
      </c>
      <c r="B227" s="20"/>
      <c r="C227" s="39">
        <f t="shared" si="22"/>
        <v>45721</v>
      </c>
      <c r="D227" s="19">
        <f t="shared" si="23"/>
        <v>45722</v>
      </c>
      <c r="E227" s="42">
        <f t="shared" si="27"/>
        <v>0</v>
      </c>
      <c r="F227" s="8">
        <f>IFERROR(VLOOKUP(B227,PVSKTC!$A$4:$D$1048576,2,0),0)</f>
        <v>0</v>
      </c>
      <c r="G227" s="8">
        <f>IFERROR(VLOOKUP(B227,PVSKTC!$A$4:$D$1048576,3,0),0)</f>
        <v>0</v>
      </c>
      <c r="H227" s="8">
        <f>IFERROR(VLOOKUP(B227,PVSKTC!$A$4:$D$1048576,4,0),0)</f>
        <v>0</v>
      </c>
      <c r="I227" s="15" t="str">
        <f>IFERROR(IF(E227&gt;0,THTT!E$2,""),"")</f>
        <v/>
      </c>
      <c r="J227" s="16" t="str">
        <f t="shared" si="24"/>
        <v/>
      </c>
      <c r="K227" s="8" t="str">
        <f t="shared" si="25"/>
        <v/>
      </c>
      <c r="L227" s="8" t="str">
        <f t="shared" si="26"/>
        <v/>
      </c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</row>
    <row r="228" spans="1:63" s="4" customFormat="1" x14ac:dyDescent="0.3">
      <c r="A228" s="19" t="str">
        <f t="shared" si="21"/>
        <v/>
      </c>
      <c r="B228" s="20"/>
      <c r="C228" s="39">
        <f t="shared" si="22"/>
        <v>45721</v>
      </c>
      <c r="D228" s="19">
        <f t="shared" si="23"/>
        <v>45722</v>
      </c>
      <c r="E228" s="42">
        <f t="shared" si="27"/>
        <v>0</v>
      </c>
      <c r="F228" s="8">
        <f>IFERROR(VLOOKUP(B228,PVSKTC!$A$4:$D$1048576,2,0),0)</f>
        <v>0</v>
      </c>
      <c r="G228" s="8">
        <f>IFERROR(VLOOKUP(B228,PVSKTC!$A$4:$D$1048576,3,0),0)</f>
        <v>0</v>
      </c>
      <c r="H228" s="8">
        <f>IFERROR(VLOOKUP(B228,PVSKTC!$A$4:$D$1048576,4,0),0)</f>
        <v>0</v>
      </c>
      <c r="I228" s="15" t="str">
        <f>IFERROR(IF(E228&gt;0,THTT!E$2,""),"")</f>
        <v/>
      </c>
      <c r="J228" s="16" t="str">
        <f t="shared" si="24"/>
        <v/>
      </c>
      <c r="K228" s="8" t="str">
        <f t="shared" si="25"/>
        <v/>
      </c>
      <c r="L228" s="8" t="str">
        <f t="shared" si="26"/>
        <v/>
      </c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</row>
    <row r="229" spans="1:63" s="4" customFormat="1" x14ac:dyDescent="0.3">
      <c r="A229" s="19" t="str">
        <f t="shared" si="21"/>
        <v/>
      </c>
      <c r="B229" s="20"/>
      <c r="C229" s="39">
        <f t="shared" si="22"/>
        <v>45721</v>
      </c>
      <c r="D229" s="19">
        <f t="shared" si="23"/>
        <v>45722</v>
      </c>
      <c r="E229" s="42">
        <f t="shared" si="27"/>
        <v>0</v>
      </c>
      <c r="F229" s="8">
        <f>IFERROR(VLOOKUP(B229,PVSKTC!$A$4:$D$1048576,2,0),0)</f>
        <v>0</v>
      </c>
      <c r="G229" s="8">
        <f>IFERROR(VLOOKUP(B229,PVSKTC!$A$4:$D$1048576,3,0),0)</f>
        <v>0</v>
      </c>
      <c r="H229" s="8">
        <f>IFERROR(VLOOKUP(B229,PVSKTC!$A$4:$D$1048576,4,0),0)</f>
        <v>0</v>
      </c>
      <c r="I229" s="15" t="str">
        <f>IFERROR(IF(E229&gt;0,THTT!E$2,""),"")</f>
        <v/>
      </c>
      <c r="J229" s="16" t="str">
        <f t="shared" si="24"/>
        <v/>
      </c>
      <c r="K229" s="8" t="str">
        <f t="shared" si="25"/>
        <v/>
      </c>
      <c r="L229" s="8" t="str">
        <f t="shared" si="26"/>
        <v/>
      </c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</row>
    <row r="230" spans="1:63" s="4" customFormat="1" x14ac:dyDescent="0.3">
      <c r="A230" s="19" t="str">
        <f t="shared" si="21"/>
        <v/>
      </c>
      <c r="B230" s="20"/>
      <c r="C230" s="39">
        <f t="shared" si="22"/>
        <v>45721</v>
      </c>
      <c r="D230" s="19">
        <f t="shared" si="23"/>
        <v>45722</v>
      </c>
      <c r="E230" s="42">
        <f t="shared" si="27"/>
        <v>0</v>
      </c>
      <c r="F230" s="8">
        <f>IFERROR(VLOOKUP(B230,PVSKTC!$A$4:$D$1048576,2,0),0)</f>
        <v>0</v>
      </c>
      <c r="G230" s="8">
        <f>IFERROR(VLOOKUP(B230,PVSKTC!$A$4:$D$1048576,3,0),0)</f>
        <v>0</v>
      </c>
      <c r="H230" s="8">
        <f>IFERROR(VLOOKUP(B230,PVSKTC!$A$4:$D$1048576,4,0),0)</f>
        <v>0</v>
      </c>
      <c r="I230" s="15" t="str">
        <f>IFERROR(IF(E230&gt;0,THTT!E$2,""),"")</f>
        <v/>
      </c>
      <c r="J230" s="16" t="str">
        <f t="shared" si="24"/>
        <v/>
      </c>
      <c r="K230" s="8" t="str">
        <f t="shared" si="25"/>
        <v/>
      </c>
      <c r="L230" s="8" t="str">
        <f t="shared" si="26"/>
        <v/>
      </c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</row>
    <row r="231" spans="1:63" s="4" customFormat="1" x14ac:dyDescent="0.3">
      <c r="A231" s="19" t="str">
        <f t="shared" si="21"/>
        <v/>
      </c>
      <c r="B231" s="20"/>
      <c r="C231" s="39">
        <f t="shared" si="22"/>
        <v>45721</v>
      </c>
      <c r="D231" s="19">
        <f t="shared" si="23"/>
        <v>45722</v>
      </c>
      <c r="E231" s="42">
        <f t="shared" si="27"/>
        <v>0</v>
      </c>
      <c r="F231" s="8">
        <f>IFERROR(VLOOKUP(B231,PVSKTC!$A$4:$D$1048576,2,0),0)</f>
        <v>0</v>
      </c>
      <c r="G231" s="8">
        <f>IFERROR(VLOOKUP(B231,PVSKTC!$A$4:$D$1048576,3,0),0)</f>
        <v>0</v>
      </c>
      <c r="H231" s="8">
        <f>IFERROR(VLOOKUP(B231,PVSKTC!$A$4:$D$1048576,4,0),0)</f>
        <v>0</v>
      </c>
      <c r="I231" s="15" t="str">
        <f>IFERROR(IF(E231&gt;0,THTT!E$2,""),"")</f>
        <v/>
      </c>
      <c r="J231" s="16" t="str">
        <f t="shared" si="24"/>
        <v/>
      </c>
      <c r="K231" s="8" t="str">
        <f t="shared" si="25"/>
        <v/>
      </c>
      <c r="L231" s="8" t="str">
        <f t="shared" si="26"/>
        <v/>
      </c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</row>
    <row r="232" spans="1:63" s="4" customFormat="1" x14ac:dyDescent="0.3">
      <c r="A232" s="19" t="str">
        <f t="shared" si="21"/>
        <v/>
      </c>
      <c r="B232" s="20"/>
      <c r="C232" s="39">
        <f t="shared" si="22"/>
        <v>45721</v>
      </c>
      <c r="D232" s="19">
        <f t="shared" si="23"/>
        <v>45722</v>
      </c>
      <c r="E232" s="42">
        <f t="shared" si="27"/>
        <v>0</v>
      </c>
      <c r="F232" s="8">
        <f>IFERROR(VLOOKUP(B232,PVSKTC!$A$4:$D$1048576,2,0),0)</f>
        <v>0</v>
      </c>
      <c r="G232" s="8">
        <f>IFERROR(VLOOKUP(B232,PVSKTC!$A$4:$D$1048576,3,0),0)</f>
        <v>0</v>
      </c>
      <c r="H232" s="8">
        <f>IFERROR(VLOOKUP(B232,PVSKTC!$A$4:$D$1048576,4,0),0)</f>
        <v>0</v>
      </c>
      <c r="I232" s="15" t="str">
        <f>IFERROR(IF(E232&gt;0,THTT!E$2,""),"")</f>
        <v/>
      </c>
      <c r="J232" s="16" t="str">
        <f t="shared" si="24"/>
        <v/>
      </c>
      <c r="K232" s="8" t="str">
        <f t="shared" si="25"/>
        <v/>
      </c>
      <c r="L232" s="8" t="str">
        <f t="shared" si="26"/>
        <v/>
      </c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</row>
    <row r="233" spans="1:63" s="4" customFormat="1" x14ac:dyDescent="0.3">
      <c r="A233" s="19" t="str">
        <f t="shared" si="21"/>
        <v/>
      </c>
      <c r="B233" s="20"/>
      <c r="C233" s="39">
        <f t="shared" si="22"/>
        <v>45721</v>
      </c>
      <c r="D233" s="19">
        <f t="shared" si="23"/>
        <v>45722</v>
      </c>
      <c r="E233" s="42">
        <f t="shared" si="27"/>
        <v>0</v>
      </c>
      <c r="F233" s="8">
        <f>IFERROR(VLOOKUP(B233,PVSKTC!$A$4:$D$1048576,2,0),0)</f>
        <v>0</v>
      </c>
      <c r="G233" s="8">
        <f>IFERROR(VLOOKUP(B233,PVSKTC!$A$4:$D$1048576,3,0),0)</f>
        <v>0</v>
      </c>
      <c r="H233" s="8">
        <f>IFERROR(VLOOKUP(B233,PVSKTC!$A$4:$D$1048576,4,0),0)</f>
        <v>0</v>
      </c>
      <c r="I233" s="15" t="str">
        <f>IFERROR(IF(E233&gt;0,THTT!E$2,""),"")</f>
        <v/>
      </c>
      <c r="J233" s="16" t="str">
        <f t="shared" si="24"/>
        <v/>
      </c>
      <c r="K233" s="8" t="str">
        <f t="shared" si="25"/>
        <v/>
      </c>
      <c r="L233" s="8" t="str">
        <f t="shared" si="26"/>
        <v/>
      </c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</row>
    <row r="234" spans="1:63" s="4" customFormat="1" x14ac:dyDescent="0.3">
      <c r="A234" s="19" t="str">
        <f t="shared" si="21"/>
        <v/>
      </c>
      <c r="B234" s="20"/>
      <c r="C234" s="39">
        <f t="shared" si="22"/>
        <v>45721</v>
      </c>
      <c r="D234" s="19">
        <f t="shared" si="23"/>
        <v>45722</v>
      </c>
      <c r="E234" s="42">
        <f t="shared" si="27"/>
        <v>0</v>
      </c>
      <c r="F234" s="8">
        <f>IFERROR(VLOOKUP(B234,PVSKTC!$A$4:$D$1048576,2,0),0)</f>
        <v>0</v>
      </c>
      <c r="G234" s="8">
        <f>IFERROR(VLOOKUP(B234,PVSKTC!$A$4:$D$1048576,3,0),0)</f>
        <v>0</v>
      </c>
      <c r="H234" s="8">
        <f>IFERROR(VLOOKUP(B234,PVSKTC!$A$4:$D$1048576,4,0),0)</f>
        <v>0</v>
      </c>
      <c r="I234" s="15" t="str">
        <f>IFERROR(IF(E234&gt;0,THTT!E$2,""),"")</f>
        <v/>
      </c>
      <c r="J234" s="16" t="str">
        <f t="shared" si="24"/>
        <v/>
      </c>
      <c r="K234" s="8" t="str">
        <f t="shared" si="25"/>
        <v/>
      </c>
      <c r="L234" s="8" t="str">
        <f t="shared" si="26"/>
        <v/>
      </c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</row>
    <row r="235" spans="1:63" s="4" customFormat="1" x14ac:dyDescent="0.3">
      <c r="A235" s="19" t="str">
        <f t="shared" si="21"/>
        <v/>
      </c>
      <c r="B235" s="20"/>
      <c r="C235" s="39">
        <f t="shared" si="22"/>
        <v>45721</v>
      </c>
      <c r="D235" s="19">
        <f t="shared" si="23"/>
        <v>45722</v>
      </c>
      <c r="E235" s="42">
        <f t="shared" si="27"/>
        <v>0</v>
      </c>
      <c r="F235" s="8">
        <f>IFERROR(VLOOKUP(B235,PVSKTC!$A$4:$D$1048576,2,0),0)</f>
        <v>0</v>
      </c>
      <c r="G235" s="8">
        <f>IFERROR(VLOOKUP(B235,PVSKTC!$A$4:$D$1048576,3,0),0)</f>
        <v>0</v>
      </c>
      <c r="H235" s="8">
        <f>IFERROR(VLOOKUP(B235,PVSKTC!$A$4:$D$1048576,4,0),0)</f>
        <v>0</v>
      </c>
      <c r="I235" s="15" t="str">
        <f>IFERROR(IF(E235&gt;0,THTT!E$2,""),"")</f>
        <v/>
      </c>
      <c r="J235" s="16" t="str">
        <f t="shared" si="24"/>
        <v/>
      </c>
      <c r="K235" s="8" t="str">
        <f t="shared" si="25"/>
        <v/>
      </c>
      <c r="L235" s="8" t="str">
        <f t="shared" si="26"/>
        <v/>
      </c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</row>
    <row r="236" spans="1:63" s="4" customFormat="1" x14ac:dyDescent="0.3">
      <c r="A236" s="19" t="str">
        <f t="shared" si="21"/>
        <v/>
      </c>
      <c r="B236" s="20"/>
      <c r="C236" s="39">
        <f t="shared" si="22"/>
        <v>45721</v>
      </c>
      <c r="D236" s="19">
        <f t="shared" si="23"/>
        <v>45722</v>
      </c>
      <c r="E236" s="42">
        <f t="shared" si="27"/>
        <v>0</v>
      </c>
      <c r="F236" s="8">
        <f>IFERROR(VLOOKUP(B236,PVSKTC!$A$4:$D$1048576,2,0),0)</f>
        <v>0</v>
      </c>
      <c r="G236" s="8">
        <f>IFERROR(VLOOKUP(B236,PVSKTC!$A$4:$D$1048576,3,0),0)</f>
        <v>0</v>
      </c>
      <c r="H236" s="8">
        <f>IFERROR(VLOOKUP(B236,PVSKTC!$A$4:$D$1048576,4,0),0)</f>
        <v>0</v>
      </c>
      <c r="I236" s="15" t="str">
        <f>IFERROR(IF(E236&gt;0,THTT!E$2,""),"")</f>
        <v/>
      </c>
      <c r="J236" s="16" t="str">
        <f t="shared" si="24"/>
        <v/>
      </c>
      <c r="K236" s="8" t="str">
        <f t="shared" si="25"/>
        <v/>
      </c>
      <c r="L236" s="8" t="str">
        <f t="shared" si="26"/>
        <v/>
      </c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</row>
    <row r="237" spans="1:63" s="4" customFormat="1" x14ac:dyDescent="0.3">
      <c r="A237" s="19" t="str">
        <f t="shared" si="21"/>
        <v/>
      </c>
      <c r="B237" s="20"/>
      <c r="C237" s="39">
        <f t="shared" si="22"/>
        <v>45721</v>
      </c>
      <c r="D237" s="19">
        <f t="shared" si="23"/>
        <v>45722</v>
      </c>
      <c r="E237" s="42">
        <f t="shared" si="27"/>
        <v>0</v>
      </c>
      <c r="F237" s="8">
        <f>IFERROR(VLOOKUP(B237,PVSKTC!$A$4:$D$1048576,2,0),0)</f>
        <v>0</v>
      </c>
      <c r="G237" s="8">
        <f>IFERROR(VLOOKUP(B237,PVSKTC!$A$4:$D$1048576,3,0),0)</f>
        <v>0</v>
      </c>
      <c r="H237" s="8">
        <f>IFERROR(VLOOKUP(B237,PVSKTC!$A$4:$D$1048576,4,0),0)</f>
        <v>0</v>
      </c>
      <c r="I237" s="15" t="str">
        <f>IFERROR(IF(E237&gt;0,THTT!E$2,""),"")</f>
        <v/>
      </c>
      <c r="J237" s="16" t="str">
        <f t="shared" si="24"/>
        <v/>
      </c>
      <c r="K237" s="8" t="str">
        <f t="shared" si="25"/>
        <v/>
      </c>
      <c r="L237" s="8" t="str">
        <f t="shared" si="26"/>
        <v/>
      </c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</row>
    <row r="238" spans="1:63" s="4" customFormat="1" x14ac:dyDescent="0.3">
      <c r="A238" s="19" t="str">
        <f t="shared" si="21"/>
        <v/>
      </c>
      <c r="B238" s="20"/>
      <c r="C238" s="39">
        <f t="shared" si="22"/>
        <v>45721</v>
      </c>
      <c r="D238" s="19">
        <f t="shared" si="23"/>
        <v>45722</v>
      </c>
      <c r="E238" s="42">
        <f t="shared" si="27"/>
        <v>0</v>
      </c>
      <c r="F238" s="8">
        <f>IFERROR(VLOOKUP(B238,PVSKTC!$A$4:$D$1048576,2,0),0)</f>
        <v>0</v>
      </c>
      <c r="G238" s="8">
        <f>IFERROR(VLOOKUP(B238,PVSKTC!$A$4:$D$1048576,3,0),0)</f>
        <v>0</v>
      </c>
      <c r="H238" s="8">
        <f>IFERROR(VLOOKUP(B238,PVSKTC!$A$4:$D$1048576,4,0),0)</f>
        <v>0</v>
      </c>
      <c r="I238" s="15" t="str">
        <f>IFERROR(IF(E238&gt;0,THTT!E$2,""),"")</f>
        <v/>
      </c>
      <c r="J238" s="16" t="str">
        <f t="shared" si="24"/>
        <v/>
      </c>
      <c r="K238" s="8" t="str">
        <f t="shared" si="25"/>
        <v/>
      </c>
      <c r="L238" s="8" t="str">
        <f t="shared" si="26"/>
        <v/>
      </c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</row>
    <row r="239" spans="1:63" s="4" customFormat="1" x14ac:dyDescent="0.3">
      <c r="A239" s="19" t="str">
        <f t="shared" si="21"/>
        <v/>
      </c>
      <c r="B239" s="20"/>
      <c r="C239" s="39">
        <f t="shared" si="22"/>
        <v>45721</v>
      </c>
      <c r="D239" s="19">
        <f t="shared" si="23"/>
        <v>45722</v>
      </c>
      <c r="E239" s="42">
        <f t="shared" si="27"/>
        <v>0</v>
      </c>
      <c r="F239" s="8">
        <f>IFERROR(VLOOKUP(B239,PVSKTC!$A$4:$D$1048576,2,0),0)</f>
        <v>0</v>
      </c>
      <c r="G239" s="8">
        <f>IFERROR(VLOOKUP(B239,PVSKTC!$A$4:$D$1048576,3,0),0)</f>
        <v>0</v>
      </c>
      <c r="H239" s="8">
        <f>IFERROR(VLOOKUP(B239,PVSKTC!$A$4:$D$1048576,4,0),0)</f>
        <v>0</v>
      </c>
      <c r="I239" s="15" t="str">
        <f>IFERROR(IF(E239&gt;0,THTT!E$2,""),"")</f>
        <v/>
      </c>
      <c r="J239" s="16" t="str">
        <f t="shared" si="24"/>
        <v/>
      </c>
      <c r="K239" s="8" t="str">
        <f t="shared" si="25"/>
        <v/>
      </c>
      <c r="L239" s="8" t="str">
        <f t="shared" si="26"/>
        <v/>
      </c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</row>
    <row r="240" spans="1:63" s="4" customFormat="1" x14ac:dyDescent="0.3">
      <c r="A240" s="19" t="str">
        <f t="shared" si="21"/>
        <v/>
      </c>
      <c r="B240" s="20"/>
      <c r="C240" s="39">
        <f t="shared" si="22"/>
        <v>45721</v>
      </c>
      <c r="D240" s="19">
        <f t="shared" si="23"/>
        <v>45722</v>
      </c>
      <c r="E240" s="42">
        <f t="shared" si="27"/>
        <v>0</v>
      </c>
      <c r="F240" s="8">
        <f>IFERROR(VLOOKUP(B240,PVSKTC!$A$4:$D$1048576,2,0),0)</f>
        <v>0</v>
      </c>
      <c r="G240" s="8">
        <f>IFERROR(VLOOKUP(B240,PVSKTC!$A$4:$D$1048576,3,0),0)</f>
        <v>0</v>
      </c>
      <c r="H240" s="8">
        <f>IFERROR(VLOOKUP(B240,PVSKTC!$A$4:$D$1048576,4,0),0)</f>
        <v>0</v>
      </c>
      <c r="I240" s="15" t="str">
        <f>IFERROR(IF(E240&gt;0,THTT!E$2,""),"")</f>
        <v/>
      </c>
      <c r="J240" s="16" t="str">
        <f t="shared" si="24"/>
        <v/>
      </c>
      <c r="K240" s="8" t="str">
        <f t="shared" si="25"/>
        <v/>
      </c>
      <c r="L240" s="8" t="str">
        <f t="shared" si="26"/>
        <v/>
      </c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</row>
    <row r="241" spans="1:63" s="4" customFormat="1" x14ac:dyDescent="0.3">
      <c r="A241" s="19" t="str">
        <f t="shared" si="21"/>
        <v/>
      </c>
      <c r="B241" s="20"/>
      <c r="C241" s="39">
        <f t="shared" si="22"/>
        <v>45721</v>
      </c>
      <c r="D241" s="19">
        <f t="shared" si="23"/>
        <v>45722</v>
      </c>
      <c r="E241" s="42">
        <f t="shared" si="27"/>
        <v>0</v>
      </c>
      <c r="F241" s="8">
        <f>IFERROR(VLOOKUP(B241,PVSKTC!$A$4:$D$1048576,2,0),0)</f>
        <v>0</v>
      </c>
      <c r="G241" s="8">
        <f>IFERROR(VLOOKUP(B241,PVSKTC!$A$4:$D$1048576,3,0),0)</f>
        <v>0</v>
      </c>
      <c r="H241" s="8">
        <f>IFERROR(VLOOKUP(B241,PVSKTC!$A$4:$D$1048576,4,0),0)</f>
        <v>0</v>
      </c>
      <c r="I241" s="15" t="str">
        <f>IFERROR(IF(E241&gt;0,THTT!E$2,""),"")</f>
        <v/>
      </c>
      <c r="J241" s="16" t="str">
        <f t="shared" si="24"/>
        <v/>
      </c>
      <c r="K241" s="8" t="str">
        <f t="shared" si="25"/>
        <v/>
      </c>
      <c r="L241" s="8" t="str">
        <f t="shared" si="26"/>
        <v/>
      </c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</row>
    <row r="242" spans="1:63" s="4" customFormat="1" x14ac:dyDescent="0.3">
      <c r="A242" s="19" t="str">
        <f t="shared" si="21"/>
        <v/>
      </c>
      <c r="B242" s="20"/>
      <c r="C242" s="39">
        <f t="shared" si="22"/>
        <v>45721</v>
      </c>
      <c r="D242" s="19">
        <f t="shared" si="23"/>
        <v>45722</v>
      </c>
      <c r="E242" s="42">
        <f t="shared" si="27"/>
        <v>0</v>
      </c>
      <c r="F242" s="8">
        <f>IFERROR(VLOOKUP(B242,PVSKTC!$A$4:$D$1048576,2,0),0)</f>
        <v>0</v>
      </c>
      <c r="G242" s="8">
        <f>IFERROR(VLOOKUP(B242,PVSKTC!$A$4:$D$1048576,3,0),0)</f>
        <v>0</v>
      </c>
      <c r="H242" s="8">
        <f>IFERROR(VLOOKUP(B242,PVSKTC!$A$4:$D$1048576,4,0),0)</f>
        <v>0</v>
      </c>
      <c r="I242" s="15" t="str">
        <f>IFERROR(IF(E242&gt;0,THTT!E$2,""),"")</f>
        <v/>
      </c>
      <c r="J242" s="16" t="str">
        <f t="shared" si="24"/>
        <v/>
      </c>
      <c r="K242" s="8" t="str">
        <f t="shared" si="25"/>
        <v/>
      </c>
      <c r="L242" s="8" t="str">
        <f t="shared" si="26"/>
        <v/>
      </c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</row>
    <row r="243" spans="1:63" s="4" customFormat="1" x14ac:dyDescent="0.3">
      <c r="A243" s="19" t="str">
        <f t="shared" si="21"/>
        <v/>
      </c>
      <c r="B243" s="20"/>
      <c r="C243" s="39">
        <f t="shared" si="22"/>
        <v>45721</v>
      </c>
      <c r="D243" s="19">
        <f t="shared" si="23"/>
        <v>45722</v>
      </c>
      <c r="E243" s="42">
        <f t="shared" si="27"/>
        <v>0</v>
      </c>
      <c r="F243" s="8">
        <f>IFERROR(VLOOKUP(B243,PVSKTC!$A$4:$D$1048576,2,0),0)</f>
        <v>0</v>
      </c>
      <c r="G243" s="8">
        <f>IFERROR(VLOOKUP(B243,PVSKTC!$A$4:$D$1048576,3,0),0)</f>
        <v>0</v>
      </c>
      <c r="H243" s="8">
        <f>IFERROR(VLOOKUP(B243,PVSKTC!$A$4:$D$1048576,4,0),0)</f>
        <v>0</v>
      </c>
      <c r="I243" s="15" t="str">
        <f>IFERROR(IF(E243&gt;0,THTT!E$2,""),"")</f>
        <v/>
      </c>
      <c r="J243" s="16" t="str">
        <f t="shared" si="24"/>
        <v/>
      </c>
      <c r="K243" s="8" t="str">
        <f t="shared" si="25"/>
        <v/>
      </c>
      <c r="L243" s="8" t="str">
        <f t="shared" si="26"/>
        <v/>
      </c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</row>
    <row r="244" spans="1:63" s="4" customFormat="1" x14ac:dyDescent="0.3">
      <c r="A244" s="19" t="str">
        <f t="shared" si="21"/>
        <v/>
      </c>
      <c r="B244" s="20"/>
      <c r="C244" s="39">
        <f t="shared" si="22"/>
        <v>45721</v>
      </c>
      <c r="D244" s="19">
        <f t="shared" si="23"/>
        <v>45722</v>
      </c>
      <c r="E244" s="42">
        <f t="shared" si="27"/>
        <v>0</v>
      </c>
      <c r="F244" s="8">
        <f>IFERROR(VLOOKUP(B244,PVSKTC!$A$4:$D$1048576,2,0),0)</f>
        <v>0</v>
      </c>
      <c r="G244" s="8">
        <f>IFERROR(VLOOKUP(B244,PVSKTC!$A$4:$D$1048576,3,0),0)</f>
        <v>0</v>
      </c>
      <c r="H244" s="8">
        <f>IFERROR(VLOOKUP(B244,PVSKTC!$A$4:$D$1048576,4,0),0)</f>
        <v>0</v>
      </c>
      <c r="I244" s="15" t="str">
        <f>IFERROR(IF(E244&gt;0,THTT!E$2,""),"")</f>
        <v/>
      </c>
      <c r="J244" s="16" t="str">
        <f t="shared" si="24"/>
        <v/>
      </c>
      <c r="K244" s="8" t="str">
        <f t="shared" si="25"/>
        <v/>
      </c>
      <c r="L244" s="8" t="str">
        <f t="shared" si="26"/>
        <v/>
      </c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</row>
    <row r="245" spans="1:63" s="4" customFormat="1" x14ac:dyDescent="0.3">
      <c r="A245" s="19" t="str">
        <f t="shared" si="21"/>
        <v/>
      </c>
      <c r="B245" s="20"/>
      <c r="C245" s="39">
        <f t="shared" si="22"/>
        <v>45721</v>
      </c>
      <c r="D245" s="19">
        <f t="shared" si="23"/>
        <v>45722</v>
      </c>
      <c r="E245" s="42">
        <f t="shared" si="27"/>
        <v>0</v>
      </c>
      <c r="F245" s="8">
        <f>IFERROR(VLOOKUP(B245,PVSKTC!$A$4:$D$1048576,2,0),0)</f>
        <v>0</v>
      </c>
      <c r="G245" s="8">
        <f>IFERROR(VLOOKUP(B245,PVSKTC!$A$4:$D$1048576,3,0),0)</f>
        <v>0</v>
      </c>
      <c r="H245" s="8">
        <f>IFERROR(VLOOKUP(B245,PVSKTC!$A$4:$D$1048576,4,0),0)</f>
        <v>0</v>
      </c>
      <c r="I245" s="15" t="str">
        <f>IFERROR(IF(E245&gt;0,THTT!E$2,""),"")</f>
        <v/>
      </c>
      <c r="J245" s="16" t="str">
        <f t="shared" si="24"/>
        <v/>
      </c>
      <c r="K245" s="8" t="str">
        <f t="shared" si="25"/>
        <v/>
      </c>
      <c r="L245" s="8" t="str">
        <f t="shared" si="26"/>
        <v/>
      </c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</row>
    <row r="246" spans="1:63" s="4" customFormat="1" x14ac:dyDescent="0.3">
      <c r="A246" s="19" t="str">
        <f t="shared" si="21"/>
        <v/>
      </c>
      <c r="B246" s="20"/>
      <c r="C246" s="39">
        <f t="shared" si="22"/>
        <v>45721</v>
      </c>
      <c r="D246" s="19">
        <f t="shared" si="23"/>
        <v>45722</v>
      </c>
      <c r="E246" s="42">
        <f t="shared" si="27"/>
        <v>0</v>
      </c>
      <c r="F246" s="8">
        <f>IFERROR(VLOOKUP(B246,PVSKTC!$A$4:$D$1048576,2,0),0)</f>
        <v>0</v>
      </c>
      <c r="G246" s="8">
        <f>IFERROR(VLOOKUP(B246,PVSKTC!$A$4:$D$1048576,3,0),0)</f>
        <v>0</v>
      </c>
      <c r="H246" s="8">
        <f>IFERROR(VLOOKUP(B246,PVSKTC!$A$4:$D$1048576,4,0),0)</f>
        <v>0</v>
      </c>
      <c r="I246" s="15" t="str">
        <f>IFERROR(IF(E246&gt;0,THTT!E$2,""),"")</f>
        <v/>
      </c>
      <c r="J246" s="16" t="str">
        <f t="shared" si="24"/>
        <v/>
      </c>
      <c r="K246" s="8" t="str">
        <f t="shared" si="25"/>
        <v/>
      </c>
      <c r="L246" s="8" t="str">
        <f t="shared" si="26"/>
        <v/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</row>
    <row r="247" spans="1:63" s="4" customFormat="1" x14ac:dyDescent="0.3">
      <c r="A247" s="19" t="str">
        <f t="shared" si="21"/>
        <v/>
      </c>
      <c r="B247" s="20"/>
      <c r="C247" s="39">
        <f t="shared" si="22"/>
        <v>45721</v>
      </c>
      <c r="D247" s="19">
        <f t="shared" si="23"/>
        <v>45722</v>
      </c>
      <c r="E247" s="42">
        <f t="shared" si="27"/>
        <v>0</v>
      </c>
      <c r="F247" s="8">
        <f>IFERROR(VLOOKUP(B247,PVSKTC!$A$4:$D$1048576,2,0),0)</f>
        <v>0</v>
      </c>
      <c r="G247" s="8">
        <f>IFERROR(VLOOKUP(B247,PVSKTC!$A$4:$D$1048576,3,0),0)</f>
        <v>0</v>
      </c>
      <c r="H247" s="8">
        <f>IFERROR(VLOOKUP(B247,PVSKTC!$A$4:$D$1048576,4,0),0)</f>
        <v>0</v>
      </c>
      <c r="I247" s="15" t="str">
        <f>IFERROR(IF(E247&gt;0,THTT!E$2,""),"")</f>
        <v/>
      </c>
      <c r="J247" s="16" t="str">
        <f t="shared" si="24"/>
        <v/>
      </c>
      <c r="K247" s="8" t="str">
        <f t="shared" si="25"/>
        <v/>
      </c>
      <c r="L247" s="8" t="str">
        <f t="shared" si="26"/>
        <v/>
      </c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</row>
    <row r="248" spans="1:63" s="4" customFormat="1" x14ac:dyDescent="0.3">
      <c r="A248" s="19" t="str">
        <f t="shared" si="21"/>
        <v/>
      </c>
      <c r="B248" s="20"/>
      <c r="C248" s="39">
        <f t="shared" si="22"/>
        <v>45721</v>
      </c>
      <c r="D248" s="19">
        <f t="shared" si="23"/>
        <v>45722</v>
      </c>
      <c r="E248" s="42">
        <f t="shared" si="27"/>
        <v>0</v>
      </c>
      <c r="F248" s="8">
        <f>IFERROR(VLOOKUP(B248,PVSKTC!$A$4:$D$1048576,2,0),0)</f>
        <v>0</v>
      </c>
      <c r="G248" s="8">
        <f>IFERROR(VLOOKUP(B248,PVSKTC!$A$4:$D$1048576,3,0),0)</f>
        <v>0</v>
      </c>
      <c r="H248" s="8">
        <f>IFERROR(VLOOKUP(B248,PVSKTC!$A$4:$D$1048576,4,0),0)</f>
        <v>0</v>
      </c>
      <c r="I248" s="15" t="str">
        <f>IFERROR(IF(E248&gt;0,THTT!E$2,""),"")</f>
        <v/>
      </c>
      <c r="J248" s="16" t="str">
        <f t="shared" si="24"/>
        <v/>
      </c>
      <c r="K248" s="8" t="str">
        <f t="shared" si="25"/>
        <v/>
      </c>
      <c r="L248" s="8" t="str">
        <f t="shared" si="26"/>
        <v/>
      </c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</row>
    <row r="249" spans="1:63" s="4" customFormat="1" x14ac:dyDescent="0.3">
      <c r="A249" s="19" t="str">
        <f t="shared" si="21"/>
        <v/>
      </c>
      <c r="B249" s="20"/>
      <c r="C249" s="39">
        <f t="shared" si="22"/>
        <v>45721</v>
      </c>
      <c r="D249" s="19">
        <f t="shared" si="23"/>
        <v>45722</v>
      </c>
      <c r="E249" s="42">
        <f t="shared" si="27"/>
        <v>0</v>
      </c>
      <c r="F249" s="8">
        <f>IFERROR(VLOOKUP(B249,PVSKTC!$A$4:$D$1048576,2,0),0)</f>
        <v>0</v>
      </c>
      <c r="G249" s="8">
        <f>IFERROR(VLOOKUP(B249,PVSKTC!$A$4:$D$1048576,3,0),0)</f>
        <v>0</v>
      </c>
      <c r="H249" s="8">
        <f>IFERROR(VLOOKUP(B249,PVSKTC!$A$4:$D$1048576,4,0),0)</f>
        <v>0</v>
      </c>
      <c r="I249" s="15" t="str">
        <f>IFERROR(IF(E249&gt;0,THTT!E$2,""),"")</f>
        <v/>
      </c>
      <c r="J249" s="16" t="str">
        <f t="shared" si="24"/>
        <v/>
      </c>
      <c r="K249" s="8" t="str">
        <f t="shared" si="25"/>
        <v/>
      </c>
      <c r="L249" s="8" t="str">
        <f t="shared" si="26"/>
        <v/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</row>
    <row r="250" spans="1:63" s="4" customFormat="1" x14ac:dyDescent="0.3">
      <c r="A250" s="19" t="str">
        <f t="shared" si="21"/>
        <v/>
      </c>
      <c r="B250" s="20"/>
      <c r="C250" s="39">
        <f t="shared" si="22"/>
        <v>45721</v>
      </c>
      <c r="D250" s="19">
        <f t="shared" si="23"/>
        <v>45722</v>
      </c>
      <c r="E250" s="42">
        <f t="shared" si="27"/>
        <v>0</v>
      </c>
      <c r="F250" s="8">
        <f>IFERROR(VLOOKUP(B250,PVSKTC!$A$4:$D$1048576,2,0),0)</f>
        <v>0</v>
      </c>
      <c r="G250" s="8">
        <f>IFERROR(VLOOKUP(B250,PVSKTC!$A$4:$D$1048576,3,0),0)</f>
        <v>0</v>
      </c>
      <c r="H250" s="8">
        <f>IFERROR(VLOOKUP(B250,PVSKTC!$A$4:$D$1048576,4,0),0)</f>
        <v>0</v>
      </c>
      <c r="I250" s="15" t="str">
        <f>IFERROR(IF(E250&gt;0,THTT!E$2,""),"")</f>
        <v/>
      </c>
      <c r="J250" s="16" t="str">
        <f t="shared" si="24"/>
        <v/>
      </c>
      <c r="K250" s="8" t="str">
        <f t="shared" si="25"/>
        <v/>
      </c>
      <c r="L250" s="8" t="str">
        <f t="shared" si="26"/>
        <v/>
      </c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</row>
    <row r="251" spans="1:63" x14ac:dyDescent="0.3">
      <c r="A251" s="11"/>
      <c r="B251" s="12"/>
      <c r="C251" s="12" t="s">
        <v>11</v>
      </c>
      <c r="D251" s="12"/>
      <c r="E251" s="13">
        <f>INDEX(E12:E250, COUNTA(E12:E250))</f>
        <v>0</v>
      </c>
      <c r="F251" s="14">
        <f>SUM(F13:F250)</f>
        <v>0</v>
      </c>
      <c r="G251" s="14">
        <f>SUM(G13:G250)</f>
        <v>0</v>
      </c>
      <c r="H251" s="14">
        <f>SUM(H13:H250)</f>
        <v>0</v>
      </c>
      <c r="I251" s="14"/>
      <c r="J251" s="50"/>
      <c r="K251" s="14">
        <f>SUM(K13:K250)</f>
        <v>0</v>
      </c>
      <c r="L251" s="14">
        <f>SUM(L13:L250)</f>
        <v>0</v>
      </c>
    </row>
    <row r="252" spans="1:63" x14ac:dyDescent="0.3">
      <c r="B252" s="6"/>
      <c r="C252" s="7"/>
      <c r="D252" s="7"/>
      <c r="E252" s="7"/>
      <c r="F252" s="7"/>
      <c r="G252" s="7"/>
      <c r="H252" s="7"/>
      <c r="I252" s="7"/>
      <c r="J252" s="51"/>
      <c r="K252" s="7"/>
      <c r="L252" s="7"/>
    </row>
    <row r="253" spans="1:63" x14ac:dyDescent="0.3">
      <c r="F253" s="35"/>
      <c r="K253" s="64" t="s">
        <v>45</v>
      </c>
      <c r="L253" s="64"/>
    </row>
    <row r="254" spans="1:63" x14ac:dyDescent="0.3">
      <c r="F254" s="36"/>
      <c r="L254" s="2"/>
    </row>
    <row r="255" spans="1:63" x14ac:dyDescent="0.3">
      <c r="L255" s="2"/>
    </row>
    <row r="256" spans="1:63" x14ac:dyDescent="0.3">
      <c r="L256" s="2"/>
    </row>
    <row r="257" spans="11:12" x14ac:dyDescent="0.3">
      <c r="K257" s="65" t="s">
        <v>51</v>
      </c>
      <c r="L257" s="65"/>
    </row>
  </sheetData>
  <mergeCells count="5">
    <mergeCell ref="A1:L1"/>
    <mergeCell ref="A3:B3"/>
    <mergeCell ref="G4:H4"/>
    <mergeCell ref="K253:L253"/>
    <mergeCell ref="K257:L257"/>
  </mergeCells>
  <pageMargins left="0.7" right="0.7" top="0.75" bottom="0.75" header="0.3" footer="0.3"/>
  <pageSetup paperSize="9" scale="6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BK190"/>
  <sheetViews>
    <sheetView showGridLines="0" zoomScale="81" zoomScaleNormal="100" workbookViewId="0">
      <selection activeCell="C63" sqref="C63"/>
    </sheetView>
  </sheetViews>
  <sheetFormatPr defaultColWidth="9.109375" defaultRowHeight="14.4" x14ac:dyDescent="0.3"/>
  <cols>
    <col min="1" max="1" width="16.6640625" style="1" customWidth="1"/>
    <col min="2" max="2" width="24.33203125" style="2" customWidth="1"/>
    <col min="3" max="3" width="18.5546875" style="1" customWidth="1"/>
    <col min="4" max="5" width="15.6640625" style="1" customWidth="1"/>
    <col min="6" max="7" width="21.33203125" style="1" customWidth="1"/>
    <col min="8" max="8" width="14.33203125" style="1" customWidth="1"/>
    <col min="9" max="9" width="12.6640625" style="1" customWidth="1"/>
    <col min="10" max="10" width="17" style="1" customWidth="1"/>
    <col min="11" max="11" width="17.109375" style="1" customWidth="1"/>
    <col min="12" max="12" width="22.6640625" style="1" customWidth="1"/>
    <col min="13" max="14" width="9.109375" style="1"/>
    <col min="15" max="15" width="9.6640625" style="1" bestFit="1" customWidth="1"/>
    <col min="16" max="16384" width="9.109375" style="1"/>
  </cols>
  <sheetData>
    <row r="1" spans="1:63" x14ac:dyDescent="0.3">
      <c r="A1" s="59" t="s">
        <v>15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</row>
    <row r="3" spans="1:63" x14ac:dyDescent="0.3">
      <c r="A3" s="60" t="s">
        <v>0</v>
      </c>
      <c r="B3" s="61"/>
      <c r="C3" s="3"/>
      <c r="D3" s="3"/>
      <c r="E3"/>
      <c r="F3"/>
      <c r="K3"/>
      <c r="L3"/>
    </row>
    <row r="4" spans="1:63" x14ac:dyDescent="0.3">
      <c r="A4" s="5" t="s">
        <v>1</v>
      </c>
      <c r="B4" s="9" t="s">
        <v>54</v>
      </c>
      <c r="C4" s="3"/>
      <c r="D4" s="3"/>
      <c r="E4"/>
      <c r="F4"/>
      <c r="G4" s="62" t="s">
        <v>16</v>
      </c>
      <c r="H4" s="63"/>
      <c r="J4"/>
      <c r="K4"/>
      <c r="L4"/>
    </row>
    <row r="5" spans="1:63" x14ac:dyDescent="0.3">
      <c r="A5" s="5" t="s">
        <v>2</v>
      </c>
      <c r="B5" s="9">
        <v>1733906</v>
      </c>
      <c r="C5" s="3"/>
      <c r="D5" s="3"/>
      <c r="E5"/>
      <c r="F5"/>
      <c r="G5" s="18" t="s">
        <v>50</v>
      </c>
      <c r="H5" s="17">
        <f>E184</f>
        <v>39965650</v>
      </c>
      <c r="J5" s="33"/>
      <c r="K5"/>
      <c r="L5"/>
    </row>
    <row r="6" spans="1:63" x14ac:dyDescent="0.3">
      <c r="A6" s="37" t="s">
        <v>55</v>
      </c>
      <c r="B6" s="38"/>
      <c r="C6"/>
      <c r="D6" s="3"/>
      <c r="E6"/>
      <c r="F6"/>
      <c r="G6" s="18" t="s">
        <v>13</v>
      </c>
      <c r="H6" s="17">
        <f>L184+K184-H184</f>
        <v>24865531.5449863</v>
      </c>
      <c r="J6" s="34"/>
      <c r="K6"/>
      <c r="L6"/>
    </row>
    <row r="7" spans="1:63" x14ac:dyDescent="0.3">
      <c r="A7" s="5" t="s">
        <v>46</v>
      </c>
      <c r="B7" s="29">
        <v>40000000</v>
      </c>
      <c r="C7" s="3"/>
      <c r="D7" s="3"/>
      <c r="E7"/>
      <c r="F7"/>
      <c r="G7" s="25" t="s">
        <v>21</v>
      </c>
      <c r="H7" s="17">
        <f>H5+H6</f>
        <v>64831181.5449863</v>
      </c>
      <c r="J7"/>
      <c r="K7"/>
      <c r="L7"/>
    </row>
    <row r="8" spans="1:63" x14ac:dyDescent="0.3">
      <c r="A8" s="5" t="s">
        <v>3</v>
      </c>
      <c r="B8" s="10">
        <v>45510</v>
      </c>
      <c r="C8" s="3"/>
      <c r="D8" s="3"/>
      <c r="E8"/>
      <c r="F8"/>
      <c r="G8"/>
      <c r="H8"/>
      <c r="I8"/>
      <c r="J8"/>
      <c r="K8"/>
      <c r="L8"/>
    </row>
    <row r="9" spans="1:63" x14ac:dyDescent="0.3">
      <c r="A9" s="5" t="s">
        <v>12</v>
      </c>
      <c r="B9" s="10">
        <v>46064</v>
      </c>
      <c r="C9" s="3"/>
      <c r="D9" s="3"/>
      <c r="E9"/>
      <c r="F9"/>
      <c r="G9"/>
      <c r="H9"/>
      <c r="J9"/>
      <c r="K9"/>
      <c r="L9"/>
    </row>
    <row r="10" spans="1:63" x14ac:dyDescent="0.3">
      <c r="C10" s="3"/>
      <c r="D10" s="3"/>
      <c r="E10"/>
      <c r="F10"/>
      <c r="G10"/>
      <c r="H10"/>
      <c r="J10"/>
      <c r="K10"/>
      <c r="L10"/>
    </row>
    <row r="11" spans="1:63" x14ac:dyDescent="0.3">
      <c r="F11"/>
      <c r="G11"/>
      <c r="H11"/>
      <c r="I11"/>
      <c r="J11"/>
      <c r="K11"/>
    </row>
    <row r="12" spans="1:63" ht="39" customHeight="1" x14ac:dyDescent="0.3">
      <c r="A12" s="21" t="s">
        <v>4</v>
      </c>
      <c r="B12" s="21" t="s">
        <v>14</v>
      </c>
      <c r="C12" s="21" t="s">
        <v>5</v>
      </c>
      <c r="D12" s="21" t="s">
        <v>6</v>
      </c>
      <c r="E12" s="21" t="s">
        <v>47</v>
      </c>
      <c r="F12" s="21" t="s">
        <v>49</v>
      </c>
      <c r="G12" s="21" t="s">
        <v>48</v>
      </c>
      <c r="H12" s="21" t="s">
        <v>10</v>
      </c>
      <c r="I12" s="21" t="s">
        <v>7</v>
      </c>
      <c r="J12" s="21" t="s">
        <v>17</v>
      </c>
      <c r="K12" s="21" t="s">
        <v>8</v>
      </c>
      <c r="L12" s="21" t="s">
        <v>9</v>
      </c>
    </row>
    <row r="13" spans="1:63" s="4" customFormat="1" x14ac:dyDescent="0.3">
      <c r="A13" s="19"/>
      <c r="B13" s="20">
        <v>44769</v>
      </c>
      <c r="C13" s="20">
        <f>B14-1</f>
        <v>44777</v>
      </c>
      <c r="D13" s="19">
        <f>C13-B13+1</f>
        <v>9</v>
      </c>
      <c r="E13" s="32">
        <f>F13-G13</f>
        <v>0</v>
      </c>
      <c r="F13" s="8">
        <v>100000</v>
      </c>
      <c r="G13" s="8">
        <v>100000</v>
      </c>
      <c r="H13" s="8"/>
      <c r="I13" s="15"/>
      <c r="J13" s="16"/>
      <c r="K13" s="8"/>
      <c r="L13" s="8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</row>
    <row r="14" spans="1:63" s="4" customFormat="1" x14ac:dyDescent="0.3">
      <c r="A14" s="19"/>
      <c r="B14" s="20">
        <v>44778</v>
      </c>
      <c r="C14" s="20">
        <f t="shared" ref="C14:C77" si="0">B15-1</f>
        <v>44809</v>
      </c>
      <c r="D14" s="19">
        <f t="shared" ref="D14:D77" si="1">C14-B14+1</f>
        <v>32</v>
      </c>
      <c r="E14" s="32">
        <f>E13+F14-G14</f>
        <v>0</v>
      </c>
      <c r="F14" s="8">
        <v>50000</v>
      </c>
      <c r="G14" s="8">
        <v>50000</v>
      </c>
      <c r="H14" s="8"/>
      <c r="I14" s="15"/>
      <c r="J14" s="16"/>
      <c r="K14" s="8"/>
      <c r="L14" s="8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</row>
    <row r="15" spans="1:63" s="4" customFormat="1" x14ac:dyDescent="0.3">
      <c r="A15" s="19"/>
      <c r="B15" s="20">
        <v>44810</v>
      </c>
      <c r="C15" s="20">
        <f t="shared" si="0"/>
        <v>44832</v>
      </c>
      <c r="D15" s="19">
        <f t="shared" si="1"/>
        <v>23</v>
      </c>
      <c r="E15" s="32">
        <f t="shared" ref="E15:E78" si="2">E14+F15-G15</f>
        <v>-55800</v>
      </c>
      <c r="F15" s="8">
        <v>8500000</v>
      </c>
      <c r="G15" s="8">
        <v>8555800</v>
      </c>
      <c r="H15" s="8"/>
      <c r="I15" s="15"/>
      <c r="J15" s="16"/>
      <c r="K15" s="8"/>
      <c r="L15" s="8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</row>
    <row r="16" spans="1:63" s="4" customFormat="1" x14ac:dyDescent="0.3">
      <c r="A16" s="19"/>
      <c r="B16" s="20">
        <v>44833</v>
      </c>
      <c r="C16" s="20">
        <f t="shared" si="0"/>
        <v>44833</v>
      </c>
      <c r="D16" s="19">
        <f t="shared" si="1"/>
        <v>1</v>
      </c>
      <c r="E16" s="32">
        <f t="shared" si="2"/>
        <v>-428300</v>
      </c>
      <c r="F16" s="8"/>
      <c r="G16" s="8">
        <v>372500</v>
      </c>
      <c r="H16" s="8"/>
      <c r="I16" s="15"/>
      <c r="J16" s="16"/>
      <c r="K16" s="8"/>
      <c r="L16" s="8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</row>
    <row r="17" spans="1:63" s="4" customFormat="1" x14ac:dyDescent="0.3">
      <c r="A17" s="19"/>
      <c r="B17" s="20">
        <v>44834</v>
      </c>
      <c r="C17" s="20">
        <f t="shared" si="0"/>
        <v>44837</v>
      </c>
      <c r="D17" s="19">
        <f t="shared" si="1"/>
        <v>4</v>
      </c>
      <c r="E17" s="32">
        <f t="shared" si="2"/>
        <v>-428310</v>
      </c>
      <c r="F17" s="8"/>
      <c r="G17" s="8">
        <v>10</v>
      </c>
      <c r="H17" s="8"/>
      <c r="I17" s="15"/>
      <c r="J17" s="16"/>
      <c r="K17" s="8"/>
      <c r="L17" s="8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</row>
    <row r="18" spans="1:63" s="4" customFormat="1" x14ac:dyDescent="0.3">
      <c r="A18" s="19"/>
      <c r="B18" s="20">
        <v>44838</v>
      </c>
      <c r="C18" s="20">
        <f t="shared" si="0"/>
        <v>44838</v>
      </c>
      <c r="D18" s="19">
        <f t="shared" si="1"/>
        <v>1</v>
      </c>
      <c r="E18" s="32">
        <f t="shared" si="2"/>
        <v>-8662056</v>
      </c>
      <c r="F18" s="8"/>
      <c r="G18" s="8">
        <v>8233746</v>
      </c>
      <c r="H18" s="8"/>
      <c r="I18" s="15"/>
      <c r="J18" s="16"/>
      <c r="K18" s="8"/>
      <c r="L18" s="8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</row>
    <row r="19" spans="1:63" s="4" customFormat="1" x14ac:dyDescent="0.3">
      <c r="A19" s="19"/>
      <c r="B19" s="20">
        <v>44839</v>
      </c>
      <c r="C19" s="20">
        <f t="shared" si="0"/>
        <v>44864</v>
      </c>
      <c r="D19" s="19">
        <f t="shared" si="1"/>
        <v>26</v>
      </c>
      <c r="E19" s="32">
        <f t="shared" si="2"/>
        <v>-162056</v>
      </c>
      <c r="F19" s="8">
        <v>8500000</v>
      </c>
      <c r="G19" s="8"/>
      <c r="H19" s="8"/>
      <c r="I19" s="15"/>
      <c r="J19" s="16"/>
      <c r="K19" s="8"/>
      <c r="L19" s="8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</row>
    <row r="20" spans="1:63" s="4" customFormat="1" x14ac:dyDescent="0.3">
      <c r="A20" s="19"/>
      <c r="B20" s="20">
        <v>44865</v>
      </c>
      <c r="C20" s="20">
        <f t="shared" si="0"/>
        <v>44866</v>
      </c>
      <c r="D20" s="19">
        <f t="shared" si="1"/>
        <v>2</v>
      </c>
      <c r="E20" s="32">
        <f t="shared" si="2"/>
        <v>-162134</v>
      </c>
      <c r="F20" s="8"/>
      <c r="G20" s="8">
        <v>78</v>
      </c>
      <c r="H20" s="8"/>
      <c r="I20" s="15"/>
      <c r="J20" s="16"/>
      <c r="K20" s="8"/>
      <c r="L20" s="8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</row>
    <row r="21" spans="1:63" s="4" customFormat="1" x14ac:dyDescent="0.3">
      <c r="A21" s="19"/>
      <c r="B21" s="20">
        <v>44867</v>
      </c>
      <c r="C21" s="20">
        <f t="shared" si="0"/>
        <v>44875</v>
      </c>
      <c r="D21" s="19">
        <f t="shared" si="1"/>
        <v>9</v>
      </c>
      <c r="E21" s="32">
        <f t="shared" si="2"/>
        <v>-237649</v>
      </c>
      <c r="F21" s="8">
        <v>7500000</v>
      </c>
      <c r="G21" s="8">
        <v>7575515</v>
      </c>
      <c r="H21" s="8"/>
      <c r="I21" s="15"/>
      <c r="J21" s="16"/>
      <c r="K21" s="8"/>
      <c r="L21" s="8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</row>
    <row r="22" spans="1:63" s="4" customFormat="1" x14ac:dyDescent="0.3">
      <c r="A22" s="19"/>
      <c r="B22" s="20">
        <v>44876</v>
      </c>
      <c r="C22" s="20">
        <f t="shared" si="0"/>
        <v>44885</v>
      </c>
      <c r="D22" s="19">
        <f t="shared" si="1"/>
        <v>10</v>
      </c>
      <c r="E22" s="32">
        <f t="shared" si="2"/>
        <v>-537649</v>
      </c>
      <c r="F22" s="8">
        <v>100000</v>
      </c>
      <c r="G22" s="8">
        <v>400000</v>
      </c>
      <c r="H22" s="8"/>
      <c r="I22" s="15"/>
      <c r="J22" s="16"/>
      <c r="K22" s="8"/>
      <c r="L22" s="8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</row>
    <row r="23" spans="1:63" s="4" customFormat="1" x14ac:dyDescent="0.3">
      <c r="A23" s="19"/>
      <c r="B23" s="20">
        <v>44886</v>
      </c>
      <c r="C23" s="20">
        <f t="shared" si="0"/>
        <v>44894</v>
      </c>
      <c r="D23" s="19">
        <f t="shared" si="1"/>
        <v>9</v>
      </c>
      <c r="E23" s="32">
        <f t="shared" si="2"/>
        <v>-1237649</v>
      </c>
      <c r="F23" s="8"/>
      <c r="G23" s="8">
        <v>700000</v>
      </c>
      <c r="H23" s="8"/>
      <c r="I23" s="15"/>
      <c r="J23" s="16"/>
      <c r="K23" s="8"/>
      <c r="L23" s="8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</row>
    <row r="24" spans="1:63" s="4" customFormat="1" x14ac:dyDescent="0.3">
      <c r="A24" s="19"/>
      <c r="B24" s="20">
        <v>44895</v>
      </c>
      <c r="C24" s="20">
        <f t="shared" si="0"/>
        <v>44896</v>
      </c>
      <c r="D24" s="19">
        <f t="shared" si="1"/>
        <v>2</v>
      </c>
      <c r="E24" s="32">
        <f t="shared" si="2"/>
        <v>-1237770</v>
      </c>
      <c r="F24" s="8"/>
      <c r="G24" s="8">
        <v>121</v>
      </c>
      <c r="H24" s="8"/>
      <c r="I24" s="15"/>
      <c r="J24" s="16"/>
      <c r="K24" s="8"/>
      <c r="L24" s="8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</row>
    <row r="25" spans="1:63" s="4" customFormat="1" x14ac:dyDescent="0.3">
      <c r="A25" s="19"/>
      <c r="B25" s="20">
        <v>44897</v>
      </c>
      <c r="C25" s="20">
        <f t="shared" si="0"/>
        <v>44897</v>
      </c>
      <c r="D25" s="19">
        <f t="shared" si="1"/>
        <v>1</v>
      </c>
      <c r="E25" s="32">
        <f t="shared" si="2"/>
        <v>-12315294</v>
      </c>
      <c r="F25" s="8"/>
      <c r="G25" s="8">
        <v>11077524</v>
      </c>
      <c r="H25" s="8"/>
      <c r="I25" s="15"/>
      <c r="J25" s="16"/>
      <c r="K25" s="8"/>
      <c r="L25" s="8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</row>
    <row r="26" spans="1:63" s="4" customFormat="1" x14ac:dyDescent="0.3">
      <c r="A26" s="19"/>
      <c r="B26" s="20">
        <v>44898</v>
      </c>
      <c r="C26" s="20">
        <f t="shared" si="0"/>
        <v>44899</v>
      </c>
      <c r="D26" s="19">
        <f t="shared" si="1"/>
        <v>2</v>
      </c>
      <c r="E26" s="32">
        <f t="shared" si="2"/>
        <v>-315294</v>
      </c>
      <c r="F26" s="8">
        <v>12000000</v>
      </c>
      <c r="G26" s="8"/>
      <c r="H26" s="8"/>
      <c r="I26" s="15"/>
      <c r="J26" s="16"/>
      <c r="K26" s="8"/>
      <c r="L26" s="8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</row>
    <row r="27" spans="1:63" s="4" customFormat="1" x14ac:dyDescent="0.3">
      <c r="A27" s="19"/>
      <c r="B27" s="20">
        <v>44900</v>
      </c>
      <c r="C27" s="20">
        <f t="shared" si="0"/>
        <v>44903</v>
      </c>
      <c r="D27" s="19">
        <f t="shared" si="1"/>
        <v>4</v>
      </c>
      <c r="E27" s="32">
        <f t="shared" si="2"/>
        <v>-265294</v>
      </c>
      <c r="F27" s="8">
        <v>100000</v>
      </c>
      <c r="G27" s="8">
        <v>50000</v>
      </c>
      <c r="H27" s="8"/>
      <c r="I27" s="15"/>
      <c r="J27" s="16"/>
      <c r="K27" s="8"/>
      <c r="L27" s="8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</row>
    <row r="28" spans="1:63" s="4" customFormat="1" x14ac:dyDescent="0.3">
      <c r="A28" s="19"/>
      <c r="B28" s="20">
        <v>44904</v>
      </c>
      <c r="C28" s="20">
        <f t="shared" si="0"/>
        <v>44904</v>
      </c>
      <c r="D28" s="19">
        <f t="shared" si="1"/>
        <v>1</v>
      </c>
      <c r="E28" s="32">
        <f t="shared" si="2"/>
        <v>-66294</v>
      </c>
      <c r="F28" s="8">
        <v>200000</v>
      </c>
      <c r="G28" s="8">
        <v>1000</v>
      </c>
      <c r="H28" s="8"/>
      <c r="I28" s="15"/>
      <c r="J28" s="16"/>
      <c r="K28" s="8"/>
      <c r="L28" s="8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</row>
    <row r="29" spans="1:63" s="4" customFormat="1" x14ac:dyDescent="0.3">
      <c r="A29" s="19"/>
      <c r="B29" s="20">
        <v>44905</v>
      </c>
      <c r="C29" s="20">
        <f t="shared" si="0"/>
        <v>44916</v>
      </c>
      <c r="D29" s="19">
        <f t="shared" si="1"/>
        <v>12</v>
      </c>
      <c r="E29" s="32">
        <f t="shared" si="2"/>
        <v>-8566294</v>
      </c>
      <c r="F29" s="8">
        <v>3700000</v>
      </c>
      <c r="G29" s="8">
        <v>12200000</v>
      </c>
      <c r="H29" s="8"/>
      <c r="I29" s="15"/>
      <c r="J29" s="16"/>
      <c r="K29" s="8"/>
      <c r="L29" s="8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</row>
    <row r="30" spans="1:63" s="4" customFormat="1" x14ac:dyDescent="0.3">
      <c r="A30" s="19"/>
      <c r="B30" s="20">
        <v>44917</v>
      </c>
      <c r="C30" s="20">
        <f t="shared" si="0"/>
        <v>44924</v>
      </c>
      <c r="D30" s="19">
        <f t="shared" si="1"/>
        <v>8</v>
      </c>
      <c r="E30" s="32">
        <f t="shared" si="2"/>
        <v>-3366294</v>
      </c>
      <c r="F30" s="8">
        <v>5600000</v>
      </c>
      <c r="G30" s="8">
        <v>400000</v>
      </c>
      <c r="H30" s="8"/>
      <c r="I30" s="15"/>
      <c r="J30" s="16"/>
      <c r="K30" s="8"/>
      <c r="L30" s="8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</row>
    <row r="31" spans="1:63" s="4" customFormat="1" x14ac:dyDescent="0.3">
      <c r="A31" s="19"/>
      <c r="B31" s="20">
        <v>44925</v>
      </c>
      <c r="C31" s="20">
        <f t="shared" si="0"/>
        <v>44925</v>
      </c>
      <c r="D31" s="19">
        <f t="shared" si="1"/>
        <v>1</v>
      </c>
      <c r="E31" s="32">
        <f t="shared" si="2"/>
        <v>-66294</v>
      </c>
      <c r="F31" s="8">
        <v>3300000</v>
      </c>
      <c r="G31" s="8"/>
      <c r="H31" s="8"/>
      <c r="I31" s="15"/>
      <c r="J31" s="16"/>
      <c r="K31" s="8"/>
      <c r="L31" s="8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</row>
    <row r="32" spans="1:63" s="4" customFormat="1" x14ac:dyDescent="0.3">
      <c r="A32" s="19"/>
      <c r="B32" s="20">
        <v>44926</v>
      </c>
      <c r="C32" s="20">
        <f t="shared" si="0"/>
        <v>44929</v>
      </c>
      <c r="D32" s="19">
        <f t="shared" si="1"/>
        <v>4</v>
      </c>
      <c r="E32" s="32">
        <f t="shared" si="2"/>
        <v>-67089</v>
      </c>
      <c r="F32" s="8"/>
      <c r="G32" s="8">
        <v>795</v>
      </c>
      <c r="H32" s="8"/>
      <c r="I32" s="15"/>
      <c r="J32" s="16"/>
      <c r="K32" s="8"/>
      <c r="L32" s="8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</row>
    <row r="33" spans="1:63" s="4" customFormat="1" x14ac:dyDescent="0.3">
      <c r="A33" s="19"/>
      <c r="B33" s="20">
        <v>44930</v>
      </c>
      <c r="C33" s="20">
        <f t="shared" si="0"/>
        <v>44930</v>
      </c>
      <c r="D33" s="19">
        <f t="shared" si="1"/>
        <v>1</v>
      </c>
      <c r="E33" s="32">
        <f t="shared" si="2"/>
        <v>-9828738</v>
      </c>
      <c r="F33" s="8">
        <v>2000000</v>
      </c>
      <c r="G33" s="8">
        <v>11761649</v>
      </c>
      <c r="H33" s="8"/>
      <c r="I33" s="15"/>
      <c r="J33" s="16"/>
      <c r="K33" s="8"/>
      <c r="L33" s="8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</row>
    <row r="34" spans="1:63" s="4" customFormat="1" x14ac:dyDescent="0.3">
      <c r="A34" s="19"/>
      <c r="B34" s="20">
        <v>44931</v>
      </c>
      <c r="C34" s="20">
        <f t="shared" si="0"/>
        <v>44931</v>
      </c>
      <c r="D34" s="19">
        <f t="shared" si="1"/>
        <v>1</v>
      </c>
      <c r="E34" s="32">
        <f t="shared" si="2"/>
        <v>-828738</v>
      </c>
      <c r="F34" s="8">
        <v>9000000</v>
      </c>
      <c r="G34" s="8"/>
      <c r="H34" s="8"/>
      <c r="I34" s="15"/>
      <c r="J34" s="16"/>
      <c r="K34" s="8"/>
      <c r="L34" s="8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</row>
    <row r="35" spans="1:63" s="4" customFormat="1" x14ac:dyDescent="0.3">
      <c r="A35" s="19"/>
      <c r="B35" s="20">
        <v>44932</v>
      </c>
      <c r="C35" s="20">
        <f t="shared" si="0"/>
        <v>44932</v>
      </c>
      <c r="D35" s="19">
        <f t="shared" si="1"/>
        <v>1</v>
      </c>
      <c r="E35" s="32">
        <f t="shared" si="2"/>
        <v>-3078738</v>
      </c>
      <c r="F35" s="8"/>
      <c r="G35" s="8">
        <v>2250000</v>
      </c>
      <c r="H35" s="8"/>
      <c r="I35" s="15"/>
      <c r="J35" s="16"/>
      <c r="K35" s="8"/>
      <c r="L35" s="8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</row>
    <row r="36" spans="1:63" s="4" customFormat="1" x14ac:dyDescent="0.3">
      <c r="A36" s="19"/>
      <c r="B36" s="20">
        <v>44933</v>
      </c>
      <c r="C36" s="20">
        <f t="shared" si="0"/>
        <v>44936</v>
      </c>
      <c r="D36" s="19">
        <f t="shared" si="1"/>
        <v>4</v>
      </c>
      <c r="E36" s="32">
        <f t="shared" si="2"/>
        <v>-78738</v>
      </c>
      <c r="F36" s="8">
        <v>3000000</v>
      </c>
      <c r="G36" s="8"/>
      <c r="H36" s="8"/>
      <c r="I36" s="15"/>
      <c r="J36" s="16"/>
      <c r="K36" s="8"/>
      <c r="L36" s="8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</row>
    <row r="37" spans="1:63" s="4" customFormat="1" x14ac:dyDescent="0.3">
      <c r="A37" s="19"/>
      <c r="B37" s="20">
        <v>44937</v>
      </c>
      <c r="C37" s="20">
        <f t="shared" si="0"/>
        <v>44941</v>
      </c>
      <c r="D37" s="19">
        <f t="shared" si="1"/>
        <v>5</v>
      </c>
      <c r="E37" s="32">
        <f t="shared" si="2"/>
        <v>-3597588</v>
      </c>
      <c r="F37" s="8">
        <v>200000</v>
      </c>
      <c r="G37" s="8">
        <v>3718850</v>
      </c>
      <c r="H37" s="8"/>
      <c r="I37" s="15"/>
      <c r="J37" s="16"/>
      <c r="K37" s="8"/>
      <c r="L37" s="8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</row>
    <row r="38" spans="1:63" s="4" customFormat="1" x14ac:dyDescent="0.3">
      <c r="A38" s="19"/>
      <c r="B38" s="20">
        <v>44942</v>
      </c>
      <c r="C38" s="20">
        <f t="shared" si="0"/>
        <v>44942</v>
      </c>
      <c r="D38" s="19">
        <f t="shared" si="1"/>
        <v>1</v>
      </c>
      <c r="E38" s="32">
        <f t="shared" si="2"/>
        <v>-97588</v>
      </c>
      <c r="F38" s="8">
        <v>6700000</v>
      </c>
      <c r="G38" s="8">
        <v>3200000</v>
      </c>
      <c r="H38" s="8"/>
      <c r="I38" s="15"/>
      <c r="J38" s="16"/>
      <c r="K38" s="8"/>
      <c r="L38" s="8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</row>
    <row r="39" spans="1:63" s="4" customFormat="1" x14ac:dyDescent="0.3">
      <c r="A39" s="19"/>
      <c r="B39" s="20">
        <v>44943</v>
      </c>
      <c r="C39" s="20">
        <f t="shared" si="0"/>
        <v>44943</v>
      </c>
      <c r="D39" s="19">
        <f t="shared" si="1"/>
        <v>1</v>
      </c>
      <c r="E39" s="32">
        <f t="shared" si="2"/>
        <v>-7097588</v>
      </c>
      <c r="F39" s="8"/>
      <c r="G39" s="8">
        <v>7000000</v>
      </c>
      <c r="H39" s="8"/>
      <c r="I39" s="15"/>
      <c r="J39" s="16"/>
      <c r="K39" s="8"/>
      <c r="L39" s="8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</row>
    <row r="40" spans="1:63" s="4" customFormat="1" x14ac:dyDescent="0.3">
      <c r="A40" s="19"/>
      <c r="B40" s="20">
        <v>44944</v>
      </c>
      <c r="C40" s="20">
        <f t="shared" si="0"/>
        <v>44951</v>
      </c>
      <c r="D40" s="19">
        <f t="shared" si="1"/>
        <v>8</v>
      </c>
      <c r="E40" s="32">
        <f t="shared" si="2"/>
        <v>-4097588</v>
      </c>
      <c r="F40" s="8">
        <v>3000000</v>
      </c>
      <c r="G40" s="8"/>
      <c r="H40" s="8"/>
      <c r="I40" s="15"/>
      <c r="J40" s="16"/>
      <c r="K40" s="8"/>
      <c r="L40" s="8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</row>
    <row r="41" spans="1:63" s="4" customFormat="1" x14ac:dyDescent="0.3">
      <c r="A41" s="19"/>
      <c r="B41" s="20">
        <v>44952</v>
      </c>
      <c r="C41" s="20">
        <f t="shared" si="0"/>
        <v>44952</v>
      </c>
      <c r="D41" s="19">
        <f t="shared" si="1"/>
        <v>1</v>
      </c>
      <c r="E41" s="32">
        <f t="shared" si="2"/>
        <v>-97588</v>
      </c>
      <c r="F41" s="8">
        <v>4000000</v>
      </c>
      <c r="G41" s="8"/>
      <c r="H41" s="8"/>
      <c r="I41" s="15"/>
      <c r="J41" s="16"/>
      <c r="K41" s="8"/>
      <c r="L41" s="8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</row>
    <row r="42" spans="1:63" s="4" customFormat="1" x14ac:dyDescent="0.3">
      <c r="A42" s="19"/>
      <c r="B42" s="20">
        <v>44953</v>
      </c>
      <c r="C42" s="20">
        <f t="shared" si="0"/>
        <v>44953</v>
      </c>
      <c r="D42" s="19">
        <f t="shared" si="1"/>
        <v>1</v>
      </c>
      <c r="E42" s="32">
        <f t="shared" si="2"/>
        <v>-200915</v>
      </c>
      <c r="F42" s="8"/>
      <c r="G42" s="8">
        <v>103327</v>
      </c>
      <c r="H42" s="8"/>
      <c r="I42" s="15"/>
      <c r="J42" s="16"/>
      <c r="K42" s="8"/>
      <c r="L42" s="8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</row>
    <row r="43" spans="1:63" s="4" customFormat="1" x14ac:dyDescent="0.3">
      <c r="A43" s="19"/>
      <c r="B43" s="20">
        <v>44954</v>
      </c>
      <c r="C43" s="20">
        <f t="shared" si="0"/>
        <v>44956</v>
      </c>
      <c r="D43" s="19">
        <f t="shared" si="1"/>
        <v>3</v>
      </c>
      <c r="E43" s="32">
        <f t="shared" si="2"/>
        <v>-915</v>
      </c>
      <c r="F43" s="8">
        <v>1200000</v>
      </c>
      <c r="G43" s="8">
        <v>1000000</v>
      </c>
      <c r="H43" s="8"/>
      <c r="I43" s="15"/>
      <c r="J43" s="16"/>
      <c r="K43" s="8"/>
      <c r="L43" s="8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</row>
    <row r="44" spans="1:63" s="4" customFormat="1" x14ac:dyDescent="0.3">
      <c r="A44" s="19"/>
      <c r="B44" s="20">
        <v>44957</v>
      </c>
      <c r="C44" s="20">
        <f t="shared" si="0"/>
        <v>44958</v>
      </c>
      <c r="D44" s="19">
        <f t="shared" si="1"/>
        <v>2</v>
      </c>
      <c r="E44" s="32">
        <f t="shared" si="2"/>
        <v>-1315</v>
      </c>
      <c r="F44" s="8"/>
      <c r="G44" s="8">
        <v>400</v>
      </c>
      <c r="H44" s="8"/>
      <c r="I44" s="15"/>
      <c r="J44" s="16"/>
      <c r="K44" s="8"/>
      <c r="L44" s="8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</row>
    <row r="45" spans="1:63" s="4" customFormat="1" x14ac:dyDescent="0.3">
      <c r="A45" s="19"/>
      <c r="B45" s="20">
        <v>44959</v>
      </c>
      <c r="C45" s="20">
        <f t="shared" si="0"/>
        <v>44959</v>
      </c>
      <c r="D45" s="19">
        <f t="shared" si="1"/>
        <v>1</v>
      </c>
      <c r="E45" s="32">
        <f t="shared" si="2"/>
        <v>-381662</v>
      </c>
      <c r="F45" s="8">
        <v>8500000</v>
      </c>
      <c r="G45" s="8">
        <v>8880347</v>
      </c>
      <c r="H45" s="8"/>
      <c r="I45" s="15"/>
      <c r="J45" s="16"/>
      <c r="K45" s="8"/>
      <c r="L45" s="8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</row>
    <row r="46" spans="1:63" s="4" customFormat="1" x14ac:dyDescent="0.3">
      <c r="A46" s="19"/>
      <c r="B46" s="20">
        <v>44960</v>
      </c>
      <c r="C46" s="20">
        <f t="shared" si="0"/>
        <v>44965</v>
      </c>
      <c r="D46" s="19">
        <f t="shared" si="1"/>
        <v>6</v>
      </c>
      <c r="E46" s="32">
        <f t="shared" si="2"/>
        <v>-81662</v>
      </c>
      <c r="F46" s="8">
        <v>300000</v>
      </c>
      <c r="G46" s="8"/>
      <c r="H46" s="8"/>
      <c r="I46" s="15"/>
      <c r="J46" s="16"/>
      <c r="K46" s="8"/>
      <c r="L46" s="8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</row>
    <row r="47" spans="1:63" s="4" customFormat="1" x14ac:dyDescent="0.3">
      <c r="A47" s="19"/>
      <c r="B47" s="20">
        <v>44966</v>
      </c>
      <c r="C47" s="20">
        <f t="shared" si="0"/>
        <v>44976</v>
      </c>
      <c r="D47" s="19">
        <f t="shared" si="1"/>
        <v>11</v>
      </c>
      <c r="E47" s="32">
        <f t="shared" si="2"/>
        <v>-21662</v>
      </c>
      <c r="F47" s="8">
        <v>180000</v>
      </c>
      <c r="G47" s="8">
        <v>120000</v>
      </c>
      <c r="H47" s="8"/>
      <c r="I47" s="15"/>
      <c r="J47" s="16"/>
      <c r="K47" s="8"/>
      <c r="L47" s="8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</row>
    <row r="48" spans="1:63" s="4" customFormat="1" x14ac:dyDescent="0.3">
      <c r="A48" s="19"/>
      <c r="B48" s="20">
        <v>44977</v>
      </c>
      <c r="C48" s="20">
        <f t="shared" si="0"/>
        <v>44977</v>
      </c>
      <c r="D48" s="19">
        <f t="shared" si="1"/>
        <v>1</v>
      </c>
      <c r="E48" s="32">
        <f t="shared" si="2"/>
        <v>-1021662</v>
      </c>
      <c r="F48" s="8"/>
      <c r="G48" s="8">
        <v>1000000</v>
      </c>
      <c r="H48" s="8"/>
      <c r="I48" s="15"/>
      <c r="J48" s="16"/>
      <c r="K48" s="8"/>
      <c r="L48" s="8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</row>
    <row r="49" spans="1:63" s="4" customFormat="1" x14ac:dyDescent="0.3">
      <c r="A49" s="19"/>
      <c r="B49" s="20">
        <v>44978</v>
      </c>
      <c r="C49" s="20">
        <f t="shared" si="0"/>
        <v>44978</v>
      </c>
      <c r="D49" s="19">
        <f t="shared" si="1"/>
        <v>1</v>
      </c>
      <c r="E49" s="32">
        <f t="shared" si="2"/>
        <v>-21662</v>
      </c>
      <c r="F49" s="8">
        <v>1000000</v>
      </c>
      <c r="G49" s="8"/>
      <c r="H49" s="8"/>
      <c r="I49" s="15"/>
      <c r="J49" s="16"/>
      <c r="K49" s="8"/>
      <c r="L49" s="8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</row>
    <row r="50" spans="1:63" s="4" customFormat="1" x14ac:dyDescent="0.3">
      <c r="A50" s="19"/>
      <c r="B50" s="20">
        <v>44979</v>
      </c>
      <c r="C50" s="20">
        <f t="shared" si="0"/>
        <v>44980</v>
      </c>
      <c r="D50" s="19">
        <f t="shared" si="1"/>
        <v>2</v>
      </c>
      <c r="E50" s="32">
        <f t="shared" si="2"/>
        <v>-16721662</v>
      </c>
      <c r="F50" s="8"/>
      <c r="G50" s="8">
        <v>16700000</v>
      </c>
      <c r="H50" s="8"/>
      <c r="I50" s="15"/>
      <c r="J50" s="16"/>
      <c r="K50" s="8"/>
      <c r="L50" s="8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</row>
    <row r="51" spans="1:63" s="4" customFormat="1" x14ac:dyDescent="0.3">
      <c r="A51" s="19"/>
      <c r="B51" s="20">
        <v>44981</v>
      </c>
      <c r="C51" s="20">
        <f t="shared" si="0"/>
        <v>44983</v>
      </c>
      <c r="D51" s="19">
        <f t="shared" si="1"/>
        <v>3</v>
      </c>
      <c r="E51" s="32">
        <f t="shared" si="2"/>
        <v>-15721662</v>
      </c>
      <c r="F51" s="8">
        <v>1000000</v>
      </c>
      <c r="G51" s="8"/>
      <c r="H51" s="8"/>
      <c r="I51" s="15"/>
      <c r="J51" s="16"/>
      <c r="K51" s="8"/>
      <c r="L51" s="8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</row>
    <row r="52" spans="1:63" s="4" customFormat="1" x14ac:dyDescent="0.3">
      <c r="A52" s="19"/>
      <c r="B52" s="20">
        <v>44984</v>
      </c>
      <c r="C52" s="20">
        <f t="shared" si="0"/>
        <v>44984</v>
      </c>
      <c r="D52" s="19">
        <f t="shared" si="1"/>
        <v>1</v>
      </c>
      <c r="E52" s="32">
        <f t="shared" si="2"/>
        <v>-15571662</v>
      </c>
      <c r="F52" s="8">
        <v>250000</v>
      </c>
      <c r="G52" s="8">
        <v>100000</v>
      </c>
      <c r="H52" s="8"/>
      <c r="I52" s="15"/>
      <c r="J52" s="16"/>
      <c r="K52" s="8"/>
      <c r="L52" s="8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</row>
    <row r="53" spans="1:63" s="4" customFormat="1" x14ac:dyDescent="0.3">
      <c r="A53" s="19"/>
      <c r="B53" s="20">
        <v>44985</v>
      </c>
      <c r="C53" s="20">
        <f t="shared" si="0"/>
        <v>44986</v>
      </c>
      <c r="D53" s="19">
        <f t="shared" si="1"/>
        <v>2</v>
      </c>
      <c r="E53" s="32">
        <f t="shared" si="2"/>
        <v>-15572286</v>
      </c>
      <c r="F53" s="8"/>
      <c r="G53" s="8">
        <v>624</v>
      </c>
      <c r="H53" s="8"/>
      <c r="I53" s="15"/>
      <c r="J53" s="16"/>
      <c r="K53" s="8"/>
      <c r="L53" s="8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</row>
    <row r="54" spans="1:63" s="4" customFormat="1" x14ac:dyDescent="0.3">
      <c r="A54" s="19"/>
      <c r="B54" s="20">
        <v>44987</v>
      </c>
      <c r="C54" s="20">
        <f t="shared" si="0"/>
        <v>44987</v>
      </c>
      <c r="D54" s="19">
        <f t="shared" si="1"/>
        <v>1</v>
      </c>
      <c r="E54" s="32">
        <f t="shared" si="2"/>
        <v>-16822711</v>
      </c>
      <c r="F54" s="8">
        <v>9000000</v>
      </c>
      <c r="G54" s="8">
        <v>10250425</v>
      </c>
      <c r="H54" s="8"/>
      <c r="I54" s="15"/>
      <c r="J54" s="16"/>
      <c r="K54" s="8"/>
      <c r="L54" s="8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</row>
    <row r="55" spans="1:63" s="4" customFormat="1" x14ac:dyDescent="0.3">
      <c r="A55" s="19"/>
      <c r="B55" s="20">
        <v>44988</v>
      </c>
      <c r="C55" s="20">
        <f t="shared" si="0"/>
        <v>45006</v>
      </c>
      <c r="D55" s="19">
        <f t="shared" si="1"/>
        <v>19</v>
      </c>
      <c r="E55" s="32">
        <f t="shared" si="2"/>
        <v>-4822711</v>
      </c>
      <c r="F55" s="8">
        <v>12000000</v>
      </c>
      <c r="G55" s="8"/>
      <c r="H55" s="8"/>
      <c r="I55" s="15"/>
      <c r="J55" s="16"/>
      <c r="K55" s="8"/>
      <c r="L55" s="8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</row>
    <row r="56" spans="1:63" s="4" customFormat="1" x14ac:dyDescent="0.3">
      <c r="A56" s="19"/>
      <c r="B56" s="20">
        <v>45007</v>
      </c>
      <c r="C56" s="20">
        <f t="shared" si="0"/>
        <v>45015</v>
      </c>
      <c r="D56" s="19">
        <f t="shared" si="1"/>
        <v>9</v>
      </c>
      <c r="E56" s="32">
        <f t="shared" si="2"/>
        <v>-1822711</v>
      </c>
      <c r="F56" s="8">
        <v>3000000</v>
      </c>
      <c r="G56" s="8"/>
      <c r="H56" s="8"/>
      <c r="I56" s="15"/>
      <c r="J56" s="16"/>
      <c r="K56" s="8"/>
      <c r="L56" s="8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</row>
    <row r="57" spans="1:63" s="4" customFormat="1" x14ac:dyDescent="0.3">
      <c r="A57" s="19"/>
      <c r="B57" s="20">
        <v>45016</v>
      </c>
      <c r="C57" s="20">
        <f t="shared" si="0"/>
        <v>45018</v>
      </c>
      <c r="D57" s="19">
        <f t="shared" si="1"/>
        <v>3</v>
      </c>
      <c r="E57" s="32">
        <f t="shared" si="2"/>
        <v>-1823490</v>
      </c>
      <c r="F57" s="8">
        <v>800000</v>
      </c>
      <c r="G57" s="8">
        <v>800779</v>
      </c>
      <c r="H57" s="8"/>
      <c r="I57" s="15"/>
      <c r="J57" s="16"/>
      <c r="K57" s="8"/>
      <c r="L57" s="8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</row>
    <row r="58" spans="1:63" s="4" customFormat="1" x14ac:dyDescent="0.3">
      <c r="A58" s="19"/>
      <c r="B58" s="20">
        <v>45019</v>
      </c>
      <c r="C58" s="20">
        <f t="shared" si="0"/>
        <v>45019</v>
      </c>
      <c r="D58" s="19">
        <f t="shared" si="1"/>
        <v>1</v>
      </c>
      <c r="E58" s="32">
        <f t="shared" si="2"/>
        <v>-1913490</v>
      </c>
      <c r="F58" s="8"/>
      <c r="G58" s="8">
        <v>90000</v>
      </c>
      <c r="H58" s="8"/>
      <c r="I58" s="15"/>
      <c r="J58" s="16"/>
      <c r="K58" s="8"/>
      <c r="L58" s="8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</row>
    <row r="59" spans="1:63" s="4" customFormat="1" x14ac:dyDescent="0.3">
      <c r="A59" s="19"/>
      <c r="B59" s="20">
        <v>45020</v>
      </c>
      <c r="C59" s="20">
        <f t="shared" si="0"/>
        <v>45020</v>
      </c>
      <c r="D59" s="19">
        <f t="shared" si="1"/>
        <v>1</v>
      </c>
      <c r="E59" s="32">
        <f t="shared" si="2"/>
        <v>-2060544</v>
      </c>
      <c r="F59" s="8">
        <v>13300000</v>
      </c>
      <c r="G59" s="8">
        <v>13447054</v>
      </c>
      <c r="H59" s="8"/>
      <c r="I59" s="15"/>
      <c r="J59" s="16"/>
      <c r="K59" s="8"/>
      <c r="L59" s="8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</row>
    <row r="60" spans="1:63" s="4" customFormat="1" x14ac:dyDescent="0.3">
      <c r="A60" s="19"/>
      <c r="B60" s="20">
        <v>45021</v>
      </c>
      <c r="C60" s="20">
        <f t="shared" si="0"/>
        <v>45025</v>
      </c>
      <c r="D60" s="19">
        <f t="shared" si="1"/>
        <v>5</v>
      </c>
      <c r="E60" s="32">
        <f t="shared" si="2"/>
        <v>-160544</v>
      </c>
      <c r="F60" s="8">
        <v>6600000</v>
      </c>
      <c r="G60" s="8">
        <v>4700000</v>
      </c>
      <c r="H60" s="8"/>
      <c r="I60" s="15"/>
      <c r="J60" s="16"/>
      <c r="K60" s="8"/>
      <c r="L60" s="8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</row>
    <row r="61" spans="1:63" s="4" customFormat="1" x14ac:dyDescent="0.3">
      <c r="A61" s="19"/>
      <c r="B61" s="20">
        <v>45026</v>
      </c>
      <c r="C61" s="20">
        <f t="shared" si="0"/>
        <v>45028</v>
      </c>
      <c r="D61" s="19">
        <f t="shared" si="1"/>
        <v>3</v>
      </c>
      <c r="E61" s="32">
        <f t="shared" si="2"/>
        <v>-10660544</v>
      </c>
      <c r="F61" s="8"/>
      <c r="G61" s="8">
        <v>10500000</v>
      </c>
      <c r="H61" s="8"/>
      <c r="I61" s="15"/>
      <c r="J61" s="16"/>
      <c r="K61" s="8"/>
      <c r="L61" s="8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</row>
    <row r="62" spans="1:63" s="4" customFormat="1" x14ac:dyDescent="0.3">
      <c r="A62" s="19"/>
      <c r="B62" s="20">
        <v>45029</v>
      </c>
      <c r="C62" s="20">
        <f t="shared" si="0"/>
        <v>45032</v>
      </c>
      <c r="D62" s="19">
        <f t="shared" si="1"/>
        <v>4</v>
      </c>
      <c r="E62" s="32">
        <f t="shared" si="2"/>
        <v>-10160544</v>
      </c>
      <c r="F62" s="8">
        <v>500000</v>
      </c>
      <c r="G62" s="8"/>
      <c r="H62" s="8"/>
      <c r="I62" s="15"/>
      <c r="J62" s="16"/>
      <c r="K62" s="8"/>
      <c r="L62" s="8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</row>
    <row r="63" spans="1:63" s="4" customFormat="1" x14ac:dyDescent="0.3">
      <c r="A63" s="19"/>
      <c r="B63" s="20">
        <v>45033</v>
      </c>
      <c r="C63" s="20">
        <f t="shared" si="0"/>
        <v>45041</v>
      </c>
      <c r="D63" s="19">
        <f t="shared" si="1"/>
        <v>9</v>
      </c>
      <c r="E63" s="32">
        <f t="shared" si="2"/>
        <v>-7160544</v>
      </c>
      <c r="F63" s="8">
        <v>3000000</v>
      </c>
      <c r="G63" s="8"/>
      <c r="H63" s="8"/>
      <c r="I63" s="15"/>
      <c r="J63" s="16"/>
      <c r="K63" s="8"/>
      <c r="L63" s="8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</row>
    <row r="64" spans="1:63" s="4" customFormat="1" x14ac:dyDescent="0.3">
      <c r="A64" s="19"/>
      <c r="B64" s="20">
        <v>45042</v>
      </c>
      <c r="C64" s="20">
        <f t="shared" si="0"/>
        <v>45042</v>
      </c>
      <c r="D64" s="19">
        <f t="shared" si="1"/>
        <v>1</v>
      </c>
      <c r="E64" s="32">
        <f t="shared" si="2"/>
        <v>-1160544</v>
      </c>
      <c r="F64" s="8">
        <v>6000000</v>
      </c>
      <c r="G64" s="8"/>
      <c r="H64" s="8"/>
      <c r="I64" s="15"/>
      <c r="J64" s="16"/>
      <c r="K64" s="8"/>
      <c r="L64" s="8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</row>
    <row r="65" spans="1:63" s="4" customFormat="1" x14ac:dyDescent="0.3">
      <c r="A65" s="19"/>
      <c r="B65" s="20">
        <v>45043</v>
      </c>
      <c r="C65" s="20">
        <f t="shared" si="0"/>
        <v>45045</v>
      </c>
      <c r="D65" s="19">
        <f t="shared" si="1"/>
        <v>3</v>
      </c>
      <c r="E65" s="32">
        <f t="shared" si="2"/>
        <v>-1010544</v>
      </c>
      <c r="F65" s="8">
        <v>460000</v>
      </c>
      <c r="G65" s="8">
        <v>310000</v>
      </c>
      <c r="H65" s="8"/>
      <c r="I65" s="15"/>
      <c r="J65" s="16"/>
      <c r="K65" s="8"/>
      <c r="L65" s="8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</row>
    <row r="66" spans="1:63" s="4" customFormat="1" x14ac:dyDescent="0.3">
      <c r="A66" s="19"/>
      <c r="B66" s="20">
        <v>45046</v>
      </c>
      <c r="C66" s="20">
        <f t="shared" si="0"/>
        <v>45049</v>
      </c>
      <c r="D66" s="19">
        <f t="shared" si="1"/>
        <v>4</v>
      </c>
      <c r="E66" s="32">
        <f t="shared" si="2"/>
        <v>-1012578</v>
      </c>
      <c r="F66" s="8"/>
      <c r="G66" s="8">
        <v>2034</v>
      </c>
      <c r="H66" s="8"/>
      <c r="I66" s="15"/>
      <c r="J66" s="16"/>
      <c r="K66" s="8"/>
      <c r="L66" s="8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</row>
    <row r="67" spans="1:63" s="4" customFormat="1" x14ac:dyDescent="0.3">
      <c r="A67" s="19"/>
      <c r="B67" s="20">
        <v>45050</v>
      </c>
      <c r="C67" s="20">
        <f t="shared" si="0"/>
        <v>45051</v>
      </c>
      <c r="D67" s="19">
        <f t="shared" si="1"/>
        <v>2</v>
      </c>
      <c r="E67" s="32">
        <f t="shared" si="2"/>
        <v>-6950241</v>
      </c>
      <c r="F67" s="8">
        <v>5000000</v>
      </c>
      <c r="G67" s="8">
        <v>10937663</v>
      </c>
      <c r="H67" s="8"/>
      <c r="I67" s="15"/>
      <c r="J67" s="16"/>
      <c r="K67" s="8"/>
      <c r="L67" s="8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</row>
    <row r="68" spans="1:63" s="4" customFormat="1" x14ac:dyDescent="0.3">
      <c r="A68" s="19"/>
      <c r="B68" s="20">
        <v>45052</v>
      </c>
      <c r="C68" s="20">
        <f t="shared" si="0"/>
        <v>45053</v>
      </c>
      <c r="D68" s="19">
        <f t="shared" si="1"/>
        <v>2</v>
      </c>
      <c r="E68" s="32">
        <f t="shared" si="2"/>
        <v>-950241</v>
      </c>
      <c r="F68" s="8">
        <v>6000000</v>
      </c>
      <c r="G68" s="8"/>
      <c r="H68" s="8"/>
      <c r="I68" s="15"/>
      <c r="J68" s="16"/>
      <c r="K68" s="8"/>
      <c r="L68" s="8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</row>
    <row r="69" spans="1:63" s="4" customFormat="1" x14ac:dyDescent="0.3">
      <c r="A69" s="19"/>
      <c r="B69" s="20">
        <v>45054</v>
      </c>
      <c r="C69" s="20">
        <f t="shared" si="0"/>
        <v>45067</v>
      </c>
      <c r="D69" s="19">
        <f t="shared" si="1"/>
        <v>14</v>
      </c>
      <c r="E69" s="32">
        <f t="shared" si="2"/>
        <v>-500241</v>
      </c>
      <c r="F69" s="8">
        <v>450000</v>
      </c>
      <c r="G69" s="8"/>
      <c r="H69" s="8"/>
      <c r="I69" s="15"/>
      <c r="J69" s="16"/>
      <c r="K69" s="8"/>
      <c r="L69" s="8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</row>
    <row r="70" spans="1:63" s="4" customFormat="1" x14ac:dyDescent="0.3">
      <c r="A70" s="19"/>
      <c r="B70" s="20">
        <v>45068</v>
      </c>
      <c r="C70" s="20">
        <f t="shared" si="0"/>
        <v>45068</v>
      </c>
      <c r="D70" s="19">
        <f t="shared" si="1"/>
        <v>1</v>
      </c>
      <c r="E70" s="32">
        <f t="shared" si="2"/>
        <v>-2200241</v>
      </c>
      <c r="F70" s="8"/>
      <c r="G70" s="8">
        <v>1700000</v>
      </c>
      <c r="H70" s="8"/>
      <c r="I70" s="15"/>
      <c r="J70" s="16"/>
      <c r="K70" s="8"/>
      <c r="L70" s="8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</row>
    <row r="71" spans="1:63" s="4" customFormat="1" x14ac:dyDescent="0.3">
      <c r="A71" s="19"/>
      <c r="B71" s="20">
        <v>45069</v>
      </c>
      <c r="C71" s="20">
        <f t="shared" si="0"/>
        <v>45076</v>
      </c>
      <c r="D71" s="19">
        <f t="shared" si="1"/>
        <v>8</v>
      </c>
      <c r="E71" s="32">
        <f t="shared" si="2"/>
        <v>-200241</v>
      </c>
      <c r="F71" s="8">
        <v>2000000</v>
      </c>
      <c r="G71" s="8"/>
      <c r="H71" s="8"/>
      <c r="I71" s="15"/>
      <c r="J71" s="16"/>
      <c r="K71" s="8"/>
      <c r="L71" s="8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</row>
    <row r="72" spans="1:63" s="4" customFormat="1" x14ac:dyDescent="0.3">
      <c r="A72" s="19"/>
      <c r="B72" s="20">
        <v>45077</v>
      </c>
      <c r="C72" s="20">
        <f t="shared" si="0"/>
        <v>45078</v>
      </c>
      <c r="D72" s="19">
        <f t="shared" si="1"/>
        <v>2</v>
      </c>
      <c r="E72" s="32">
        <f t="shared" si="2"/>
        <v>-100648</v>
      </c>
      <c r="F72" s="8">
        <v>100000</v>
      </c>
      <c r="G72" s="8">
        <v>407</v>
      </c>
      <c r="H72" s="8"/>
      <c r="I72" s="15"/>
      <c r="J72" s="16"/>
      <c r="K72" s="8"/>
      <c r="L72" s="8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</row>
    <row r="73" spans="1:63" s="4" customFormat="1" x14ac:dyDescent="0.3">
      <c r="A73" s="19"/>
      <c r="B73" s="20">
        <v>45079</v>
      </c>
      <c r="C73" s="20">
        <f t="shared" si="0"/>
        <v>45102</v>
      </c>
      <c r="D73" s="19">
        <f t="shared" si="1"/>
        <v>24</v>
      </c>
      <c r="E73" s="32">
        <f t="shared" si="2"/>
        <v>-409365</v>
      </c>
      <c r="F73" s="8">
        <v>8000000</v>
      </c>
      <c r="G73" s="8">
        <v>8308717</v>
      </c>
      <c r="H73" s="8"/>
      <c r="I73" s="15"/>
      <c r="J73" s="16"/>
      <c r="K73" s="8"/>
      <c r="L73" s="8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</row>
    <row r="74" spans="1:63" s="4" customFormat="1" x14ac:dyDescent="0.3">
      <c r="A74" s="19"/>
      <c r="B74" s="20">
        <v>45103</v>
      </c>
      <c r="C74" s="20">
        <f t="shared" si="0"/>
        <v>45106</v>
      </c>
      <c r="D74" s="19">
        <f t="shared" si="1"/>
        <v>4</v>
      </c>
      <c r="E74" s="32">
        <f t="shared" si="2"/>
        <v>-239365</v>
      </c>
      <c r="F74" s="8">
        <v>170000</v>
      </c>
      <c r="G74" s="8"/>
      <c r="H74" s="8"/>
      <c r="I74" s="15"/>
      <c r="J74" s="16"/>
      <c r="K74" s="8"/>
      <c r="L74" s="8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</row>
    <row r="75" spans="1:63" s="4" customFormat="1" x14ac:dyDescent="0.3">
      <c r="A75" s="19"/>
      <c r="B75" s="20">
        <v>45107</v>
      </c>
      <c r="C75" s="20">
        <f t="shared" si="0"/>
        <v>45107</v>
      </c>
      <c r="D75" s="19">
        <f t="shared" si="1"/>
        <v>1</v>
      </c>
      <c r="E75" s="32">
        <f t="shared" si="2"/>
        <v>-1239510</v>
      </c>
      <c r="F75" s="8"/>
      <c r="G75" s="8">
        <v>1000145</v>
      </c>
      <c r="H75" s="8"/>
      <c r="I75" s="15"/>
      <c r="J75" s="16"/>
      <c r="K75" s="8"/>
      <c r="L75" s="8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</row>
    <row r="76" spans="1:63" s="4" customFormat="1" x14ac:dyDescent="0.3">
      <c r="A76" s="19"/>
      <c r="B76" s="20">
        <v>45108</v>
      </c>
      <c r="C76" s="20">
        <f t="shared" si="0"/>
        <v>45109</v>
      </c>
      <c r="D76" s="19">
        <f t="shared" si="1"/>
        <v>2</v>
      </c>
      <c r="E76" s="32">
        <f t="shared" si="2"/>
        <v>-189510</v>
      </c>
      <c r="F76" s="8">
        <v>1050000</v>
      </c>
      <c r="G76" s="8"/>
      <c r="H76" s="8"/>
      <c r="I76" s="15"/>
      <c r="J76" s="16"/>
      <c r="K76" s="8"/>
      <c r="L76" s="8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</row>
    <row r="77" spans="1:63" s="4" customFormat="1" x14ac:dyDescent="0.3">
      <c r="A77" s="19"/>
      <c r="B77" s="20">
        <v>45110</v>
      </c>
      <c r="C77" s="20">
        <f t="shared" si="0"/>
        <v>45117</v>
      </c>
      <c r="D77" s="19">
        <f t="shared" si="1"/>
        <v>8</v>
      </c>
      <c r="E77" s="32">
        <f t="shared" si="2"/>
        <v>-75916</v>
      </c>
      <c r="F77" s="8">
        <v>12000000</v>
      </c>
      <c r="G77" s="8">
        <v>11886406</v>
      </c>
      <c r="H77" s="8"/>
      <c r="I77" s="15"/>
      <c r="J77" s="16"/>
      <c r="K77" s="8"/>
      <c r="L77" s="8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</row>
    <row r="78" spans="1:63" s="4" customFormat="1" x14ac:dyDescent="0.3">
      <c r="A78" s="19"/>
      <c r="B78" s="20">
        <v>45118</v>
      </c>
      <c r="C78" s="20">
        <f t="shared" ref="C78:C141" si="3">B79-1</f>
        <v>45118</v>
      </c>
      <c r="D78" s="19">
        <f t="shared" ref="D78:D141" si="4">C78-B78+1</f>
        <v>1</v>
      </c>
      <c r="E78" s="32">
        <f t="shared" si="2"/>
        <v>-9075916</v>
      </c>
      <c r="F78" s="8">
        <v>1000000</v>
      </c>
      <c r="G78" s="8">
        <v>10000000</v>
      </c>
      <c r="H78" s="8"/>
      <c r="I78" s="15"/>
      <c r="J78" s="16"/>
      <c r="K78" s="8"/>
      <c r="L78" s="8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</row>
    <row r="79" spans="1:63" s="4" customFormat="1" x14ac:dyDescent="0.3">
      <c r="A79" s="19"/>
      <c r="B79" s="20">
        <v>45119</v>
      </c>
      <c r="C79" s="20">
        <f t="shared" si="3"/>
        <v>45127</v>
      </c>
      <c r="D79" s="19">
        <f t="shared" si="4"/>
        <v>9</v>
      </c>
      <c r="E79" s="32">
        <f t="shared" ref="E79:E142" si="5">E78+F79-G79</f>
        <v>-75916</v>
      </c>
      <c r="F79" s="8">
        <v>9000000</v>
      </c>
      <c r="G79" s="8"/>
      <c r="H79" s="8"/>
      <c r="I79" s="15"/>
      <c r="J79" s="16"/>
      <c r="K79" s="8"/>
      <c r="L79" s="8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</row>
    <row r="80" spans="1:63" s="4" customFormat="1" x14ac:dyDescent="0.3">
      <c r="A80" s="19"/>
      <c r="B80" s="20">
        <v>45128</v>
      </c>
      <c r="C80" s="20">
        <f t="shared" si="3"/>
        <v>45130</v>
      </c>
      <c r="D80" s="19">
        <f t="shared" si="4"/>
        <v>3</v>
      </c>
      <c r="E80" s="32">
        <f t="shared" si="5"/>
        <v>-3275916</v>
      </c>
      <c r="F80" s="8"/>
      <c r="G80" s="8">
        <v>3200000</v>
      </c>
      <c r="H80" s="8"/>
      <c r="I80" s="15"/>
      <c r="J80" s="16"/>
      <c r="K80" s="8"/>
      <c r="L80" s="8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</row>
    <row r="81" spans="1:63" s="4" customFormat="1" x14ac:dyDescent="0.3">
      <c r="A81" s="19"/>
      <c r="B81" s="20">
        <v>45131</v>
      </c>
      <c r="C81" s="20">
        <f t="shared" si="3"/>
        <v>45137</v>
      </c>
      <c r="D81" s="19">
        <f t="shared" si="4"/>
        <v>7</v>
      </c>
      <c r="E81" s="32">
        <f t="shared" si="5"/>
        <v>-75916</v>
      </c>
      <c r="F81" s="8">
        <v>3200000</v>
      </c>
      <c r="G81" s="8"/>
      <c r="H81" s="8"/>
      <c r="I81" s="15"/>
      <c r="J81" s="16"/>
      <c r="K81" s="8"/>
      <c r="L81" s="8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</row>
    <row r="82" spans="1:63" s="4" customFormat="1" x14ac:dyDescent="0.3">
      <c r="A82" s="19"/>
      <c r="B82" s="20">
        <v>45138</v>
      </c>
      <c r="C82" s="20">
        <f t="shared" si="3"/>
        <v>45138</v>
      </c>
      <c r="D82" s="19">
        <f t="shared" si="4"/>
        <v>1</v>
      </c>
      <c r="E82" s="32">
        <f t="shared" si="5"/>
        <v>-75973</v>
      </c>
      <c r="F82" s="8"/>
      <c r="G82" s="8">
        <v>57</v>
      </c>
      <c r="H82" s="8"/>
      <c r="I82" s="15"/>
      <c r="J82" s="16"/>
      <c r="K82" s="8"/>
      <c r="L82" s="8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</row>
    <row r="83" spans="1:63" s="4" customFormat="1" x14ac:dyDescent="0.3">
      <c r="A83" s="19"/>
      <c r="B83" s="20">
        <v>45139</v>
      </c>
      <c r="C83" s="20">
        <f t="shared" si="3"/>
        <v>45148</v>
      </c>
      <c r="D83" s="19">
        <f t="shared" si="4"/>
        <v>10</v>
      </c>
      <c r="E83" s="32">
        <f t="shared" si="5"/>
        <v>-96143</v>
      </c>
      <c r="F83" s="8">
        <v>10800000</v>
      </c>
      <c r="G83" s="8">
        <v>10820170</v>
      </c>
      <c r="H83" s="8"/>
      <c r="I83" s="15"/>
      <c r="J83" s="16"/>
      <c r="K83" s="8"/>
      <c r="L83" s="8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</row>
    <row r="84" spans="1:63" s="4" customFormat="1" x14ac:dyDescent="0.3">
      <c r="A84" s="19"/>
      <c r="B84" s="20">
        <v>45149</v>
      </c>
      <c r="C84" s="20">
        <f t="shared" si="3"/>
        <v>45149</v>
      </c>
      <c r="D84" s="19">
        <f t="shared" si="4"/>
        <v>1</v>
      </c>
      <c r="E84" s="32">
        <f t="shared" si="5"/>
        <v>-6096143</v>
      </c>
      <c r="F84" s="8"/>
      <c r="G84" s="8">
        <v>6000000</v>
      </c>
      <c r="H84" s="8"/>
      <c r="I84" s="15"/>
      <c r="J84" s="16"/>
      <c r="K84" s="8"/>
      <c r="L84" s="8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</row>
    <row r="85" spans="1:63" s="4" customFormat="1" x14ac:dyDescent="0.3">
      <c r="A85" s="19"/>
      <c r="B85" s="20">
        <v>45150</v>
      </c>
      <c r="C85" s="20">
        <f t="shared" si="3"/>
        <v>45151</v>
      </c>
      <c r="D85" s="19">
        <f t="shared" si="4"/>
        <v>2</v>
      </c>
      <c r="E85" s="32">
        <f t="shared" si="5"/>
        <v>-96143</v>
      </c>
      <c r="F85" s="8">
        <v>6000000</v>
      </c>
      <c r="G85" s="8"/>
      <c r="H85" s="8"/>
      <c r="I85" s="15"/>
      <c r="J85" s="16"/>
      <c r="K85" s="8"/>
      <c r="L85" s="8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</row>
    <row r="86" spans="1:63" s="4" customFormat="1" x14ac:dyDescent="0.3">
      <c r="A86" s="19"/>
      <c r="B86" s="20">
        <v>45152</v>
      </c>
      <c r="C86" s="20">
        <f t="shared" si="3"/>
        <v>45152</v>
      </c>
      <c r="D86" s="19">
        <f t="shared" si="4"/>
        <v>1</v>
      </c>
      <c r="E86" s="32">
        <f t="shared" si="5"/>
        <v>-56143</v>
      </c>
      <c r="F86" s="8">
        <v>40000</v>
      </c>
      <c r="G86" s="8"/>
      <c r="H86" s="8"/>
      <c r="I86" s="15"/>
      <c r="J86" s="16"/>
      <c r="K86" s="8"/>
      <c r="L86" s="8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</row>
    <row r="87" spans="1:63" s="4" customFormat="1" x14ac:dyDescent="0.3">
      <c r="A87" s="19"/>
      <c r="B87" s="20">
        <v>45153</v>
      </c>
      <c r="C87" s="20">
        <f t="shared" si="3"/>
        <v>45153</v>
      </c>
      <c r="D87" s="19">
        <f t="shared" si="4"/>
        <v>1</v>
      </c>
      <c r="E87" s="32">
        <f t="shared" si="5"/>
        <v>-77056143</v>
      </c>
      <c r="F87" s="8"/>
      <c r="G87" s="8">
        <v>77000000</v>
      </c>
      <c r="H87" s="8"/>
      <c r="I87" s="15"/>
      <c r="J87" s="16"/>
      <c r="K87" s="8"/>
      <c r="L87" s="8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</row>
    <row r="88" spans="1:63" s="4" customFormat="1" x14ac:dyDescent="0.3">
      <c r="A88" s="19"/>
      <c r="B88" s="20">
        <v>45154</v>
      </c>
      <c r="C88" s="20">
        <f t="shared" si="3"/>
        <v>45161</v>
      </c>
      <c r="D88" s="19">
        <f t="shared" si="4"/>
        <v>8</v>
      </c>
      <c r="E88" s="32">
        <f t="shared" si="5"/>
        <v>-57056143</v>
      </c>
      <c r="F88" s="8">
        <v>20000000</v>
      </c>
      <c r="G88" s="8"/>
      <c r="H88" s="8"/>
      <c r="I88" s="15"/>
      <c r="J88" s="16"/>
      <c r="K88" s="8"/>
      <c r="L88" s="8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</row>
    <row r="89" spans="1:63" s="4" customFormat="1" x14ac:dyDescent="0.3">
      <c r="A89" s="19"/>
      <c r="B89" s="20">
        <v>45162</v>
      </c>
      <c r="C89" s="20">
        <f t="shared" si="3"/>
        <v>45168</v>
      </c>
      <c r="D89" s="19">
        <f t="shared" si="4"/>
        <v>7</v>
      </c>
      <c r="E89" s="32">
        <f t="shared" si="5"/>
        <v>-60256143</v>
      </c>
      <c r="F89" s="8"/>
      <c r="G89" s="8">
        <v>3200000</v>
      </c>
      <c r="H89" s="8"/>
      <c r="I89" s="15"/>
      <c r="J89" s="16"/>
      <c r="K89" s="8"/>
      <c r="L89" s="8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</row>
    <row r="90" spans="1:63" s="4" customFormat="1" x14ac:dyDescent="0.3">
      <c r="A90" s="19"/>
      <c r="B90" s="20">
        <v>45169</v>
      </c>
      <c r="C90" s="20">
        <f t="shared" si="3"/>
        <v>45173</v>
      </c>
      <c r="D90" s="19">
        <f t="shared" si="4"/>
        <v>5</v>
      </c>
      <c r="E90" s="32">
        <f t="shared" si="5"/>
        <v>-60258945</v>
      </c>
      <c r="F90" s="8"/>
      <c r="G90" s="8">
        <v>2802</v>
      </c>
      <c r="H90" s="8"/>
      <c r="I90" s="15"/>
      <c r="J90" s="16"/>
      <c r="K90" s="8"/>
      <c r="L90" s="8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</row>
    <row r="91" spans="1:63" s="4" customFormat="1" x14ac:dyDescent="0.3">
      <c r="A91" s="19"/>
      <c r="B91" s="20">
        <v>45174</v>
      </c>
      <c r="C91" s="20">
        <f t="shared" si="3"/>
        <v>45176</v>
      </c>
      <c r="D91" s="19">
        <f t="shared" si="4"/>
        <v>3</v>
      </c>
      <c r="E91" s="32">
        <f t="shared" si="5"/>
        <v>-43978618</v>
      </c>
      <c r="F91" s="8">
        <v>23000000</v>
      </c>
      <c r="G91" s="8">
        <v>6719673</v>
      </c>
      <c r="H91" s="8"/>
      <c r="I91" s="15"/>
      <c r="J91" s="16"/>
      <c r="K91" s="8"/>
      <c r="L91" s="8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</row>
    <row r="92" spans="1:63" s="4" customFormat="1" x14ac:dyDescent="0.3">
      <c r="A92" s="19"/>
      <c r="B92" s="20">
        <v>45177</v>
      </c>
      <c r="C92" s="20">
        <f t="shared" si="3"/>
        <v>45186</v>
      </c>
      <c r="D92" s="19">
        <f t="shared" si="4"/>
        <v>10</v>
      </c>
      <c r="E92" s="32">
        <f t="shared" si="5"/>
        <v>-52878618</v>
      </c>
      <c r="F92" s="8"/>
      <c r="G92" s="8">
        <v>8900000</v>
      </c>
      <c r="H92" s="8"/>
      <c r="I92" s="15"/>
      <c r="J92" s="16"/>
      <c r="K92" s="8"/>
      <c r="L92" s="8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</row>
    <row r="93" spans="1:63" s="4" customFormat="1" x14ac:dyDescent="0.3">
      <c r="A93" s="19"/>
      <c r="B93" s="20">
        <v>45187</v>
      </c>
      <c r="C93" s="20">
        <f t="shared" si="3"/>
        <v>45190</v>
      </c>
      <c r="D93" s="19">
        <f t="shared" si="4"/>
        <v>4</v>
      </c>
      <c r="E93" s="32">
        <f t="shared" si="5"/>
        <v>-40828618</v>
      </c>
      <c r="F93" s="8">
        <v>12050000</v>
      </c>
      <c r="G93" s="8"/>
      <c r="H93" s="8"/>
      <c r="I93" s="15"/>
      <c r="J93" s="16"/>
      <c r="K93" s="8"/>
      <c r="L93" s="8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</row>
    <row r="94" spans="1:63" s="4" customFormat="1" x14ac:dyDescent="0.3">
      <c r="A94" s="19"/>
      <c r="B94" s="20">
        <v>45191</v>
      </c>
      <c r="C94" s="20">
        <f t="shared" si="3"/>
        <v>45193</v>
      </c>
      <c r="D94" s="19">
        <f t="shared" si="4"/>
        <v>3</v>
      </c>
      <c r="E94" s="32">
        <f t="shared" si="5"/>
        <v>-44028618</v>
      </c>
      <c r="F94" s="8"/>
      <c r="G94" s="8">
        <v>3200000</v>
      </c>
      <c r="H94" s="8"/>
      <c r="I94" s="15"/>
      <c r="J94" s="16"/>
      <c r="K94" s="8"/>
      <c r="L94" s="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</row>
    <row r="95" spans="1:63" s="4" customFormat="1" x14ac:dyDescent="0.3">
      <c r="A95" s="19"/>
      <c r="B95" s="20">
        <v>45194</v>
      </c>
      <c r="C95" s="20">
        <f t="shared" si="3"/>
        <v>45198</v>
      </c>
      <c r="D95" s="19">
        <f t="shared" si="4"/>
        <v>5</v>
      </c>
      <c r="E95" s="32">
        <f t="shared" si="5"/>
        <v>-35028618</v>
      </c>
      <c r="F95" s="8">
        <v>9000000</v>
      </c>
      <c r="G95" s="8"/>
      <c r="H95" s="8"/>
      <c r="I95" s="15"/>
      <c r="J95" s="16"/>
      <c r="K95" s="8"/>
      <c r="L95" s="8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</row>
    <row r="96" spans="1:63" s="4" customFormat="1" x14ac:dyDescent="0.3">
      <c r="A96" s="19"/>
      <c r="B96" s="20">
        <v>45199</v>
      </c>
      <c r="C96" s="20">
        <f t="shared" si="3"/>
        <v>45202</v>
      </c>
      <c r="D96" s="19">
        <f t="shared" si="4"/>
        <v>4</v>
      </c>
      <c r="E96" s="32">
        <f t="shared" si="5"/>
        <v>-35032475</v>
      </c>
      <c r="F96" s="8"/>
      <c r="G96" s="8">
        <v>3857</v>
      </c>
      <c r="H96" s="8"/>
      <c r="I96" s="15"/>
      <c r="J96" s="16"/>
      <c r="K96" s="8"/>
      <c r="L96" s="8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</row>
    <row r="97" spans="1:63" s="4" customFormat="1" x14ac:dyDescent="0.3">
      <c r="A97" s="19"/>
      <c r="B97" s="20">
        <v>45203</v>
      </c>
      <c r="C97" s="20">
        <f t="shared" si="3"/>
        <v>45208</v>
      </c>
      <c r="D97" s="19">
        <f t="shared" si="4"/>
        <v>6</v>
      </c>
      <c r="E97" s="32">
        <f t="shared" si="5"/>
        <v>-70432475</v>
      </c>
      <c r="F97" s="8">
        <v>29000000</v>
      </c>
      <c r="G97" s="8">
        <v>64400000</v>
      </c>
      <c r="H97" s="8"/>
      <c r="I97" s="15"/>
      <c r="J97" s="16"/>
      <c r="K97" s="8"/>
      <c r="L97" s="8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</row>
    <row r="98" spans="1:63" s="4" customFormat="1" x14ac:dyDescent="0.3">
      <c r="A98" s="19"/>
      <c r="B98" s="20">
        <v>45209</v>
      </c>
      <c r="C98" s="20">
        <f t="shared" si="3"/>
        <v>45212</v>
      </c>
      <c r="D98" s="19">
        <f t="shared" si="4"/>
        <v>4</v>
      </c>
      <c r="E98" s="32">
        <f t="shared" si="5"/>
        <v>-80132475</v>
      </c>
      <c r="F98" s="8"/>
      <c r="G98" s="8">
        <v>9700000</v>
      </c>
      <c r="H98" s="8"/>
      <c r="I98" s="15"/>
      <c r="J98" s="16"/>
      <c r="K98" s="8"/>
      <c r="L98" s="8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</row>
    <row r="99" spans="1:63" s="4" customFormat="1" x14ac:dyDescent="0.3">
      <c r="A99" s="19"/>
      <c r="B99" s="20">
        <v>45213</v>
      </c>
      <c r="C99" s="20">
        <f t="shared" si="3"/>
        <v>45219</v>
      </c>
      <c r="D99" s="19">
        <f t="shared" si="4"/>
        <v>7</v>
      </c>
      <c r="E99" s="32">
        <f t="shared" si="5"/>
        <v>-71132475</v>
      </c>
      <c r="F99" s="8">
        <v>9000000</v>
      </c>
      <c r="G99" s="8"/>
      <c r="H99" s="8"/>
      <c r="I99" s="15"/>
      <c r="J99" s="16"/>
      <c r="K99" s="8"/>
      <c r="L99" s="8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</row>
    <row r="100" spans="1:63" s="4" customFormat="1" x14ac:dyDescent="0.3">
      <c r="A100" s="19"/>
      <c r="B100" s="20">
        <v>45220</v>
      </c>
      <c r="C100" s="20">
        <f t="shared" si="3"/>
        <v>45221</v>
      </c>
      <c r="D100" s="19">
        <f t="shared" si="4"/>
        <v>2</v>
      </c>
      <c r="E100" s="32">
        <f t="shared" si="5"/>
        <v>-59632475</v>
      </c>
      <c r="F100" s="8">
        <v>12000000</v>
      </c>
      <c r="G100" s="8">
        <v>500000</v>
      </c>
      <c r="H100" s="8"/>
      <c r="I100" s="15"/>
      <c r="J100" s="16"/>
      <c r="K100" s="8"/>
      <c r="L100" s="8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</row>
    <row r="101" spans="1:63" s="4" customFormat="1" x14ac:dyDescent="0.3">
      <c r="A101" s="19"/>
      <c r="B101" s="20">
        <v>45222</v>
      </c>
      <c r="C101" s="20">
        <f t="shared" si="3"/>
        <v>45229</v>
      </c>
      <c r="D101" s="19">
        <f t="shared" si="4"/>
        <v>8</v>
      </c>
      <c r="E101" s="32">
        <f t="shared" si="5"/>
        <v>-59832475</v>
      </c>
      <c r="F101" s="8"/>
      <c r="G101" s="8">
        <v>200000</v>
      </c>
      <c r="H101" s="8"/>
      <c r="I101" s="15"/>
      <c r="J101" s="16"/>
      <c r="K101" s="8"/>
      <c r="L101" s="8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</row>
    <row r="102" spans="1:63" s="4" customFormat="1" x14ac:dyDescent="0.3">
      <c r="A102" s="19"/>
      <c r="B102" s="20">
        <v>45230</v>
      </c>
      <c r="C102" s="20">
        <f t="shared" si="3"/>
        <v>45230</v>
      </c>
      <c r="D102" s="19">
        <f t="shared" si="4"/>
        <v>1</v>
      </c>
      <c r="E102" s="32">
        <f t="shared" si="5"/>
        <v>-59837965</v>
      </c>
      <c r="F102" s="8"/>
      <c r="G102" s="8">
        <v>5490</v>
      </c>
      <c r="H102" s="8"/>
      <c r="I102" s="15"/>
      <c r="J102" s="16"/>
      <c r="K102" s="8"/>
      <c r="L102" s="8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</row>
    <row r="103" spans="1:63" s="4" customFormat="1" x14ac:dyDescent="0.3">
      <c r="A103" s="19"/>
      <c r="B103" s="20">
        <v>45231</v>
      </c>
      <c r="C103" s="20">
        <f t="shared" si="3"/>
        <v>45231</v>
      </c>
      <c r="D103" s="19">
        <f t="shared" si="4"/>
        <v>1</v>
      </c>
      <c r="E103" s="32">
        <f t="shared" si="5"/>
        <v>-68290222</v>
      </c>
      <c r="F103" s="8"/>
      <c r="G103" s="8">
        <v>8452257</v>
      </c>
      <c r="H103" s="8"/>
      <c r="I103" s="15"/>
      <c r="J103" s="16"/>
      <c r="K103" s="8"/>
      <c r="L103" s="8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</row>
    <row r="104" spans="1:63" s="4" customFormat="1" x14ac:dyDescent="0.3">
      <c r="A104" s="19"/>
      <c r="B104" s="20">
        <v>45232</v>
      </c>
      <c r="C104" s="20">
        <f t="shared" si="3"/>
        <v>45235</v>
      </c>
      <c r="D104" s="19">
        <f t="shared" si="4"/>
        <v>4</v>
      </c>
      <c r="E104" s="32">
        <f t="shared" si="5"/>
        <v>-56290222</v>
      </c>
      <c r="F104" s="8">
        <v>12000000</v>
      </c>
      <c r="G104" s="8"/>
      <c r="H104" s="8"/>
      <c r="I104" s="15"/>
      <c r="J104" s="16"/>
      <c r="K104" s="8"/>
      <c r="L104" s="8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</row>
    <row r="105" spans="1:63" s="4" customFormat="1" x14ac:dyDescent="0.3">
      <c r="A105" s="19"/>
      <c r="B105" s="20">
        <v>45236</v>
      </c>
      <c r="C105" s="20">
        <f t="shared" si="3"/>
        <v>45238</v>
      </c>
      <c r="D105" s="19">
        <f t="shared" si="4"/>
        <v>3</v>
      </c>
      <c r="E105" s="32">
        <f t="shared" si="5"/>
        <v>-41240222</v>
      </c>
      <c r="F105" s="8">
        <v>15050000</v>
      </c>
      <c r="G105" s="8"/>
      <c r="H105" s="8"/>
      <c r="I105" s="15"/>
      <c r="J105" s="16"/>
      <c r="K105" s="8"/>
      <c r="L105" s="8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</row>
    <row r="106" spans="1:63" s="4" customFormat="1" x14ac:dyDescent="0.3">
      <c r="A106" s="19"/>
      <c r="B106" s="20">
        <v>45239</v>
      </c>
      <c r="C106" s="20">
        <f t="shared" si="3"/>
        <v>45242</v>
      </c>
      <c r="D106" s="19">
        <f t="shared" si="4"/>
        <v>4</v>
      </c>
      <c r="E106" s="32">
        <f t="shared" si="5"/>
        <v>-47640222</v>
      </c>
      <c r="F106" s="8"/>
      <c r="G106" s="8">
        <v>6400000</v>
      </c>
      <c r="H106" s="8"/>
      <c r="I106" s="15"/>
      <c r="J106" s="16"/>
      <c r="K106" s="8"/>
      <c r="L106" s="8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</row>
    <row r="107" spans="1:63" s="4" customFormat="1" x14ac:dyDescent="0.3">
      <c r="A107" s="19"/>
      <c r="B107" s="20">
        <v>45243</v>
      </c>
      <c r="C107" s="20">
        <f t="shared" si="3"/>
        <v>45251</v>
      </c>
      <c r="D107" s="19">
        <f t="shared" si="4"/>
        <v>9</v>
      </c>
      <c r="E107" s="32">
        <f t="shared" si="5"/>
        <v>-67640222</v>
      </c>
      <c r="F107" s="8"/>
      <c r="G107" s="8">
        <v>20000000</v>
      </c>
      <c r="H107" s="8"/>
      <c r="I107" s="15"/>
      <c r="J107" s="16"/>
      <c r="K107" s="8"/>
      <c r="L107" s="8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</row>
    <row r="108" spans="1:63" s="4" customFormat="1" x14ac:dyDescent="0.3">
      <c r="A108" s="19"/>
      <c r="B108" s="20">
        <v>45252</v>
      </c>
      <c r="C108" s="20">
        <f t="shared" si="3"/>
        <v>45259</v>
      </c>
      <c r="D108" s="19">
        <f t="shared" si="4"/>
        <v>8</v>
      </c>
      <c r="E108" s="32">
        <f t="shared" si="5"/>
        <v>-55640222</v>
      </c>
      <c r="F108" s="8">
        <v>12000000</v>
      </c>
      <c r="G108" s="8"/>
      <c r="H108" s="8"/>
      <c r="I108" s="15"/>
      <c r="J108" s="16"/>
      <c r="K108" s="8"/>
      <c r="L108" s="8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</row>
    <row r="109" spans="1:63" s="4" customFormat="1" x14ac:dyDescent="0.3">
      <c r="A109" s="19"/>
      <c r="B109" s="20">
        <v>45260</v>
      </c>
      <c r="C109" s="20">
        <f t="shared" si="3"/>
        <v>45263</v>
      </c>
      <c r="D109" s="19">
        <f t="shared" si="4"/>
        <v>4</v>
      </c>
      <c r="E109" s="32">
        <f t="shared" si="5"/>
        <v>-55644926</v>
      </c>
      <c r="F109" s="8"/>
      <c r="G109" s="8">
        <v>4704</v>
      </c>
      <c r="H109" s="8"/>
      <c r="I109" s="15"/>
      <c r="J109" s="16"/>
      <c r="K109" s="8"/>
      <c r="L109" s="8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</row>
    <row r="110" spans="1:63" s="4" customFormat="1" x14ac:dyDescent="0.3">
      <c r="A110" s="19"/>
      <c r="B110" s="20">
        <v>45264</v>
      </c>
      <c r="C110" s="20">
        <f t="shared" si="3"/>
        <v>45267</v>
      </c>
      <c r="D110" s="19">
        <f t="shared" si="4"/>
        <v>4</v>
      </c>
      <c r="E110" s="32">
        <f t="shared" si="5"/>
        <v>-36666436</v>
      </c>
      <c r="F110" s="8">
        <v>27050000</v>
      </c>
      <c r="G110" s="8">
        <v>8071510</v>
      </c>
      <c r="H110" s="8"/>
      <c r="I110" s="15"/>
      <c r="J110" s="16"/>
      <c r="K110" s="8"/>
      <c r="L110" s="8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</row>
    <row r="111" spans="1:63" s="4" customFormat="1" x14ac:dyDescent="0.3">
      <c r="A111" s="19"/>
      <c r="B111" s="20">
        <v>45268</v>
      </c>
      <c r="C111" s="20">
        <f t="shared" si="3"/>
        <v>45268</v>
      </c>
      <c r="D111" s="19">
        <f t="shared" si="4"/>
        <v>1</v>
      </c>
      <c r="E111" s="32">
        <f t="shared" si="5"/>
        <v>-43966436</v>
      </c>
      <c r="F111" s="8"/>
      <c r="G111" s="8">
        <v>7300000</v>
      </c>
      <c r="H111" s="8"/>
      <c r="I111" s="15"/>
      <c r="J111" s="16"/>
      <c r="K111" s="8"/>
      <c r="L111" s="8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</row>
    <row r="112" spans="1:63" s="4" customFormat="1" x14ac:dyDescent="0.3">
      <c r="A112" s="19"/>
      <c r="B112" s="20">
        <v>45269</v>
      </c>
      <c r="C112" s="20">
        <f t="shared" si="3"/>
        <v>45277</v>
      </c>
      <c r="D112" s="19">
        <f t="shared" si="4"/>
        <v>9</v>
      </c>
      <c r="E112" s="32">
        <f t="shared" si="5"/>
        <v>-43866436</v>
      </c>
      <c r="F112" s="8">
        <v>100000</v>
      </c>
      <c r="G112" s="8"/>
      <c r="H112" s="8"/>
      <c r="I112" s="15"/>
      <c r="J112" s="16"/>
      <c r="K112" s="8"/>
      <c r="L112" s="8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</row>
    <row r="113" spans="1:63" s="4" customFormat="1" x14ac:dyDescent="0.3">
      <c r="A113" s="19"/>
      <c r="B113" s="20">
        <v>45278</v>
      </c>
      <c r="C113" s="20">
        <f t="shared" si="3"/>
        <v>45285</v>
      </c>
      <c r="D113" s="19">
        <f t="shared" si="4"/>
        <v>8</v>
      </c>
      <c r="E113" s="32">
        <f t="shared" si="5"/>
        <v>-37866436</v>
      </c>
      <c r="F113" s="8">
        <v>6000000</v>
      </c>
      <c r="G113" s="8"/>
      <c r="H113" s="8"/>
      <c r="I113" s="15"/>
      <c r="J113" s="16"/>
      <c r="K113" s="8"/>
      <c r="L113" s="8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</row>
    <row r="114" spans="1:63" s="4" customFormat="1" x14ac:dyDescent="0.3">
      <c r="A114" s="19"/>
      <c r="B114" s="20">
        <v>45286</v>
      </c>
      <c r="C114" s="20">
        <f t="shared" si="3"/>
        <v>45290</v>
      </c>
      <c r="D114" s="19">
        <f t="shared" si="4"/>
        <v>5</v>
      </c>
      <c r="E114" s="32">
        <f t="shared" si="5"/>
        <v>-31866436</v>
      </c>
      <c r="F114" s="8">
        <v>6000000</v>
      </c>
      <c r="G114" s="8"/>
      <c r="H114" s="8"/>
      <c r="I114" s="15"/>
      <c r="J114" s="16"/>
      <c r="K114" s="8"/>
      <c r="L114" s="8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</row>
    <row r="115" spans="1:63" s="4" customFormat="1" x14ac:dyDescent="0.3">
      <c r="A115" s="19"/>
      <c r="B115" s="20">
        <v>45291</v>
      </c>
      <c r="C115" s="20">
        <f t="shared" si="3"/>
        <v>45294</v>
      </c>
      <c r="D115" s="19">
        <f t="shared" si="4"/>
        <v>4</v>
      </c>
      <c r="E115" s="32">
        <f t="shared" si="5"/>
        <v>-25869834</v>
      </c>
      <c r="F115" s="8">
        <v>6000000</v>
      </c>
      <c r="G115" s="8">
        <v>3398</v>
      </c>
      <c r="H115" s="8"/>
      <c r="I115" s="15"/>
      <c r="J115" s="16"/>
      <c r="K115" s="8"/>
      <c r="L115" s="8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</row>
    <row r="116" spans="1:63" s="4" customFormat="1" x14ac:dyDescent="0.3">
      <c r="A116" s="19"/>
      <c r="B116" s="20">
        <v>45295</v>
      </c>
      <c r="C116" s="20">
        <f t="shared" si="3"/>
        <v>45300</v>
      </c>
      <c r="D116" s="19">
        <f t="shared" si="4"/>
        <v>6</v>
      </c>
      <c r="E116" s="32">
        <f t="shared" si="5"/>
        <v>-21829441</v>
      </c>
      <c r="F116" s="8">
        <v>12000000</v>
      </c>
      <c r="G116" s="8">
        <v>7959607</v>
      </c>
      <c r="H116" s="8"/>
      <c r="I116" s="15"/>
      <c r="J116" s="16"/>
      <c r="K116" s="8"/>
      <c r="L116" s="8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</row>
    <row r="117" spans="1:63" s="4" customFormat="1" x14ac:dyDescent="0.3">
      <c r="A117" s="19"/>
      <c r="B117" s="20">
        <v>45301</v>
      </c>
      <c r="C117" s="20">
        <f t="shared" si="3"/>
        <v>45302</v>
      </c>
      <c r="D117" s="19">
        <f t="shared" si="4"/>
        <v>2</v>
      </c>
      <c r="E117" s="32">
        <f t="shared" si="5"/>
        <v>-32329441</v>
      </c>
      <c r="F117" s="8"/>
      <c r="G117" s="8">
        <v>10500000</v>
      </c>
      <c r="H117" s="8"/>
      <c r="I117" s="15"/>
      <c r="J117" s="16"/>
      <c r="K117" s="8"/>
      <c r="L117" s="8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</row>
    <row r="118" spans="1:63" s="4" customFormat="1" x14ac:dyDescent="0.3">
      <c r="A118" s="19"/>
      <c r="B118" s="20">
        <v>45303</v>
      </c>
      <c r="C118" s="20">
        <f t="shared" si="3"/>
        <v>45309</v>
      </c>
      <c r="D118" s="19">
        <f t="shared" si="4"/>
        <v>7</v>
      </c>
      <c r="E118" s="32">
        <f t="shared" si="5"/>
        <v>-20329441</v>
      </c>
      <c r="F118" s="8">
        <v>12000000</v>
      </c>
      <c r="G118" s="8"/>
      <c r="H118" s="8"/>
      <c r="I118" s="15"/>
      <c r="J118" s="16"/>
      <c r="K118" s="8"/>
      <c r="L118" s="8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</row>
    <row r="119" spans="1:63" s="4" customFormat="1" x14ac:dyDescent="0.3">
      <c r="A119" s="19"/>
      <c r="B119" s="20">
        <v>45310</v>
      </c>
      <c r="C119" s="20">
        <f t="shared" si="3"/>
        <v>45312</v>
      </c>
      <c r="D119" s="19">
        <f t="shared" si="4"/>
        <v>3</v>
      </c>
      <c r="E119" s="32">
        <f t="shared" si="5"/>
        <v>-11329441</v>
      </c>
      <c r="F119" s="8">
        <v>9000000</v>
      </c>
      <c r="G119" s="8"/>
      <c r="H119" s="8"/>
      <c r="I119" s="15"/>
      <c r="J119" s="16"/>
      <c r="K119" s="8"/>
      <c r="L119" s="8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</row>
    <row r="120" spans="1:63" s="4" customFormat="1" x14ac:dyDescent="0.3">
      <c r="A120" s="19"/>
      <c r="B120" s="20">
        <v>45313</v>
      </c>
      <c r="C120" s="20">
        <f t="shared" si="3"/>
        <v>45315</v>
      </c>
      <c r="D120" s="19">
        <f t="shared" si="4"/>
        <v>3</v>
      </c>
      <c r="E120" s="32">
        <f t="shared" si="5"/>
        <v>-17639441</v>
      </c>
      <c r="F120" s="8"/>
      <c r="G120" s="8">
        <v>6310000</v>
      </c>
      <c r="H120" s="8"/>
      <c r="I120" s="15"/>
      <c r="J120" s="16"/>
      <c r="K120" s="8"/>
      <c r="L120" s="8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</row>
    <row r="121" spans="1:63" s="4" customFormat="1" x14ac:dyDescent="0.3">
      <c r="A121" s="19"/>
      <c r="B121" s="20">
        <v>45316</v>
      </c>
      <c r="C121" s="20">
        <f t="shared" si="3"/>
        <v>45316</v>
      </c>
      <c r="D121" s="19">
        <f t="shared" si="4"/>
        <v>1</v>
      </c>
      <c r="E121" s="32">
        <f t="shared" si="5"/>
        <v>-23639441</v>
      </c>
      <c r="F121" s="8"/>
      <c r="G121" s="8">
        <v>6000000</v>
      </c>
      <c r="H121" s="8"/>
      <c r="I121" s="15"/>
      <c r="J121" s="16"/>
      <c r="K121" s="8"/>
      <c r="L121" s="8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</row>
    <row r="122" spans="1:63" s="4" customFormat="1" x14ac:dyDescent="0.3">
      <c r="A122" s="19"/>
      <c r="B122" s="20">
        <v>45317</v>
      </c>
      <c r="C122" s="20">
        <f t="shared" si="3"/>
        <v>45321</v>
      </c>
      <c r="D122" s="19">
        <f t="shared" si="4"/>
        <v>5</v>
      </c>
      <c r="E122" s="32">
        <f t="shared" si="5"/>
        <v>-17639441</v>
      </c>
      <c r="F122" s="8">
        <v>6000000</v>
      </c>
      <c r="G122" s="8"/>
      <c r="H122" s="8"/>
      <c r="I122" s="15"/>
      <c r="J122" s="16"/>
      <c r="K122" s="8"/>
      <c r="L122" s="8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</row>
    <row r="123" spans="1:63" s="4" customFormat="1" x14ac:dyDescent="0.3">
      <c r="A123" s="19"/>
      <c r="B123" s="20">
        <v>45322</v>
      </c>
      <c r="C123" s="20">
        <f t="shared" si="3"/>
        <v>45322</v>
      </c>
      <c r="D123" s="19">
        <f t="shared" si="4"/>
        <v>1</v>
      </c>
      <c r="E123" s="32">
        <f t="shared" si="5"/>
        <v>-17641173</v>
      </c>
      <c r="F123" s="8"/>
      <c r="G123" s="8">
        <v>1732</v>
      </c>
      <c r="H123" s="8"/>
      <c r="I123" s="15"/>
      <c r="J123" s="16"/>
      <c r="K123" s="8"/>
      <c r="L123" s="8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</row>
    <row r="124" spans="1:63" s="4" customFormat="1" x14ac:dyDescent="0.3">
      <c r="A124" s="19"/>
      <c r="B124" s="20">
        <v>45323</v>
      </c>
      <c r="C124" s="20">
        <f t="shared" si="3"/>
        <v>45323</v>
      </c>
      <c r="D124" s="19">
        <f t="shared" si="4"/>
        <v>1</v>
      </c>
      <c r="E124" s="32">
        <f t="shared" si="5"/>
        <v>-25780864</v>
      </c>
      <c r="F124" s="8"/>
      <c r="G124" s="8">
        <v>8139691</v>
      </c>
      <c r="H124" s="8"/>
      <c r="I124" s="15"/>
      <c r="J124" s="16"/>
      <c r="K124" s="8"/>
      <c r="L124" s="8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</row>
    <row r="125" spans="1:63" s="4" customFormat="1" x14ac:dyDescent="0.3">
      <c r="A125" s="19"/>
      <c r="B125" s="20">
        <v>45324</v>
      </c>
      <c r="C125" s="20">
        <f t="shared" si="3"/>
        <v>45326</v>
      </c>
      <c r="D125" s="19">
        <f t="shared" si="4"/>
        <v>3</v>
      </c>
      <c r="E125" s="32">
        <f t="shared" si="5"/>
        <v>-1015864</v>
      </c>
      <c r="F125" s="8">
        <v>24765000</v>
      </c>
      <c r="G125" s="8"/>
      <c r="H125" s="8"/>
      <c r="I125" s="15"/>
      <c r="J125" s="16"/>
      <c r="K125" s="8"/>
      <c r="L125" s="8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</row>
    <row r="126" spans="1:63" s="4" customFormat="1" x14ac:dyDescent="0.3">
      <c r="A126" s="19"/>
      <c r="B126" s="20">
        <v>45327</v>
      </c>
      <c r="C126" s="20">
        <f t="shared" si="3"/>
        <v>45327</v>
      </c>
      <c r="D126" s="19">
        <f t="shared" si="4"/>
        <v>1</v>
      </c>
      <c r="E126" s="32">
        <f t="shared" si="5"/>
        <v>-439364</v>
      </c>
      <c r="F126" s="8">
        <v>576500</v>
      </c>
      <c r="G126" s="8"/>
      <c r="H126" s="8"/>
      <c r="I126" s="15"/>
      <c r="J126" s="16"/>
      <c r="K126" s="8"/>
      <c r="L126" s="8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</row>
    <row r="127" spans="1:63" s="4" customFormat="1" x14ac:dyDescent="0.3">
      <c r="A127" s="19"/>
      <c r="B127" s="20">
        <v>45328</v>
      </c>
      <c r="C127" s="20">
        <f t="shared" si="3"/>
        <v>45335</v>
      </c>
      <c r="D127" s="19">
        <f t="shared" si="4"/>
        <v>8</v>
      </c>
      <c r="E127" s="32">
        <f t="shared" si="5"/>
        <v>-7939364</v>
      </c>
      <c r="F127" s="8"/>
      <c r="G127" s="8">
        <v>7500000</v>
      </c>
      <c r="H127" s="8"/>
      <c r="I127" s="15"/>
      <c r="J127" s="16"/>
      <c r="K127" s="8"/>
      <c r="L127" s="8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</row>
    <row r="128" spans="1:63" s="4" customFormat="1" x14ac:dyDescent="0.3">
      <c r="A128" s="19"/>
      <c r="B128" s="20">
        <v>45336</v>
      </c>
      <c r="C128" s="20">
        <f t="shared" si="3"/>
        <v>45337</v>
      </c>
      <c r="D128" s="19">
        <f t="shared" si="4"/>
        <v>2</v>
      </c>
      <c r="E128" s="32">
        <f t="shared" si="5"/>
        <v>-4789364</v>
      </c>
      <c r="F128" s="8">
        <v>3150000</v>
      </c>
      <c r="G128" s="8"/>
      <c r="H128" s="8"/>
      <c r="I128" s="15"/>
      <c r="J128" s="16"/>
      <c r="K128" s="8"/>
      <c r="L128" s="8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</row>
    <row r="129" spans="1:63" s="4" customFormat="1" x14ac:dyDescent="0.3">
      <c r="A129" s="19"/>
      <c r="B129" s="20">
        <v>45338</v>
      </c>
      <c r="C129" s="20">
        <f t="shared" si="3"/>
        <v>45338</v>
      </c>
      <c r="D129" s="19">
        <f t="shared" si="4"/>
        <v>1</v>
      </c>
      <c r="E129" s="32">
        <f t="shared" si="5"/>
        <v>-5196364</v>
      </c>
      <c r="F129" s="8">
        <v>1593000</v>
      </c>
      <c r="G129" s="8">
        <v>2000000</v>
      </c>
      <c r="H129" s="8"/>
      <c r="I129" s="15"/>
      <c r="J129" s="16"/>
      <c r="K129" s="8"/>
      <c r="L129" s="8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</row>
    <row r="130" spans="1:63" s="4" customFormat="1" x14ac:dyDescent="0.3">
      <c r="A130" s="19"/>
      <c r="B130" s="20">
        <v>45339</v>
      </c>
      <c r="C130" s="20">
        <f t="shared" si="3"/>
        <v>45340</v>
      </c>
      <c r="D130" s="19">
        <f t="shared" si="4"/>
        <v>2</v>
      </c>
      <c r="E130" s="32">
        <f t="shared" si="5"/>
        <v>-9196364</v>
      </c>
      <c r="F130" s="8"/>
      <c r="G130" s="8">
        <v>4000000</v>
      </c>
      <c r="H130" s="8"/>
      <c r="I130" s="15"/>
      <c r="J130" s="16"/>
      <c r="K130" s="8"/>
      <c r="L130" s="8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</row>
    <row r="131" spans="1:63" s="4" customFormat="1" x14ac:dyDescent="0.3">
      <c r="A131" s="19"/>
      <c r="B131" s="20">
        <v>45341</v>
      </c>
      <c r="C131" s="20">
        <f t="shared" si="3"/>
        <v>45341</v>
      </c>
      <c r="D131" s="19">
        <f t="shared" si="4"/>
        <v>1</v>
      </c>
      <c r="E131" s="32">
        <f t="shared" si="5"/>
        <v>-9336364</v>
      </c>
      <c r="F131" s="8"/>
      <c r="G131" s="8">
        <v>140000</v>
      </c>
      <c r="H131" s="8"/>
      <c r="I131" s="15"/>
      <c r="J131" s="16"/>
      <c r="K131" s="8"/>
      <c r="L131" s="8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</row>
    <row r="132" spans="1:63" s="4" customFormat="1" x14ac:dyDescent="0.3">
      <c r="A132" s="19"/>
      <c r="B132" s="20">
        <v>45342</v>
      </c>
      <c r="C132" s="20">
        <f t="shared" si="3"/>
        <v>45342</v>
      </c>
      <c r="D132" s="19">
        <f t="shared" si="4"/>
        <v>1</v>
      </c>
      <c r="E132" s="32">
        <f t="shared" si="5"/>
        <v>-9539802</v>
      </c>
      <c r="F132" s="8"/>
      <c r="G132" s="8">
        <v>203438</v>
      </c>
      <c r="H132" s="8"/>
      <c r="I132" s="15"/>
      <c r="J132" s="16"/>
      <c r="K132" s="8"/>
      <c r="L132" s="8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</row>
    <row r="133" spans="1:63" s="4" customFormat="1" x14ac:dyDescent="0.3">
      <c r="A133" s="19"/>
      <c r="B133" s="20">
        <v>45343</v>
      </c>
      <c r="C133" s="20">
        <f t="shared" si="3"/>
        <v>45350</v>
      </c>
      <c r="D133" s="19">
        <f t="shared" si="4"/>
        <v>8</v>
      </c>
      <c r="E133" s="32">
        <f t="shared" si="5"/>
        <v>-539802</v>
      </c>
      <c r="F133" s="8">
        <v>9000000</v>
      </c>
      <c r="G133" s="8"/>
      <c r="H133" s="8"/>
      <c r="I133" s="15"/>
      <c r="J133" s="16"/>
      <c r="K133" s="8"/>
      <c r="L133" s="8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</row>
    <row r="134" spans="1:63" s="4" customFormat="1" x14ac:dyDescent="0.3">
      <c r="A134" s="19"/>
      <c r="B134" s="20">
        <v>45351</v>
      </c>
      <c r="C134" s="20">
        <f t="shared" si="3"/>
        <v>45354</v>
      </c>
      <c r="D134" s="19">
        <f t="shared" si="4"/>
        <v>4</v>
      </c>
      <c r="E134" s="32">
        <f t="shared" si="5"/>
        <v>-540213</v>
      </c>
      <c r="F134" s="8"/>
      <c r="G134" s="8">
        <v>411</v>
      </c>
      <c r="H134" s="8"/>
      <c r="I134" s="15"/>
      <c r="J134" s="16"/>
      <c r="K134" s="8"/>
      <c r="L134" s="8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</row>
    <row r="135" spans="1:63" s="4" customFormat="1" x14ac:dyDescent="0.3">
      <c r="A135" s="19"/>
      <c r="B135" s="20">
        <v>45355</v>
      </c>
      <c r="C135" s="20">
        <f t="shared" si="3"/>
        <v>45355</v>
      </c>
      <c r="D135" s="19">
        <f t="shared" si="4"/>
        <v>1</v>
      </c>
      <c r="E135" s="32">
        <f t="shared" si="5"/>
        <v>-8647683</v>
      </c>
      <c r="F135" s="8"/>
      <c r="G135" s="8">
        <v>8107470</v>
      </c>
      <c r="H135" s="8"/>
      <c r="I135" s="15"/>
      <c r="J135" s="16"/>
      <c r="K135" s="8"/>
      <c r="L135" s="8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</row>
    <row r="136" spans="1:63" s="4" customFormat="1" x14ac:dyDescent="0.3">
      <c r="A136" s="19"/>
      <c r="B136" s="20">
        <v>45356</v>
      </c>
      <c r="C136" s="20">
        <f t="shared" si="3"/>
        <v>45356</v>
      </c>
      <c r="D136" s="19">
        <f t="shared" si="4"/>
        <v>1</v>
      </c>
      <c r="E136" s="32">
        <f t="shared" si="5"/>
        <v>-7647683</v>
      </c>
      <c r="F136" s="8">
        <v>1000000</v>
      </c>
      <c r="G136" s="8"/>
      <c r="H136" s="8"/>
      <c r="I136" s="15"/>
      <c r="J136" s="16"/>
      <c r="K136" s="8"/>
      <c r="L136" s="8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</row>
    <row r="137" spans="1:63" s="4" customFormat="1" x14ac:dyDescent="0.3">
      <c r="A137" s="19"/>
      <c r="B137" s="20">
        <v>45357</v>
      </c>
      <c r="C137" s="20">
        <f t="shared" si="3"/>
        <v>45358</v>
      </c>
      <c r="D137" s="19">
        <f t="shared" si="4"/>
        <v>2</v>
      </c>
      <c r="E137" s="32">
        <f t="shared" si="5"/>
        <v>-147683</v>
      </c>
      <c r="F137" s="8">
        <v>7500000</v>
      </c>
      <c r="G137" s="8"/>
      <c r="H137" s="8"/>
      <c r="I137" s="15"/>
      <c r="J137" s="16"/>
      <c r="K137" s="8"/>
      <c r="L137" s="8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</row>
    <row r="138" spans="1:63" s="4" customFormat="1" x14ac:dyDescent="0.3">
      <c r="A138" s="19"/>
      <c r="B138" s="20">
        <v>45359</v>
      </c>
      <c r="C138" s="20">
        <f t="shared" si="3"/>
        <v>45361</v>
      </c>
      <c r="D138" s="19">
        <f t="shared" si="4"/>
        <v>3</v>
      </c>
      <c r="E138" s="32">
        <f t="shared" si="5"/>
        <v>-5647683</v>
      </c>
      <c r="F138" s="8"/>
      <c r="G138" s="8">
        <v>5500000</v>
      </c>
      <c r="H138" s="8"/>
      <c r="I138" s="15"/>
      <c r="J138" s="16"/>
      <c r="K138" s="8"/>
      <c r="L138" s="8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</row>
    <row r="139" spans="1:63" s="4" customFormat="1" x14ac:dyDescent="0.3">
      <c r="A139" s="19"/>
      <c r="B139" s="20">
        <v>45362</v>
      </c>
      <c r="C139" s="20">
        <f t="shared" si="3"/>
        <v>45375</v>
      </c>
      <c r="D139" s="19">
        <f t="shared" si="4"/>
        <v>14</v>
      </c>
      <c r="E139" s="32">
        <f t="shared" si="5"/>
        <v>-4416683</v>
      </c>
      <c r="F139" s="8">
        <v>1231000</v>
      </c>
      <c r="G139" s="8"/>
      <c r="H139" s="8"/>
      <c r="I139" s="15"/>
      <c r="J139" s="16"/>
      <c r="K139" s="8"/>
      <c r="L139" s="8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</row>
    <row r="140" spans="1:63" s="4" customFormat="1" x14ac:dyDescent="0.3">
      <c r="A140" s="19"/>
      <c r="B140" s="20">
        <v>45376</v>
      </c>
      <c r="C140" s="20">
        <f t="shared" si="3"/>
        <v>45381</v>
      </c>
      <c r="D140" s="19">
        <f t="shared" si="4"/>
        <v>6</v>
      </c>
      <c r="E140" s="32">
        <f t="shared" si="5"/>
        <v>-1416683</v>
      </c>
      <c r="F140" s="8">
        <v>3000000</v>
      </c>
      <c r="G140" s="8"/>
      <c r="H140" s="8"/>
      <c r="I140" s="15"/>
      <c r="J140" s="16"/>
      <c r="K140" s="8"/>
      <c r="L140" s="8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</row>
    <row r="141" spans="1:63" s="4" customFormat="1" x14ac:dyDescent="0.3">
      <c r="A141" s="19"/>
      <c r="B141" s="20">
        <v>45382</v>
      </c>
      <c r="C141" s="20">
        <f t="shared" si="3"/>
        <v>45383</v>
      </c>
      <c r="D141" s="19">
        <f t="shared" si="4"/>
        <v>2</v>
      </c>
      <c r="E141" s="32">
        <f t="shared" si="5"/>
        <v>-1416976</v>
      </c>
      <c r="F141" s="8"/>
      <c r="G141" s="8">
        <v>293</v>
      </c>
      <c r="H141" s="8"/>
      <c r="I141" s="15"/>
      <c r="J141" s="16"/>
      <c r="K141" s="8"/>
      <c r="L141" s="8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</row>
    <row r="142" spans="1:63" s="4" customFormat="1" x14ac:dyDescent="0.3">
      <c r="A142" s="19"/>
      <c r="B142" s="20">
        <v>45384</v>
      </c>
      <c r="C142" s="20">
        <f t="shared" ref="C142:C182" si="6">B143-1</f>
        <v>45390</v>
      </c>
      <c r="D142" s="19">
        <f t="shared" ref="D142:D183" si="7">C142-B142+1</f>
        <v>7</v>
      </c>
      <c r="E142" s="32">
        <f t="shared" si="5"/>
        <v>-2907707</v>
      </c>
      <c r="F142" s="8">
        <v>5500000</v>
      </c>
      <c r="G142" s="8">
        <v>6990731</v>
      </c>
      <c r="H142" s="8"/>
      <c r="I142" s="15"/>
      <c r="J142" s="16"/>
      <c r="K142" s="8"/>
      <c r="L142" s="8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</row>
    <row r="143" spans="1:63" s="4" customFormat="1" x14ac:dyDescent="0.3">
      <c r="A143" s="19"/>
      <c r="B143" s="20">
        <v>45391</v>
      </c>
      <c r="C143" s="20">
        <f t="shared" si="6"/>
        <v>45391</v>
      </c>
      <c r="D143" s="19">
        <f t="shared" si="7"/>
        <v>1</v>
      </c>
      <c r="E143" s="32">
        <f t="shared" ref="E143:E183" si="8">E142+F143-G143</f>
        <v>-277707</v>
      </c>
      <c r="F143" s="8">
        <v>2630000</v>
      </c>
      <c r="G143" s="8"/>
      <c r="H143" s="8"/>
      <c r="I143" s="15"/>
      <c r="J143" s="16"/>
      <c r="K143" s="8"/>
      <c r="L143" s="8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</row>
    <row r="144" spans="1:63" s="4" customFormat="1" x14ac:dyDescent="0.3">
      <c r="A144" s="19"/>
      <c r="B144" s="20">
        <v>45392</v>
      </c>
      <c r="C144" s="20">
        <f t="shared" si="6"/>
        <v>45393</v>
      </c>
      <c r="D144" s="19">
        <f t="shared" si="7"/>
        <v>2</v>
      </c>
      <c r="E144" s="32">
        <f t="shared" si="8"/>
        <v>-7188707</v>
      </c>
      <c r="F144" s="8">
        <v>1089000</v>
      </c>
      <c r="G144" s="8">
        <v>8000000</v>
      </c>
      <c r="H144" s="8"/>
      <c r="I144" s="15"/>
      <c r="J144" s="16"/>
      <c r="K144" s="8"/>
      <c r="L144" s="8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</row>
    <row r="145" spans="1:63" s="4" customFormat="1" x14ac:dyDescent="0.3">
      <c r="A145" s="19"/>
      <c r="B145" s="20">
        <v>45394</v>
      </c>
      <c r="C145" s="20">
        <f t="shared" si="6"/>
        <v>45400</v>
      </c>
      <c r="D145" s="19">
        <f t="shared" si="7"/>
        <v>7</v>
      </c>
      <c r="E145" s="32">
        <f t="shared" si="8"/>
        <v>-2188707</v>
      </c>
      <c r="F145" s="8">
        <v>5000000</v>
      </c>
      <c r="G145" s="8"/>
      <c r="H145" s="8"/>
      <c r="I145" s="15"/>
      <c r="J145" s="16"/>
      <c r="K145" s="8"/>
      <c r="L145" s="8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</row>
    <row r="146" spans="1:63" s="4" customFormat="1" x14ac:dyDescent="0.3">
      <c r="A146" s="19"/>
      <c r="B146" s="20">
        <v>45401</v>
      </c>
      <c r="C146" s="20">
        <f t="shared" si="6"/>
        <v>45403</v>
      </c>
      <c r="D146" s="19">
        <f t="shared" si="7"/>
        <v>3</v>
      </c>
      <c r="E146" s="32">
        <f t="shared" si="8"/>
        <v>-1788707</v>
      </c>
      <c r="F146" s="8">
        <v>400000</v>
      </c>
      <c r="G146" s="8"/>
      <c r="H146" s="8"/>
      <c r="I146" s="15"/>
      <c r="J146" s="16"/>
      <c r="K146" s="8"/>
      <c r="L146" s="8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</row>
    <row r="147" spans="1:63" s="4" customFormat="1" x14ac:dyDescent="0.3">
      <c r="A147" s="19"/>
      <c r="B147" s="20">
        <v>45404</v>
      </c>
      <c r="C147" s="20">
        <f t="shared" si="6"/>
        <v>45407</v>
      </c>
      <c r="D147" s="19">
        <f t="shared" si="7"/>
        <v>4</v>
      </c>
      <c r="E147" s="32">
        <f t="shared" si="8"/>
        <v>-3788707</v>
      </c>
      <c r="F147" s="8"/>
      <c r="G147" s="8">
        <v>2000000</v>
      </c>
      <c r="H147" s="8"/>
      <c r="I147" s="15"/>
      <c r="J147" s="16"/>
      <c r="K147" s="8"/>
      <c r="L147" s="8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</row>
    <row r="148" spans="1:63" s="4" customFormat="1" x14ac:dyDescent="0.3">
      <c r="A148" s="19"/>
      <c r="B148" s="20">
        <v>45408</v>
      </c>
      <c r="C148" s="20">
        <f t="shared" si="6"/>
        <v>45411</v>
      </c>
      <c r="D148" s="19">
        <f t="shared" si="7"/>
        <v>4</v>
      </c>
      <c r="E148" s="32">
        <f t="shared" si="8"/>
        <v>-1788707</v>
      </c>
      <c r="F148" s="8">
        <v>2000000</v>
      </c>
      <c r="G148" s="8"/>
      <c r="H148" s="8"/>
      <c r="I148" s="15"/>
      <c r="J148" s="16"/>
      <c r="K148" s="8"/>
      <c r="L148" s="8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</row>
    <row r="149" spans="1:63" s="4" customFormat="1" x14ac:dyDescent="0.3">
      <c r="A149" s="19"/>
      <c r="B149" s="20">
        <v>45412</v>
      </c>
      <c r="C149" s="20">
        <f t="shared" si="6"/>
        <v>45412</v>
      </c>
      <c r="D149" s="19">
        <f t="shared" si="7"/>
        <v>1</v>
      </c>
      <c r="E149" s="32">
        <f t="shared" si="8"/>
        <v>-1688930</v>
      </c>
      <c r="F149" s="8">
        <v>100000</v>
      </c>
      <c r="G149" s="8">
        <v>223</v>
      </c>
      <c r="H149" s="8"/>
      <c r="I149" s="15"/>
      <c r="J149" s="16"/>
      <c r="K149" s="8"/>
      <c r="L149" s="8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</row>
    <row r="150" spans="1:63" s="4" customFormat="1" x14ac:dyDescent="0.3">
      <c r="A150" s="19"/>
      <c r="B150" s="20">
        <v>45413</v>
      </c>
      <c r="C150" s="20">
        <f t="shared" si="6"/>
        <v>45414</v>
      </c>
      <c r="D150" s="19">
        <f t="shared" si="7"/>
        <v>2</v>
      </c>
      <c r="E150" s="32">
        <f t="shared" si="8"/>
        <v>-58930</v>
      </c>
      <c r="F150" s="8">
        <v>1630000</v>
      </c>
      <c r="G150" s="8"/>
      <c r="H150" s="8"/>
      <c r="I150" s="15"/>
      <c r="J150" s="16"/>
      <c r="K150" s="8"/>
      <c r="L150" s="8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</row>
    <row r="151" spans="1:63" s="4" customFormat="1" x14ac:dyDescent="0.3">
      <c r="A151" s="19"/>
      <c r="B151" s="20">
        <v>45415</v>
      </c>
      <c r="C151" s="20">
        <f t="shared" si="6"/>
        <v>45421</v>
      </c>
      <c r="D151" s="19">
        <f t="shared" si="7"/>
        <v>7</v>
      </c>
      <c r="E151" s="32">
        <f t="shared" si="8"/>
        <v>-2393307</v>
      </c>
      <c r="F151" s="8"/>
      <c r="G151" s="8">
        <v>2334377</v>
      </c>
      <c r="H151" s="8"/>
      <c r="I151" s="15"/>
      <c r="J151" s="16"/>
      <c r="K151" s="8"/>
      <c r="L151" s="8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</row>
    <row r="152" spans="1:63" s="4" customFormat="1" x14ac:dyDescent="0.3">
      <c r="A152" s="19"/>
      <c r="B152" s="20">
        <v>45422</v>
      </c>
      <c r="C152" s="20">
        <f t="shared" si="6"/>
        <v>45425</v>
      </c>
      <c r="D152" s="19">
        <f t="shared" si="7"/>
        <v>4</v>
      </c>
      <c r="E152" s="32">
        <f t="shared" si="8"/>
        <v>-6393307</v>
      </c>
      <c r="F152" s="8"/>
      <c r="G152" s="8">
        <v>4000000</v>
      </c>
      <c r="H152" s="8"/>
      <c r="I152" s="15"/>
      <c r="J152" s="16"/>
      <c r="K152" s="8"/>
      <c r="L152" s="8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</row>
    <row r="153" spans="1:63" s="4" customFormat="1" x14ac:dyDescent="0.3">
      <c r="A153" s="19"/>
      <c r="B153" s="20">
        <v>45426</v>
      </c>
      <c r="C153" s="20">
        <f t="shared" si="6"/>
        <v>45427</v>
      </c>
      <c r="D153" s="19">
        <f t="shared" si="7"/>
        <v>2</v>
      </c>
      <c r="E153" s="32">
        <f t="shared" si="8"/>
        <v>-6922307</v>
      </c>
      <c r="F153" s="8">
        <v>1121000</v>
      </c>
      <c r="G153" s="8">
        <v>1650000</v>
      </c>
      <c r="H153" s="8"/>
      <c r="I153" s="15"/>
      <c r="J153" s="16"/>
      <c r="K153" s="8"/>
      <c r="L153" s="8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</row>
    <row r="154" spans="1:63" s="4" customFormat="1" x14ac:dyDescent="0.3">
      <c r="A154" s="19"/>
      <c r="B154" s="20">
        <v>45428</v>
      </c>
      <c r="C154" s="20">
        <f t="shared" si="6"/>
        <v>45431</v>
      </c>
      <c r="D154" s="19">
        <f t="shared" si="7"/>
        <v>4</v>
      </c>
      <c r="E154" s="32">
        <f t="shared" si="8"/>
        <v>-422307</v>
      </c>
      <c r="F154" s="8">
        <v>6500000</v>
      </c>
      <c r="G154" s="8"/>
      <c r="H154" s="8"/>
      <c r="I154" s="15"/>
      <c r="J154" s="16"/>
      <c r="K154" s="8"/>
      <c r="L154" s="8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</row>
    <row r="155" spans="1:63" s="4" customFormat="1" x14ac:dyDescent="0.3">
      <c r="A155" s="19"/>
      <c r="B155" s="20">
        <v>45432</v>
      </c>
      <c r="C155" s="20">
        <f t="shared" si="6"/>
        <v>45435</v>
      </c>
      <c r="D155" s="19">
        <f t="shared" si="7"/>
        <v>4</v>
      </c>
      <c r="E155" s="32">
        <f t="shared" si="8"/>
        <v>-52307</v>
      </c>
      <c r="F155" s="8">
        <v>1000000</v>
      </c>
      <c r="G155" s="8">
        <v>630000</v>
      </c>
      <c r="H155" s="8"/>
      <c r="I155" s="15"/>
      <c r="J155" s="16"/>
      <c r="K155" s="8"/>
      <c r="L155" s="8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</row>
    <row r="156" spans="1:63" s="4" customFormat="1" x14ac:dyDescent="0.3">
      <c r="A156" s="19"/>
      <c r="B156" s="20">
        <v>45436</v>
      </c>
      <c r="C156" s="20">
        <f t="shared" si="6"/>
        <v>45438</v>
      </c>
      <c r="D156" s="19">
        <f t="shared" si="7"/>
        <v>3</v>
      </c>
      <c r="E156" s="32">
        <f t="shared" si="8"/>
        <v>-52307</v>
      </c>
      <c r="F156" s="8">
        <v>500000</v>
      </c>
      <c r="G156" s="8">
        <v>500000</v>
      </c>
      <c r="H156" s="8"/>
      <c r="I156" s="15"/>
      <c r="J156" s="16"/>
      <c r="K156" s="8"/>
      <c r="L156" s="8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</row>
    <row r="157" spans="1:63" s="4" customFormat="1" x14ac:dyDescent="0.3">
      <c r="A157" s="19"/>
      <c r="B157" s="20">
        <v>45439</v>
      </c>
      <c r="C157" s="20">
        <f t="shared" si="6"/>
        <v>45439</v>
      </c>
      <c r="D157" s="19">
        <f t="shared" si="7"/>
        <v>1</v>
      </c>
      <c r="E157" s="32">
        <f t="shared" si="8"/>
        <v>-122307</v>
      </c>
      <c r="F157" s="8"/>
      <c r="G157" s="8">
        <v>70000</v>
      </c>
      <c r="H157" s="8"/>
      <c r="I157" s="15"/>
      <c r="J157" s="16"/>
      <c r="K157" s="8"/>
      <c r="L157" s="8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</row>
    <row r="158" spans="1:63" s="4" customFormat="1" x14ac:dyDescent="0.3">
      <c r="A158" s="19" t="s">
        <v>53</v>
      </c>
      <c r="B158" s="20">
        <v>45440</v>
      </c>
      <c r="C158" s="20">
        <f t="shared" si="6"/>
        <v>45442</v>
      </c>
      <c r="D158" s="19">
        <f t="shared" si="7"/>
        <v>3</v>
      </c>
      <c r="E158" s="32">
        <f t="shared" si="8"/>
        <v>39877693</v>
      </c>
      <c r="F158" s="8">
        <v>59000000</v>
      </c>
      <c r="G158" s="8">
        <v>19000000</v>
      </c>
      <c r="H158" s="8"/>
      <c r="I158" s="15">
        <v>0.26</v>
      </c>
      <c r="J158" s="16"/>
      <c r="K158" s="8">
        <f>I158*E158*D158/365</f>
        <v>85218.083671232875</v>
      </c>
      <c r="L158" s="8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</row>
    <row r="159" spans="1:63" s="4" customFormat="1" x14ac:dyDescent="0.3">
      <c r="A159" s="19" t="s">
        <v>53</v>
      </c>
      <c r="B159" s="20">
        <v>45443</v>
      </c>
      <c r="C159" s="20">
        <f t="shared" si="6"/>
        <v>45452</v>
      </c>
      <c r="D159" s="19">
        <f t="shared" si="7"/>
        <v>10</v>
      </c>
      <c r="E159" s="32">
        <f t="shared" si="8"/>
        <v>39877588</v>
      </c>
      <c r="F159" s="8"/>
      <c r="G159" s="8">
        <v>105</v>
      </c>
      <c r="H159" s="8"/>
      <c r="I159" s="15">
        <v>0.26</v>
      </c>
      <c r="J159" s="16"/>
      <c r="K159" s="8">
        <f t="shared" ref="K159:K175" si="9">I159*E159*D159/365</f>
        <v>284059.53095890413</v>
      </c>
      <c r="L159" s="8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</row>
    <row r="160" spans="1:63" s="4" customFormat="1" x14ac:dyDescent="0.3">
      <c r="A160" s="19" t="s">
        <v>53</v>
      </c>
      <c r="B160" s="20">
        <v>45453</v>
      </c>
      <c r="C160" s="20">
        <f t="shared" si="6"/>
        <v>45454</v>
      </c>
      <c r="D160" s="19">
        <f t="shared" si="7"/>
        <v>2</v>
      </c>
      <c r="E160" s="32">
        <f t="shared" si="8"/>
        <v>35677588</v>
      </c>
      <c r="F160" s="8"/>
      <c r="G160" s="8">
        <v>4200000</v>
      </c>
      <c r="H160" s="8"/>
      <c r="I160" s="15">
        <v>0.26</v>
      </c>
      <c r="J160" s="16"/>
      <c r="K160" s="8">
        <f t="shared" si="9"/>
        <v>50828.344547945213</v>
      </c>
      <c r="L160" s="8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</row>
    <row r="161" spans="1:63" s="4" customFormat="1" x14ac:dyDescent="0.3">
      <c r="A161" s="19" t="s">
        <v>53</v>
      </c>
      <c r="B161" s="20">
        <v>45455</v>
      </c>
      <c r="C161" s="20">
        <f t="shared" si="6"/>
        <v>45457</v>
      </c>
      <c r="D161" s="19">
        <f t="shared" si="7"/>
        <v>3</v>
      </c>
      <c r="E161" s="32">
        <f t="shared" si="8"/>
        <v>31645238</v>
      </c>
      <c r="F161" s="8"/>
      <c r="G161" s="8">
        <v>4032350</v>
      </c>
      <c r="H161" s="8"/>
      <c r="I161" s="15">
        <v>0.26</v>
      </c>
      <c r="J161" s="16"/>
      <c r="K161" s="8">
        <f t="shared" si="9"/>
        <v>67625.44010958905</v>
      </c>
      <c r="L161" s="8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</row>
    <row r="162" spans="1:63" s="4" customFormat="1" x14ac:dyDescent="0.3">
      <c r="A162" s="19" t="s">
        <v>53</v>
      </c>
      <c r="B162" s="20">
        <v>45458</v>
      </c>
      <c r="C162" s="20">
        <f t="shared" si="6"/>
        <v>45459</v>
      </c>
      <c r="D162" s="19">
        <f t="shared" si="7"/>
        <v>2</v>
      </c>
      <c r="E162" s="32">
        <f t="shared" si="8"/>
        <v>35917238</v>
      </c>
      <c r="F162" s="8">
        <v>4402000</v>
      </c>
      <c r="G162" s="8">
        <v>130000</v>
      </c>
      <c r="H162" s="8"/>
      <c r="I162" s="15">
        <v>0.26</v>
      </c>
      <c r="J162" s="16"/>
      <c r="K162" s="8">
        <f t="shared" si="9"/>
        <v>51169.763726027399</v>
      </c>
      <c r="L162" s="8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</row>
    <row r="163" spans="1:63" s="4" customFormat="1" x14ac:dyDescent="0.3">
      <c r="A163" s="19" t="s">
        <v>53</v>
      </c>
      <c r="B163" s="20">
        <v>45460</v>
      </c>
      <c r="C163" s="20">
        <f t="shared" si="6"/>
        <v>45460</v>
      </c>
      <c r="D163" s="19">
        <f t="shared" si="7"/>
        <v>1</v>
      </c>
      <c r="E163" s="32">
        <f t="shared" si="8"/>
        <v>38759438</v>
      </c>
      <c r="F163" s="8">
        <v>3842200</v>
      </c>
      <c r="G163" s="8">
        <v>1000000</v>
      </c>
      <c r="H163" s="8"/>
      <c r="I163" s="15">
        <v>0.26</v>
      </c>
      <c r="J163" s="16"/>
      <c r="K163" s="8">
        <f t="shared" si="9"/>
        <v>27609.46268493151</v>
      </c>
      <c r="L163" s="8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</row>
    <row r="164" spans="1:63" s="4" customFormat="1" x14ac:dyDescent="0.3">
      <c r="A164" s="19" t="s">
        <v>53</v>
      </c>
      <c r="B164" s="20">
        <v>45461</v>
      </c>
      <c r="C164" s="20">
        <f t="shared" si="6"/>
        <v>45461</v>
      </c>
      <c r="D164" s="19">
        <f t="shared" si="7"/>
        <v>1</v>
      </c>
      <c r="E164" s="32">
        <f t="shared" si="8"/>
        <v>38859438</v>
      </c>
      <c r="F164" s="8">
        <v>100000</v>
      </c>
      <c r="G164" s="8"/>
      <c r="H164" s="8"/>
      <c r="I164" s="15">
        <v>0.26</v>
      </c>
      <c r="J164" s="16"/>
      <c r="K164" s="8">
        <f t="shared" si="9"/>
        <v>27680.695561643839</v>
      </c>
      <c r="L164" s="8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</row>
    <row r="165" spans="1:63" s="4" customFormat="1" x14ac:dyDescent="0.3">
      <c r="A165" s="19" t="s">
        <v>53</v>
      </c>
      <c r="B165" s="20">
        <v>45462</v>
      </c>
      <c r="C165" s="20">
        <f t="shared" si="6"/>
        <v>45462</v>
      </c>
      <c r="D165" s="19">
        <f t="shared" si="7"/>
        <v>1</v>
      </c>
      <c r="E165" s="32">
        <f t="shared" si="8"/>
        <v>38359438</v>
      </c>
      <c r="F165" s="8"/>
      <c r="G165" s="8">
        <v>500000</v>
      </c>
      <c r="H165" s="8"/>
      <c r="I165" s="15">
        <v>0.26</v>
      </c>
      <c r="J165" s="16"/>
      <c r="K165" s="8">
        <f t="shared" si="9"/>
        <v>27324.531178082194</v>
      </c>
      <c r="L165" s="8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</row>
    <row r="166" spans="1:63" s="4" customFormat="1" x14ac:dyDescent="0.3">
      <c r="A166" s="19" t="s">
        <v>53</v>
      </c>
      <c r="B166" s="20">
        <v>45463</v>
      </c>
      <c r="C166" s="20">
        <f t="shared" si="6"/>
        <v>45466</v>
      </c>
      <c r="D166" s="19">
        <f t="shared" si="7"/>
        <v>4</v>
      </c>
      <c r="E166" s="32">
        <f t="shared" si="8"/>
        <v>39499438</v>
      </c>
      <c r="F166" s="8">
        <v>1140000</v>
      </c>
      <c r="G166" s="8"/>
      <c r="H166" s="8"/>
      <c r="I166" s="15">
        <v>0.26</v>
      </c>
      <c r="J166" s="16"/>
      <c r="K166" s="8">
        <f t="shared" si="9"/>
        <v>112546.34389041096</v>
      </c>
      <c r="L166" s="8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</row>
    <row r="167" spans="1:63" s="4" customFormat="1" x14ac:dyDescent="0.3">
      <c r="A167" s="19" t="s">
        <v>53</v>
      </c>
      <c r="B167" s="20">
        <v>45467</v>
      </c>
      <c r="C167" s="20">
        <f t="shared" si="6"/>
        <v>45467</v>
      </c>
      <c r="D167" s="19">
        <f t="shared" si="7"/>
        <v>1</v>
      </c>
      <c r="E167" s="32">
        <f t="shared" si="8"/>
        <v>39549438</v>
      </c>
      <c r="F167" s="8">
        <v>50000</v>
      </c>
      <c r="G167" s="8"/>
      <c r="H167" s="8"/>
      <c r="I167" s="15">
        <v>0.26</v>
      </c>
      <c r="J167" s="16"/>
      <c r="K167" s="8">
        <f t="shared" si="9"/>
        <v>28172.202410958907</v>
      </c>
      <c r="L167" s="8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</row>
    <row r="168" spans="1:63" s="4" customFormat="1" x14ac:dyDescent="0.3">
      <c r="A168" s="19" t="s">
        <v>53</v>
      </c>
      <c r="B168" s="20">
        <v>45468</v>
      </c>
      <c r="C168" s="20">
        <f t="shared" si="6"/>
        <v>45470</v>
      </c>
      <c r="D168" s="19">
        <f t="shared" si="7"/>
        <v>3</v>
      </c>
      <c r="E168" s="32">
        <f t="shared" si="8"/>
        <v>39784438</v>
      </c>
      <c r="F168" s="8">
        <v>235000</v>
      </c>
      <c r="G168" s="8"/>
      <c r="H168" s="8"/>
      <c r="I168" s="15">
        <v>0.26</v>
      </c>
      <c r="J168" s="16"/>
      <c r="K168" s="8">
        <f t="shared" si="9"/>
        <v>85018.799013698634</v>
      </c>
      <c r="L168" s="8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</row>
    <row r="169" spans="1:63" s="4" customFormat="1" x14ac:dyDescent="0.3">
      <c r="A169" s="19" t="s">
        <v>53</v>
      </c>
      <c r="B169" s="20">
        <v>45471</v>
      </c>
      <c r="C169" s="20">
        <f t="shared" si="6"/>
        <v>45471</v>
      </c>
      <c r="D169" s="19">
        <f t="shared" si="7"/>
        <v>1</v>
      </c>
      <c r="E169" s="32">
        <f t="shared" si="8"/>
        <v>38884438</v>
      </c>
      <c r="F169" s="8">
        <v>100000</v>
      </c>
      <c r="G169" s="8">
        <v>1000000</v>
      </c>
      <c r="H169" s="8"/>
      <c r="I169" s="15">
        <v>0.26</v>
      </c>
      <c r="J169" s="16"/>
      <c r="K169" s="8">
        <f t="shared" si="9"/>
        <v>27698.50378082192</v>
      </c>
      <c r="L169" s="8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</row>
    <row r="170" spans="1:63" s="4" customFormat="1" x14ac:dyDescent="0.3">
      <c r="A170" s="19" t="s">
        <v>53</v>
      </c>
      <c r="B170" s="20">
        <v>45472</v>
      </c>
      <c r="C170" s="20">
        <f t="shared" si="6"/>
        <v>45472</v>
      </c>
      <c r="D170" s="19">
        <f t="shared" si="7"/>
        <v>1</v>
      </c>
      <c r="E170" s="32">
        <f t="shared" si="8"/>
        <v>39675012</v>
      </c>
      <c r="F170" s="8">
        <v>790574</v>
      </c>
      <c r="G170" s="8"/>
      <c r="H170" s="8">
        <v>790574</v>
      </c>
      <c r="I170" s="15">
        <v>0.26</v>
      </c>
      <c r="J170" s="16"/>
      <c r="K170" s="8">
        <f t="shared" si="9"/>
        <v>28261.652383561646</v>
      </c>
      <c r="L170" s="8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</row>
    <row r="171" spans="1:63" s="4" customFormat="1" x14ac:dyDescent="0.3">
      <c r="A171" s="19" t="s">
        <v>53</v>
      </c>
      <c r="B171" s="20">
        <v>45473</v>
      </c>
      <c r="C171" s="20">
        <f t="shared" si="6"/>
        <v>45474</v>
      </c>
      <c r="D171" s="19">
        <f t="shared" si="7"/>
        <v>2</v>
      </c>
      <c r="E171" s="32">
        <f t="shared" si="8"/>
        <v>39605012</v>
      </c>
      <c r="F171" s="8"/>
      <c r="G171" s="8">
        <v>70000</v>
      </c>
      <c r="H171" s="8"/>
      <c r="I171" s="15">
        <v>0.26</v>
      </c>
      <c r="J171" s="16"/>
      <c r="K171" s="8">
        <f t="shared" si="9"/>
        <v>56423.578739726036</v>
      </c>
      <c r="L171" s="8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</row>
    <row r="172" spans="1:63" s="4" customFormat="1" x14ac:dyDescent="0.3">
      <c r="A172" s="19" t="s">
        <v>53</v>
      </c>
      <c r="B172" s="20">
        <v>45475</v>
      </c>
      <c r="C172" s="20">
        <f t="shared" si="6"/>
        <v>45484</v>
      </c>
      <c r="D172" s="19">
        <f t="shared" si="7"/>
        <v>10</v>
      </c>
      <c r="E172" s="32">
        <f t="shared" si="8"/>
        <v>39705012</v>
      </c>
      <c r="F172" s="8">
        <v>100000</v>
      </c>
      <c r="G172" s="8"/>
      <c r="H172" s="8"/>
      <c r="I172" s="15">
        <v>0.26</v>
      </c>
      <c r="J172" s="16"/>
      <c r="K172" s="8">
        <f t="shared" si="9"/>
        <v>282830.2224657535</v>
      </c>
      <c r="L172" s="8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</row>
    <row r="173" spans="1:63" s="4" customFormat="1" x14ac:dyDescent="0.3">
      <c r="A173" s="19" t="s">
        <v>53</v>
      </c>
      <c r="B173" s="20">
        <v>45485</v>
      </c>
      <c r="C173" s="20">
        <f t="shared" si="6"/>
        <v>45491</v>
      </c>
      <c r="D173" s="19">
        <f t="shared" si="7"/>
        <v>7</v>
      </c>
      <c r="E173" s="32">
        <f t="shared" si="8"/>
        <v>39945012</v>
      </c>
      <c r="F173" s="8">
        <v>240000</v>
      </c>
      <c r="G173" s="8"/>
      <c r="H173" s="8"/>
      <c r="I173" s="15">
        <v>0.26</v>
      </c>
      <c r="J173" s="16"/>
      <c r="K173" s="8">
        <f t="shared" si="9"/>
        <v>199177.86805479453</v>
      </c>
      <c r="L173" s="8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</row>
    <row r="174" spans="1:63" s="4" customFormat="1" x14ac:dyDescent="0.3">
      <c r="A174" s="19" t="s">
        <v>53</v>
      </c>
      <c r="B174" s="20">
        <v>45492</v>
      </c>
      <c r="C174" s="20">
        <f t="shared" si="6"/>
        <v>45496</v>
      </c>
      <c r="D174" s="19">
        <f t="shared" si="7"/>
        <v>5</v>
      </c>
      <c r="E174" s="32">
        <f t="shared" si="8"/>
        <v>39947662</v>
      </c>
      <c r="F174" s="8">
        <v>4035000</v>
      </c>
      <c r="G174" s="8">
        <v>4032350</v>
      </c>
      <c r="H174" s="8"/>
      <c r="I174" s="15">
        <v>0.26</v>
      </c>
      <c r="J174" s="16"/>
      <c r="K174" s="8">
        <f t="shared" si="9"/>
        <v>142279.34410958906</v>
      </c>
      <c r="L174" s="8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</row>
    <row r="175" spans="1:63" s="4" customFormat="1" x14ac:dyDescent="0.3">
      <c r="A175" s="19" t="s">
        <v>53</v>
      </c>
      <c r="B175" s="20">
        <v>45497</v>
      </c>
      <c r="C175" s="20">
        <f t="shared" si="6"/>
        <v>45509</v>
      </c>
      <c r="D175" s="19">
        <f t="shared" si="7"/>
        <v>13</v>
      </c>
      <c r="E175" s="32">
        <f t="shared" si="8"/>
        <v>39947662</v>
      </c>
      <c r="F175" s="8">
        <v>500000</v>
      </c>
      <c r="G175" s="8">
        <v>500000</v>
      </c>
      <c r="H175" s="8"/>
      <c r="I175" s="15">
        <v>0.26</v>
      </c>
      <c r="J175" s="16"/>
      <c r="K175" s="8">
        <f t="shared" si="9"/>
        <v>369926.29468493152</v>
      </c>
      <c r="L175" s="8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</row>
    <row r="176" spans="1:63" s="4" customFormat="1" x14ac:dyDescent="0.3">
      <c r="A176" s="19" t="s">
        <v>52</v>
      </c>
      <c r="B176" s="20">
        <v>45510</v>
      </c>
      <c r="C176" s="20">
        <f t="shared" si="6"/>
        <v>45519</v>
      </c>
      <c r="D176" s="19">
        <f t="shared" si="7"/>
        <v>10</v>
      </c>
      <c r="E176" s="32">
        <f t="shared" si="8"/>
        <v>39947662</v>
      </c>
      <c r="F176" s="8"/>
      <c r="G176" s="8"/>
      <c r="H176" s="8"/>
      <c r="I176" s="15">
        <v>0.26</v>
      </c>
      <c r="J176" s="16">
        <f>I176*1.5</f>
        <v>0.39</v>
      </c>
      <c r="K176" s="8"/>
      <c r="L176" s="8">
        <f>J176*E176*D176/365</f>
        <v>426838.03232876718</v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</row>
    <row r="177" spans="1:63" s="4" customFormat="1" x14ac:dyDescent="0.3">
      <c r="A177" s="19" t="s">
        <v>52</v>
      </c>
      <c r="B177" s="20">
        <v>45520</v>
      </c>
      <c r="C177" s="20">
        <f t="shared" si="6"/>
        <v>45522</v>
      </c>
      <c r="D177" s="19">
        <f t="shared" si="7"/>
        <v>3</v>
      </c>
      <c r="E177" s="32">
        <f t="shared" si="8"/>
        <v>40000000</v>
      </c>
      <c r="F177" s="8">
        <v>4084688</v>
      </c>
      <c r="G177" s="8">
        <v>4032350</v>
      </c>
      <c r="H177" s="8"/>
      <c r="I177" s="15">
        <v>0.26</v>
      </c>
      <c r="J177" s="16">
        <f t="shared" ref="J177:J183" si="10">I177*1.5</f>
        <v>0.39</v>
      </c>
      <c r="K177" s="8"/>
      <c r="L177" s="8">
        <f t="shared" ref="L177:L183" si="11">J177*E177*D177/365</f>
        <v>128219.17808219178</v>
      </c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</row>
    <row r="178" spans="1:63" s="4" customFormat="1" x14ac:dyDescent="0.3">
      <c r="A178" s="19" t="s">
        <v>52</v>
      </c>
      <c r="B178" s="20">
        <v>45523</v>
      </c>
      <c r="C178" s="20">
        <f t="shared" si="6"/>
        <v>45525</v>
      </c>
      <c r="D178" s="19">
        <f t="shared" si="7"/>
        <v>3</v>
      </c>
      <c r="E178" s="32">
        <f t="shared" si="8"/>
        <v>40000000</v>
      </c>
      <c r="F178" s="8">
        <v>30000</v>
      </c>
      <c r="G178" s="8">
        <v>30000</v>
      </c>
      <c r="H178" s="8"/>
      <c r="I178" s="15">
        <v>0.26</v>
      </c>
      <c r="J178" s="16">
        <f t="shared" si="10"/>
        <v>0.39</v>
      </c>
      <c r="K178" s="8"/>
      <c r="L178" s="8">
        <f t="shared" si="11"/>
        <v>128219.17808219178</v>
      </c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</row>
    <row r="179" spans="1:63" s="4" customFormat="1" x14ac:dyDescent="0.3">
      <c r="A179" s="19" t="s">
        <v>52</v>
      </c>
      <c r="B179" s="20">
        <v>45526</v>
      </c>
      <c r="C179" s="20">
        <f t="shared" si="6"/>
        <v>45546</v>
      </c>
      <c r="D179" s="19">
        <f t="shared" si="7"/>
        <v>21</v>
      </c>
      <c r="E179" s="32">
        <f t="shared" si="8"/>
        <v>40000000</v>
      </c>
      <c r="F179" s="8">
        <v>10000</v>
      </c>
      <c r="G179" s="8">
        <v>10000</v>
      </c>
      <c r="H179" s="8"/>
      <c r="I179" s="15">
        <v>0.26</v>
      </c>
      <c r="J179" s="16">
        <f t="shared" si="10"/>
        <v>0.39</v>
      </c>
      <c r="K179" s="8"/>
      <c r="L179" s="8">
        <f t="shared" si="11"/>
        <v>897534.24657534249</v>
      </c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</row>
    <row r="180" spans="1:63" s="4" customFormat="1" x14ac:dyDescent="0.3">
      <c r="A180" s="19" t="s">
        <v>52</v>
      </c>
      <c r="B180" s="20">
        <v>45547</v>
      </c>
      <c r="C180" s="20">
        <f t="shared" si="6"/>
        <v>45571</v>
      </c>
      <c r="D180" s="19">
        <f t="shared" si="7"/>
        <v>25</v>
      </c>
      <c r="E180" s="32">
        <f t="shared" si="8"/>
        <v>40000000</v>
      </c>
      <c r="F180" s="8">
        <v>4032350</v>
      </c>
      <c r="G180" s="8">
        <v>4032350</v>
      </c>
      <c r="H180" s="8"/>
      <c r="I180" s="15">
        <v>0.26</v>
      </c>
      <c r="J180" s="16">
        <f t="shared" si="10"/>
        <v>0.39</v>
      </c>
      <c r="K180" s="8"/>
      <c r="L180" s="8">
        <f t="shared" si="11"/>
        <v>1068493.1506849315</v>
      </c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</row>
    <row r="181" spans="1:63" s="4" customFormat="1" x14ac:dyDescent="0.3">
      <c r="A181" s="19" t="s">
        <v>52</v>
      </c>
      <c r="B181" s="20">
        <v>45572</v>
      </c>
      <c r="C181" s="20">
        <f t="shared" si="6"/>
        <v>45578</v>
      </c>
      <c r="D181" s="19">
        <f t="shared" si="7"/>
        <v>7</v>
      </c>
      <c r="E181" s="32">
        <f t="shared" si="8"/>
        <v>40000000</v>
      </c>
      <c r="F181" s="8"/>
      <c r="G181" s="8"/>
      <c r="H181" s="8"/>
      <c r="I181" s="15">
        <v>0.26</v>
      </c>
      <c r="J181" s="16">
        <f t="shared" si="10"/>
        <v>0.39</v>
      </c>
      <c r="K181" s="8"/>
      <c r="L181" s="8">
        <f t="shared" si="11"/>
        <v>299178.08219178085</v>
      </c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</row>
    <row r="182" spans="1:63" s="4" customFormat="1" x14ac:dyDescent="0.3">
      <c r="A182" s="19" t="s">
        <v>52</v>
      </c>
      <c r="B182" s="20">
        <v>45579</v>
      </c>
      <c r="C182" s="20">
        <f t="shared" si="6"/>
        <v>45581</v>
      </c>
      <c r="D182" s="19">
        <f t="shared" si="7"/>
        <v>3</v>
      </c>
      <c r="E182" s="32">
        <f t="shared" si="8"/>
        <v>39998000</v>
      </c>
      <c r="F182" s="8"/>
      <c r="G182" s="8">
        <v>2000</v>
      </c>
      <c r="H182" s="8"/>
      <c r="I182" s="15">
        <v>0.26</v>
      </c>
      <c r="J182" s="16">
        <f t="shared" si="10"/>
        <v>0.39</v>
      </c>
      <c r="K182" s="8"/>
      <c r="L182" s="8">
        <f t="shared" si="11"/>
        <v>128212.76712328767</v>
      </c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</row>
    <row r="183" spans="1:63" s="4" customFormat="1" x14ac:dyDescent="0.3">
      <c r="A183" s="19" t="s">
        <v>52</v>
      </c>
      <c r="B183" s="20">
        <v>45582</v>
      </c>
      <c r="C183" s="20">
        <v>46064</v>
      </c>
      <c r="D183" s="19">
        <f t="shared" si="7"/>
        <v>483</v>
      </c>
      <c r="E183" s="32">
        <f t="shared" si="8"/>
        <v>39965650</v>
      </c>
      <c r="F183" s="8">
        <v>4000000</v>
      </c>
      <c r="G183" s="8">
        <v>4032350</v>
      </c>
      <c r="H183" s="8"/>
      <c r="I183" s="15">
        <v>0.26</v>
      </c>
      <c r="J183" s="16">
        <f t="shared" si="10"/>
        <v>0.39</v>
      </c>
      <c r="K183" s="8"/>
      <c r="L183" s="8">
        <f t="shared" si="11"/>
        <v>20625560.247945204</v>
      </c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</row>
    <row r="184" spans="1:63" x14ac:dyDescent="0.3">
      <c r="A184" s="11"/>
      <c r="B184" s="12"/>
      <c r="C184" s="12" t="s">
        <v>11</v>
      </c>
      <c r="D184" s="12"/>
      <c r="E184" s="13">
        <f>E183</f>
        <v>39965650</v>
      </c>
      <c r="F184" s="14">
        <f>SUM(F13:F183)</f>
        <v>612677312</v>
      </c>
      <c r="G184" s="14">
        <f>SUM(G13:G183)</f>
        <v>572711662</v>
      </c>
      <c r="H184" s="14">
        <f>SUM(H13:H183)</f>
        <v>790574</v>
      </c>
      <c r="I184" s="14"/>
      <c r="J184" s="14"/>
      <c r="K184" s="14">
        <f>SUM(K13:K183)</f>
        <v>1953850.6619726028</v>
      </c>
      <c r="L184" s="14">
        <f>SUM(L13:L183)</f>
        <v>23702254.883013695</v>
      </c>
    </row>
    <row r="185" spans="1:63" x14ac:dyDescent="0.3">
      <c r="B185" s="6"/>
      <c r="C185" s="7"/>
      <c r="D185" s="7"/>
      <c r="E185" s="7"/>
      <c r="F185" s="7"/>
      <c r="G185" s="7"/>
      <c r="H185" s="7"/>
      <c r="I185" s="7"/>
      <c r="J185" s="7"/>
      <c r="K185" s="7"/>
      <c r="L185" s="7"/>
    </row>
    <row r="186" spans="1:63" x14ac:dyDescent="0.3">
      <c r="F186" s="35"/>
      <c r="K186" s="64" t="s">
        <v>45</v>
      </c>
      <c r="L186" s="64"/>
    </row>
    <row r="187" spans="1:63" x14ac:dyDescent="0.3">
      <c r="F187" s="36"/>
      <c r="L187" s="2"/>
    </row>
    <row r="188" spans="1:63" x14ac:dyDescent="0.3">
      <c r="L188" s="2"/>
    </row>
    <row r="189" spans="1:63" x14ac:dyDescent="0.3">
      <c r="L189" s="2"/>
    </row>
    <row r="190" spans="1:63" x14ac:dyDescent="0.3">
      <c r="K190" s="65" t="s">
        <v>51</v>
      </c>
      <c r="L190" s="65"/>
    </row>
  </sheetData>
  <mergeCells count="5">
    <mergeCell ref="K190:L190"/>
    <mergeCell ref="A1:L1"/>
    <mergeCell ref="A3:B3"/>
    <mergeCell ref="G4:H4"/>
    <mergeCell ref="K186:L186"/>
  </mergeCells>
  <pageMargins left="0.7" right="0.7" top="0.75" bottom="0.75" header="0.3" footer="0.3"/>
  <pageSetup paperSize="9" scale="6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27</v>
      </c>
      <c r="B1" t="s">
        <v>28</v>
      </c>
      <c r="C1" t="s">
        <v>29</v>
      </c>
      <c r="D1" t="s">
        <v>30</v>
      </c>
    </row>
    <row r="2" spans="1:6" x14ac:dyDescent="0.3">
      <c r="A2" s="28">
        <v>45913.589942129627</v>
      </c>
      <c r="B2" t="s">
        <v>31</v>
      </c>
      <c r="C2" t="s">
        <v>24</v>
      </c>
      <c r="D2">
        <v>14</v>
      </c>
      <c r="E2" t="s">
        <v>32</v>
      </c>
      <c r="F2" t="s">
        <v>33</v>
      </c>
    </row>
    <row r="3" spans="1:6" x14ac:dyDescent="0.3">
      <c r="A3" s="28">
        <v>45913.589942129627</v>
      </c>
      <c r="B3" t="s">
        <v>34</v>
      </c>
      <c r="C3" t="s">
        <v>22</v>
      </c>
      <c r="D3">
        <v>33</v>
      </c>
      <c r="E3" t="s">
        <v>32</v>
      </c>
      <c r="F3" t="s">
        <v>33</v>
      </c>
    </row>
    <row r="4" spans="1:6" x14ac:dyDescent="0.3">
      <c r="A4" s="28">
        <v>45913.589942129627</v>
      </c>
      <c r="B4" t="s">
        <v>35</v>
      </c>
      <c r="C4" t="s">
        <v>23</v>
      </c>
      <c r="D4">
        <v>33</v>
      </c>
      <c r="E4" t="s">
        <v>32</v>
      </c>
      <c r="F4" t="s">
        <v>33</v>
      </c>
    </row>
    <row r="5" spans="1:6" x14ac:dyDescent="0.3">
      <c r="A5" s="28">
        <v>45913.589942129627</v>
      </c>
      <c r="B5" t="s">
        <v>36</v>
      </c>
      <c r="C5" t="s">
        <v>26</v>
      </c>
      <c r="D5">
        <v>12</v>
      </c>
      <c r="E5" t="s">
        <v>32</v>
      </c>
      <c r="F5" t="s">
        <v>33</v>
      </c>
    </row>
    <row r="6" spans="1:6" x14ac:dyDescent="0.3">
      <c r="A6" s="28">
        <v>45913.590243055558</v>
      </c>
      <c r="B6" t="s">
        <v>37</v>
      </c>
      <c r="C6" t="s">
        <v>25</v>
      </c>
      <c r="D6">
        <v>11</v>
      </c>
      <c r="E6" t="s">
        <v>32</v>
      </c>
      <c r="F6" t="s">
        <v>33</v>
      </c>
    </row>
    <row r="7" spans="1:6" x14ac:dyDescent="0.3">
      <c r="A7" s="28">
        <v>45913.590243055558</v>
      </c>
      <c r="B7" t="s">
        <v>31</v>
      </c>
      <c r="C7" t="s">
        <v>24</v>
      </c>
      <c r="D7">
        <v>14</v>
      </c>
      <c r="E7" t="s">
        <v>32</v>
      </c>
      <c r="F7" t="s">
        <v>33</v>
      </c>
    </row>
    <row r="8" spans="1:6" x14ac:dyDescent="0.3">
      <c r="A8" s="28">
        <v>45913.590243055558</v>
      </c>
      <c r="B8" t="s">
        <v>34</v>
      </c>
      <c r="C8" t="s">
        <v>22</v>
      </c>
      <c r="D8">
        <v>33</v>
      </c>
      <c r="E8" t="s">
        <v>32</v>
      </c>
      <c r="F8" t="s">
        <v>33</v>
      </c>
    </row>
    <row r="9" spans="1:6" x14ac:dyDescent="0.3">
      <c r="A9" s="28">
        <v>45913.590243055558</v>
      </c>
      <c r="B9" t="s">
        <v>35</v>
      </c>
      <c r="C9" t="s">
        <v>23</v>
      </c>
      <c r="D9">
        <v>33</v>
      </c>
      <c r="E9" t="s">
        <v>32</v>
      </c>
      <c r="F9" t="s">
        <v>33</v>
      </c>
    </row>
    <row r="10" spans="1:6" x14ac:dyDescent="0.3">
      <c r="A10" s="28">
        <v>45913.590254629627</v>
      </c>
      <c r="B10" t="s">
        <v>36</v>
      </c>
      <c r="C10" t="s">
        <v>26</v>
      </c>
      <c r="D10">
        <v>12</v>
      </c>
      <c r="E10" t="s">
        <v>32</v>
      </c>
      <c r="F10" t="s">
        <v>33</v>
      </c>
    </row>
    <row r="11" spans="1:6" x14ac:dyDescent="0.3">
      <c r="A11" s="28">
        <v>45913.616481481484</v>
      </c>
      <c r="B11" t="s">
        <v>38</v>
      </c>
      <c r="C11" t="s">
        <v>26</v>
      </c>
      <c r="D11">
        <v>3</v>
      </c>
      <c r="E11" t="s">
        <v>32</v>
      </c>
      <c r="F11" t="s">
        <v>33</v>
      </c>
    </row>
    <row r="12" spans="1:6" x14ac:dyDescent="0.3">
      <c r="A12" s="28">
        <v>45913.617245370369</v>
      </c>
      <c r="B12" t="s">
        <v>39</v>
      </c>
      <c r="C12" t="s">
        <v>25</v>
      </c>
      <c r="D12">
        <v>0</v>
      </c>
      <c r="E12" t="s">
        <v>32</v>
      </c>
      <c r="F12" t="s">
        <v>33</v>
      </c>
    </row>
    <row r="13" spans="1:6" x14ac:dyDescent="0.3">
      <c r="A13" s="28">
        <v>45913.617245370369</v>
      </c>
      <c r="B13" t="s">
        <v>40</v>
      </c>
      <c r="C13" t="s">
        <v>24</v>
      </c>
      <c r="D13">
        <v>0</v>
      </c>
      <c r="E13" t="s">
        <v>32</v>
      </c>
      <c r="F13" t="s">
        <v>33</v>
      </c>
    </row>
    <row r="14" spans="1:6" x14ac:dyDescent="0.3">
      <c r="A14" s="28">
        <v>45913.617245370369</v>
      </c>
      <c r="B14" t="s">
        <v>41</v>
      </c>
      <c r="C14" t="s">
        <v>22</v>
      </c>
      <c r="D14">
        <v>7</v>
      </c>
      <c r="E14" t="s">
        <v>32</v>
      </c>
      <c r="F14" t="s">
        <v>33</v>
      </c>
    </row>
    <row r="15" spans="1:6" x14ac:dyDescent="0.3">
      <c r="A15" s="28">
        <v>45913.617245370369</v>
      </c>
      <c r="B15" t="s">
        <v>42</v>
      </c>
      <c r="C15" t="s">
        <v>23</v>
      </c>
      <c r="D15">
        <v>7</v>
      </c>
      <c r="E15" t="s">
        <v>32</v>
      </c>
      <c r="F15" t="s">
        <v>33</v>
      </c>
    </row>
    <row r="16" spans="1:6" x14ac:dyDescent="0.3">
      <c r="A16" s="28">
        <v>45913.617256944446</v>
      </c>
      <c r="B16" t="s">
        <v>38</v>
      </c>
      <c r="C16" t="s">
        <v>26</v>
      </c>
      <c r="D16">
        <v>3</v>
      </c>
      <c r="E16" t="s">
        <v>43</v>
      </c>
      <c r="F16" t="s">
        <v>44</v>
      </c>
    </row>
    <row r="17" spans="1:6" x14ac:dyDescent="0.3">
      <c r="A17" s="28">
        <v>45913.620682870373</v>
      </c>
      <c r="B17" t="s">
        <v>39</v>
      </c>
      <c r="C17" t="s">
        <v>25</v>
      </c>
      <c r="D17">
        <v>1</v>
      </c>
      <c r="E17" t="s">
        <v>32</v>
      </c>
      <c r="F17" t="s">
        <v>33</v>
      </c>
    </row>
    <row r="18" spans="1:6" x14ac:dyDescent="0.3">
      <c r="A18" s="28">
        <v>45913.620682870373</v>
      </c>
      <c r="B18" t="s">
        <v>40</v>
      </c>
      <c r="C18" t="s">
        <v>24</v>
      </c>
      <c r="D18">
        <v>1</v>
      </c>
      <c r="E18" t="s">
        <v>32</v>
      </c>
      <c r="F18" t="s">
        <v>33</v>
      </c>
    </row>
    <row r="19" spans="1:6" x14ac:dyDescent="0.3">
      <c r="A19" s="28">
        <v>45913.620682870373</v>
      </c>
      <c r="B19" t="s">
        <v>41</v>
      </c>
      <c r="C19" t="s">
        <v>22</v>
      </c>
      <c r="D19">
        <v>7</v>
      </c>
      <c r="E19" t="s">
        <v>32</v>
      </c>
      <c r="F19" t="s">
        <v>33</v>
      </c>
    </row>
    <row r="20" spans="1:6" x14ac:dyDescent="0.3">
      <c r="A20" s="28">
        <v>45913.620694444442</v>
      </c>
      <c r="B20" t="s">
        <v>42</v>
      </c>
      <c r="C20" t="s">
        <v>23</v>
      </c>
      <c r="D20">
        <v>7</v>
      </c>
      <c r="E20" t="s">
        <v>32</v>
      </c>
      <c r="F20" t="s">
        <v>33</v>
      </c>
    </row>
    <row r="21" spans="1:6" x14ac:dyDescent="0.3">
      <c r="A21" s="28">
        <v>45913.620694444442</v>
      </c>
      <c r="B21" t="s">
        <v>38</v>
      </c>
      <c r="C21" t="s">
        <v>26</v>
      </c>
      <c r="D21">
        <v>3</v>
      </c>
      <c r="E21" t="s">
        <v>32</v>
      </c>
      <c r="F21" t="s">
        <v>33</v>
      </c>
    </row>
    <row r="22" spans="1:6" x14ac:dyDescent="0.3">
      <c r="A22" s="28">
        <v>45913.621365740742</v>
      </c>
      <c r="B22" t="s">
        <v>39</v>
      </c>
      <c r="C22" t="s">
        <v>25</v>
      </c>
      <c r="D22">
        <v>1</v>
      </c>
      <c r="E22" t="s">
        <v>32</v>
      </c>
      <c r="F22" t="s">
        <v>33</v>
      </c>
    </row>
    <row r="23" spans="1:6" x14ac:dyDescent="0.3">
      <c r="A23" s="28">
        <v>45913.621365740742</v>
      </c>
      <c r="B23" t="s">
        <v>40</v>
      </c>
      <c r="C23" t="s">
        <v>24</v>
      </c>
      <c r="D23">
        <v>1</v>
      </c>
      <c r="E23" t="s">
        <v>32</v>
      </c>
      <c r="F23" t="s">
        <v>33</v>
      </c>
    </row>
    <row r="24" spans="1:6" x14ac:dyDescent="0.3">
      <c r="A24" s="28">
        <v>45913.621365740742</v>
      </c>
      <c r="B24" t="s">
        <v>41</v>
      </c>
      <c r="C24" t="s">
        <v>22</v>
      </c>
      <c r="D24">
        <v>7</v>
      </c>
      <c r="E24" t="s">
        <v>32</v>
      </c>
      <c r="F24" t="s">
        <v>33</v>
      </c>
    </row>
    <row r="25" spans="1:6" x14ac:dyDescent="0.3">
      <c r="A25" s="28">
        <v>45913.621365740742</v>
      </c>
      <c r="B25" t="s">
        <v>42</v>
      </c>
      <c r="C25" t="s">
        <v>23</v>
      </c>
      <c r="D25">
        <v>7</v>
      </c>
      <c r="E25" t="s">
        <v>32</v>
      </c>
      <c r="F25" t="s">
        <v>33</v>
      </c>
    </row>
    <row r="26" spans="1:6" x14ac:dyDescent="0.3">
      <c r="A26" s="28">
        <v>45913.621365740742</v>
      </c>
      <c r="B26" t="s">
        <v>38</v>
      </c>
      <c r="C26" t="s">
        <v>26</v>
      </c>
      <c r="D26">
        <v>3</v>
      </c>
      <c r="E26" t="s">
        <v>32</v>
      </c>
      <c r="F26" t="s">
        <v>33</v>
      </c>
    </row>
    <row r="27" spans="1:6" x14ac:dyDescent="0.3">
      <c r="A27" s="28">
        <v>45913.840555555558</v>
      </c>
      <c r="B27" t="s">
        <v>39</v>
      </c>
      <c r="C27" t="s">
        <v>25</v>
      </c>
      <c r="D27">
        <v>1</v>
      </c>
      <c r="E27" t="s">
        <v>32</v>
      </c>
    </row>
    <row r="28" spans="1:6" x14ac:dyDescent="0.3">
      <c r="A28" s="28">
        <v>45913.840555555558</v>
      </c>
      <c r="B28" t="s">
        <v>40</v>
      </c>
      <c r="C28" t="s">
        <v>24</v>
      </c>
      <c r="D28">
        <v>1</v>
      </c>
      <c r="E28" t="s">
        <v>32</v>
      </c>
    </row>
    <row r="29" spans="1:6" x14ac:dyDescent="0.3">
      <c r="A29" s="28">
        <v>45913.840555555558</v>
      </c>
      <c r="B29" t="s">
        <v>41</v>
      </c>
      <c r="C29" t="s">
        <v>22</v>
      </c>
      <c r="D29">
        <v>7</v>
      </c>
      <c r="E29" t="s">
        <v>32</v>
      </c>
    </row>
    <row r="30" spans="1:6" x14ac:dyDescent="0.3">
      <c r="A30" s="28">
        <v>45913.840555555558</v>
      </c>
      <c r="B30" t="s">
        <v>42</v>
      </c>
      <c r="C30" t="s">
        <v>23</v>
      </c>
      <c r="D30">
        <v>7</v>
      </c>
      <c r="E30" t="s">
        <v>32</v>
      </c>
    </row>
    <row r="31" spans="1:6" x14ac:dyDescent="0.3">
      <c r="A31" s="28">
        <v>45913.840567129628</v>
      </c>
      <c r="B31" t="s">
        <v>38</v>
      </c>
      <c r="C31" t="s">
        <v>26</v>
      </c>
      <c r="D31">
        <v>5</v>
      </c>
      <c r="E31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THTT</vt:lpstr>
      <vt:lpstr>PVSKTC</vt:lpstr>
      <vt:lpstr>SKTC</vt:lpstr>
      <vt:lpstr>BANGTINH</vt:lpstr>
      <vt:lpstr>hehe</vt:lpstr>
      <vt:lpstr>BANGTINH!Print_Area</vt:lpstr>
      <vt:lpstr>hehe!Print_Area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2026-01-06T08:19:04Z</cp:lastPrinted>
  <dcterms:created xsi:type="dcterms:W3CDTF">2025-08-10T08:27:57Z</dcterms:created>
  <dcterms:modified xsi:type="dcterms:W3CDTF">2026-03-15T17:21:53Z</dcterms:modified>
</cp:coreProperties>
</file>