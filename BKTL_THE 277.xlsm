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3040" windowHeight="8496" tabRatio="596" firstSheet="1" activeTab="1"/>
  </bookViews>
  <sheets>
    <sheet name="BKTL" sheetId="6" state="hidden" r:id="rId1"/>
    <sheet name="THTT" sheetId="5" r:id="rId2"/>
    <sheet name="saokethe" sheetId="19" state="hidden" r:id="rId3"/>
    <sheet name="tinhnhanh" sheetId="3" state="hidden" r:id="rId4"/>
  </sheets>
  <functionGroups builtInGroupCount="18"/>
  <definedNames>
    <definedName name="_xlnm._FilterDatabase" localSheetId="2" hidden="1">saokethe!$A$1:$Q$191</definedName>
    <definedName name="QT_IMPORT_SAOKETHE" localSheetId="2">saokethe!$A$1:$R$337</definedName>
    <definedName name="QT_IMPORT_SAOKETHE_1" localSheetId="2">saokethe!$A$1:$R$337</definedName>
    <definedName name="QT_IMPORT_SAOKETHE_2" localSheetId="2">saokethe!$A$1:$R$337</definedName>
    <definedName name="QT_IMPORT_SAOKETHE_3" localSheetId="2">saokethe!$A$1:$R$337</definedName>
    <definedName name="QT_IMPORT_SAOKETHE_4" localSheetId="2">saokethe!$A$1:$R$337</definedName>
    <definedName name="QT_IMPORT_SAOKETHE_5" localSheetId="2">saokethe!$A$1:$R$337</definedName>
    <definedName name="QT_IMPORT_SAOKETHE_6" localSheetId="2">saokethe!$A$1:$R$337</definedName>
    <definedName name="QT_IMPORT_SAOKETHE_7" localSheetId="2">saokethe!$A$1:$R$337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1" i="6" l="1"/>
  <c r="L101" i="6" s="1"/>
  <c r="C102" i="6" s="1"/>
  <c r="L102" i="6" s="1"/>
  <c r="C103" i="6" s="1"/>
  <c r="L103" i="6" s="1"/>
  <c r="C104" i="6" s="1"/>
  <c r="L104" i="6" s="1"/>
  <c r="C105" i="6" s="1"/>
  <c r="L105" i="6" s="1"/>
  <c r="C106" i="6" s="1"/>
  <c r="L106" i="6" s="1"/>
  <c r="C107" i="6" s="1"/>
  <c r="L107" i="6" s="1"/>
  <c r="C108" i="6" s="1"/>
  <c r="L108" i="6" s="1"/>
  <c r="C109" i="6" s="1"/>
  <c r="L109" i="6" s="1"/>
  <c r="C110" i="6" s="1"/>
  <c r="L110" i="6" s="1"/>
  <c r="C111" i="6" s="1"/>
  <c r="L111" i="6" s="1"/>
  <c r="C112" i="6" s="1"/>
  <c r="L112" i="6" s="1"/>
  <c r="C113" i="6" s="1"/>
  <c r="L113" i="6" s="1"/>
  <c r="C114" i="6" s="1"/>
  <c r="L114" i="6" s="1"/>
  <c r="C115" i="6" s="1"/>
  <c r="L115" i="6" s="1"/>
  <c r="C116" i="6" s="1"/>
  <c r="L116" i="6" s="1"/>
  <c r="C117" i="6" s="1"/>
  <c r="L117" i="6" s="1"/>
  <c r="C118" i="6" s="1"/>
  <c r="L118" i="6" s="1"/>
  <c r="C119" i="6" s="1"/>
  <c r="L119" i="6" s="1"/>
  <c r="C120" i="6" s="1"/>
  <c r="L120" i="6" s="1"/>
  <c r="C121" i="6" s="1"/>
  <c r="L121" i="6" s="1"/>
  <c r="C122" i="6" s="1"/>
  <c r="L122" i="6" s="1"/>
  <c r="C123" i="6" s="1"/>
  <c r="L123" i="6" s="1"/>
  <c r="C124" i="6" s="1"/>
  <c r="L124" i="6" s="1"/>
  <c r="C125" i="6" s="1"/>
  <c r="L125" i="6" s="1"/>
  <c r="C126" i="6" s="1"/>
  <c r="L126" i="6" s="1"/>
  <c r="C127" i="6" s="1"/>
  <c r="L127" i="6" s="1"/>
  <c r="C128" i="6" s="1"/>
  <c r="L128" i="6" s="1"/>
  <c r="C129" i="6" s="1"/>
  <c r="L129" i="6" s="1"/>
  <c r="C130" i="6" s="1"/>
  <c r="L130" i="6" s="1"/>
  <c r="C131" i="6" s="1"/>
  <c r="L131" i="6" s="1"/>
  <c r="C132" i="6" s="1"/>
  <c r="L132" i="6" s="1"/>
  <c r="C133" i="6" s="1"/>
  <c r="L133" i="6" s="1"/>
  <c r="C134" i="6" s="1"/>
  <c r="L134" i="6" s="1"/>
  <c r="C135" i="6" s="1"/>
  <c r="L135" i="6" s="1"/>
  <c r="C136" i="6" s="1"/>
  <c r="L136" i="6" s="1"/>
  <c r="C137" i="6" s="1"/>
  <c r="L137" i="6" s="1"/>
  <c r="C138" i="6" s="1"/>
  <c r="L138" i="6" s="1"/>
  <c r="C139" i="6" s="1"/>
  <c r="L139" i="6" s="1"/>
  <c r="C140" i="6" s="1"/>
  <c r="L140" i="6" s="1"/>
  <c r="C141" i="6" s="1"/>
  <c r="L141" i="6" s="1"/>
  <c r="C142" i="6" s="1"/>
  <c r="L142" i="6" s="1"/>
  <c r="C143" i="6" s="1"/>
  <c r="L143" i="6" s="1"/>
  <c r="C144" i="6" s="1"/>
  <c r="L144" i="6" s="1"/>
  <c r="C145" i="6" s="1"/>
  <c r="L145" i="6" s="1"/>
  <c r="C146" i="6" s="1"/>
  <c r="L146" i="6" s="1"/>
  <c r="C147" i="6" s="1"/>
  <c r="L147" i="6" s="1"/>
  <c r="C148" i="6" s="1"/>
  <c r="L148" i="6" s="1"/>
  <c r="C149" i="6" s="1"/>
  <c r="L149" i="6" s="1"/>
  <c r="C150" i="6" s="1"/>
  <c r="L150" i="6" s="1"/>
  <c r="C151" i="6" s="1"/>
  <c r="L151" i="6" s="1"/>
  <c r="C152" i="6" s="1"/>
  <c r="L152" i="6" s="1"/>
  <c r="C153" i="6" s="1"/>
  <c r="L153" i="6" s="1"/>
  <c r="C154" i="6" s="1"/>
  <c r="L154" i="6" s="1"/>
  <c r="C155" i="6" s="1"/>
  <c r="L155" i="6" s="1"/>
  <c r="C156" i="6" s="1"/>
  <c r="L156" i="6" s="1"/>
  <c r="C157" i="6" s="1"/>
  <c r="L157" i="6" s="1"/>
  <c r="C158" i="6" s="1"/>
  <c r="L158" i="6" s="1"/>
  <c r="C159" i="6" s="1"/>
  <c r="L159" i="6" s="1"/>
  <c r="C160" i="6" s="1"/>
  <c r="L160" i="6" s="1"/>
  <c r="C161" i="6" s="1"/>
  <c r="L161" i="6" s="1"/>
  <c r="C162" i="6" s="1"/>
  <c r="L162" i="6" s="1"/>
  <c r="C163" i="6" s="1"/>
  <c r="L163" i="6" s="1"/>
  <c r="C164" i="6" s="1"/>
  <c r="L164" i="6" s="1"/>
  <c r="C165" i="6" s="1"/>
  <c r="L165" i="6" s="1"/>
  <c r="C166" i="6" s="1"/>
  <c r="L166" i="6" s="1"/>
  <c r="C167" i="6" s="1"/>
  <c r="L167" i="6" s="1"/>
  <c r="C168" i="6" s="1"/>
  <c r="L168" i="6" s="1"/>
  <c r="C169" i="6" s="1"/>
  <c r="L169" i="6" s="1"/>
  <c r="C170" i="6" s="1"/>
  <c r="L170" i="6" s="1"/>
  <c r="C171" i="6" s="1"/>
  <c r="L171" i="6" s="1"/>
  <c r="C172" i="6" s="1"/>
  <c r="L172" i="6" s="1"/>
  <c r="C173" i="6" s="1"/>
  <c r="L173" i="6" s="1"/>
  <c r="C174" i="6" s="1"/>
  <c r="L174" i="6" s="1"/>
  <c r="C175" i="6" s="1"/>
  <c r="L175" i="6" s="1"/>
  <c r="C176" i="6" s="1"/>
  <c r="L176" i="6" s="1"/>
  <c r="C177" i="6" s="1"/>
  <c r="L177" i="6" s="1"/>
  <c r="C178" i="6" s="1"/>
  <c r="L178" i="6" s="1"/>
  <c r="C179" i="6" s="1"/>
  <c r="L179" i="6" s="1"/>
  <c r="C180" i="6" s="1"/>
  <c r="L180" i="6" s="1"/>
  <c r="C181" i="6" s="1"/>
  <c r="L181" i="6" s="1"/>
  <c r="C182" i="6" s="1"/>
  <c r="L182" i="6" s="1"/>
  <c r="C183" i="6" s="1"/>
  <c r="L183" i="6" s="1"/>
  <c r="C184" i="6" s="1"/>
  <c r="L184" i="6" s="1"/>
  <c r="C185" i="6" s="1"/>
  <c r="L185" i="6" s="1"/>
  <c r="C186" i="6" s="1"/>
  <c r="L186" i="6" s="1"/>
  <c r="C187" i="6" s="1"/>
  <c r="L187" i="6" s="1"/>
  <c r="C188" i="6" s="1"/>
  <c r="L188" i="6" s="1"/>
  <c r="C189" i="6" s="1"/>
  <c r="L189" i="6" s="1"/>
  <c r="C190" i="6" s="1"/>
  <c r="L190" i="6" s="1"/>
  <c r="C191" i="6" s="1"/>
  <c r="L191" i="6" s="1"/>
  <c r="C192" i="6" s="1"/>
  <c r="L192" i="6" s="1"/>
  <c r="C193" i="6" s="1"/>
  <c r="L193" i="6" s="1"/>
  <c r="C194" i="6" s="1"/>
  <c r="L194" i="6" s="1"/>
  <c r="C195" i="6" s="1"/>
  <c r="L195" i="6" s="1"/>
  <c r="C196" i="6" s="1"/>
  <c r="L196" i="6" s="1"/>
  <c r="C197" i="6" s="1"/>
  <c r="L197" i="6" s="1"/>
  <c r="C198" i="6" s="1"/>
  <c r="L198" i="6" s="1"/>
  <c r="C199" i="6" s="1"/>
  <c r="L199" i="6" s="1"/>
  <c r="C200" i="6" s="1"/>
  <c r="L200" i="6" s="1"/>
  <c r="C201" i="6" s="1"/>
  <c r="L201" i="6" s="1"/>
  <c r="C202" i="6" s="1"/>
  <c r="L202" i="6" s="1"/>
  <c r="C203" i="6" s="1"/>
  <c r="L203" i="6" s="1"/>
  <c r="C204" i="6" s="1"/>
  <c r="L204" i="6" s="1"/>
  <c r="C205" i="6" s="1"/>
  <c r="L205" i="6" s="1"/>
  <c r="C206" i="6" s="1"/>
  <c r="L206" i="6" s="1"/>
  <c r="C207" i="6" s="1"/>
  <c r="L207" i="6" s="1"/>
  <c r="C208" i="6" s="1"/>
  <c r="L208" i="6" s="1"/>
  <c r="C209" i="6" s="1"/>
  <c r="L209" i="6" s="1"/>
  <c r="C210" i="6" s="1"/>
  <c r="L210" i="6" s="1"/>
  <c r="C211" i="6" s="1"/>
  <c r="L211" i="6" s="1"/>
  <c r="C212" i="6" s="1"/>
  <c r="L212" i="6" s="1"/>
  <c r="C213" i="6" s="1"/>
  <c r="L213" i="6" s="1"/>
  <c r="C214" i="6" s="1"/>
  <c r="L214" i="6" s="1"/>
  <c r="C215" i="6" s="1"/>
  <c r="L215" i="6" s="1"/>
  <c r="C216" i="6" s="1"/>
  <c r="L216" i="6" s="1"/>
  <c r="C217" i="6" s="1"/>
  <c r="L217" i="6" s="1"/>
  <c r="C218" i="6" s="1"/>
  <c r="L218" i="6" s="1"/>
  <c r="C219" i="6" s="1"/>
  <c r="L219" i="6" s="1"/>
  <c r="C220" i="6" s="1"/>
  <c r="L220" i="6" s="1"/>
  <c r="C221" i="6" s="1"/>
  <c r="L221" i="6" s="1"/>
  <c r="C222" i="6" s="1"/>
  <c r="L222" i="6" s="1"/>
  <c r="C223" i="6" s="1"/>
  <c r="L223" i="6" s="1"/>
  <c r="C224" i="6" s="1"/>
  <c r="L224" i="6" s="1"/>
  <c r="C225" i="6" s="1"/>
  <c r="L225" i="6" s="1"/>
  <c r="C226" i="6" s="1"/>
  <c r="L226" i="6" s="1"/>
  <c r="C227" i="6" s="1"/>
  <c r="L227" i="6" s="1"/>
  <c r="C228" i="6" s="1"/>
  <c r="L228" i="6" s="1"/>
  <c r="C229" i="6" s="1"/>
  <c r="L229" i="6" s="1"/>
  <c r="C230" i="6" s="1"/>
  <c r="L230" i="6" s="1"/>
  <c r="C231" i="6" s="1"/>
  <c r="L231" i="6" s="1"/>
  <c r="C232" i="6" s="1"/>
  <c r="L232" i="6" s="1"/>
  <c r="C233" i="6" s="1"/>
  <c r="L233" i="6" s="1"/>
  <c r="C234" i="6" s="1"/>
  <c r="L234" i="6" s="1"/>
  <c r="C235" i="6" s="1"/>
  <c r="L235" i="6" s="1"/>
  <c r="C236" i="6" s="1"/>
  <c r="L236" i="6" s="1"/>
  <c r="C237" i="6" s="1"/>
  <c r="L237" i="6" s="1"/>
  <c r="C238" i="6" s="1"/>
  <c r="L238" i="6" s="1"/>
  <c r="C239" i="6" s="1"/>
  <c r="L239" i="6" s="1"/>
  <c r="C240" i="6" s="1"/>
  <c r="L240" i="6" s="1"/>
  <c r="C241" i="6" s="1"/>
  <c r="L241" i="6" s="1"/>
  <c r="C242" i="6" s="1"/>
  <c r="L242" i="6" s="1"/>
  <c r="C243" i="6" s="1"/>
  <c r="L243" i="6" s="1"/>
  <c r="C244" i="6" s="1"/>
  <c r="L244" i="6" s="1"/>
  <c r="C245" i="6" s="1"/>
  <c r="L245" i="6" s="1"/>
  <c r="C246" i="6" s="1"/>
  <c r="L246" i="6" s="1"/>
  <c r="C247" i="6" s="1"/>
  <c r="L247" i="6" s="1"/>
  <c r="C248" i="6" s="1"/>
  <c r="L248" i="6" s="1"/>
  <c r="C249" i="6" s="1"/>
  <c r="L249" i="6" s="1"/>
  <c r="C250" i="6" s="1"/>
  <c r="L250" i="6" s="1"/>
  <c r="C251" i="6" s="1"/>
  <c r="L251" i="6" s="1"/>
  <c r="C252" i="6" s="1"/>
  <c r="L252" i="6" s="1"/>
  <c r="C253" i="6" s="1"/>
  <c r="L253" i="6" s="1"/>
  <c r="C254" i="6" s="1"/>
  <c r="L254" i="6" s="1"/>
  <c r="C255" i="6" s="1"/>
  <c r="L255" i="6" s="1"/>
  <c r="C256" i="6" s="1"/>
  <c r="L256" i="6" s="1"/>
  <c r="C257" i="6" s="1"/>
  <c r="L257" i="6" s="1"/>
  <c r="C258" i="6" s="1"/>
  <c r="L258" i="6" s="1"/>
  <c r="C259" i="6" s="1"/>
  <c r="L259" i="6" s="1"/>
  <c r="C260" i="6" s="1"/>
  <c r="L260" i="6" s="1"/>
  <c r="C261" i="6" s="1"/>
  <c r="L261" i="6" s="1"/>
  <c r="C262" i="6" s="1"/>
  <c r="L262" i="6" s="1"/>
  <c r="C263" i="6" s="1"/>
  <c r="L263" i="6" s="1"/>
  <c r="C264" i="6" s="1"/>
  <c r="L264" i="6" s="1"/>
  <c r="C265" i="6" s="1"/>
  <c r="L265" i="6" s="1"/>
  <c r="C266" i="6" s="1"/>
  <c r="L266" i="6" s="1"/>
  <c r="C267" i="6" s="1"/>
  <c r="L267" i="6" s="1"/>
  <c r="C268" i="6" s="1"/>
  <c r="L268" i="6" s="1"/>
  <c r="C269" i="6" s="1"/>
  <c r="L269" i="6" s="1"/>
  <c r="C270" i="6" s="1"/>
  <c r="L270" i="6" s="1"/>
  <c r="C271" i="6" s="1"/>
  <c r="L271" i="6" s="1"/>
  <c r="C272" i="6" s="1"/>
  <c r="L272" i="6" s="1"/>
  <c r="C273" i="6" s="1"/>
  <c r="L273" i="6" s="1"/>
  <c r="C274" i="6" s="1"/>
  <c r="L274" i="6" s="1"/>
  <c r="C275" i="6" s="1"/>
  <c r="L275" i="6" s="1"/>
  <c r="C276" i="6" s="1"/>
  <c r="L276" i="6" s="1"/>
  <c r="C277" i="6" s="1"/>
  <c r="L277" i="6" s="1"/>
  <c r="C278" i="6" s="1"/>
  <c r="L278" i="6" s="1"/>
  <c r="C279" i="6" s="1"/>
  <c r="L279" i="6" s="1"/>
  <c r="C280" i="6" s="1"/>
  <c r="L280" i="6" s="1"/>
  <c r="C281" i="6" s="1"/>
  <c r="L281" i="6" s="1"/>
  <c r="C282" i="6" s="1"/>
  <c r="L282" i="6" s="1"/>
  <c r="C283" i="6" s="1"/>
  <c r="L283" i="6" s="1"/>
  <c r="C284" i="6" s="1"/>
  <c r="L284" i="6" s="1"/>
  <c r="C285" i="6" s="1"/>
  <c r="L285" i="6" s="1"/>
  <c r="C286" i="6" s="1"/>
  <c r="L286" i="6" s="1"/>
  <c r="C287" i="6" s="1"/>
  <c r="L287" i="6" s="1"/>
  <c r="C288" i="6" s="1"/>
  <c r="L288" i="6" s="1"/>
  <c r="C289" i="6" s="1"/>
  <c r="L289" i="6" s="1"/>
  <c r="C290" i="6" s="1"/>
  <c r="L290" i="6" s="1"/>
  <c r="C291" i="6" s="1"/>
  <c r="L291" i="6" s="1"/>
  <c r="C292" i="6" s="1"/>
  <c r="L292" i="6" s="1"/>
  <c r="C293" i="6" s="1"/>
  <c r="L293" i="6" s="1"/>
  <c r="C294" i="6" s="1"/>
  <c r="L294" i="6" s="1"/>
  <c r="C295" i="6" s="1"/>
  <c r="L295" i="6" s="1"/>
  <c r="C296" i="6" s="1"/>
  <c r="L296" i="6" s="1"/>
  <c r="C297" i="6" s="1"/>
  <c r="L297" i="6" s="1"/>
  <c r="C298" i="6" s="1"/>
  <c r="L298" i="6" s="1"/>
  <c r="C299" i="6" s="1"/>
  <c r="L299" i="6" s="1"/>
  <c r="C300" i="6" s="1"/>
  <c r="L300" i="6" s="1"/>
  <c r="C301" i="6" s="1"/>
  <c r="L301" i="6" s="1"/>
  <c r="C302" i="6" s="1"/>
  <c r="L302" i="6" s="1"/>
  <c r="C303" i="6" s="1"/>
  <c r="L303" i="6" s="1"/>
  <c r="C304" i="6" s="1"/>
  <c r="L304" i="6" s="1"/>
  <c r="C305" i="6" s="1"/>
  <c r="L305" i="6" s="1"/>
  <c r="C306" i="6" s="1"/>
  <c r="L306" i="6" s="1"/>
  <c r="C307" i="6" s="1"/>
  <c r="L307" i="6" s="1"/>
  <c r="C308" i="6" s="1"/>
  <c r="L308" i="6" s="1"/>
  <c r="C309" i="6" s="1"/>
  <c r="L309" i="6" s="1"/>
  <c r="C310" i="6" s="1"/>
  <c r="L310" i="6" s="1"/>
  <c r="C311" i="6" s="1"/>
  <c r="L311" i="6" s="1"/>
  <c r="C312" i="6" s="1"/>
  <c r="L312" i="6" s="1"/>
  <c r="C313" i="6" s="1"/>
  <c r="L313" i="6" s="1"/>
  <c r="C314" i="6" s="1"/>
  <c r="L314" i="6" s="1"/>
  <c r="C315" i="6" s="1"/>
  <c r="L315" i="6" s="1"/>
  <c r="C316" i="6" s="1"/>
  <c r="L316" i="6" s="1"/>
  <c r="C317" i="6" s="1"/>
  <c r="L317" i="6" s="1"/>
  <c r="C318" i="6" s="1"/>
  <c r="L318" i="6" s="1"/>
  <c r="C319" i="6" s="1"/>
  <c r="L319" i="6" s="1"/>
  <c r="C320" i="6" s="1"/>
  <c r="L320" i="6" s="1"/>
  <c r="C321" i="6" s="1"/>
  <c r="L321" i="6" s="1"/>
  <c r="C322" i="6" s="1"/>
  <c r="L322" i="6" s="1"/>
  <c r="C323" i="6" s="1"/>
  <c r="L323" i="6" s="1"/>
  <c r="C324" i="6" s="1"/>
  <c r="L324" i="6" s="1"/>
  <c r="C325" i="6" s="1"/>
  <c r="L325" i="6" s="1"/>
  <c r="C326" i="6" s="1"/>
  <c r="L326" i="6" s="1"/>
  <c r="C327" i="6" s="1"/>
  <c r="L327" i="6" s="1"/>
  <c r="C328" i="6" s="1"/>
  <c r="L328" i="6" s="1"/>
  <c r="C329" i="6" s="1"/>
  <c r="L329" i="6" s="1"/>
  <c r="C330" i="6" s="1"/>
  <c r="L330" i="6" s="1"/>
  <c r="C331" i="6" s="1"/>
  <c r="L331" i="6" s="1"/>
  <c r="C332" i="6" s="1"/>
  <c r="L332" i="6" s="1"/>
  <c r="C333" i="6" s="1"/>
  <c r="L333" i="6" s="1"/>
  <c r="C334" i="6" s="1"/>
  <c r="L334" i="6" s="1"/>
  <c r="C335" i="6" s="1"/>
  <c r="L335" i="6" s="1"/>
  <c r="C336" i="6" s="1"/>
  <c r="L336" i="6" s="1"/>
  <c r="C337" i="6" s="1"/>
  <c r="L337" i="6" s="1"/>
  <c r="C338" i="6" s="1"/>
  <c r="L338" i="6" s="1"/>
  <c r="C339" i="6" s="1"/>
  <c r="L339" i="6" s="1"/>
  <c r="C340" i="6" s="1"/>
  <c r="L340" i="6" s="1"/>
  <c r="C341" i="6" s="1"/>
  <c r="L341" i="6" s="1"/>
  <c r="C342" i="6" s="1"/>
  <c r="L342" i="6" s="1"/>
  <c r="C343" i="6" s="1"/>
  <c r="L343" i="6" s="1"/>
  <c r="C344" i="6" s="1"/>
  <c r="L344" i="6" s="1"/>
  <c r="C345" i="6" s="1"/>
  <c r="L345" i="6" s="1"/>
  <c r="C346" i="6" s="1"/>
  <c r="L346" i="6" s="1"/>
  <c r="C347" i="6" s="1"/>
  <c r="L347" i="6" s="1"/>
  <c r="C348" i="6" s="1"/>
  <c r="L348" i="6" s="1"/>
  <c r="C349" i="6" s="1"/>
  <c r="L349" i="6" s="1"/>
  <c r="C350" i="6" s="1"/>
  <c r="L350" i="6" s="1"/>
  <c r="C351" i="6" s="1"/>
  <c r="L351" i="6" s="1"/>
  <c r="C352" i="6" s="1"/>
  <c r="L352" i="6" s="1"/>
  <c r="C353" i="6" s="1"/>
  <c r="L353" i="6" s="1"/>
  <c r="C354" i="6" s="1"/>
  <c r="L354" i="6" s="1"/>
  <c r="C355" i="6" s="1"/>
  <c r="L355" i="6" s="1"/>
  <c r="C356" i="6" s="1"/>
  <c r="L356" i="6" s="1"/>
  <c r="C357" i="6" s="1"/>
  <c r="L357" i="6" s="1"/>
  <c r="C358" i="6" s="1"/>
  <c r="L358" i="6" s="1"/>
  <c r="C359" i="6" s="1"/>
  <c r="L359" i="6" s="1"/>
  <c r="C360" i="6" s="1"/>
  <c r="L360" i="6" s="1"/>
  <c r="C361" i="6" s="1"/>
  <c r="L361" i="6" s="1"/>
  <c r="C362" i="6" s="1"/>
  <c r="L362" i="6" s="1"/>
  <c r="C363" i="6" s="1"/>
  <c r="L363" i="6" s="1"/>
  <c r="C364" i="6" s="1"/>
  <c r="L364" i="6" s="1"/>
  <c r="C365" i="6" s="1"/>
  <c r="L365" i="6" s="1"/>
  <c r="C366" i="6" s="1"/>
  <c r="L366" i="6" s="1"/>
  <c r="C367" i="6" s="1"/>
  <c r="L367" i="6" s="1"/>
  <c r="C368" i="6" s="1"/>
  <c r="L368" i="6" s="1"/>
  <c r="C369" i="6" s="1"/>
  <c r="L369" i="6" s="1"/>
  <c r="C370" i="6" s="1"/>
  <c r="L370" i="6" s="1"/>
  <c r="C371" i="6" s="1"/>
  <c r="L371" i="6" s="1"/>
  <c r="C372" i="6" s="1"/>
  <c r="L372" i="6" s="1"/>
  <c r="C373" i="6" s="1"/>
  <c r="L373" i="6" s="1"/>
  <c r="C374" i="6" s="1"/>
  <c r="L374" i="6" s="1"/>
  <c r="C375" i="6" s="1"/>
  <c r="L375" i="6" s="1"/>
  <c r="C376" i="6" s="1"/>
  <c r="L376" i="6" s="1"/>
  <c r="C377" i="6" s="1"/>
  <c r="L377" i="6" s="1"/>
  <c r="C378" i="6" s="1"/>
  <c r="L378" i="6" s="1"/>
  <c r="C379" i="6" s="1"/>
  <c r="L379" i="6" s="1"/>
  <c r="C380" i="6" s="1"/>
  <c r="L380" i="6" s="1"/>
  <c r="C381" i="6" s="1"/>
  <c r="L381" i="6" s="1"/>
  <c r="C382" i="6" s="1"/>
  <c r="L382" i="6" s="1"/>
  <c r="C383" i="6" s="1"/>
  <c r="L383" i="6" s="1"/>
  <c r="C384" i="6" s="1"/>
  <c r="L384" i="6" s="1"/>
  <c r="C385" i="6" s="1"/>
  <c r="L385" i="6" s="1"/>
  <c r="C386" i="6" s="1"/>
  <c r="L386" i="6" s="1"/>
  <c r="C387" i="6" s="1"/>
  <c r="L387" i="6" s="1"/>
  <c r="C388" i="6" s="1"/>
  <c r="L388" i="6" s="1"/>
  <c r="C389" i="6" s="1"/>
  <c r="L389" i="6" s="1"/>
  <c r="C390" i="6" s="1"/>
  <c r="L390" i="6" s="1"/>
  <c r="C391" i="6" s="1"/>
  <c r="L391" i="6" s="1"/>
  <c r="C392" i="6" s="1"/>
  <c r="L392" i="6" s="1"/>
  <c r="C393" i="6" s="1"/>
  <c r="L393" i="6" s="1"/>
  <c r="C394" i="6" s="1"/>
  <c r="L394" i="6" s="1"/>
  <c r="C395" i="6" s="1"/>
  <c r="L395" i="6" s="1"/>
  <c r="C396" i="6" s="1"/>
  <c r="L396" i="6" s="1"/>
  <c r="C397" i="6" s="1"/>
  <c r="L397" i="6" s="1"/>
  <c r="C398" i="6" s="1"/>
  <c r="L398" i="6" s="1"/>
  <c r="C399" i="6" s="1"/>
  <c r="L399" i="6" s="1"/>
  <c r="C400" i="6" s="1"/>
  <c r="L400" i="6" s="1"/>
  <c r="C401" i="6" s="1"/>
  <c r="L401" i="6" s="1"/>
  <c r="C402" i="6" s="1"/>
  <c r="L402" i="6" s="1"/>
  <c r="C403" i="6" s="1"/>
  <c r="L403" i="6" s="1"/>
  <c r="C404" i="6" s="1"/>
  <c r="L404" i="6" s="1"/>
  <c r="C405" i="6" s="1"/>
  <c r="L405" i="6" s="1"/>
  <c r="C406" i="6" s="1"/>
  <c r="L406" i="6" s="1"/>
  <c r="C407" i="6" s="1"/>
  <c r="L407" i="6" s="1"/>
  <c r="C408" i="6" s="1"/>
  <c r="L408" i="6" s="1"/>
  <c r="C409" i="6" s="1"/>
  <c r="L409" i="6" s="1"/>
  <c r="C410" i="6" s="1"/>
  <c r="L410" i="6" s="1"/>
  <c r="C411" i="6" s="1"/>
  <c r="L411" i="6" s="1"/>
  <c r="C412" i="6" s="1"/>
  <c r="L412" i="6" s="1"/>
  <c r="C413" i="6" s="1"/>
  <c r="L413" i="6" s="1"/>
  <c r="C414" i="6" s="1"/>
  <c r="L414" i="6" s="1"/>
  <c r="C415" i="6" s="1"/>
  <c r="L415" i="6" s="1"/>
  <c r="C416" i="6" s="1"/>
  <c r="L416" i="6" s="1"/>
  <c r="C417" i="6" s="1"/>
  <c r="L417" i="6" s="1"/>
  <c r="C418" i="6" s="1"/>
  <c r="L418" i="6" s="1"/>
  <c r="C419" i="6" s="1"/>
  <c r="L419" i="6" s="1"/>
  <c r="C420" i="6" s="1"/>
  <c r="L420" i="6" s="1"/>
  <c r="C421" i="6" s="1"/>
  <c r="L421" i="6" s="1"/>
  <c r="C422" i="6" s="1"/>
  <c r="L422" i="6" s="1"/>
  <c r="C423" i="6" s="1"/>
  <c r="L423" i="6" s="1"/>
  <c r="C424" i="6" s="1"/>
  <c r="L424" i="6" s="1"/>
  <c r="C425" i="6" s="1"/>
  <c r="L425" i="6" s="1"/>
  <c r="C426" i="6" s="1"/>
  <c r="L426" i="6" s="1"/>
  <c r="C427" i="6" s="1"/>
  <c r="L427" i="6" s="1"/>
  <c r="C428" i="6" s="1"/>
  <c r="L428" i="6" s="1"/>
  <c r="C429" i="6" s="1"/>
  <c r="L429" i="6" s="1"/>
  <c r="C430" i="6" s="1"/>
  <c r="L430" i="6" s="1"/>
  <c r="C431" i="6" s="1"/>
  <c r="L431" i="6" s="1"/>
  <c r="C432" i="6" s="1"/>
  <c r="L432" i="6" s="1"/>
  <c r="C433" i="6" s="1"/>
  <c r="L433" i="6" s="1"/>
  <c r="C434" i="6" s="1"/>
  <c r="L434" i="6" s="1"/>
  <c r="C435" i="6" s="1"/>
  <c r="L435" i="6" s="1"/>
  <c r="C436" i="6" s="1"/>
  <c r="L436" i="6" s="1"/>
  <c r="C437" i="6" s="1"/>
  <c r="L437" i="6" s="1"/>
  <c r="C438" i="6" s="1"/>
  <c r="L438" i="6" s="1"/>
  <c r="C439" i="6" s="1"/>
  <c r="L439" i="6" s="1"/>
  <c r="C440" i="6" s="1"/>
  <c r="L440" i="6" s="1"/>
  <c r="C441" i="6" s="1"/>
  <c r="L441" i="6" s="1"/>
  <c r="C442" i="6" s="1"/>
  <c r="L442" i="6" s="1"/>
  <c r="C443" i="6" s="1"/>
  <c r="L443" i="6" s="1"/>
  <c r="C444" i="6" s="1"/>
  <c r="L444" i="6" s="1"/>
  <c r="C445" i="6" s="1"/>
  <c r="L445" i="6" s="1"/>
  <c r="C446" i="6" s="1"/>
  <c r="L446" i="6" s="1"/>
  <c r="C447" i="6" s="1"/>
  <c r="L447" i="6" s="1"/>
  <c r="C448" i="6" s="1"/>
  <c r="L448" i="6" s="1"/>
  <c r="C449" i="6" s="1"/>
  <c r="L449" i="6" s="1"/>
  <c r="C450" i="6" s="1"/>
  <c r="L450" i="6" s="1"/>
  <c r="C451" i="6" s="1"/>
  <c r="L451" i="6" s="1"/>
  <c r="C452" i="6" s="1"/>
  <c r="L452" i="6" s="1"/>
  <c r="C453" i="6" s="1"/>
  <c r="L453" i="6" s="1"/>
  <c r="C454" i="6" s="1"/>
  <c r="L454" i="6" s="1"/>
  <c r="C455" i="6" s="1"/>
  <c r="L455" i="6" s="1"/>
  <c r="C456" i="6" s="1"/>
  <c r="L456" i="6" s="1"/>
  <c r="C457" i="6" s="1"/>
  <c r="L457" i="6" s="1"/>
  <c r="C458" i="6" s="1"/>
  <c r="L458" i="6" s="1"/>
  <c r="C459" i="6" s="1"/>
  <c r="L459" i="6" s="1"/>
  <c r="C460" i="6" s="1"/>
  <c r="L460" i="6" s="1"/>
  <c r="C461" i="6" s="1"/>
  <c r="L461" i="6" s="1"/>
  <c r="C462" i="6" s="1"/>
  <c r="L462" i="6" s="1"/>
  <c r="C463" i="6" s="1"/>
  <c r="L463" i="6" s="1"/>
  <c r="C464" i="6" s="1"/>
  <c r="L464" i="6" s="1"/>
  <c r="C465" i="6" s="1"/>
  <c r="L465" i="6" s="1"/>
  <c r="C466" i="6" s="1"/>
  <c r="L466" i="6" s="1"/>
  <c r="C467" i="6" s="1"/>
  <c r="L467" i="6" s="1"/>
  <c r="C468" i="6" s="1"/>
  <c r="L468" i="6" s="1"/>
  <c r="C469" i="6" s="1"/>
  <c r="L469" i="6" s="1"/>
  <c r="C470" i="6" s="1"/>
  <c r="L470" i="6" s="1"/>
  <c r="C471" i="6" s="1"/>
  <c r="L471" i="6" s="1"/>
  <c r="C472" i="6" s="1"/>
  <c r="L472" i="6" s="1"/>
  <c r="C473" i="6" s="1"/>
  <c r="L473" i="6" s="1"/>
  <c r="C474" i="6" s="1"/>
  <c r="L474" i="6" s="1"/>
  <c r="C475" i="6" s="1"/>
  <c r="L475" i="6" s="1"/>
  <c r="C476" i="6" s="1"/>
  <c r="L476" i="6" s="1"/>
  <c r="C477" i="6" s="1"/>
  <c r="L477" i="6" s="1"/>
  <c r="C478" i="6" s="1"/>
  <c r="L478" i="6" s="1"/>
  <c r="C479" i="6" s="1"/>
  <c r="L479" i="6" s="1"/>
  <c r="C480" i="6" s="1"/>
  <c r="L480" i="6" s="1"/>
  <c r="C481" i="6" s="1"/>
  <c r="L481" i="6" s="1"/>
  <c r="C482" i="6" s="1"/>
  <c r="L482" i="6" s="1"/>
  <c r="C483" i="6" s="1"/>
  <c r="L483" i="6" s="1"/>
  <c r="C484" i="6" s="1"/>
  <c r="L484" i="6" s="1"/>
  <c r="C485" i="6" s="1"/>
  <c r="L485" i="6" s="1"/>
  <c r="C486" i="6" s="1"/>
  <c r="L486" i="6" s="1"/>
  <c r="C487" i="6" s="1"/>
  <c r="L487" i="6" s="1"/>
  <c r="C488" i="6" s="1"/>
  <c r="L488" i="6" s="1"/>
  <c r="C489" i="6" s="1"/>
  <c r="L489" i="6" s="1"/>
  <c r="C490" i="6" s="1"/>
  <c r="L490" i="6" s="1"/>
  <c r="C491" i="6" s="1"/>
  <c r="L491" i="6" s="1"/>
  <c r="C492" i="6" s="1"/>
  <c r="L492" i="6" s="1"/>
  <c r="C493" i="6" s="1"/>
  <c r="L493" i="6" s="1"/>
  <c r="C494" i="6" s="1"/>
  <c r="L494" i="6" s="1"/>
  <c r="C495" i="6" s="1"/>
  <c r="L495" i="6" s="1"/>
  <c r="C496" i="6" s="1"/>
  <c r="L496" i="6" s="1"/>
  <c r="C497" i="6" s="1"/>
  <c r="L497" i="6" s="1"/>
  <c r="C498" i="6" s="1"/>
  <c r="L498" i="6" s="1"/>
  <c r="C499" i="6" s="1"/>
  <c r="L499" i="6" s="1"/>
  <c r="C500" i="6" s="1"/>
  <c r="L500" i="6" s="1"/>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09"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E337" i="3" l="1"/>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A6" i="5"/>
  <c r="F18" i="3" l="1"/>
  <c r="G18" i="3" s="1"/>
  <c r="F10" i="3"/>
  <c r="G10" i="3" s="1"/>
  <c r="F29" i="3"/>
  <c r="G29" i="3" s="1"/>
  <c r="F53" i="3"/>
  <c r="G53" i="3" s="1"/>
  <c r="F300" i="3"/>
  <c r="G300" i="3" s="1"/>
  <c r="F8" i="3"/>
  <c r="G8" i="3" s="1"/>
  <c r="F12" i="3"/>
  <c r="G12" i="3" s="1"/>
  <c r="F28" i="3"/>
  <c r="G28" i="3" s="1"/>
  <c r="F66" i="3"/>
  <c r="G66" i="3" s="1"/>
  <c r="F82" i="3"/>
  <c r="G82" i="3" s="1"/>
  <c r="F44" i="3"/>
  <c r="G44" i="3" s="1"/>
  <c r="F52" i="3"/>
  <c r="G52" i="3" s="1"/>
  <c r="F21" i="3"/>
  <c r="G21" i="3" s="1"/>
  <c r="F22" i="3"/>
  <c r="G22" i="3" s="1"/>
  <c r="F38" i="3"/>
  <c r="G38" i="3" s="1"/>
  <c r="F68" i="3"/>
  <c r="G68" i="3" s="1"/>
  <c r="F84" i="3"/>
  <c r="G84" i="3" s="1"/>
  <c r="F100" i="3"/>
  <c r="G100" i="3" s="1"/>
  <c r="F108" i="3"/>
  <c r="G108" i="3" s="1"/>
  <c r="F116" i="3"/>
  <c r="G116" i="3" s="1"/>
  <c r="F124" i="3"/>
  <c r="G124" i="3" s="1"/>
  <c r="F132" i="3"/>
  <c r="G132" i="3" s="1"/>
  <c r="F140" i="3"/>
  <c r="G140" i="3" s="1"/>
  <c r="F148" i="3"/>
  <c r="G148" i="3" s="1"/>
  <c r="F156" i="3"/>
  <c r="G156" i="3" s="1"/>
  <c r="F164" i="3"/>
  <c r="G164" i="3" s="1"/>
  <c r="F172" i="3"/>
  <c r="G172" i="3" s="1"/>
  <c r="F180" i="3"/>
  <c r="G180" i="3" s="1"/>
  <c r="F188" i="3"/>
  <c r="G188" i="3" s="1"/>
  <c r="F14" i="3"/>
  <c r="G14" i="3" s="1"/>
  <c r="F30" i="3"/>
  <c r="G30" i="3" s="1"/>
  <c r="F60" i="3"/>
  <c r="G60" i="3" s="1"/>
  <c r="F76" i="3"/>
  <c r="G76" i="3" s="1"/>
  <c r="F92" i="3"/>
  <c r="G92" i="3" s="1"/>
  <c r="F46" i="3"/>
  <c r="G46" i="3" s="1"/>
  <c r="F24" i="3"/>
  <c r="G24" i="3" s="1"/>
  <c r="F40" i="3"/>
  <c r="G40" i="3" s="1"/>
  <c r="F54" i="3"/>
  <c r="G54" i="3" s="1"/>
  <c r="F70" i="3"/>
  <c r="G70" i="3" s="1"/>
  <c r="F86" i="3"/>
  <c r="G86" i="3" s="1"/>
  <c r="F102" i="3"/>
  <c r="G102" i="3" s="1"/>
  <c r="F110" i="3"/>
  <c r="G110" i="3" s="1"/>
  <c r="F118" i="3"/>
  <c r="G118" i="3" s="1"/>
  <c r="F126" i="3"/>
  <c r="G126" i="3" s="1"/>
  <c r="F134" i="3"/>
  <c r="G134" i="3" s="1"/>
  <c r="F142" i="3"/>
  <c r="G142" i="3" s="1"/>
  <c r="F150" i="3"/>
  <c r="G150" i="3" s="1"/>
  <c r="F158" i="3"/>
  <c r="G158" i="3" s="1"/>
  <c r="F166" i="3"/>
  <c r="G166" i="3" s="1"/>
  <c r="F174" i="3"/>
  <c r="G174" i="3" s="1"/>
  <c r="F182" i="3"/>
  <c r="G182" i="3" s="1"/>
  <c r="F190" i="3"/>
  <c r="G190" i="3" s="1"/>
  <c r="F16" i="3"/>
  <c r="G16" i="3" s="1"/>
  <c r="F32" i="3"/>
  <c r="G32" i="3" s="1"/>
  <c r="F62" i="3"/>
  <c r="G62" i="3" s="1"/>
  <c r="F78" i="3"/>
  <c r="G78" i="3" s="1"/>
  <c r="F94" i="3"/>
  <c r="G94" i="3" s="1"/>
  <c r="F48" i="3"/>
  <c r="G48" i="3" s="1"/>
  <c r="F26" i="3"/>
  <c r="G26" i="3" s="1"/>
  <c r="F41" i="3"/>
  <c r="G41" i="3" s="1"/>
  <c r="F64" i="3"/>
  <c r="G64" i="3" s="1"/>
  <c r="F80" i="3"/>
  <c r="G80" i="3" s="1"/>
  <c r="F96" i="3"/>
  <c r="G96" i="3" s="1"/>
  <c r="F104" i="3"/>
  <c r="G104" i="3" s="1"/>
  <c r="F112" i="3"/>
  <c r="G112" i="3" s="1"/>
  <c r="F120" i="3"/>
  <c r="G120" i="3" s="1"/>
  <c r="F128" i="3"/>
  <c r="G128" i="3" s="1"/>
  <c r="F136" i="3"/>
  <c r="G136" i="3" s="1"/>
  <c r="F144" i="3"/>
  <c r="G144" i="3" s="1"/>
  <c r="F152" i="3"/>
  <c r="G152" i="3" s="1"/>
  <c r="F160" i="3"/>
  <c r="G160" i="3" s="1"/>
  <c r="F168" i="3"/>
  <c r="G168" i="3" s="1"/>
  <c r="F176" i="3"/>
  <c r="G176" i="3" s="1"/>
  <c r="F184" i="3"/>
  <c r="G184" i="3" s="1"/>
  <c r="F192" i="3"/>
  <c r="G192" i="3" s="1"/>
  <c r="F34" i="3"/>
  <c r="G34" i="3" s="1"/>
  <c r="F56" i="3"/>
  <c r="G56" i="3" s="1"/>
  <c r="F72" i="3"/>
  <c r="G72" i="3" s="1"/>
  <c r="F88" i="3"/>
  <c r="G88" i="3" s="1"/>
  <c r="F42" i="3"/>
  <c r="G42" i="3" s="1"/>
  <c r="F50" i="3"/>
  <c r="G50" i="3" s="1"/>
  <c r="F20" i="3"/>
  <c r="G20" i="3" s="1"/>
  <c r="F36" i="3"/>
  <c r="G36" i="3" s="1"/>
  <c r="F58" i="3"/>
  <c r="G58" i="3" s="1"/>
  <c r="F74" i="3"/>
  <c r="G74" i="3" s="1"/>
  <c r="F90" i="3"/>
  <c r="G90" i="3" s="1"/>
  <c r="F98" i="3"/>
  <c r="G98" i="3" s="1"/>
  <c r="F106" i="3"/>
  <c r="G106" i="3" s="1"/>
  <c r="F114" i="3"/>
  <c r="G114" i="3" s="1"/>
  <c r="F122" i="3"/>
  <c r="G122" i="3" s="1"/>
  <c r="F130" i="3"/>
  <c r="G130" i="3" s="1"/>
  <c r="F138" i="3"/>
  <c r="G138" i="3" s="1"/>
  <c r="F146" i="3"/>
  <c r="G146" i="3" s="1"/>
  <c r="F154" i="3"/>
  <c r="G154" i="3" s="1"/>
  <c r="F162" i="3"/>
  <c r="G162" i="3" s="1"/>
  <c r="F170" i="3"/>
  <c r="G170" i="3" s="1"/>
  <c r="F178" i="3"/>
  <c r="G178" i="3" s="1"/>
  <c r="F186" i="3"/>
  <c r="G186" i="3" s="1"/>
  <c r="F3" i="3"/>
  <c r="G3" i="3" s="1"/>
  <c r="F27" i="3"/>
  <c r="G27" i="3" s="1"/>
  <c r="F67" i="3"/>
  <c r="G67" i="3" s="1"/>
  <c r="F83" i="3"/>
  <c r="G83" i="3" s="1"/>
  <c r="F107" i="3"/>
  <c r="G107" i="3" s="1"/>
  <c r="F131" i="3"/>
  <c r="G131" i="3" s="1"/>
  <c r="F155" i="3"/>
  <c r="G155" i="3" s="1"/>
  <c r="F171" i="3"/>
  <c r="G171" i="3" s="1"/>
  <c r="F225" i="3"/>
  <c r="G225" i="3" s="1"/>
  <c r="F238" i="3"/>
  <c r="G238" i="3" s="1"/>
  <c r="F187" i="3"/>
  <c r="G187" i="3" s="1"/>
  <c r="F211" i="3"/>
  <c r="G211" i="3" s="1"/>
  <c r="F229" i="3"/>
  <c r="G229" i="3" s="1"/>
  <c r="F243" i="3"/>
  <c r="G243" i="3" s="1"/>
  <c r="F257" i="3"/>
  <c r="G257" i="3" s="1"/>
  <c r="F261" i="3"/>
  <c r="G261" i="3" s="1"/>
  <c r="F267" i="3"/>
  <c r="G267" i="3" s="1"/>
  <c r="F273" i="3"/>
  <c r="G273" i="3" s="1"/>
  <c r="F279" i="3"/>
  <c r="G279" i="3" s="1"/>
  <c r="F285" i="3"/>
  <c r="G285" i="3" s="1"/>
  <c r="F305" i="3"/>
  <c r="G305" i="3" s="1"/>
  <c r="F311" i="3"/>
  <c r="G311" i="3" s="1"/>
  <c r="F317" i="3"/>
  <c r="G317" i="3" s="1"/>
  <c r="F331" i="3"/>
  <c r="G331" i="3" s="1"/>
  <c r="F6" i="3"/>
  <c r="G6" i="3" s="1"/>
  <c r="F194" i="3"/>
  <c r="G194" i="3" s="1"/>
  <c r="F202" i="3"/>
  <c r="G202" i="3" s="1"/>
  <c r="F207" i="3"/>
  <c r="G207" i="3" s="1"/>
  <c r="F216" i="3"/>
  <c r="G216" i="3" s="1"/>
  <c r="F220" i="3"/>
  <c r="G220" i="3" s="1"/>
  <c r="F234" i="3"/>
  <c r="G234" i="3" s="1"/>
  <c r="F239" i="3"/>
  <c r="G239" i="3" s="1"/>
  <c r="F248" i="3"/>
  <c r="G248" i="3" s="1"/>
  <c r="F252" i="3"/>
  <c r="G252" i="3" s="1"/>
  <c r="F280" i="3"/>
  <c r="G280" i="3" s="1"/>
  <c r="F292" i="3"/>
  <c r="G292" i="3" s="1"/>
  <c r="F299" i="3"/>
  <c r="G299" i="3" s="1"/>
  <c r="F312" i="3"/>
  <c r="G312" i="3" s="1"/>
  <c r="F324" i="3"/>
  <c r="G324" i="3" s="1"/>
  <c r="F35" i="3"/>
  <c r="G35" i="3" s="1"/>
  <c r="F59" i="3"/>
  <c r="G59" i="3" s="1"/>
  <c r="F91" i="3"/>
  <c r="G91" i="3" s="1"/>
  <c r="F115" i="3"/>
  <c r="G115" i="3" s="1"/>
  <c r="F139" i="3"/>
  <c r="G139" i="3" s="1"/>
  <c r="F197" i="3"/>
  <c r="G197" i="3" s="1"/>
  <c r="F9" i="3"/>
  <c r="G9" i="3" s="1"/>
  <c r="F25" i="3"/>
  <c r="G25" i="3" s="1"/>
  <c r="F33" i="3"/>
  <c r="G33" i="3" s="1"/>
  <c r="F49" i="3"/>
  <c r="G49" i="3" s="1"/>
  <c r="F65" i="3"/>
  <c r="G65" i="3" s="1"/>
  <c r="F73" i="3"/>
  <c r="G73" i="3" s="1"/>
  <c r="F81" i="3"/>
  <c r="G81" i="3" s="1"/>
  <c r="F89" i="3"/>
  <c r="G89" i="3" s="1"/>
  <c r="F97" i="3"/>
  <c r="G97" i="3" s="1"/>
  <c r="F105" i="3"/>
  <c r="G105" i="3" s="1"/>
  <c r="F113" i="3"/>
  <c r="G113" i="3" s="1"/>
  <c r="F121" i="3"/>
  <c r="G121" i="3" s="1"/>
  <c r="F129" i="3"/>
  <c r="G129" i="3" s="1"/>
  <c r="F137" i="3"/>
  <c r="G137" i="3" s="1"/>
  <c r="F145" i="3"/>
  <c r="G145" i="3" s="1"/>
  <c r="F153" i="3"/>
  <c r="G153" i="3" s="1"/>
  <c r="F161" i="3"/>
  <c r="G161" i="3" s="1"/>
  <c r="F169" i="3"/>
  <c r="G169" i="3" s="1"/>
  <c r="F177" i="3"/>
  <c r="G177" i="3" s="1"/>
  <c r="F185" i="3"/>
  <c r="G185" i="3" s="1"/>
  <c r="F191" i="3"/>
  <c r="G191" i="3" s="1"/>
  <c r="F198" i="3"/>
  <c r="G198" i="3" s="1"/>
  <c r="F203" i="3"/>
  <c r="G203" i="3" s="1"/>
  <c r="F217" i="3"/>
  <c r="G217" i="3" s="1"/>
  <c r="F221" i="3"/>
  <c r="G221" i="3" s="1"/>
  <c r="F230" i="3"/>
  <c r="G230" i="3" s="1"/>
  <c r="F235" i="3"/>
  <c r="G235" i="3" s="1"/>
  <c r="F249" i="3"/>
  <c r="G249" i="3" s="1"/>
  <c r="F253" i="3"/>
  <c r="G253" i="3" s="1"/>
  <c r="F262" i="3"/>
  <c r="G262" i="3" s="1"/>
  <c r="F281" i="3"/>
  <c r="G281" i="3" s="1"/>
  <c r="F287" i="3"/>
  <c r="G287" i="3" s="1"/>
  <c r="F293" i="3"/>
  <c r="G293" i="3" s="1"/>
  <c r="F313" i="3"/>
  <c r="G313" i="3" s="1"/>
  <c r="F319" i="3"/>
  <c r="G319" i="3" s="1"/>
  <c r="F325" i="3"/>
  <c r="G325" i="3" s="1"/>
  <c r="F57" i="3"/>
  <c r="G57" i="3" s="1"/>
  <c r="F4" i="3"/>
  <c r="G4" i="3" s="1"/>
  <c r="F195" i="3"/>
  <c r="G195" i="3" s="1"/>
  <c r="F199" i="3"/>
  <c r="G199" i="3" s="1"/>
  <c r="F208" i="3"/>
  <c r="G208" i="3" s="1"/>
  <c r="F212" i="3"/>
  <c r="G212" i="3" s="1"/>
  <c r="F226" i="3"/>
  <c r="G226" i="3" s="1"/>
  <c r="F231" i="3"/>
  <c r="G231" i="3" s="1"/>
  <c r="F240" i="3"/>
  <c r="G240" i="3" s="1"/>
  <c r="F244" i="3"/>
  <c r="G244" i="3" s="1"/>
  <c r="F258" i="3"/>
  <c r="G258" i="3" s="1"/>
  <c r="F263" i="3"/>
  <c r="G263" i="3" s="1"/>
  <c r="F268" i="3"/>
  <c r="G268" i="3" s="1"/>
  <c r="F275" i="3"/>
  <c r="G275" i="3" s="1"/>
  <c r="F288" i="3"/>
  <c r="G288" i="3" s="1"/>
  <c r="F307" i="3"/>
  <c r="G307" i="3" s="1"/>
  <c r="F320" i="3"/>
  <c r="G320" i="3" s="1"/>
  <c r="F11" i="3"/>
  <c r="G11" i="3" s="1"/>
  <c r="F19" i="3"/>
  <c r="G19" i="3" s="1"/>
  <c r="F43" i="3"/>
  <c r="G43" i="3" s="1"/>
  <c r="F51" i="3"/>
  <c r="G51" i="3" s="1"/>
  <c r="F75" i="3"/>
  <c r="G75" i="3" s="1"/>
  <c r="F99" i="3"/>
  <c r="G99" i="3" s="1"/>
  <c r="F123" i="3"/>
  <c r="G123" i="3" s="1"/>
  <c r="F147" i="3"/>
  <c r="G147" i="3" s="1"/>
  <c r="F163" i="3"/>
  <c r="G163" i="3" s="1"/>
  <c r="F17" i="3"/>
  <c r="G17" i="3" s="1"/>
  <c r="F334" i="3"/>
  <c r="G334" i="3" s="1"/>
  <c r="F326" i="3"/>
  <c r="G326" i="3" s="1"/>
  <c r="F318" i="3"/>
  <c r="G318" i="3" s="1"/>
  <c r="F310" i="3"/>
  <c r="G310" i="3" s="1"/>
  <c r="F302" i="3"/>
  <c r="G302" i="3" s="1"/>
  <c r="F294" i="3"/>
  <c r="G294" i="3" s="1"/>
  <c r="F286" i="3"/>
  <c r="G286" i="3" s="1"/>
  <c r="F278" i="3"/>
  <c r="G278" i="3" s="1"/>
  <c r="F270" i="3"/>
  <c r="G270" i="3" s="1"/>
  <c r="F333" i="3"/>
  <c r="G333" i="3" s="1"/>
  <c r="F330" i="3"/>
  <c r="G330" i="3" s="1"/>
  <c r="F322" i="3"/>
  <c r="G322" i="3" s="1"/>
  <c r="F314" i="3"/>
  <c r="G314" i="3" s="1"/>
  <c r="F306" i="3"/>
  <c r="G306" i="3" s="1"/>
  <c r="F298" i="3"/>
  <c r="G298" i="3" s="1"/>
  <c r="F290" i="3"/>
  <c r="G290" i="3" s="1"/>
  <c r="F282" i="3"/>
  <c r="G282" i="3" s="1"/>
  <c r="F274" i="3"/>
  <c r="G274" i="3" s="1"/>
  <c r="F266" i="3"/>
  <c r="G266" i="3" s="1"/>
  <c r="F332" i="3"/>
  <c r="G332" i="3" s="1"/>
  <c r="F95" i="3"/>
  <c r="G95" i="3" s="1"/>
  <c r="F103" i="3"/>
  <c r="G103" i="3" s="1"/>
  <c r="F111" i="3"/>
  <c r="G111" i="3" s="1"/>
  <c r="F119" i="3"/>
  <c r="G119" i="3" s="1"/>
  <c r="F127" i="3"/>
  <c r="G127" i="3" s="1"/>
  <c r="F135" i="3"/>
  <c r="G135" i="3" s="1"/>
  <c r="F143" i="3"/>
  <c r="G143" i="3" s="1"/>
  <c r="F151" i="3"/>
  <c r="G151" i="3" s="1"/>
  <c r="F159" i="3"/>
  <c r="G159" i="3" s="1"/>
  <c r="F167" i="3"/>
  <c r="G167" i="3" s="1"/>
  <c r="F175" i="3"/>
  <c r="G175" i="3" s="1"/>
  <c r="F183" i="3"/>
  <c r="G183" i="3" s="1"/>
  <c r="F209" i="3"/>
  <c r="G209" i="3" s="1"/>
  <c r="F213" i="3"/>
  <c r="G213" i="3" s="1"/>
  <c r="F222" i="3"/>
  <c r="G222" i="3" s="1"/>
  <c r="F227" i="3"/>
  <c r="G227" i="3" s="1"/>
  <c r="F241" i="3"/>
  <c r="G241" i="3" s="1"/>
  <c r="F245" i="3"/>
  <c r="G245" i="3" s="1"/>
  <c r="F254" i="3"/>
  <c r="G254" i="3" s="1"/>
  <c r="F259" i="3"/>
  <c r="G259" i="3" s="1"/>
  <c r="F264" i="3"/>
  <c r="G264" i="3" s="1"/>
  <c r="F269" i="3"/>
  <c r="G269" i="3" s="1"/>
  <c r="F289" i="3"/>
  <c r="G289" i="3" s="1"/>
  <c r="F295" i="3"/>
  <c r="G295" i="3" s="1"/>
  <c r="F301" i="3"/>
  <c r="G301" i="3" s="1"/>
  <c r="F321" i="3"/>
  <c r="G321" i="3" s="1"/>
  <c r="F327" i="3"/>
  <c r="G327" i="3" s="1"/>
  <c r="F335" i="3"/>
  <c r="G335" i="3" s="1"/>
  <c r="F179" i="3"/>
  <c r="G179" i="3" s="1"/>
  <c r="F206" i="3"/>
  <c r="G206" i="3" s="1"/>
  <c r="F7" i="3"/>
  <c r="G7" i="3" s="1"/>
  <c r="F15" i="3"/>
  <c r="G15" i="3" s="1"/>
  <c r="F23" i="3"/>
  <c r="G23" i="3" s="1"/>
  <c r="F31" i="3"/>
  <c r="G31" i="3" s="1"/>
  <c r="F39" i="3"/>
  <c r="G39" i="3" s="1"/>
  <c r="F47" i="3"/>
  <c r="G47" i="3" s="1"/>
  <c r="F55" i="3"/>
  <c r="G55" i="3" s="1"/>
  <c r="F63" i="3"/>
  <c r="G63" i="3" s="1"/>
  <c r="F71" i="3"/>
  <c r="G71" i="3" s="1"/>
  <c r="F79" i="3"/>
  <c r="G79" i="3" s="1"/>
  <c r="F87" i="3"/>
  <c r="G87" i="3" s="1"/>
  <c r="F2" i="3"/>
  <c r="G2" i="3" s="1"/>
  <c r="F200" i="3"/>
  <c r="G200" i="3" s="1"/>
  <c r="F204" i="3"/>
  <c r="G204" i="3" s="1"/>
  <c r="F218" i="3"/>
  <c r="G218" i="3" s="1"/>
  <c r="F223" i="3"/>
  <c r="G223" i="3" s="1"/>
  <c r="F232" i="3"/>
  <c r="G232" i="3" s="1"/>
  <c r="F236" i="3"/>
  <c r="G236" i="3" s="1"/>
  <c r="F250" i="3"/>
  <c r="G250" i="3" s="1"/>
  <c r="F255" i="3"/>
  <c r="G255" i="3" s="1"/>
  <c r="F265" i="3"/>
  <c r="G265" i="3" s="1"/>
  <c r="F276" i="3"/>
  <c r="G276" i="3" s="1"/>
  <c r="F283" i="3"/>
  <c r="G283" i="3" s="1"/>
  <c r="F296" i="3"/>
  <c r="G296" i="3" s="1"/>
  <c r="F308" i="3"/>
  <c r="G308" i="3" s="1"/>
  <c r="F315" i="3"/>
  <c r="G315" i="3" s="1"/>
  <c r="F328" i="3"/>
  <c r="G328" i="3" s="1"/>
  <c r="F336" i="3"/>
  <c r="G336" i="3" s="1"/>
  <c r="F5" i="3"/>
  <c r="G5" i="3" s="1"/>
  <c r="F13" i="3"/>
  <c r="G13" i="3" s="1"/>
  <c r="F37" i="3"/>
  <c r="G37" i="3" s="1"/>
  <c r="F45" i="3"/>
  <c r="G45" i="3" s="1"/>
  <c r="F125" i="3"/>
  <c r="G125" i="3" s="1"/>
  <c r="F133" i="3"/>
  <c r="G133" i="3" s="1"/>
  <c r="F141" i="3"/>
  <c r="G141" i="3" s="1"/>
  <c r="F149" i="3"/>
  <c r="G149" i="3" s="1"/>
  <c r="F157" i="3"/>
  <c r="G157" i="3" s="1"/>
  <c r="F165" i="3"/>
  <c r="G165" i="3" s="1"/>
  <c r="F173" i="3"/>
  <c r="G173" i="3" s="1"/>
  <c r="F181" i="3"/>
  <c r="G181" i="3" s="1"/>
  <c r="F189" i="3"/>
  <c r="G189" i="3" s="1"/>
  <c r="F193" i="3"/>
  <c r="G193" i="3" s="1"/>
  <c r="F196" i="3"/>
  <c r="G196" i="3" s="1"/>
  <c r="F201" i="3"/>
  <c r="G201" i="3" s="1"/>
  <c r="F205" i="3"/>
  <c r="G205" i="3" s="1"/>
  <c r="F214" i="3"/>
  <c r="G214" i="3" s="1"/>
  <c r="F219" i="3"/>
  <c r="G219" i="3" s="1"/>
  <c r="F233" i="3"/>
  <c r="G233" i="3" s="1"/>
  <c r="F237" i="3"/>
  <c r="G237" i="3" s="1"/>
  <c r="F246" i="3"/>
  <c r="G246" i="3" s="1"/>
  <c r="F251" i="3"/>
  <c r="G251" i="3" s="1"/>
  <c r="F271" i="3"/>
  <c r="G271" i="3" s="1"/>
  <c r="F277" i="3"/>
  <c r="G277" i="3" s="1"/>
  <c r="F297" i="3"/>
  <c r="G297" i="3" s="1"/>
  <c r="F303" i="3"/>
  <c r="G303" i="3" s="1"/>
  <c r="F309" i="3"/>
  <c r="G309" i="3" s="1"/>
  <c r="F329" i="3"/>
  <c r="G329" i="3" s="1"/>
  <c r="F337" i="3"/>
  <c r="G337" i="3" s="1"/>
  <c r="F61" i="3"/>
  <c r="G61" i="3" s="1"/>
  <c r="F69" i="3"/>
  <c r="G69" i="3" s="1"/>
  <c r="F77" i="3"/>
  <c r="G77" i="3" s="1"/>
  <c r="F85" i="3"/>
  <c r="G85" i="3" s="1"/>
  <c r="F93" i="3"/>
  <c r="G93" i="3" s="1"/>
  <c r="F101" i="3"/>
  <c r="G101" i="3" s="1"/>
  <c r="F109" i="3"/>
  <c r="G109" i="3" s="1"/>
  <c r="F117" i="3"/>
  <c r="G117" i="3" s="1"/>
  <c r="F210" i="3"/>
  <c r="G210" i="3" s="1"/>
  <c r="F215" i="3"/>
  <c r="G215" i="3" s="1"/>
  <c r="F224" i="3"/>
  <c r="G224" i="3" s="1"/>
  <c r="F228" i="3"/>
  <c r="G228" i="3" s="1"/>
  <c r="F242" i="3"/>
  <c r="G242" i="3" s="1"/>
  <c r="F247" i="3"/>
  <c r="G247" i="3" s="1"/>
  <c r="F256" i="3"/>
  <c r="G256" i="3" s="1"/>
  <c r="F260" i="3"/>
  <c r="G260" i="3" s="1"/>
  <c r="F272" i="3"/>
  <c r="G272" i="3" s="1"/>
  <c r="F284" i="3"/>
  <c r="G284" i="3" s="1"/>
  <c r="F291" i="3"/>
  <c r="G291" i="3" s="1"/>
  <c r="F304" i="3"/>
  <c r="G304" i="3" s="1"/>
  <c r="F316" i="3"/>
  <c r="G316" i="3" s="1"/>
  <c r="F323" i="3"/>
  <c r="G323" i="3" s="1"/>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E7" i="6" l="1"/>
  <c r="K501" i="6" l="1"/>
  <c r="J501" i="6"/>
  <c r="I501" i="6"/>
  <c r="E501" i="6"/>
  <c r="D501" i="6"/>
  <c r="F12" i="6"/>
  <c r="L12" i="6" s="1"/>
  <c r="C13" i="6" s="1"/>
  <c r="L13" i="6" s="1"/>
  <c r="C14" i="6" s="1"/>
  <c r="L14" i="6" s="1"/>
  <c r="C15" i="6" s="1"/>
  <c r="L15" i="6" s="1"/>
  <c r="C16" i="6" s="1"/>
  <c r="L16" i="6" s="1"/>
  <c r="C17" i="6" s="1"/>
  <c r="L17" i="6" s="1"/>
  <c r="C18" i="6" s="1"/>
  <c r="L18" i="6" s="1"/>
  <c r="C19" i="6" s="1"/>
  <c r="L19" i="6" s="1"/>
  <c r="C20" i="6" s="1"/>
  <c r="L20" i="6" s="1"/>
  <c r="C21" i="6" s="1"/>
  <c r="L21" i="6" s="1"/>
  <c r="C22" i="6" s="1"/>
  <c r="L22" i="6" s="1"/>
  <c r="C23" i="6" s="1"/>
  <c r="L23" i="6" s="1"/>
  <c r="C24" i="6" s="1"/>
  <c r="L24" i="6" s="1"/>
  <c r="C25" i="6" s="1"/>
  <c r="L25" i="6" s="1"/>
  <c r="C26" i="6" s="1"/>
  <c r="L26" i="6" s="1"/>
  <c r="C27" i="6" s="1"/>
  <c r="L27" i="6" s="1"/>
  <c r="C28" i="6" s="1"/>
  <c r="L28" i="6" s="1"/>
  <c r="C29" i="6" s="1"/>
  <c r="L29" i="6" s="1"/>
  <c r="C30" i="6" s="1"/>
  <c r="L30" i="6" s="1"/>
  <c r="C31" i="6" s="1"/>
  <c r="L31" i="6" s="1"/>
  <c r="C32" i="6" s="1"/>
  <c r="L32" i="6" s="1"/>
  <c r="C33" i="6" s="1"/>
  <c r="L33" i="6" s="1"/>
  <c r="C34" i="6" s="1"/>
  <c r="L34" i="6" s="1"/>
  <c r="C35" i="6" s="1"/>
  <c r="L35" i="6" s="1"/>
  <c r="C36" i="6" s="1"/>
  <c r="L36" i="6" s="1"/>
  <c r="C37" i="6" s="1"/>
  <c r="L37" i="6" s="1"/>
  <c r="C38" i="6" s="1"/>
  <c r="L38" i="6" s="1"/>
  <c r="C39" i="6" s="1"/>
  <c r="L39" i="6" s="1"/>
  <c r="C40" i="6" s="1"/>
  <c r="L40" i="6" s="1"/>
  <c r="C41" i="6" s="1"/>
  <c r="L41" i="6" s="1"/>
  <c r="C42" i="6" s="1"/>
  <c r="L42" i="6" s="1"/>
  <c r="C43" i="6" s="1"/>
  <c r="L43" i="6" s="1"/>
  <c r="C44" i="6" s="1"/>
  <c r="L44" i="6" s="1"/>
  <c r="C45" i="6" s="1"/>
  <c r="L45" i="6" s="1"/>
  <c r="C46" i="6" s="1"/>
  <c r="L46" i="6" s="1"/>
  <c r="C47" i="6" s="1"/>
  <c r="L47" i="6" s="1"/>
  <c r="C48" i="6" s="1"/>
  <c r="L48" i="6" s="1"/>
  <c r="C49" i="6" s="1"/>
  <c r="L49" i="6" s="1"/>
  <c r="C50" i="6" s="1"/>
  <c r="L50" i="6" s="1"/>
  <c r="C51" i="6" s="1"/>
  <c r="L51" i="6" s="1"/>
  <c r="C52" i="6" s="1"/>
  <c r="L52" i="6" s="1"/>
  <c r="C53" i="6" s="1"/>
  <c r="L53" i="6" s="1"/>
  <c r="C54" i="6" s="1"/>
  <c r="L54" i="6" s="1"/>
  <c r="C55" i="6" s="1"/>
  <c r="L55" i="6" s="1"/>
  <c r="C56" i="6" s="1"/>
  <c r="L56" i="6" s="1"/>
  <c r="C57" i="6" s="1"/>
  <c r="L57" i="6" s="1"/>
  <c r="C58" i="6" s="1"/>
  <c r="L58" i="6" s="1"/>
  <c r="C59" i="6" s="1"/>
  <c r="L59" i="6" s="1"/>
  <c r="C60" i="6" s="1"/>
  <c r="L60" i="6" s="1"/>
  <c r="C61" i="6" s="1"/>
  <c r="L61" i="6" s="1"/>
  <c r="C62" i="6" s="1"/>
  <c r="L62" i="6" s="1"/>
  <c r="C63" i="6" s="1"/>
  <c r="L63" i="6" s="1"/>
  <c r="C64" i="6" s="1"/>
  <c r="L64" i="6" s="1"/>
  <c r="C65" i="6" s="1"/>
  <c r="L65" i="6" s="1"/>
  <c r="C66" i="6" s="1"/>
  <c r="L66" i="6" s="1"/>
  <c r="C67" i="6" s="1"/>
  <c r="L67" i="6" s="1"/>
  <c r="C68" i="6" s="1"/>
  <c r="L68" i="6" s="1"/>
  <c r="C69" i="6" s="1"/>
  <c r="L69" i="6" s="1"/>
  <c r="C70" i="6" s="1"/>
  <c r="L70" i="6" s="1"/>
  <c r="C71" i="6" s="1"/>
  <c r="L71" i="6" s="1"/>
  <c r="C72" i="6" s="1"/>
  <c r="L72" i="6" s="1"/>
  <c r="C73" i="6" s="1"/>
  <c r="L73" i="6" s="1"/>
  <c r="C74" i="6" s="1"/>
  <c r="L74" i="6" s="1"/>
  <c r="C75" i="6" s="1"/>
  <c r="L75" i="6" s="1"/>
  <c r="C76" i="6" s="1"/>
  <c r="L76" i="6" s="1"/>
  <c r="C77" i="6" s="1"/>
  <c r="L77" i="6" s="1"/>
  <c r="C78" i="6" s="1"/>
  <c r="L78" i="6" s="1"/>
  <c r="C79" i="6" s="1"/>
  <c r="L79" i="6" s="1"/>
  <c r="C80" i="6" s="1"/>
  <c r="L80" i="6" s="1"/>
  <c r="C81" i="6" s="1"/>
  <c r="L81" i="6" s="1"/>
  <c r="C82" i="6" s="1"/>
  <c r="L82" i="6" s="1"/>
  <c r="C83" i="6" s="1"/>
  <c r="L83" i="6" s="1"/>
  <c r="C84" i="6" s="1"/>
  <c r="L84" i="6" s="1"/>
  <c r="C85" i="6" s="1"/>
  <c r="L85" i="6" s="1"/>
  <c r="C86" i="6" s="1"/>
  <c r="L86" i="6" s="1"/>
  <c r="C87" i="6" s="1"/>
  <c r="L87" i="6" s="1"/>
  <c r="C88" i="6" s="1"/>
  <c r="L88" i="6" s="1"/>
  <c r="C89" i="6" s="1"/>
  <c r="L89" i="6" s="1"/>
  <c r="C90" i="6" s="1"/>
  <c r="L90" i="6" s="1"/>
  <c r="C91" i="6" s="1"/>
  <c r="L91" i="6" s="1"/>
  <c r="C92" i="6" s="1"/>
  <c r="L92" i="6" s="1"/>
  <c r="C93" i="6" s="1"/>
  <c r="L93" i="6" s="1"/>
  <c r="C94" i="6" s="1"/>
  <c r="L94" i="6" s="1"/>
  <c r="C95" i="6" s="1"/>
  <c r="L95" i="6" s="1"/>
  <c r="C96" i="6" s="1"/>
  <c r="L96" i="6" s="1"/>
  <c r="C97" i="6" s="1"/>
  <c r="L97" i="6" s="1"/>
  <c r="C98" i="6" s="1"/>
  <c r="L98" i="6" s="1"/>
  <c r="C99" i="6" s="1"/>
  <c r="L99" i="6" s="1"/>
  <c r="C100" i="6" s="1"/>
  <c r="L100" i="6" s="1"/>
  <c r="E8" i="6"/>
  <c r="E4" i="6"/>
  <c r="E6" i="6" l="1"/>
  <c r="H501" i="6"/>
  <c r="H7" i="6"/>
  <c r="G501" i="6" l="1"/>
  <c r="L501" i="6"/>
  <c r="F501" i="6" l="1"/>
  <c r="E5" i="6"/>
  <c r="H6" i="6" s="1"/>
  <c r="H5" i="6" s="1"/>
</calcChain>
</file>

<file path=xl/comments1.xml><?xml version="1.0" encoding="utf-8"?>
<comments xmlns="http://schemas.openxmlformats.org/spreadsheetml/2006/main">
  <authors>
    <author>Author</author>
  </authors>
  <commentList>
    <comment ref="C2" authorId="0" shapeId="0">
      <text>
        <r>
          <rPr>
            <b/>
            <sz val="11"/>
            <color indexed="81"/>
            <rFont val="Times New Roman"/>
            <family val="1"/>
          </rPr>
          <t xml:space="preserve">
DATE OPEN TRÊN WAY4
</t>
        </r>
      </text>
    </comment>
    <comment ref="D2" authorId="0" shapeId="0">
      <text>
        <r>
          <rPr>
            <b/>
            <sz val="11"/>
            <color indexed="81"/>
            <rFont val="Times New Roman"/>
            <family val="1"/>
          </rPr>
          <t xml:space="preserve">
DATE OPEN TRÊN WAY4
</t>
        </r>
      </text>
    </comment>
    <comment ref="E2" authorId="0" shapeId="0">
      <text>
        <r>
          <rPr>
            <b/>
            <sz val="11"/>
            <color indexed="81"/>
            <rFont val="Times New Roman"/>
            <family val="1"/>
          </rPr>
          <t xml:space="preserve">
NHẬP NGÀY BẠN CẦN TÍNH
</t>
        </r>
      </text>
    </comment>
    <comment ref="F2" authorId="0" shapeId="0">
      <text>
        <r>
          <rPr>
            <b/>
            <sz val="10"/>
            <color indexed="81"/>
            <rFont val="Tahoma"/>
            <family val="2"/>
          </rPr>
          <t xml:space="preserve">
TRÊN WAY4 VÔ MỤC DOCS CHỖ TẢI SAO KÊ, THẤY INTEREST ĐỐI CHIẾU QUA XEM NGÀY
VÍ DỤ: NGAY DÒNG INTEREST ĐÓ THẤY CÓ 26/01/2026 THÌ LÀ 26
VÍ DỤ 2: NẾU 21/01/2026 THÌ LÀ 21</t>
        </r>
      </text>
    </comment>
    <comment ref="G2" authorId="0" shapeId="0">
      <text>
        <r>
          <rPr>
            <b/>
            <sz val="10"/>
            <color indexed="81"/>
            <rFont val="Tahoma"/>
            <family val="2"/>
          </rPr>
          <t xml:space="preserve">
NHẬP SAO CHO SỖ THÌ PHẢI NẰM BÊN PHẢI, PHẢI LÀ DẠNG SỐ (VALUE)</t>
        </r>
      </text>
    </comment>
    <comment ref="D15" authorId="0" shapeId="0">
      <text>
        <r>
          <rPr>
            <b/>
            <sz val="15"/>
            <color indexed="81"/>
            <rFont val="Tahoma"/>
            <family val="2"/>
          </rPr>
          <t>Anh chị nhớ vào ITSM xin cấp quyền cho mình một cái WAY4 HISTORY để tải sao kê cho đầy đủ nhé (hiện tại 2021 trở về trước thường bị thiếu sao kê nên tính sẽ ra kết quả bị sai)
Cách up sao kê history theo nguyên tắc, lấy sao kê mới đắp vào sao kê cũ, các bạn vào sao kê cũ xem tới ngày gần nhất là bao nhiều rồi qua sao kê mới copy cái hiện tại tới chỗ còn thiếu đó, dán vào cuối sao đó lưu lại và up</t>
        </r>
        <r>
          <rPr>
            <sz val="9"/>
            <color indexed="81"/>
            <rFont val="Tahoma"/>
            <family val="2"/>
          </rPr>
          <t xml:space="preserve">
</t>
        </r>
      </text>
    </comment>
  </commentList>
</comments>
</file>

<file path=xl/sharedStrings.xml><?xml version="1.0" encoding="utf-8"?>
<sst xmlns="http://schemas.openxmlformats.org/spreadsheetml/2006/main" count="2872" uniqueCount="2512">
  <si>
    <t>Khách hàng</t>
  </si>
  <si>
    <t>Số thẻ</t>
  </si>
  <si>
    <t>Ngày mở thẻ</t>
  </si>
  <si>
    <t>Ngày quá hạn</t>
  </si>
  <si>
    <t>Số ngày quá hạn</t>
  </si>
  <si>
    <t>Nợ gốc</t>
  </si>
  <si>
    <t>Nợ lãi</t>
  </si>
  <si>
    <t>Tổng</t>
  </si>
  <si>
    <t>Ngày bắt đầu sao kê</t>
  </si>
  <si>
    <t>Ngày sao kê</t>
  </si>
  <si>
    <t>Dư nợ đầu kỳ</t>
  </si>
  <si>
    <t>Dư nợ cuối kỳ</t>
  </si>
  <si>
    <t>Lãi phát sinh</t>
  </si>
  <si>
    <t>TỔNG</t>
  </si>
  <si>
    <t>TÔNG SỐ</t>
  </si>
  <si>
    <t>THÁNG TÍNH</t>
  </si>
  <si>
    <t>tổng tiền</t>
  </si>
  <si>
    <t>Dấu</t>
  </si>
  <si>
    <t>loại</t>
  </si>
  <si>
    <t>Tổng dư nợ</t>
  </si>
  <si>
    <t>Gốc đã trả </t>
  </si>
  <si>
    <t>Phí đã trả </t>
  </si>
  <si>
    <t>Lãi đã trả</t>
  </si>
  <si>
    <t>Tổng tiền trả trong  kỳ (gốc/lãi/phí) </t>
  </si>
  <si>
    <t>Tổng tiền khách hàng đã trả</t>
  </si>
  <si>
    <t>Tổng tiền khách hàng đã sử dụng</t>
  </si>
  <si>
    <t>+ Gốc đã trả</t>
  </si>
  <si>
    <t>Ghi chú</t>
  </si>
  <si>
    <t>Lãi trả góp 
phát sinh</t>
  </si>
  <si>
    <t>Phí phát sinh
(ẩn khi xong)</t>
  </si>
  <si>
    <t>Tổng tiền sử dụng trong kỳ</t>
  </si>
  <si>
    <t>Ngày cần tính</t>
  </si>
  <si>
    <t>Nợ gốc = Tổng tiền sử dụng - gốc đã trả</t>
  </si>
  <si>
    <t>Nợ lãi = Lãi phát sính - lãi đã trả</t>
  </si>
  <si>
    <t>(*) Nếu có trả góp thì lãi cộng thêm phần lãi trả góp</t>
  </si>
  <si>
    <t>Phí lỹ kế</t>
  </si>
  <si>
    <t>Lãi lũy kế</t>
  </si>
  <si>
    <t>BẢNG TÓM TẮT SAO KÊ THẺ</t>
  </si>
  <si>
    <t>+ Lãi đã trả</t>
  </si>
  <si>
    <t>+ Phí đã trả</t>
  </si>
  <si>
    <t>© boi baotg10 - ban quyen bao ve</t>
  </si>
  <si>
    <t>Interests</t>
  </si>
  <si>
    <t>Misc</t>
  </si>
  <si>
    <t>Transaction</t>
  </si>
  <si>
    <t>Virtual Card payment;</t>
  </si>
  <si>
    <t>Du no 1900-01</t>
  </si>
  <si>
    <t>Phi 1900-01</t>
  </si>
  <si>
    <t>Da thanh toan 1900-01</t>
  </si>
  <si>
    <t>Lai 1900-01</t>
  </si>
  <si>
    <t>Lai tra gop 1900-01</t>
  </si>
  <si>
    <t>bao</t>
  </si>
  <si>
    <t>tg10</t>
  </si>
  <si>
    <t>Du no 1900-02</t>
  </si>
  <si>
    <t>Phi 1900-02</t>
  </si>
  <si>
    <t>Da thanh toan 1900-02</t>
  </si>
  <si>
    <t>Lai 1900-02</t>
  </si>
  <si>
    <t>Lai tra gop 1900-02</t>
  </si>
  <si>
    <t>Du no 1900-03</t>
  </si>
  <si>
    <t>Phi 1900-03</t>
  </si>
  <si>
    <t>Da thanh toan 1900-03</t>
  </si>
  <si>
    <t>Lai 1900-03</t>
  </si>
  <si>
    <t>Lai tra gop 1900-03</t>
  </si>
  <si>
    <t>Du no 1900-04</t>
  </si>
  <si>
    <t>Phi 1900-04</t>
  </si>
  <si>
    <t>Da thanh toan 1900-04</t>
  </si>
  <si>
    <t>Lai 1900-04</t>
  </si>
  <si>
    <t>Lai tra gop 1900-04</t>
  </si>
  <si>
    <t>Du no 1900-05</t>
  </si>
  <si>
    <t>Phi 1900-05</t>
  </si>
  <si>
    <t>Da thanh toan 1900-05</t>
  </si>
  <si>
    <t>Lai 1900-05</t>
  </si>
  <si>
    <t>Lai tra gop 1900-05</t>
  </si>
  <si>
    <t>Du no 1900-06</t>
  </si>
  <si>
    <t>Phi 1900-06</t>
  </si>
  <si>
    <t>Da thanh toan 1900-06</t>
  </si>
  <si>
    <t>Lai 1900-06</t>
  </si>
  <si>
    <t>Lai tra gop 1900-06</t>
  </si>
  <si>
    <t>Du no 1900-07</t>
  </si>
  <si>
    <t>Phi 1900-07</t>
  </si>
  <si>
    <t>Da thanh toan 1900-07</t>
  </si>
  <si>
    <t>Lai 1900-07</t>
  </si>
  <si>
    <t>Lai tra gop 1900-07</t>
  </si>
  <si>
    <t>Du no 1900-08</t>
  </si>
  <si>
    <t>Phi 1900-08</t>
  </si>
  <si>
    <t>Da thanh toan 1900-08</t>
  </si>
  <si>
    <t>Lai 1900-08</t>
  </si>
  <si>
    <t>Lai tra gop 1900-08</t>
  </si>
  <si>
    <t>Du no 1900-09</t>
  </si>
  <si>
    <t>Phi 1900-09</t>
  </si>
  <si>
    <t>Da thanh toan 1900-09</t>
  </si>
  <si>
    <t>Lai 1900-09</t>
  </si>
  <si>
    <t>Lai tra gop 1900-09</t>
  </si>
  <si>
    <t>Du no 1900-10</t>
  </si>
  <si>
    <t>Phi 1900-10</t>
  </si>
  <si>
    <t>Da thanh toan 1900-10</t>
  </si>
  <si>
    <t>Lai 1900-10</t>
  </si>
  <si>
    <t>Lai tra gop 1900-10</t>
  </si>
  <si>
    <t>Du no 1900-11</t>
  </si>
  <si>
    <t>Phi 1900-11</t>
  </si>
  <si>
    <t>Da thanh toan 1900-11</t>
  </si>
  <si>
    <t>Lai 1900-11</t>
  </si>
  <si>
    <t>Lai tra gop 1900-11</t>
  </si>
  <si>
    <t>Du no 1900-12</t>
  </si>
  <si>
    <t>Phi 1900-12</t>
  </si>
  <si>
    <t>Da thanh toan 1900-12</t>
  </si>
  <si>
    <t>Lai 1900-12</t>
  </si>
  <si>
    <t>Lai tra gop 1900-12</t>
  </si>
  <si>
    <t>Du no 1900-13</t>
  </si>
  <si>
    <t>Phi 1900-13</t>
  </si>
  <si>
    <t>Da thanh toan 1900-13</t>
  </si>
  <si>
    <t>Lai 1900-13</t>
  </si>
  <si>
    <t>Lai tra gop 1900-13</t>
  </si>
  <si>
    <t>Du no 1900-14</t>
  </si>
  <si>
    <t>Phi 1900-14</t>
  </si>
  <si>
    <t>Da thanh toan 1900-14</t>
  </si>
  <si>
    <t>Lai 1900-14</t>
  </si>
  <si>
    <t>Lai tra gop 1900-14</t>
  </si>
  <si>
    <t>Du no 1900-15</t>
  </si>
  <si>
    <t>Phi 1900-15</t>
  </si>
  <si>
    <t>Da thanh toan 1900-15</t>
  </si>
  <si>
    <t>Lai 1900-15</t>
  </si>
  <si>
    <t>Lai tra gop 1900-15</t>
  </si>
  <si>
    <t>Du no 1900-16</t>
  </si>
  <si>
    <t>Phi 1900-16</t>
  </si>
  <si>
    <t>Da thanh toan 1900-16</t>
  </si>
  <si>
    <t>Lai 1900-16</t>
  </si>
  <si>
    <t>Lai tra gop 1900-16</t>
  </si>
  <si>
    <t>Du no 1900-17</t>
  </si>
  <si>
    <t>Phi 1900-17</t>
  </si>
  <si>
    <t>Da thanh toan 1900-17</t>
  </si>
  <si>
    <t>Lai 1900-17</t>
  </si>
  <si>
    <t>Lai tra gop 1900-17</t>
  </si>
  <si>
    <t>Du no 1900-18</t>
  </si>
  <si>
    <t>Phi 1900-18</t>
  </si>
  <si>
    <t>Da thanh toan 1900-18</t>
  </si>
  <si>
    <t>Lai 1900-18</t>
  </si>
  <si>
    <t>Lai tra gop 1900-18</t>
  </si>
  <si>
    <t>Du no 1900-19</t>
  </si>
  <si>
    <t>Phi 1900-19</t>
  </si>
  <si>
    <t>Da thanh toan 1900-19</t>
  </si>
  <si>
    <t>Lai 1900-19</t>
  </si>
  <si>
    <t>Lai tra gop 1900-19</t>
  </si>
  <si>
    <t>Du no 1900-20</t>
  </si>
  <si>
    <t>Phi 1900-20</t>
  </si>
  <si>
    <t>Da thanh toan 1900-20</t>
  </si>
  <si>
    <t>Lai 1900-20</t>
  </si>
  <si>
    <t>Lai tra gop 1900-20</t>
  </si>
  <si>
    <t>Du no 1900-21</t>
  </si>
  <si>
    <t>Phi 1900-21</t>
  </si>
  <si>
    <t>Da thanh toan 1900-21</t>
  </si>
  <si>
    <t>Lai 1900-21</t>
  </si>
  <si>
    <t>Lai tra gop 1900-21</t>
  </si>
  <si>
    <t>Du no 1900-22</t>
  </si>
  <si>
    <t>Phi 1900-22</t>
  </si>
  <si>
    <t>Da thanh toan 1900-22</t>
  </si>
  <si>
    <t>Lai 1900-22</t>
  </si>
  <si>
    <t>Lai tra gop 1900-22</t>
  </si>
  <si>
    <t>Du no 1900-23</t>
  </si>
  <si>
    <t>Phi 1900-23</t>
  </si>
  <si>
    <t>Da thanh toan 1900-23</t>
  </si>
  <si>
    <t>Lai 1900-23</t>
  </si>
  <si>
    <t>Lai tra gop 1900-23</t>
  </si>
  <si>
    <t>Du no 1900-24</t>
  </si>
  <si>
    <t>Phi 1900-24</t>
  </si>
  <si>
    <t>Da thanh toan 1900-24</t>
  </si>
  <si>
    <t>Lai 1900-24</t>
  </si>
  <si>
    <t>Lai tra gop 1900-24</t>
  </si>
  <si>
    <t>Du no 1900-25</t>
  </si>
  <si>
    <t>Phi 1900-25</t>
  </si>
  <si>
    <t>Da thanh toan 1900-25</t>
  </si>
  <si>
    <t>Lai 1900-25</t>
  </si>
  <si>
    <t>Lai tra gop 1900-25</t>
  </si>
  <si>
    <t>Du no 1900-26</t>
  </si>
  <si>
    <t>Phi 1900-26</t>
  </si>
  <si>
    <t>Da thanh toan 1900-26</t>
  </si>
  <si>
    <t>Lai 1900-26</t>
  </si>
  <si>
    <t>Lai tra gop 1900-26</t>
  </si>
  <si>
    <t>Du no 1900-27</t>
  </si>
  <si>
    <t>Phi 1900-27</t>
  </si>
  <si>
    <t>Da thanh toan 1900-27</t>
  </si>
  <si>
    <t>Lai 1900-27</t>
  </si>
  <si>
    <t>Lai tra gop 1900-27</t>
  </si>
  <si>
    <t>Du no 1900-28</t>
  </si>
  <si>
    <t>Phi 1900-28</t>
  </si>
  <si>
    <t>Da thanh toan 1900-28</t>
  </si>
  <si>
    <t>Lai 1900-28</t>
  </si>
  <si>
    <t>Lai tra gop 1900-28</t>
  </si>
  <si>
    <t>Du no 1900-29</t>
  </si>
  <si>
    <t>Phi 1900-29</t>
  </si>
  <si>
    <t>Da thanh toan 1900-29</t>
  </si>
  <si>
    <t>Lai 1900-29</t>
  </si>
  <si>
    <t>Lai tra gop 1900-29</t>
  </si>
  <si>
    <t>Du no 1900-30</t>
  </si>
  <si>
    <t>Phi 1900-30</t>
  </si>
  <si>
    <t>Da thanh toan 1900-30</t>
  </si>
  <si>
    <t>Lai 1900-30</t>
  </si>
  <si>
    <t>Lai tra gop 1900-30</t>
  </si>
  <si>
    <t>Du no 1900-31</t>
  </si>
  <si>
    <t>Phi 1900-31</t>
  </si>
  <si>
    <t>Da thanh toan 1900-31</t>
  </si>
  <si>
    <t>Lai 1900-31</t>
  </si>
  <si>
    <t>Lai tra gop 1900-31</t>
  </si>
  <si>
    <t>Du no 1900-32</t>
  </si>
  <si>
    <t>Phi 1900-32</t>
  </si>
  <si>
    <t>Da thanh toan 1900-32</t>
  </si>
  <si>
    <t>Lai 1900-32</t>
  </si>
  <si>
    <t>Lai tra gop 1900-32</t>
  </si>
  <si>
    <t>Du no 1900-33</t>
  </si>
  <si>
    <t>Phi 1900-33</t>
  </si>
  <si>
    <t>Da thanh toan 1900-33</t>
  </si>
  <si>
    <t>Lai 1900-33</t>
  </si>
  <si>
    <t>Lai tra gop 1900-33</t>
  </si>
  <si>
    <t>Du no 1900-34</t>
  </si>
  <si>
    <t>Phi 1900-34</t>
  </si>
  <si>
    <t>Da thanh toan 1900-34</t>
  </si>
  <si>
    <t>Lai 1900-34</t>
  </si>
  <si>
    <t>Lai tra gop 1900-34</t>
  </si>
  <si>
    <t>Du no 1900-35</t>
  </si>
  <si>
    <t>Phi 1900-35</t>
  </si>
  <si>
    <t>Da thanh toan 1900-35</t>
  </si>
  <si>
    <t>Lai 1900-35</t>
  </si>
  <si>
    <t>Lai tra gop 1900-35</t>
  </si>
  <si>
    <t>Du no 1900-36</t>
  </si>
  <si>
    <t>Phi 1900-36</t>
  </si>
  <si>
    <t>Da thanh toan 1900-36</t>
  </si>
  <si>
    <t>Lai 1900-36</t>
  </si>
  <si>
    <t>Lai tra gop 1900-36</t>
  </si>
  <si>
    <t>Du no 1900-37</t>
  </si>
  <si>
    <t>Phi 1900-37</t>
  </si>
  <si>
    <t>Da thanh toan 1900-37</t>
  </si>
  <si>
    <t>Lai 1900-37</t>
  </si>
  <si>
    <t>Lai tra gop 1900-37</t>
  </si>
  <si>
    <t>Du no 1900-38</t>
  </si>
  <si>
    <t>Phi 1900-38</t>
  </si>
  <si>
    <t>Da thanh toan 1900-38</t>
  </si>
  <si>
    <t>Lai 1900-38</t>
  </si>
  <si>
    <t>Lai tra gop 1900-38</t>
  </si>
  <si>
    <t>Du no 1900-39</t>
  </si>
  <si>
    <t>Phi 1900-39</t>
  </si>
  <si>
    <t>Da thanh toan 1900-39</t>
  </si>
  <si>
    <t>Lai 1900-39</t>
  </si>
  <si>
    <t>Lai tra gop 1900-39</t>
  </si>
  <si>
    <t>Du no 1900-40</t>
  </si>
  <si>
    <t>Phi 1900-40</t>
  </si>
  <si>
    <t>Da thanh toan 1900-40</t>
  </si>
  <si>
    <t>Lai 1900-40</t>
  </si>
  <si>
    <t>Lai tra gop 1900-40</t>
  </si>
  <si>
    <t>Du no 1900-41</t>
  </si>
  <si>
    <t>Phi 1900-41</t>
  </si>
  <si>
    <t>Da thanh toan 1900-41</t>
  </si>
  <si>
    <t>Lai 1900-41</t>
  </si>
  <si>
    <t>Lai tra gop 1900-41</t>
  </si>
  <si>
    <t>Du no 1900-42</t>
  </si>
  <si>
    <t>Phi 1900-42</t>
  </si>
  <si>
    <t>Da thanh toan 1900-42</t>
  </si>
  <si>
    <t>Lai 1900-42</t>
  </si>
  <si>
    <t>Lai tra gop 1900-42</t>
  </si>
  <si>
    <t>Du no 1900-43</t>
  </si>
  <si>
    <t>Phi 1900-43</t>
  </si>
  <si>
    <t>Da thanh toan 1900-43</t>
  </si>
  <si>
    <t>Lai 1900-43</t>
  </si>
  <si>
    <t>Lai tra gop 1900-43</t>
  </si>
  <si>
    <t>Du no 1900-44</t>
  </si>
  <si>
    <t>Phi 1900-44</t>
  </si>
  <si>
    <t>Da thanh toan 1900-44</t>
  </si>
  <si>
    <t>Lai 1900-44</t>
  </si>
  <si>
    <t>Lai tra gop 1900-44</t>
  </si>
  <si>
    <t>Du no 1900-45</t>
  </si>
  <si>
    <t>Phi 1900-45</t>
  </si>
  <si>
    <t>Da thanh toan 1900-45</t>
  </si>
  <si>
    <t>Lai 1900-45</t>
  </si>
  <si>
    <t>Lai tra gop 1900-45</t>
  </si>
  <si>
    <t>Du no 1900-46</t>
  </si>
  <si>
    <t>Phi 1900-46</t>
  </si>
  <si>
    <t>Da thanh toan 1900-46</t>
  </si>
  <si>
    <t>Lai 1900-46</t>
  </si>
  <si>
    <t>Lai tra gop 1900-46</t>
  </si>
  <si>
    <t>Du no 1900-47</t>
  </si>
  <si>
    <t>Phi 1900-47</t>
  </si>
  <si>
    <t>Da thanh toan 1900-47</t>
  </si>
  <si>
    <t>Lai 1900-47</t>
  </si>
  <si>
    <t>Lai tra gop 1900-47</t>
  </si>
  <si>
    <t>Du no 1900-48</t>
  </si>
  <si>
    <t>Phi 1900-48</t>
  </si>
  <si>
    <t>Da thanh toan 1900-48</t>
  </si>
  <si>
    <t>Lai 1900-48</t>
  </si>
  <si>
    <t>Lai tra gop 1900-48</t>
  </si>
  <si>
    <t>Du no 1900-49</t>
  </si>
  <si>
    <t>Phi 1900-49</t>
  </si>
  <si>
    <t>Da thanh toan 1900-49</t>
  </si>
  <si>
    <t>Lai 1900-49</t>
  </si>
  <si>
    <t>Lai tra gop 1900-49</t>
  </si>
  <si>
    <t>Du no 1900-50</t>
  </si>
  <si>
    <t>Phi 1900-50</t>
  </si>
  <si>
    <t>Da thanh toan 1900-50</t>
  </si>
  <si>
    <t>Lai 1900-50</t>
  </si>
  <si>
    <t>Lai tra gop 1900-50</t>
  </si>
  <si>
    <t>Du no 1900-51</t>
  </si>
  <si>
    <t>Phi 1900-51</t>
  </si>
  <si>
    <t>Da thanh toan 1900-51</t>
  </si>
  <si>
    <t>Lai 1900-51</t>
  </si>
  <si>
    <t>Lai tra gop 1900-51</t>
  </si>
  <si>
    <t>Du no 1900-52</t>
  </si>
  <si>
    <t>Phi 1900-52</t>
  </si>
  <si>
    <t>Da thanh toan 1900-52</t>
  </si>
  <si>
    <t>Lai 1900-52</t>
  </si>
  <si>
    <t>Lai tra gop 1900-52</t>
  </si>
  <si>
    <t>Du no 1900-53</t>
  </si>
  <si>
    <t>Phi 1900-53</t>
  </si>
  <si>
    <t>Da thanh toan 1900-53</t>
  </si>
  <si>
    <t>Lai 1900-53</t>
  </si>
  <si>
    <t>Lai tra gop 1900-53</t>
  </si>
  <si>
    <t>Du no 1900-54</t>
  </si>
  <si>
    <t>Phi 1900-54</t>
  </si>
  <si>
    <t>Da thanh toan 1900-54</t>
  </si>
  <si>
    <t>Lai 1900-54</t>
  </si>
  <si>
    <t>Lai tra gop 1900-54</t>
  </si>
  <si>
    <t>Du no 1900-55</t>
  </si>
  <si>
    <t>Phi 1900-55</t>
  </si>
  <si>
    <t>Da thanh toan 1900-55</t>
  </si>
  <si>
    <t>Lai 1900-55</t>
  </si>
  <si>
    <t>Lai tra gop 1900-55</t>
  </si>
  <si>
    <t>Du no 1900-56</t>
  </si>
  <si>
    <t>Phi 1900-56</t>
  </si>
  <si>
    <t>Da thanh toan 1900-56</t>
  </si>
  <si>
    <t>Lai 1900-56</t>
  </si>
  <si>
    <t>Lai tra gop 1900-56</t>
  </si>
  <si>
    <t>Du no 1900-57</t>
  </si>
  <si>
    <t>Phi 1900-57</t>
  </si>
  <si>
    <t>Da thanh toan 1900-57</t>
  </si>
  <si>
    <t>Lai 1900-57</t>
  </si>
  <si>
    <t>Lai tra gop 1900-57</t>
  </si>
  <si>
    <t>Du no 1900-58</t>
  </si>
  <si>
    <t>Phi 1900-58</t>
  </si>
  <si>
    <t>Da thanh toan 1900-58</t>
  </si>
  <si>
    <t>Lai 1900-58</t>
  </si>
  <si>
    <t>Lai tra gop 1900-58</t>
  </si>
  <si>
    <t>Du no 1900-59</t>
  </si>
  <si>
    <t>Phi 1900-59</t>
  </si>
  <si>
    <t>Da thanh toan 1900-59</t>
  </si>
  <si>
    <t>Lai 1900-59</t>
  </si>
  <si>
    <t>Lai tra gop 1900-59</t>
  </si>
  <si>
    <t>Du no 1900-60</t>
  </si>
  <si>
    <t>Phi 1900-60</t>
  </si>
  <si>
    <t>Da thanh toan 1900-60</t>
  </si>
  <si>
    <t>Lai 1900-60</t>
  </si>
  <si>
    <t>Lai tra gop 1900-60</t>
  </si>
  <si>
    <t>Du no 1900-61</t>
  </si>
  <si>
    <t>Phi 1900-61</t>
  </si>
  <si>
    <t>Da thanh toan 1900-61</t>
  </si>
  <si>
    <t>Lai 1900-61</t>
  </si>
  <si>
    <t>Lai tra gop 1900-61</t>
  </si>
  <si>
    <t>Du no 1900-62</t>
  </si>
  <si>
    <t>Phi 1900-62</t>
  </si>
  <si>
    <t>Da thanh toan 1900-62</t>
  </si>
  <si>
    <t>Lai 1900-62</t>
  </si>
  <si>
    <t>Lai tra gop 1900-62</t>
  </si>
  <si>
    <t>Du no 1900-63</t>
  </si>
  <si>
    <t>Phi 1900-63</t>
  </si>
  <si>
    <t>Da thanh toan 1900-63</t>
  </si>
  <si>
    <t>Lai 1900-63</t>
  </si>
  <si>
    <t>Lai tra gop 1900-63</t>
  </si>
  <si>
    <t>Du no 1900-64</t>
  </si>
  <si>
    <t>Phi 1900-64</t>
  </si>
  <si>
    <t>Da thanh toan 1900-64</t>
  </si>
  <si>
    <t>Lai 1900-64</t>
  </si>
  <si>
    <t>Lai tra gop 1900-64</t>
  </si>
  <si>
    <t>Du no 1900-65</t>
  </si>
  <si>
    <t>Phi 1900-65</t>
  </si>
  <si>
    <t>Da thanh toan 1900-65</t>
  </si>
  <si>
    <t>Lai 1900-65</t>
  </si>
  <si>
    <t>Lai tra gop 1900-65</t>
  </si>
  <si>
    <t>Du no 1900-66</t>
  </si>
  <si>
    <t>Phi 1900-66</t>
  </si>
  <si>
    <t>Da thanh toan 1900-66</t>
  </si>
  <si>
    <t>Lai 1900-66</t>
  </si>
  <si>
    <t>Lai tra gop 1900-66</t>
  </si>
  <si>
    <t>Du no 1900-67</t>
  </si>
  <si>
    <t>Phi 1900-67</t>
  </si>
  <si>
    <t>Da thanh toan 1900-67</t>
  </si>
  <si>
    <t>Lai 1900-67</t>
  </si>
  <si>
    <t>Lai tra gop 1900-67</t>
  </si>
  <si>
    <t>Du no 1900-68</t>
  </si>
  <si>
    <t>Phi 1900-68</t>
  </si>
  <si>
    <t>Da thanh toan 1900-68</t>
  </si>
  <si>
    <t>Lai 1900-68</t>
  </si>
  <si>
    <t>Lai tra gop 1900-68</t>
  </si>
  <si>
    <t>Du no 1900-69</t>
  </si>
  <si>
    <t>Phi 1900-69</t>
  </si>
  <si>
    <t>Da thanh toan 1900-69</t>
  </si>
  <si>
    <t>Lai 1900-69</t>
  </si>
  <si>
    <t>Lai tra gop 1900-69</t>
  </si>
  <si>
    <t>Du no 1900-70</t>
  </si>
  <si>
    <t>Phi 1900-70</t>
  </si>
  <si>
    <t>Da thanh toan 1900-70</t>
  </si>
  <si>
    <t>Lai 1900-70</t>
  </si>
  <si>
    <t>Lai tra gop 1900-70</t>
  </si>
  <si>
    <t>Du no 1900-71</t>
  </si>
  <si>
    <t>Phi 1900-71</t>
  </si>
  <si>
    <t>Da thanh toan 1900-71</t>
  </si>
  <si>
    <t>Lai 1900-71</t>
  </si>
  <si>
    <t>Lai tra gop 1900-71</t>
  </si>
  <si>
    <t>Du no 1900-72</t>
  </si>
  <si>
    <t>Phi 1900-72</t>
  </si>
  <si>
    <t>Da thanh toan 1900-72</t>
  </si>
  <si>
    <t>Lai 1900-72</t>
  </si>
  <si>
    <t>Lai tra gop 1900-72</t>
  </si>
  <si>
    <t>Du no 1900-73</t>
  </si>
  <si>
    <t>Phi 1900-73</t>
  </si>
  <si>
    <t>Da thanh toan 1900-73</t>
  </si>
  <si>
    <t>Lai 1900-73</t>
  </si>
  <si>
    <t>Lai tra gop 1900-73</t>
  </si>
  <si>
    <t>Du no 1900-74</t>
  </si>
  <si>
    <t>Phi 1900-74</t>
  </si>
  <si>
    <t>Da thanh toan 1900-74</t>
  </si>
  <si>
    <t>Lai 1900-74</t>
  </si>
  <si>
    <t>Lai tra gop 1900-74</t>
  </si>
  <si>
    <t>Du no 1900-75</t>
  </si>
  <si>
    <t>Phi 1900-75</t>
  </si>
  <si>
    <t>Da thanh toan 1900-75</t>
  </si>
  <si>
    <t>Lai 1900-75</t>
  </si>
  <si>
    <t>Lai tra gop 1900-75</t>
  </si>
  <si>
    <t>Du no 1900-76</t>
  </si>
  <si>
    <t>Phi 1900-76</t>
  </si>
  <si>
    <t>Da thanh toan 1900-76</t>
  </si>
  <si>
    <t>Lai 1900-76</t>
  </si>
  <si>
    <t>Lai tra gop 1900-76</t>
  </si>
  <si>
    <t>Du no 1900-77</t>
  </si>
  <si>
    <t>Phi 1900-77</t>
  </si>
  <si>
    <t>Da thanh toan 1900-77</t>
  </si>
  <si>
    <t>Lai 1900-77</t>
  </si>
  <si>
    <t>Lai tra gop 1900-77</t>
  </si>
  <si>
    <t>Du no 1900-78</t>
  </si>
  <si>
    <t>Phi 1900-78</t>
  </si>
  <si>
    <t>Da thanh toan 1900-78</t>
  </si>
  <si>
    <t>Lai 1900-78</t>
  </si>
  <si>
    <t>Lai tra gop 1900-78</t>
  </si>
  <si>
    <t>Du no 1900-79</t>
  </si>
  <si>
    <t>Phi 1900-79</t>
  </si>
  <si>
    <t>Da thanh toan 1900-79</t>
  </si>
  <si>
    <t>Lai 1900-79</t>
  </si>
  <si>
    <t>Lai tra gop 1900-79</t>
  </si>
  <si>
    <t>Du no 1900-80</t>
  </si>
  <si>
    <t>Phi 1900-80</t>
  </si>
  <si>
    <t>Da thanh toan 1900-80</t>
  </si>
  <si>
    <t>Lai 1900-80</t>
  </si>
  <si>
    <t>Lai tra gop 1900-80</t>
  </si>
  <si>
    <t>Du no 1900-81</t>
  </si>
  <si>
    <t>Phi 1900-81</t>
  </si>
  <si>
    <t>Da thanh toan 1900-81</t>
  </si>
  <si>
    <t>Lai 1900-81</t>
  </si>
  <si>
    <t>Lai tra gop 1900-81</t>
  </si>
  <si>
    <t>Du no 1900-82</t>
  </si>
  <si>
    <t>Phi 1900-82</t>
  </si>
  <si>
    <t>Da thanh toan 1900-82</t>
  </si>
  <si>
    <t>Lai 1900-82</t>
  </si>
  <si>
    <t>Lai tra gop 1900-82</t>
  </si>
  <si>
    <t>Du no 1900-83</t>
  </si>
  <si>
    <t>Phi 1900-83</t>
  </si>
  <si>
    <t>Da thanh toan 1900-83</t>
  </si>
  <si>
    <t>Lai 1900-83</t>
  </si>
  <si>
    <t>Lai tra gop 1900-83</t>
  </si>
  <si>
    <t>Du no 1900-84</t>
  </si>
  <si>
    <t>Phi 1900-84</t>
  </si>
  <si>
    <t>Da thanh toan 1900-84</t>
  </si>
  <si>
    <t>Lai 1900-84</t>
  </si>
  <si>
    <t>Lai tra gop 1900-84</t>
  </si>
  <si>
    <t>Du no 1900-85</t>
  </si>
  <si>
    <t>Phi 1900-85</t>
  </si>
  <si>
    <t>Da thanh toan 1900-85</t>
  </si>
  <si>
    <t>Lai 1900-85</t>
  </si>
  <si>
    <t>Lai tra gop 1900-85</t>
  </si>
  <si>
    <t>Du no 1900-86</t>
  </si>
  <si>
    <t>Phi 1900-86</t>
  </si>
  <si>
    <t>Da thanh toan 1900-86</t>
  </si>
  <si>
    <t>Lai 1900-86</t>
  </si>
  <si>
    <t>Lai tra gop 1900-86</t>
  </si>
  <si>
    <t>Du no 1900-87</t>
  </si>
  <si>
    <t>Phi 1900-87</t>
  </si>
  <si>
    <t>Da thanh toan 1900-87</t>
  </si>
  <si>
    <t>Lai 1900-87</t>
  </si>
  <si>
    <t>Lai tra gop 1900-87</t>
  </si>
  <si>
    <t>Du no 1900-88</t>
  </si>
  <si>
    <t>Phi 1900-88</t>
  </si>
  <si>
    <t>Da thanh toan 1900-88</t>
  </si>
  <si>
    <t>Lai 1900-88</t>
  </si>
  <si>
    <t>Lai tra gop 1900-88</t>
  </si>
  <si>
    <t>Du no 1900-89</t>
  </si>
  <si>
    <t>Phi 1900-89</t>
  </si>
  <si>
    <t>Da thanh toan 1900-89</t>
  </si>
  <si>
    <t>Lai 1900-89</t>
  </si>
  <si>
    <t>Lai tra gop 1900-89</t>
  </si>
  <si>
    <t>Du no 1900-90</t>
  </si>
  <si>
    <t>Phi 1900-90</t>
  </si>
  <si>
    <t>Da thanh toan 1900-90</t>
  </si>
  <si>
    <t>Lai 1900-90</t>
  </si>
  <si>
    <t>Lai tra gop 1900-90</t>
  </si>
  <si>
    <t>Du no 1900-91</t>
  </si>
  <si>
    <t>Phi 1900-91</t>
  </si>
  <si>
    <t>Da thanh toan 1900-91</t>
  </si>
  <si>
    <t>Lai 1900-91</t>
  </si>
  <si>
    <t>Lai tra gop 1900-91</t>
  </si>
  <si>
    <t>Du no 1900-92</t>
  </si>
  <si>
    <t>Phi 1900-92</t>
  </si>
  <si>
    <t>Da thanh toan 1900-92</t>
  </si>
  <si>
    <t>Lai 1900-92</t>
  </si>
  <si>
    <t>Lai tra gop 1900-92</t>
  </si>
  <si>
    <t>Du no 1900-93</t>
  </si>
  <si>
    <t>Phi 1900-93</t>
  </si>
  <si>
    <t>Da thanh toan 1900-93</t>
  </si>
  <si>
    <t>Lai 1900-93</t>
  </si>
  <si>
    <t>Lai tra gop 1900-93</t>
  </si>
  <si>
    <t>Du no 1900-94</t>
  </si>
  <si>
    <t>Phi 1900-94</t>
  </si>
  <si>
    <t>Da thanh toan 1900-94</t>
  </si>
  <si>
    <t>Lai 1900-94</t>
  </si>
  <si>
    <t>Lai tra gop 1900-94</t>
  </si>
  <si>
    <t>Du no 1900-95</t>
  </si>
  <si>
    <t>Phi 1900-95</t>
  </si>
  <si>
    <t>Da thanh toan 1900-95</t>
  </si>
  <si>
    <t>Lai 1900-95</t>
  </si>
  <si>
    <t>Lai tra gop 1900-95</t>
  </si>
  <si>
    <t>Du no 1900-96</t>
  </si>
  <si>
    <t>Phi 1900-96</t>
  </si>
  <si>
    <t>Da thanh toan 1900-96</t>
  </si>
  <si>
    <t>Lai 1900-96</t>
  </si>
  <si>
    <t>Lai tra gop 1900-96</t>
  </si>
  <si>
    <t>Du no 1900-97</t>
  </si>
  <si>
    <t>Phi 1900-97</t>
  </si>
  <si>
    <t>Da thanh toan 1900-97</t>
  </si>
  <si>
    <t>Lai 1900-97</t>
  </si>
  <si>
    <t>Lai tra gop 1900-97</t>
  </si>
  <si>
    <t>Du no 1900-98</t>
  </si>
  <si>
    <t>Phi 1900-98</t>
  </si>
  <si>
    <t>Da thanh toan 1900-98</t>
  </si>
  <si>
    <t>Lai 1900-98</t>
  </si>
  <si>
    <t>Lai tra gop 1900-98</t>
  </si>
  <si>
    <t>Du no 1900-99</t>
  </si>
  <si>
    <t>Phi 1900-99</t>
  </si>
  <si>
    <t>Da thanh toan 1900-99</t>
  </si>
  <si>
    <t>Lai 1900-99</t>
  </si>
  <si>
    <t>Lai tra gop 1900-99</t>
  </si>
  <si>
    <t>Du no 1900-100</t>
  </si>
  <si>
    <t>Phi 1900-100</t>
  </si>
  <si>
    <t>Da thanh toan 1900-100</t>
  </si>
  <si>
    <t>Lai 1900-100</t>
  </si>
  <si>
    <t>Lai tra gop 1900-100</t>
  </si>
  <si>
    <t>Du no 1900-101</t>
  </si>
  <si>
    <t>Phi 1900-101</t>
  </si>
  <si>
    <t>Da thanh toan 1900-101</t>
  </si>
  <si>
    <t>Lai 1900-101</t>
  </si>
  <si>
    <t>Lai tra gop 1900-101</t>
  </si>
  <si>
    <t>Du no 1900-102</t>
  </si>
  <si>
    <t>Phi 1900-102</t>
  </si>
  <si>
    <t>Da thanh toan 1900-102</t>
  </si>
  <si>
    <t>Lai 1900-102</t>
  </si>
  <si>
    <t>Lai tra gop 1900-102</t>
  </si>
  <si>
    <t>Du no 1900-103</t>
  </si>
  <si>
    <t>Phi 1900-103</t>
  </si>
  <si>
    <t>Da thanh toan 1900-103</t>
  </si>
  <si>
    <t>Lai 1900-103</t>
  </si>
  <si>
    <t>Lai tra gop 1900-103</t>
  </si>
  <si>
    <t>Du no 1900-104</t>
  </si>
  <si>
    <t>Phi 1900-104</t>
  </si>
  <si>
    <t>Da thanh toan 1900-104</t>
  </si>
  <si>
    <t>Lai 1900-104</t>
  </si>
  <si>
    <t>Lai tra gop 1900-104</t>
  </si>
  <si>
    <t>Du no 1900-105</t>
  </si>
  <si>
    <t>Phi 1900-105</t>
  </si>
  <si>
    <t>Da thanh toan 1900-105</t>
  </si>
  <si>
    <t>Lai 1900-105</t>
  </si>
  <si>
    <t>Lai tra gop 1900-105</t>
  </si>
  <si>
    <t>Du no 1900-106</t>
  </si>
  <si>
    <t>Phi 1900-106</t>
  </si>
  <si>
    <t>Da thanh toan 1900-106</t>
  </si>
  <si>
    <t>Lai 1900-106</t>
  </si>
  <si>
    <t>Lai tra gop 1900-106</t>
  </si>
  <si>
    <t>Du no 1900-107</t>
  </si>
  <si>
    <t>Phi 1900-107</t>
  </si>
  <si>
    <t>Da thanh toan 1900-107</t>
  </si>
  <si>
    <t>Lai 1900-107</t>
  </si>
  <si>
    <t>Lai tra gop 1900-107</t>
  </si>
  <si>
    <t>Du no 1900-108</t>
  </si>
  <si>
    <t>Phi 1900-108</t>
  </si>
  <si>
    <t>Da thanh toan 1900-108</t>
  </si>
  <si>
    <t>Lai 1900-108</t>
  </si>
  <si>
    <t>Lai tra gop 1900-108</t>
  </si>
  <si>
    <t>Du no 1900-109</t>
  </si>
  <si>
    <t>Phi 1900-109</t>
  </si>
  <si>
    <t>Da thanh toan 1900-109</t>
  </si>
  <si>
    <t>Lai 1900-109</t>
  </si>
  <si>
    <t>Lai tra gop 1900-109</t>
  </si>
  <si>
    <t>Du no 1900-110</t>
  </si>
  <si>
    <t>Phi 1900-110</t>
  </si>
  <si>
    <t>Da thanh toan 1900-110</t>
  </si>
  <si>
    <t>Lai 1900-110</t>
  </si>
  <si>
    <t>Lai tra gop 1900-110</t>
  </si>
  <si>
    <t>Du no 1900-111</t>
  </si>
  <si>
    <t>Phi 1900-111</t>
  </si>
  <si>
    <t>Da thanh toan 1900-111</t>
  </si>
  <si>
    <t>Lai 1900-111</t>
  </si>
  <si>
    <t>Lai tra gop 1900-111</t>
  </si>
  <si>
    <t>Du no 1900-112</t>
  </si>
  <si>
    <t>Phi 1900-112</t>
  </si>
  <si>
    <t>Da thanh toan 1900-112</t>
  </si>
  <si>
    <t>Lai 1900-112</t>
  </si>
  <si>
    <t>Lai tra gop 1900-112</t>
  </si>
  <si>
    <t>Du no 1900-113</t>
  </si>
  <si>
    <t>Phi 1900-113</t>
  </si>
  <si>
    <t>Da thanh toan 1900-113</t>
  </si>
  <si>
    <t>Lai 1900-113</t>
  </si>
  <si>
    <t>Lai tra gop 1900-113</t>
  </si>
  <si>
    <t>Du no 1900-114</t>
  </si>
  <si>
    <t>Phi 1900-114</t>
  </si>
  <si>
    <t>Da thanh toan 1900-114</t>
  </si>
  <si>
    <t>Lai 1900-114</t>
  </si>
  <si>
    <t>Lai tra gop 1900-114</t>
  </si>
  <si>
    <t>Du no 1900-115</t>
  </si>
  <si>
    <t>Phi 1900-115</t>
  </si>
  <si>
    <t>Da thanh toan 1900-115</t>
  </si>
  <si>
    <t>Lai 1900-115</t>
  </si>
  <si>
    <t>Lai tra gop 1900-115</t>
  </si>
  <si>
    <t>Du no 1900-116</t>
  </si>
  <si>
    <t>Phi 1900-116</t>
  </si>
  <si>
    <t>Da thanh toan 1900-116</t>
  </si>
  <si>
    <t>Lai 1900-116</t>
  </si>
  <si>
    <t>Lai tra gop 1900-116</t>
  </si>
  <si>
    <t>Du no 1900-117</t>
  </si>
  <si>
    <t>Phi 1900-117</t>
  </si>
  <si>
    <t>Da thanh toan 1900-117</t>
  </si>
  <si>
    <t>Lai 1900-117</t>
  </si>
  <si>
    <t>Lai tra gop 1900-117</t>
  </si>
  <si>
    <t>Du no 1900-118</t>
  </si>
  <si>
    <t>Phi 1900-118</t>
  </si>
  <si>
    <t>Da thanh toan 1900-118</t>
  </si>
  <si>
    <t>Lai 1900-118</t>
  </si>
  <si>
    <t>Lai tra gop 1900-118</t>
  </si>
  <si>
    <t>Du no 1900-119</t>
  </si>
  <si>
    <t>Phi 1900-119</t>
  </si>
  <si>
    <t>Da thanh toan 1900-119</t>
  </si>
  <si>
    <t>Lai 1900-119</t>
  </si>
  <si>
    <t>Lai tra gop 1900-119</t>
  </si>
  <si>
    <t>Du no 1900-120</t>
  </si>
  <si>
    <t>Phi 1900-120</t>
  </si>
  <si>
    <t>Da thanh toan 1900-120</t>
  </si>
  <si>
    <t>Lai 1900-120</t>
  </si>
  <si>
    <t>Lai tra gop 1900-120</t>
  </si>
  <si>
    <t>Du no 1900-121</t>
  </si>
  <si>
    <t>Phi 1900-121</t>
  </si>
  <si>
    <t>Da thanh toan 1900-121</t>
  </si>
  <si>
    <t>Lai 1900-121</t>
  </si>
  <si>
    <t>Lai tra gop 1900-121</t>
  </si>
  <si>
    <t>Du no 1900-122</t>
  </si>
  <si>
    <t>Phi 1900-122</t>
  </si>
  <si>
    <t>Da thanh toan 1900-122</t>
  </si>
  <si>
    <t>Lai 1900-122</t>
  </si>
  <si>
    <t>Lai tra gop 1900-122</t>
  </si>
  <si>
    <t>Du no 1900-123</t>
  </si>
  <si>
    <t>Phi 1900-123</t>
  </si>
  <si>
    <t>Da thanh toan 1900-123</t>
  </si>
  <si>
    <t>Lai 1900-123</t>
  </si>
  <si>
    <t>Lai tra gop 1900-123</t>
  </si>
  <si>
    <t>Du no 1900-124</t>
  </si>
  <si>
    <t>Phi 1900-124</t>
  </si>
  <si>
    <t>Da thanh toan 1900-124</t>
  </si>
  <si>
    <t>Lai 1900-124</t>
  </si>
  <si>
    <t>Lai tra gop 1900-124</t>
  </si>
  <si>
    <t>Du no 1900-125</t>
  </si>
  <si>
    <t>Phi 1900-125</t>
  </si>
  <si>
    <t>Da thanh toan 1900-125</t>
  </si>
  <si>
    <t>Lai 1900-125</t>
  </si>
  <si>
    <t>Lai tra gop 1900-125</t>
  </si>
  <si>
    <t>Du no 1900-126</t>
  </si>
  <si>
    <t>Phi 1900-126</t>
  </si>
  <si>
    <t>Da thanh toan 1900-126</t>
  </si>
  <si>
    <t>Lai 1900-126</t>
  </si>
  <si>
    <t>Lai tra gop 1900-126</t>
  </si>
  <si>
    <t>Du no 1900-127</t>
  </si>
  <si>
    <t>Phi 1900-127</t>
  </si>
  <si>
    <t>Da thanh toan 1900-127</t>
  </si>
  <si>
    <t>Lai 1900-127</t>
  </si>
  <si>
    <t>Lai tra gop 1900-127</t>
  </si>
  <si>
    <t>Du no 1900-128</t>
  </si>
  <si>
    <t>Phi 1900-128</t>
  </si>
  <si>
    <t>Da thanh toan 1900-128</t>
  </si>
  <si>
    <t>Lai 1900-128</t>
  </si>
  <si>
    <t>Lai tra gop 1900-128</t>
  </si>
  <si>
    <t>Du no 1900-129</t>
  </si>
  <si>
    <t>Phi 1900-129</t>
  </si>
  <si>
    <t>Da thanh toan 1900-129</t>
  </si>
  <si>
    <t>Lai 1900-129</t>
  </si>
  <si>
    <t>Lai tra gop 1900-129</t>
  </si>
  <si>
    <t>Du no 1900-130</t>
  </si>
  <si>
    <t>Phi 1900-130</t>
  </si>
  <si>
    <t>Da thanh toan 1900-130</t>
  </si>
  <si>
    <t>Lai 1900-130</t>
  </si>
  <si>
    <t>Lai tra gop 1900-130</t>
  </si>
  <si>
    <t>Du no 1900-131</t>
  </si>
  <si>
    <t>Phi 1900-131</t>
  </si>
  <si>
    <t>Da thanh toan 1900-131</t>
  </si>
  <si>
    <t>Lai 1900-131</t>
  </si>
  <si>
    <t>Lai tra gop 1900-131</t>
  </si>
  <si>
    <t>Du no 1900-132</t>
  </si>
  <si>
    <t>Phi 1900-132</t>
  </si>
  <si>
    <t>Da thanh toan 1900-132</t>
  </si>
  <si>
    <t>Lai 1900-132</t>
  </si>
  <si>
    <t>Lai tra gop 1900-132</t>
  </si>
  <si>
    <t>Du no 1900-133</t>
  </si>
  <si>
    <t>Phi 1900-133</t>
  </si>
  <si>
    <t>Da thanh toan 1900-133</t>
  </si>
  <si>
    <t>Lai 1900-133</t>
  </si>
  <si>
    <t>Lai tra gop 1900-133</t>
  </si>
  <si>
    <t>Du no 1900-134</t>
  </si>
  <si>
    <t>Phi 1900-134</t>
  </si>
  <si>
    <t>Da thanh toan 1900-134</t>
  </si>
  <si>
    <t>Lai 1900-134</t>
  </si>
  <si>
    <t>Lai tra gop 1900-134</t>
  </si>
  <si>
    <t>Du no 1900-135</t>
  </si>
  <si>
    <t>Phi 1900-135</t>
  </si>
  <si>
    <t>Da thanh toan 1900-135</t>
  </si>
  <si>
    <t>Lai 1900-135</t>
  </si>
  <si>
    <t>Lai tra gop 1900-135</t>
  </si>
  <si>
    <t>Du no 1900-136</t>
  </si>
  <si>
    <t>Phi 1900-136</t>
  </si>
  <si>
    <t>Da thanh toan 1900-136</t>
  </si>
  <si>
    <t>Lai 1900-136</t>
  </si>
  <si>
    <t>Lai tra gop 1900-136</t>
  </si>
  <si>
    <t>Du no 1900-137</t>
  </si>
  <si>
    <t>Phi 1900-137</t>
  </si>
  <si>
    <t>Da thanh toan 1900-137</t>
  </si>
  <si>
    <t>Lai 1900-137</t>
  </si>
  <si>
    <t>Lai tra gop 1900-137</t>
  </si>
  <si>
    <t>Du no 1900-138</t>
  </si>
  <si>
    <t>Phi 1900-138</t>
  </si>
  <si>
    <t>Da thanh toan 1900-138</t>
  </si>
  <si>
    <t>Lai 1900-138</t>
  </si>
  <si>
    <t>Lai tra gop 1900-138</t>
  </si>
  <si>
    <t>Du no 1900-139</t>
  </si>
  <si>
    <t>Phi 1900-139</t>
  </si>
  <si>
    <t>Da thanh toan 1900-139</t>
  </si>
  <si>
    <t>Lai 1900-139</t>
  </si>
  <si>
    <t>Lai tra gop 1900-139</t>
  </si>
  <si>
    <t>FT18317CM0001963</t>
  </si>
  <si>
    <t>CONG TY TNHH UNLIMITED</t>
  </si>
  <si>
    <t>CTY TNHH TM XNK NGOC C</t>
  </si>
  <si>
    <t>PIPI SHOP</t>
  </si>
  <si>
    <t>CT NGOC CAM</t>
  </si>
  <si>
    <t>CTCP LONG HAI VN</t>
  </si>
  <si>
    <t>HKD THANH HUNG</t>
  </si>
  <si>
    <t>HKD TAN LOC</t>
  </si>
  <si>
    <t>TAN LOC</t>
  </si>
  <si>
    <t>HKD HONG LY</t>
  </si>
  <si>
    <t>Người lập bảng</t>
  </si>
  <si>
    <t>Du no 1900-140</t>
  </si>
  <si>
    <t>Phi 1900-140</t>
  </si>
  <si>
    <t>Da thanh toan 1900-140</t>
  </si>
  <si>
    <t>Lai 1900-140</t>
  </si>
  <si>
    <t>Lai tra gop 1900-140</t>
  </si>
  <si>
    <t>Du no 1900-141</t>
  </si>
  <si>
    <t>Phi 1900-141</t>
  </si>
  <si>
    <t>Da thanh toan 1900-141</t>
  </si>
  <si>
    <t>Lai 1900-141</t>
  </si>
  <si>
    <t>Lai tra gop 1900-141</t>
  </si>
  <si>
    <t>Du no 1900-142</t>
  </si>
  <si>
    <t>Phi 1900-142</t>
  </si>
  <si>
    <t>Da thanh toan 1900-142</t>
  </si>
  <si>
    <t>Lai 1900-142</t>
  </si>
  <si>
    <t>Lai tra gop 1900-142</t>
  </si>
  <si>
    <t>Du no 1900-143</t>
  </si>
  <si>
    <t>Phi 1900-143</t>
  </si>
  <si>
    <t>Da thanh toan 1900-143</t>
  </si>
  <si>
    <t>Lai 1900-143</t>
  </si>
  <si>
    <t>Lai tra gop 1900-143</t>
  </si>
  <si>
    <t>Du no 1900-144</t>
  </si>
  <si>
    <t>Phi 1900-144</t>
  </si>
  <si>
    <t>Da thanh toan 1900-144</t>
  </si>
  <si>
    <t>Lai 1900-144</t>
  </si>
  <si>
    <t>Lai tra gop 1900-144</t>
  </si>
  <si>
    <t>Du no 1900-145</t>
  </si>
  <si>
    <t>Phi 1900-145</t>
  </si>
  <si>
    <t>Da thanh toan 1900-145</t>
  </si>
  <si>
    <t>Lai 1900-145</t>
  </si>
  <si>
    <t>Lai tra gop 1900-145</t>
  </si>
  <si>
    <t>Du no 1900-146</t>
  </si>
  <si>
    <t>Phi 1900-146</t>
  </si>
  <si>
    <t>Da thanh toan 1900-146</t>
  </si>
  <si>
    <t>Lai 1900-146</t>
  </si>
  <si>
    <t>Lai tra gop 1900-146</t>
  </si>
  <si>
    <t>Du no 1900-147</t>
  </si>
  <si>
    <t>Phi 1900-147</t>
  </si>
  <si>
    <t>Da thanh toan 1900-147</t>
  </si>
  <si>
    <t>Lai 1900-147</t>
  </si>
  <si>
    <t>Lai tra gop 1900-147</t>
  </si>
  <si>
    <t>Du no 1900-148</t>
  </si>
  <si>
    <t>Phi 1900-148</t>
  </si>
  <si>
    <t>Da thanh toan 1900-148</t>
  </si>
  <si>
    <t>Lai 1900-148</t>
  </si>
  <si>
    <t>Lai tra gop 1900-148</t>
  </si>
  <si>
    <t>Du no 1900-149</t>
  </si>
  <si>
    <t>Phi 1900-149</t>
  </si>
  <si>
    <t>Da thanh toan 1900-149</t>
  </si>
  <si>
    <t>Lai 1900-149</t>
  </si>
  <si>
    <t>Lai tra gop 1900-149</t>
  </si>
  <si>
    <t>Du no 1900-150</t>
  </si>
  <si>
    <t>Phi 1900-150</t>
  </si>
  <si>
    <t>Da thanh toan 1900-150</t>
  </si>
  <si>
    <t>Lai 1900-150</t>
  </si>
  <si>
    <t>Lai tra gop 1900-150</t>
  </si>
  <si>
    <t>Du no 1900-151</t>
  </si>
  <si>
    <t>Phi 1900-151</t>
  </si>
  <si>
    <t>Da thanh toan 1900-151</t>
  </si>
  <si>
    <t>Lai 1900-151</t>
  </si>
  <si>
    <t>Lai tra gop 1900-151</t>
  </si>
  <si>
    <t>Du no 1900-152</t>
  </si>
  <si>
    <t>Phi 1900-152</t>
  </si>
  <si>
    <t>Da thanh toan 1900-152</t>
  </si>
  <si>
    <t>Lai 1900-152</t>
  </si>
  <si>
    <t>Lai tra gop 1900-152</t>
  </si>
  <si>
    <t>Du no 1900-153</t>
  </si>
  <si>
    <t>Phi 1900-153</t>
  </si>
  <si>
    <t>Da thanh toan 1900-153</t>
  </si>
  <si>
    <t>Lai 1900-153</t>
  </si>
  <si>
    <t>Lai tra gop 1900-153</t>
  </si>
  <si>
    <t>Du no 1900-154</t>
  </si>
  <si>
    <t>Phi 1900-154</t>
  </si>
  <si>
    <t>Da thanh toan 1900-154</t>
  </si>
  <si>
    <t>Lai 1900-154</t>
  </si>
  <si>
    <t>Lai tra gop 1900-154</t>
  </si>
  <si>
    <t>Du no 1900-155</t>
  </si>
  <si>
    <t>Phi 1900-155</t>
  </si>
  <si>
    <t>Da thanh toan 1900-155</t>
  </si>
  <si>
    <t>Lai 1900-155</t>
  </si>
  <si>
    <t>Lai tra gop 1900-155</t>
  </si>
  <si>
    <t>Du no 1900-156</t>
  </si>
  <si>
    <t>Phi 1900-156</t>
  </si>
  <si>
    <t>Da thanh toan 1900-156</t>
  </si>
  <si>
    <t>Lai 1900-156</t>
  </si>
  <si>
    <t>Lai tra gop 1900-156</t>
  </si>
  <si>
    <t>Du no 1900-157</t>
  </si>
  <si>
    <t>Phi 1900-157</t>
  </si>
  <si>
    <t>Da thanh toan 1900-157</t>
  </si>
  <si>
    <t>Lai 1900-157</t>
  </si>
  <si>
    <t>Lai tra gop 1900-157</t>
  </si>
  <si>
    <t>Du no 1900-158</t>
  </si>
  <si>
    <t>Phi 1900-158</t>
  </si>
  <si>
    <t>Da thanh toan 1900-158</t>
  </si>
  <si>
    <t>Lai 1900-158</t>
  </si>
  <si>
    <t>Lai tra gop 1900-158</t>
  </si>
  <si>
    <t>Du no 1900-159</t>
  </si>
  <si>
    <t>Phi 1900-159</t>
  </si>
  <si>
    <t>Da thanh toan 1900-159</t>
  </si>
  <si>
    <t>Lai 1900-159</t>
  </si>
  <si>
    <t>Lai tra gop 1900-159</t>
  </si>
  <si>
    <t>Du no 1900-160</t>
  </si>
  <si>
    <t>Phi 1900-160</t>
  </si>
  <si>
    <t>Da thanh toan 1900-160</t>
  </si>
  <si>
    <t>Lai 1900-160</t>
  </si>
  <si>
    <t>Lai tra gop 1900-160</t>
  </si>
  <si>
    <t>Du no 1900-161</t>
  </si>
  <si>
    <t>Phi 1900-161</t>
  </si>
  <si>
    <t>Da thanh toan 1900-161</t>
  </si>
  <si>
    <t>Lai 1900-161</t>
  </si>
  <si>
    <t>Lai tra gop 1900-161</t>
  </si>
  <si>
    <t>Du no 1900-162</t>
  </si>
  <si>
    <t>Phi 1900-162</t>
  </si>
  <si>
    <t>Da thanh toan 1900-162</t>
  </si>
  <si>
    <t>Lai 1900-162</t>
  </si>
  <si>
    <t>Lai tra gop 1900-162</t>
  </si>
  <si>
    <t>Du no 1900-163</t>
  </si>
  <si>
    <t>Phi 1900-163</t>
  </si>
  <si>
    <t>Da thanh toan 1900-163</t>
  </si>
  <si>
    <t>Lai 1900-163</t>
  </si>
  <si>
    <t>Lai tra gop 1900-163</t>
  </si>
  <si>
    <t>Du no 1900-164</t>
  </si>
  <si>
    <t>Phi 1900-164</t>
  </si>
  <si>
    <t>Da thanh toan 1900-164</t>
  </si>
  <si>
    <t>Lai 1900-164</t>
  </si>
  <si>
    <t>Lai tra gop 1900-164</t>
  </si>
  <si>
    <t>Du no 1900-165</t>
  </si>
  <si>
    <t>Phi 1900-165</t>
  </si>
  <si>
    <t>Da thanh toan 1900-165</t>
  </si>
  <si>
    <t>Lai 1900-165</t>
  </si>
  <si>
    <t>Lai tra gop 1900-165</t>
  </si>
  <si>
    <t>Du no 1900-166</t>
  </si>
  <si>
    <t>Phi 1900-166</t>
  </si>
  <si>
    <t>Da thanh toan 1900-166</t>
  </si>
  <si>
    <t>Lai 1900-166</t>
  </si>
  <si>
    <t>Lai tra gop 1900-166</t>
  </si>
  <si>
    <t>Du no 1900-167</t>
  </si>
  <si>
    <t>Phi 1900-167</t>
  </si>
  <si>
    <t>Da thanh toan 1900-167</t>
  </si>
  <si>
    <t>Lai 1900-167</t>
  </si>
  <si>
    <t>Lai tra gop 1900-167</t>
  </si>
  <si>
    <t>Du no 1900-168</t>
  </si>
  <si>
    <t>Phi 1900-168</t>
  </si>
  <si>
    <t>Da thanh toan 1900-168</t>
  </si>
  <si>
    <t>Lai 1900-168</t>
  </si>
  <si>
    <t>Lai tra gop 1900-168</t>
  </si>
  <si>
    <t>Du no 1900-169</t>
  </si>
  <si>
    <t>Phi 1900-169</t>
  </si>
  <si>
    <t>Da thanh toan 1900-169</t>
  </si>
  <si>
    <t>Lai 1900-169</t>
  </si>
  <si>
    <t>Lai tra gop 1900-169</t>
  </si>
  <si>
    <t>Du no 1900-170</t>
  </si>
  <si>
    <t>Phi 1900-170</t>
  </si>
  <si>
    <t>Da thanh toan 1900-170</t>
  </si>
  <si>
    <t>Lai 1900-170</t>
  </si>
  <si>
    <t>Lai tra gop 1900-170</t>
  </si>
  <si>
    <t>Du no 1900-171</t>
  </si>
  <si>
    <t>Phi 1900-171</t>
  </si>
  <si>
    <t>Da thanh toan 1900-171</t>
  </si>
  <si>
    <t>Lai 1900-171</t>
  </si>
  <si>
    <t>Lai tra gop 1900-171</t>
  </si>
  <si>
    <t>Du no 1900-172</t>
  </si>
  <si>
    <t>Phi 1900-172</t>
  </si>
  <si>
    <t>Da thanh toan 1900-172</t>
  </si>
  <si>
    <t>Lai 1900-172</t>
  </si>
  <si>
    <t>Lai tra gop 1900-172</t>
  </si>
  <si>
    <t>Du no 1900-173</t>
  </si>
  <si>
    <t>Phi 1900-173</t>
  </si>
  <si>
    <t>Da thanh toan 1900-173</t>
  </si>
  <si>
    <t>Lai 1900-173</t>
  </si>
  <si>
    <t>Lai tra gop 1900-173</t>
  </si>
  <si>
    <t>Du no 1900-174</t>
  </si>
  <si>
    <t>Phi 1900-174</t>
  </si>
  <si>
    <t>Da thanh toan 1900-174</t>
  </si>
  <si>
    <t>Lai 1900-174</t>
  </si>
  <si>
    <t>Lai tra gop 1900-174</t>
  </si>
  <si>
    <t>Du no 1900-175</t>
  </si>
  <si>
    <t>Phi 1900-175</t>
  </si>
  <si>
    <t>Da thanh toan 1900-175</t>
  </si>
  <si>
    <t>Lai 1900-175</t>
  </si>
  <si>
    <t>Lai tra gop 1900-175</t>
  </si>
  <si>
    <t>Du no 1900-176</t>
  </si>
  <si>
    <t>Phi 1900-176</t>
  </si>
  <si>
    <t>Da thanh toan 1900-176</t>
  </si>
  <si>
    <t>Lai 1900-176</t>
  </si>
  <si>
    <t>Lai tra gop 1900-176</t>
  </si>
  <si>
    <t>Du no 1900-177</t>
  </si>
  <si>
    <t>Phi 1900-177</t>
  </si>
  <si>
    <t>Da thanh toan 1900-177</t>
  </si>
  <si>
    <t>Lai 1900-177</t>
  </si>
  <si>
    <t>Lai tra gop 1900-177</t>
  </si>
  <si>
    <t>Du no 1900-178</t>
  </si>
  <si>
    <t>Phi 1900-178</t>
  </si>
  <si>
    <t>Da thanh toan 1900-178</t>
  </si>
  <si>
    <t>Lai 1900-178</t>
  </si>
  <si>
    <t>Lai tra gop 1900-178</t>
  </si>
  <si>
    <t>Du no 1900-179</t>
  </si>
  <si>
    <t>Phi 1900-179</t>
  </si>
  <si>
    <t>Da thanh toan 1900-179</t>
  </si>
  <si>
    <t>Lai 1900-179</t>
  </si>
  <si>
    <t>Lai tra gop 1900-179</t>
  </si>
  <si>
    <t>Du no 1900-180</t>
  </si>
  <si>
    <t>Phi 1900-180</t>
  </si>
  <si>
    <t>Da thanh toan 1900-180</t>
  </si>
  <si>
    <t>Lai 1900-180</t>
  </si>
  <si>
    <t>Lai tra gop 1900-180</t>
  </si>
  <si>
    <t>Du no 1900-181</t>
  </si>
  <si>
    <t>Phi 1900-181</t>
  </si>
  <si>
    <t>Da thanh toan 1900-181</t>
  </si>
  <si>
    <t>Lai 1900-181</t>
  </si>
  <si>
    <t>Lai tra gop 1900-181</t>
  </si>
  <si>
    <t>Du no 1900-182</t>
  </si>
  <si>
    <t>Phi 1900-182</t>
  </si>
  <si>
    <t>Da thanh toan 1900-182</t>
  </si>
  <si>
    <t>Lai 1900-182</t>
  </si>
  <si>
    <t>Lai tra gop 1900-182</t>
  </si>
  <si>
    <t>Du no 1900-183</t>
  </si>
  <si>
    <t>Phi 1900-183</t>
  </si>
  <si>
    <t>Da thanh toan 1900-183</t>
  </si>
  <si>
    <t>Lai 1900-183</t>
  </si>
  <si>
    <t>Lai tra gop 1900-183</t>
  </si>
  <si>
    <t>Du no 1900-184</t>
  </si>
  <si>
    <t>Phi 1900-184</t>
  </si>
  <si>
    <t>Da thanh toan 1900-184</t>
  </si>
  <si>
    <t>Lai 1900-184</t>
  </si>
  <si>
    <t>Lai tra gop 1900-184</t>
  </si>
  <si>
    <t>Du no 1900-185</t>
  </si>
  <si>
    <t>Phi 1900-185</t>
  </si>
  <si>
    <t>Da thanh toan 1900-185</t>
  </si>
  <si>
    <t>Lai 1900-185</t>
  </si>
  <si>
    <t>Lai tra gop 1900-185</t>
  </si>
  <si>
    <t>Du no 1900-186</t>
  </si>
  <si>
    <t>Phi 1900-186</t>
  </si>
  <si>
    <t>Da thanh toan 1900-186</t>
  </si>
  <si>
    <t>Lai 1900-186</t>
  </si>
  <si>
    <t>Lai tra gop 1900-186</t>
  </si>
  <si>
    <t>Du no 1900-187</t>
  </si>
  <si>
    <t>Phi 1900-187</t>
  </si>
  <si>
    <t>Da thanh toan 1900-187</t>
  </si>
  <si>
    <t>Lai 1900-187</t>
  </si>
  <si>
    <t>Lai tra gop 1900-187</t>
  </si>
  <si>
    <t>Du no 1900-188</t>
  </si>
  <si>
    <t>Phi 1900-188</t>
  </si>
  <si>
    <t>Da thanh toan 1900-188</t>
  </si>
  <si>
    <t>Lai 1900-188</t>
  </si>
  <si>
    <t>Lai tra gop 1900-188</t>
  </si>
  <si>
    <t>Du no 1900-189</t>
  </si>
  <si>
    <t>Phi 1900-189</t>
  </si>
  <si>
    <t>Da thanh toan 1900-189</t>
  </si>
  <si>
    <t>Lai 1900-189</t>
  </si>
  <si>
    <t>Lai tra gop 1900-189</t>
  </si>
  <si>
    <t>Lấy sao kê đầy đủ</t>
  </si>
  <si>
    <t>CHATBOX TỰ ĐỘNG</t>
  </si>
  <si>
    <t>Tên KH</t>
  </si>
  <si>
    <t>Ngày bắt đầu 
sao kê</t>
  </si>
  <si>
    <t>Nhập dư nợ gốc</t>
  </si>
  <si>
    <t>▶ TẠO BKTL</t>
  </si>
  <si>
    <t>⬆ Kéo thả file vào đây</t>
  </si>
  <si>
    <t>BẢNG KÊ TÍNH LÃI THẺ</t>
  </si>
  <si>
    <t>⚠ LƯU Ý: File sao kê tải về phải được đặt trong thư mục Download.
- Chọn Yes là UP EXCEL
- CHọn No là UP TXT</t>
  </si>
  <si>
    <t>Du no 1900-190</t>
  </si>
  <si>
    <t>Phi 1900-190</t>
  </si>
  <si>
    <t>Da thanh toan 1900-190</t>
  </si>
  <si>
    <t>Lai 1900-190</t>
  </si>
  <si>
    <t>Lai tra gop 1900-190</t>
  </si>
  <si>
    <t>Du no 1900-191</t>
  </si>
  <si>
    <t>Phi 1900-191</t>
  </si>
  <si>
    <t>Da thanh toan 1900-191</t>
  </si>
  <si>
    <t>Lai 1900-191</t>
  </si>
  <si>
    <t>Lai tra gop 1900-191</t>
  </si>
  <si>
    <t>Du no 1900-192</t>
  </si>
  <si>
    <t>Phi 1900-192</t>
  </si>
  <si>
    <t>Da thanh toan 1900-192</t>
  </si>
  <si>
    <t>Lai 1900-192</t>
  </si>
  <si>
    <t>Lai tra gop 1900-192</t>
  </si>
  <si>
    <t>Du no 1900-193</t>
  </si>
  <si>
    <t>Phi 1900-193</t>
  </si>
  <si>
    <t>Da thanh toan 1900-193</t>
  </si>
  <si>
    <t>Lai 1900-193</t>
  </si>
  <si>
    <t>Lai tra gop 1900-193</t>
  </si>
  <si>
    <t>Du no 1900-194</t>
  </si>
  <si>
    <t>Phi 1900-194</t>
  </si>
  <si>
    <t>Da thanh toan 1900-194</t>
  </si>
  <si>
    <t>Lai 1900-194</t>
  </si>
  <si>
    <t>Lai tra gop 1900-194</t>
  </si>
  <si>
    <t>Du no 1900-195</t>
  </si>
  <si>
    <t>Phi 1900-195</t>
  </si>
  <si>
    <t>Da thanh toan 1900-195</t>
  </si>
  <si>
    <t>Lai 1900-195</t>
  </si>
  <si>
    <t>Lai tra gop 1900-195</t>
  </si>
  <si>
    <t>Du no 1900-196</t>
  </si>
  <si>
    <t>Phi 1900-196</t>
  </si>
  <si>
    <t>Da thanh toan 1900-196</t>
  </si>
  <si>
    <t>Lai 1900-196</t>
  </si>
  <si>
    <t>Lai tra gop 1900-196</t>
  </si>
  <si>
    <t>Du no 1900-197</t>
  </si>
  <si>
    <t>Phi 1900-197</t>
  </si>
  <si>
    <t>Da thanh toan 1900-197</t>
  </si>
  <si>
    <t>Lai 1900-197</t>
  </si>
  <si>
    <t>Lai tra gop 1900-197</t>
  </si>
  <si>
    <t>Du no 1900-198</t>
  </si>
  <si>
    <t>Phi 1900-198</t>
  </si>
  <si>
    <t>Da thanh toan 1900-198</t>
  </si>
  <si>
    <t>Lai 1900-198</t>
  </si>
  <si>
    <t>Lai tra gop 1900-198</t>
  </si>
  <si>
    <t>Du no 1900-199</t>
  </si>
  <si>
    <t>Phi 1900-199</t>
  </si>
  <si>
    <t>Da thanh toan 1900-199</t>
  </si>
  <si>
    <t>Lai 1900-199</t>
  </si>
  <si>
    <t>Lai tra gop 1900-199</t>
  </si>
  <si>
    <t>Du no 1900-200</t>
  </si>
  <si>
    <t>Phi 1900-200</t>
  </si>
  <si>
    <t>Da thanh toan 1900-200</t>
  </si>
  <si>
    <t>Lai 1900-200</t>
  </si>
  <si>
    <t>Lai tra gop 1900-200</t>
  </si>
  <si>
    <t>Du no 1900-201</t>
  </si>
  <si>
    <t>Phi 1900-201</t>
  </si>
  <si>
    <t>Da thanh toan 1900-201</t>
  </si>
  <si>
    <t>Lai 1900-201</t>
  </si>
  <si>
    <t>Lai tra gop 1900-201</t>
  </si>
  <si>
    <t>Du no 1900-202</t>
  </si>
  <si>
    <t>Phi 1900-202</t>
  </si>
  <si>
    <t>Da thanh toan 1900-202</t>
  </si>
  <si>
    <t>Lai 1900-202</t>
  </si>
  <si>
    <t>Lai tra gop 1900-202</t>
  </si>
  <si>
    <t>Du no 1900-203</t>
  </si>
  <si>
    <t>Phi 1900-203</t>
  </si>
  <si>
    <t>Da thanh toan 1900-203</t>
  </si>
  <si>
    <t>Lai 1900-203</t>
  </si>
  <si>
    <t>Lai tra gop 1900-203</t>
  </si>
  <si>
    <t>Du no 1900-204</t>
  </si>
  <si>
    <t>Phi 1900-204</t>
  </si>
  <si>
    <t>Da thanh toan 1900-204</t>
  </si>
  <si>
    <t>Lai 1900-204</t>
  </si>
  <si>
    <t>Lai tra gop 1900-204</t>
  </si>
  <si>
    <t>Du no 1900-205</t>
  </si>
  <si>
    <t>Phi 1900-205</t>
  </si>
  <si>
    <t>Da thanh toan 1900-205</t>
  </si>
  <si>
    <t>Lai 1900-205</t>
  </si>
  <si>
    <t>Lai tra gop 1900-205</t>
  </si>
  <si>
    <t>Du no 1900-206</t>
  </si>
  <si>
    <t>Phi 1900-206</t>
  </si>
  <si>
    <t>Da thanh toan 1900-206</t>
  </si>
  <si>
    <t>Lai 1900-206</t>
  </si>
  <si>
    <t>Lai tra gop 1900-206</t>
  </si>
  <si>
    <t>Du no 1900-207</t>
  </si>
  <si>
    <t>Phi 1900-207</t>
  </si>
  <si>
    <t>Da thanh toan 1900-207</t>
  </si>
  <si>
    <t>Lai 1900-207</t>
  </si>
  <si>
    <t>Lai tra gop 1900-207</t>
  </si>
  <si>
    <t>Du no 1900-208</t>
  </si>
  <si>
    <t>Phi 1900-208</t>
  </si>
  <si>
    <t>Da thanh toan 1900-208</t>
  </si>
  <si>
    <t>Lai 1900-208</t>
  </si>
  <si>
    <t>Lai tra gop 1900-208</t>
  </si>
  <si>
    <t>Du no 1900-209</t>
  </si>
  <si>
    <t>Phi 1900-209</t>
  </si>
  <si>
    <t>Da thanh toan 1900-209</t>
  </si>
  <si>
    <t>Lai 1900-209</t>
  </si>
  <si>
    <t>Lai tra gop 1900-209</t>
  </si>
  <si>
    <t>Du no 1900-210</t>
  </si>
  <si>
    <t>Phi 1900-210</t>
  </si>
  <si>
    <t>Da thanh toan 1900-210</t>
  </si>
  <si>
    <t>Lai 1900-210</t>
  </si>
  <si>
    <t>Lai tra gop 1900-210</t>
  </si>
  <si>
    <t>Du no 1900-211</t>
  </si>
  <si>
    <t>Phi 1900-211</t>
  </si>
  <si>
    <t>Da thanh toan 1900-211</t>
  </si>
  <si>
    <t>Lai 1900-211</t>
  </si>
  <si>
    <t>Lai tra gop 1900-211</t>
  </si>
  <si>
    <t>Du no 1900-212</t>
  </si>
  <si>
    <t>Phi 1900-212</t>
  </si>
  <si>
    <t>Da thanh toan 1900-212</t>
  </si>
  <si>
    <t>Lai 1900-212</t>
  </si>
  <si>
    <t>Lai tra gop 1900-212</t>
  </si>
  <si>
    <t>Du no 1900-213</t>
  </si>
  <si>
    <t>Phi 1900-213</t>
  </si>
  <si>
    <t>Da thanh toan 1900-213</t>
  </si>
  <si>
    <t>Lai 1900-213</t>
  </si>
  <si>
    <t>Lai tra gop 1900-213</t>
  </si>
  <si>
    <t>Du no 1900-214</t>
  </si>
  <si>
    <t>Phi 1900-214</t>
  </si>
  <si>
    <t>Da thanh toan 1900-214</t>
  </si>
  <si>
    <t>Lai 1900-214</t>
  </si>
  <si>
    <t>Lai tra gop 1900-214</t>
  </si>
  <si>
    <t>Du no 1900-215</t>
  </si>
  <si>
    <t>Phi 1900-215</t>
  </si>
  <si>
    <t>Da thanh toan 1900-215</t>
  </si>
  <si>
    <t>Lai 1900-215</t>
  </si>
  <si>
    <t>Lai tra gop 1900-215</t>
  </si>
  <si>
    <t>Du no 1900-216</t>
  </si>
  <si>
    <t>Phi 1900-216</t>
  </si>
  <si>
    <t>Da thanh toan 1900-216</t>
  </si>
  <si>
    <t>Lai 1900-216</t>
  </si>
  <si>
    <t>Lai tra gop 1900-216</t>
  </si>
  <si>
    <t>Du no 1900-217</t>
  </si>
  <si>
    <t>Phi 1900-217</t>
  </si>
  <si>
    <t>Da thanh toan 1900-217</t>
  </si>
  <si>
    <t>Lai 1900-217</t>
  </si>
  <si>
    <t>Lai tra gop 1900-217</t>
  </si>
  <si>
    <t>Du no 1900-218</t>
  </si>
  <si>
    <t>Phi 1900-218</t>
  </si>
  <si>
    <t>Da thanh toan 1900-218</t>
  </si>
  <si>
    <t>Lai 1900-218</t>
  </si>
  <si>
    <t>Lai tra gop 1900-218</t>
  </si>
  <si>
    <t>Du no 1900-219</t>
  </si>
  <si>
    <t>Phi 1900-219</t>
  </si>
  <si>
    <t>Da thanh toan 1900-219</t>
  </si>
  <si>
    <t>Lai 1900-219</t>
  </si>
  <si>
    <t>Lai tra gop 1900-219</t>
  </si>
  <si>
    <t>Du no 1900-220</t>
  </si>
  <si>
    <t>Phi 1900-220</t>
  </si>
  <si>
    <t>Da thanh toan 1900-220</t>
  </si>
  <si>
    <t>Lai 1900-220</t>
  </si>
  <si>
    <t>Lai tra gop 1900-220</t>
  </si>
  <si>
    <t>Du no 1900-221</t>
  </si>
  <si>
    <t>Phi 1900-221</t>
  </si>
  <si>
    <t>Da thanh toan 1900-221</t>
  </si>
  <si>
    <t>Lai 1900-221</t>
  </si>
  <si>
    <t>Lai tra gop 1900-221</t>
  </si>
  <si>
    <t>Du no 1900-222</t>
  </si>
  <si>
    <t>Phi 1900-222</t>
  </si>
  <si>
    <t>Da thanh toan 1900-222</t>
  </si>
  <si>
    <t>Lai 1900-222</t>
  </si>
  <si>
    <t>Lai tra gop 1900-222</t>
  </si>
  <si>
    <t>Du no 1900-223</t>
  </si>
  <si>
    <t>Phi 1900-223</t>
  </si>
  <si>
    <t>Da thanh toan 1900-223</t>
  </si>
  <si>
    <t>Lai 1900-223</t>
  </si>
  <si>
    <t>Lai tra gop 1900-223</t>
  </si>
  <si>
    <t>Du no 1900-224</t>
  </si>
  <si>
    <t>Phi 1900-224</t>
  </si>
  <si>
    <t>Da thanh toan 1900-224</t>
  </si>
  <si>
    <t>Lai 1900-224</t>
  </si>
  <si>
    <t>Lai tra gop 1900-224</t>
  </si>
  <si>
    <t>Du no 1900-225</t>
  </si>
  <si>
    <t>Phi 1900-225</t>
  </si>
  <si>
    <t>Da thanh toan 1900-225</t>
  </si>
  <si>
    <t>Lai 1900-225</t>
  </si>
  <si>
    <t>Lai tra gop 1900-225</t>
  </si>
  <si>
    <t>Du no 1900-226</t>
  </si>
  <si>
    <t>Phi 1900-226</t>
  </si>
  <si>
    <t>Da thanh toan 1900-226</t>
  </si>
  <si>
    <t>Lai 1900-226</t>
  </si>
  <si>
    <t>Lai tra gop 1900-226</t>
  </si>
  <si>
    <t>Du no 1900-227</t>
  </si>
  <si>
    <t>Phi 1900-227</t>
  </si>
  <si>
    <t>Da thanh toan 1900-227</t>
  </si>
  <si>
    <t>Lai 1900-227</t>
  </si>
  <si>
    <t>Lai tra gop 1900-227</t>
  </si>
  <si>
    <t>Du no 1900-228</t>
  </si>
  <si>
    <t>Phi 1900-228</t>
  </si>
  <si>
    <t>Da thanh toan 1900-228</t>
  </si>
  <si>
    <t>Lai 1900-228</t>
  </si>
  <si>
    <t>Lai tra gop 1900-228</t>
  </si>
  <si>
    <t>Du no 1900-229</t>
  </si>
  <si>
    <t>Phi 1900-229</t>
  </si>
  <si>
    <t>Da thanh toan 1900-229</t>
  </si>
  <si>
    <t>Lai 1900-229</t>
  </si>
  <si>
    <t>Lai tra gop 1900-229</t>
  </si>
  <si>
    <t>Du no 1900-230</t>
  </si>
  <si>
    <t>Phi 1900-230</t>
  </si>
  <si>
    <t>Da thanh toan 1900-230</t>
  </si>
  <si>
    <t>Lai 1900-230</t>
  </si>
  <si>
    <t>Lai tra gop 1900-230</t>
  </si>
  <si>
    <t>Du no 1900-231</t>
  </si>
  <si>
    <t>Phi 1900-231</t>
  </si>
  <si>
    <t>Da thanh toan 1900-231</t>
  </si>
  <si>
    <t>Lai 1900-231</t>
  </si>
  <si>
    <t>Lai tra gop 1900-231</t>
  </si>
  <si>
    <t>Du no 1900-232</t>
  </si>
  <si>
    <t>Phi 1900-232</t>
  </si>
  <si>
    <t>Da thanh toan 1900-232</t>
  </si>
  <si>
    <t>Lai 1900-232</t>
  </si>
  <si>
    <t>Lai tra gop 1900-232</t>
  </si>
  <si>
    <t>Du no 1900-233</t>
  </si>
  <si>
    <t>Phi 1900-233</t>
  </si>
  <si>
    <t>Da thanh toan 1900-233</t>
  </si>
  <si>
    <t>Lai 1900-233</t>
  </si>
  <si>
    <t>Lai tra gop 1900-233</t>
  </si>
  <si>
    <t>Du no 1900-234</t>
  </si>
  <si>
    <t>Phi 1900-234</t>
  </si>
  <si>
    <t>Da thanh toan 1900-234</t>
  </si>
  <si>
    <t>Lai 1900-234</t>
  </si>
  <si>
    <t>Lai tra gop 1900-234</t>
  </si>
  <si>
    <t>Du no 1900-235</t>
  </si>
  <si>
    <t>Phi 1900-235</t>
  </si>
  <si>
    <t>Da thanh toan 1900-235</t>
  </si>
  <si>
    <t>Lai 1900-235</t>
  </si>
  <si>
    <t>Lai tra gop 1900-235</t>
  </si>
  <si>
    <t>Du no 1900-236</t>
  </si>
  <si>
    <t>Phi 1900-236</t>
  </si>
  <si>
    <t>Da thanh toan 1900-236</t>
  </si>
  <si>
    <t>Lai 1900-236</t>
  </si>
  <si>
    <t>Lai tra gop 1900-236</t>
  </si>
  <si>
    <t>Du no 1900-237</t>
  </si>
  <si>
    <t>Phi 1900-237</t>
  </si>
  <si>
    <t>Da thanh toan 1900-237</t>
  </si>
  <si>
    <t>Lai 1900-237</t>
  </si>
  <si>
    <t>Lai tra gop 1900-237</t>
  </si>
  <si>
    <t>Du no 1900-238</t>
  </si>
  <si>
    <t>Phi 1900-238</t>
  </si>
  <si>
    <t>Da thanh toan 1900-238</t>
  </si>
  <si>
    <t>Lai 1900-238</t>
  </si>
  <si>
    <t>Lai tra gop 1900-238</t>
  </si>
  <si>
    <t>Du no 1900-239</t>
  </si>
  <si>
    <t>Phi 1900-239</t>
  </si>
  <si>
    <t>Da thanh toan 1900-239</t>
  </si>
  <si>
    <t>Lai 1900-239</t>
  </si>
  <si>
    <t>Lai tra gop 1900-239</t>
  </si>
  <si>
    <t>Du no 1900-240</t>
  </si>
  <si>
    <t>Phi 1900-240</t>
  </si>
  <si>
    <t>Da thanh toan 1900-240</t>
  </si>
  <si>
    <t>Lai 1900-240</t>
  </si>
  <si>
    <t>Lai tra gop 1900-240</t>
  </si>
  <si>
    <t>Du no 1900-241</t>
  </si>
  <si>
    <t>Phi 1900-241</t>
  </si>
  <si>
    <t>Da thanh toan 1900-241</t>
  </si>
  <si>
    <t>Lai 1900-241</t>
  </si>
  <si>
    <t>Lai tra gop 1900-241</t>
  </si>
  <si>
    <t>Du no 1900-242</t>
  </si>
  <si>
    <t>Phi 1900-242</t>
  </si>
  <si>
    <t>Da thanh toan 1900-242</t>
  </si>
  <si>
    <t>Lai 1900-242</t>
  </si>
  <si>
    <t>Lai tra gop 1900-242</t>
  </si>
  <si>
    <t>Du no 1900-243</t>
  </si>
  <si>
    <t>Phi 1900-243</t>
  </si>
  <si>
    <t>Da thanh toan 1900-243</t>
  </si>
  <si>
    <t>Lai 1900-243</t>
  </si>
  <si>
    <t>Lai tra gop 1900-243</t>
  </si>
  <si>
    <t>Du no 1900-244</t>
  </si>
  <si>
    <t>Phi 1900-244</t>
  </si>
  <si>
    <t>Da thanh toan 1900-244</t>
  </si>
  <si>
    <t>Lai 1900-244</t>
  </si>
  <si>
    <t>Lai tra gop 1900-244</t>
  </si>
  <si>
    <t>Du no 1900-245</t>
  </si>
  <si>
    <t>Phi 1900-245</t>
  </si>
  <si>
    <t>Da thanh toan 1900-245</t>
  </si>
  <si>
    <t>Lai 1900-245</t>
  </si>
  <si>
    <t>Lai tra gop 1900-245</t>
  </si>
  <si>
    <t>Du no 1900-246</t>
  </si>
  <si>
    <t>Phi 1900-246</t>
  </si>
  <si>
    <t>Da thanh toan 1900-246</t>
  </si>
  <si>
    <t>Lai 1900-246</t>
  </si>
  <si>
    <t>Lai tra gop 1900-246</t>
  </si>
  <si>
    <t>Du no 1900-247</t>
  </si>
  <si>
    <t>Phi 1900-247</t>
  </si>
  <si>
    <t>Da thanh toan 1900-247</t>
  </si>
  <si>
    <t>Lai 1900-247</t>
  </si>
  <si>
    <t>Lai tra gop 1900-247</t>
  </si>
  <si>
    <t>Du no 1900-248</t>
  </si>
  <si>
    <t>Phi 1900-248</t>
  </si>
  <si>
    <t>Da thanh toan 1900-248</t>
  </si>
  <si>
    <t>Lai 1900-248</t>
  </si>
  <si>
    <t>Lai tra gop 1900-248</t>
  </si>
  <si>
    <t>Du no 1900-249</t>
  </si>
  <si>
    <t>Phi 1900-249</t>
  </si>
  <si>
    <t>Da thanh toan 1900-249</t>
  </si>
  <si>
    <t>Lai 1900-249</t>
  </si>
  <si>
    <t>Lai tra gop 1900-249</t>
  </si>
  <si>
    <t>Du no 1900-250</t>
  </si>
  <si>
    <t>Phi 1900-250</t>
  </si>
  <si>
    <t>Da thanh toan 1900-250</t>
  </si>
  <si>
    <t>Lai 1900-250</t>
  </si>
  <si>
    <t>Lai tra gop 1900-250</t>
  </si>
  <si>
    <t>Du no 1900-251</t>
  </si>
  <si>
    <t>Phi 1900-251</t>
  </si>
  <si>
    <t>Da thanh toan 1900-251</t>
  </si>
  <si>
    <t>Lai 1900-251</t>
  </si>
  <si>
    <t>Lai tra gop 1900-251</t>
  </si>
  <si>
    <t>Du no 1900-252</t>
  </si>
  <si>
    <t>Phi 1900-252</t>
  </si>
  <si>
    <t>Da thanh toan 1900-252</t>
  </si>
  <si>
    <t>Lai 1900-252</t>
  </si>
  <si>
    <t>Lai tra gop 1900-252</t>
  </si>
  <si>
    <t>Du no 1900-253</t>
  </si>
  <si>
    <t>Phi 1900-253</t>
  </si>
  <si>
    <t>Da thanh toan 1900-253</t>
  </si>
  <si>
    <t>Lai 1900-253</t>
  </si>
  <si>
    <t>Lai tra gop 1900-253</t>
  </si>
  <si>
    <t>Du no 1900-254</t>
  </si>
  <si>
    <t>Phi 1900-254</t>
  </si>
  <si>
    <t>Da thanh toan 1900-254</t>
  </si>
  <si>
    <t>Lai 1900-254</t>
  </si>
  <si>
    <t>Lai tra gop 1900-254</t>
  </si>
  <si>
    <t>Du no 1900-255</t>
  </si>
  <si>
    <t>Phi 1900-255</t>
  </si>
  <si>
    <t>Da thanh toan 1900-255</t>
  </si>
  <si>
    <t>Lai 1900-255</t>
  </si>
  <si>
    <t>Lai tra gop 1900-255</t>
  </si>
  <si>
    <t>Du no 1900-256</t>
  </si>
  <si>
    <t>Phi 1900-256</t>
  </si>
  <si>
    <t>Da thanh toan 1900-256</t>
  </si>
  <si>
    <t>Lai 1900-256</t>
  </si>
  <si>
    <t>Lai tra gop 1900-256</t>
  </si>
  <si>
    <t>Du no 1900-257</t>
  </si>
  <si>
    <t>Phi 1900-257</t>
  </si>
  <si>
    <t>Da thanh toan 1900-257</t>
  </si>
  <si>
    <t>Lai 1900-257</t>
  </si>
  <si>
    <t>Lai tra gop 1900-257</t>
  </si>
  <si>
    <t>Du no 1900-258</t>
  </si>
  <si>
    <t>Phi 1900-258</t>
  </si>
  <si>
    <t>Da thanh toan 1900-258</t>
  </si>
  <si>
    <t>Lai 1900-258</t>
  </si>
  <si>
    <t>Lai tra gop 1900-258</t>
  </si>
  <si>
    <t>Du no 1900-259</t>
  </si>
  <si>
    <t>Phi 1900-259</t>
  </si>
  <si>
    <t>Da thanh toan 1900-259</t>
  </si>
  <si>
    <t>Lai 1900-259</t>
  </si>
  <si>
    <t>Lai tra gop 1900-259</t>
  </si>
  <si>
    <t>Du no 1900-260</t>
  </si>
  <si>
    <t>Phi 1900-260</t>
  </si>
  <si>
    <t>Da thanh toan 1900-260</t>
  </si>
  <si>
    <t>Lai 1900-260</t>
  </si>
  <si>
    <t>Lai tra gop 1900-260</t>
  </si>
  <si>
    <t>Du no 1900-261</t>
  </si>
  <si>
    <t>Phi 1900-261</t>
  </si>
  <si>
    <t>Da thanh toan 1900-261</t>
  </si>
  <si>
    <t>Lai 1900-261</t>
  </si>
  <si>
    <t>Lai tra gop 1900-261</t>
  </si>
  <si>
    <t>Du no 1900-262</t>
  </si>
  <si>
    <t>Phi 1900-262</t>
  </si>
  <si>
    <t>Da thanh toan 1900-262</t>
  </si>
  <si>
    <t>Lai 1900-262</t>
  </si>
  <si>
    <t>Lai tra gop 1900-262</t>
  </si>
  <si>
    <t>Du no 1900-263</t>
  </si>
  <si>
    <t>Phi 1900-263</t>
  </si>
  <si>
    <t>Da thanh toan 1900-263</t>
  </si>
  <si>
    <t>Lai 1900-263</t>
  </si>
  <si>
    <t>Lai tra gop 1900-263</t>
  </si>
  <si>
    <t>Du no 1900-264</t>
  </si>
  <si>
    <t>Phi 1900-264</t>
  </si>
  <si>
    <t>Da thanh toan 1900-264</t>
  </si>
  <si>
    <t>Lai 1900-264</t>
  </si>
  <si>
    <t>Lai tra gop 1900-264</t>
  </si>
  <si>
    <t>Du no 1900-265</t>
  </si>
  <si>
    <t>Phi 1900-265</t>
  </si>
  <si>
    <t>Da thanh toan 1900-265</t>
  </si>
  <si>
    <t>Lai 1900-265</t>
  </si>
  <si>
    <t>Lai tra gop 1900-265</t>
  </si>
  <si>
    <t>Du no 1900-266</t>
  </si>
  <si>
    <t>Phi 1900-266</t>
  </si>
  <si>
    <t>Da thanh toan 1900-266</t>
  </si>
  <si>
    <t>Lai 1900-266</t>
  </si>
  <si>
    <t>Lai tra gop 1900-266</t>
  </si>
  <si>
    <t>Du no 1900-267</t>
  </si>
  <si>
    <t>Phi 1900-267</t>
  </si>
  <si>
    <t>Da thanh toan 1900-267</t>
  </si>
  <si>
    <t>Lai 1900-267</t>
  </si>
  <si>
    <t>Lai tra gop 1900-267</t>
  </si>
  <si>
    <t>Du no 1900-268</t>
  </si>
  <si>
    <t>Phi 1900-268</t>
  </si>
  <si>
    <t>Da thanh toan 1900-268</t>
  </si>
  <si>
    <t>Lai 1900-268</t>
  </si>
  <si>
    <t>Lai tra gop 1900-268</t>
  </si>
  <si>
    <t>Du no 1900-269</t>
  </si>
  <si>
    <t>Phi 1900-269</t>
  </si>
  <si>
    <t>Da thanh toan 1900-269</t>
  </si>
  <si>
    <t>Lai 1900-269</t>
  </si>
  <si>
    <t>Lai tra gop 1900-269</t>
  </si>
  <si>
    <t>Du no 1900-270</t>
  </si>
  <si>
    <t>Phi 1900-270</t>
  </si>
  <si>
    <t>Da thanh toan 1900-270</t>
  </si>
  <si>
    <t>Lai 1900-270</t>
  </si>
  <si>
    <t>Lai tra gop 1900-270</t>
  </si>
  <si>
    <t>Du no 1900-271</t>
  </si>
  <si>
    <t>Phi 1900-271</t>
  </si>
  <si>
    <t>Da thanh toan 1900-271</t>
  </si>
  <si>
    <t>Lai 1900-271</t>
  </si>
  <si>
    <t>Lai tra gop 1900-271</t>
  </si>
  <si>
    <t>Du no 1900-272</t>
  </si>
  <si>
    <t>Phi 1900-272</t>
  </si>
  <si>
    <t>Da thanh toan 1900-272</t>
  </si>
  <si>
    <t>Lai 1900-272</t>
  </si>
  <si>
    <t>Lai tra gop 1900-272</t>
  </si>
  <si>
    <t>Du no 1900-273</t>
  </si>
  <si>
    <t>Phi 1900-273</t>
  </si>
  <si>
    <t>Da thanh toan 1900-273</t>
  </si>
  <si>
    <t>Lai 1900-273</t>
  </si>
  <si>
    <t>Lai tra gop 1900-273</t>
  </si>
  <si>
    <t>Du no 1900-274</t>
  </si>
  <si>
    <t>Phi 1900-274</t>
  </si>
  <si>
    <t>Da thanh toan 1900-274</t>
  </si>
  <si>
    <t>Lai 1900-274</t>
  </si>
  <si>
    <t>Lai tra gop 1900-274</t>
  </si>
  <si>
    <t>Du no 1900-275</t>
  </si>
  <si>
    <t>Phi 1900-275</t>
  </si>
  <si>
    <t>Da thanh toan 1900-275</t>
  </si>
  <si>
    <t>Lai 1900-275</t>
  </si>
  <si>
    <t>Lai tra gop 1900-275</t>
  </si>
  <si>
    <t>Du no 1900-276</t>
  </si>
  <si>
    <t>Phi 1900-276</t>
  </si>
  <si>
    <t>Da thanh toan 1900-276</t>
  </si>
  <si>
    <t>Lai 1900-276</t>
  </si>
  <si>
    <t>Lai tra gop 1900-276</t>
  </si>
  <si>
    <t>Du no 1900-277</t>
  </si>
  <si>
    <t>Phi 1900-277</t>
  </si>
  <si>
    <t>Da thanh toan 1900-277</t>
  </si>
  <si>
    <t>Lai 1900-277</t>
  </si>
  <si>
    <t>Lai tra gop 1900-277</t>
  </si>
  <si>
    <t>Du no 1900-278</t>
  </si>
  <si>
    <t>Phi 1900-278</t>
  </si>
  <si>
    <t>Da thanh toan 1900-278</t>
  </si>
  <si>
    <t>Lai 1900-278</t>
  </si>
  <si>
    <t>Lai tra gop 1900-278</t>
  </si>
  <si>
    <t>Du no 1900-279</t>
  </si>
  <si>
    <t>Phi 1900-279</t>
  </si>
  <si>
    <t>Da thanh toan 1900-279</t>
  </si>
  <si>
    <t>Lai 1900-279</t>
  </si>
  <si>
    <t>Lai tra gop 1900-279</t>
  </si>
  <si>
    <t>Du no 1900-280</t>
  </si>
  <si>
    <t>Phi 1900-280</t>
  </si>
  <si>
    <t>Da thanh toan 1900-280</t>
  </si>
  <si>
    <t>Lai 1900-280</t>
  </si>
  <si>
    <t>Lai tra gop 1900-280</t>
  </si>
  <si>
    <t>Du no 1900-281</t>
  </si>
  <si>
    <t>Phi 1900-281</t>
  </si>
  <si>
    <t>Da thanh toan 1900-281</t>
  </si>
  <si>
    <t>Lai 1900-281</t>
  </si>
  <si>
    <t>Lai tra gop 1900-281</t>
  </si>
  <si>
    <t>Du no 1900-282</t>
  </si>
  <si>
    <t>Phi 1900-282</t>
  </si>
  <si>
    <t>Da thanh toan 1900-282</t>
  </si>
  <si>
    <t>Lai 1900-282</t>
  </si>
  <si>
    <t>Lai tra gop 1900-282</t>
  </si>
  <si>
    <t>Du no 1900-283</t>
  </si>
  <si>
    <t>Phi 1900-283</t>
  </si>
  <si>
    <t>Da thanh toan 1900-283</t>
  </si>
  <si>
    <t>Lai 1900-283</t>
  </si>
  <si>
    <t>Lai tra gop 1900-283</t>
  </si>
  <si>
    <t>Du no 1900-284</t>
  </si>
  <si>
    <t>Phi 1900-284</t>
  </si>
  <si>
    <t>Da thanh toan 1900-284</t>
  </si>
  <si>
    <t>Lai 1900-284</t>
  </si>
  <si>
    <t>Lai tra gop 1900-284</t>
  </si>
  <si>
    <t>Du no 1900-285</t>
  </si>
  <si>
    <t>Phi 1900-285</t>
  </si>
  <si>
    <t>Da thanh toan 1900-285</t>
  </si>
  <si>
    <t>Lai 1900-285</t>
  </si>
  <si>
    <t>Lai tra gop 1900-285</t>
  </si>
  <si>
    <t>Du no 1900-286</t>
  </si>
  <si>
    <t>Phi 1900-286</t>
  </si>
  <si>
    <t>Da thanh toan 1900-286</t>
  </si>
  <si>
    <t>Lai 1900-286</t>
  </si>
  <si>
    <t>Lai tra gop 1900-286</t>
  </si>
  <si>
    <t>Du no 1900-287</t>
  </si>
  <si>
    <t>Phi 1900-287</t>
  </si>
  <si>
    <t>Da thanh toan 1900-287</t>
  </si>
  <si>
    <t>Lai 1900-287</t>
  </si>
  <si>
    <t>Lai tra gop 1900-287</t>
  </si>
  <si>
    <t>Du no 1900-288</t>
  </si>
  <si>
    <t>Phi 1900-288</t>
  </si>
  <si>
    <t>Da thanh toan 1900-288</t>
  </si>
  <si>
    <t>Lai 1900-288</t>
  </si>
  <si>
    <t>Lai tra gop 1900-288</t>
  </si>
  <si>
    <t>Du no 1900-289</t>
  </si>
  <si>
    <t>Phi 1900-289</t>
  </si>
  <si>
    <t>Da thanh toan 1900-289</t>
  </si>
  <si>
    <t>Lai 1900-289</t>
  </si>
  <si>
    <t>Lai tra gop 1900-289</t>
  </si>
  <si>
    <t>Du no 1900-290</t>
  </si>
  <si>
    <t>Phi 1900-290</t>
  </si>
  <si>
    <t>Da thanh toan 1900-290</t>
  </si>
  <si>
    <t>Lai 1900-290</t>
  </si>
  <si>
    <t>Lai tra gop 1900-290</t>
  </si>
  <si>
    <t>Du no 1900-291</t>
  </si>
  <si>
    <t>Phi 1900-291</t>
  </si>
  <si>
    <t>Da thanh toan 1900-291</t>
  </si>
  <si>
    <t>Lai 1900-291</t>
  </si>
  <si>
    <t>Lai tra gop 1900-291</t>
  </si>
  <si>
    <t>Du no 1900-292</t>
  </si>
  <si>
    <t>Phi 1900-292</t>
  </si>
  <si>
    <t>Da thanh toan 1900-292</t>
  </si>
  <si>
    <t>Lai 1900-292</t>
  </si>
  <si>
    <t>Lai tra gop 1900-292</t>
  </si>
  <si>
    <t>Du no 1900-293</t>
  </si>
  <si>
    <t>Phi 1900-293</t>
  </si>
  <si>
    <t>Da thanh toan 1900-293</t>
  </si>
  <si>
    <t>Lai 1900-293</t>
  </si>
  <si>
    <t>Lai tra gop 1900-293</t>
  </si>
  <si>
    <t>Du no 1900-294</t>
  </si>
  <si>
    <t>Phi 1900-294</t>
  </si>
  <si>
    <t>Da thanh toan 1900-294</t>
  </si>
  <si>
    <t>Lai 1900-294</t>
  </si>
  <si>
    <t>Lai tra gop 1900-294</t>
  </si>
  <si>
    <t>Du no 1900-295</t>
  </si>
  <si>
    <t>Phi 1900-295</t>
  </si>
  <si>
    <t>Da thanh toan 1900-295</t>
  </si>
  <si>
    <t>Lai 1900-295</t>
  </si>
  <si>
    <t>Lai tra gop 1900-295</t>
  </si>
  <si>
    <t>Du no 1900-296</t>
  </si>
  <si>
    <t>Phi 1900-296</t>
  </si>
  <si>
    <t>Da thanh toan 1900-296</t>
  </si>
  <si>
    <t>Lai 1900-296</t>
  </si>
  <si>
    <t>Lai tra gop 1900-296</t>
  </si>
  <si>
    <t>Du no 1900-297</t>
  </si>
  <si>
    <t>Phi 1900-297</t>
  </si>
  <si>
    <t>Da thanh toan 1900-297</t>
  </si>
  <si>
    <t>Lai 1900-297</t>
  </si>
  <si>
    <t>Lai tra gop 1900-297</t>
  </si>
  <si>
    <t>Du no 1900-298</t>
  </si>
  <si>
    <t>Phi 1900-298</t>
  </si>
  <si>
    <t>Da thanh toan 1900-298</t>
  </si>
  <si>
    <t>Lai 1900-298</t>
  </si>
  <si>
    <t>Lai tra gop 1900-298</t>
  </si>
  <si>
    <t>Du no 1900-299</t>
  </si>
  <si>
    <t>Phi 1900-299</t>
  </si>
  <si>
    <t>Da thanh toan 1900-299</t>
  </si>
  <si>
    <t>Lai 1900-299</t>
  </si>
  <si>
    <t>Lai tra gop 1900-299</t>
  </si>
  <si>
    <t>Du no 1900-300</t>
  </si>
  <si>
    <t>Phi 1900-300</t>
  </si>
  <si>
    <t>Da thanh toan 1900-300</t>
  </si>
  <si>
    <t>Lai 1900-300</t>
  </si>
  <si>
    <t>Lai tra gop 1900-300</t>
  </si>
  <si>
    <t>Du no 1900-301</t>
  </si>
  <si>
    <t>Phi 1900-301</t>
  </si>
  <si>
    <t>Da thanh toan 1900-301</t>
  </si>
  <si>
    <t>Lai 1900-301</t>
  </si>
  <si>
    <t>Lai tra gop 1900-301</t>
  </si>
  <si>
    <t>Du no 1900-302</t>
  </si>
  <si>
    <t>Phi 1900-302</t>
  </si>
  <si>
    <t>Da thanh toan 1900-302</t>
  </si>
  <si>
    <t>Lai 1900-302</t>
  </si>
  <si>
    <t>Lai tra gop 1900-302</t>
  </si>
  <si>
    <t>Du no 1900-303</t>
  </si>
  <si>
    <t>Phi 1900-303</t>
  </si>
  <si>
    <t>Da thanh toan 1900-303</t>
  </si>
  <si>
    <t>Lai 1900-303</t>
  </si>
  <si>
    <t>Lai tra gop 1900-303</t>
  </si>
  <si>
    <t>Du no 1900-304</t>
  </si>
  <si>
    <t>Phi 1900-304</t>
  </si>
  <si>
    <t>Da thanh toan 1900-304</t>
  </si>
  <si>
    <t>Lai 1900-304</t>
  </si>
  <si>
    <t>Lai tra gop 1900-304</t>
  </si>
  <si>
    <t>Du no 1900-305</t>
  </si>
  <si>
    <t>Phi 1900-305</t>
  </si>
  <si>
    <t>Da thanh toan 1900-305</t>
  </si>
  <si>
    <t>Lai 1900-305</t>
  </si>
  <si>
    <t>Lai tra gop 1900-305</t>
  </si>
  <si>
    <t>Du no 1900-306</t>
  </si>
  <si>
    <t>Phi 1900-306</t>
  </si>
  <si>
    <t>Da thanh toan 1900-306</t>
  </si>
  <si>
    <t>Lai 1900-306</t>
  </si>
  <si>
    <t>Lai tra gop 1900-306</t>
  </si>
  <si>
    <t>Du no 1900-307</t>
  </si>
  <si>
    <t>Phi 1900-307</t>
  </si>
  <si>
    <t>Da thanh toan 1900-307</t>
  </si>
  <si>
    <t>Lai 1900-307</t>
  </si>
  <si>
    <t>Lai tra gop 1900-307</t>
  </si>
  <si>
    <t>Du no 1900-308</t>
  </si>
  <si>
    <t>Phi 1900-308</t>
  </si>
  <si>
    <t>Da thanh toan 1900-308</t>
  </si>
  <si>
    <t>Lai 1900-308</t>
  </si>
  <si>
    <t>Lai tra gop 1900-308</t>
  </si>
  <si>
    <t>Du no 1900-309</t>
  </si>
  <si>
    <t>Phi 1900-309</t>
  </si>
  <si>
    <t>Da thanh toan 1900-309</t>
  </si>
  <si>
    <t>Lai 1900-309</t>
  </si>
  <si>
    <t>Lai tra gop 1900-309</t>
  </si>
  <si>
    <t>Du no 1900-310</t>
  </si>
  <si>
    <t>Phi 1900-310</t>
  </si>
  <si>
    <t>Da thanh toan 1900-310</t>
  </si>
  <si>
    <t>Lai 1900-310</t>
  </si>
  <si>
    <t>Lai tra gop 1900-310</t>
  </si>
  <si>
    <t>Du no 1900-311</t>
  </si>
  <si>
    <t>Phi 1900-311</t>
  </si>
  <si>
    <t>Da thanh toan 1900-311</t>
  </si>
  <si>
    <t>Lai 1900-311</t>
  </si>
  <si>
    <t>Lai tra gop 1900-311</t>
  </si>
  <si>
    <t>Du no 1900-312</t>
  </si>
  <si>
    <t>Phi 1900-312</t>
  </si>
  <si>
    <t>Da thanh toan 1900-312</t>
  </si>
  <si>
    <t>Lai 1900-312</t>
  </si>
  <si>
    <t>Lai tra gop 1900-312</t>
  </si>
  <si>
    <t>Du no 1900-313</t>
  </si>
  <si>
    <t>Phi 1900-313</t>
  </si>
  <si>
    <t>Da thanh toan 1900-313</t>
  </si>
  <si>
    <t>Lai 1900-313</t>
  </si>
  <si>
    <t>Lai tra gop 1900-313</t>
  </si>
  <si>
    <t>Du no 1900-314</t>
  </si>
  <si>
    <t>Phi 1900-314</t>
  </si>
  <si>
    <t>Da thanh toan 1900-314</t>
  </si>
  <si>
    <t>Lai 1900-314</t>
  </si>
  <si>
    <t>Lai tra gop 1900-314</t>
  </si>
  <si>
    <t>Du no 1900-315</t>
  </si>
  <si>
    <t>Phi 1900-315</t>
  </si>
  <si>
    <t>Da thanh toan 1900-315</t>
  </si>
  <si>
    <t>Lai 1900-315</t>
  </si>
  <si>
    <t>Lai tra gop 1900-315</t>
  </si>
  <si>
    <t>Du no 1900-316</t>
  </si>
  <si>
    <t>Phi 1900-316</t>
  </si>
  <si>
    <t>Da thanh toan 1900-316</t>
  </si>
  <si>
    <t>Lai 1900-316</t>
  </si>
  <si>
    <t>Lai tra gop 1900-316</t>
  </si>
  <si>
    <t>Du no 1900-317</t>
  </si>
  <si>
    <t>Phi 1900-317</t>
  </si>
  <si>
    <t>Da thanh toan 1900-317</t>
  </si>
  <si>
    <t>Lai 1900-317</t>
  </si>
  <si>
    <t>Lai tra gop 1900-317</t>
  </si>
  <si>
    <t>Du no 1900-318</t>
  </si>
  <si>
    <t>Phi 1900-318</t>
  </si>
  <si>
    <t>Da thanh toan 1900-318</t>
  </si>
  <si>
    <t>Lai 1900-318</t>
  </si>
  <si>
    <t>Lai tra gop 1900-318</t>
  </si>
  <si>
    <t>Du no 1900-319</t>
  </si>
  <si>
    <t>Phi 1900-319</t>
  </si>
  <si>
    <t>Da thanh toan 1900-319</t>
  </si>
  <si>
    <t>Lai 1900-319</t>
  </si>
  <si>
    <t>Lai tra gop 1900-319</t>
  </si>
  <si>
    <t>Du no 1900-320</t>
  </si>
  <si>
    <t>Phi 1900-320</t>
  </si>
  <si>
    <t>Da thanh toan 1900-320</t>
  </si>
  <si>
    <t>Lai 1900-320</t>
  </si>
  <si>
    <t>Lai tra gop 1900-320</t>
  </si>
  <si>
    <t>Du no 1900-321</t>
  </si>
  <si>
    <t>Phi 1900-321</t>
  </si>
  <si>
    <t>Da thanh toan 1900-321</t>
  </si>
  <si>
    <t>Lai 1900-321</t>
  </si>
  <si>
    <t>Lai tra gop 1900-321</t>
  </si>
  <si>
    <t>Du no 1900-322</t>
  </si>
  <si>
    <t>Phi 1900-322</t>
  </si>
  <si>
    <t>Da thanh toan 1900-322</t>
  </si>
  <si>
    <t>Lai 1900-322</t>
  </si>
  <si>
    <t>Lai tra gop 1900-322</t>
  </si>
  <si>
    <t>Du no 1900-323</t>
  </si>
  <si>
    <t>Phi 1900-323</t>
  </si>
  <si>
    <t>Da thanh toan 1900-323</t>
  </si>
  <si>
    <t>Lai 1900-323</t>
  </si>
  <si>
    <t>Lai tra gop 1900-323</t>
  </si>
  <si>
    <t>Du no 1900-324</t>
  </si>
  <si>
    <t>Phi 1900-324</t>
  </si>
  <si>
    <t>Da thanh toan 1900-324</t>
  </si>
  <si>
    <t>Lai 1900-324</t>
  </si>
  <si>
    <t>Lai tra gop 1900-324</t>
  </si>
  <si>
    <t>Du no 1900-325</t>
  </si>
  <si>
    <t>Phi 1900-325</t>
  </si>
  <si>
    <t>Da thanh toan 1900-325</t>
  </si>
  <si>
    <t>Lai 1900-325</t>
  </si>
  <si>
    <t>Lai tra gop 1900-325</t>
  </si>
  <si>
    <t>Du no 1900-326</t>
  </si>
  <si>
    <t>Phi 1900-326</t>
  </si>
  <si>
    <t>Da thanh toan 1900-326</t>
  </si>
  <si>
    <t>Lai 1900-326</t>
  </si>
  <si>
    <t>Lai tra gop 1900-326</t>
  </si>
  <si>
    <t>Du no 1900-327</t>
  </si>
  <si>
    <t>Phi 1900-327</t>
  </si>
  <si>
    <t>Da thanh toan 1900-327</t>
  </si>
  <si>
    <t>Lai 1900-327</t>
  </si>
  <si>
    <t>Lai tra gop 1900-327</t>
  </si>
  <si>
    <t>Du no 1900-328</t>
  </si>
  <si>
    <t>Phi 1900-328</t>
  </si>
  <si>
    <t>Da thanh toan 1900-328</t>
  </si>
  <si>
    <t>Lai 1900-328</t>
  </si>
  <si>
    <t>Lai tra gop 1900-328</t>
  </si>
  <si>
    <t>Du no 1900-329</t>
  </si>
  <si>
    <t>Phi 1900-329</t>
  </si>
  <si>
    <t>Da thanh toan 1900-329</t>
  </si>
  <si>
    <t>Lai 1900-329</t>
  </si>
  <si>
    <t>Lai tra gop 1900-329</t>
  </si>
  <si>
    <t>Du no 1900-330</t>
  </si>
  <si>
    <t>Phi 1900-330</t>
  </si>
  <si>
    <t>Da thanh toan 1900-330</t>
  </si>
  <si>
    <t>Lai 1900-330</t>
  </si>
  <si>
    <t>Lai tra gop 1900-330</t>
  </si>
  <si>
    <t>Du no 1900-331</t>
  </si>
  <si>
    <t>Phi 1900-331</t>
  </si>
  <si>
    <t>Da thanh toan 1900-331</t>
  </si>
  <si>
    <t>Lai 1900-331</t>
  </si>
  <si>
    <t>Lai tra gop 1900-331</t>
  </si>
  <si>
    <t>Du no 1900-332</t>
  </si>
  <si>
    <t>Phi 1900-332</t>
  </si>
  <si>
    <t>Da thanh toan 1900-332</t>
  </si>
  <si>
    <t>Lai 1900-332</t>
  </si>
  <si>
    <t>Lai tra gop 1900-332</t>
  </si>
  <si>
    <t>Du no 1900-333</t>
  </si>
  <si>
    <t>Phi 1900-333</t>
  </si>
  <si>
    <t>Da thanh toan 1900-333</t>
  </si>
  <si>
    <t>Lai 1900-333</t>
  </si>
  <si>
    <t>Lai tra gop 1900-333</t>
  </si>
  <si>
    <t>Du no 1900-334</t>
  </si>
  <si>
    <t>Phi 1900-334</t>
  </si>
  <si>
    <t>Da thanh toan 1900-334</t>
  </si>
  <si>
    <t>Lai 1900-334</t>
  </si>
  <si>
    <t>Lai tra gop 1900-334</t>
  </si>
  <si>
    <t>Du no 1900-335</t>
  </si>
  <si>
    <t>Phi 1900-335</t>
  </si>
  <si>
    <t>Da thanh toan 1900-335</t>
  </si>
  <si>
    <t>Lai 1900-335</t>
  </si>
  <si>
    <t>Lai tra gop 1900-335</t>
  </si>
  <si>
    <t>Du no 1900-336</t>
  </si>
  <si>
    <t>Phi 1900-336</t>
  </si>
  <si>
    <t>Da thanh toan 1900-336</t>
  </si>
  <si>
    <t>Lai 1900-336</t>
  </si>
  <si>
    <t>Lai tra gop 1900-336</t>
  </si>
  <si>
    <t>Du no 1900-337</t>
  </si>
  <si>
    <t>Phi 1900-337</t>
  </si>
  <si>
    <t>Da thanh toan 1900-337</t>
  </si>
  <si>
    <t>Lai 1900-337</t>
  </si>
  <si>
    <t>Lai tra gop 1900-337</t>
  </si>
  <si>
    <t>Du no 1900-338</t>
  </si>
  <si>
    <t>Phi 1900-338</t>
  </si>
  <si>
    <t>Da thanh toan 1900-338</t>
  </si>
  <si>
    <t>Lai 1900-338</t>
  </si>
  <si>
    <t>Lai tra gop 1900-338</t>
  </si>
  <si>
    <t>Du no 1900-339</t>
  </si>
  <si>
    <t>Phi 1900-339</t>
  </si>
  <si>
    <t>Da thanh toan 1900-339</t>
  </si>
  <si>
    <t>Lai 1900-339</t>
  </si>
  <si>
    <t>Lai tra gop 1900-339</t>
  </si>
  <si>
    <t>Du no 1900-340</t>
  </si>
  <si>
    <t>Phi 1900-340</t>
  </si>
  <si>
    <t>Da thanh toan 1900-340</t>
  </si>
  <si>
    <t>Lai 1900-340</t>
  </si>
  <si>
    <t>Lai tra gop 1900-340</t>
  </si>
  <si>
    <t>Du no 1900-341</t>
  </si>
  <si>
    <t>Phi 1900-341</t>
  </si>
  <si>
    <t>Da thanh toan 1900-341</t>
  </si>
  <si>
    <t>Lai 1900-341</t>
  </si>
  <si>
    <t>Lai tra gop 1900-341</t>
  </si>
  <si>
    <t>Du no 1900-342</t>
  </si>
  <si>
    <t>Phi 1900-342</t>
  </si>
  <si>
    <t>Da thanh toan 1900-342</t>
  </si>
  <si>
    <t>Lai 1900-342</t>
  </si>
  <si>
    <t>Lai tra gop 1900-342</t>
  </si>
  <si>
    <t>Du no 1900-343</t>
  </si>
  <si>
    <t>Phi 1900-343</t>
  </si>
  <si>
    <t>Da thanh toan 1900-343</t>
  </si>
  <si>
    <t>Lai 1900-343</t>
  </si>
  <si>
    <t>Lai tra gop 1900-343</t>
  </si>
  <si>
    <t>Du no 1900-344</t>
  </si>
  <si>
    <t>Phi 1900-344</t>
  </si>
  <si>
    <t>Da thanh toan 1900-344</t>
  </si>
  <si>
    <t>Lai 1900-344</t>
  </si>
  <si>
    <t>Lai tra gop 1900-344</t>
  </si>
  <si>
    <t>Du no 1900-345</t>
  </si>
  <si>
    <t>Phi 1900-345</t>
  </si>
  <si>
    <t>Da thanh toan 1900-345</t>
  </si>
  <si>
    <t>Lai 1900-345</t>
  </si>
  <si>
    <t>Lai tra gop 1900-345</t>
  </si>
  <si>
    <t>Du no 1900-346</t>
  </si>
  <si>
    <t>Phi 1900-346</t>
  </si>
  <si>
    <t>Da thanh toan 1900-346</t>
  </si>
  <si>
    <t>Lai 1900-346</t>
  </si>
  <si>
    <t>Lai tra gop 1900-346</t>
  </si>
  <si>
    <t>Du no 1900-347</t>
  </si>
  <si>
    <t>Phi 1900-347</t>
  </si>
  <si>
    <t>Da thanh toan 1900-347</t>
  </si>
  <si>
    <t>Lai 1900-347</t>
  </si>
  <si>
    <t>Lai tra gop 1900-347</t>
  </si>
  <si>
    <t>Du no 1900-348</t>
  </si>
  <si>
    <t>Phi 1900-348</t>
  </si>
  <si>
    <t>Da thanh toan 1900-348</t>
  </si>
  <si>
    <t>Lai 1900-348</t>
  </si>
  <si>
    <t>Lai tra gop 1900-348</t>
  </si>
  <si>
    <t>Du no 1900-349</t>
  </si>
  <si>
    <t>Phi 1900-349</t>
  </si>
  <si>
    <t>Da thanh toan 1900-349</t>
  </si>
  <si>
    <t>Lai 1900-349</t>
  </si>
  <si>
    <t>Lai tra gop 1900-349</t>
  </si>
  <si>
    <t>Du no 1900-350</t>
  </si>
  <si>
    <t>Phi 1900-350</t>
  </si>
  <si>
    <t>Da thanh toan 1900-350</t>
  </si>
  <si>
    <t>Lai 1900-350</t>
  </si>
  <si>
    <t>Lai tra gop 1900-350</t>
  </si>
  <si>
    <t>Du no 1900-351</t>
  </si>
  <si>
    <t>Phi 1900-351</t>
  </si>
  <si>
    <t>Da thanh toan 1900-351</t>
  </si>
  <si>
    <t>Lai 1900-351</t>
  </si>
  <si>
    <t>Lai tra gop 1900-351</t>
  </si>
  <si>
    <t>Du no 1900-352</t>
  </si>
  <si>
    <t>Phi 1900-352</t>
  </si>
  <si>
    <t>Da thanh toan 1900-352</t>
  </si>
  <si>
    <t>Lai 1900-352</t>
  </si>
  <si>
    <t>Lai tra gop 1900-352</t>
  </si>
  <si>
    <t>Du no 1900-353</t>
  </si>
  <si>
    <t>Phi 1900-353</t>
  </si>
  <si>
    <t>Da thanh toan 1900-353</t>
  </si>
  <si>
    <t>Lai 1900-353</t>
  </si>
  <si>
    <t>Lai tra gop 1900-353</t>
  </si>
  <si>
    <t>Du no 1900-354</t>
  </si>
  <si>
    <t>Phi 1900-354</t>
  </si>
  <si>
    <t>Da thanh toan 1900-354</t>
  </si>
  <si>
    <t>Lai 1900-354</t>
  </si>
  <si>
    <t>Lai tra gop 1900-354</t>
  </si>
  <si>
    <t>Du no 1900-355</t>
  </si>
  <si>
    <t>Phi 1900-355</t>
  </si>
  <si>
    <t>Da thanh toan 1900-355</t>
  </si>
  <si>
    <t>Lai 1900-355</t>
  </si>
  <si>
    <t>Lai tra gop 1900-355</t>
  </si>
  <si>
    <t>Du no 1900-356</t>
  </si>
  <si>
    <t>Phi 1900-356</t>
  </si>
  <si>
    <t>Da thanh toan 1900-356</t>
  </si>
  <si>
    <t>Lai 1900-356</t>
  </si>
  <si>
    <t>Lai tra gop 1900-356</t>
  </si>
  <si>
    <t>Du no 1900-357</t>
  </si>
  <si>
    <t>Phi 1900-357</t>
  </si>
  <si>
    <t>Da thanh toan 1900-357</t>
  </si>
  <si>
    <t>Lai 1900-357</t>
  </si>
  <si>
    <t>Lai tra gop 1900-357</t>
  </si>
  <si>
    <t>Du no 1900-358</t>
  </si>
  <si>
    <t>Phi 1900-358</t>
  </si>
  <si>
    <t>Da thanh toan 1900-358</t>
  </si>
  <si>
    <t>Lai 1900-358</t>
  </si>
  <si>
    <t>Lai tra gop 1900-358</t>
  </si>
  <si>
    <t>Du no 1900-359</t>
  </si>
  <si>
    <t>Phi 1900-359</t>
  </si>
  <si>
    <t>Da thanh toan 1900-359</t>
  </si>
  <si>
    <t>Lai 1900-359</t>
  </si>
  <si>
    <t>Lai tra gop 1900-359</t>
  </si>
  <si>
    <t>Du no 1900-360</t>
  </si>
  <si>
    <t>Phi 1900-360</t>
  </si>
  <si>
    <t>Da thanh toan 1900-360</t>
  </si>
  <si>
    <t>Lai 1900-360</t>
  </si>
  <si>
    <t>Lai tra gop 1900-360</t>
  </si>
  <si>
    <t>Du no 1900-361</t>
  </si>
  <si>
    <t>Phi 1900-361</t>
  </si>
  <si>
    <t>Da thanh toan 1900-361</t>
  </si>
  <si>
    <t>Lai 1900-361</t>
  </si>
  <si>
    <t>Lai tra gop 1900-361</t>
  </si>
  <si>
    <t>Du no 1900-362</t>
  </si>
  <si>
    <t>Phi 1900-362</t>
  </si>
  <si>
    <t>Da thanh toan 1900-362</t>
  </si>
  <si>
    <t>Lai 1900-362</t>
  </si>
  <si>
    <t>Lai tra gop 1900-362</t>
  </si>
  <si>
    <t>Du no 1900-363</t>
  </si>
  <si>
    <t>Phi 1900-363</t>
  </si>
  <si>
    <t>Da thanh toan 1900-363</t>
  </si>
  <si>
    <t>Lai 1900-363</t>
  </si>
  <si>
    <t>Lai tra gop 1900-363</t>
  </si>
  <si>
    <t>Du no 1900-364</t>
  </si>
  <si>
    <t>Phi 1900-364</t>
  </si>
  <si>
    <t>Da thanh toan 1900-364</t>
  </si>
  <si>
    <t>Lai 1900-364</t>
  </si>
  <si>
    <t>Lai tra gop 1900-364</t>
  </si>
  <si>
    <t>Du no 1900-365</t>
  </si>
  <si>
    <t>Phi 1900-365</t>
  </si>
  <si>
    <t>Da thanh toan 1900-365</t>
  </si>
  <si>
    <t>Lai 1900-365</t>
  </si>
  <si>
    <t>Lai tra gop 1900-365</t>
  </si>
  <si>
    <t>Du no 1900-366</t>
  </si>
  <si>
    <t>Phi 1900-366</t>
  </si>
  <si>
    <t>Da thanh toan 1900-366</t>
  </si>
  <si>
    <t>Lai 1900-366</t>
  </si>
  <si>
    <t>Lai tra gop 1900-366</t>
  </si>
  <si>
    <t>Du no 1900-367</t>
  </si>
  <si>
    <t>Phi 1900-367</t>
  </si>
  <si>
    <t>Da thanh toan 1900-367</t>
  </si>
  <si>
    <t>Lai 1900-367</t>
  </si>
  <si>
    <t>Lai tra gop 1900-367</t>
  </si>
  <si>
    <t>Du no 1900-368</t>
  </si>
  <si>
    <t>Phi 1900-368</t>
  </si>
  <si>
    <t>Da thanh toan 1900-368</t>
  </si>
  <si>
    <t>Lai 1900-368</t>
  </si>
  <si>
    <t>Lai tra gop 1900-368</t>
  </si>
  <si>
    <t>Du no 1900-369</t>
  </si>
  <si>
    <t>Phi 1900-369</t>
  </si>
  <si>
    <t>Da thanh toan 1900-369</t>
  </si>
  <si>
    <t>Lai 1900-369</t>
  </si>
  <si>
    <t>Lai tra gop 1900-369</t>
  </si>
  <si>
    <t>Du no 1900-370</t>
  </si>
  <si>
    <t>Phi 1900-370</t>
  </si>
  <si>
    <t>Da thanh toan 1900-370</t>
  </si>
  <si>
    <t>Lai 1900-370</t>
  </si>
  <si>
    <t>Lai tra gop 1900-370</t>
  </si>
  <si>
    <t>Du no 1900-371</t>
  </si>
  <si>
    <t>Phi 1900-371</t>
  </si>
  <si>
    <t>Da thanh toan 1900-371</t>
  </si>
  <si>
    <t>Lai 1900-371</t>
  </si>
  <si>
    <t>Lai tra gop 1900-371</t>
  </si>
  <si>
    <t>Du no 1900-372</t>
  </si>
  <si>
    <t>Phi 1900-372</t>
  </si>
  <si>
    <t>Da thanh toan 1900-372</t>
  </si>
  <si>
    <t>Lai 1900-372</t>
  </si>
  <si>
    <t>Lai tra gop 1900-372</t>
  </si>
  <si>
    <t>Du no 1900-373</t>
  </si>
  <si>
    <t>Phi 1900-373</t>
  </si>
  <si>
    <t>Da thanh toan 1900-373</t>
  </si>
  <si>
    <t>Lai 1900-373</t>
  </si>
  <si>
    <t>Lai tra gop 1900-373</t>
  </si>
  <si>
    <t>Du no 1900-374</t>
  </si>
  <si>
    <t>Phi 1900-374</t>
  </si>
  <si>
    <t>Da thanh toan 1900-374</t>
  </si>
  <si>
    <t>Lai 1900-374</t>
  </si>
  <si>
    <t>Lai tra gop 1900-374</t>
  </si>
  <si>
    <t>Du no 1900-375</t>
  </si>
  <si>
    <t>Phi 1900-375</t>
  </si>
  <si>
    <t>Da thanh toan 1900-375</t>
  </si>
  <si>
    <t>Lai 1900-375</t>
  </si>
  <si>
    <t>Lai tra gop 1900-375</t>
  </si>
  <si>
    <t>Du no 1900-376</t>
  </si>
  <si>
    <t>Phi 1900-376</t>
  </si>
  <si>
    <t>Da thanh toan 1900-376</t>
  </si>
  <si>
    <t>Lai 1900-376</t>
  </si>
  <si>
    <t>Lai tra gop 1900-376</t>
  </si>
  <si>
    <t>Du no 1900-377</t>
  </si>
  <si>
    <t>Phi 1900-377</t>
  </si>
  <si>
    <t>Da thanh toan 1900-377</t>
  </si>
  <si>
    <t>Lai 1900-377</t>
  </si>
  <si>
    <t>Lai tra gop 1900-377</t>
  </si>
  <si>
    <t>Du no 1900-378</t>
  </si>
  <si>
    <t>Phi 1900-378</t>
  </si>
  <si>
    <t>Da thanh toan 1900-378</t>
  </si>
  <si>
    <t>Lai 1900-378</t>
  </si>
  <si>
    <t>Lai tra gop 1900-378</t>
  </si>
  <si>
    <t>Du no 1900-379</t>
  </si>
  <si>
    <t>Phi 1900-379</t>
  </si>
  <si>
    <t>Da thanh toan 1900-379</t>
  </si>
  <si>
    <t>Lai 1900-379</t>
  </si>
  <si>
    <t>Lai tra gop 1900-379</t>
  </si>
  <si>
    <t>Du no 1900-380</t>
  </si>
  <si>
    <t>Phi 1900-380</t>
  </si>
  <si>
    <t>Da thanh toan 1900-380</t>
  </si>
  <si>
    <t>Lai 1900-380</t>
  </si>
  <si>
    <t>Lai tra gop 1900-380</t>
  </si>
  <si>
    <t>Du no 1900-381</t>
  </si>
  <si>
    <t>Phi 1900-381</t>
  </si>
  <si>
    <t>Da thanh toan 1900-381</t>
  </si>
  <si>
    <t>Lai 1900-381</t>
  </si>
  <si>
    <t>Lai tra gop 1900-381</t>
  </si>
  <si>
    <t>Du no 1900-382</t>
  </si>
  <si>
    <t>Phi 1900-382</t>
  </si>
  <si>
    <t>Da thanh toan 1900-382</t>
  </si>
  <si>
    <t>Lai 1900-382</t>
  </si>
  <si>
    <t>Lai tra gop 1900-382</t>
  </si>
  <si>
    <t>Du no 1900-383</t>
  </si>
  <si>
    <t>Phi 1900-383</t>
  </si>
  <si>
    <t>Da thanh toan 1900-383</t>
  </si>
  <si>
    <t>Lai 1900-383</t>
  </si>
  <si>
    <t>Lai tra gop 1900-383</t>
  </si>
  <si>
    <t>Du no 1900-384</t>
  </si>
  <si>
    <t>Phi 1900-384</t>
  </si>
  <si>
    <t>Da thanh toan 1900-384</t>
  </si>
  <si>
    <t>Lai 1900-384</t>
  </si>
  <si>
    <t>Lai tra gop 1900-384</t>
  </si>
  <si>
    <t>Du no 1900-385</t>
  </si>
  <si>
    <t>Phi 1900-385</t>
  </si>
  <si>
    <t>Da thanh toan 1900-385</t>
  </si>
  <si>
    <t>Lai 1900-385</t>
  </si>
  <si>
    <t>Lai tra gop 1900-385</t>
  </si>
  <si>
    <t>Du no 1900-386</t>
  </si>
  <si>
    <t>Phi 1900-386</t>
  </si>
  <si>
    <t>Da thanh toan 1900-386</t>
  </si>
  <si>
    <t>Lai 1900-386</t>
  </si>
  <si>
    <t>Lai tra gop 1900-386</t>
  </si>
  <si>
    <t>Du no 1900-387</t>
  </si>
  <si>
    <t>Phi 1900-387</t>
  </si>
  <si>
    <t>Da thanh toan 1900-387</t>
  </si>
  <si>
    <t>Lai 1900-387</t>
  </si>
  <si>
    <t>Lai tra gop 1900-387</t>
  </si>
  <si>
    <t>Du no 1900-388</t>
  </si>
  <si>
    <t>Phi 1900-388</t>
  </si>
  <si>
    <t>Da thanh toan 1900-388</t>
  </si>
  <si>
    <t>Lai 1900-388</t>
  </si>
  <si>
    <t>Lai tra gop 1900-388</t>
  </si>
  <si>
    <t>Du no 1900-389</t>
  </si>
  <si>
    <t>Phi 1900-389</t>
  </si>
  <si>
    <t>Da thanh toan 1900-389</t>
  </si>
  <si>
    <t>Lai 1900-389</t>
  </si>
  <si>
    <t>Lai tra gop 1900-389</t>
  </si>
  <si>
    <t>Du no 1900-390</t>
  </si>
  <si>
    <t>Phi 1900-390</t>
  </si>
  <si>
    <t>Da thanh toan 1900-390</t>
  </si>
  <si>
    <t>Lai 1900-390</t>
  </si>
  <si>
    <t>Lai tra gop 1900-390</t>
  </si>
  <si>
    <t>Du no 1900-391</t>
  </si>
  <si>
    <t>Phi 1900-391</t>
  </si>
  <si>
    <t>Da thanh toan 1900-391</t>
  </si>
  <si>
    <t>Lai 1900-391</t>
  </si>
  <si>
    <t>Lai tra gop 1900-391</t>
  </si>
  <si>
    <t>Du no 1900-392</t>
  </si>
  <si>
    <t>Phi 1900-392</t>
  </si>
  <si>
    <t>Da thanh toan 1900-392</t>
  </si>
  <si>
    <t>Lai 1900-392</t>
  </si>
  <si>
    <t>Lai tra gop 1900-392</t>
  </si>
  <si>
    <t>Du no 1900-393</t>
  </si>
  <si>
    <t>Phi 1900-393</t>
  </si>
  <si>
    <t>Da thanh toan 1900-393</t>
  </si>
  <si>
    <t>Lai 1900-393</t>
  </si>
  <si>
    <t>Lai tra gop 1900-393</t>
  </si>
  <si>
    <t>Du no 1900-394</t>
  </si>
  <si>
    <t>Phi 1900-394</t>
  </si>
  <si>
    <t>Da thanh toan 1900-394</t>
  </si>
  <si>
    <t>Lai 1900-394</t>
  </si>
  <si>
    <t>Lai tra gop 1900-394</t>
  </si>
  <si>
    <t>Du no 1900-395</t>
  </si>
  <si>
    <t>Phi 1900-395</t>
  </si>
  <si>
    <t>Da thanh toan 1900-395</t>
  </si>
  <si>
    <t>Lai 1900-395</t>
  </si>
  <si>
    <t>Lai tra gop 1900-395</t>
  </si>
  <si>
    <t>Du no 1900-396</t>
  </si>
  <si>
    <t>Phi 1900-396</t>
  </si>
  <si>
    <t>Da thanh toan 1900-396</t>
  </si>
  <si>
    <t>Lai 1900-396</t>
  </si>
  <si>
    <t>Lai tra gop 1900-396</t>
  </si>
  <si>
    <t>Du no 1900-397</t>
  </si>
  <si>
    <t>Phi 1900-397</t>
  </si>
  <si>
    <t>Da thanh toan 1900-397</t>
  </si>
  <si>
    <t>Lai 1900-397</t>
  </si>
  <si>
    <t>Lai tra gop 1900-397</t>
  </si>
  <si>
    <t>Du no 1900-398</t>
  </si>
  <si>
    <t>Phi 1900-398</t>
  </si>
  <si>
    <t>Da thanh toan 1900-398</t>
  </si>
  <si>
    <t>Lai 1900-398</t>
  </si>
  <si>
    <t>Lai tra gop 1900-398</t>
  </si>
  <si>
    <t>Du no 1900-399</t>
  </si>
  <si>
    <t>Phi 1900-399</t>
  </si>
  <si>
    <t>Da thanh toan 1900-399</t>
  </si>
  <si>
    <t>Lai 1900-399</t>
  </si>
  <si>
    <t>Lai tra gop 1900-399</t>
  </si>
  <si>
    <t>Du no 1900-400</t>
  </si>
  <si>
    <t>Phi 1900-400</t>
  </si>
  <si>
    <t>Da thanh toan 1900-400</t>
  </si>
  <si>
    <t>Lai 1900-400</t>
  </si>
  <si>
    <t>Lai tra gop 1900-400</t>
  </si>
  <si>
    <t>Du no 1900-401</t>
  </si>
  <si>
    <t>Phi 1900-401</t>
  </si>
  <si>
    <t>Da thanh toan 1900-401</t>
  </si>
  <si>
    <t>Lai 1900-401</t>
  </si>
  <si>
    <t>Lai tra gop 1900-401</t>
  </si>
  <si>
    <t>Du no 1900-402</t>
  </si>
  <si>
    <t>Phi 1900-402</t>
  </si>
  <si>
    <t>Da thanh toan 1900-402</t>
  </si>
  <si>
    <t>Lai 1900-402</t>
  </si>
  <si>
    <t>Lai tra gop 1900-402</t>
  </si>
  <si>
    <t>Du no 1900-403</t>
  </si>
  <si>
    <t>Phi 1900-403</t>
  </si>
  <si>
    <t>Da thanh toan 1900-403</t>
  </si>
  <si>
    <t>Lai 1900-403</t>
  </si>
  <si>
    <t>Lai tra gop 1900-403</t>
  </si>
  <si>
    <t>Du no 1900-404</t>
  </si>
  <si>
    <t>Phi 1900-404</t>
  </si>
  <si>
    <t>Da thanh toan 1900-404</t>
  </si>
  <si>
    <t>Lai 1900-404</t>
  </si>
  <si>
    <t>Lai tra gop 1900-404</t>
  </si>
  <si>
    <t>Du no 1900-405</t>
  </si>
  <si>
    <t>Phi 1900-405</t>
  </si>
  <si>
    <t>Da thanh toan 1900-405</t>
  </si>
  <si>
    <t>Lai 1900-405</t>
  </si>
  <si>
    <t>Lai tra gop 1900-405</t>
  </si>
  <si>
    <t>Du no 1900-406</t>
  </si>
  <si>
    <t>Phi 1900-406</t>
  </si>
  <si>
    <t>Da thanh toan 1900-406</t>
  </si>
  <si>
    <t>Lai 1900-406</t>
  </si>
  <si>
    <t>Lai tra gop 1900-406</t>
  </si>
  <si>
    <t>Du no 1900-407</t>
  </si>
  <si>
    <t>Phi 1900-407</t>
  </si>
  <si>
    <t>Da thanh toan 1900-407</t>
  </si>
  <si>
    <t>Lai 1900-407</t>
  </si>
  <si>
    <t>Lai tra gop 1900-407</t>
  </si>
  <si>
    <t>Du no 1900-408</t>
  </si>
  <si>
    <t>Phi 1900-408</t>
  </si>
  <si>
    <t>Da thanh toan 1900-408</t>
  </si>
  <si>
    <t>Lai 1900-408</t>
  </si>
  <si>
    <t>Lai tra gop 1900-408</t>
  </si>
  <si>
    <t>Du no 1900-409</t>
  </si>
  <si>
    <t>Phi 1900-409</t>
  </si>
  <si>
    <t>Da thanh toan 1900-409</t>
  </si>
  <si>
    <t>Lai 1900-409</t>
  </si>
  <si>
    <t>Lai tra gop 1900-409</t>
  </si>
  <si>
    <t>Du no 1900-410</t>
  </si>
  <si>
    <t>Phi 1900-410</t>
  </si>
  <si>
    <t>Da thanh toan 1900-410</t>
  </si>
  <si>
    <t>Lai 1900-410</t>
  </si>
  <si>
    <t>Lai tra gop 1900-410</t>
  </si>
  <si>
    <t>Du no 1900-411</t>
  </si>
  <si>
    <t>Phi 1900-411</t>
  </si>
  <si>
    <t>Da thanh toan 1900-411</t>
  </si>
  <si>
    <t>Lai 1900-411</t>
  </si>
  <si>
    <t>Lai tra gop 1900-411</t>
  </si>
  <si>
    <t>Du no 1900-412</t>
  </si>
  <si>
    <t>Phi 1900-412</t>
  </si>
  <si>
    <t>Da thanh toan 1900-412</t>
  </si>
  <si>
    <t>Lai 1900-412</t>
  </si>
  <si>
    <t>Lai tra gop 1900-412</t>
  </si>
  <si>
    <t>Du no 1900-413</t>
  </si>
  <si>
    <t>Phi 1900-413</t>
  </si>
  <si>
    <t>Da thanh toan 1900-413</t>
  </si>
  <si>
    <t>Lai 1900-413</t>
  </si>
  <si>
    <t>Lai tra gop 1900-413</t>
  </si>
  <si>
    <t>Du no 1900-414</t>
  </si>
  <si>
    <t>Phi 1900-414</t>
  </si>
  <si>
    <t>Da thanh toan 1900-414</t>
  </si>
  <si>
    <t>Lai 1900-414</t>
  </si>
  <si>
    <t>Lai tra gop 1900-414</t>
  </si>
  <si>
    <t>Du no 1900-415</t>
  </si>
  <si>
    <t>Phi 1900-415</t>
  </si>
  <si>
    <t>Da thanh toan 1900-415</t>
  </si>
  <si>
    <t>Lai 1900-415</t>
  </si>
  <si>
    <t>Lai tra gop 1900-415</t>
  </si>
  <si>
    <t>Du no 1900-416</t>
  </si>
  <si>
    <t>Phi 1900-416</t>
  </si>
  <si>
    <t>Da thanh toan 1900-416</t>
  </si>
  <si>
    <t>Lai 1900-416</t>
  </si>
  <si>
    <t>Lai tra gop 1900-416</t>
  </si>
  <si>
    <t>Du no 1900-417</t>
  </si>
  <si>
    <t>Phi 1900-417</t>
  </si>
  <si>
    <t>Da thanh toan 1900-417</t>
  </si>
  <si>
    <t>Lai 1900-417</t>
  </si>
  <si>
    <t>Lai tra gop 1900-417</t>
  </si>
  <si>
    <t>Du no 1900-418</t>
  </si>
  <si>
    <t>Phi 1900-418</t>
  </si>
  <si>
    <t>Da thanh toan 1900-418</t>
  </si>
  <si>
    <t>Lai 1900-418</t>
  </si>
  <si>
    <t>Lai tra gop 1900-418</t>
  </si>
  <si>
    <t>Du no 1900-419</t>
  </si>
  <si>
    <t>Phi 1900-419</t>
  </si>
  <si>
    <t>Da thanh toan 1900-419</t>
  </si>
  <si>
    <t>Lai 1900-419</t>
  </si>
  <si>
    <t>Lai tra gop 1900-419</t>
  </si>
  <si>
    <t>Du no 1900-420</t>
  </si>
  <si>
    <t>Phi 1900-420</t>
  </si>
  <si>
    <t>Da thanh toan 1900-420</t>
  </si>
  <si>
    <t>Lai 1900-420</t>
  </si>
  <si>
    <t>Lai tra gop 1900-420</t>
  </si>
  <si>
    <t>Du no 1900-421</t>
  </si>
  <si>
    <t>Phi 1900-421</t>
  </si>
  <si>
    <t>Da thanh toan 1900-421</t>
  </si>
  <si>
    <t>Lai 1900-421</t>
  </si>
  <si>
    <t>Lai tra gop 1900-421</t>
  </si>
  <si>
    <t>Du no 1900-422</t>
  </si>
  <si>
    <t>Phi 1900-422</t>
  </si>
  <si>
    <t>Da thanh toan 1900-422</t>
  </si>
  <si>
    <t>Lai 1900-422</t>
  </si>
  <si>
    <t>Lai tra gop 1900-422</t>
  </si>
  <si>
    <t>Du no 1900-423</t>
  </si>
  <si>
    <t>Phi 1900-423</t>
  </si>
  <si>
    <t>Da thanh toan 1900-423</t>
  </si>
  <si>
    <t>Lai 1900-423</t>
  </si>
  <si>
    <t>Lai tra gop 1900-423</t>
  </si>
  <si>
    <t>Du no 1900-424</t>
  </si>
  <si>
    <t>Phi 1900-424</t>
  </si>
  <si>
    <t>Da thanh toan 1900-424</t>
  </si>
  <si>
    <t>Lai 1900-424</t>
  </si>
  <si>
    <t>Lai tra gop 1900-424</t>
  </si>
  <si>
    <t>Du no 1900-425</t>
  </si>
  <si>
    <t>Phi 1900-425</t>
  </si>
  <si>
    <t>Da thanh toan 1900-425</t>
  </si>
  <si>
    <t>Lai 1900-425</t>
  </si>
  <si>
    <t>Lai tra gop 1900-425</t>
  </si>
  <si>
    <t>Du no 1900-426</t>
  </si>
  <si>
    <t>Phi 1900-426</t>
  </si>
  <si>
    <t>Da thanh toan 1900-426</t>
  </si>
  <si>
    <t>Lai 1900-426</t>
  </si>
  <si>
    <t>Lai tra gop 1900-426</t>
  </si>
  <si>
    <t>Du no 1900-427</t>
  </si>
  <si>
    <t>Phi 1900-427</t>
  </si>
  <si>
    <t>Da thanh toan 1900-427</t>
  </si>
  <si>
    <t>Lai 1900-427</t>
  </si>
  <si>
    <t>Lai tra gop 1900-427</t>
  </si>
  <si>
    <t>Du no 1900-428</t>
  </si>
  <si>
    <t>Phi 1900-428</t>
  </si>
  <si>
    <t>Da thanh toan 1900-428</t>
  </si>
  <si>
    <t>Lai 1900-428</t>
  </si>
  <si>
    <t>Lai tra gop 1900-428</t>
  </si>
  <si>
    <t>Du no 1900-429</t>
  </si>
  <si>
    <t>Phi 1900-429</t>
  </si>
  <si>
    <t>Da thanh toan 1900-429</t>
  </si>
  <si>
    <t>Lai 1900-429</t>
  </si>
  <si>
    <t>Lai tra gop 1900-429</t>
  </si>
  <si>
    <t>Du no 1900-430</t>
  </si>
  <si>
    <t>Phi 1900-430</t>
  </si>
  <si>
    <t>Da thanh toan 1900-430</t>
  </si>
  <si>
    <t>Lai 1900-430</t>
  </si>
  <si>
    <t>Lai tra gop 1900-430</t>
  </si>
  <si>
    <t>Du no 1900-431</t>
  </si>
  <si>
    <t>Phi 1900-431</t>
  </si>
  <si>
    <t>Da thanh toan 1900-431</t>
  </si>
  <si>
    <t>Lai 1900-431</t>
  </si>
  <si>
    <t>Lai tra gop 1900-431</t>
  </si>
  <si>
    <t>Du no 1900-432</t>
  </si>
  <si>
    <t>Phi 1900-432</t>
  </si>
  <si>
    <t>Da thanh toan 1900-432</t>
  </si>
  <si>
    <t>Lai 1900-432</t>
  </si>
  <si>
    <t>Lai tra gop 1900-432</t>
  </si>
  <si>
    <t>Du no 1900-433</t>
  </si>
  <si>
    <t>Phi 1900-433</t>
  </si>
  <si>
    <t>Da thanh toan 1900-433</t>
  </si>
  <si>
    <t>Lai 1900-433</t>
  </si>
  <si>
    <t>Lai tra gop 1900-433</t>
  </si>
  <si>
    <t>Du no 1900-434</t>
  </si>
  <si>
    <t>Phi 1900-434</t>
  </si>
  <si>
    <t>Da thanh toan 1900-434</t>
  </si>
  <si>
    <t>Lai 1900-434</t>
  </si>
  <si>
    <t>Lai tra gop 1900-434</t>
  </si>
  <si>
    <t>Du no 1900-435</t>
  </si>
  <si>
    <t>Phi 1900-435</t>
  </si>
  <si>
    <t>Da thanh toan 1900-435</t>
  </si>
  <si>
    <t>Lai 1900-435</t>
  </si>
  <si>
    <t>Lai tra gop 1900-435</t>
  </si>
  <si>
    <t>Du no 1900-436</t>
  </si>
  <si>
    <t>Phi 1900-436</t>
  </si>
  <si>
    <t>Da thanh toan 1900-436</t>
  </si>
  <si>
    <t>Lai 1900-436</t>
  </si>
  <si>
    <t>Lai tra gop 1900-436</t>
  </si>
  <si>
    <t>Du no 1900-437</t>
  </si>
  <si>
    <t>Phi 1900-437</t>
  </si>
  <si>
    <t>Da thanh toan 1900-437</t>
  </si>
  <si>
    <t>Lai 1900-437</t>
  </si>
  <si>
    <t>Lai tra gop 1900-437</t>
  </si>
  <si>
    <t>Du no 1900-438</t>
  </si>
  <si>
    <t>Phi 1900-438</t>
  </si>
  <si>
    <t>Da thanh toan 1900-438</t>
  </si>
  <si>
    <t>Lai 1900-438</t>
  </si>
  <si>
    <t>Lai tra gop 1900-438</t>
  </si>
  <si>
    <t>Du no 1900-439</t>
  </si>
  <si>
    <t>Phi 1900-439</t>
  </si>
  <si>
    <t>Da thanh toan 1900-439</t>
  </si>
  <si>
    <t>Lai 1900-439</t>
  </si>
  <si>
    <t>Lai tra gop 1900-439</t>
  </si>
  <si>
    <t>Du no 1900-440</t>
  </si>
  <si>
    <t>Phi 1900-440</t>
  </si>
  <si>
    <t>Da thanh toan 1900-440</t>
  </si>
  <si>
    <t>Lai 1900-440</t>
  </si>
  <si>
    <t>Lai tra gop 1900-440</t>
  </si>
  <si>
    <t>Du no 1900-441</t>
  </si>
  <si>
    <t>Phi 1900-441</t>
  </si>
  <si>
    <t>Da thanh toan 1900-441</t>
  </si>
  <si>
    <t>Lai 1900-441</t>
  </si>
  <si>
    <t>Lai tra gop 1900-441</t>
  </si>
  <si>
    <t>Du no 1900-442</t>
  </si>
  <si>
    <t>Phi 1900-442</t>
  </si>
  <si>
    <t>Da thanh toan 1900-442</t>
  </si>
  <si>
    <t>Lai 1900-442</t>
  </si>
  <si>
    <t>Lai tra gop 1900-442</t>
  </si>
  <si>
    <t>Du no 1900-443</t>
  </si>
  <si>
    <t>Phi 1900-443</t>
  </si>
  <si>
    <t>Da thanh toan 1900-443</t>
  </si>
  <si>
    <t>Lai 1900-443</t>
  </si>
  <si>
    <t>Lai tra gop 1900-443</t>
  </si>
  <si>
    <t>Du no 1900-444</t>
  </si>
  <si>
    <t>Phi 1900-444</t>
  </si>
  <si>
    <t>Da thanh toan 1900-444</t>
  </si>
  <si>
    <t>Lai 1900-444</t>
  </si>
  <si>
    <t>Lai tra gop 1900-444</t>
  </si>
  <si>
    <t>Du no 1900-445</t>
  </si>
  <si>
    <t>Phi 1900-445</t>
  </si>
  <si>
    <t>Da thanh toan 1900-445</t>
  </si>
  <si>
    <t>Lai 1900-445</t>
  </si>
  <si>
    <t>Lai tra gop 1900-445</t>
  </si>
  <si>
    <t>Du no 1900-446</t>
  </si>
  <si>
    <t>Phi 1900-446</t>
  </si>
  <si>
    <t>Da thanh toan 1900-446</t>
  </si>
  <si>
    <t>Lai 1900-446</t>
  </si>
  <si>
    <t>Lai tra gop 1900-446</t>
  </si>
  <si>
    <t>Du no 1900-447</t>
  </si>
  <si>
    <t>Phi 1900-447</t>
  </si>
  <si>
    <t>Da thanh toan 1900-447</t>
  </si>
  <si>
    <t>Lai 1900-447</t>
  </si>
  <si>
    <t>Lai tra gop 1900-447</t>
  </si>
  <si>
    <t>Du no 1900-448</t>
  </si>
  <si>
    <t>Phi 1900-448</t>
  </si>
  <si>
    <t>Da thanh toan 1900-448</t>
  </si>
  <si>
    <t>Lai 1900-448</t>
  </si>
  <si>
    <t>Lai tra gop 1900-448</t>
  </si>
  <si>
    <t>Du no 1900-449</t>
  </si>
  <si>
    <t>Phi 1900-449</t>
  </si>
  <si>
    <t>Da thanh toan 1900-449</t>
  </si>
  <si>
    <t>Lai 1900-449</t>
  </si>
  <si>
    <t>Lai tra gop 1900-449</t>
  </si>
  <si>
    <t>Du no 1900-450</t>
  </si>
  <si>
    <t>Phi 1900-450</t>
  </si>
  <si>
    <t>Da thanh toan 1900-450</t>
  </si>
  <si>
    <t>Lai 1900-450</t>
  </si>
  <si>
    <t>Lai tra gop 1900-450</t>
  </si>
  <si>
    <t>Du no 1900-451</t>
  </si>
  <si>
    <t>Phi 1900-451</t>
  </si>
  <si>
    <t>Da thanh toan 1900-451</t>
  </si>
  <si>
    <t>Lai 1900-451</t>
  </si>
  <si>
    <t>Lai tra gop 1900-451</t>
  </si>
  <si>
    <t>Du no 1900-452</t>
  </si>
  <si>
    <t>Phi 1900-452</t>
  </si>
  <si>
    <t>Da thanh toan 1900-452</t>
  </si>
  <si>
    <t>Lai 1900-452</t>
  </si>
  <si>
    <t>Lai tra gop 1900-452</t>
  </si>
  <si>
    <t>Du no 1900-453</t>
  </si>
  <si>
    <t>Phi 1900-453</t>
  </si>
  <si>
    <t>Da thanh toan 1900-453</t>
  </si>
  <si>
    <t>Lai 1900-453</t>
  </si>
  <si>
    <t>Lai tra gop 1900-453</t>
  </si>
  <si>
    <t>Du no 1900-454</t>
  </si>
  <si>
    <t>Phi 1900-454</t>
  </si>
  <si>
    <t>Da thanh toan 1900-454</t>
  </si>
  <si>
    <t>Lai 1900-454</t>
  </si>
  <si>
    <t>Lai tra gop 1900-454</t>
  </si>
  <si>
    <t>Du no 1900-455</t>
  </si>
  <si>
    <t>Phi 1900-455</t>
  </si>
  <si>
    <t>Da thanh toan 1900-455</t>
  </si>
  <si>
    <t>Lai 1900-455</t>
  </si>
  <si>
    <t>Lai tra gop 1900-455</t>
  </si>
  <si>
    <t>Du no 1900-456</t>
  </si>
  <si>
    <t>Phi 1900-456</t>
  </si>
  <si>
    <t>Da thanh toan 1900-456</t>
  </si>
  <si>
    <t>Lai 1900-456</t>
  </si>
  <si>
    <t>Lai tra gop 1900-456</t>
  </si>
  <si>
    <t>Du no 1900-457</t>
  </si>
  <si>
    <t>Phi 1900-457</t>
  </si>
  <si>
    <t>Da thanh toan 1900-457</t>
  </si>
  <si>
    <t>Lai 1900-457</t>
  </si>
  <si>
    <t>Lai tra gop 1900-457</t>
  </si>
  <si>
    <t>Du no 1900-458</t>
  </si>
  <si>
    <t>Phi 1900-458</t>
  </si>
  <si>
    <t>Da thanh toan 1900-458</t>
  </si>
  <si>
    <t>Lai 1900-458</t>
  </si>
  <si>
    <t>Lai tra gop 1900-458</t>
  </si>
  <si>
    <t>Du no 1900-459</t>
  </si>
  <si>
    <t>Phi 1900-459</t>
  </si>
  <si>
    <t>Da thanh toan 1900-459</t>
  </si>
  <si>
    <t>Lai 1900-459</t>
  </si>
  <si>
    <t>Lai tra gop 1900-459</t>
  </si>
  <si>
    <t>Du no 1900-460</t>
  </si>
  <si>
    <t>Phi 1900-460</t>
  </si>
  <si>
    <t>Da thanh toan 1900-460</t>
  </si>
  <si>
    <t>Lai 1900-460</t>
  </si>
  <si>
    <t>Lai tra gop 1900-460</t>
  </si>
  <si>
    <t>Du no 1900-461</t>
  </si>
  <si>
    <t>Phi 1900-461</t>
  </si>
  <si>
    <t>Da thanh toan 1900-461</t>
  </si>
  <si>
    <t>Lai 1900-461</t>
  </si>
  <si>
    <t>Lai tra gop 1900-461</t>
  </si>
  <si>
    <t>Du no 1900-462</t>
  </si>
  <si>
    <t>Phi 1900-462</t>
  </si>
  <si>
    <t>Da thanh toan 1900-462</t>
  </si>
  <si>
    <t>Lai 1900-462</t>
  </si>
  <si>
    <t>Lai tra gop 1900-462</t>
  </si>
  <si>
    <t>Du no 1900-463</t>
  </si>
  <si>
    <t>Phi 1900-463</t>
  </si>
  <si>
    <t>Da thanh toan 1900-463</t>
  </si>
  <si>
    <t>Lai 1900-463</t>
  </si>
  <si>
    <t>Lai tra gop 1900-463</t>
  </si>
  <si>
    <t>Du no 1900-464</t>
  </si>
  <si>
    <t>Phi 1900-464</t>
  </si>
  <si>
    <t>Da thanh toan 1900-464</t>
  </si>
  <si>
    <t>Lai 1900-464</t>
  </si>
  <si>
    <t>Lai tra gop 1900-464</t>
  </si>
  <si>
    <t>Du no 1900-465</t>
  </si>
  <si>
    <t>Phi 1900-465</t>
  </si>
  <si>
    <t>Da thanh toan 1900-465</t>
  </si>
  <si>
    <t>Lai 1900-465</t>
  </si>
  <si>
    <t>Lai tra gop 1900-465</t>
  </si>
  <si>
    <t>Du no 1900-466</t>
  </si>
  <si>
    <t>Phi 1900-466</t>
  </si>
  <si>
    <t>Da thanh toan 1900-466</t>
  </si>
  <si>
    <t>Lai 1900-466</t>
  </si>
  <si>
    <t>Lai tra gop 1900-466</t>
  </si>
  <si>
    <t>Du no 1900-467</t>
  </si>
  <si>
    <t>Phi 1900-467</t>
  </si>
  <si>
    <t>Da thanh toan 1900-467</t>
  </si>
  <si>
    <t>Lai 1900-467</t>
  </si>
  <si>
    <t>Lai tra gop 1900-467</t>
  </si>
  <si>
    <t>Du no 1900-468</t>
  </si>
  <si>
    <t>Phi 1900-468</t>
  </si>
  <si>
    <t>Da thanh toan 1900-468</t>
  </si>
  <si>
    <t>Lai 1900-468</t>
  </si>
  <si>
    <t>Lai tra gop 1900-468</t>
  </si>
  <si>
    <t>Du no 1900-469</t>
  </si>
  <si>
    <t>Phi 1900-469</t>
  </si>
  <si>
    <t>Da thanh toan 1900-469</t>
  </si>
  <si>
    <t>Lai 1900-469</t>
  </si>
  <si>
    <t>Lai tra gop 1900-469</t>
  </si>
  <si>
    <t>Du no 1900-470</t>
  </si>
  <si>
    <t>Phi 1900-470</t>
  </si>
  <si>
    <t>Da thanh toan 1900-470</t>
  </si>
  <si>
    <t>Lai 1900-470</t>
  </si>
  <si>
    <t>Lai tra gop 1900-470</t>
  </si>
  <si>
    <t>Du no 1900-471</t>
  </si>
  <si>
    <t>Phi 1900-471</t>
  </si>
  <si>
    <t>Da thanh toan 1900-471</t>
  </si>
  <si>
    <t>Lai 1900-471</t>
  </si>
  <si>
    <t>Lai tra gop 1900-471</t>
  </si>
  <si>
    <t>Du no 1900-472</t>
  </si>
  <si>
    <t>Phi 1900-472</t>
  </si>
  <si>
    <t>Da thanh toan 1900-472</t>
  </si>
  <si>
    <t>Lai 1900-472</t>
  </si>
  <si>
    <t>Lai tra gop 1900-472</t>
  </si>
  <si>
    <t>Du no 1900-473</t>
  </si>
  <si>
    <t>Phi 1900-473</t>
  </si>
  <si>
    <t>Da thanh toan 1900-473</t>
  </si>
  <si>
    <t>Lai 1900-473</t>
  </si>
  <si>
    <t>Lai tra gop 1900-473</t>
  </si>
  <si>
    <t>Du no 1900-474</t>
  </si>
  <si>
    <t>Phi 1900-474</t>
  </si>
  <si>
    <t>Da thanh toan 1900-474</t>
  </si>
  <si>
    <t>Lai 1900-474</t>
  </si>
  <si>
    <t>Lai tra gop 1900-474</t>
  </si>
  <si>
    <t>Du no 1900-475</t>
  </si>
  <si>
    <t>Phi 1900-475</t>
  </si>
  <si>
    <t>Da thanh toan 1900-475</t>
  </si>
  <si>
    <t>Lai 1900-475</t>
  </si>
  <si>
    <t>Lai tra gop 1900-475</t>
  </si>
  <si>
    <t>Du no 1900-476</t>
  </si>
  <si>
    <t>Phi 1900-476</t>
  </si>
  <si>
    <t>Da thanh toan 1900-476</t>
  </si>
  <si>
    <t>Lai 1900-476</t>
  </si>
  <si>
    <t>Lai tra gop 1900-476</t>
  </si>
  <si>
    <t>Du no 1900-477</t>
  </si>
  <si>
    <t>Phi 1900-477</t>
  </si>
  <si>
    <t>Da thanh toan 1900-477</t>
  </si>
  <si>
    <t>Lai 1900-477</t>
  </si>
  <si>
    <t>Lai tra gop 1900-477</t>
  </si>
  <si>
    <t>Du no 1900-478</t>
  </si>
  <si>
    <t>Phi 1900-478</t>
  </si>
  <si>
    <t>Da thanh toan 1900-478</t>
  </si>
  <si>
    <t>Lai 1900-478</t>
  </si>
  <si>
    <t>Lai tra gop 1900-478</t>
  </si>
  <si>
    <t>Du no 1900-479</t>
  </si>
  <si>
    <t>Phi 1900-479</t>
  </si>
  <si>
    <t>Da thanh toan 1900-479</t>
  </si>
  <si>
    <t>Lai 1900-479</t>
  </si>
  <si>
    <t>Lai tra gop 1900-479</t>
  </si>
  <si>
    <t>Du no 1900-480</t>
  </si>
  <si>
    <t>Phi 1900-480</t>
  </si>
  <si>
    <t>Da thanh toan 1900-480</t>
  </si>
  <si>
    <t>Lai 1900-480</t>
  </si>
  <si>
    <t>Lai tra gop 1900-480</t>
  </si>
  <si>
    <t>Du no 1900-481</t>
  </si>
  <si>
    <t>Phi 1900-481</t>
  </si>
  <si>
    <t>Da thanh toan 1900-481</t>
  </si>
  <si>
    <t>Lai 1900-481</t>
  </si>
  <si>
    <t>Lai tra gop 1900-481</t>
  </si>
  <si>
    <t>Du no 1900-482</t>
  </si>
  <si>
    <t>Phi 1900-482</t>
  </si>
  <si>
    <t>Da thanh toan 1900-482</t>
  </si>
  <si>
    <t>Lai 1900-482</t>
  </si>
  <si>
    <t>Lai tra gop 1900-482</t>
  </si>
  <si>
    <t>Du no 1900-483</t>
  </si>
  <si>
    <t>Phi 1900-483</t>
  </si>
  <si>
    <t>Da thanh toan 1900-483</t>
  </si>
  <si>
    <t>Lai 1900-483</t>
  </si>
  <si>
    <t>Lai tra gop 1900-483</t>
  </si>
  <si>
    <t>Du no 1900-484</t>
  </si>
  <si>
    <t>Phi 1900-484</t>
  </si>
  <si>
    <t>Da thanh toan 1900-484</t>
  </si>
  <si>
    <t>Lai 1900-484</t>
  </si>
  <si>
    <t>Lai tra gop 1900-484</t>
  </si>
  <si>
    <t>Du no 1900-485</t>
  </si>
  <si>
    <t>Phi 1900-485</t>
  </si>
  <si>
    <t>Da thanh toan 1900-485</t>
  </si>
  <si>
    <t>Lai 1900-485</t>
  </si>
  <si>
    <t>Lai tra gop 1900-485</t>
  </si>
  <si>
    <t>Du no 1900-486</t>
  </si>
  <si>
    <t>Phi 1900-486</t>
  </si>
  <si>
    <t>Da thanh toan 1900-486</t>
  </si>
  <si>
    <t>Lai 1900-486</t>
  </si>
  <si>
    <t>Lai tra gop 1900-486</t>
  </si>
  <si>
    <t>Du no 1900-487</t>
  </si>
  <si>
    <t>Phi 1900-487</t>
  </si>
  <si>
    <t>Da thanh toan 1900-487</t>
  </si>
  <si>
    <t>Lai 1900-487</t>
  </si>
  <si>
    <t>Lai tra gop 1900-487</t>
  </si>
  <si>
    <t>Du no 1900-488</t>
  </si>
  <si>
    <t>Phi 1900-488</t>
  </si>
  <si>
    <t>Da thanh toan 1900-488</t>
  </si>
  <si>
    <t>Lai 1900-488</t>
  </si>
  <si>
    <t>Lai tra gop 1900-488</t>
  </si>
  <si>
    <t>Du no 1900-489</t>
  </si>
  <si>
    <t>Phi 1900-489</t>
  </si>
  <si>
    <t>Da thanh toan 1900-489</t>
  </si>
  <si>
    <t>Lai 1900-489</t>
  </si>
  <si>
    <t>Lai tra gop 1900-489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</si>
</sst>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1" formatCode="_-* #,##0_-;\-* #,##0_-;_-* &quot;-&quot;_-;_-@_-"/>
    <numFmt numFmtId="43" formatCode="_-* #,##0.00_-;\-* #,##0.00_-;_-* &quot;-&quot;??_-;_-@_-"/>
    <numFmt numFmtId="164" formatCode="_(* #,##0.00_);_(* \(#,##0.00\);_(* &quot;-&quot;??_);_(@_)"/>
    <numFmt numFmtId="165" formatCode="_(* #,##0_);_(* \(#,##0\);_(* &quot;-&quot;??_);_(@_)"/>
    <numFmt numFmtId="166" formatCode="_-* #,##0_-;\-* #,##0_-;_-* &quot;-&quot;??_-;_-@_-"/>
    <numFmt numFmtId="167" formatCode="_-* #,##0.00_-;\-* #,##0.00_-;_-* &quot;-&quot;_-;_-@_-"/>
  </numFmts>
  <fonts count="23"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1"/>
      <color theme="1"/>
      <name val="Times New Roman"/>
      <family val="1"/>
    </font>
    <font>
      <b/>
      <i/>
      <sz val="10"/>
      <color rgb="FFFF0000"/>
      <name val="Calibri"/>
      <family val="2"/>
      <scheme val="minor"/>
    </font>
    <font>
      <sz val="11"/>
      <color rgb="FFFFFFFF"/>
      <name val="Calibri"/>
      <family val="2"/>
      <scheme val="minor"/>
    </font>
    <font>
      <b/>
      <i/>
      <sz val="14"/>
      <color theme="9"/>
      <name val="Calibri"/>
      <family val="2"/>
      <scheme val="minor"/>
    </font>
    <font>
      <sz val="9"/>
      <color indexed="81"/>
      <name val="Tahoma"/>
      <family val="2"/>
    </font>
    <font>
      <b/>
      <sz val="11"/>
      <color indexed="81"/>
      <name val="Times New Roman"/>
      <family val="1"/>
    </font>
    <font>
      <b/>
      <sz val="10"/>
      <color indexed="81"/>
      <name val="Tahoma"/>
      <family val="2"/>
    </font>
    <font>
      <b/>
      <sz val="15"/>
      <color indexed="81"/>
      <name val="Tahoma"/>
      <family val="2"/>
    </font>
    <font>
      <b/>
      <sz val="14"/>
      <color rgb="FFFFFFFF"/>
      <name val="Segoe UI"/>
      <family val="2"/>
    </font>
    <font>
      <b/>
      <sz val="15"/>
      <color rgb="FF0B3B8F"/>
      <name val="Segoe UI"/>
      <family val="2"/>
    </font>
    <font>
      <b/>
      <sz val="18"/>
      <color rgb="FFFFFFFF"/>
      <name val="Segoe UI"/>
      <family val="2"/>
    </font>
    <font>
      <b/>
      <i/>
      <sz val="11"/>
      <color theme="4" tint="-0.499984740745262"/>
      <name val="Segoe UI"/>
      <family val="2"/>
    </font>
    <font>
      <sz val="11"/>
      <color rgb="FF243447"/>
      <name val="Calibri"/>
      <family val="2"/>
    </font>
    <font>
      <b/>
      <sz val="14"/>
      <color rgb="FF000066"/>
      <name val="Segoe UI"/>
      <family val="2"/>
    </font>
    <font>
      <b/>
      <sz val="10"/>
      <color theme="0"/>
      <name val="Segoe UI"/>
      <family val="2"/>
    </font>
    <font>
      <b/>
      <sz val="10"/>
      <color rgb="FF8A6A00"/>
      <name val="Segoe UI"/>
      <family val="2"/>
    </font>
    <font>
      <b/>
      <i/>
      <sz val="10"/>
      <color rgb="FFFF0000"/>
      <name val="Segoe UI"/>
      <family val="2"/>
    </font>
    <font>
      <b/>
      <sz val="10"/>
      <color theme="1"/>
      <name val="Calibri"/>
      <family val="2"/>
      <scheme val="minor"/>
    </font>
  </fonts>
  <fills count="1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00B050"/>
        <bgColor indexed="64"/>
      </patternFill>
    </fill>
    <fill>
      <patternFill patternType="solid">
        <fgColor rgb="FF143F8F"/>
        <bgColor indexed="64"/>
      </patternFill>
    </fill>
    <fill>
      <patternFill patternType="solid">
        <fgColor rgb="FF0B3B8F"/>
      </patternFill>
    </fill>
    <fill>
      <patternFill patternType="solid">
        <fgColor rgb="FFEAF3FF"/>
      </patternFill>
    </fill>
    <fill>
      <patternFill patternType="solid">
        <fgColor rgb="FFFFF7D6"/>
      </patternFill>
    </fill>
    <fill>
      <patternFill patternType="solid">
        <fgColor rgb="FFF4F6FA"/>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ck">
        <color rgb="FF000066"/>
      </left>
      <right style="thin">
        <color theme="4" tint="0.39994506668294322"/>
      </right>
      <top style="thick">
        <color rgb="FF000066"/>
      </top>
      <bottom style="thin">
        <color theme="4" tint="0.39994506668294322"/>
      </bottom>
      <diagonal/>
    </border>
    <border>
      <left style="thin">
        <color theme="4" tint="0.39994506668294322"/>
      </left>
      <right style="thin">
        <color theme="4" tint="0.39994506668294322"/>
      </right>
      <top style="thick">
        <color rgb="FF000066"/>
      </top>
      <bottom style="thin">
        <color theme="4" tint="0.39994506668294322"/>
      </bottom>
      <diagonal/>
    </border>
    <border>
      <left style="thin">
        <color theme="4" tint="0.39994506668294322"/>
      </left>
      <right style="thick">
        <color rgb="FF000066"/>
      </right>
      <top style="thick">
        <color rgb="FF000066"/>
      </top>
      <bottom style="thin">
        <color theme="4" tint="0.39994506668294322"/>
      </bottom>
      <diagonal/>
    </border>
    <border>
      <left style="thick">
        <color rgb="FF000066"/>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rgb="FF000066"/>
      </right>
      <top style="thin">
        <color theme="4" tint="0.39994506668294322"/>
      </top>
      <bottom style="thin">
        <color theme="4" tint="0.39994506668294322"/>
      </bottom>
      <diagonal/>
    </border>
    <border>
      <left style="thick">
        <color rgb="FF000066"/>
      </left>
      <right/>
      <top/>
      <bottom/>
      <diagonal/>
    </border>
    <border>
      <left/>
      <right style="thick">
        <color rgb="FF000066"/>
      </right>
      <top/>
      <bottom/>
      <diagonal/>
    </border>
    <border>
      <left style="thick">
        <color rgb="FF000066"/>
      </left>
      <right/>
      <top/>
      <bottom style="thick">
        <color rgb="FF000066"/>
      </bottom>
      <diagonal/>
    </border>
    <border>
      <left/>
      <right/>
      <top/>
      <bottom style="thick">
        <color rgb="FF000066"/>
      </bottom>
      <diagonal/>
    </border>
    <border>
      <left/>
      <right style="thick">
        <color rgb="FF000066"/>
      </right>
      <top/>
      <bottom style="thick">
        <color rgb="FF000066"/>
      </bottom>
      <diagonal/>
    </border>
    <border>
      <left style="thick">
        <color rgb="FF000066"/>
      </left>
      <right/>
      <top style="thick">
        <color rgb="FF000066"/>
      </top>
      <bottom style="thick">
        <color rgb="FF000066"/>
      </bottom>
      <diagonal/>
    </border>
    <border>
      <left/>
      <right/>
      <top style="thick">
        <color rgb="FF000066"/>
      </top>
      <bottom style="thick">
        <color rgb="FF000066"/>
      </bottom>
      <diagonal/>
    </border>
    <border>
      <left/>
      <right style="thick">
        <color rgb="FF000066"/>
      </right>
      <top style="thick">
        <color rgb="FF000066"/>
      </top>
      <bottom style="thick">
        <color rgb="FF000066"/>
      </bottom>
      <diagonal/>
    </border>
    <border>
      <left style="thick">
        <color rgb="FF000066"/>
      </left>
      <right/>
      <top style="thick">
        <color rgb="FF000066"/>
      </top>
      <bottom/>
      <diagonal/>
    </border>
    <border>
      <left/>
      <right/>
      <top style="thick">
        <color rgb="FF000066"/>
      </top>
      <bottom/>
      <diagonal/>
    </border>
    <border>
      <left/>
      <right style="thick">
        <color rgb="FF000066"/>
      </right>
      <top style="thick">
        <color rgb="FF000066"/>
      </top>
      <bottom/>
      <diagonal/>
    </border>
    <border>
      <left style="thick">
        <color rgb="FF000066"/>
      </left>
      <right style="thin">
        <color indexed="64"/>
      </right>
      <top style="thick">
        <color rgb="FF000066"/>
      </top>
      <bottom style="thick">
        <color rgb="FF000066"/>
      </bottom>
      <diagonal/>
    </border>
    <border>
      <left style="thin">
        <color indexed="64"/>
      </left>
      <right style="thin">
        <color indexed="64"/>
      </right>
      <top style="thick">
        <color rgb="FF000066"/>
      </top>
      <bottom style="thick">
        <color rgb="FF000066"/>
      </bottom>
      <diagonal/>
    </border>
    <border>
      <left style="thin">
        <color indexed="64"/>
      </left>
      <right style="thick">
        <color rgb="FF000066"/>
      </right>
      <top style="thick">
        <color rgb="FF000066"/>
      </top>
      <bottom style="thick">
        <color rgb="FF000066"/>
      </bottom>
      <diagonal/>
    </border>
    <border>
      <left style="thick">
        <color rgb="FF000066"/>
      </left>
      <right/>
      <top style="thin">
        <color theme="4" tint="0.39994506668294322"/>
      </top>
      <bottom/>
      <diagonal/>
    </border>
    <border>
      <left/>
      <right/>
      <top style="thin">
        <color theme="4" tint="0.39994506668294322"/>
      </top>
      <bottom/>
      <diagonal/>
    </border>
    <border>
      <left/>
      <right style="thick">
        <color rgb="FF000066"/>
      </right>
      <top style="thin">
        <color theme="4" tint="0.39994506668294322"/>
      </top>
      <bottom/>
      <diagonal/>
    </border>
  </borders>
  <cellStyleXfs count="4">
    <xf numFmtId="0" fontId="0" fillId="0" borderId="0"/>
    <xf numFmtId="43" fontId="1" fillId="0" borderId="0" applyFont="0" applyFill="0" applyBorder="0" applyAlignment="0" applyProtection="0"/>
    <xf numFmtId="164" fontId="3" fillId="0" borderId="0" applyFont="0" applyFill="0" applyBorder="0" applyAlignment="0" applyProtection="0"/>
    <xf numFmtId="41" fontId="1" fillId="0" borderId="0" applyFont="0" applyFill="0" applyBorder="0" applyAlignment="0" applyProtection="0"/>
  </cellStyleXfs>
  <cellXfs count="88">
    <xf numFmtId="0" fontId="0" fillId="0" borderId="0" xfId="0"/>
    <xf numFmtId="0" fontId="2" fillId="3" borderId="1" xfId="0" applyFont="1" applyFill="1" applyBorder="1" applyAlignment="1">
      <alignment horizontal="center" vertical="center" wrapText="1"/>
    </xf>
    <xf numFmtId="0" fontId="2" fillId="0" borderId="1" xfId="0" applyFont="1" applyBorder="1"/>
    <xf numFmtId="0" fontId="3" fillId="5" borderId="0" xfId="0" applyFont="1" applyFill="1"/>
    <xf numFmtId="165" fontId="3" fillId="5" borderId="0" xfId="1" applyNumberFormat="1" applyFont="1" applyFill="1"/>
    <xf numFmtId="165" fontId="3" fillId="5" borderId="0" xfId="2" applyNumberFormat="1" applyFont="1" applyFill="1"/>
    <xf numFmtId="0" fontId="4" fillId="5" borderId="0" xfId="0" applyFont="1" applyFill="1" applyAlignment="1">
      <alignment horizontal="center"/>
    </xf>
    <xf numFmtId="165" fontId="0" fillId="0" borderId="0" xfId="2" applyNumberFormat="1" applyFont="1"/>
    <xf numFmtId="2" fontId="0" fillId="0" borderId="0" xfId="0" applyNumberFormat="1"/>
    <xf numFmtId="43" fontId="0" fillId="0" borderId="0" xfId="1" applyFont="1"/>
    <xf numFmtId="166" fontId="0" fillId="0" borderId="0" xfId="0" applyNumberFormat="1"/>
    <xf numFmtId="43" fontId="0" fillId="0" borderId="0" xfId="1" applyFont="1" applyBorder="1"/>
    <xf numFmtId="43" fontId="2" fillId="3" borderId="1" xfId="1" applyFont="1" applyFill="1" applyBorder="1" applyAlignment="1">
      <alignment horizontal="center" vertical="center" wrapText="1"/>
    </xf>
    <xf numFmtId="166" fontId="0" fillId="0" borderId="1" xfId="0" applyNumberFormat="1" applyBorder="1"/>
    <xf numFmtId="166" fontId="2" fillId="0" borderId="1" xfId="0" applyNumberFormat="1" applyFont="1" applyBorder="1"/>
    <xf numFmtId="166" fontId="0" fillId="0" borderId="0" xfId="1" applyNumberFormat="1" applyFont="1"/>
    <xf numFmtId="14" fontId="3" fillId="5" borderId="0" xfId="0" applyNumberFormat="1" applyFont="1" applyFill="1"/>
    <xf numFmtId="14" fontId="0" fillId="0" borderId="0" xfId="0" applyNumberFormat="1"/>
    <xf numFmtId="0" fontId="2" fillId="0" borderId="1" xfId="0" applyFont="1" applyBorder="1" applyAlignment="1">
      <alignment horizontal="center"/>
    </xf>
    <xf numFmtId="0" fontId="2" fillId="0" borderId="1" xfId="0" quotePrefix="1" applyFont="1" applyBorder="1"/>
    <xf numFmtId="43" fontId="2" fillId="0" borderId="1" xfId="1" applyFont="1" applyBorder="1"/>
    <xf numFmtId="0" fontId="2" fillId="0" borderId="2" xfId="0" applyFont="1" applyBorder="1" applyAlignment="1">
      <alignment horizontal="left"/>
    </xf>
    <xf numFmtId="22" fontId="0" fillId="0" borderId="0" xfId="0" applyNumberFormat="1"/>
    <xf numFmtId="0" fontId="5" fillId="0" borderId="0" xfId="0" applyFont="1"/>
    <xf numFmtId="165" fontId="5" fillId="0" borderId="0" xfId="2" applyNumberFormat="1" applyFont="1"/>
    <xf numFmtId="2" fontId="5" fillId="0" borderId="0" xfId="0" applyNumberFormat="1" applyFont="1"/>
    <xf numFmtId="0" fontId="2" fillId="0" borderId="1" xfId="0" applyNumberFormat="1" applyFont="1" applyBorder="1" applyAlignment="1">
      <alignment horizontal="center"/>
    </xf>
    <xf numFmtId="14" fontId="2" fillId="0" borderId="1" xfId="0" applyNumberFormat="1" applyFont="1" applyBorder="1" applyAlignment="1">
      <alignment horizontal="center"/>
    </xf>
    <xf numFmtId="167" fontId="3" fillId="5" borderId="0" xfId="3" applyNumberFormat="1" applyFont="1" applyFill="1"/>
    <xf numFmtId="167" fontId="0" fillId="0" borderId="0" xfId="3" applyNumberFormat="1" applyFont="1"/>
    <xf numFmtId="14" fontId="0" fillId="0" borderId="0" xfId="0" applyNumberFormat="1"/>
    <xf numFmtId="1" fontId="0" fillId="0" borderId="0" xfId="3" applyNumberFormat="1" applyFont="1"/>
    <xf numFmtId="0" fontId="2" fillId="0" borderId="1" xfId="0" applyFont="1" applyBorder="1" applyAlignment="1">
      <alignment horizontal="left"/>
    </xf>
    <xf numFmtId="166" fontId="2" fillId="0" borderId="1" xfId="1" applyNumberFormat="1" applyFont="1" applyBorder="1"/>
    <xf numFmtId="43" fontId="2" fillId="3" borderId="3" xfId="1" applyFont="1" applyFill="1" applyBorder="1" applyAlignment="1">
      <alignment horizontal="center" vertical="center" wrapText="1"/>
    </xf>
    <xf numFmtId="43" fontId="2" fillId="3" borderId="0" xfId="1" applyFont="1" applyFill="1" applyBorder="1" applyAlignment="1">
      <alignment horizontal="center" vertical="center" wrapText="1"/>
    </xf>
    <xf numFmtId="43" fontId="6" fillId="0" borderId="0" xfId="1" applyFont="1" applyBorder="1"/>
    <xf numFmtId="14" fontId="0" fillId="0" borderId="1" xfId="0" applyNumberFormat="1" applyBorder="1" applyProtection="1">
      <protection hidden="1"/>
    </xf>
    <xf numFmtId="0" fontId="0" fillId="0" borderId="1" xfId="0" applyBorder="1" applyProtection="1">
      <protection hidden="1"/>
    </xf>
    <xf numFmtId="166" fontId="0" fillId="0" borderId="1" xfId="1" applyNumberFormat="1" applyFont="1" applyBorder="1" applyProtection="1">
      <protection hidden="1"/>
    </xf>
    <xf numFmtId="166" fontId="0" fillId="0" borderId="1" xfId="0" applyNumberFormat="1" applyBorder="1" applyProtection="1">
      <protection hidden="1"/>
    </xf>
    <xf numFmtId="166" fontId="0" fillId="0" borderId="0" xfId="0" applyNumberFormat="1" applyProtection="1">
      <protection hidden="1"/>
    </xf>
    <xf numFmtId="0" fontId="0" fillId="0" borderId="0" xfId="0" applyProtection="1">
      <protection hidden="1"/>
    </xf>
    <xf numFmtId="43" fontId="2" fillId="4" borderId="1" xfId="1" applyFont="1" applyFill="1" applyBorder="1" applyAlignment="1">
      <alignment horizontal="center" vertical="center" wrapText="1"/>
    </xf>
    <xf numFmtId="0" fontId="7" fillId="0" borderId="0" xfId="0" applyFont="1"/>
    <xf numFmtId="14" fontId="0" fillId="0" borderId="0" xfId="0" applyNumberFormat="1"/>
    <xf numFmtId="14" fontId="0" fillId="0" borderId="0" xfId="0" applyNumberFormat="1"/>
    <xf numFmtId="0" fontId="2" fillId="0" borderId="0" xfId="0" applyFont="1" applyAlignment="1">
      <alignment horizontal="center" vertical="center"/>
    </xf>
    <xf numFmtId="14" fontId="0" fillId="0" borderId="0" xfId="0" applyNumberFormat="1"/>
    <xf numFmtId="166" fontId="0" fillId="0" borderId="1" xfId="1" applyNumberFormat="1" applyFont="1" applyBorder="1"/>
    <xf numFmtId="0" fontId="17" fillId="10" borderId="0" xfId="0" applyFont="1" applyFill="1"/>
    <xf numFmtId="0" fontId="19" fillId="6" borderId="5" xfId="0" applyFont="1" applyFill="1" applyBorder="1" applyAlignment="1">
      <alignment horizontal="center" vertical="center"/>
    </xf>
    <xf numFmtId="0" fontId="19" fillId="6" borderId="6" xfId="0" applyFont="1" applyFill="1" applyBorder="1" applyAlignment="1">
      <alignment horizontal="center" vertical="center"/>
    </xf>
    <xf numFmtId="0" fontId="19" fillId="6" borderId="6" xfId="0" applyFont="1" applyFill="1" applyBorder="1" applyAlignment="1">
      <alignment horizontal="center" vertical="center" wrapText="1"/>
    </xf>
    <xf numFmtId="0" fontId="19" fillId="6" borderId="7" xfId="0" applyFont="1" applyFill="1" applyBorder="1" applyAlignment="1">
      <alignment horizontal="center" vertical="center" wrapText="1"/>
    </xf>
    <xf numFmtId="0" fontId="22" fillId="0" borderId="8" xfId="0" applyFont="1" applyBorder="1" applyAlignment="1">
      <alignment horizontal="center" vertical="center"/>
    </xf>
    <xf numFmtId="0" fontId="22" fillId="0" borderId="4" xfId="0" applyFont="1" applyBorder="1" applyAlignment="1">
      <alignment horizontal="center" vertical="center"/>
    </xf>
    <xf numFmtId="14" fontId="22" fillId="0" borderId="4" xfId="0" applyNumberFormat="1" applyFont="1" applyBorder="1" applyAlignment="1">
      <alignment vertical="center"/>
    </xf>
    <xf numFmtId="1" fontId="22" fillId="0" borderId="4" xfId="0" applyNumberFormat="1" applyFont="1" applyBorder="1" applyAlignment="1">
      <alignment horizontal="center" vertical="center"/>
    </xf>
    <xf numFmtId="3" fontId="22" fillId="0" borderId="9" xfId="3" applyNumberFormat="1" applyFont="1" applyBorder="1" applyAlignment="1">
      <alignment vertical="center"/>
    </xf>
    <xf numFmtId="0" fontId="2" fillId="2" borderId="0" xfId="0" applyFont="1" applyFill="1" applyAlignment="1">
      <alignment horizontal="center"/>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26"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20" fillId="9" borderId="10" xfId="0" applyFont="1" applyFill="1" applyBorder="1" applyAlignment="1">
      <alignment horizontal="left" vertical="center" wrapText="1"/>
    </xf>
    <xf numFmtId="0" fontId="20" fillId="9" borderId="0" xfId="0" applyFont="1" applyFill="1" applyBorder="1" applyAlignment="1">
      <alignment horizontal="left" vertical="center" wrapText="1"/>
    </xf>
    <xf numFmtId="0" fontId="20" fillId="9" borderId="11" xfId="0" applyFont="1" applyFill="1" applyBorder="1" applyAlignment="1">
      <alignment horizontal="left" vertical="center" wrapText="1"/>
    </xf>
    <xf numFmtId="0" fontId="20" fillId="9" borderId="12"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20" fillId="9" borderId="14" xfId="0" applyFont="1" applyFill="1" applyBorder="1" applyAlignment="1">
      <alignment horizontal="left" vertical="center" wrapText="1"/>
    </xf>
    <xf numFmtId="0" fontId="8" fillId="0" borderId="0" xfId="0" applyFont="1" applyBorder="1" applyAlignment="1">
      <alignment horizontal="center"/>
    </xf>
    <xf numFmtId="0" fontId="8" fillId="0" borderId="11" xfId="0" applyFont="1" applyBorder="1" applyAlignment="1">
      <alignment horizontal="center"/>
    </xf>
    <xf numFmtId="0" fontId="13" fillId="7" borderId="21" xfId="0" applyFont="1" applyFill="1" applyBorder="1" applyAlignment="1">
      <alignment horizontal="center" vertical="center" wrapText="1"/>
    </xf>
    <xf numFmtId="0" fontId="13" fillId="7" borderId="22" xfId="0" applyFont="1" applyFill="1" applyBorder="1" applyAlignment="1">
      <alignment horizontal="center" vertical="center" wrapText="1"/>
    </xf>
    <xf numFmtId="0" fontId="13" fillId="7" borderId="23" xfId="0" applyFont="1" applyFill="1" applyBorder="1" applyAlignment="1">
      <alignment horizontal="center" vertical="center" wrapText="1"/>
    </xf>
    <xf numFmtId="0" fontId="21" fillId="0" borderId="15" xfId="0" applyFont="1" applyBorder="1" applyAlignment="1">
      <alignment horizontal="center" vertical="center" wrapText="1"/>
    </xf>
    <xf numFmtId="0" fontId="21" fillId="0" borderId="16" xfId="0" applyFont="1" applyBorder="1" applyAlignment="1">
      <alignment horizontal="center" vertical="center" wrapText="1"/>
    </xf>
    <xf numFmtId="0" fontId="21" fillId="0" borderId="17" xfId="0" applyFont="1" applyBorder="1" applyAlignment="1">
      <alignment horizontal="center" vertical="center" wrapText="1"/>
    </xf>
    <xf numFmtId="0" fontId="21" fillId="0" borderId="18" xfId="0" applyFont="1" applyBorder="1" applyAlignment="1">
      <alignment horizontal="center" vertical="center" wrapText="1"/>
    </xf>
    <xf numFmtId="0" fontId="21" fillId="0" borderId="19" xfId="0" applyFont="1" applyBorder="1" applyAlignment="1">
      <alignment horizontal="center" vertical="center" wrapText="1"/>
    </xf>
    <xf numFmtId="0" fontId="21" fillId="0" borderId="20" xfId="0" applyFont="1" applyBorder="1" applyAlignment="1">
      <alignment horizontal="center" vertical="center" wrapText="1"/>
    </xf>
    <xf numFmtId="0" fontId="14" fillId="8"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15" fillId="7" borderId="0" xfId="0" applyFont="1" applyFill="1" applyBorder="1" applyAlignment="1">
      <alignment horizontal="center" vertical="center" wrapText="1"/>
    </xf>
    <xf numFmtId="0" fontId="15" fillId="7" borderId="11" xfId="0" applyFont="1" applyFill="1" applyBorder="1" applyAlignment="1">
      <alignment horizontal="center" vertical="center" wrapText="1"/>
    </xf>
  </cellXfs>
  <cellStyles count="4">
    <cellStyle name="Comma" xfId="1" builtinId="3"/>
    <cellStyle name="Comma [0]" xfId="3" builtinId="6"/>
    <cellStyle name="Comma 2" xfId="2"/>
    <cellStyle name="Normal" xfId="0" builtinId="0"/>
  </cellStyles>
  <dxfs count="0"/>
  <tableStyles count="0" defaultTableStyle="TableStyleMedium2" defaultPivotStyle="PivotStyleLight16"/>
  <colors>
    <mruColors>
      <color rgb="FF000066"/>
      <color rgb="FFF5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5</xdr:col>
      <xdr:colOff>1559858</xdr:colOff>
      <xdr:row>10</xdr:row>
      <xdr:rowOff>94129</xdr:rowOff>
    </xdr:from>
    <xdr:ext cx="65" cy="172227"/>
    <xdr:sp macro="" textlink="">
      <xdr:nvSpPr>
        <xdr:cNvPr id="3" name="TextBox 2"/>
        <xdr:cNvSpPr txBox="1"/>
      </xdr:nvSpPr>
      <xdr:spPr>
        <a:xfrm>
          <a:off x="8032376" y="258631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1559858</xdr:colOff>
      <xdr:row>10</xdr:row>
      <xdr:rowOff>94129</xdr:rowOff>
    </xdr:from>
    <xdr:ext cx="65" cy="172227"/>
    <xdr:sp macro="" textlink="">
      <xdr:nvSpPr>
        <xdr:cNvPr id="4" name="TextBox 3"/>
        <xdr:cNvSpPr txBox="1"/>
      </xdr:nvSpPr>
      <xdr:spPr>
        <a:xfrm>
          <a:off x="8032376" y="226358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3</xdr:col>
      <xdr:colOff>281940</xdr:colOff>
      <xdr:row>16</xdr:row>
      <xdr:rowOff>351609</xdr:rowOff>
    </xdr:from>
    <xdr:to>
      <xdr:col>3</xdr:col>
      <xdr:colOff>627017</xdr:colOff>
      <xdr:row>16</xdr:row>
      <xdr:rowOff>351609</xdr:rowOff>
    </xdr:to>
    <xdr:cxnSp macro="">
      <xdr:nvCxnSpPr>
        <xdr:cNvPr id="6" name="Straight Arrow Connector 5"/>
        <xdr:cNvCxnSpPr/>
      </xdr:nvCxnSpPr>
      <xdr:spPr>
        <a:xfrm flipH="1">
          <a:off x="3520440" y="4085409"/>
          <a:ext cx="345077" cy="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0</xdr:colOff>
      <xdr:row>14</xdr:row>
      <xdr:rowOff>0</xdr:rowOff>
    </xdr:from>
    <xdr:to>
      <xdr:col>3</xdr:col>
      <xdr:colOff>7620</xdr:colOff>
      <xdr:row>18</xdr:row>
      <xdr:rowOff>7620</xdr:rowOff>
    </xdr:to>
    <xdr:pic macro="[0]!BangThongBao_ChonUpload">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95600"/>
          <a:ext cx="324612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198121</xdr:colOff>
      <xdr:row>2</xdr:row>
      <xdr:rowOff>45720</xdr:rowOff>
    </xdr:from>
    <xdr:to>
      <xdr:col>0</xdr:col>
      <xdr:colOff>1219201</xdr:colOff>
      <xdr:row>3</xdr:row>
      <xdr:rowOff>222496</xdr:rowOff>
    </xdr:to>
    <xdr:pic>
      <xdr:nvPicPr>
        <xdr:cNvPr id="2" name="Picture 1"/>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222" t="31624" r="23362" b="41453"/>
        <a:stretch/>
      </xdr:blipFill>
      <xdr:spPr>
        <a:xfrm>
          <a:off x="198121" y="708660"/>
          <a:ext cx="1021080" cy="336796"/>
        </a:xfrm>
        <a:prstGeom prst="rect">
          <a:avLst/>
        </a:prstGeom>
      </xdr:spPr>
    </xdr:pic>
    <xdr:clientData/>
  </xdr:twoCellAnchor>
  <xdr:twoCellAnchor>
    <xdr:from>
      <xdr:col>4</xdr:col>
      <xdr:colOff>0</xdr:colOff>
      <xdr:row>14</xdr:row>
      <xdr:rowOff>0</xdr:rowOff>
    </xdr:from>
    <xdr:to>
      <xdr:col>7</xdr:col>
      <xdr:colOff>7620</xdr:colOff>
      <xdr:row>18</xdr:row>
      <xdr:rowOff>7620</xdr:rowOff>
    </xdr:to>
    <xdr:pic macro="[0]!Chay_Module3_Va_6">
      <xdr:nvPicPr>
        <xdr:cNvPr id="9" name="Picture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44340" y="2849880"/>
          <a:ext cx="310896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W509"/>
  <sheetViews>
    <sheetView showGridLines="0" zoomScale="70" zoomScaleNormal="70" workbookViewId="0">
      <selection activeCell="J16" sqref="J16"/>
    </sheetView>
  </sheetViews>
  <sheetFormatPr defaultRowHeight="14.4" x14ac:dyDescent="0.3"/>
  <cols>
    <col min="1" max="1" width="15.44140625" customWidth="1"/>
    <col min="2" max="2" width="21.109375" customWidth="1"/>
    <col min="3" max="3" width="18.5546875" customWidth="1"/>
    <col min="4" max="4" width="30.6640625" customWidth="1"/>
    <col min="5" max="5" width="20.6640625" style="9" customWidth="1"/>
    <col min="6" max="6" width="16.88671875" style="9" customWidth="1"/>
    <col min="7" max="10" width="15.44140625" style="9" customWidth="1"/>
    <col min="11" max="11" width="18.44140625" customWidth="1"/>
    <col min="12" max="12" width="27.109375" customWidth="1"/>
    <col min="13" max="13" width="9.109375" hidden="1" customWidth="1"/>
    <col min="14" max="14" width="15.44140625" hidden="1" customWidth="1"/>
    <col min="15" max="20" width="8.88671875" hidden="1" customWidth="1"/>
    <col min="21" max="21" width="10.5546875" customWidth="1"/>
    <col min="22" max="23" width="8.88671875" customWidth="1"/>
  </cols>
  <sheetData>
    <row r="1" spans="1:21" x14ac:dyDescent="0.3">
      <c r="A1" s="60" t="s">
        <v>37</v>
      </c>
      <c r="B1" s="60"/>
      <c r="C1" s="60"/>
      <c r="D1" s="60"/>
      <c r="E1" s="60"/>
      <c r="F1" s="60"/>
      <c r="G1" s="60"/>
      <c r="H1" s="60"/>
      <c r="I1" s="60"/>
      <c r="J1" s="60"/>
      <c r="K1" s="60"/>
      <c r="L1" s="60"/>
    </row>
    <row r="2" spans="1:21" x14ac:dyDescent="0.3">
      <c r="B2" s="45"/>
    </row>
    <row r="3" spans="1:21" x14ac:dyDescent="0.3">
      <c r="A3" s="21" t="s">
        <v>0</v>
      </c>
      <c r="B3" s="26"/>
      <c r="D3" s="9"/>
      <c r="F3" s="11"/>
      <c r="G3" s="11"/>
      <c r="H3" s="11"/>
      <c r="I3" s="11"/>
      <c r="J3" s="11"/>
      <c r="K3" s="11"/>
    </row>
    <row r="4" spans="1:21" x14ac:dyDescent="0.3">
      <c r="A4" s="21" t="s">
        <v>1</v>
      </c>
      <c r="B4" s="18"/>
      <c r="D4" s="2" t="s">
        <v>24</v>
      </c>
      <c r="E4" s="14">
        <f>SUM(E12:E500)</f>
        <v>0</v>
      </c>
      <c r="F4" s="11"/>
      <c r="J4"/>
      <c r="K4" s="11"/>
    </row>
    <row r="5" spans="1:21" x14ac:dyDescent="0.3">
      <c r="A5" s="21" t="s">
        <v>2</v>
      </c>
      <c r="B5" s="27"/>
      <c r="D5" s="19" t="s">
        <v>26</v>
      </c>
      <c r="E5" s="13">
        <f>ROUND(SUM(F12:F500),0)</f>
        <v>0</v>
      </c>
      <c r="F5" s="11"/>
      <c r="G5" s="20" t="s">
        <v>19</v>
      </c>
      <c r="H5" s="33">
        <f>H6+H7</f>
        <v>0</v>
      </c>
      <c r="I5"/>
      <c r="J5"/>
      <c r="K5" s="36" t="s">
        <v>32</v>
      </c>
    </row>
    <row r="6" spans="1:21" x14ac:dyDescent="0.3">
      <c r="A6" s="32" t="s">
        <v>3</v>
      </c>
      <c r="B6" s="27"/>
      <c r="D6" s="19" t="s">
        <v>38</v>
      </c>
      <c r="E6" s="13">
        <f>ROUND(SUM(H12:H500),0)</f>
        <v>0</v>
      </c>
      <c r="F6" s="11"/>
      <c r="G6" s="20" t="s">
        <v>5</v>
      </c>
      <c r="H6" s="33">
        <f>ROUND(E8-E5,0)</f>
        <v>0</v>
      </c>
      <c r="I6"/>
      <c r="J6"/>
      <c r="K6" s="36" t="s">
        <v>33</v>
      </c>
    </row>
    <row r="7" spans="1:21" x14ac:dyDescent="0.3">
      <c r="A7" s="32" t="s">
        <v>4</v>
      </c>
      <c r="B7" s="26"/>
      <c r="D7" s="19" t="s">
        <v>39</v>
      </c>
      <c r="E7" s="49">
        <f>SUM(G12:G500)</f>
        <v>0</v>
      </c>
      <c r="G7" s="20" t="s">
        <v>6</v>
      </c>
      <c r="H7" s="33">
        <f>ROUND(SUM(K12:K500)+SUM(J12:J500)-SUM(H12:H500),0)</f>
        <v>0</v>
      </c>
      <c r="I7"/>
      <c r="J7"/>
      <c r="K7" s="36" t="s">
        <v>34</v>
      </c>
    </row>
    <row r="8" spans="1:21" x14ac:dyDescent="0.3">
      <c r="A8" s="32" t="s">
        <v>31</v>
      </c>
      <c r="B8" s="27"/>
      <c r="D8" s="2" t="s">
        <v>25</v>
      </c>
      <c r="E8" s="14">
        <f>SUM(D12:D500)</f>
        <v>0</v>
      </c>
      <c r="F8"/>
      <c r="K8" s="11"/>
      <c r="L8" s="11"/>
    </row>
    <row r="9" spans="1:21" x14ac:dyDescent="0.3">
      <c r="I9" s="15"/>
      <c r="K9" s="11"/>
      <c r="L9" s="11"/>
    </row>
    <row r="11" spans="1:21" ht="50.25" customHeight="1" x14ac:dyDescent="0.3">
      <c r="A11" s="1" t="s">
        <v>8</v>
      </c>
      <c r="B11" s="1" t="s">
        <v>9</v>
      </c>
      <c r="C11" s="1" t="s">
        <v>10</v>
      </c>
      <c r="D11" s="1" t="s">
        <v>30</v>
      </c>
      <c r="E11" s="12" t="s">
        <v>23</v>
      </c>
      <c r="F11" s="43" t="s">
        <v>20</v>
      </c>
      <c r="G11" s="43" t="s">
        <v>21</v>
      </c>
      <c r="H11" s="43" t="s">
        <v>22</v>
      </c>
      <c r="I11" s="12" t="s">
        <v>29</v>
      </c>
      <c r="J11" s="12" t="s">
        <v>28</v>
      </c>
      <c r="K11" s="1" t="s">
        <v>12</v>
      </c>
      <c r="L11" s="1" t="s">
        <v>11</v>
      </c>
      <c r="M11" s="34" t="s">
        <v>35</v>
      </c>
      <c r="N11" s="35" t="s">
        <v>36</v>
      </c>
    </row>
    <row r="12" spans="1:21" x14ac:dyDescent="0.3">
      <c r="A12" s="37"/>
      <c r="B12" s="37"/>
      <c r="C12" s="38"/>
      <c r="D12" s="39">
        <v>0</v>
      </c>
      <c r="E12" s="39">
        <v>0</v>
      </c>
      <c r="F12" s="39">
        <f>E12-G12-H12</f>
        <v>0</v>
      </c>
      <c r="G12" s="39">
        <v>0</v>
      </c>
      <c r="H12" s="39"/>
      <c r="I12" s="39">
        <v>0</v>
      </c>
      <c r="J12" s="39">
        <v>0</v>
      </c>
      <c r="K12" s="39">
        <v>0</v>
      </c>
      <c r="L12" s="40">
        <f>C12+J12+K12-H12-F12+D12</f>
        <v>0</v>
      </c>
      <c r="M12" s="41">
        <v>0</v>
      </c>
      <c r="N12" s="41">
        <v>0</v>
      </c>
      <c r="O12" s="42" t="s">
        <v>45</v>
      </c>
      <c r="P12" s="42" t="s">
        <v>46</v>
      </c>
      <c r="Q12" s="42" t="s">
        <v>47</v>
      </c>
      <c r="R12" s="42" t="s">
        <v>48</v>
      </c>
      <c r="S12" s="42" t="s">
        <v>49</v>
      </c>
      <c r="T12" s="42"/>
    </row>
    <row r="13" spans="1:21" x14ac:dyDescent="0.3">
      <c r="A13" s="37"/>
      <c r="B13" s="37"/>
      <c r="C13" s="40">
        <f>L12</f>
        <v>0</v>
      </c>
      <c r="D13" s="39">
        <v>0</v>
      </c>
      <c r="E13" s="39">
        <v>0</v>
      </c>
      <c r="F13" s="39">
        <f t="shared" ref="F13:F76" si="0">E13-G13-H13</f>
        <v>0</v>
      </c>
      <c r="G13" s="39">
        <v>0</v>
      </c>
      <c r="H13" s="39"/>
      <c r="I13" s="39">
        <v>0</v>
      </c>
      <c r="J13" s="39">
        <v>0</v>
      </c>
      <c r="K13" s="39">
        <v>0</v>
      </c>
      <c r="L13" s="40">
        <f t="shared" ref="L13:L76" si="1">C13+J13+K13-H13-F13+D13</f>
        <v>0</v>
      </c>
      <c r="M13" s="41">
        <v>0</v>
      </c>
      <c r="N13" s="41">
        <v>0</v>
      </c>
      <c r="O13" s="42" t="s">
        <v>52</v>
      </c>
      <c r="P13" s="42" t="s">
        <v>53</v>
      </c>
      <c r="Q13" s="42" t="s">
        <v>54</v>
      </c>
      <c r="R13" s="42" t="s">
        <v>55</v>
      </c>
      <c r="S13" s="42" t="s">
        <v>56</v>
      </c>
      <c r="T13" s="42"/>
    </row>
    <row r="14" spans="1:21" x14ac:dyDescent="0.3">
      <c r="A14" s="37"/>
      <c r="B14" s="37"/>
      <c r="C14" s="40">
        <f t="shared" ref="C14:C77" si="2">L13</f>
        <v>0</v>
      </c>
      <c r="D14" s="39">
        <v>0</v>
      </c>
      <c r="E14" s="39">
        <v>0</v>
      </c>
      <c r="F14" s="39">
        <f t="shared" si="0"/>
        <v>0</v>
      </c>
      <c r="G14" s="39">
        <v>0</v>
      </c>
      <c r="H14" s="39"/>
      <c r="I14" s="39">
        <v>0</v>
      </c>
      <c r="J14" s="39">
        <v>0</v>
      </c>
      <c r="K14" s="39">
        <v>0</v>
      </c>
      <c r="L14" s="40">
        <f t="shared" si="1"/>
        <v>0</v>
      </c>
      <c r="M14" s="41">
        <v>0</v>
      </c>
      <c r="N14" s="41">
        <v>0</v>
      </c>
      <c r="O14" s="42" t="s">
        <v>57</v>
      </c>
      <c r="P14" s="42" t="s">
        <v>58</v>
      </c>
      <c r="Q14" s="42" t="s">
        <v>59</v>
      </c>
      <c r="R14" s="42" t="s">
        <v>60</v>
      </c>
      <c r="S14" s="42" t="s">
        <v>61</v>
      </c>
      <c r="T14" s="42"/>
      <c r="U14" s="10"/>
    </row>
    <row r="15" spans="1:21" x14ac:dyDescent="0.3">
      <c r="A15" s="37"/>
      <c r="B15" s="37"/>
      <c r="C15" s="40">
        <f t="shared" si="2"/>
        <v>0</v>
      </c>
      <c r="D15" s="39">
        <v>0</v>
      </c>
      <c r="E15" s="39">
        <v>0</v>
      </c>
      <c r="F15" s="39">
        <f t="shared" si="0"/>
        <v>0</v>
      </c>
      <c r="G15" s="39">
        <v>0</v>
      </c>
      <c r="H15" s="39"/>
      <c r="I15" s="39">
        <v>0</v>
      </c>
      <c r="J15" s="39">
        <v>0</v>
      </c>
      <c r="K15" s="39">
        <v>0</v>
      </c>
      <c r="L15" s="40">
        <f t="shared" si="1"/>
        <v>0</v>
      </c>
      <c r="M15" s="41">
        <v>0</v>
      </c>
      <c r="N15" s="41">
        <v>0</v>
      </c>
      <c r="O15" s="42" t="s">
        <v>62</v>
      </c>
      <c r="P15" s="42" t="s">
        <v>63</v>
      </c>
      <c r="Q15" s="42" t="s">
        <v>64</v>
      </c>
      <c r="R15" s="42" t="s">
        <v>65</v>
      </c>
      <c r="S15" s="42" t="s">
        <v>66</v>
      </c>
      <c r="T15" s="42"/>
      <c r="U15" s="10"/>
    </row>
    <row r="16" spans="1:21" x14ac:dyDescent="0.3">
      <c r="A16" s="37"/>
      <c r="B16" s="37"/>
      <c r="C16" s="40">
        <f t="shared" si="2"/>
        <v>0</v>
      </c>
      <c r="D16" s="39">
        <v>0</v>
      </c>
      <c r="E16" s="39">
        <v>0</v>
      </c>
      <c r="F16" s="39">
        <f t="shared" si="0"/>
        <v>0</v>
      </c>
      <c r="G16" s="39">
        <v>0</v>
      </c>
      <c r="H16" s="39"/>
      <c r="I16" s="39">
        <v>0</v>
      </c>
      <c r="J16" s="39">
        <v>0</v>
      </c>
      <c r="K16" s="39">
        <v>0</v>
      </c>
      <c r="L16" s="40">
        <f t="shared" si="1"/>
        <v>0</v>
      </c>
      <c r="M16" s="41">
        <v>0</v>
      </c>
      <c r="N16" s="41">
        <v>0</v>
      </c>
      <c r="O16" s="42" t="s">
        <v>67</v>
      </c>
      <c r="P16" s="42" t="s">
        <v>68</v>
      </c>
      <c r="Q16" s="42" t="s">
        <v>69</v>
      </c>
      <c r="R16" s="42" t="s">
        <v>70</v>
      </c>
      <c r="S16" s="42" t="s">
        <v>71</v>
      </c>
      <c r="T16" s="42"/>
      <c r="U16" s="10"/>
    </row>
    <row r="17" spans="1:21" ht="15.75" customHeight="1" x14ac:dyDescent="0.3">
      <c r="A17" s="37"/>
      <c r="B17" s="37"/>
      <c r="C17" s="40">
        <f t="shared" si="2"/>
        <v>0</v>
      </c>
      <c r="D17" s="39">
        <v>0</v>
      </c>
      <c r="E17" s="39">
        <v>0</v>
      </c>
      <c r="F17" s="39">
        <f t="shared" si="0"/>
        <v>0</v>
      </c>
      <c r="G17" s="39">
        <v>0</v>
      </c>
      <c r="H17" s="39"/>
      <c r="I17" s="39">
        <v>0</v>
      </c>
      <c r="J17" s="39">
        <v>0</v>
      </c>
      <c r="K17" s="39">
        <v>0</v>
      </c>
      <c r="L17" s="40">
        <f t="shared" si="1"/>
        <v>0</v>
      </c>
      <c r="M17" s="41">
        <v>0</v>
      </c>
      <c r="N17" s="41">
        <v>0</v>
      </c>
      <c r="O17" s="42" t="s">
        <v>72</v>
      </c>
      <c r="P17" s="42" t="s">
        <v>73</v>
      </c>
      <c r="Q17" s="42" t="s">
        <v>74</v>
      </c>
      <c r="R17" s="42" t="s">
        <v>75</v>
      </c>
      <c r="S17" s="42" t="s">
        <v>76</v>
      </c>
      <c r="T17" s="42"/>
      <c r="U17" s="10"/>
    </row>
    <row r="18" spans="1:21" ht="15.75" customHeight="1" x14ac:dyDescent="0.3">
      <c r="A18" s="37"/>
      <c r="B18" s="37"/>
      <c r="C18" s="40">
        <f t="shared" si="2"/>
        <v>0</v>
      </c>
      <c r="D18" s="39">
        <v>0</v>
      </c>
      <c r="E18" s="39">
        <v>0</v>
      </c>
      <c r="F18" s="39">
        <f t="shared" si="0"/>
        <v>0</v>
      </c>
      <c r="G18" s="39">
        <v>0</v>
      </c>
      <c r="H18" s="39"/>
      <c r="I18" s="39">
        <v>0</v>
      </c>
      <c r="J18" s="39">
        <v>0</v>
      </c>
      <c r="K18" s="39">
        <v>0</v>
      </c>
      <c r="L18" s="40">
        <f t="shared" si="1"/>
        <v>0</v>
      </c>
      <c r="M18" s="41">
        <v>0</v>
      </c>
      <c r="N18" s="41">
        <v>0</v>
      </c>
      <c r="O18" s="42" t="s">
        <v>77</v>
      </c>
      <c r="P18" s="42" t="s">
        <v>78</v>
      </c>
      <c r="Q18" s="42" t="s">
        <v>79</v>
      </c>
      <c r="R18" s="42" t="s">
        <v>80</v>
      </c>
      <c r="S18" s="42" t="s">
        <v>81</v>
      </c>
      <c r="T18" s="42"/>
      <c r="U18" s="10"/>
    </row>
    <row r="19" spans="1:21" ht="15.75" customHeight="1" x14ac:dyDescent="0.3">
      <c r="A19" s="37"/>
      <c r="B19" s="37"/>
      <c r="C19" s="40">
        <f t="shared" si="2"/>
        <v>0</v>
      </c>
      <c r="D19" s="39">
        <v>0</v>
      </c>
      <c r="E19" s="39">
        <v>0</v>
      </c>
      <c r="F19" s="39">
        <f t="shared" si="0"/>
        <v>0</v>
      </c>
      <c r="G19" s="39">
        <v>0</v>
      </c>
      <c r="H19" s="39"/>
      <c r="I19" s="39">
        <v>0</v>
      </c>
      <c r="J19" s="39">
        <v>0</v>
      </c>
      <c r="K19" s="39">
        <v>0</v>
      </c>
      <c r="L19" s="40">
        <f t="shared" si="1"/>
        <v>0</v>
      </c>
      <c r="M19" s="41">
        <v>0</v>
      </c>
      <c r="N19" s="41">
        <v>0</v>
      </c>
      <c r="O19" s="42" t="s">
        <v>82</v>
      </c>
      <c r="P19" s="42" t="s">
        <v>83</v>
      </c>
      <c r="Q19" s="42" t="s">
        <v>84</v>
      </c>
      <c r="R19" s="42" t="s">
        <v>85</v>
      </c>
      <c r="S19" s="42" t="s">
        <v>86</v>
      </c>
      <c r="T19" s="42"/>
      <c r="U19" s="10"/>
    </row>
    <row r="20" spans="1:21" ht="15.75" customHeight="1" x14ac:dyDescent="0.3">
      <c r="A20" s="37"/>
      <c r="B20" s="37"/>
      <c r="C20" s="40">
        <f t="shared" si="2"/>
        <v>0</v>
      </c>
      <c r="D20" s="39">
        <v>0</v>
      </c>
      <c r="E20" s="39">
        <v>0</v>
      </c>
      <c r="F20" s="39">
        <f t="shared" si="0"/>
        <v>0</v>
      </c>
      <c r="G20" s="39">
        <v>0</v>
      </c>
      <c r="H20" s="39"/>
      <c r="I20" s="39">
        <v>0</v>
      </c>
      <c r="J20" s="39">
        <v>0</v>
      </c>
      <c r="K20" s="39">
        <v>0</v>
      </c>
      <c r="L20" s="40">
        <f t="shared" si="1"/>
        <v>0</v>
      </c>
      <c r="M20" s="41">
        <v>0</v>
      </c>
      <c r="N20" s="41">
        <v>0</v>
      </c>
      <c r="O20" s="42" t="s">
        <v>87</v>
      </c>
      <c r="P20" s="42" t="s">
        <v>88</v>
      </c>
      <c r="Q20" s="42" t="s">
        <v>89</v>
      </c>
      <c r="R20" s="42" t="s">
        <v>90</v>
      </c>
      <c r="S20" s="42" t="s">
        <v>91</v>
      </c>
      <c r="T20" s="42"/>
      <c r="U20" s="10"/>
    </row>
    <row r="21" spans="1:21" ht="15.75" customHeight="1" x14ac:dyDescent="0.3">
      <c r="A21" s="37"/>
      <c r="B21" s="37"/>
      <c r="C21" s="40">
        <f t="shared" si="2"/>
        <v>0</v>
      </c>
      <c r="D21" s="39">
        <v>0</v>
      </c>
      <c r="E21" s="39">
        <v>0</v>
      </c>
      <c r="F21" s="39">
        <f t="shared" si="0"/>
        <v>0</v>
      </c>
      <c r="G21" s="39">
        <v>0</v>
      </c>
      <c r="H21" s="39"/>
      <c r="I21" s="39">
        <v>0</v>
      </c>
      <c r="J21" s="39">
        <v>0</v>
      </c>
      <c r="K21" s="39">
        <v>0</v>
      </c>
      <c r="L21" s="40">
        <f t="shared" si="1"/>
        <v>0</v>
      </c>
      <c r="M21" s="41">
        <v>0</v>
      </c>
      <c r="N21" s="41">
        <v>0</v>
      </c>
      <c r="O21" s="42" t="s">
        <v>92</v>
      </c>
      <c r="P21" s="42" t="s">
        <v>93</v>
      </c>
      <c r="Q21" s="42" t="s">
        <v>94</v>
      </c>
      <c r="R21" s="42" t="s">
        <v>95</v>
      </c>
      <c r="S21" s="42" t="s">
        <v>96</v>
      </c>
      <c r="T21" s="42"/>
    </row>
    <row r="22" spans="1:21" x14ac:dyDescent="0.3">
      <c r="A22" s="37"/>
      <c r="B22" s="37"/>
      <c r="C22" s="40">
        <f t="shared" si="2"/>
        <v>0</v>
      </c>
      <c r="D22" s="39">
        <v>0</v>
      </c>
      <c r="E22" s="39">
        <v>0</v>
      </c>
      <c r="F22" s="39">
        <f t="shared" si="0"/>
        <v>0</v>
      </c>
      <c r="G22" s="39">
        <v>0</v>
      </c>
      <c r="H22" s="39"/>
      <c r="I22" s="39">
        <v>0</v>
      </c>
      <c r="J22" s="39">
        <v>0</v>
      </c>
      <c r="K22" s="39">
        <v>0</v>
      </c>
      <c r="L22" s="40">
        <f t="shared" si="1"/>
        <v>0</v>
      </c>
      <c r="M22" s="41">
        <v>0</v>
      </c>
      <c r="N22" s="41">
        <v>0</v>
      </c>
      <c r="O22" s="42" t="s">
        <v>97</v>
      </c>
      <c r="P22" s="42" t="s">
        <v>98</v>
      </c>
      <c r="Q22" s="42" t="s">
        <v>99</v>
      </c>
      <c r="R22" s="42" t="s">
        <v>100</v>
      </c>
      <c r="S22" s="42" t="s">
        <v>101</v>
      </c>
      <c r="T22" s="42"/>
    </row>
    <row r="23" spans="1:21" x14ac:dyDescent="0.3">
      <c r="A23" s="37"/>
      <c r="B23" s="37"/>
      <c r="C23" s="40">
        <f t="shared" si="2"/>
        <v>0</v>
      </c>
      <c r="D23" s="39">
        <v>0</v>
      </c>
      <c r="E23" s="39">
        <v>0</v>
      </c>
      <c r="F23" s="39">
        <f t="shared" si="0"/>
        <v>0</v>
      </c>
      <c r="G23" s="39">
        <v>0</v>
      </c>
      <c r="H23" s="39"/>
      <c r="I23" s="39">
        <v>0</v>
      </c>
      <c r="J23" s="39">
        <v>0</v>
      </c>
      <c r="K23" s="39">
        <v>0</v>
      </c>
      <c r="L23" s="40">
        <f t="shared" si="1"/>
        <v>0</v>
      </c>
      <c r="M23" s="41">
        <v>0</v>
      </c>
      <c r="N23" s="41">
        <v>0</v>
      </c>
      <c r="O23" s="42" t="s">
        <v>102</v>
      </c>
      <c r="P23" s="42" t="s">
        <v>103</v>
      </c>
      <c r="Q23" s="42" t="s">
        <v>104</v>
      </c>
      <c r="R23" s="42" t="s">
        <v>105</v>
      </c>
      <c r="S23" s="42" t="s">
        <v>106</v>
      </c>
      <c r="T23" s="42"/>
    </row>
    <row r="24" spans="1:21" x14ac:dyDescent="0.3">
      <c r="A24" s="37"/>
      <c r="B24" s="37"/>
      <c r="C24" s="40">
        <f t="shared" si="2"/>
        <v>0</v>
      </c>
      <c r="D24" s="39">
        <v>0</v>
      </c>
      <c r="E24" s="39">
        <v>0</v>
      </c>
      <c r="F24" s="39">
        <f t="shared" si="0"/>
        <v>0</v>
      </c>
      <c r="G24" s="39">
        <v>0</v>
      </c>
      <c r="H24" s="39"/>
      <c r="I24" s="39">
        <v>0</v>
      </c>
      <c r="J24" s="39">
        <v>0</v>
      </c>
      <c r="K24" s="39">
        <v>0</v>
      </c>
      <c r="L24" s="40">
        <f t="shared" si="1"/>
        <v>0</v>
      </c>
      <c r="M24" s="41">
        <v>0</v>
      </c>
      <c r="N24" s="41">
        <v>0</v>
      </c>
      <c r="O24" s="42" t="s">
        <v>107</v>
      </c>
      <c r="P24" s="42" t="s">
        <v>108</v>
      </c>
      <c r="Q24" s="42" t="s">
        <v>109</v>
      </c>
      <c r="R24" s="42" t="s">
        <v>110</v>
      </c>
      <c r="S24" s="42" t="s">
        <v>111</v>
      </c>
      <c r="T24" s="42"/>
    </row>
    <row r="25" spans="1:21" x14ac:dyDescent="0.3">
      <c r="A25" s="37"/>
      <c r="B25" s="37"/>
      <c r="C25" s="40">
        <f t="shared" si="2"/>
        <v>0</v>
      </c>
      <c r="D25" s="39">
        <v>0</v>
      </c>
      <c r="E25" s="39">
        <v>0</v>
      </c>
      <c r="F25" s="39">
        <f t="shared" si="0"/>
        <v>0</v>
      </c>
      <c r="G25" s="39">
        <v>0</v>
      </c>
      <c r="H25" s="39"/>
      <c r="I25" s="39">
        <v>0</v>
      </c>
      <c r="J25" s="39">
        <v>0</v>
      </c>
      <c r="K25" s="39">
        <v>0</v>
      </c>
      <c r="L25" s="40">
        <f t="shared" si="1"/>
        <v>0</v>
      </c>
      <c r="M25" s="41">
        <v>0</v>
      </c>
      <c r="N25" s="41">
        <v>0</v>
      </c>
      <c r="O25" s="42" t="s">
        <v>112</v>
      </c>
      <c r="P25" s="42" t="s">
        <v>113</v>
      </c>
      <c r="Q25" s="42" t="s">
        <v>114</v>
      </c>
      <c r="R25" s="42" t="s">
        <v>115</v>
      </c>
      <c r="S25" s="42" t="s">
        <v>116</v>
      </c>
      <c r="T25" s="42"/>
    </row>
    <row r="26" spans="1:21" x14ac:dyDescent="0.3">
      <c r="A26" s="37"/>
      <c r="B26" s="37"/>
      <c r="C26" s="40">
        <f t="shared" si="2"/>
        <v>0</v>
      </c>
      <c r="D26" s="39">
        <v>0</v>
      </c>
      <c r="E26" s="39">
        <v>0</v>
      </c>
      <c r="F26" s="39">
        <f t="shared" si="0"/>
        <v>0</v>
      </c>
      <c r="G26" s="39">
        <v>0</v>
      </c>
      <c r="H26" s="39"/>
      <c r="I26" s="39">
        <v>0</v>
      </c>
      <c r="J26" s="39">
        <v>0</v>
      </c>
      <c r="K26" s="39">
        <v>0</v>
      </c>
      <c r="L26" s="40">
        <f t="shared" si="1"/>
        <v>0</v>
      </c>
      <c r="M26" s="41">
        <v>0</v>
      </c>
      <c r="N26" s="41">
        <v>0</v>
      </c>
      <c r="O26" s="42" t="s">
        <v>117</v>
      </c>
      <c r="P26" s="42" t="s">
        <v>118</v>
      </c>
      <c r="Q26" s="42" t="s">
        <v>119</v>
      </c>
      <c r="R26" s="42" t="s">
        <v>120</v>
      </c>
      <c r="S26" s="42" t="s">
        <v>121</v>
      </c>
      <c r="T26" s="42"/>
    </row>
    <row r="27" spans="1:21" x14ac:dyDescent="0.3">
      <c r="A27" s="37"/>
      <c r="B27" s="37"/>
      <c r="C27" s="40">
        <f t="shared" si="2"/>
        <v>0</v>
      </c>
      <c r="D27" s="39">
        <v>0</v>
      </c>
      <c r="E27" s="39">
        <v>0</v>
      </c>
      <c r="F27" s="39">
        <f t="shared" si="0"/>
        <v>0</v>
      </c>
      <c r="G27" s="39">
        <v>0</v>
      </c>
      <c r="H27" s="39"/>
      <c r="I27" s="39">
        <v>0</v>
      </c>
      <c r="J27" s="39">
        <v>0</v>
      </c>
      <c r="K27" s="39">
        <v>0</v>
      </c>
      <c r="L27" s="40">
        <f t="shared" si="1"/>
        <v>0</v>
      </c>
      <c r="M27" s="41">
        <v>0</v>
      </c>
      <c r="N27" s="41">
        <v>0</v>
      </c>
      <c r="O27" s="42" t="s">
        <v>122</v>
      </c>
      <c r="P27" s="42" t="s">
        <v>123</v>
      </c>
      <c r="Q27" s="42" t="s">
        <v>124</v>
      </c>
      <c r="R27" s="42" t="s">
        <v>125</v>
      </c>
      <c r="S27" s="42" t="s">
        <v>126</v>
      </c>
      <c r="T27" s="42"/>
    </row>
    <row r="28" spans="1:21" x14ac:dyDescent="0.3">
      <c r="A28" s="37"/>
      <c r="B28" s="37"/>
      <c r="C28" s="40">
        <f t="shared" si="2"/>
        <v>0</v>
      </c>
      <c r="D28" s="39">
        <v>0</v>
      </c>
      <c r="E28" s="39">
        <v>0</v>
      </c>
      <c r="F28" s="39">
        <f t="shared" si="0"/>
        <v>0</v>
      </c>
      <c r="G28" s="39">
        <v>0</v>
      </c>
      <c r="H28" s="39"/>
      <c r="I28" s="39">
        <v>0</v>
      </c>
      <c r="J28" s="39">
        <v>0</v>
      </c>
      <c r="K28" s="39">
        <v>0</v>
      </c>
      <c r="L28" s="40">
        <f t="shared" si="1"/>
        <v>0</v>
      </c>
      <c r="M28" s="41">
        <v>0</v>
      </c>
      <c r="N28" s="41">
        <v>0</v>
      </c>
      <c r="O28" s="42" t="s">
        <v>127</v>
      </c>
      <c r="P28" s="42" t="s">
        <v>128</v>
      </c>
      <c r="Q28" s="42" t="s">
        <v>129</v>
      </c>
      <c r="R28" s="42" t="s">
        <v>130</v>
      </c>
      <c r="S28" s="42" t="s">
        <v>131</v>
      </c>
      <c r="T28" s="42"/>
    </row>
    <row r="29" spans="1:21" x14ac:dyDescent="0.3">
      <c r="A29" s="37"/>
      <c r="B29" s="37"/>
      <c r="C29" s="40">
        <f t="shared" si="2"/>
        <v>0</v>
      </c>
      <c r="D29" s="39">
        <v>0</v>
      </c>
      <c r="E29" s="39">
        <v>0</v>
      </c>
      <c r="F29" s="39">
        <f t="shared" si="0"/>
        <v>0</v>
      </c>
      <c r="G29" s="39">
        <v>0</v>
      </c>
      <c r="H29" s="39"/>
      <c r="I29" s="39">
        <v>0</v>
      </c>
      <c r="J29" s="39">
        <v>0</v>
      </c>
      <c r="K29" s="39">
        <v>0</v>
      </c>
      <c r="L29" s="40">
        <f t="shared" si="1"/>
        <v>0</v>
      </c>
      <c r="M29" s="41">
        <v>0</v>
      </c>
      <c r="N29" s="41">
        <v>0</v>
      </c>
      <c r="O29" s="42" t="s">
        <v>132</v>
      </c>
      <c r="P29" s="42" t="s">
        <v>133</v>
      </c>
      <c r="Q29" s="42" t="s">
        <v>134</v>
      </c>
      <c r="R29" s="42" t="s">
        <v>135</v>
      </c>
      <c r="S29" s="42" t="s">
        <v>136</v>
      </c>
      <c r="T29" s="42"/>
    </row>
    <row r="30" spans="1:21" x14ac:dyDescent="0.3">
      <c r="A30" s="37"/>
      <c r="B30" s="37"/>
      <c r="C30" s="40">
        <f t="shared" si="2"/>
        <v>0</v>
      </c>
      <c r="D30" s="39">
        <v>0</v>
      </c>
      <c r="E30" s="39">
        <v>0</v>
      </c>
      <c r="F30" s="39">
        <f t="shared" si="0"/>
        <v>0</v>
      </c>
      <c r="G30" s="39">
        <v>0</v>
      </c>
      <c r="H30" s="39"/>
      <c r="I30" s="39">
        <v>0</v>
      </c>
      <c r="J30" s="39">
        <v>0</v>
      </c>
      <c r="K30" s="39">
        <v>0</v>
      </c>
      <c r="L30" s="40">
        <f t="shared" si="1"/>
        <v>0</v>
      </c>
      <c r="M30" s="41">
        <v>0</v>
      </c>
      <c r="N30" s="41">
        <v>0</v>
      </c>
      <c r="O30" s="42" t="s">
        <v>137</v>
      </c>
      <c r="P30" s="42" t="s">
        <v>138</v>
      </c>
      <c r="Q30" s="42" t="s">
        <v>139</v>
      </c>
      <c r="R30" s="42" t="s">
        <v>140</v>
      </c>
      <c r="S30" s="42" t="s">
        <v>141</v>
      </c>
      <c r="T30" s="42"/>
    </row>
    <row r="31" spans="1:21" x14ac:dyDescent="0.3">
      <c r="A31" s="37"/>
      <c r="B31" s="37"/>
      <c r="C31" s="40">
        <f t="shared" si="2"/>
        <v>0</v>
      </c>
      <c r="D31" s="39">
        <v>0</v>
      </c>
      <c r="E31" s="39">
        <v>0</v>
      </c>
      <c r="F31" s="39">
        <f t="shared" si="0"/>
        <v>0</v>
      </c>
      <c r="G31" s="39">
        <v>0</v>
      </c>
      <c r="H31" s="39"/>
      <c r="I31" s="39">
        <v>0</v>
      </c>
      <c r="J31" s="39">
        <v>0</v>
      </c>
      <c r="K31" s="39">
        <v>0</v>
      </c>
      <c r="L31" s="40">
        <f t="shared" si="1"/>
        <v>0</v>
      </c>
      <c r="M31" s="41">
        <v>0</v>
      </c>
      <c r="N31" s="41">
        <v>0</v>
      </c>
      <c r="O31" s="42" t="s">
        <v>142</v>
      </c>
      <c r="P31" s="42" t="s">
        <v>143</v>
      </c>
      <c r="Q31" s="42" t="s">
        <v>144</v>
      </c>
      <c r="R31" s="42" t="s">
        <v>145</v>
      </c>
      <c r="S31" s="42" t="s">
        <v>146</v>
      </c>
      <c r="T31" s="42"/>
    </row>
    <row r="32" spans="1:21" x14ac:dyDescent="0.3">
      <c r="A32" s="37"/>
      <c r="B32" s="37"/>
      <c r="C32" s="40">
        <f t="shared" si="2"/>
        <v>0</v>
      </c>
      <c r="D32" s="39">
        <v>0</v>
      </c>
      <c r="E32" s="39">
        <v>0</v>
      </c>
      <c r="F32" s="39">
        <f t="shared" si="0"/>
        <v>0</v>
      </c>
      <c r="G32" s="39">
        <v>0</v>
      </c>
      <c r="H32" s="39"/>
      <c r="I32" s="39">
        <v>0</v>
      </c>
      <c r="J32" s="39">
        <v>0</v>
      </c>
      <c r="K32" s="39">
        <v>0</v>
      </c>
      <c r="L32" s="40">
        <f t="shared" si="1"/>
        <v>0</v>
      </c>
      <c r="M32" s="41">
        <v>0</v>
      </c>
      <c r="N32" s="41">
        <v>0</v>
      </c>
      <c r="O32" s="42" t="s">
        <v>147</v>
      </c>
      <c r="P32" s="42" t="s">
        <v>148</v>
      </c>
      <c r="Q32" s="42" t="s">
        <v>149</v>
      </c>
      <c r="R32" s="42" t="s">
        <v>150</v>
      </c>
      <c r="S32" s="42" t="s">
        <v>151</v>
      </c>
      <c r="T32" s="42"/>
    </row>
    <row r="33" spans="1:20" x14ac:dyDescent="0.3">
      <c r="A33" s="37"/>
      <c r="B33" s="37"/>
      <c r="C33" s="40">
        <f t="shared" si="2"/>
        <v>0</v>
      </c>
      <c r="D33" s="39">
        <v>0</v>
      </c>
      <c r="E33" s="39">
        <v>0</v>
      </c>
      <c r="F33" s="39">
        <f t="shared" si="0"/>
        <v>0</v>
      </c>
      <c r="G33" s="39">
        <v>0</v>
      </c>
      <c r="H33" s="39"/>
      <c r="I33" s="39">
        <v>0</v>
      </c>
      <c r="J33" s="39">
        <v>0</v>
      </c>
      <c r="K33" s="39">
        <v>0</v>
      </c>
      <c r="L33" s="40">
        <f t="shared" si="1"/>
        <v>0</v>
      </c>
      <c r="M33" s="41">
        <v>0</v>
      </c>
      <c r="N33" s="41">
        <v>0</v>
      </c>
      <c r="O33" s="42" t="s">
        <v>152</v>
      </c>
      <c r="P33" s="42" t="s">
        <v>153</v>
      </c>
      <c r="Q33" s="42" t="s">
        <v>154</v>
      </c>
      <c r="R33" s="42" t="s">
        <v>155</v>
      </c>
      <c r="S33" s="42" t="s">
        <v>156</v>
      </c>
      <c r="T33" s="42"/>
    </row>
    <row r="34" spans="1:20" x14ac:dyDescent="0.3">
      <c r="A34" s="37"/>
      <c r="B34" s="37"/>
      <c r="C34" s="40">
        <f t="shared" si="2"/>
        <v>0</v>
      </c>
      <c r="D34" s="39">
        <v>0</v>
      </c>
      <c r="E34" s="39">
        <v>0</v>
      </c>
      <c r="F34" s="39">
        <f t="shared" si="0"/>
        <v>0</v>
      </c>
      <c r="G34" s="39">
        <v>0</v>
      </c>
      <c r="H34" s="39"/>
      <c r="I34" s="39">
        <v>0</v>
      </c>
      <c r="J34" s="39">
        <v>0</v>
      </c>
      <c r="K34" s="39">
        <v>0</v>
      </c>
      <c r="L34" s="40">
        <f t="shared" si="1"/>
        <v>0</v>
      </c>
      <c r="M34" s="41">
        <v>0</v>
      </c>
      <c r="N34" s="41">
        <v>0</v>
      </c>
      <c r="O34" s="42" t="s">
        <v>157</v>
      </c>
      <c r="P34" s="42" t="s">
        <v>158</v>
      </c>
      <c r="Q34" s="42" t="s">
        <v>159</v>
      </c>
      <c r="R34" s="42" t="s">
        <v>160</v>
      </c>
      <c r="S34" s="42" t="s">
        <v>161</v>
      </c>
      <c r="T34" s="42"/>
    </row>
    <row r="35" spans="1:20" x14ac:dyDescent="0.3">
      <c r="A35" s="37"/>
      <c r="B35" s="37"/>
      <c r="C35" s="40">
        <f t="shared" si="2"/>
        <v>0</v>
      </c>
      <c r="D35" s="39">
        <v>0</v>
      </c>
      <c r="E35" s="39">
        <v>0</v>
      </c>
      <c r="F35" s="39">
        <f t="shared" si="0"/>
        <v>0</v>
      </c>
      <c r="G35" s="39">
        <v>0</v>
      </c>
      <c r="H35" s="39"/>
      <c r="I35" s="39">
        <v>0</v>
      </c>
      <c r="J35" s="39">
        <v>0</v>
      </c>
      <c r="K35" s="39">
        <v>0</v>
      </c>
      <c r="L35" s="40">
        <f t="shared" si="1"/>
        <v>0</v>
      </c>
      <c r="M35" s="41">
        <v>0</v>
      </c>
      <c r="N35" s="41">
        <v>0</v>
      </c>
      <c r="O35" s="42" t="s">
        <v>162</v>
      </c>
      <c r="P35" s="42" t="s">
        <v>163</v>
      </c>
      <c r="Q35" s="42" t="s">
        <v>164</v>
      </c>
      <c r="R35" s="42" t="s">
        <v>165</v>
      </c>
      <c r="S35" s="42" t="s">
        <v>166</v>
      </c>
      <c r="T35" s="42"/>
    </row>
    <row r="36" spans="1:20" x14ac:dyDescent="0.3">
      <c r="A36" s="37"/>
      <c r="B36" s="37"/>
      <c r="C36" s="40">
        <f t="shared" si="2"/>
        <v>0</v>
      </c>
      <c r="D36" s="39">
        <v>0</v>
      </c>
      <c r="E36" s="39">
        <v>0</v>
      </c>
      <c r="F36" s="39">
        <f t="shared" si="0"/>
        <v>0</v>
      </c>
      <c r="G36" s="39">
        <v>0</v>
      </c>
      <c r="H36" s="39"/>
      <c r="I36" s="39">
        <v>0</v>
      </c>
      <c r="J36" s="39">
        <v>0</v>
      </c>
      <c r="K36" s="39">
        <v>0</v>
      </c>
      <c r="L36" s="40">
        <f t="shared" si="1"/>
        <v>0</v>
      </c>
      <c r="M36" s="41">
        <v>0</v>
      </c>
      <c r="N36" s="41">
        <v>0</v>
      </c>
      <c r="O36" s="42" t="s">
        <v>167</v>
      </c>
      <c r="P36" s="42" t="s">
        <v>168</v>
      </c>
      <c r="Q36" s="42" t="s">
        <v>169</v>
      </c>
      <c r="R36" s="42" t="s">
        <v>170</v>
      </c>
      <c r="S36" s="42" t="s">
        <v>171</v>
      </c>
      <c r="T36" s="42"/>
    </row>
    <row r="37" spans="1:20" x14ac:dyDescent="0.3">
      <c r="A37" s="37"/>
      <c r="B37" s="37"/>
      <c r="C37" s="40">
        <f t="shared" si="2"/>
        <v>0</v>
      </c>
      <c r="D37" s="39">
        <v>0</v>
      </c>
      <c r="E37" s="39">
        <v>0</v>
      </c>
      <c r="F37" s="39">
        <f t="shared" si="0"/>
        <v>0</v>
      </c>
      <c r="G37" s="39">
        <v>0</v>
      </c>
      <c r="H37" s="39"/>
      <c r="I37" s="39">
        <v>0</v>
      </c>
      <c r="J37" s="39">
        <v>0</v>
      </c>
      <c r="K37" s="39">
        <v>0</v>
      </c>
      <c r="L37" s="40">
        <f t="shared" si="1"/>
        <v>0</v>
      </c>
      <c r="M37" s="41">
        <v>0</v>
      </c>
      <c r="N37" s="41">
        <v>0</v>
      </c>
      <c r="O37" s="42" t="s">
        <v>172</v>
      </c>
      <c r="P37" s="42" t="s">
        <v>173</v>
      </c>
      <c r="Q37" s="42" t="s">
        <v>174</v>
      </c>
      <c r="R37" s="42" t="s">
        <v>175</v>
      </c>
      <c r="S37" s="42" t="s">
        <v>176</v>
      </c>
      <c r="T37" s="42"/>
    </row>
    <row r="38" spans="1:20" x14ac:dyDescent="0.3">
      <c r="A38" s="37"/>
      <c r="B38" s="37"/>
      <c r="C38" s="40">
        <f t="shared" si="2"/>
        <v>0</v>
      </c>
      <c r="D38" s="39">
        <v>0</v>
      </c>
      <c r="E38" s="39">
        <v>0</v>
      </c>
      <c r="F38" s="39">
        <f t="shared" si="0"/>
        <v>0</v>
      </c>
      <c r="G38" s="39">
        <v>0</v>
      </c>
      <c r="H38" s="39"/>
      <c r="I38" s="39">
        <v>0</v>
      </c>
      <c r="J38" s="39">
        <v>0</v>
      </c>
      <c r="K38" s="39">
        <v>0</v>
      </c>
      <c r="L38" s="40">
        <f t="shared" si="1"/>
        <v>0</v>
      </c>
      <c r="M38" s="41">
        <v>0</v>
      </c>
      <c r="N38" s="41">
        <v>0</v>
      </c>
      <c r="O38" s="42" t="s">
        <v>177</v>
      </c>
      <c r="P38" s="42" t="s">
        <v>178</v>
      </c>
      <c r="Q38" s="42" t="s">
        <v>179</v>
      </c>
      <c r="R38" s="42" t="s">
        <v>180</v>
      </c>
      <c r="S38" s="42" t="s">
        <v>181</v>
      </c>
      <c r="T38" s="42"/>
    </row>
    <row r="39" spans="1:20" x14ac:dyDescent="0.3">
      <c r="A39" s="37"/>
      <c r="B39" s="37"/>
      <c r="C39" s="40">
        <f t="shared" si="2"/>
        <v>0</v>
      </c>
      <c r="D39" s="39">
        <v>0</v>
      </c>
      <c r="E39" s="39">
        <v>0</v>
      </c>
      <c r="F39" s="39">
        <f t="shared" si="0"/>
        <v>0</v>
      </c>
      <c r="G39" s="39">
        <v>0</v>
      </c>
      <c r="H39" s="39"/>
      <c r="I39" s="39">
        <v>0</v>
      </c>
      <c r="J39" s="39">
        <v>0</v>
      </c>
      <c r="K39" s="39">
        <v>0</v>
      </c>
      <c r="L39" s="40">
        <f t="shared" si="1"/>
        <v>0</v>
      </c>
      <c r="M39" s="41">
        <v>0</v>
      </c>
      <c r="N39" s="41">
        <v>0</v>
      </c>
      <c r="O39" s="42" t="s">
        <v>182</v>
      </c>
      <c r="P39" s="42" t="s">
        <v>183</v>
      </c>
      <c r="Q39" s="42" t="s">
        <v>184</v>
      </c>
      <c r="R39" s="42" t="s">
        <v>185</v>
      </c>
      <c r="S39" s="42" t="s">
        <v>186</v>
      </c>
      <c r="T39" s="42"/>
    </row>
    <row r="40" spans="1:20" x14ac:dyDescent="0.3">
      <c r="A40" s="37"/>
      <c r="B40" s="37"/>
      <c r="C40" s="40">
        <f t="shared" si="2"/>
        <v>0</v>
      </c>
      <c r="D40" s="39">
        <v>0</v>
      </c>
      <c r="E40" s="39">
        <v>0</v>
      </c>
      <c r="F40" s="39">
        <f t="shared" si="0"/>
        <v>0</v>
      </c>
      <c r="G40" s="39">
        <v>0</v>
      </c>
      <c r="H40" s="39"/>
      <c r="I40" s="39">
        <v>0</v>
      </c>
      <c r="J40" s="39">
        <v>0</v>
      </c>
      <c r="K40" s="39">
        <v>0</v>
      </c>
      <c r="L40" s="40">
        <f t="shared" si="1"/>
        <v>0</v>
      </c>
      <c r="M40" s="41">
        <v>0</v>
      </c>
      <c r="N40" s="41">
        <v>0</v>
      </c>
      <c r="O40" s="42" t="s">
        <v>187</v>
      </c>
      <c r="P40" s="42" t="s">
        <v>188</v>
      </c>
      <c r="Q40" s="42" t="s">
        <v>189</v>
      </c>
      <c r="R40" s="42" t="s">
        <v>190</v>
      </c>
      <c r="S40" s="42" t="s">
        <v>191</v>
      </c>
      <c r="T40" s="42"/>
    </row>
    <row r="41" spans="1:20" x14ac:dyDescent="0.3">
      <c r="A41" s="37"/>
      <c r="B41" s="37"/>
      <c r="C41" s="40">
        <f t="shared" si="2"/>
        <v>0</v>
      </c>
      <c r="D41" s="39">
        <v>0</v>
      </c>
      <c r="E41" s="39">
        <v>0</v>
      </c>
      <c r="F41" s="39">
        <f t="shared" si="0"/>
        <v>0</v>
      </c>
      <c r="G41" s="39">
        <v>0</v>
      </c>
      <c r="H41" s="39"/>
      <c r="I41" s="39">
        <v>0</v>
      </c>
      <c r="J41" s="39">
        <v>0</v>
      </c>
      <c r="K41" s="39">
        <v>0</v>
      </c>
      <c r="L41" s="40">
        <f t="shared" si="1"/>
        <v>0</v>
      </c>
      <c r="M41" s="41">
        <v>0</v>
      </c>
      <c r="N41" s="41">
        <v>0</v>
      </c>
      <c r="O41" s="42" t="s">
        <v>192</v>
      </c>
      <c r="P41" s="42" t="s">
        <v>193</v>
      </c>
      <c r="Q41" s="42" t="s">
        <v>194</v>
      </c>
      <c r="R41" s="42" t="s">
        <v>195</v>
      </c>
      <c r="S41" s="42" t="s">
        <v>196</v>
      </c>
      <c r="T41" s="42"/>
    </row>
    <row r="42" spans="1:20" x14ac:dyDescent="0.3">
      <c r="A42" s="37"/>
      <c r="B42" s="37"/>
      <c r="C42" s="40">
        <f t="shared" si="2"/>
        <v>0</v>
      </c>
      <c r="D42" s="39">
        <v>0</v>
      </c>
      <c r="E42" s="39">
        <v>0</v>
      </c>
      <c r="F42" s="39">
        <f t="shared" si="0"/>
        <v>0</v>
      </c>
      <c r="G42" s="39">
        <v>0</v>
      </c>
      <c r="H42" s="39"/>
      <c r="I42" s="39">
        <v>0</v>
      </c>
      <c r="J42" s="39">
        <v>0</v>
      </c>
      <c r="K42" s="39">
        <v>0</v>
      </c>
      <c r="L42" s="40">
        <f t="shared" si="1"/>
        <v>0</v>
      </c>
      <c r="M42" s="41">
        <v>0</v>
      </c>
      <c r="N42" s="41">
        <v>0</v>
      </c>
      <c r="O42" s="42" t="s">
        <v>197</v>
      </c>
      <c r="P42" s="42" t="s">
        <v>198</v>
      </c>
      <c r="Q42" s="42" t="s">
        <v>199</v>
      </c>
      <c r="R42" s="42" t="s">
        <v>200</v>
      </c>
      <c r="S42" s="42" t="s">
        <v>201</v>
      </c>
      <c r="T42" s="42"/>
    </row>
    <row r="43" spans="1:20" x14ac:dyDescent="0.3">
      <c r="A43" s="37"/>
      <c r="B43" s="37"/>
      <c r="C43" s="40">
        <f t="shared" si="2"/>
        <v>0</v>
      </c>
      <c r="D43" s="39">
        <v>0</v>
      </c>
      <c r="E43" s="39">
        <v>0</v>
      </c>
      <c r="F43" s="39">
        <f t="shared" si="0"/>
        <v>0</v>
      </c>
      <c r="G43" s="39">
        <v>0</v>
      </c>
      <c r="H43" s="39"/>
      <c r="I43" s="39">
        <v>0</v>
      </c>
      <c r="J43" s="39">
        <v>0</v>
      </c>
      <c r="K43" s="39">
        <v>0</v>
      </c>
      <c r="L43" s="40">
        <f t="shared" si="1"/>
        <v>0</v>
      </c>
      <c r="M43" s="41">
        <v>0</v>
      </c>
      <c r="N43" s="41">
        <v>0</v>
      </c>
      <c r="O43" s="42" t="s">
        <v>202</v>
      </c>
      <c r="P43" s="42" t="s">
        <v>203</v>
      </c>
      <c r="Q43" s="42" t="s">
        <v>204</v>
      </c>
      <c r="R43" s="42" t="s">
        <v>205</v>
      </c>
      <c r="S43" s="42" t="s">
        <v>206</v>
      </c>
      <c r="T43" s="42"/>
    </row>
    <row r="44" spans="1:20" x14ac:dyDescent="0.3">
      <c r="A44" s="37"/>
      <c r="B44" s="37"/>
      <c r="C44" s="40">
        <f t="shared" si="2"/>
        <v>0</v>
      </c>
      <c r="D44" s="39">
        <v>0</v>
      </c>
      <c r="E44" s="39">
        <v>0</v>
      </c>
      <c r="F44" s="39">
        <f t="shared" si="0"/>
        <v>0</v>
      </c>
      <c r="G44" s="39">
        <v>0</v>
      </c>
      <c r="H44" s="39"/>
      <c r="I44" s="39">
        <v>0</v>
      </c>
      <c r="J44" s="39">
        <v>0</v>
      </c>
      <c r="K44" s="39">
        <v>0</v>
      </c>
      <c r="L44" s="40">
        <f t="shared" si="1"/>
        <v>0</v>
      </c>
      <c r="M44" s="41">
        <v>0</v>
      </c>
      <c r="N44" s="41">
        <v>0</v>
      </c>
      <c r="O44" s="42" t="s">
        <v>207</v>
      </c>
      <c r="P44" s="42" t="s">
        <v>208</v>
      </c>
      <c r="Q44" s="42" t="s">
        <v>209</v>
      </c>
      <c r="R44" s="42" t="s">
        <v>210</v>
      </c>
      <c r="S44" s="42" t="s">
        <v>211</v>
      </c>
      <c r="T44" s="42"/>
    </row>
    <row r="45" spans="1:20" x14ac:dyDescent="0.3">
      <c r="A45" s="37"/>
      <c r="B45" s="37"/>
      <c r="C45" s="40">
        <f t="shared" si="2"/>
        <v>0</v>
      </c>
      <c r="D45" s="39">
        <v>0</v>
      </c>
      <c r="E45" s="39">
        <v>0</v>
      </c>
      <c r="F45" s="39">
        <f t="shared" si="0"/>
        <v>0</v>
      </c>
      <c r="G45" s="39">
        <v>0</v>
      </c>
      <c r="H45" s="39"/>
      <c r="I45" s="39">
        <v>0</v>
      </c>
      <c r="J45" s="39">
        <v>0</v>
      </c>
      <c r="K45" s="39">
        <v>0</v>
      </c>
      <c r="L45" s="40">
        <f t="shared" si="1"/>
        <v>0</v>
      </c>
      <c r="M45" s="41">
        <v>0</v>
      </c>
      <c r="N45" s="41">
        <v>0</v>
      </c>
      <c r="O45" s="42" t="s">
        <v>212</v>
      </c>
      <c r="P45" s="42" t="s">
        <v>213</v>
      </c>
      <c r="Q45" s="42" t="s">
        <v>214</v>
      </c>
      <c r="R45" s="42" t="s">
        <v>215</v>
      </c>
      <c r="S45" s="42" t="s">
        <v>216</v>
      </c>
      <c r="T45" s="42"/>
    </row>
    <row r="46" spans="1:20" x14ac:dyDescent="0.3">
      <c r="A46" s="37"/>
      <c r="B46" s="37"/>
      <c r="C46" s="40">
        <f t="shared" si="2"/>
        <v>0</v>
      </c>
      <c r="D46" s="39">
        <v>0</v>
      </c>
      <c r="E46" s="39">
        <v>0</v>
      </c>
      <c r="F46" s="39">
        <f t="shared" si="0"/>
        <v>0</v>
      </c>
      <c r="G46" s="39">
        <v>0</v>
      </c>
      <c r="H46" s="39"/>
      <c r="I46" s="39">
        <v>0</v>
      </c>
      <c r="J46" s="39">
        <v>0</v>
      </c>
      <c r="K46" s="39">
        <v>0</v>
      </c>
      <c r="L46" s="40">
        <f t="shared" si="1"/>
        <v>0</v>
      </c>
      <c r="M46" s="41">
        <v>0</v>
      </c>
      <c r="N46" s="41">
        <v>0</v>
      </c>
      <c r="O46" s="42" t="s">
        <v>217</v>
      </c>
      <c r="P46" s="42" t="s">
        <v>218</v>
      </c>
      <c r="Q46" s="42" t="s">
        <v>219</v>
      </c>
      <c r="R46" s="42" t="s">
        <v>220</v>
      </c>
      <c r="S46" s="42" t="s">
        <v>221</v>
      </c>
      <c r="T46" s="42"/>
    </row>
    <row r="47" spans="1:20" x14ac:dyDescent="0.3">
      <c r="A47" s="37"/>
      <c r="B47" s="37"/>
      <c r="C47" s="40">
        <f t="shared" si="2"/>
        <v>0</v>
      </c>
      <c r="D47" s="39">
        <v>0</v>
      </c>
      <c r="E47" s="39">
        <v>0</v>
      </c>
      <c r="F47" s="39">
        <f t="shared" si="0"/>
        <v>0</v>
      </c>
      <c r="G47" s="39">
        <v>0</v>
      </c>
      <c r="H47" s="39"/>
      <c r="I47" s="39">
        <v>0</v>
      </c>
      <c r="J47" s="39">
        <v>0</v>
      </c>
      <c r="K47" s="39">
        <v>0</v>
      </c>
      <c r="L47" s="40">
        <f t="shared" si="1"/>
        <v>0</v>
      </c>
      <c r="M47" s="41">
        <v>0</v>
      </c>
      <c r="N47" s="41">
        <v>0</v>
      </c>
      <c r="O47" s="42" t="s">
        <v>222</v>
      </c>
      <c r="P47" s="42" t="s">
        <v>223</v>
      </c>
      <c r="Q47" s="42" t="s">
        <v>224</v>
      </c>
      <c r="R47" s="42" t="s">
        <v>225</v>
      </c>
      <c r="S47" s="42" t="s">
        <v>226</v>
      </c>
      <c r="T47" s="42"/>
    </row>
    <row r="48" spans="1:20" x14ac:dyDescent="0.3">
      <c r="A48" s="37"/>
      <c r="B48" s="37"/>
      <c r="C48" s="40">
        <f t="shared" si="2"/>
        <v>0</v>
      </c>
      <c r="D48" s="39">
        <v>0</v>
      </c>
      <c r="E48" s="39">
        <v>0</v>
      </c>
      <c r="F48" s="39">
        <f t="shared" si="0"/>
        <v>0</v>
      </c>
      <c r="G48" s="39">
        <v>0</v>
      </c>
      <c r="H48" s="39"/>
      <c r="I48" s="39">
        <v>0</v>
      </c>
      <c r="J48" s="39">
        <v>0</v>
      </c>
      <c r="K48" s="39">
        <v>0</v>
      </c>
      <c r="L48" s="40">
        <f t="shared" si="1"/>
        <v>0</v>
      </c>
      <c r="M48" s="41">
        <v>0</v>
      </c>
      <c r="N48" s="41">
        <v>0</v>
      </c>
      <c r="O48" s="42" t="s">
        <v>227</v>
      </c>
      <c r="P48" s="42" t="s">
        <v>228</v>
      </c>
      <c r="Q48" s="42" t="s">
        <v>229</v>
      </c>
      <c r="R48" s="42" t="s">
        <v>230</v>
      </c>
      <c r="S48" s="42" t="s">
        <v>231</v>
      </c>
      <c r="T48" s="42"/>
    </row>
    <row r="49" spans="1:20" x14ac:dyDescent="0.3">
      <c r="A49" s="37"/>
      <c r="B49" s="37"/>
      <c r="C49" s="40">
        <f t="shared" si="2"/>
        <v>0</v>
      </c>
      <c r="D49" s="39">
        <v>0</v>
      </c>
      <c r="E49" s="39">
        <v>0</v>
      </c>
      <c r="F49" s="39">
        <f t="shared" si="0"/>
        <v>0</v>
      </c>
      <c r="G49" s="39">
        <v>0</v>
      </c>
      <c r="H49" s="39"/>
      <c r="I49" s="39">
        <v>0</v>
      </c>
      <c r="J49" s="39">
        <v>0</v>
      </c>
      <c r="K49" s="39">
        <v>0</v>
      </c>
      <c r="L49" s="40">
        <f t="shared" si="1"/>
        <v>0</v>
      </c>
      <c r="M49" s="41">
        <v>0</v>
      </c>
      <c r="N49" s="41">
        <v>0</v>
      </c>
      <c r="O49" s="42" t="s">
        <v>232</v>
      </c>
      <c r="P49" s="42" t="s">
        <v>233</v>
      </c>
      <c r="Q49" s="42" t="s">
        <v>234</v>
      </c>
      <c r="R49" s="42" t="s">
        <v>235</v>
      </c>
      <c r="S49" s="42" t="s">
        <v>236</v>
      </c>
      <c r="T49" s="42"/>
    </row>
    <row r="50" spans="1:20" x14ac:dyDescent="0.3">
      <c r="A50" s="37"/>
      <c r="B50" s="37"/>
      <c r="C50" s="40">
        <f t="shared" si="2"/>
        <v>0</v>
      </c>
      <c r="D50" s="39">
        <v>0</v>
      </c>
      <c r="E50" s="39">
        <v>0</v>
      </c>
      <c r="F50" s="39">
        <f t="shared" si="0"/>
        <v>0</v>
      </c>
      <c r="G50" s="39">
        <v>0</v>
      </c>
      <c r="H50" s="39"/>
      <c r="I50" s="39">
        <v>0</v>
      </c>
      <c r="J50" s="39">
        <v>0</v>
      </c>
      <c r="K50" s="39">
        <v>0</v>
      </c>
      <c r="L50" s="40">
        <f t="shared" si="1"/>
        <v>0</v>
      </c>
      <c r="M50" s="41">
        <v>0</v>
      </c>
      <c r="N50" s="41">
        <v>0</v>
      </c>
      <c r="O50" s="42" t="s">
        <v>237</v>
      </c>
      <c r="P50" s="42" t="s">
        <v>238</v>
      </c>
      <c r="Q50" s="42" t="s">
        <v>239</v>
      </c>
      <c r="R50" s="42" t="s">
        <v>240</v>
      </c>
      <c r="S50" s="42" t="s">
        <v>241</v>
      </c>
      <c r="T50" s="42"/>
    </row>
    <row r="51" spans="1:20" x14ac:dyDescent="0.3">
      <c r="A51" s="37"/>
      <c r="B51" s="37"/>
      <c r="C51" s="40">
        <f t="shared" si="2"/>
        <v>0</v>
      </c>
      <c r="D51" s="39">
        <v>0</v>
      </c>
      <c r="E51" s="39">
        <v>0</v>
      </c>
      <c r="F51" s="39">
        <f t="shared" si="0"/>
        <v>0</v>
      </c>
      <c r="G51" s="39">
        <v>0</v>
      </c>
      <c r="H51" s="39"/>
      <c r="I51" s="39">
        <v>0</v>
      </c>
      <c r="J51" s="39">
        <v>0</v>
      </c>
      <c r="K51" s="39">
        <v>0</v>
      </c>
      <c r="L51" s="40">
        <f t="shared" si="1"/>
        <v>0</v>
      </c>
      <c r="M51" s="41">
        <v>0</v>
      </c>
      <c r="N51" s="41">
        <v>0</v>
      </c>
      <c r="O51" s="42" t="s">
        <v>242</v>
      </c>
      <c r="P51" s="42" t="s">
        <v>243</v>
      </c>
      <c r="Q51" s="42" t="s">
        <v>244</v>
      </c>
      <c r="R51" s="42" t="s">
        <v>245</v>
      </c>
      <c r="S51" s="42" t="s">
        <v>246</v>
      </c>
      <c r="T51" s="42"/>
    </row>
    <row r="52" spans="1:20" x14ac:dyDescent="0.3">
      <c r="A52" s="37"/>
      <c r="B52" s="37"/>
      <c r="C52" s="40">
        <f t="shared" si="2"/>
        <v>0</v>
      </c>
      <c r="D52" s="39">
        <v>0</v>
      </c>
      <c r="E52" s="39">
        <v>0</v>
      </c>
      <c r="F52" s="39">
        <f t="shared" si="0"/>
        <v>0</v>
      </c>
      <c r="G52" s="39">
        <v>0</v>
      </c>
      <c r="H52" s="39"/>
      <c r="I52" s="39">
        <v>0</v>
      </c>
      <c r="J52" s="39">
        <v>0</v>
      </c>
      <c r="K52" s="39">
        <v>0</v>
      </c>
      <c r="L52" s="40">
        <f t="shared" si="1"/>
        <v>0</v>
      </c>
      <c r="M52" s="41">
        <v>0</v>
      </c>
      <c r="N52" s="41">
        <v>0</v>
      </c>
      <c r="O52" s="42" t="s">
        <v>247</v>
      </c>
      <c r="P52" s="42" t="s">
        <v>248</v>
      </c>
      <c r="Q52" s="42" t="s">
        <v>249</v>
      </c>
      <c r="R52" s="42" t="s">
        <v>250</v>
      </c>
      <c r="S52" s="42" t="s">
        <v>251</v>
      </c>
      <c r="T52" s="42"/>
    </row>
    <row r="53" spans="1:20" x14ac:dyDescent="0.3">
      <c r="A53" s="37"/>
      <c r="B53" s="37"/>
      <c r="C53" s="40">
        <f t="shared" si="2"/>
        <v>0</v>
      </c>
      <c r="D53" s="39">
        <v>0</v>
      </c>
      <c r="E53" s="39">
        <v>0</v>
      </c>
      <c r="F53" s="39">
        <f t="shared" si="0"/>
        <v>0</v>
      </c>
      <c r="G53" s="39">
        <v>0</v>
      </c>
      <c r="H53" s="39"/>
      <c r="I53" s="39">
        <v>0</v>
      </c>
      <c r="J53" s="39">
        <v>0</v>
      </c>
      <c r="K53" s="39">
        <v>0</v>
      </c>
      <c r="L53" s="40">
        <f t="shared" si="1"/>
        <v>0</v>
      </c>
      <c r="M53" s="41">
        <v>0</v>
      </c>
      <c r="N53" s="41">
        <v>0</v>
      </c>
      <c r="O53" s="42" t="s">
        <v>252</v>
      </c>
      <c r="P53" s="42" t="s">
        <v>253</v>
      </c>
      <c r="Q53" s="42" t="s">
        <v>254</v>
      </c>
      <c r="R53" s="42" t="s">
        <v>255</v>
      </c>
      <c r="S53" s="42" t="s">
        <v>256</v>
      </c>
      <c r="T53" s="42"/>
    </row>
    <row r="54" spans="1:20" x14ac:dyDescent="0.3">
      <c r="A54" s="37"/>
      <c r="B54" s="37"/>
      <c r="C54" s="40">
        <f t="shared" si="2"/>
        <v>0</v>
      </c>
      <c r="D54" s="39">
        <v>0</v>
      </c>
      <c r="E54" s="39">
        <v>0</v>
      </c>
      <c r="F54" s="39">
        <f t="shared" si="0"/>
        <v>0</v>
      </c>
      <c r="G54" s="39">
        <v>0</v>
      </c>
      <c r="H54" s="39"/>
      <c r="I54" s="39">
        <v>0</v>
      </c>
      <c r="J54" s="39">
        <v>0</v>
      </c>
      <c r="K54" s="39">
        <v>0</v>
      </c>
      <c r="L54" s="40">
        <f t="shared" si="1"/>
        <v>0</v>
      </c>
      <c r="M54" s="41">
        <v>0</v>
      </c>
      <c r="N54" s="41">
        <v>0</v>
      </c>
      <c r="O54" s="42" t="s">
        <v>257</v>
      </c>
      <c r="P54" s="42" t="s">
        <v>258</v>
      </c>
      <c r="Q54" s="42" t="s">
        <v>259</v>
      </c>
      <c r="R54" s="42" t="s">
        <v>260</v>
      </c>
      <c r="S54" s="42" t="s">
        <v>261</v>
      </c>
      <c r="T54" s="42"/>
    </row>
    <row r="55" spans="1:20" x14ac:dyDescent="0.3">
      <c r="A55" s="37"/>
      <c r="B55" s="37"/>
      <c r="C55" s="40">
        <f t="shared" si="2"/>
        <v>0</v>
      </c>
      <c r="D55" s="39">
        <v>0</v>
      </c>
      <c r="E55" s="39">
        <v>0</v>
      </c>
      <c r="F55" s="39">
        <f t="shared" si="0"/>
        <v>0</v>
      </c>
      <c r="G55" s="39">
        <v>0</v>
      </c>
      <c r="H55" s="39"/>
      <c r="I55" s="39">
        <v>0</v>
      </c>
      <c r="J55" s="39">
        <v>0</v>
      </c>
      <c r="K55" s="39">
        <v>0</v>
      </c>
      <c r="L55" s="40">
        <f t="shared" si="1"/>
        <v>0</v>
      </c>
      <c r="M55" s="41">
        <v>0</v>
      </c>
      <c r="N55" s="41">
        <v>0</v>
      </c>
      <c r="O55" s="42" t="s">
        <v>262</v>
      </c>
      <c r="P55" s="42" t="s">
        <v>263</v>
      </c>
      <c r="Q55" s="42" t="s">
        <v>264</v>
      </c>
      <c r="R55" s="42" t="s">
        <v>265</v>
      </c>
      <c r="S55" s="42" t="s">
        <v>266</v>
      </c>
      <c r="T55" s="42"/>
    </row>
    <row r="56" spans="1:20" x14ac:dyDescent="0.3">
      <c r="A56" s="37"/>
      <c r="B56" s="37"/>
      <c r="C56" s="40">
        <f t="shared" si="2"/>
        <v>0</v>
      </c>
      <c r="D56" s="39">
        <v>0</v>
      </c>
      <c r="E56" s="39">
        <v>0</v>
      </c>
      <c r="F56" s="39">
        <f t="shared" si="0"/>
        <v>0</v>
      </c>
      <c r="G56" s="39">
        <v>0</v>
      </c>
      <c r="H56" s="39"/>
      <c r="I56" s="39">
        <v>0</v>
      </c>
      <c r="J56" s="39">
        <v>0</v>
      </c>
      <c r="K56" s="39">
        <v>0</v>
      </c>
      <c r="L56" s="40">
        <f t="shared" si="1"/>
        <v>0</v>
      </c>
      <c r="M56" s="41">
        <v>0</v>
      </c>
      <c r="N56" s="41">
        <v>0</v>
      </c>
      <c r="O56" s="42" t="s">
        <v>267</v>
      </c>
      <c r="P56" s="42" t="s">
        <v>268</v>
      </c>
      <c r="Q56" s="42" t="s">
        <v>269</v>
      </c>
      <c r="R56" s="42" t="s">
        <v>270</v>
      </c>
      <c r="S56" s="42" t="s">
        <v>271</v>
      </c>
      <c r="T56" s="42"/>
    </row>
    <row r="57" spans="1:20" x14ac:dyDescent="0.3">
      <c r="A57" s="37"/>
      <c r="B57" s="37"/>
      <c r="C57" s="40">
        <f t="shared" si="2"/>
        <v>0</v>
      </c>
      <c r="D57" s="39">
        <v>0</v>
      </c>
      <c r="E57" s="39">
        <v>0</v>
      </c>
      <c r="F57" s="39">
        <f t="shared" si="0"/>
        <v>0</v>
      </c>
      <c r="G57" s="39">
        <v>0</v>
      </c>
      <c r="H57" s="39"/>
      <c r="I57" s="39">
        <v>0</v>
      </c>
      <c r="J57" s="39">
        <v>0</v>
      </c>
      <c r="K57" s="39">
        <v>0</v>
      </c>
      <c r="L57" s="40">
        <f t="shared" si="1"/>
        <v>0</v>
      </c>
      <c r="M57" s="41">
        <v>0</v>
      </c>
      <c r="N57" s="41">
        <v>0</v>
      </c>
      <c r="O57" s="42" t="s">
        <v>272</v>
      </c>
      <c r="P57" s="42" t="s">
        <v>273</v>
      </c>
      <c r="Q57" s="42" t="s">
        <v>274</v>
      </c>
      <c r="R57" s="42" t="s">
        <v>275</v>
      </c>
      <c r="S57" s="42" t="s">
        <v>276</v>
      </c>
      <c r="T57" s="42"/>
    </row>
    <row r="58" spans="1:20" x14ac:dyDescent="0.3">
      <c r="A58" s="37"/>
      <c r="B58" s="37"/>
      <c r="C58" s="40">
        <f t="shared" si="2"/>
        <v>0</v>
      </c>
      <c r="D58" s="39">
        <v>0</v>
      </c>
      <c r="E58" s="39">
        <v>0</v>
      </c>
      <c r="F58" s="39">
        <f t="shared" si="0"/>
        <v>0</v>
      </c>
      <c r="G58" s="39">
        <v>0</v>
      </c>
      <c r="H58" s="39"/>
      <c r="I58" s="39">
        <v>0</v>
      </c>
      <c r="J58" s="39">
        <v>0</v>
      </c>
      <c r="K58" s="39">
        <v>0</v>
      </c>
      <c r="L58" s="40">
        <f t="shared" si="1"/>
        <v>0</v>
      </c>
      <c r="M58" s="41">
        <v>0</v>
      </c>
      <c r="N58" s="41">
        <v>0</v>
      </c>
      <c r="O58" s="42" t="s">
        <v>277</v>
      </c>
      <c r="P58" s="42" t="s">
        <v>278</v>
      </c>
      <c r="Q58" s="42" t="s">
        <v>279</v>
      </c>
      <c r="R58" s="42" t="s">
        <v>280</v>
      </c>
      <c r="S58" s="42" t="s">
        <v>281</v>
      </c>
      <c r="T58" s="42"/>
    </row>
    <row r="59" spans="1:20" x14ac:dyDescent="0.3">
      <c r="A59" s="37"/>
      <c r="B59" s="37"/>
      <c r="C59" s="40">
        <f t="shared" si="2"/>
        <v>0</v>
      </c>
      <c r="D59" s="39">
        <v>0</v>
      </c>
      <c r="E59" s="39">
        <v>0</v>
      </c>
      <c r="F59" s="39">
        <f t="shared" si="0"/>
        <v>0</v>
      </c>
      <c r="G59" s="39">
        <v>0</v>
      </c>
      <c r="H59" s="39"/>
      <c r="I59" s="39">
        <v>0</v>
      </c>
      <c r="J59" s="39">
        <v>0</v>
      </c>
      <c r="K59" s="39">
        <v>0</v>
      </c>
      <c r="L59" s="40">
        <f t="shared" si="1"/>
        <v>0</v>
      </c>
      <c r="M59" s="41">
        <v>0</v>
      </c>
      <c r="N59" s="41">
        <v>0</v>
      </c>
      <c r="O59" s="42" t="s">
        <v>282</v>
      </c>
      <c r="P59" s="42" t="s">
        <v>283</v>
      </c>
      <c r="Q59" s="42" t="s">
        <v>284</v>
      </c>
      <c r="R59" s="42" t="s">
        <v>285</v>
      </c>
      <c r="S59" s="42" t="s">
        <v>286</v>
      </c>
      <c r="T59" s="42"/>
    </row>
    <row r="60" spans="1:20" x14ac:dyDescent="0.3">
      <c r="A60" s="37"/>
      <c r="B60" s="37"/>
      <c r="C60" s="40">
        <f t="shared" si="2"/>
        <v>0</v>
      </c>
      <c r="D60" s="39">
        <v>0</v>
      </c>
      <c r="E60" s="39">
        <v>0</v>
      </c>
      <c r="F60" s="39">
        <f t="shared" si="0"/>
        <v>0</v>
      </c>
      <c r="G60" s="39">
        <v>0</v>
      </c>
      <c r="H60" s="39"/>
      <c r="I60" s="39">
        <v>0</v>
      </c>
      <c r="J60" s="39">
        <v>0</v>
      </c>
      <c r="K60" s="39">
        <v>0</v>
      </c>
      <c r="L60" s="40">
        <f t="shared" si="1"/>
        <v>0</v>
      </c>
      <c r="M60" s="41">
        <v>0</v>
      </c>
      <c r="N60" s="41">
        <v>0</v>
      </c>
      <c r="O60" s="42" t="s">
        <v>287</v>
      </c>
      <c r="P60" s="42" t="s">
        <v>288</v>
      </c>
      <c r="Q60" s="42" t="s">
        <v>289</v>
      </c>
      <c r="R60" s="42" t="s">
        <v>290</v>
      </c>
      <c r="S60" s="42" t="s">
        <v>291</v>
      </c>
      <c r="T60" s="42"/>
    </row>
    <row r="61" spans="1:20" x14ac:dyDescent="0.3">
      <c r="A61" s="37"/>
      <c r="B61" s="37"/>
      <c r="C61" s="40">
        <f t="shared" si="2"/>
        <v>0</v>
      </c>
      <c r="D61" s="39">
        <v>0</v>
      </c>
      <c r="E61" s="39">
        <v>0</v>
      </c>
      <c r="F61" s="39">
        <f t="shared" si="0"/>
        <v>0</v>
      </c>
      <c r="G61" s="39">
        <v>0</v>
      </c>
      <c r="H61" s="39"/>
      <c r="I61" s="39">
        <v>0</v>
      </c>
      <c r="J61" s="39">
        <v>0</v>
      </c>
      <c r="K61" s="39">
        <v>0</v>
      </c>
      <c r="L61" s="40">
        <f t="shared" si="1"/>
        <v>0</v>
      </c>
      <c r="M61" s="41">
        <v>0</v>
      </c>
      <c r="N61" s="41">
        <v>0</v>
      </c>
      <c r="O61" s="42" t="s">
        <v>292</v>
      </c>
      <c r="P61" s="42" t="s">
        <v>293</v>
      </c>
      <c r="Q61" s="42" t="s">
        <v>294</v>
      </c>
      <c r="R61" s="42" t="s">
        <v>295</v>
      </c>
      <c r="S61" s="42" t="s">
        <v>296</v>
      </c>
      <c r="T61" s="42"/>
    </row>
    <row r="62" spans="1:20" x14ac:dyDescent="0.3">
      <c r="A62" s="37"/>
      <c r="B62" s="37"/>
      <c r="C62" s="40">
        <f t="shared" si="2"/>
        <v>0</v>
      </c>
      <c r="D62" s="39">
        <v>0</v>
      </c>
      <c r="E62" s="39">
        <v>0</v>
      </c>
      <c r="F62" s="39">
        <f t="shared" si="0"/>
        <v>0</v>
      </c>
      <c r="G62" s="39">
        <v>0</v>
      </c>
      <c r="H62" s="39"/>
      <c r="I62" s="39">
        <v>0</v>
      </c>
      <c r="J62" s="39">
        <v>0</v>
      </c>
      <c r="K62" s="39">
        <v>0</v>
      </c>
      <c r="L62" s="40">
        <f t="shared" si="1"/>
        <v>0</v>
      </c>
      <c r="M62" s="41">
        <v>0</v>
      </c>
      <c r="N62" s="41">
        <v>0</v>
      </c>
      <c r="O62" s="42" t="s">
        <v>297</v>
      </c>
      <c r="P62" s="42" t="s">
        <v>298</v>
      </c>
      <c r="Q62" s="42" t="s">
        <v>299</v>
      </c>
      <c r="R62" s="42" t="s">
        <v>300</v>
      </c>
      <c r="S62" s="42" t="s">
        <v>301</v>
      </c>
      <c r="T62" s="42"/>
    </row>
    <row r="63" spans="1:20" x14ac:dyDescent="0.3">
      <c r="A63" s="37"/>
      <c r="B63" s="37"/>
      <c r="C63" s="40">
        <f t="shared" si="2"/>
        <v>0</v>
      </c>
      <c r="D63" s="39">
        <v>0</v>
      </c>
      <c r="E63" s="39">
        <v>0</v>
      </c>
      <c r="F63" s="39">
        <f t="shared" si="0"/>
        <v>0</v>
      </c>
      <c r="G63" s="39">
        <v>0</v>
      </c>
      <c r="H63" s="39"/>
      <c r="I63" s="39">
        <v>0</v>
      </c>
      <c r="J63" s="39">
        <v>0</v>
      </c>
      <c r="K63" s="39">
        <v>0</v>
      </c>
      <c r="L63" s="40">
        <f t="shared" si="1"/>
        <v>0</v>
      </c>
      <c r="M63" s="41">
        <v>0</v>
      </c>
      <c r="N63" s="41">
        <v>0</v>
      </c>
      <c r="O63" s="42" t="s">
        <v>302</v>
      </c>
      <c r="P63" s="42" t="s">
        <v>303</v>
      </c>
      <c r="Q63" s="42" t="s">
        <v>304</v>
      </c>
      <c r="R63" s="42" t="s">
        <v>305</v>
      </c>
      <c r="S63" s="42" t="s">
        <v>306</v>
      </c>
      <c r="T63" s="42"/>
    </row>
    <row r="64" spans="1:20" x14ac:dyDescent="0.3">
      <c r="A64" s="37"/>
      <c r="B64" s="37"/>
      <c r="C64" s="40">
        <f t="shared" si="2"/>
        <v>0</v>
      </c>
      <c r="D64" s="39">
        <v>0</v>
      </c>
      <c r="E64" s="39">
        <v>0</v>
      </c>
      <c r="F64" s="39">
        <f t="shared" si="0"/>
        <v>0</v>
      </c>
      <c r="G64" s="39">
        <v>0</v>
      </c>
      <c r="H64" s="39"/>
      <c r="I64" s="39">
        <v>0</v>
      </c>
      <c r="J64" s="39">
        <v>0</v>
      </c>
      <c r="K64" s="39">
        <v>0</v>
      </c>
      <c r="L64" s="40">
        <f t="shared" si="1"/>
        <v>0</v>
      </c>
      <c r="M64" s="41">
        <v>0</v>
      </c>
      <c r="N64" s="41">
        <v>0</v>
      </c>
      <c r="O64" s="42" t="s">
        <v>307</v>
      </c>
      <c r="P64" s="42" t="s">
        <v>308</v>
      </c>
      <c r="Q64" s="42" t="s">
        <v>309</v>
      </c>
      <c r="R64" s="42" t="s">
        <v>310</v>
      </c>
      <c r="S64" s="42" t="s">
        <v>311</v>
      </c>
      <c r="T64" s="42"/>
    </row>
    <row r="65" spans="1:20" x14ac:dyDescent="0.3">
      <c r="A65" s="37"/>
      <c r="B65" s="37"/>
      <c r="C65" s="40">
        <f t="shared" si="2"/>
        <v>0</v>
      </c>
      <c r="D65" s="39">
        <v>0</v>
      </c>
      <c r="E65" s="39">
        <v>0</v>
      </c>
      <c r="F65" s="39">
        <f t="shared" si="0"/>
        <v>0</v>
      </c>
      <c r="G65" s="39">
        <v>0</v>
      </c>
      <c r="H65" s="39"/>
      <c r="I65" s="39">
        <v>0</v>
      </c>
      <c r="J65" s="39">
        <v>0</v>
      </c>
      <c r="K65" s="39">
        <v>0</v>
      </c>
      <c r="L65" s="40">
        <f t="shared" si="1"/>
        <v>0</v>
      </c>
      <c r="M65" s="41">
        <v>0</v>
      </c>
      <c r="N65" s="41">
        <v>0</v>
      </c>
      <c r="O65" s="42" t="s">
        <v>312</v>
      </c>
      <c r="P65" s="42" t="s">
        <v>313</v>
      </c>
      <c r="Q65" s="42" t="s">
        <v>314</v>
      </c>
      <c r="R65" s="42" t="s">
        <v>315</v>
      </c>
      <c r="S65" s="42" t="s">
        <v>316</v>
      </c>
      <c r="T65" s="42"/>
    </row>
    <row r="66" spans="1:20" x14ac:dyDescent="0.3">
      <c r="A66" s="37"/>
      <c r="B66" s="37"/>
      <c r="C66" s="40">
        <f t="shared" si="2"/>
        <v>0</v>
      </c>
      <c r="D66" s="39">
        <v>0</v>
      </c>
      <c r="E66" s="39">
        <v>0</v>
      </c>
      <c r="F66" s="39">
        <f t="shared" si="0"/>
        <v>0</v>
      </c>
      <c r="G66" s="39">
        <v>0</v>
      </c>
      <c r="H66" s="39"/>
      <c r="I66" s="39">
        <v>0</v>
      </c>
      <c r="J66" s="39">
        <v>0</v>
      </c>
      <c r="K66" s="39">
        <v>0</v>
      </c>
      <c r="L66" s="40">
        <f t="shared" si="1"/>
        <v>0</v>
      </c>
      <c r="M66" s="41">
        <v>0</v>
      </c>
      <c r="N66" s="41">
        <v>0</v>
      </c>
      <c r="O66" s="42" t="s">
        <v>317</v>
      </c>
      <c r="P66" s="42" t="s">
        <v>318</v>
      </c>
      <c r="Q66" s="42" t="s">
        <v>319</v>
      </c>
      <c r="R66" s="42" t="s">
        <v>320</v>
      </c>
      <c r="S66" s="42" t="s">
        <v>321</v>
      </c>
      <c r="T66" s="42"/>
    </row>
    <row r="67" spans="1:20" x14ac:dyDescent="0.3">
      <c r="A67" s="37"/>
      <c r="B67" s="37"/>
      <c r="C67" s="40">
        <f t="shared" si="2"/>
        <v>0</v>
      </c>
      <c r="D67" s="39">
        <v>0</v>
      </c>
      <c r="E67" s="39">
        <v>0</v>
      </c>
      <c r="F67" s="39">
        <f t="shared" si="0"/>
        <v>0</v>
      </c>
      <c r="G67" s="39">
        <v>0</v>
      </c>
      <c r="H67" s="39"/>
      <c r="I67" s="39">
        <v>0</v>
      </c>
      <c r="J67" s="39">
        <v>0</v>
      </c>
      <c r="K67" s="39">
        <v>0</v>
      </c>
      <c r="L67" s="40">
        <f t="shared" si="1"/>
        <v>0</v>
      </c>
      <c r="M67" s="41">
        <v>0</v>
      </c>
      <c r="N67" s="41">
        <v>0</v>
      </c>
      <c r="O67" s="42" t="s">
        <v>322</v>
      </c>
      <c r="P67" s="42" t="s">
        <v>323</v>
      </c>
      <c r="Q67" s="42" t="s">
        <v>324</v>
      </c>
      <c r="R67" s="42" t="s">
        <v>325</v>
      </c>
      <c r="S67" s="42" t="s">
        <v>326</v>
      </c>
      <c r="T67" s="42"/>
    </row>
    <row r="68" spans="1:20" x14ac:dyDescent="0.3">
      <c r="A68" s="37"/>
      <c r="B68" s="37"/>
      <c r="C68" s="40">
        <f t="shared" si="2"/>
        <v>0</v>
      </c>
      <c r="D68" s="39">
        <v>0</v>
      </c>
      <c r="E68" s="39">
        <v>0</v>
      </c>
      <c r="F68" s="39">
        <f t="shared" si="0"/>
        <v>0</v>
      </c>
      <c r="G68" s="39">
        <v>0</v>
      </c>
      <c r="H68" s="39"/>
      <c r="I68" s="39">
        <v>0</v>
      </c>
      <c r="J68" s="39">
        <v>0</v>
      </c>
      <c r="K68" s="39">
        <v>0</v>
      </c>
      <c r="L68" s="40">
        <f t="shared" si="1"/>
        <v>0</v>
      </c>
      <c r="M68" s="41">
        <v>0</v>
      </c>
      <c r="N68" s="41">
        <v>0</v>
      </c>
      <c r="O68" s="42" t="s">
        <v>327</v>
      </c>
      <c r="P68" s="42" t="s">
        <v>328</v>
      </c>
      <c r="Q68" s="42" t="s">
        <v>329</v>
      </c>
      <c r="R68" s="42" t="s">
        <v>330</v>
      </c>
      <c r="S68" s="42" t="s">
        <v>331</v>
      </c>
      <c r="T68" s="42"/>
    </row>
    <row r="69" spans="1:20" x14ac:dyDescent="0.3">
      <c r="A69" s="37"/>
      <c r="B69" s="37"/>
      <c r="C69" s="40">
        <f t="shared" si="2"/>
        <v>0</v>
      </c>
      <c r="D69" s="39">
        <v>0</v>
      </c>
      <c r="E69" s="39">
        <v>0</v>
      </c>
      <c r="F69" s="39">
        <f t="shared" si="0"/>
        <v>0</v>
      </c>
      <c r="G69" s="39">
        <v>0</v>
      </c>
      <c r="H69" s="39"/>
      <c r="I69" s="39">
        <v>0</v>
      </c>
      <c r="J69" s="39">
        <v>0</v>
      </c>
      <c r="K69" s="39">
        <v>0</v>
      </c>
      <c r="L69" s="40">
        <f t="shared" si="1"/>
        <v>0</v>
      </c>
      <c r="M69" s="41">
        <v>0</v>
      </c>
      <c r="N69" s="41">
        <v>0</v>
      </c>
      <c r="O69" s="42" t="s">
        <v>332</v>
      </c>
      <c r="P69" s="42" t="s">
        <v>333</v>
      </c>
      <c r="Q69" s="42" t="s">
        <v>334</v>
      </c>
      <c r="R69" s="42" t="s">
        <v>335</v>
      </c>
      <c r="S69" s="42" t="s">
        <v>336</v>
      </c>
      <c r="T69" s="42"/>
    </row>
    <row r="70" spans="1:20" x14ac:dyDescent="0.3">
      <c r="A70" s="37"/>
      <c r="B70" s="37"/>
      <c r="C70" s="40">
        <f t="shared" si="2"/>
        <v>0</v>
      </c>
      <c r="D70" s="39">
        <v>0</v>
      </c>
      <c r="E70" s="39">
        <v>0</v>
      </c>
      <c r="F70" s="39">
        <f t="shared" si="0"/>
        <v>0</v>
      </c>
      <c r="G70" s="39">
        <v>0</v>
      </c>
      <c r="H70" s="39"/>
      <c r="I70" s="39">
        <v>0</v>
      </c>
      <c r="J70" s="39">
        <v>0</v>
      </c>
      <c r="K70" s="39">
        <v>0</v>
      </c>
      <c r="L70" s="40">
        <f t="shared" si="1"/>
        <v>0</v>
      </c>
      <c r="M70" s="41">
        <v>0</v>
      </c>
      <c r="N70" s="41">
        <v>0</v>
      </c>
      <c r="O70" s="42" t="s">
        <v>337</v>
      </c>
      <c r="P70" s="42" t="s">
        <v>338</v>
      </c>
      <c r="Q70" s="42" t="s">
        <v>339</v>
      </c>
      <c r="R70" s="42" t="s">
        <v>340</v>
      </c>
      <c r="S70" s="42" t="s">
        <v>341</v>
      </c>
      <c r="T70" s="42"/>
    </row>
    <row r="71" spans="1:20" x14ac:dyDescent="0.3">
      <c r="A71" s="37"/>
      <c r="B71" s="37"/>
      <c r="C71" s="40">
        <f t="shared" si="2"/>
        <v>0</v>
      </c>
      <c r="D71" s="39">
        <v>0</v>
      </c>
      <c r="E71" s="39">
        <v>0</v>
      </c>
      <c r="F71" s="39">
        <f t="shared" si="0"/>
        <v>0</v>
      </c>
      <c r="G71" s="39">
        <v>0</v>
      </c>
      <c r="H71" s="39"/>
      <c r="I71" s="39">
        <v>0</v>
      </c>
      <c r="J71" s="39">
        <v>0</v>
      </c>
      <c r="K71" s="39">
        <v>0</v>
      </c>
      <c r="L71" s="40">
        <f t="shared" si="1"/>
        <v>0</v>
      </c>
      <c r="M71" s="41">
        <v>0</v>
      </c>
      <c r="N71" s="41">
        <v>0</v>
      </c>
      <c r="O71" s="42" t="s">
        <v>342</v>
      </c>
      <c r="P71" s="42" t="s">
        <v>343</v>
      </c>
      <c r="Q71" s="42" t="s">
        <v>344</v>
      </c>
      <c r="R71" s="42" t="s">
        <v>345</v>
      </c>
      <c r="S71" s="42" t="s">
        <v>346</v>
      </c>
      <c r="T71" s="42"/>
    </row>
    <row r="72" spans="1:20" x14ac:dyDescent="0.3">
      <c r="A72" s="37"/>
      <c r="B72" s="37"/>
      <c r="C72" s="40">
        <f t="shared" si="2"/>
        <v>0</v>
      </c>
      <c r="D72" s="39">
        <v>0</v>
      </c>
      <c r="E72" s="39">
        <v>0</v>
      </c>
      <c r="F72" s="39">
        <f t="shared" si="0"/>
        <v>0</v>
      </c>
      <c r="G72" s="39">
        <v>0</v>
      </c>
      <c r="H72" s="39"/>
      <c r="I72" s="39">
        <v>0</v>
      </c>
      <c r="J72" s="39">
        <v>0</v>
      </c>
      <c r="K72" s="39">
        <v>0</v>
      </c>
      <c r="L72" s="40">
        <f t="shared" si="1"/>
        <v>0</v>
      </c>
      <c r="M72" s="41">
        <v>0</v>
      </c>
      <c r="N72" s="41">
        <v>0</v>
      </c>
      <c r="O72" s="42" t="s">
        <v>347</v>
      </c>
      <c r="P72" s="42" t="s">
        <v>348</v>
      </c>
      <c r="Q72" s="42" t="s">
        <v>349</v>
      </c>
      <c r="R72" s="42" t="s">
        <v>350</v>
      </c>
      <c r="S72" s="42" t="s">
        <v>351</v>
      </c>
      <c r="T72" s="42"/>
    </row>
    <row r="73" spans="1:20" x14ac:dyDescent="0.3">
      <c r="A73" s="37"/>
      <c r="B73" s="37"/>
      <c r="C73" s="40">
        <f t="shared" si="2"/>
        <v>0</v>
      </c>
      <c r="D73" s="39">
        <v>0</v>
      </c>
      <c r="E73" s="39">
        <v>0</v>
      </c>
      <c r="F73" s="39">
        <f t="shared" si="0"/>
        <v>0</v>
      </c>
      <c r="G73" s="39">
        <v>0</v>
      </c>
      <c r="H73" s="39"/>
      <c r="I73" s="39">
        <v>0</v>
      </c>
      <c r="J73" s="39">
        <v>0</v>
      </c>
      <c r="K73" s="39">
        <v>0</v>
      </c>
      <c r="L73" s="40">
        <f t="shared" si="1"/>
        <v>0</v>
      </c>
      <c r="M73" s="41">
        <v>0</v>
      </c>
      <c r="N73" s="41">
        <v>0</v>
      </c>
      <c r="O73" s="42" t="s">
        <v>352</v>
      </c>
      <c r="P73" s="42" t="s">
        <v>353</v>
      </c>
      <c r="Q73" s="42" t="s">
        <v>354</v>
      </c>
      <c r="R73" s="42" t="s">
        <v>355</v>
      </c>
      <c r="S73" s="42" t="s">
        <v>356</v>
      </c>
      <c r="T73" s="42"/>
    </row>
    <row r="74" spans="1:20" x14ac:dyDescent="0.3">
      <c r="A74" s="37"/>
      <c r="B74" s="37"/>
      <c r="C74" s="40">
        <f t="shared" si="2"/>
        <v>0</v>
      </c>
      <c r="D74" s="39">
        <v>0</v>
      </c>
      <c r="E74" s="39">
        <v>0</v>
      </c>
      <c r="F74" s="39">
        <f t="shared" si="0"/>
        <v>0</v>
      </c>
      <c r="G74" s="39">
        <v>0</v>
      </c>
      <c r="H74" s="39"/>
      <c r="I74" s="39">
        <v>0</v>
      </c>
      <c r="J74" s="39">
        <v>0</v>
      </c>
      <c r="K74" s="39">
        <v>0</v>
      </c>
      <c r="L74" s="40">
        <f t="shared" si="1"/>
        <v>0</v>
      </c>
      <c r="M74" s="41">
        <v>0</v>
      </c>
      <c r="N74" s="41">
        <v>0</v>
      </c>
      <c r="O74" s="42" t="s">
        <v>357</v>
      </c>
      <c r="P74" s="42" t="s">
        <v>358</v>
      </c>
      <c r="Q74" s="42" t="s">
        <v>359</v>
      </c>
      <c r="R74" s="42" t="s">
        <v>360</v>
      </c>
      <c r="S74" s="42" t="s">
        <v>361</v>
      </c>
      <c r="T74" s="42"/>
    </row>
    <row r="75" spans="1:20" x14ac:dyDescent="0.3">
      <c r="A75" s="37"/>
      <c r="B75" s="37"/>
      <c r="C75" s="40">
        <f t="shared" si="2"/>
        <v>0</v>
      </c>
      <c r="D75" s="39">
        <v>0</v>
      </c>
      <c r="E75" s="39">
        <v>0</v>
      </c>
      <c r="F75" s="39">
        <f t="shared" si="0"/>
        <v>0</v>
      </c>
      <c r="G75" s="39">
        <v>0</v>
      </c>
      <c r="H75" s="39"/>
      <c r="I75" s="39">
        <v>0</v>
      </c>
      <c r="J75" s="39">
        <v>0</v>
      </c>
      <c r="K75" s="39">
        <v>0</v>
      </c>
      <c r="L75" s="40">
        <f t="shared" si="1"/>
        <v>0</v>
      </c>
      <c r="M75" s="41">
        <v>0</v>
      </c>
      <c r="N75" s="41">
        <v>0</v>
      </c>
      <c r="O75" s="42" t="s">
        <v>362</v>
      </c>
      <c r="P75" s="42" t="s">
        <v>363</v>
      </c>
      <c r="Q75" s="42" t="s">
        <v>364</v>
      </c>
      <c r="R75" s="42" t="s">
        <v>365</v>
      </c>
      <c r="S75" s="42" t="s">
        <v>366</v>
      </c>
      <c r="T75" s="42"/>
    </row>
    <row r="76" spans="1:20" x14ac:dyDescent="0.3">
      <c r="A76" s="37"/>
      <c r="B76" s="37"/>
      <c r="C76" s="40">
        <f t="shared" si="2"/>
        <v>0</v>
      </c>
      <c r="D76" s="39">
        <v>0</v>
      </c>
      <c r="E76" s="39">
        <v>0</v>
      </c>
      <c r="F76" s="39">
        <f t="shared" si="0"/>
        <v>0</v>
      </c>
      <c r="G76" s="39">
        <v>0</v>
      </c>
      <c r="H76" s="39"/>
      <c r="I76" s="39">
        <v>0</v>
      </c>
      <c r="J76" s="39">
        <v>0</v>
      </c>
      <c r="K76" s="39">
        <v>0</v>
      </c>
      <c r="L76" s="40">
        <f t="shared" si="1"/>
        <v>0</v>
      </c>
      <c r="M76" s="41">
        <v>0</v>
      </c>
      <c r="N76" s="41">
        <v>0</v>
      </c>
      <c r="O76" s="42" t="s">
        <v>367</v>
      </c>
      <c r="P76" s="42" t="s">
        <v>368</v>
      </c>
      <c r="Q76" s="42" t="s">
        <v>369</v>
      </c>
      <c r="R76" s="42" t="s">
        <v>370</v>
      </c>
      <c r="S76" s="42" t="s">
        <v>371</v>
      </c>
      <c r="T76" s="42"/>
    </row>
    <row r="77" spans="1:20" x14ac:dyDescent="0.3">
      <c r="A77" s="37"/>
      <c r="B77" s="37"/>
      <c r="C77" s="40">
        <f t="shared" si="2"/>
        <v>0</v>
      </c>
      <c r="D77" s="39">
        <v>0</v>
      </c>
      <c r="E77" s="39">
        <v>0</v>
      </c>
      <c r="F77" s="39">
        <f t="shared" ref="F77:F440" si="3">E77-G77-H77</f>
        <v>0</v>
      </c>
      <c r="G77" s="39">
        <v>0</v>
      </c>
      <c r="H77" s="39"/>
      <c r="I77" s="39">
        <v>0</v>
      </c>
      <c r="J77" s="39">
        <v>0</v>
      </c>
      <c r="K77" s="39">
        <v>0</v>
      </c>
      <c r="L77" s="40">
        <f t="shared" ref="L77:L440" si="4">C77+J77+K77-H77-F77+D77</f>
        <v>0</v>
      </c>
      <c r="M77" s="41">
        <v>0</v>
      </c>
      <c r="N77" s="41">
        <v>0</v>
      </c>
      <c r="O77" s="42" t="s">
        <v>372</v>
      </c>
      <c r="P77" s="42" t="s">
        <v>373</v>
      </c>
      <c r="Q77" s="42" t="s">
        <v>374</v>
      </c>
      <c r="R77" s="42" t="s">
        <v>375</v>
      </c>
      <c r="S77" s="42" t="s">
        <v>376</v>
      </c>
      <c r="T77" s="42"/>
    </row>
    <row r="78" spans="1:20" x14ac:dyDescent="0.3">
      <c r="A78" s="37"/>
      <c r="B78" s="37"/>
      <c r="C78" s="40">
        <f t="shared" ref="C78:C441" si="5">L77</f>
        <v>0</v>
      </c>
      <c r="D78" s="39">
        <v>0</v>
      </c>
      <c r="E78" s="39">
        <v>0</v>
      </c>
      <c r="F78" s="39">
        <f t="shared" si="3"/>
        <v>0</v>
      </c>
      <c r="G78" s="39">
        <v>0</v>
      </c>
      <c r="H78" s="39"/>
      <c r="I78" s="39">
        <v>0</v>
      </c>
      <c r="J78" s="39">
        <v>0</v>
      </c>
      <c r="K78" s="39">
        <v>0</v>
      </c>
      <c r="L78" s="40">
        <f t="shared" si="4"/>
        <v>0</v>
      </c>
      <c r="M78" s="41">
        <v>0</v>
      </c>
      <c r="N78" s="41">
        <v>0</v>
      </c>
      <c r="O78" s="42" t="s">
        <v>377</v>
      </c>
      <c r="P78" s="42" t="s">
        <v>378</v>
      </c>
      <c r="Q78" s="42" t="s">
        <v>379</v>
      </c>
      <c r="R78" s="42" t="s">
        <v>380</v>
      </c>
      <c r="S78" s="42" t="s">
        <v>381</v>
      </c>
      <c r="T78" s="42"/>
    </row>
    <row r="79" spans="1:20" x14ac:dyDescent="0.3">
      <c r="A79" s="37"/>
      <c r="B79" s="37"/>
      <c r="C79" s="40">
        <f t="shared" si="5"/>
        <v>0</v>
      </c>
      <c r="D79" s="39">
        <v>0</v>
      </c>
      <c r="E79" s="39">
        <v>0</v>
      </c>
      <c r="F79" s="39">
        <f t="shared" si="3"/>
        <v>0</v>
      </c>
      <c r="G79" s="39">
        <v>0</v>
      </c>
      <c r="H79" s="39"/>
      <c r="I79" s="39">
        <v>0</v>
      </c>
      <c r="J79" s="39">
        <v>0</v>
      </c>
      <c r="K79" s="39">
        <v>0</v>
      </c>
      <c r="L79" s="40">
        <f t="shared" si="4"/>
        <v>0</v>
      </c>
      <c r="M79" s="41">
        <v>0</v>
      </c>
      <c r="N79" s="41">
        <v>0</v>
      </c>
      <c r="O79" s="42" t="s">
        <v>382</v>
      </c>
      <c r="P79" s="42" t="s">
        <v>383</v>
      </c>
      <c r="Q79" s="42" t="s">
        <v>384</v>
      </c>
      <c r="R79" s="42" t="s">
        <v>385</v>
      </c>
      <c r="S79" s="42" t="s">
        <v>386</v>
      </c>
      <c r="T79" s="42"/>
    </row>
    <row r="80" spans="1:20" x14ac:dyDescent="0.3">
      <c r="A80" s="37"/>
      <c r="B80" s="37"/>
      <c r="C80" s="40">
        <f t="shared" si="5"/>
        <v>0</v>
      </c>
      <c r="D80" s="39">
        <v>0</v>
      </c>
      <c r="E80" s="39">
        <v>0</v>
      </c>
      <c r="F80" s="39">
        <f t="shared" si="3"/>
        <v>0</v>
      </c>
      <c r="G80" s="39">
        <v>0</v>
      </c>
      <c r="H80" s="39"/>
      <c r="I80" s="39">
        <v>0</v>
      </c>
      <c r="J80" s="39">
        <v>0</v>
      </c>
      <c r="K80" s="39">
        <v>0</v>
      </c>
      <c r="L80" s="40">
        <f t="shared" si="4"/>
        <v>0</v>
      </c>
      <c r="M80" s="41">
        <v>0</v>
      </c>
      <c r="N80" s="41">
        <v>0</v>
      </c>
      <c r="O80" s="42" t="s">
        <v>387</v>
      </c>
      <c r="P80" s="42" t="s">
        <v>388</v>
      </c>
      <c r="Q80" s="42" t="s">
        <v>389</v>
      </c>
      <c r="R80" s="42" t="s">
        <v>390</v>
      </c>
      <c r="S80" s="42" t="s">
        <v>391</v>
      </c>
      <c r="T80" s="42"/>
    </row>
    <row r="81" spans="1:20" x14ac:dyDescent="0.3">
      <c r="A81" s="37"/>
      <c r="B81" s="37"/>
      <c r="C81" s="40">
        <f t="shared" si="5"/>
        <v>0</v>
      </c>
      <c r="D81" s="39">
        <v>0</v>
      </c>
      <c r="E81" s="39">
        <v>0</v>
      </c>
      <c r="F81" s="39">
        <f t="shared" si="3"/>
        <v>0</v>
      </c>
      <c r="G81" s="39">
        <v>0</v>
      </c>
      <c r="H81" s="39"/>
      <c r="I81" s="39">
        <v>0</v>
      </c>
      <c r="J81" s="39">
        <v>0</v>
      </c>
      <c r="K81" s="39">
        <v>0</v>
      </c>
      <c r="L81" s="40">
        <f t="shared" si="4"/>
        <v>0</v>
      </c>
      <c r="M81" s="41">
        <v>0</v>
      </c>
      <c r="N81" s="41">
        <v>0</v>
      </c>
      <c r="O81" s="42" t="s">
        <v>392</v>
      </c>
      <c r="P81" s="42" t="s">
        <v>393</v>
      </c>
      <c r="Q81" s="42" t="s">
        <v>394</v>
      </c>
      <c r="R81" s="42" t="s">
        <v>395</v>
      </c>
      <c r="S81" s="42" t="s">
        <v>396</v>
      </c>
      <c r="T81" s="42"/>
    </row>
    <row r="82" spans="1:20" x14ac:dyDescent="0.3">
      <c r="A82" s="37"/>
      <c r="B82" s="37"/>
      <c r="C82" s="40">
        <f t="shared" si="5"/>
        <v>0</v>
      </c>
      <c r="D82" s="39">
        <v>0</v>
      </c>
      <c r="E82" s="39">
        <v>0</v>
      </c>
      <c r="F82" s="39">
        <f t="shared" si="3"/>
        <v>0</v>
      </c>
      <c r="G82" s="39">
        <v>0</v>
      </c>
      <c r="H82" s="39"/>
      <c r="I82" s="39">
        <v>0</v>
      </c>
      <c r="J82" s="39">
        <v>0</v>
      </c>
      <c r="K82" s="39">
        <v>0</v>
      </c>
      <c r="L82" s="40">
        <f t="shared" si="4"/>
        <v>0</v>
      </c>
      <c r="M82" s="41">
        <v>0</v>
      </c>
      <c r="N82" s="41">
        <v>0</v>
      </c>
      <c r="O82" s="42" t="s">
        <v>397</v>
      </c>
      <c r="P82" s="42" t="s">
        <v>398</v>
      </c>
      <c r="Q82" s="42" t="s">
        <v>399</v>
      </c>
      <c r="R82" s="42" t="s">
        <v>400</v>
      </c>
      <c r="S82" s="42" t="s">
        <v>401</v>
      </c>
      <c r="T82" s="42"/>
    </row>
    <row r="83" spans="1:20" x14ac:dyDescent="0.3">
      <c r="A83" s="37"/>
      <c r="B83" s="37"/>
      <c r="C83" s="40">
        <f t="shared" si="5"/>
        <v>0</v>
      </c>
      <c r="D83" s="39">
        <v>0</v>
      </c>
      <c r="E83" s="39">
        <v>0</v>
      </c>
      <c r="F83" s="39">
        <f t="shared" si="3"/>
        <v>0</v>
      </c>
      <c r="G83" s="39">
        <v>0</v>
      </c>
      <c r="H83" s="39"/>
      <c r="I83" s="39">
        <v>0</v>
      </c>
      <c r="J83" s="39">
        <v>0</v>
      </c>
      <c r="K83" s="39">
        <v>0</v>
      </c>
      <c r="L83" s="40">
        <f t="shared" si="4"/>
        <v>0</v>
      </c>
      <c r="M83" s="41">
        <v>0</v>
      </c>
      <c r="N83" s="41">
        <v>0</v>
      </c>
      <c r="O83" s="42" t="s">
        <v>402</v>
      </c>
      <c r="P83" s="42" t="s">
        <v>403</v>
      </c>
      <c r="Q83" s="42" t="s">
        <v>404</v>
      </c>
      <c r="R83" s="42" t="s">
        <v>405</v>
      </c>
      <c r="S83" s="42" t="s">
        <v>406</v>
      </c>
      <c r="T83" s="42"/>
    </row>
    <row r="84" spans="1:20" x14ac:dyDescent="0.3">
      <c r="A84" s="37"/>
      <c r="B84" s="37"/>
      <c r="C84" s="40">
        <f t="shared" si="5"/>
        <v>0</v>
      </c>
      <c r="D84" s="39">
        <v>0</v>
      </c>
      <c r="E84" s="39">
        <v>0</v>
      </c>
      <c r="F84" s="39">
        <f t="shared" si="3"/>
        <v>0</v>
      </c>
      <c r="G84" s="39">
        <v>0</v>
      </c>
      <c r="H84" s="39"/>
      <c r="I84" s="39">
        <v>0</v>
      </c>
      <c r="J84" s="39">
        <v>0</v>
      </c>
      <c r="K84" s="39">
        <v>0</v>
      </c>
      <c r="L84" s="40">
        <f t="shared" si="4"/>
        <v>0</v>
      </c>
      <c r="M84" s="41">
        <v>0</v>
      </c>
      <c r="N84" s="41">
        <v>0</v>
      </c>
      <c r="O84" s="42" t="s">
        <v>407</v>
      </c>
      <c r="P84" s="42" t="s">
        <v>408</v>
      </c>
      <c r="Q84" s="42" t="s">
        <v>409</v>
      </c>
      <c r="R84" s="42" t="s">
        <v>410</v>
      </c>
      <c r="S84" s="42" t="s">
        <v>411</v>
      </c>
      <c r="T84" s="42"/>
    </row>
    <row r="85" spans="1:20" x14ac:dyDescent="0.3">
      <c r="A85" s="37"/>
      <c r="B85" s="37"/>
      <c r="C85" s="40">
        <f t="shared" si="5"/>
        <v>0</v>
      </c>
      <c r="D85" s="39">
        <v>0</v>
      </c>
      <c r="E85" s="39">
        <v>0</v>
      </c>
      <c r="F85" s="39">
        <f t="shared" si="3"/>
        <v>0</v>
      </c>
      <c r="G85" s="39">
        <v>0</v>
      </c>
      <c r="H85" s="39"/>
      <c r="I85" s="39">
        <v>0</v>
      </c>
      <c r="J85" s="39">
        <v>0</v>
      </c>
      <c r="K85" s="39">
        <v>0</v>
      </c>
      <c r="L85" s="40">
        <f t="shared" si="4"/>
        <v>0</v>
      </c>
      <c r="M85" s="41">
        <v>0</v>
      </c>
      <c r="N85" s="41">
        <v>0</v>
      </c>
      <c r="O85" s="42" t="s">
        <v>412</v>
      </c>
      <c r="P85" s="42" t="s">
        <v>413</v>
      </c>
      <c r="Q85" s="42" t="s">
        <v>414</v>
      </c>
      <c r="R85" s="42" t="s">
        <v>415</v>
      </c>
      <c r="S85" s="42" t="s">
        <v>416</v>
      </c>
      <c r="T85" s="42"/>
    </row>
    <row r="86" spans="1:20" x14ac:dyDescent="0.3">
      <c r="A86" s="37"/>
      <c r="B86" s="37"/>
      <c r="C86" s="40">
        <f t="shared" si="5"/>
        <v>0</v>
      </c>
      <c r="D86" s="39">
        <v>0</v>
      </c>
      <c r="E86" s="39">
        <v>0</v>
      </c>
      <c r="F86" s="39">
        <f t="shared" si="3"/>
        <v>0</v>
      </c>
      <c r="G86" s="39">
        <v>0</v>
      </c>
      <c r="H86" s="39"/>
      <c r="I86" s="39">
        <v>0</v>
      </c>
      <c r="J86" s="39">
        <v>0</v>
      </c>
      <c r="K86" s="39">
        <v>0</v>
      </c>
      <c r="L86" s="40">
        <f t="shared" si="4"/>
        <v>0</v>
      </c>
      <c r="M86" s="41">
        <v>0</v>
      </c>
      <c r="N86" s="41">
        <v>0</v>
      </c>
      <c r="O86" s="42" t="s">
        <v>417</v>
      </c>
      <c r="P86" s="42" t="s">
        <v>418</v>
      </c>
      <c r="Q86" s="42" t="s">
        <v>419</v>
      </c>
      <c r="R86" s="42" t="s">
        <v>420</v>
      </c>
      <c r="S86" s="42" t="s">
        <v>421</v>
      </c>
      <c r="T86" s="42"/>
    </row>
    <row r="87" spans="1:20" x14ac:dyDescent="0.3">
      <c r="A87" s="37"/>
      <c r="B87" s="37"/>
      <c r="C87" s="40">
        <f t="shared" si="5"/>
        <v>0</v>
      </c>
      <c r="D87" s="39">
        <v>0</v>
      </c>
      <c r="E87" s="39">
        <v>0</v>
      </c>
      <c r="F87" s="39">
        <f t="shared" si="3"/>
        <v>0</v>
      </c>
      <c r="G87" s="39">
        <v>0</v>
      </c>
      <c r="H87" s="39"/>
      <c r="I87" s="39">
        <v>0</v>
      </c>
      <c r="J87" s="39">
        <v>0</v>
      </c>
      <c r="K87" s="39">
        <v>0</v>
      </c>
      <c r="L87" s="40">
        <f t="shared" si="4"/>
        <v>0</v>
      </c>
      <c r="M87" s="41">
        <v>0</v>
      </c>
      <c r="N87" s="41">
        <v>0</v>
      </c>
      <c r="O87" s="42" t="s">
        <v>422</v>
      </c>
      <c r="P87" s="42" t="s">
        <v>423</v>
      </c>
      <c r="Q87" s="42" t="s">
        <v>424</v>
      </c>
      <c r="R87" s="42" t="s">
        <v>425</v>
      </c>
      <c r="S87" s="42" t="s">
        <v>426</v>
      </c>
      <c r="T87" s="42"/>
    </row>
    <row r="88" spans="1:20" x14ac:dyDescent="0.3">
      <c r="A88" s="37"/>
      <c r="B88" s="37"/>
      <c r="C88" s="40">
        <f t="shared" si="5"/>
        <v>0</v>
      </c>
      <c r="D88" s="39">
        <v>0</v>
      </c>
      <c r="E88" s="39">
        <v>0</v>
      </c>
      <c r="F88" s="39">
        <f t="shared" si="3"/>
        <v>0</v>
      </c>
      <c r="G88" s="39">
        <v>0</v>
      </c>
      <c r="H88" s="39"/>
      <c r="I88" s="39">
        <v>0</v>
      </c>
      <c r="J88" s="39">
        <v>0</v>
      </c>
      <c r="K88" s="39">
        <v>0</v>
      </c>
      <c r="L88" s="40">
        <f t="shared" si="4"/>
        <v>0</v>
      </c>
      <c r="M88" s="41">
        <v>0</v>
      </c>
      <c r="N88" s="41">
        <v>0</v>
      </c>
      <c r="O88" s="42" t="s">
        <v>427</v>
      </c>
      <c r="P88" s="42" t="s">
        <v>428</v>
      </c>
      <c r="Q88" s="42" t="s">
        <v>429</v>
      </c>
      <c r="R88" s="42" t="s">
        <v>430</v>
      </c>
      <c r="S88" s="42" t="s">
        <v>431</v>
      </c>
      <c r="T88" s="42"/>
    </row>
    <row r="89" spans="1:20" x14ac:dyDescent="0.3">
      <c r="A89" s="37"/>
      <c r="B89" s="37"/>
      <c r="C89" s="40">
        <f t="shared" si="5"/>
        <v>0</v>
      </c>
      <c r="D89" s="39">
        <v>0</v>
      </c>
      <c r="E89" s="39">
        <v>0</v>
      </c>
      <c r="F89" s="39">
        <f t="shared" si="3"/>
        <v>0</v>
      </c>
      <c r="G89" s="39">
        <v>0</v>
      </c>
      <c r="H89" s="39"/>
      <c r="I89" s="39">
        <v>0</v>
      </c>
      <c r="J89" s="39">
        <v>0</v>
      </c>
      <c r="K89" s="39">
        <v>0</v>
      </c>
      <c r="L89" s="40">
        <f t="shared" si="4"/>
        <v>0</v>
      </c>
      <c r="M89" s="41">
        <v>0</v>
      </c>
      <c r="N89" s="41">
        <v>0</v>
      </c>
      <c r="O89" s="42" t="s">
        <v>432</v>
      </c>
      <c r="P89" s="42" t="s">
        <v>433</v>
      </c>
      <c r="Q89" s="42" t="s">
        <v>434</v>
      </c>
      <c r="R89" s="42" t="s">
        <v>435</v>
      </c>
      <c r="S89" s="42" t="s">
        <v>436</v>
      </c>
      <c r="T89" s="42"/>
    </row>
    <row r="90" spans="1:20" x14ac:dyDescent="0.3">
      <c r="A90" s="37"/>
      <c r="B90" s="37"/>
      <c r="C90" s="40">
        <f t="shared" si="5"/>
        <v>0</v>
      </c>
      <c r="D90" s="39">
        <v>0</v>
      </c>
      <c r="E90" s="39">
        <v>0</v>
      </c>
      <c r="F90" s="39">
        <f t="shared" si="3"/>
        <v>0</v>
      </c>
      <c r="G90" s="39">
        <v>0</v>
      </c>
      <c r="H90" s="39"/>
      <c r="I90" s="39">
        <v>0</v>
      </c>
      <c r="J90" s="39">
        <v>0</v>
      </c>
      <c r="K90" s="39">
        <v>0</v>
      </c>
      <c r="L90" s="40">
        <f t="shared" si="4"/>
        <v>0</v>
      </c>
      <c r="M90" s="41">
        <v>0</v>
      </c>
      <c r="N90" s="41">
        <v>0</v>
      </c>
      <c r="O90" s="42" t="s">
        <v>437</v>
      </c>
      <c r="P90" s="42" t="s">
        <v>438</v>
      </c>
      <c r="Q90" s="42" t="s">
        <v>439</v>
      </c>
      <c r="R90" s="42" t="s">
        <v>440</v>
      </c>
      <c r="S90" s="42" t="s">
        <v>441</v>
      </c>
      <c r="T90" s="42"/>
    </row>
    <row r="91" spans="1:20" x14ac:dyDescent="0.3">
      <c r="A91" s="37"/>
      <c r="B91" s="37"/>
      <c r="C91" s="40">
        <f t="shared" si="5"/>
        <v>0</v>
      </c>
      <c r="D91" s="39">
        <v>0</v>
      </c>
      <c r="E91" s="39">
        <v>0</v>
      </c>
      <c r="F91" s="39">
        <f t="shared" si="3"/>
        <v>0</v>
      </c>
      <c r="G91" s="39">
        <v>0</v>
      </c>
      <c r="H91" s="39"/>
      <c r="I91" s="39">
        <v>0</v>
      </c>
      <c r="J91" s="39">
        <v>0</v>
      </c>
      <c r="K91" s="39">
        <v>0</v>
      </c>
      <c r="L91" s="40">
        <f t="shared" si="4"/>
        <v>0</v>
      </c>
      <c r="M91" s="41">
        <v>0</v>
      </c>
      <c r="N91" s="41">
        <v>0</v>
      </c>
      <c r="O91" s="42" t="s">
        <v>442</v>
      </c>
      <c r="P91" s="42" t="s">
        <v>443</v>
      </c>
      <c r="Q91" s="42" t="s">
        <v>444</v>
      </c>
      <c r="R91" s="42" t="s">
        <v>445</v>
      </c>
      <c r="S91" s="42" t="s">
        <v>446</v>
      </c>
      <c r="T91" s="42"/>
    </row>
    <row r="92" spans="1:20" x14ac:dyDescent="0.3">
      <c r="A92" s="37"/>
      <c r="B92" s="37"/>
      <c r="C92" s="40">
        <f t="shared" si="5"/>
        <v>0</v>
      </c>
      <c r="D92" s="39">
        <v>0</v>
      </c>
      <c r="E92" s="39">
        <v>0</v>
      </c>
      <c r="F92" s="39">
        <f t="shared" si="3"/>
        <v>0</v>
      </c>
      <c r="G92" s="39">
        <v>0</v>
      </c>
      <c r="H92" s="39"/>
      <c r="I92" s="39">
        <v>0</v>
      </c>
      <c r="J92" s="39">
        <v>0</v>
      </c>
      <c r="K92" s="39">
        <v>0</v>
      </c>
      <c r="L92" s="40">
        <f t="shared" si="4"/>
        <v>0</v>
      </c>
      <c r="M92" s="41">
        <v>0</v>
      </c>
      <c r="N92" s="41">
        <v>0</v>
      </c>
      <c r="O92" s="42" t="s">
        <v>447</v>
      </c>
      <c r="P92" s="42" t="s">
        <v>448</v>
      </c>
      <c r="Q92" s="42" t="s">
        <v>449</v>
      </c>
      <c r="R92" s="42" t="s">
        <v>450</v>
      </c>
      <c r="S92" s="42" t="s">
        <v>451</v>
      </c>
      <c r="T92" s="42"/>
    </row>
    <row r="93" spans="1:20" x14ac:dyDescent="0.3">
      <c r="A93" s="37"/>
      <c r="B93" s="37"/>
      <c r="C93" s="40">
        <f t="shared" si="5"/>
        <v>0</v>
      </c>
      <c r="D93" s="39">
        <v>0</v>
      </c>
      <c r="E93" s="39">
        <v>0</v>
      </c>
      <c r="F93" s="39">
        <f t="shared" si="3"/>
        <v>0</v>
      </c>
      <c r="G93" s="39">
        <v>0</v>
      </c>
      <c r="H93" s="39"/>
      <c r="I93" s="39">
        <v>0</v>
      </c>
      <c r="J93" s="39">
        <v>0</v>
      </c>
      <c r="K93" s="39">
        <v>0</v>
      </c>
      <c r="L93" s="40">
        <f t="shared" si="4"/>
        <v>0</v>
      </c>
      <c r="M93" s="41">
        <v>0</v>
      </c>
      <c r="N93" s="41">
        <v>0</v>
      </c>
      <c r="O93" s="42" t="s">
        <v>452</v>
      </c>
      <c r="P93" s="42" t="s">
        <v>453</v>
      </c>
      <c r="Q93" s="42" t="s">
        <v>454</v>
      </c>
      <c r="R93" s="42" t="s">
        <v>455</v>
      </c>
      <c r="S93" s="42" t="s">
        <v>456</v>
      </c>
      <c r="T93" s="42"/>
    </row>
    <row r="94" spans="1:20" x14ac:dyDescent="0.3">
      <c r="A94" s="37"/>
      <c r="B94" s="37"/>
      <c r="C94" s="40">
        <f t="shared" si="5"/>
        <v>0</v>
      </c>
      <c r="D94" s="39">
        <v>0</v>
      </c>
      <c r="E94" s="39">
        <v>0</v>
      </c>
      <c r="F94" s="39">
        <f t="shared" si="3"/>
        <v>0</v>
      </c>
      <c r="G94" s="39">
        <v>0</v>
      </c>
      <c r="H94" s="39"/>
      <c r="I94" s="39">
        <v>0</v>
      </c>
      <c r="J94" s="39">
        <v>0</v>
      </c>
      <c r="K94" s="39">
        <v>0</v>
      </c>
      <c r="L94" s="40">
        <f t="shared" si="4"/>
        <v>0</v>
      </c>
      <c r="M94" s="41">
        <v>0</v>
      </c>
      <c r="N94" s="41">
        <v>0</v>
      </c>
      <c r="O94" s="42" t="s">
        <v>457</v>
      </c>
      <c r="P94" s="42" t="s">
        <v>458</v>
      </c>
      <c r="Q94" s="42" t="s">
        <v>459</v>
      </c>
      <c r="R94" s="42" t="s">
        <v>460</v>
      </c>
      <c r="S94" s="42" t="s">
        <v>461</v>
      </c>
      <c r="T94" s="42"/>
    </row>
    <row r="95" spans="1:20" x14ac:dyDescent="0.3">
      <c r="A95" s="37"/>
      <c r="B95" s="37"/>
      <c r="C95" s="40">
        <f t="shared" si="5"/>
        <v>0</v>
      </c>
      <c r="D95" s="39">
        <v>0</v>
      </c>
      <c r="E95" s="39">
        <v>0</v>
      </c>
      <c r="F95" s="39">
        <f t="shared" si="3"/>
        <v>0</v>
      </c>
      <c r="G95" s="39">
        <v>0</v>
      </c>
      <c r="H95" s="39"/>
      <c r="I95" s="39">
        <v>0</v>
      </c>
      <c r="J95" s="39">
        <v>0</v>
      </c>
      <c r="K95" s="39">
        <v>0</v>
      </c>
      <c r="L95" s="40">
        <f t="shared" si="4"/>
        <v>0</v>
      </c>
      <c r="M95" s="41">
        <v>0</v>
      </c>
      <c r="N95" s="41">
        <v>0</v>
      </c>
      <c r="O95" s="42" t="s">
        <v>462</v>
      </c>
      <c r="P95" s="42" t="s">
        <v>463</v>
      </c>
      <c r="Q95" s="42" t="s">
        <v>464</v>
      </c>
      <c r="R95" s="42" t="s">
        <v>465</v>
      </c>
      <c r="S95" s="42" t="s">
        <v>466</v>
      </c>
      <c r="T95" s="42"/>
    </row>
    <row r="96" spans="1:20" x14ac:dyDescent="0.3">
      <c r="A96" s="37"/>
      <c r="B96" s="37"/>
      <c r="C96" s="40">
        <f t="shared" si="5"/>
        <v>0</v>
      </c>
      <c r="D96" s="39">
        <v>0</v>
      </c>
      <c r="E96" s="39">
        <v>0</v>
      </c>
      <c r="F96" s="39">
        <f t="shared" si="3"/>
        <v>0</v>
      </c>
      <c r="G96" s="39">
        <v>0</v>
      </c>
      <c r="H96" s="39"/>
      <c r="I96" s="39">
        <v>0</v>
      </c>
      <c r="J96" s="39">
        <v>0</v>
      </c>
      <c r="K96" s="39">
        <v>0</v>
      </c>
      <c r="L96" s="40">
        <f t="shared" si="4"/>
        <v>0</v>
      </c>
      <c r="M96" s="41">
        <v>0</v>
      </c>
      <c r="N96" s="41">
        <v>0</v>
      </c>
      <c r="O96" s="42" t="s">
        <v>467</v>
      </c>
      <c r="P96" s="42" t="s">
        <v>468</v>
      </c>
      <c r="Q96" s="42" t="s">
        <v>469</v>
      </c>
      <c r="R96" s="42" t="s">
        <v>470</v>
      </c>
      <c r="S96" s="42" t="s">
        <v>471</v>
      </c>
      <c r="T96" s="42"/>
    </row>
    <row r="97" spans="1:20" x14ac:dyDescent="0.3">
      <c r="A97" s="37"/>
      <c r="B97" s="37"/>
      <c r="C97" s="40">
        <f t="shared" si="5"/>
        <v>0</v>
      </c>
      <c r="D97" s="39">
        <v>0</v>
      </c>
      <c r="E97" s="39">
        <v>0</v>
      </c>
      <c r="F97" s="39">
        <f t="shared" si="3"/>
        <v>0</v>
      </c>
      <c r="G97" s="39">
        <v>0</v>
      </c>
      <c r="H97" s="39"/>
      <c r="I97" s="39">
        <v>0</v>
      </c>
      <c r="J97" s="39">
        <v>0</v>
      </c>
      <c r="K97" s="39">
        <v>0</v>
      </c>
      <c r="L97" s="40">
        <f t="shared" si="4"/>
        <v>0</v>
      </c>
      <c r="M97" s="41">
        <v>0</v>
      </c>
      <c r="N97" s="41">
        <v>0</v>
      </c>
      <c r="O97" s="42" t="s">
        <v>472</v>
      </c>
      <c r="P97" s="42" t="s">
        <v>473</v>
      </c>
      <c r="Q97" s="42" t="s">
        <v>474</v>
      </c>
      <c r="R97" s="42" t="s">
        <v>475</v>
      </c>
      <c r="S97" s="42" t="s">
        <v>476</v>
      </c>
      <c r="T97" s="42"/>
    </row>
    <row r="98" spans="1:20" x14ac:dyDescent="0.3">
      <c r="A98" s="37"/>
      <c r="B98" s="37"/>
      <c r="C98" s="40">
        <f t="shared" si="5"/>
        <v>0</v>
      </c>
      <c r="D98" s="39">
        <v>0</v>
      </c>
      <c r="E98" s="39">
        <v>0</v>
      </c>
      <c r="F98" s="39">
        <f t="shared" si="3"/>
        <v>0</v>
      </c>
      <c r="G98" s="39">
        <v>0</v>
      </c>
      <c r="H98" s="39"/>
      <c r="I98" s="39">
        <v>0</v>
      </c>
      <c r="J98" s="39">
        <v>0</v>
      </c>
      <c r="K98" s="39">
        <v>0</v>
      </c>
      <c r="L98" s="40">
        <f t="shared" si="4"/>
        <v>0</v>
      </c>
      <c r="M98" s="41">
        <v>0</v>
      </c>
      <c r="N98" s="41">
        <v>0</v>
      </c>
      <c r="O98" s="42" t="s">
        <v>477</v>
      </c>
      <c r="P98" s="42" t="s">
        <v>478</v>
      </c>
      <c r="Q98" s="42" t="s">
        <v>479</v>
      </c>
      <c r="R98" s="42" t="s">
        <v>480</v>
      </c>
      <c r="S98" s="42" t="s">
        <v>481</v>
      </c>
      <c r="T98" s="42"/>
    </row>
    <row r="99" spans="1:20" x14ac:dyDescent="0.3">
      <c r="A99" s="37"/>
      <c r="B99" s="37"/>
      <c r="C99" s="40">
        <f t="shared" si="5"/>
        <v>0</v>
      </c>
      <c r="D99" s="39">
        <v>0</v>
      </c>
      <c r="E99" s="39">
        <v>0</v>
      </c>
      <c r="F99" s="39">
        <f t="shared" si="3"/>
        <v>0</v>
      </c>
      <c r="G99" s="39">
        <v>0</v>
      </c>
      <c r="H99" s="39"/>
      <c r="I99" s="39">
        <v>0</v>
      </c>
      <c r="J99" s="39">
        <v>0</v>
      </c>
      <c r="K99" s="39">
        <v>0</v>
      </c>
      <c r="L99" s="40">
        <f t="shared" si="4"/>
        <v>0</v>
      </c>
      <c r="M99" s="41">
        <v>0</v>
      </c>
      <c r="N99" s="41">
        <v>0</v>
      </c>
      <c r="O99" s="42" t="s">
        <v>482</v>
      </c>
      <c r="P99" s="42" t="s">
        <v>483</v>
      </c>
      <c r="Q99" s="42" t="s">
        <v>484</v>
      </c>
      <c r="R99" s="42" t="s">
        <v>485</v>
      </c>
      <c r="S99" s="42" t="s">
        <v>486</v>
      </c>
      <c r="T99" s="42"/>
    </row>
    <row r="100" spans="1:20" x14ac:dyDescent="0.3">
      <c r="A100" s="37"/>
      <c r="B100" s="37"/>
      <c r="C100" s="40">
        <f t="shared" si="5"/>
        <v>0</v>
      </c>
      <c r="D100" s="39">
        <v>0</v>
      </c>
      <c r="E100" s="39">
        <v>0</v>
      </c>
      <c r="F100" s="39">
        <f t="shared" si="3"/>
        <v>0</v>
      </c>
      <c r="G100" s="39">
        <v>0</v>
      </c>
      <c r="H100" s="39"/>
      <c r="I100" s="39">
        <v>0</v>
      </c>
      <c r="J100" s="39">
        <v>0</v>
      </c>
      <c r="K100" s="39">
        <v>0</v>
      </c>
      <c r="L100" s="40">
        <f t="shared" si="4"/>
        <v>0</v>
      </c>
      <c r="M100" s="41">
        <v>0</v>
      </c>
      <c r="N100" s="41">
        <v>0</v>
      </c>
      <c r="O100" s="42" t="s">
        <v>487</v>
      </c>
      <c r="P100" s="42" t="s">
        <v>488</v>
      </c>
      <c r="Q100" s="42" t="s">
        <v>489</v>
      </c>
      <c r="R100" s="42" t="s">
        <v>490</v>
      </c>
      <c r="S100" s="42" t="s">
        <v>491</v>
      </c>
      <c r="T100" s="42"/>
    </row>
    <row r="101" spans="1:20" x14ac:dyDescent="0.3">
      <c r="A101" s="37"/>
      <c r="B101" s="37"/>
      <c r="C101" s="40">
        <f t="shared" ref="C101:C164" si="6">L100</f>
        <v>0</v>
      </c>
      <c r="D101" s="39">
        <v>0</v>
      </c>
      <c r="E101" s="39">
        <v>0</v>
      </c>
      <c r="F101" s="39">
        <f t="shared" ref="F101:F164" si="7">E101-G101-H101</f>
        <v>0</v>
      </c>
      <c r="G101" s="39">
        <v>0</v>
      </c>
      <c r="H101" s="39"/>
      <c r="I101" s="39">
        <v>0</v>
      </c>
      <c r="J101" s="39">
        <v>0</v>
      </c>
      <c r="K101" s="39">
        <v>0</v>
      </c>
      <c r="L101" s="40">
        <f t="shared" ref="L101:L164" si="8">C101+J101+K101-H101-F101+D101</f>
        <v>0</v>
      </c>
      <c r="M101" s="41">
        <v>0</v>
      </c>
      <c r="N101" s="41">
        <v>0</v>
      </c>
      <c r="O101" s="42" t="s">
        <v>492</v>
      </c>
      <c r="P101" s="42" t="s">
        <v>493</v>
      </c>
      <c r="Q101" s="42" t="s">
        <v>494</v>
      </c>
      <c r="R101" s="42" t="s">
        <v>495</v>
      </c>
      <c r="S101" s="42" t="s">
        <v>496</v>
      </c>
      <c r="T101" s="42"/>
    </row>
    <row r="102" spans="1:20" x14ac:dyDescent="0.3">
      <c r="A102" s="37"/>
      <c r="B102" s="37"/>
      <c r="C102" s="40">
        <f t="shared" si="6"/>
        <v>0</v>
      </c>
      <c r="D102" s="39">
        <v>0</v>
      </c>
      <c r="E102" s="39">
        <v>0</v>
      </c>
      <c r="F102" s="39">
        <f t="shared" si="7"/>
        <v>0</v>
      </c>
      <c r="G102" s="39">
        <v>0</v>
      </c>
      <c r="H102" s="39"/>
      <c r="I102" s="39">
        <v>0</v>
      </c>
      <c r="J102" s="39">
        <v>0</v>
      </c>
      <c r="K102" s="39">
        <v>0</v>
      </c>
      <c r="L102" s="40">
        <f t="shared" si="8"/>
        <v>0</v>
      </c>
      <c r="M102" s="41">
        <v>0</v>
      </c>
      <c r="N102" s="41">
        <v>0</v>
      </c>
      <c r="O102" s="42" t="s">
        <v>497</v>
      </c>
      <c r="P102" s="42" t="s">
        <v>498</v>
      </c>
      <c r="Q102" s="42" t="s">
        <v>499</v>
      </c>
      <c r="R102" s="42" t="s">
        <v>500</v>
      </c>
      <c r="S102" s="42" t="s">
        <v>501</v>
      </c>
      <c r="T102" s="42"/>
    </row>
    <row r="103" spans="1:20" x14ac:dyDescent="0.3">
      <c r="A103" s="37"/>
      <c r="B103" s="37"/>
      <c r="C103" s="40">
        <f t="shared" si="6"/>
        <v>0</v>
      </c>
      <c r="D103" s="39">
        <v>0</v>
      </c>
      <c r="E103" s="39">
        <v>0</v>
      </c>
      <c r="F103" s="39">
        <f t="shared" si="7"/>
        <v>0</v>
      </c>
      <c r="G103" s="39">
        <v>0</v>
      </c>
      <c r="H103" s="39"/>
      <c r="I103" s="39">
        <v>0</v>
      </c>
      <c r="J103" s="39">
        <v>0</v>
      </c>
      <c r="K103" s="39">
        <v>0</v>
      </c>
      <c r="L103" s="40">
        <f t="shared" si="8"/>
        <v>0</v>
      </c>
      <c r="M103" s="41">
        <v>0</v>
      </c>
      <c r="N103" s="41">
        <v>0</v>
      </c>
      <c r="O103" s="42" t="s">
        <v>502</v>
      </c>
      <c r="P103" s="42" t="s">
        <v>503</v>
      </c>
      <c r="Q103" s="42" t="s">
        <v>504</v>
      </c>
      <c r="R103" s="42" t="s">
        <v>505</v>
      </c>
      <c r="S103" s="42" t="s">
        <v>506</v>
      </c>
      <c r="T103" s="42"/>
    </row>
    <row r="104" spans="1:20" x14ac:dyDescent="0.3">
      <c r="A104" s="37"/>
      <c r="B104" s="37"/>
      <c r="C104" s="40">
        <f t="shared" si="6"/>
        <v>0</v>
      </c>
      <c r="D104" s="39">
        <v>0</v>
      </c>
      <c r="E104" s="39">
        <v>0</v>
      </c>
      <c r="F104" s="39">
        <f t="shared" si="7"/>
        <v>0</v>
      </c>
      <c r="G104" s="39">
        <v>0</v>
      </c>
      <c r="H104" s="39"/>
      <c r="I104" s="39">
        <v>0</v>
      </c>
      <c r="J104" s="39">
        <v>0</v>
      </c>
      <c r="K104" s="39">
        <v>0</v>
      </c>
      <c r="L104" s="40">
        <f t="shared" si="8"/>
        <v>0</v>
      </c>
      <c r="M104" s="41">
        <v>0</v>
      </c>
      <c r="N104" s="41">
        <v>0</v>
      </c>
      <c r="O104" s="42" t="s">
        <v>507</v>
      </c>
      <c r="P104" s="42" t="s">
        <v>508</v>
      </c>
      <c r="Q104" s="42" t="s">
        <v>509</v>
      </c>
      <c r="R104" s="42" t="s">
        <v>510</v>
      </c>
      <c r="S104" s="42" t="s">
        <v>511</v>
      </c>
      <c r="T104" s="42"/>
    </row>
    <row r="105" spans="1:20" x14ac:dyDescent="0.3">
      <c r="A105" s="37"/>
      <c r="B105" s="37"/>
      <c r="C105" s="40">
        <f t="shared" si="6"/>
        <v>0</v>
      </c>
      <c r="D105" s="39">
        <v>0</v>
      </c>
      <c r="E105" s="39">
        <v>0</v>
      </c>
      <c r="F105" s="39">
        <f t="shared" si="7"/>
        <v>0</v>
      </c>
      <c r="G105" s="39">
        <v>0</v>
      </c>
      <c r="H105" s="39"/>
      <c r="I105" s="39">
        <v>0</v>
      </c>
      <c r="J105" s="39">
        <v>0</v>
      </c>
      <c r="K105" s="39">
        <v>0</v>
      </c>
      <c r="L105" s="40">
        <f t="shared" si="8"/>
        <v>0</v>
      </c>
      <c r="M105" s="41">
        <v>0</v>
      </c>
      <c r="N105" s="41">
        <v>0</v>
      </c>
      <c r="O105" s="42" t="s">
        <v>512</v>
      </c>
      <c r="P105" s="42" t="s">
        <v>513</v>
      </c>
      <c r="Q105" s="42" t="s">
        <v>514</v>
      </c>
      <c r="R105" s="42" t="s">
        <v>515</v>
      </c>
      <c r="S105" s="42" t="s">
        <v>516</v>
      </c>
      <c r="T105" s="42"/>
    </row>
    <row r="106" spans="1:20" x14ac:dyDescent="0.3">
      <c r="A106" s="37"/>
      <c r="B106" s="37"/>
      <c r="C106" s="40">
        <f t="shared" si="6"/>
        <v>0</v>
      </c>
      <c r="D106" s="39">
        <v>0</v>
      </c>
      <c r="E106" s="39">
        <v>0</v>
      </c>
      <c r="F106" s="39">
        <f t="shared" si="7"/>
        <v>0</v>
      </c>
      <c r="G106" s="39">
        <v>0</v>
      </c>
      <c r="H106" s="39"/>
      <c r="I106" s="39">
        <v>0</v>
      </c>
      <c r="J106" s="39">
        <v>0</v>
      </c>
      <c r="K106" s="39">
        <v>0</v>
      </c>
      <c r="L106" s="40">
        <f t="shared" si="8"/>
        <v>0</v>
      </c>
      <c r="M106" s="41">
        <v>0</v>
      </c>
      <c r="N106" s="41">
        <v>0</v>
      </c>
      <c r="O106" s="42" t="s">
        <v>517</v>
      </c>
      <c r="P106" s="42" t="s">
        <v>518</v>
      </c>
      <c r="Q106" s="42" t="s">
        <v>519</v>
      </c>
      <c r="R106" s="42" t="s">
        <v>520</v>
      </c>
      <c r="S106" s="42" t="s">
        <v>521</v>
      </c>
      <c r="T106" s="42"/>
    </row>
    <row r="107" spans="1:20" x14ac:dyDescent="0.3">
      <c r="A107" s="37"/>
      <c r="B107" s="37"/>
      <c r="C107" s="40">
        <f t="shared" si="6"/>
        <v>0</v>
      </c>
      <c r="D107" s="39">
        <v>0</v>
      </c>
      <c r="E107" s="39">
        <v>0</v>
      </c>
      <c r="F107" s="39">
        <f t="shared" si="7"/>
        <v>0</v>
      </c>
      <c r="G107" s="39">
        <v>0</v>
      </c>
      <c r="H107" s="39"/>
      <c r="I107" s="39">
        <v>0</v>
      </c>
      <c r="J107" s="39">
        <v>0</v>
      </c>
      <c r="K107" s="39">
        <v>0</v>
      </c>
      <c r="L107" s="40">
        <f t="shared" si="8"/>
        <v>0</v>
      </c>
      <c r="M107" s="41">
        <v>0</v>
      </c>
      <c r="N107" s="41">
        <v>0</v>
      </c>
      <c r="O107" s="42" t="s">
        <v>522</v>
      </c>
      <c r="P107" s="42" t="s">
        <v>523</v>
      </c>
      <c r="Q107" s="42" t="s">
        <v>524</v>
      </c>
      <c r="R107" s="42" t="s">
        <v>525</v>
      </c>
      <c r="S107" s="42" t="s">
        <v>526</v>
      </c>
      <c r="T107" s="42"/>
    </row>
    <row r="108" spans="1:20" x14ac:dyDescent="0.3">
      <c r="A108" s="37"/>
      <c r="B108" s="37"/>
      <c r="C108" s="40">
        <f t="shared" si="6"/>
        <v>0</v>
      </c>
      <c r="D108" s="39">
        <v>0</v>
      </c>
      <c r="E108" s="39">
        <v>0</v>
      </c>
      <c r="F108" s="39">
        <f t="shared" si="7"/>
        <v>0</v>
      </c>
      <c r="G108" s="39">
        <v>0</v>
      </c>
      <c r="H108" s="39"/>
      <c r="I108" s="39">
        <v>0</v>
      </c>
      <c r="J108" s="39">
        <v>0</v>
      </c>
      <c r="K108" s="39">
        <v>0</v>
      </c>
      <c r="L108" s="40">
        <f t="shared" si="8"/>
        <v>0</v>
      </c>
      <c r="M108" s="41">
        <v>0</v>
      </c>
      <c r="N108" s="41">
        <v>0</v>
      </c>
      <c r="O108" s="42" t="s">
        <v>527</v>
      </c>
      <c r="P108" s="42" t="s">
        <v>528</v>
      </c>
      <c r="Q108" s="42" t="s">
        <v>529</v>
      </c>
      <c r="R108" s="42" t="s">
        <v>530</v>
      </c>
      <c r="S108" s="42" t="s">
        <v>531</v>
      </c>
      <c r="T108" s="42"/>
    </row>
    <row r="109" spans="1:20" x14ac:dyDescent="0.3">
      <c r="A109" s="37"/>
      <c r="B109" s="37"/>
      <c r="C109" s="40">
        <f t="shared" si="6"/>
        <v>0</v>
      </c>
      <c r="D109" s="39">
        <v>0</v>
      </c>
      <c r="E109" s="39">
        <v>0</v>
      </c>
      <c r="F109" s="39">
        <f t="shared" si="7"/>
        <v>0</v>
      </c>
      <c r="G109" s="39">
        <v>0</v>
      </c>
      <c r="H109" s="39"/>
      <c r="I109" s="39">
        <v>0</v>
      </c>
      <c r="J109" s="39">
        <v>0</v>
      </c>
      <c r="K109" s="39">
        <v>0</v>
      </c>
      <c r="L109" s="40">
        <f t="shared" si="8"/>
        <v>0</v>
      </c>
      <c r="M109" s="41">
        <v>0</v>
      </c>
      <c r="N109" s="41">
        <v>0</v>
      </c>
      <c r="O109" s="42" t="s">
        <v>532</v>
      </c>
      <c r="P109" s="42" t="s">
        <v>533</v>
      </c>
      <c r="Q109" s="42" t="s">
        <v>534</v>
      </c>
      <c r="R109" s="42" t="s">
        <v>535</v>
      </c>
      <c r="S109" s="42" t="s">
        <v>536</v>
      </c>
      <c r="T109" s="42"/>
    </row>
    <row r="110" spans="1:20" x14ac:dyDescent="0.3">
      <c r="A110" s="37"/>
      <c r="B110" s="37"/>
      <c r="C110" s="40">
        <f t="shared" si="6"/>
        <v>0</v>
      </c>
      <c r="D110" s="39">
        <v>0</v>
      </c>
      <c r="E110" s="39">
        <v>0</v>
      </c>
      <c r="F110" s="39">
        <f t="shared" si="7"/>
        <v>0</v>
      </c>
      <c r="G110" s="39">
        <v>0</v>
      </c>
      <c r="H110" s="39"/>
      <c r="I110" s="39">
        <v>0</v>
      </c>
      <c r="J110" s="39">
        <v>0</v>
      </c>
      <c r="K110" s="39">
        <v>0</v>
      </c>
      <c r="L110" s="40">
        <f t="shared" si="8"/>
        <v>0</v>
      </c>
      <c r="M110" s="41">
        <v>0</v>
      </c>
      <c r="N110" s="41">
        <v>0</v>
      </c>
      <c r="O110" s="42" t="s">
        <v>537</v>
      </c>
      <c r="P110" s="42" t="s">
        <v>538</v>
      </c>
      <c r="Q110" s="42" t="s">
        <v>539</v>
      </c>
      <c r="R110" s="42" t="s">
        <v>540</v>
      </c>
      <c r="S110" s="42" t="s">
        <v>541</v>
      </c>
      <c r="T110" s="42"/>
    </row>
    <row r="111" spans="1:20" x14ac:dyDescent="0.3">
      <c r="A111" s="37"/>
      <c r="B111" s="37"/>
      <c r="C111" s="40">
        <f t="shared" si="6"/>
        <v>0</v>
      </c>
      <c r="D111" s="39">
        <v>0</v>
      </c>
      <c r="E111" s="39">
        <v>0</v>
      </c>
      <c r="F111" s="39">
        <f t="shared" si="7"/>
        <v>0</v>
      </c>
      <c r="G111" s="39">
        <v>0</v>
      </c>
      <c r="H111" s="39"/>
      <c r="I111" s="39">
        <v>0</v>
      </c>
      <c r="J111" s="39">
        <v>0</v>
      </c>
      <c r="K111" s="39">
        <v>0</v>
      </c>
      <c r="L111" s="40">
        <f t="shared" si="8"/>
        <v>0</v>
      </c>
      <c r="M111" s="41">
        <v>0</v>
      </c>
      <c r="N111" s="41">
        <v>0</v>
      </c>
      <c r="O111" s="42" t="s">
        <v>542</v>
      </c>
      <c r="P111" s="42" t="s">
        <v>543</v>
      </c>
      <c r="Q111" s="42" t="s">
        <v>544</v>
      </c>
      <c r="R111" s="42" t="s">
        <v>545</v>
      </c>
      <c r="S111" s="42" t="s">
        <v>546</v>
      </c>
      <c r="T111" s="42"/>
    </row>
    <row r="112" spans="1:20" x14ac:dyDescent="0.3">
      <c r="A112" s="37"/>
      <c r="B112" s="37"/>
      <c r="C112" s="40">
        <f t="shared" si="6"/>
        <v>0</v>
      </c>
      <c r="D112" s="39">
        <v>0</v>
      </c>
      <c r="E112" s="39">
        <v>0</v>
      </c>
      <c r="F112" s="39">
        <f t="shared" si="7"/>
        <v>0</v>
      </c>
      <c r="G112" s="39">
        <v>0</v>
      </c>
      <c r="H112" s="39"/>
      <c r="I112" s="39">
        <v>0</v>
      </c>
      <c r="J112" s="39">
        <v>0</v>
      </c>
      <c r="K112" s="39">
        <v>0</v>
      </c>
      <c r="L112" s="40">
        <f t="shared" si="8"/>
        <v>0</v>
      </c>
      <c r="M112" s="41">
        <v>0</v>
      </c>
      <c r="N112" s="41">
        <v>0</v>
      </c>
      <c r="O112" s="42" t="s">
        <v>547</v>
      </c>
      <c r="P112" s="42" t="s">
        <v>548</v>
      </c>
      <c r="Q112" s="42" t="s">
        <v>549</v>
      </c>
      <c r="R112" s="42" t="s">
        <v>550</v>
      </c>
      <c r="S112" s="42" t="s">
        <v>551</v>
      </c>
      <c r="T112" s="42"/>
    </row>
    <row r="113" spans="1:20" x14ac:dyDescent="0.3">
      <c r="A113" s="37"/>
      <c r="B113" s="37"/>
      <c r="C113" s="40">
        <f t="shared" si="6"/>
        <v>0</v>
      </c>
      <c r="D113" s="39">
        <v>0</v>
      </c>
      <c r="E113" s="39">
        <v>0</v>
      </c>
      <c r="F113" s="39">
        <f t="shared" si="7"/>
        <v>0</v>
      </c>
      <c r="G113" s="39">
        <v>0</v>
      </c>
      <c r="H113" s="39"/>
      <c r="I113" s="39">
        <v>0</v>
      </c>
      <c r="J113" s="39">
        <v>0</v>
      </c>
      <c r="K113" s="39">
        <v>0</v>
      </c>
      <c r="L113" s="40">
        <f t="shared" si="8"/>
        <v>0</v>
      </c>
      <c r="M113" s="41">
        <v>0</v>
      </c>
      <c r="N113" s="41">
        <v>0</v>
      </c>
      <c r="O113" s="42" t="s">
        <v>552</v>
      </c>
      <c r="P113" s="42" t="s">
        <v>553</v>
      </c>
      <c r="Q113" s="42" t="s">
        <v>554</v>
      </c>
      <c r="R113" s="42" t="s">
        <v>555</v>
      </c>
      <c r="S113" s="42" t="s">
        <v>556</v>
      </c>
      <c r="T113" s="42"/>
    </row>
    <row r="114" spans="1:20" x14ac:dyDescent="0.3">
      <c r="A114" s="37"/>
      <c r="B114" s="37"/>
      <c r="C114" s="40">
        <f t="shared" si="6"/>
        <v>0</v>
      </c>
      <c r="D114" s="39">
        <v>0</v>
      </c>
      <c r="E114" s="39">
        <v>0</v>
      </c>
      <c r="F114" s="39">
        <f t="shared" si="7"/>
        <v>0</v>
      </c>
      <c r="G114" s="39">
        <v>0</v>
      </c>
      <c r="H114" s="39"/>
      <c r="I114" s="39">
        <v>0</v>
      </c>
      <c r="J114" s="39">
        <v>0</v>
      </c>
      <c r="K114" s="39">
        <v>0</v>
      </c>
      <c r="L114" s="40">
        <f t="shared" si="8"/>
        <v>0</v>
      </c>
      <c r="M114" s="41">
        <v>0</v>
      </c>
      <c r="N114" s="41">
        <v>0</v>
      </c>
      <c r="O114" s="42" t="s">
        <v>557</v>
      </c>
      <c r="P114" s="42" t="s">
        <v>558</v>
      </c>
      <c r="Q114" s="42" t="s">
        <v>559</v>
      </c>
      <c r="R114" s="42" t="s">
        <v>560</v>
      </c>
      <c r="S114" s="42" t="s">
        <v>561</v>
      </c>
      <c r="T114" s="42"/>
    </row>
    <row r="115" spans="1:20" x14ac:dyDescent="0.3">
      <c r="A115" s="37"/>
      <c r="B115" s="37"/>
      <c r="C115" s="40">
        <f t="shared" si="6"/>
        <v>0</v>
      </c>
      <c r="D115" s="39">
        <v>0</v>
      </c>
      <c r="E115" s="39">
        <v>0</v>
      </c>
      <c r="F115" s="39">
        <f t="shared" si="7"/>
        <v>0</v>
      </c>
      <c r="G115" s="39">
        <v>0</v>
      </c>
      <c r="H115" s="39"/>
      <c r="I115" s="39">
        <v>0</v>
      </c>
      <c r="J115" s="39">
        <v>0</v>
      </c>
      <c r="K115" s="39">
        <v>0</v>
      </c>
      <c r="L115" s="40">
        <f t="shared" si="8"/>
        <v>0</v>
      </c>
      <c r="M115" s="41">
        <v>0</v>
      </c>
      <c r="N115" s="41">
        <v>0</v>
      </c>
      <c r="O115" s="42" t="s">
        <v>562</v>
      </c>
      <c r="P115" s="42" t="s">
        <v>563</v>
      </c>
      <c r="Q115" s="42" t="s">
        <v>564</v>
      </c>
      <c r="R115" s="42" t="s">
        <v>565</v>
      </c>
      <c r="S115" s="42" t="s">
        <v>566</v>
      </c>
      <c r="T115" s="42"/>
    </row>
    <row r="116" spans="1:20" x14ac:dyDescent="0.3">
      <c r="A116" s="37"/>
      <c r="B116" s="37"/>
      <c r="C116" s="40">
        <f t="shared" si="6"/>
        <v>0</v>
      </c>
      <c r="D116" s="39">
        <v>0</v>
      </c>
      <c r="E116" s="39">
        <v>0</v>
      </c>
      <c r="F116" s="39">
        <f t="shared" si="7"/>
        <v>0</v>
      </c>
      <c r="G116" s="39">
        <v>0</v>
      </c>
      <c r="H116" s="39"/>
      <c r="I116" s="39">
        <v>0</v>
      </c>
      <c r="J116" s="39">
        <v>0</v>
      </c>
      <c r="K116" s="39">
        <v>0</v>
      </c>
      <c r="L116" s="40">
        <f t="shared" si="8"/>
        <v>0</v>
      </c>
      <c r="M116" s="41">
        <v>0</v>
      </c>
      <c r="N116" s="41">
        <v>0</v>
      </c>
      <c r="O116" s="42" t="s">
        <v>567</v>
      </c>
      <c r="P116" s="42" t="s">
        <v>568</v>
      </c>
      <c r="Q116" s="42" t="s">
        <v>569</v>
      </c>
      <c r="R116" s="42" t="s">
        <v>570</v>
      </c>
      <c r="S116" s="42" t="s">
        <v>571</v>
      </c>
      <c r="T116" s="42"/>
    </row>
    <row r="117" spans="1:20" x14ac:dyDescent="0.3">
      <c r="A117" s="37"/>
      <c r="B117" s="37"/>
      <c r="C117" s="40">
        <f t="shared" si="6"/>
        <v>0</v>
      </c>
      <c r="D117" s="39">
        <v>0</v>
      </c>
      <c r="E117" s="39">
        <v>0</v>
      </c>
      <c r="F117" s="39">
        <f t="shared" si="7"/>
        <v>0</v>
      </c>
      <c r="G117" s="39">
        <v>0</v>
      </c>
      <c r="H117" s="39"/>
      <c r="I117" s="39">
        <v>0</v>
      </c>
      <c r="J117" s="39">
        <v>0</v>
      </c>
      <c r="K117" s="39">
        <v>0</v>
      </c>
      <c r="L117" s="40">
        <f t="shared" si="8"/>
        <v>0</v>
      </c>
      <c r="M117" s="41">
        <v>0</v>
      </c>
      <c r="N117" s="41">
        <v>0</v>
      </c>
      <c r="O117" s="42" t="s">
        <v>572</v>
      </c>
      <c r="P117" s="42" t="s">
        <v>573</v>
      </c>
      <c r="Q117" s="42" t="s">
        <v>574</v>
      </c>
      <c r="R117" s="42" t="s">
        <v>575</v>
      </c>
      <c r="S117" s="42" t="s">
        <v>576</v>
      </c>
      <c r="T117" s="42"/>
    </row>
    <row r="118" spans="1:20" x14ac:dyDescent="0.3">
      <c r="A118" s="37"/>
      <c r="B118" s="37"/>
      <c r="C118" s="40">
        <f t="shared" si="6"/>
        <v>0</v>
      </c>
      <c r="D118" s="39">
        <v>0</v>
      </c>
      <c r="E118" s="39">
        <v>0</v>
      </c>
      <c r="F118" s="39">
        <f t="shared" si="7"/>
        <v>0</v>
      </c>
      <c r="G118" s="39">
        <v>0</v>
      </c>
      <c r="H118" s="39"/>
      <c r="I118" s="39">
        <v>0</v>
      </c>
      <c r="J118" s="39">
        <v>0</v>
      </c>
      <c r="K118" s="39">
        <v>0</v>
      </c>
      <c r="L118" s="40">
        <f t="shared" si="8"/>
        <v>0</v>
      </c>
      <c r="M118" s="41">
        <v>0</v>
      </c>
      <c r="N118" s="41">
        <v>0</v>
      </c>
      <c r="O118" s="42" t="s">
        <v>577</v>
      </c>
      <c r="P118" s="42" t="s">
        <v>578</v>
      </c>
      <c r="Q118" s="42" t="s">
        <v>579</v>
      </c>
      <c r="R118" s="42" t="s">
        <v>580</v>
      </c>
      <c r="S118" s="42" t="s">
        <v>581</v>
      </c>
      <c r="T118" s="42"/>
    </row>
    <row r="119" spans="1:20" x14ac:dyDescent="0.3">
      <c r="A119" s="37"/>
      <c r="B119" s="37"/>
      <c r="C119" s="40">
        <f t="shared" si="6"/>
        <v>0</v>
      </c>
      <c r="D119" s="39">
        <v>0</v>
      </c>
      <c r="E119" s="39">
        <v>0</v>
      </c>
      <c r="F119" s="39">
        <f t="shared" si="7"/>
        <v>0</v>
      </c>
      <c r="G119" s="39">
        <v>0</v>
      </c>
      <c r="H119" s="39"/>
      <c r="I119" s="39">
        <v>0</v>
      </c>
      <c r="J119" s="39">
        <v>0</v>
      </c>
      <c r="K119" s="39">
        <v>0</v>
      </c>
      <c r="L119" s="40">
        <f t="shared" si="8"/>
        <v>0</v>
      </c>
      <c r="M119" s="41">
        <v>0</v>
      </c>
      <c r="N119" s="41">
        <v>0</v>
      </c>
      <c r="O119" s="42" t="s">
        <v>582</v>
      </c>
      <c r="P119" s="42" t="s">
        <v>583</v>
      </c>
      <c r="Q119" s="42" t="s">
        <v>584</v>
      </c>
      <c r="R119" s="42" t="s">
        <v>585</v>
      </c>
      <c r="S119" s="42" t="s">
        <v>586</v>
      </c>
      <c r="T119" s="42"/>
    </row>
    <row r="120" spans="1:20" x14ac:dyDescent="0.3">
      <c r="A120" s="37"/>
      <c r="B120" s="37"/>
      <c r="C120" s="40">
        <f t="shared" si="6"/>
        <v>0</v>
      </c>
      <c r="D120" s="39">
        <v>0</v>
      </c>
      <c r="E120" s="39">
        <v>0</v>
      </c>
      <c r="F120" s="39">
        <f t="shared" si="7"/>
        <v>0</v>
      </c>
      <c r="G120" s="39">
        <v>0</v>
      </c>
      <c r="H120" s="39"/>
      <c r="I120" s="39">
        <v>0</v>
      </c>
      <c r="J120" s="39">
        <v>0</v>
      </c>
      <c r="K120" s="39">
        <v>0</v>
      </c>
      <c r="L120" s="40">
        <f t="shared" si="8"/>
        <v>0</v>
      </c>
      <c r="M120" s="41">
        <v>0</v>
      </c>
      <c r="N120" s="41">
        <v>0</v>
      </c>
      <c r="O120" s="42" t="s">
        <v>587</v>
      </c>
      <c r="P120" s="42" t="s">
        <v>588</v>
      </c>
      <c r="Q120" s="42" t="s">
        <v>589</v>
      </c>
      <c r="R120" s="42" t="s">
        <v>590</v>
      </c>
      <c r="S120" s="42" t="s">
        <v>591</v>
      </c>
      <c r="T120" s="42"/>
    </row>
    <row r="121" spans="1:20" x14ac:dyDescent="0.3">
      <c r="A121" s="37"/>
      <c r="B121" s="37"/>
      <c r="C121" s="40">
        <f t="shared" si="6"/>
        <v>0</v>
      </c>
      <c r="D121" s="39">
        <v>0</v>
      </c>
      <c r="E121" s="39">
        <v>0</v>
      </c>
      <c r="F121" s="39">
        <f t="shared" si="7"/>
        <v>0</v>
      </c>
      <c r="G121" s="39">
        <v>0</v>
      </c>
      <c r="H121" s="39"/>
      <c r="I121" s="39">
        <v>0</v>
      </c>
      <c r="J121" s="39">
        <v>0</v>
      </c>
      <c r="K121" s="39">
        <v>0</v>
      </c>
      <c r="L121" s="40">
        <f t="shared" si="8"/>
        <v>0</v>
      </c>
      <c r="M121" s="41">
        <v>0</v>
      </c>
      <c r="N121" s="41">
        <v>0</v>
      </c>
      <c r="O121" s="42" t="s">
        <v>592</v>
      </c>
      <c r="P121" s="42" t="s">
        <v>593</v>
      </c>
      <c r="Q121" s="42" t="s">
        <v>594</v>
      </c>
      <c r="R121" s="42" t="s">
        <v>595</v>
      </c>
      <c r="S121" s="42" t="s">
        <v>596</v>
      </c>
      <c r="T121" s="42"/>
    </row>
    <row r="122" spans="1:20" x14ac:dyDescent="0.3">
      <c r="A122" s="37"/>
      <c r="B122" s="37"/>
      <c r="C122" s="40">
        <f t="shared" si="6"/>
        <v>0</v>
      </c>
      <c r="D122" s="39">
        <v>0</v>
      </c>
      <c r="E122" s="39">
        <v>0</v>
      </c>
      <c r="F122" s="39">
        <f t="shared" si="7"/>
        <v>0</v>
      </c>
      <c r="G122" s="39">
        <v>0</v>
      </c>
      <c r="H122" s="39"/>
      <c r="I122" s="39">
        <v>0</v>
      </c>
      <c r="J122" s="39">
        <v>0</v>
      </c>
      <c r="K122" s="39">
        <v>0</v>
      </c>
      <c r="L122" s="40">
        <f t="shared" si="8"/>
        <v>0</v>
      </c>
      <c r="M122" s="41">
        <v>0</v>
      </c>
      <c r="N122" s="41">
        <v>0</v>
      </c>
      <c r="O122" s="42" t="s">
        <v>597</v>
      </c>
      <c r="P122" s="42" t="s">
        <v>598</v>
      </c>
      <c r="Q122" s="42" t="s">
        <v>599</v>
      </c>
      <c r="R122" s="42" t="s">
        <v>600</v>
      </c>
      <c r="S122" s="42" t="s">
        <v>601</v>
      </c>
      <c r="T122" s="42"/>
    </row>
    <row r="123" spans="1:20" x14ac:dyDescent="0.3">
      <c r="A123" s="37"/>
      <c r="B123" s="37"/>
      <c r="C123" s="40">
        <f t="shared" si="6"/>
        <v>0</v>
      </c>
      <c r="D123" s="39">
        <v>0</v>
      </c>
      <c r="E123" s="39">
        <v>0</v>
      </c>
      <c r="F123" s="39">
        <f t="shared" si="7"/>
        <v>0</v>
      </c>
      <c r="G123" s="39">
        <v>0</v>
      </c>
      <c r="H123" s="39"/>
      <c r="I123" s="39">
        <v>0</v>
      </c>
      <c r="J123" s="39">
        <v>0</v>
      </c>
      <c r="K123" s="39">
        <v>0</v>
      </c>
      <c r="L123" s="40">
        <f t="shared" si="8"/>
        <v>0</v>
      </c>
      <c r="M123" s="41">
        <v>0</v>
      </c>
      <c r="N123" s="41">
        <v>0</v>
      </c>
      <c r="O123" s="42" t="s">
        <v>602</v>
      </c>
      <c r="P123" s="42" t="s">
        <v>603</v>
      </c>
      <c r="Q123" s="42" t="s">
        <v>604</v>
      </c>
      <c r="R123" s="42" t="s">
        <v>605</v>
      </c>
      <c r="S123" s="42" t="s">
        <v>606</v>
      </c>
      <c r="T123" s="42"/>
    </row>
    <row r="124" spans="1:20" x14ac:dyDescent="0.3">
      <c r="A124" s="37"/>
      <c r="B124" s="37"/>
      <c r="C124" s="40">
        <f t="shared" si="6"/>
        <v>0</v>
      </c>
      <c r="D124" s="39">
        <v>0</v>
      </c>
      <c r="E124" s="39">
        <v>0</v>
      </c>
      <c r="F124" s="39">
        <f t="shared" si="7"/>
        <v>0</v>
      </c>
      <c r="G124" s="39">
        <v>0</v>
      </c>
      <c r="H124" s="39"/>
      <c r="I124" s="39">
        <v>0</v>
      </c>
      <c r="J124" s="39">
        <v>0</v>
      </c>
      <c r="K124" s="39">
        <v>0</v>
      </c>
      <c r="L124" s="40">
        <f t="shared" si="8"/>
        <v>0</v>
      </c>
      <c r="M124" s="41">
        <v>0</v>
      </c>
      <c r="N124" s="41">
        <v>0</v>
      </c>
      <c r="O124" s="42" t="s">
        <v>607</v>
      </c>
      <c r="P124" s="42" t="s">
        <v>608</v>
      </c>
      <c r="Q124" s="42" t="s">
        <v>609</v>
      </c>
      <c r="R124" s="42" t="s">
        <v>610</v>
      </c>
      <c r="S124" s="42" t="s">
        <v>611</v>
      </c>
      <c r="T124" s="42"/>
    </row>
    <row r="125" spans="1:20" x14ac:dyDescent="0.3">
      <c r="A125" s="37"/>
      <c r="B125" s="37"/>
      <c r="C125" s="40">
        <f t="shared" si="6"/>
        <v>0</v>
      </c>
      <c r="D125" s="39">
        <v>0</v>
      </c>
      <c r="E125" s="39">
        <v>0</v>
      </c>
      <c r="F125" s="39">
        <f t="shared" si="7"/>
        <v>0</v>
      </c>
      <c r="G125" s="39">
        <v>0</v>
      </c>
      <c r="H125" s="39"/>
      <c r="I125" s="39">
        <v>0</v>
      </c>
      <c r="J125" s="39">
        <v>0</v>
      </c>
      <c r="K125" s="39">
        <v>0</v>
      </c>
      <c r="L125" s="40">
        <f t="shared" si="8"/>
        <v>0</v>
      </c>
      <c r="M125" s="41">
        <v>0</v>
      </c>
      <c r="N125" s="41">
        <v>0</v>
      </c>
      <c r="O125" s="42" t="s">
        <v>612</v>
      </c>
      <c r="P125" s="42" t="s">
        <v>613</v>
      </c>
      <c r="Q125" s="42" t="s">
        <v>614</v>
      </c>
      <c r="R125" s="42" t="s">
        <v>615</v>
      </c>
      <c r="S125" s="42" t="s">
        <v>616</v>
      </c>
      <c r="T125" s="42"/>
    </row>
    <row r="126" spans="1:20" x14ac:dyDescent="0.3">
      <c r="A126" s="37"/>
      <c r="B126" s="37"/>
      <c r="C126" s="40">
        <f t="shared" si="6"/>
        <v>0</v>
      </c>
      <c r="D126" s="39">
        <v>0</v>
      </c>
      <c r="E126" s="39">
        <v>0</v>
      </c>
      <c r="F126" s="39">
        <f t="shared" si="7"/>
        <v>0</v>
      </c>
      <c r="G126" s="39">
        <v>0</v>
      </c>
      <c r="H126" s="39"/>
      <c r="I126" s="39">
        <v>0</v>
      </c>
      <c r="J126" s="39">
        <v>0</v>
      </c>
      <c r="K126" s="39">
        <v>0</v>
      </c>
      <c r="L126" s="40">
        <f t="shared" si="8"/>
        <v>0</v>
      </c>
      <c r="M126" s="41">
        <v>0</v>
      </c>
      <c r="N126" s="41">
        <v>0</v>
      </c>
      <c r="O126" s="42" t="s">
        <v>617</v>
      </c>
      <c r="P126" s="42" t="s">
        <v>618</v>
      </c>
      <c r="Q126" s="42" t="s">
        <v>619</v>
      </c>
      <c r="R126" s="42" t="s">
        <v>620</v>
      </c>
      <c r="S126" s="42" t="s">
        <v>621</v>
      </c>
      <c r="T126" s="42"/>
    </row>
    <row r="127" spans="1:20" x14ac:dyDescent="0.3">
      <c r="A127" s="37"/>
      <c r="B127" s="37"/>
      <c r="C127" s="40">
        <f t="shared" si="6"/>
        <v>0</v>
      </c>
      <c r="D127" s="39">
        <v>0</v>
      </c>
      <c r="E127" s="39">
        <v>0</v>
      </c>
      <c r="F127" s="39">
        <f t="shared" si="7"/>
        <v>0</v>
      </c>
      <c r="G127" s="39">
        <v>0</v>
      </c>
      <c r="H127" s="39"/>
      <c r="I127" s="39">
        <v>0</v>
      </c>
      <c r="J127" s="39">
        <v>0</v>
      </c>
      <c r="K127" s="39">
        <v>0</v>
      </c>
      <c r="L127" s="40">
        <f t="shared" si="8"/>
        <v>0</v>
      </c>
      <c r="M127" s="41">
        <v>0</v>
      </c>
      <c r="N127" s="41">
        <v>0</v>
      </c>
      <c r="O127" s="42" t="s">
        <v>622</v>
      </c>
      <c r="P127" s="42" t="s">
        <v>623</v>
      </c>
      <c r="Q127" s="42" t="s">
        <v>624</v>
      </c>
      <c r="R127" s="42" t="s">
        <v>625</v>
      </c>
      <c r="S127" s="42" t="s">
        <v>626</v>
      </c>
      <c r="T127" s="42"/>
    </row>
    <row r="128" spans="1:20" x14ac:dyDescent="0.3">
      <c r="A128" s="37"/>
      <c r="B128" s="37"/>
      <c r="C128" s="40">
        <f t="shared" si="6"/>
        <v>0</v>
      </c>
      <c r="D128" s="39">
        <v>0</v>
      </c>
      <c r="E128" s="39">
        <v>0</v>
      </c>
      <c r="F128" s="39">
        <f t="shared" si="7"/>
        <v>0</v>
      </c>
      <c r="G128" s="39">
        <v>0</v>
      </c>
      <c r="H128" s="39"/>
      <c r="I128" s="39">
        <v>0</v>
      </c>
      <c r="J128" s="39">
        <v>0</v>
      </c>
      <c r="K128" s="39">
        <v>0</v>
      </c>
      <c r="L128" s="40">
        <f t="shared" si="8"/>
        <v>0</v>
      </c>
      <c r="M128" s="41">
        <v>0</v>
      </c>
      <c r="N128" s="41">
        <v>0</v>
      </c>
      <c r="O128" s="42" t="s">
        <v>627</v>
      </c>
      <c r="P128" s="42" t="s">
        <v>628</v>
      </c>
      <c r="Q128" s="42" t="s">
        <v>629</v>
      </c>
      <c r="R128" s="42" t="s">
        <v>630</v>
      </c>
      <c r="S128" s="42" t="s">
        <v>631</v>
      </c>
      <c r="T128" s="42"/>
    </row>
    <row r="129" spans="1:20" x14ac:dyDescent="0.3">
      <c r="A129" s="37"/>
      <c r="B129" s="37"/>
      <c r="C129" s="40">
        <f t="shared" si="6"/>
        <v>0</v>
      </c>
      <c r="D129" s="39">
        <v>0</v>
      </c>
      <c r="E129" s="39">
        <v>0</v>
      </c>
      <c r="F129" s="39">
        <f t="shared" si="7"/>
        <v>0</v>
      </c>
      <c r="G129" s="39">
        <v>0</v>
      </c>
      <c r="H129" s="39"/>
      <c r="I129" s="39">
        <v>0</v>
      </c>
      <c r="J129" s="39">
        <v>0</v>
      </c>
      <c r="K129" s="39">
        <v>0</v>
      </c>
      <c r="L129" s="40">
        <f t="shared" si="8"/>
        <v>0</v>
      </c>
      <c r="M129" s="41">
        <v>0</v>
      </c>
      <c r="N129" s="41">
        <v>0</v>
      </c>
      <c r="O129" s="42" t="s">
        <v>632</v>
      </c>
      <c r="P129" s="42" t="s">
        <v>633</v>
      </c>
      <c r="Q129" s="42" t="s">
        <v>634</v>
      </c>
      <c r="R129" s="42" t="s">
        <v>635</v>
      </c>
      <c r="S129" s="42" t="s">
        <v>636</v>
      </c>
      <c r="T129" s="42"/>
    </row>
    <row r="130" spans="1:20" x14ac:dyDescent="0.3">
      <c r="A130" s="37"/>
      <c r="B130" s="37"/>
      <c r="C130" s="40">
        <f t="shared" si="6"/>
        <v>0</v>
      </c>
      <c r="D130" s="39">
        <v>0</v>
      </c>
      <c r="E130" s="39">
        <v>0</v>
      </c>
      <c r="F130" s="39">
        <f t="shared" si="7"/>
        <v>0</v>
      </c>
      <c r="G130" s="39">
        <v>0</v>
      </c>
      <c r="H130" s="39"/>
      <c r="I130" s="39">
        <v>0</v>
      </c>
      <c r="J130" s="39">
        <v>0</v>
      </c>
      <c r="K130" s="39">
        <v>0</v>
      </c>
      <c r="L130" s="40">
        <f t="shared" si="8"/>
        <v>0</v>
      </c>
      <c r="M130" s="41">
        <v>0</v>
      </c>
      <c r="N130" s="41">
        <v>0</v>
      </c>
      <c r="O130" s="42" t="s">
        <v>637</v>
      </c>
      <c r="P130" s="42" t="s">
        <v>638</v>
      </c>
      <c r="Q130" s="42" t="s">
        <v>639</v>
      </c>
      <c r="R130" s="42" t="s">
        <v>640</v>
      </c>
      <c r="S130" s="42" t="s">
        <v>641</v>
      </c>
      <c r="T130" s="42"/>
    </row>
    <row r="131" spans="1:20" x14ac:dyDescent="0.3">
      <c r="A131" s="37"/>
      <c r="B131" s="37"/>
      <c r="C131" s="40">
        <f t="shared" si="6"/>
        <v>0</v>
      </c>
      <c r="D131" s="39">
        <v>0</v>
      </c>
      <c r="E131" s="39">
        <v>0</v>
      </c>
      <c r="F131" s="39">
        <f t="shared" si="7"/>
        <v>0</v>
      </c>
      <c r="G131" s="39">
        <v>0</v>
      </c>
      <c r="H131" s="39"/>
      <c r="I131" s="39">
        <v>0</v>
      </c>
      <c r="J131" s="39">
        <v>0</v>
      </c>
      <c r="K131" s="39">
        <v>0</v>
      </c>
      <c r="L131" s="40">
        <f t="shared" si="8"/>
        <v>0</v>
      </c>
      <c r="M131" s="41">
        <v>0</v>
      </c>
      <c r="N131" s="41">
        <v>0</v>
      </c>
      <c r="O131" s="42" t="s">
        <v>642</v>
      </c>
      <c r="P131" s="42" t="s">
        <v>643</v>
      </c>
      <c r="Q131" s="42" t="s">
        <v>644</v>
      </c>
      <c r="R131" s="42" t="s">
        <v>645</v>
      </c>
      <c r="S131" s="42" t="s">
        <v>646</v>
      </c>
      <c r="T131" s="42"/>
    </row>
    <row r="132" spans="1:20" x14ac:dyDescent="0.3">
      <c r="A132" s="37"/>
      <c r="B132" s="37"/>
      <c r="C132" s="40">
        <f t="shared" si="6"/>
        <v>0</v>
      </c>
      <c r="D132" s="39">
        <v>0</v>
      </c>
      <c r="E132" s="39">
        <v>0</v>
      </c>
      <c r="F132" s="39">
        <f t="shared" si="7"/>
        <v>0</v>
      </c>
      <c r="G132" s="39">
        <v>0</v>
      </c>
      <c r="H132" s="39"/>
      <c r="I132" s="39">
        <v>0</v>
      </c>
      <c r="J132" s="39">
        <v>0</v>
      </c>
      <c r="K132" s="39">
        <v>0</v>
      </c>
      <c r="L132" s="40">
        <f t="shared" si="8"/>
        <v>0</v>
      </c>
      <c r="M132" s="41">
        <v>0</v>
      </c>
      <c r="N132" s="41">
        <v>0</v>
      </c>
      <c r="O132" s="42" t="s">
        <v>647</v>
      </c>
      <c r="P132" s="42" t="s">
        <v>648</v>
      </c>
      <c r="Q132" s="42" t="s">
        <v>649</v>
      </c>
      <c r="R132" s="42" t="s">
        <v>650</v>
      </c>
      <c r="S132" s="42" t="s">
        <v>651</v>
      </c>
      <c r="T132" s="42"/>
    </row>
    <row r="133" spans="1:20" x14ac:dyDescent="0.3">
      <c r="A133" s="37"/>
      <c r="B133" s="37"/>
      <c r="C133" s="40">
        <f t="shared" si="6"/>
        <v>0</v>
      </c>
      <c r="D133" s="39">
        <v>0</v>
      </c>
      <c r="E133" s="39">
        <v>0</v>
      </c>
      <c r="F133" s="39">
        <f t="shared" si="7"/>
        <v>0</v>
      </c>
      <c r="G133" s="39">
        <v>0</v>
      </c>
      <c r="H133" s="39"/>
      <c r="I133" s="39">
        <v>0</v>
      </c>
      <c r="J133" s="39">
        <v>0</v>
      </c>
      <c r="K133" s="39">
        <v>0</v>
      </c>
      <c r="L133" s="40">
        <f t="shared" si="8"/>
        <v>0</v>
      </c>
      <c r="M133" s="41">
        <v>0</v>
      </c>
      <c r="N133" s="41">
        <v>0</v>
      </c>
      <c r="O133" s="42" t="s">
        <v>652</v>
      </c>
      <c r="P133" s="42" t="s">
        <v>653</v>
      </c>
      <c r="Q133" s="42" t="s">
        <v>654</v>
      </c>
      <c r="R133" s="42" t="s">
        <v>655</v>
      </c>
      <c r="S133" s="42" t="s">
        <v>656</v>
      </c>
      <c r="T133" s="42"/>
    </row>
    <row r="134" spans="1:20" x14ac:dyDescent="0.3">
      <c r="A134" s="37"/>
      <c r="B134" s="37"/>
      <c r="C134" s="40">
        <f t="shared" si="6"/>
        <v>0</v>
      </c>
      <c r="D134" s="39">
        <v>0</v>
      </c>
      <c r="E134" s="39">
        <v>0</v>
      </c>
      <c r="F134" s="39">
        <f t="shared" si="7"/>
        <v>0</v>
      </c>
      <c r="G134" s="39">
        <v>0</v>
      </c>
      <c r="H134" s="39"/>
      <c r="I134" s="39">
        <v>0</v>
      </c>
      <c r="J134" s="39">
        <v>0</v>
      </c>
      <c r="K134" s="39">
        <v>0</v>
      </c>
      <c r="L134" s="40">
        <f t="shared" si="8"/>
        <v>0</v>
      </c>
      <c r="M134" s="41">
        <v>0</v>
      </c>
      <c r="N134" s="41">
        <v>0</v>
      </c>
      <c r="O134" s="42" t="s">
        <v>657</v>
      </c>
      <c r="P134" s="42" t="s">
        <v>658</v>
      </c>
      <c r="Q134" s="42" t="s">
        <v>659</v>
      </c>
      <c r="R134" s="42" t="s">
        <v>660</v>
      </c>
      <c r="S134" s="42" t="s">
        <v>661</v>
      </c>
      <c r="T134" s="42"/>
    </row>
    <row r="135" spans="1:20" x14ac:dyDescent="0.3">
      <c r="A135" s="37"/>
      <c r="B135" s="37"/>
      <c r="C135" s="40">
        <f t="shared" si="6"/>
        <v>0</v>
      </c>
      <c r="D135" s="39">
        <v>0</v>
      </c>
      <c r="E135" s="39">
        <v>0</v>
      </c>
      <c r="F135" s="39">
        <f t="shared" si="7"/>
        <v>0</v>
      </c>
      <c r="G135" s="39">
        <v>0</v>
      </c>
      <c r="H135" s="39"/>
      <c r="I135" s="39">
        <v>0</v>
      </c>
      <c r="J135" s="39">
        <v>0</v>
      </c>
      <c r="K135" s="39">
        <v>0</v>
      </c>
      <c r="L135" s="40">
        <f t="shared" si="8"/>
        <v>0</v>
      </c>
      <c r="M135" s="41">
        <v>0</v>
      </c>
      <c r="N135" s="41">
        <v>0</v>
      </c>
      <c r="O135" s="42" t="s">
        <v>662</v>
      </c>
      <c r="P135" s="42" t="s">
        <v>663</v>
      </c>
      <c r="Q135" s="42" t="s">
        <v>664</v>
      </c>
      <c r="R135" s="42" t="s">
        <v>665</v>
      </c>
      <c r="S135" s="42" t="s">
        <v>666</v>
      </c>
      <c r="T135" s="42"/>
    </row>
    <row r="136" spans="1:20" x14ac:dyDescent="0.3">
      <c r="A136" s="37"/>
      <c r="B136" s="37"/>
      <c r="C136" s="40">
        <f t="shared" si="6"/>
        <v>0</v>
      </c>
      <c r="D136" s="39">
        <v>0</v>
      </c>
      <c r="E136" s="39">
        <v>0</v>
      </c>
      <c r="F136" s="39">
        <f t="shared" si="7"/>
        <v>0</v>
      </c>
      <c r="G136" s="39">
        <v>0</v>
      </c>
      <c r="H136" s="39"/>
      <c r="I136" s="39">
        <v>0</v>
      </c>
      <c r="J136" s="39">
        <v>0</v>
      </c>
      <c r="K136" s="39">
        <v>0</v>
      </c>
      <c r="L136" s="40">
        <f t="shared" si="8"/>
        <v>0</v>
      </c>
      <c r="M136" s="41">
        <v>0</v>
      </c>
      <c r="N136" s="41">
        <v>0</v>
      </c>
      <c r="O136" s="42" t="s">
        <v>667</v>
      </c>
      <c r="P136" s="42" t="s">
        <v>668</v>
      </c>
      <c r="Q136" s="42" t="s">
        <v>669</v>
      </c>
      <c r="R136" s="42" t="s">
        <v>670</v>
      </c>
      <c r="S136" s="42" t="s">
        <v>671</v>
      </c>
      <c r="T136" s="42"/>
    </row>
    <row r="137" spans="1:20" x14ac:dyDescent="0.3">
      <c r="A137" s="37"/>
      <c r="B137" s="37"/>
      <c r="C137" s="40">
        <f t="shared" si="6"/>
        <v>0</v>
      </c>
      <c r="D137" s="39">
        <v>0</v>
      </c>
      <c r="E137" s="39">
        <v>0</v>
      </c>
      <c r="F137" s="39">
        <f t="shared" si="7"/>
        <v>0</v>
      </c>
      <c r="G137" s="39">
        <v>0</v>
      </c>
      <c r="H137" s="39"/>
      <c r="I137" s="39">
        <v>0</v>
      </c>
      <c r="J137" s="39">
        <v>0</v>
      </c>
      <c r="K137" s="39">
        <v>0</v>
      </c>
      <c r="L137" s="40">
        <f t="shared" si="8"/>
        <v>0</v>
      </c>
      <c r="M137" s="41">
        <v>0</v>
      </c>
      <c r="N137" s="41">
        <v>0</v>
      </c>
      <c r="O137" s="42" t="s">
        <v>672</v>
      </c>
      <c r="P137" s="42" t="s">
        <v>673</v>
      </c>
      <c r="Q137" s="42" t="s">
        <v>674</v>
      </c>
      <c r="R137" s="42" t="s">
        <v>675</v>
      </c>
      <c r="S137" s="42" t="s">
        <v>676</v>
      </c>
      <c r="T137" s="42"/>
    </row>
    <row r="138" spans="1:20" x14ac:dyDescent="0.3">
      <c r="A138" s="37"/>
      <c r="B138" s="37"/>
      <c r="C138" s="40">
        <f t="shared" si="6"/>
        <v>0</v>
      </c>
      <c r="D138" s="39">
        <v>0</v>
      </c>
      <c r="E138" s="39">
        <v>0</v>
      </c>
      <c r="F138" s="39">
        <f t="shared" si="7"/>
        <v>0</v>
      </c>
      <c r="G138" s="39">
        <v>0</v>
      </c>
      <c r="H138" s="39"/>
      <c r="I138" s="39">
        <v>0</v>
      </c>
      <c r="J138" s="39">
        <v>0</v>
      </c>
      <c r="K138" s="39">
        <v>0</v>
      </c>
      <c r="L138" s="40">
        <f t="shared" si="8"/>
        <v>0</v>
      </c>
      <c r="M138" s="41">
        <v>0</v>
      </c>
      <c r="N138" s="41">
        <v>0</v>
      </c>
      <c r="O138" s="42" t="s">
        <v>677</v>
      </c>
      <c r="P138" s="42" t="s">
        <v>678</v>
      </c>
      <c r="Q138" s="42" t="s">
        <v>679</v>
      </c>
      <c r="R138" s="42" t="s">
        <v>680</v>
      </c>
      <c r="S138" s="42" t="s">
        <v>681</v>
      </c>
      <c r="T138" s="42"/>
    </row>
    <row r="139" spans="1:20" x14ac:dyDescent="0.3">
      <c r="A139" s="37"/>
      <c r="B139" s="37"/>
      <c r="C139" s="40">
        <f t="shared" si="6"/>
        <v>0</v>
      </c>
      <c r="D139" s="39">
        <v>0</v>
      </c>
      <c r="E139" s="39">
        <v>0</v>
      </c>
      <c r="F139" s="39">
        <f t="shared" si="7"/>
        <v>0</v>
      </c>
      <c r="G139" s="39">
        <v>0</v>
      </c>
      <c r="H139" s="39"/>
      <c r="I139" s="39">
        <v>0</v>
      </c>
      <c r="J139" s="39">
        <v>0</v>
      </c>
      <c r="K139" s="39">
        <v>0</v>
      </c>
      <c r="L139" s="40">
        <f t="shared" si="8"/>
        <v>0</v>
      </c>
      <c r="M139" s="41">
        <v>0</v>
      </c>
      <c r="N139" s="41">
        <v>0</v>
      </c>
      <c r="O139" s="42" t="s">
        <v>682</v>
      </c>
      <c r="P139" s="42" t="s">
        <v>683</v>
      </c>
      <c r="Q139" s="42" t="s">
        <v>684</v>
      </c>
      <c r="R139" s="42" t="s">
        <v>685</v>
      </c>
      <c r="S139" s="42" t="s">
        <v>686</v>
      </c>
      <c r="T139" s="42"/>
    </row>
    <row r="140" spans="1:20" x14ac:dyDescent="0.3">
      <c r="A140" s="37"/>
      <c r="B140" s="37"/>
      <c r="C140" s="40">
        <f t="shared" si="6"/>
        <v>0</v>
      </c>
      <c r="D140" s="39">
        <v>0</v>
      </c>
      <c r="E140" s="39">
        <v>0</v>
      </c>
      <c r="F140" s="39">
        <f t="shared" si="7"/>
        <v>0</v>
      </c>
      <c r="G140" s="39">
        <v>0</v>
      </c>
      <c r="H140" s="39"/>
      <c r="I140" s="39">
        <v>0</v>
      </c>
      <c r="J140" s="39">
        <v>0</v>
      </c>
      <c r="K140" s="39">
        <v>0</v>
      </c>
      <c r="L140" s="40">
        <f t="shared" si="8"/>
        <v>0</v>
      </c>
      <c r="M140" s="41">
        <v>0</v>
      </c>
      <c r="N140" s="41">
        <v>0</v>
      </c>
      <c r="O140" s="42" t="s">
        <v>687</v>
      </c>
      <c r="P140" s="42" t="s">
        <v>688</v>
      </c>
      <c r="Q140" s="42" t="s">
        <v>689</v>
      </c>
      <c r="R140" s="42" t="s">
        <v>690</v>
      </c>
      <c r="S140" s="42" t="s">
        <v>691</v>
      </c>
      <c r="T140" s="42"/>
    </row>
    <row r="141" spans="1:20" x14ac:dyDescent="0.3">
      <c r="A141" s="37"/>
      <c r="B141" s="37"/>
      <c r="C141" s="40">
        <f t="shared" si="6"/>
        <v>0</v>
      </c>
      <c r="D141" s="39">
        <v>0</v>
      </c>
      <c r="E141" s="39">
        <v>0</v>
      </c>
      <c r="F141" s="39">
        <f t="shared" si="7"/>
        <v>0</v>
      </c>
      <c r="G141" s="39">
        <v>0</v>
      </c>
      <c r="H141" s="39"/>
      <c r="I141" s="39">
        <v>0</v>
      </c>
      <c r="J141" s="39">
        <v>0</v>
      </c>
      <c r="K141" s="39">
        <v>0</v>
      </c>
      <c r="L141" s="40">
        <f t="shared" si="8"/>
        <v>0</v>
      </c>
      <c r="M141" s="41">
        <v>0</v>
      </c>
      <c r="N141" s="41">
        <v>0</v>
      </c>
      <c r="O141" s="42" t="s">
        <v>692</v>
      </c>
      <c r="P141" s="42" t="s">
        <v>693</v>
      </c>
      <c r="Q141" s="42" t="s">
        <v>694</v>
      </c>
      <c r="R141" s="42" t="s">
        <v>695</v>
      </c>
      <c r="S141" s="42" t="s">
        <v>696</v>
      </c>
      <c r="T141" s="42"/>
    </row>
    <row r="142" spans="1:20" x14ac:dyDescent="0.3">
      <c r="A142" s="37"/>
      <c r="B142" s="37"/>
      <c r="C142" s="40">
        <f t="shared" si="6"/>
        <v>0</v>
      </c>
      <c r="D142" s="39">
        <v>0</v>
      </c>
      <c r="E142" s="39">
        <v>0</v>
      </c>
      <c r="F142" s="39">
        <f t="shared" si="7"/>
        <v>0</v>
      </c>
      <c r="G142" s="39">
        <v>0</v>
      </c>
      <c r="H142" s="39"/>
      <c r="I142" s="39">
        <v>0</v>
      </c>
      <c r="J142" s="39">
        <v>0</v>
      </c>
      <c r="K142" s="39">
        <v>0</v>
      </c>
      <c r="L142" s="40">
        <f t="shared" si="8"/>
        <v>0</v>
      </c>
      <c r="M142" s="41">
        <v>0</v>
      </c>
      <c r="N142" s="41">
        <v>0</v>
      </c>
      <c r="O142" s="42" t="s">
        <v>697</v>
      </c>
      <c r="P142" s="42" t="s">
        <v>698</v>
      </c>
      <c r="Q142" s="42" t="s">
        <v>699</v>
      </c>
      <c r="R142" s="42" t="s">
        <v>700</v>
      </c>
      <c r="S142" s="42" t="s">
        <v>701</v>
      </c>
      <c r="T142" s="42"/>
    </row>
    <row r="143" spans="1:20" x14ac:dyDescent="0.3">
      <c r="A143" s="37"/>
      <c r="B143" s="37"/>
      <c r="C143" s="40">
        <f t="shared" si="6"/>
        <v>0</v>
      </c>
      <c r="D143" s="39">
        <v>0</v>
      </c>
      <c r="E143" s="39">
        <v>0</v>
      </c>
      <c r="F143" s="39">
        <f t="shared" si="7"/>
        <v>0</v>
      </c>
      <c r="G143" s="39">
        <v>0</v>
      </c>
      <c r="H143" s="39"/>
      <c r="I143" s="39">
        <v>0</v>
      </c>
      <c r="J143" s="39">
        <v>0</v>
      </c>
      <c r="K143" s="39">
        <v>0</v>
      </c>
      <c r="L143" s="40">
        <f t="shared" si="8"/>
        <v>0</v>
      </c>
      <c r="M143" s="41">
        <v>0</v>
      </c>
      <c r="N143" s="41">
        <v>0</v>
      </c>
      <c r="O143" s="42" t="s">
        <v>702</v>
      </c>
      <c r="P143" s="42" t="s">
        <v>703</v>
      </c>
      <c r="Q143" s="42" t="s">
        <v>704</v>
      </c>
      <c r="R143" s="42" t="s">
        <v>705</v>
      </c>
      <c r="S143" s="42" t="s">
        <v>706</v>
      </c>
      <c r="T143" s="42"/>
    </row>
    <row r="144" spans="1:20" x14ac:dyDescent="0.3">
      <c r="A144" s="37"/>
      <c r="B144" s="37"/>
      <c r="C144" s="40">
        <f t="shared" si="6"/>
        <v>0</v>
      </c>
      <c r="D144" s="39">
        <v>0</v>
      </c>
      <c r="E144" s="39">
        <v>0</v>
      </c>
      <c r="F144" s="39">
        <f t="shared" si="7"/>
        <v>0</v>
      </c>
      <c r="G144" s="39">
        <v>0</v>
      </c>
      <c r="H144" s="39"/>
      <c r="I144" s="39">
        <v>0</v>
      </c>
      <c r="J144" s="39">
        <v>0</v>
      </c>
      <c r="K144" s="39">
        <v>0</v>
      </c>
      <c r="L144" s="40">
        <f t="shared" si="8"/>
        <v>0</v>
      </c>
      <c r="M144" s="41">
        <v>0</v>
      </c>
      <c r="N144" s="41">
        <v>0</v>
      </c>
      <c r="O144" s="42" t="s">
        <v>707</v>
      </c>
      <c r="P144" s="42" t="s">
        <v>708</v>
      </c>
      <c r="Q144" s="42" t="s">
        <v>709</v>
      </c>
      <c r="R144" s="42" t="s">
        <v>710</v>
      </c>
      <c r="S144" s="42" t="s">
        <v>711</v>
      </c>
      <c r="T144" s="42"/>
    </row>
    <row r="145" spans="1:20" x14ac:dyDescent="0.3">
      <c r="A145" s="37"/>
      <c r="B145" s="37"/>
      <c r="C145" s="40">
        <f t="shared" si="6"/>
        <v>0</v>
      </c>
      <c r="D145" s="39">
        <v>0</v>
      </c>
      <c r="E145" s="39">
        <v>0</v>
      </c>
      <c r="F145" s="39">
        <f t="shared" si="7"/>
        <v>0</v>
      </c>
      <c r="G145" s="39">
        <v>0</v>
      </c>
      <c r="H145" s="39"/>
      <c r="I145" s="39">
        <v>0</v>
      </c>
      <c r="J145" s="39">
        <v>0</v>
      </c>
      <c r="K145" s="39">
        <v>0</v>
      </c>
      <c r="L145" s="40">
        <f t="shared" si="8"/>
        <v>0</v>
      </c>
      <c r="M145" s="41">
        <v>0</v>
      </c>
      <c r="N145" s="41">
        <v>0</v>
      </c>
      <c r="O145" s="42" t="s">
        <v>712</v>
      </c>
      <c r="P145" s="42" t="s">
        <v>713</v>
      </c>
      <c r="Q145" s="42" t="s">
        <v>714</v>
      </c>
      <c r="R145" s="42" t="s">
        <v>715</v>
      </c>
      <c r="S145" s="42" t="s">
        <v>716</v>
      </c>
      <c r="T145" s="42"/>
    </row>
    <row r="146" spans="1:20" x14ac:dyDescent="0.3">
      <c r="A146" s="37"/>
      <c r="B146" s="37"/>
      <c r="C146" s="40">
        <f t="shared" si="6"/>
        <v>0</v>
      </c>
      <c r="D146" s="39">
        <v>0</v>
      </c>
      <c r="E146" s="39">
        <v>0</v>
      </c>
      <c r="F146" s="39">
        <f t="shared" si="7"/>
        <v>0</v>
      </c>
      <c r="G146" s="39">
        <v>0</v>
      </c>
      <c r="H146" s="39"/>
      <c r="I146" s="39">
        <v>0</v>
      </c>
      <c r="J146" s="39">
        <v>0</v>
      </c>
      <c r="K146" s="39">
        <v>0</v>
      </c>
      <c r="L146" s="40">
        <f t="shared" si="8"/>
        <v>0</v>
      </c>
      <c r="M146" s="41">
        <v>0</v>
      </c>
      <c r="N146" s="41">
        <v>0</v>
      </c>
      <c r="O146" s="42" t="s">
        <v>717</v>
      </c>
      <c r="P146" s="42" t="s">
        <v>718</v>
      </c>
      <c r="Q146" s="42" t="s">
        <v>719</v>
      </c>
      <c r="R146" s="42" t="s">
        <v>720</v>
      </c>
      <c r="S146" s="42" t="s">
        <v>721</v>
      </c>
      <c r="T146" s="42"/>
    </row>
    <row r="147" spans="1:20" x14ac:dyDescent="0.3">
      <c r="A147" s="37"/>
      <c r="B147" s="37"/>
      <c r="C147" s="40">
        <f t="shared" si="6"/>
        <v>0</v>
      </c>
      <c r="D147" s="39">
        <v>0</v>
      </c>
      <c r="E147" s="39">
        <v>0</v>
      </c>
      <c r="F147" s="39">
        <f t="shared" si="7"/>
        <v>0</v>
      </c>
      <c r="G147" s="39">
        <v>0</v>
      </c>
      <c r="H147" s="39"/>
      <c r="I147" s="39">
        <v>0</v>
      </c>
      <c r="J147" s="39">
        <v>0</v>
      </c>
      <c r="K147" s="39">
        <v>0</v>
      </c>
      <c r="L147" s="40">
        <f t="shared" si="8"/>
        <v>0</v>
      </c>
      <c r="M147" s="41">
        <v>0</v>
      </c>
      <c r="N147" s="41">
        <v>0</v>
      </c>
      <c r="O147" s="42" t="s">
        <v>722</v>
      </c>
      <c r="P147" s="42" t="s">
        <v>723</v>
      </c>
      <c r="Q147" s="42" t="s">
        <v>724</v>
      </c>
      <c r="R147" s="42" t="s">
        <v>725</v>
      </c>
      <c r="S147" s="42" t="s">
        <v>726</v>
      </c>
      <c r="T147" s="42"/>
    </row>
    <row r="148" spans="1:20" x14ac:dyDescent="0.3">
      <c r="A148" s="37"/>
      <c r="B148" s="37"/>
      <c r="C148" s="40">
        <f t="shared" si="6"/>
        <v>0</v>
      </c>
      <c r="D148" s="39">
        <v>0</v>
      </c>
      <c r="E148" s="39">
        <v>0</v>
      </c>
      <c r="F148" s="39">
        <f t="shared" si="7"/>
        <v>0</v>
      </c>
      <c r="G148" s="39">
        <v>0</v>
      </c>
      <c r="H148" s="39"/>
      <c r="I148" s="39">
        <v>0</v>
      </c>
      <c r="J148" s="39">
        <v>0</v>
      </c>
      <c r="K148" s="39">
        <v>0</v>
      </c>
      <c r="L148" s="40">
        <f t="shared" si="8"/>
        <v>0</v>
      </c>
      <c r="M148" s="41">
        <v>0</v>
      </c>
      <c r="N148" s="41">
        <v>0</v>
      </c>
      <c r="O148" s="42" t="s">
        <v>727</v>
      </c>
      <c r="P148" s="42" t="s">
        <v>728</v>
      </c>
      <c r="Q148" s="42" t="s">
        <v>729</v>
      </c>
      <c r="R148" s="42" t="s">
        <v>730</v>
      </c>
      <c r="S148" s="42" t="s">
        <v>731</v>
      </c>
      <c r="T148" s="42"/>
    </row>
    <row r="149" spans="1:20" x14ac:dyDescent="0.3">
      <c r="A149" s="37"/>
      <c r="B149" s="37"/>
      <c r="C149" s="40">
        <f t="shared" si="6"/>
        <v>0</v>
      </c>
      <c r="D149" s="39">
        <v>0</v>
      </c>
      <c r="E149" s="39">
        <v>0</v>
      </c>
      <c r="F149" s="39">
        <f t="shared" si="7"/>
        <v>0</v>
      </c>
      <c r="G149" s="39">
        <v>0</v>
      </c>
      <c r="H149" s="39"/>
      <c r="I149" s="39">
        <v>0</v>
      </c>
      <c r="J149" s="39">
        <v>0</v>
      </c>
      <c r="K149" s="39">
        <v>0</v>
      </c>
      <c r="L149" s="40">
        <f t="shared" si="8"/>
        <v>0</v>
      </c>
      <c r="M149" s="41">
        <v>0</v>
      </c>
      <c r="N149" s="41">
        <v>0</v>
      </c>
      <c r="O149" s="42" t="s">
        <v>732</v>
      </c>
      <c r="P149" s="42" t="s">
        <v>733</v>
      </c>
      <c r="Q149" s="42" t="s">
        <v>734</v>
      </c>
      <c r="R149" s="42" t="s">
        <v>735</v>
      </c>
      <c r="S149" s="42" t="s">
        <v>736</v>
      </c>
      <c r="T149" s="42"/>
    </row>
    <row r="150" spans="1:20" x14ac:dyDescent="0.3">
      <c r="A150" s="37"/>
      <c r="B150" s="37"/>
      <c r="C150" s="40">
        <f t="shared" si="6"/>
        <v>0</v>
      </c>
      <c r="D150" s="39">
        <v>0</v>
      </c>
      <c r="E150" s="39">
        <v>0</v>
      </c>
      <c r="F150" s="39">
        <f t="shared" si="7"/>
        <v>0</v>
      </c>
      <c r="G150" s="39">
        <v>0</v>
      </c>
      <c r="H150" s="39"/>
      <c r="I150" s="39">
        <v>0</v>
      </c>
      <c r="J150" s="39">
        <v>0</v>
      </c>
      <c r="K150" s="39">
        <v>0</v>
      </c>
      <c r="L150" s="40">
        <f t="shared" si="8"/>
        <v>0</v>
      </c>
      <c r="M150" s="41">
        <v>0</v>
      </c>
      <c r="N150" s="41">
        <v>0</v>
      </c>
      <c r="O150" s="42" t="s">
        <v>737</v>
      </c>
      <c r="P150" s="42" t="s">
        <v>738</v>
      </c>
      <c r="Q150" s="42" t="s">
        <v>739</v>
      </c>
      <c r="R150" s="42" t="s">
        <v>740</v>
      </c>
      <c r="S150" s="42" t="s">
        <v>741</v>
      </c>
      <c r="T150" s="42"/>
    </row>
    <row r="151" spans="1:20" x14ac:dyDescent="0.3">
      <c r="A151" s="37"/>
      <c r="B151" s="37"/>
      <c r="C151" s="40">
        <f t="shared" si="6"/>
        <v>0</v>
      </c>
      <c r="D151" s="39">
        <v>0</v>
      </c>
      <c r="E151" s="39">
        <v>0</v>
      </c>
      <c r="F151" s="39">
        <f t="shared" si="7"/>
        <v>0</v>
      </c>
      <c r="G151" s="39">
        <v>0</v>
      </c>
      <c r="H151" s="39"/>
      <c r="I151" s="39">
        <v>0</v>
      </c>
      <c r="J151" s="39">
        <v>0</v>
      </c>
      <c r="K151" s="39">
        <v>0</v>
      </c>
      <c r="L151" s="40">
        <f t="shared" si="8"/>
        <v>0</v>
      </c>
      <c r="M151" s="41">
        <v>0</v>
      </c>
      <c r="N151" s="41">
        <v>0</v>
      </c>
      <c r="O151" s="42" t="s">
        <v>753</v>
      </c>
      <c r="P151" s="42" t="s">
        <v>754</v>
      </c>
      <c r="Q151" s="42" t="s">
        <v>755</v>
      </c>
      <c r="R151" s="42" t="s">
        <v>756</v>
      </c>
      <c r="S151" s="42" t="s">
        <v>757</v>
      </c>
      <c r="T151" s="42"/>
    </row>
    <row r="152" spans="1:20" x14ac:dyDescent="0.3">
      <c r="A152" s="37"/>
      <c r="B152" s="37"/>
      <c r="C152" s="40">
        <f t="shared" si="6"/>
        <v>0</v>
      </c>
      <c r="D152" s="39">
        <v>0</v>
      </c>
      <c r="E152" s="39">
        <v>0</v>
      </c>
      <c r="F152" s="39">
        <f t="shared" si="7"/>
        <v>0</v>
      </c>
      <c r="G152" s="39">
        <v>0</v>
      </c>
      <c r="H152" s="39"/>
      <c r="I152" s="39">
        <v>0</v>
      </c>
      <c r="J152" s="39">
        <v>0</v>
      </c>
      <c r="K152" s="39">
        <v>0</v>
      </c>
      <c r="L152" s="40">
        <f t="shared" si="8"/>
        <v>0</v>
      </c>
      <c r="M152" s="41">
        <v>0</v>
      </c>
      <c r="N152" s="41">
        <v>0</v>
      </c>
      <c r="O152" s="42" t="s">
        <v>758</v>
      </c>
      <c r="P152" s="42" t="s">
        <v>759</v>
      </c>
      <c r="Q152" s="42" t="s">
        <v>760</v>
      </c>
      <c r="R152" s="42" t="s">
        <v>761</v>
      </c>
      <c r="S152" s="42" t="s">
        <v>762</v>
      </c>
      <c r="T152" s="42"/>
    </row>
    <row r="153" spans="1:20" x14ac:dyDescent="0.3">
      <c r="A153" s="37"/>
      <c r="B153" s="37"/>
      <c r="C153" s="40">
        <f t="shared" si="6"/>
        <v>0</v>
      </c>
      <c r="D153" s="39">
        <v>0</v>
      </c>
      <c r="E153" s="39">
        <v>0</v>
      </c>
      <c r="F153" s="39">
        <f t="shared" si="7"/>
        <v>0</v>
      </c>
      <c r="G153" s="39">
        <v>0</v>
      </c>
      <c r="H153" s="39"/>
      <c r="I153" s="39">
        <v>0</v>
      </c>
      <c r="J153" s="39">
        <v>0</v>
      </c>
      <c r="K153" s="39">
        <v>0</v>
      </c>
      <c r="L153" s="40">
        <f t="shared" si="8"/>
        <v>0</v>
      </c>
      <c r="M153" s="41">
        <v>0</v>
      </c>
      <c r="N153" s="41">
        <v>0</v>
      </c>
      <c r="O153" s="42" t="s">
        <v>763</v>
      </c>
      <c r="P153" s="42" t="s">
        <v>764</v>
      </c>
      <c r="Q153" s="42" t="s">
        <v>765</v>
      </c>
      <c r="R153" s="42" t="s">
        <v>766</v>
      </c>
      <c r="S153" s="42" t="s">
        <v>767</v>
      </c>
      <c r="T153" s="42"/>
    </row>
    <row r="154" spans="1:20" x14ac:dyDescent="0.3">
      <c r="A154" s="37"/>
      <c r="B154" s="37"/>
      <c r="C154" s="40">
        <f t="shared" si="6"/>
        <v>0</v>
      </c>
      <c r="D154" s="39">
        <v>0</v>
      </c>
      <c r="E154" s="39">
        <v>0</v>
      </c>
      <c r="F154" s="39">
        <f t="shared" si="7"/>
        <v>0</v>
      </c>
      <c r="G154" s="39">
        <v>0</v>
      </c>
      <c r="H154" s="39"/>
      <c r="I154" s="39">
        <v>0</v>
      </c>
      <c r="J154" s="39">
        <v>0</v>
      </c>
      <c r="K154" s="39">
        <v>0</v>
      </c>
      <c r="L154" s="40">
        <f t="shared" si="8"/>
        <v>0</v>
      </c>
      <c r="M154" s="41">
        <v>0</v>
      </c>
      <c r="N154" s="41">
        <v>0</v>
      </c>
      <c r="O154" s="42" t="s">
        <v>768</v>
      </c>
      <c r="P154" s="42" t="s">
        <v>769</v>
      </c>
      <c r="Q154" s="42" t="s">
        <v>770</v>
      </c>
      <c r="R154" s="42" t="s">
        <v>771</v>
      </c>
      <c r="S154" s="42" t="s">
        <v>772</v>
      </c>
      <c r="T154" s="42"/>
    </row>
    <row r="155" spans="1:20" x14ac:dyDescent="0.3">
      <c r="A155" s="37"/>
      <c r="B155" s="37"/>
      <c r="C155" s="40">
        <f t="shared" si="6"/>
        <v>0</v>
      </c>
      <c r="D155" s="39">
        <v>0</v>
      </c>
      <c r="E155" s="39">
        <v>0</v>
      </c>
      <c r="F155" s="39">
        <f t="shared" si="7"/>
        <v>0</v>
      </c>
      <c r="G155" s="39">
        <v>0</v>
      </c>
      <c r="H155" s="39"/>
      <c r="I155" s="39">
        <v>0</v>
      </c>
      <c r="J155" s="39">
        <v>0</v>
      </c>
      <c r="K155" s="39">
        <v>0</v>
      </c>
      <c r="L155" s="40">
        <f t="shared" si="8"/>
        <v>0</v>
      </c>
      <c r="M155" s="41">
        <v>0</v>
      </c>
      <c r="N155" s="41">
        <v>0</v>
      </c>
      <c r="O155" s="42" t="s">
        <v>773</v>
      </c>
      <c r="P155" s="42" t="s">
        <v>774</v>
      </c>
      <c r="Q155" s="42" t="s">
        <v>775</v>
      </c>
      <c r="R155" s="42" t="s">
        <v>776</v>
      </c>
      <c r="S155" s="42" t="s">
        <v>777</v>
      </c>
      <c r="T155" s="42"/>
    </row>
    <row r="156" spans="1:20" x14ac:dyDescent="0.3">
      <c r="A156" s="37"/>
      <c r="B156" s="37"/>
      <c r="C156" s="40">
        <f t="shared" si="6"/>
        <v>0</v>
      </c>
      <c r="D156" s="39">
        <v>0</v>
      </c>
      <c r="E156" s="39">
        <v>0</v>
      </c>
      <c r="F156" s="39">
        <f t="shared" si="7"/>
        <v>0</v>
      </c>
      <c r="G156" s="39">
        <v>0</v>
      </c>
      <c r="H156" s="39"/>
      <c r="I156" s="39">
        <v>0</v>
      </c>
      <c r="J156" s="39">
        <v>0</v>
      </c>
      <c r="K156" s="39">
        <v>0</v>
      </c>
      <c r="L156" s="40">
        <f t="shared" si="8"/>
        <v>0</v>
      </c>
      <c r="M156" s="41">
        <v>0</v>
      </c>
      <c r="N156" s="41">
        <v>0</v>
      </c>
      <c r="O156" s="42" t="s">
        <v>778</v>
      </c>
      <c r="P156" s="42" t="s">
        <v>779</v>
      </c>
      <c r="Q156" s="42" t="s">
        <v>780</v>
      </c>
      <c r="R156" s="42" t="s">
        <v>781</v>
      </c>
      <c r="S156" s="42" t="s">
        <v>782</v>
      </c>
      <c r="T156" s="42"/>
    </row>
    <row r="157" spans="1:20" x14ac:dyDescent="0.3">
      <c r="A157" s="37"/>
      <c r="B157" s="37"/>
      <c r="C157" s="40">
        <f t="shared" si="6"/>
        <v>0</v>
      </c>
      <c r="D157" s="39">
        <v>0</v>
      </c>
      <c r="E157" s="39">
        <v>0</v>
      </c>
      <c r="F157" s="39">
        <f t="shared" si="7"/>
        <v>0</v>
      </c>
      <c r="G157" s="39">
        <v>0</v>
      </c>
      <c r="H157" s="39"/>
      <c r="I157" s="39">
        <v>0</v>
      </c>
      <c r="J157" s="39">
        <v>0</v>
      </c>
      <c r="K157" s="39">
        <v>0</v>
      </c>
      <c r="L157" s="40">
        <f t="shared" si="8"/>
        <v>0</v>
      </c>
      <c r="M157" s="41">
        <v>0</v>
      </c>
      <c r="N157" s="41">
        <v>0</v>
      </c>
      <c r="O157" s="42" t="s">
        <v>783</v>
      </c>
      <c r="P157" s="42" t="s">
        <v>784</v>
      </c>
      <c r="Q157" s="42" t="s">
        <v>785</v>
      </c>
      <c r="R157" s="42" t="s">
        <v>786</v>
      </c>
      <c r="S157" s="42" t="s">
        <v>787</v>
      </c>
      <c r="T157" s="42"/>
    </row>
    <row r="158" spans="1:20" x14ac:dyDescent="0.3">
      <c r="A158" s="37"/>
      <c r="B158" s="37"/>
      <c r="C158" s="40">
        <f t="shared" si="6"/>
        <v>0</v>
      </c>
      <c r="D158" s="39">
        <v>0</v>
      </c>
      <c r="E158" s="39">
        <v>0</v>
      </c>
      <c r="F158" s="39">
        <f t="shared" si="7"/>
        <v>0</v>
      </c>
      <c r="G158" s="39">
        <v>0</v>
      </c>
      <c r="H158" s="39"/>
      <c r="I158" s="39">
        <v>0</v>
      </c>
      <c r="J158" s="39">
        <v>0</v>
      </c>
      <c r="K158" s="39">
        <v>0</v>
      </c>
      <c r="L158" s="40">
        <f t="shared" si="8"/>
        <v>0</v>
      </c>
      <c r="M158" s="41">
        <v>0</v>
      </c>
      <c r="N158" s="41">
        <v>0</v>
      </c>
      <c r="O158" s="42" t="s">
        <v>788</v>
      </c>
      <c r="P158" s="42" t="s">
        <v>789</v>
      </c>
      <c r="Q158" s="42" t="s">
        <v>790</v>
      </c>
      <c r="R158" s="42" t="s">
        <v>791</v>
      </c>
      <c r="S158" s="42" t="s">
        <v>792</v>
      </c>
      <c r="T158" s="42"/>
    </row>
    <row r="159" spans="1:20" x14ac:dyDescent="0.3">
      <c r="A159" s="37"/>
      <c r="B159" s="37"/>
      <c r="C159" s="40">
        <f t="shared" si="6"/>
        <v>0</v>
      </c>
      <c r="D159" s="39">
        <v>0</v>
      </c>
      <c r="E159" s="39">
        <v>0</v>
      </c>
      <c r="F159" s="39">
        <f t="shared" si="7"/>
        <v>0</v>
      </c>
      <c r="G159" s="39">
        <v>0</v>
      </c>
      <c r="H159" s="39"/>
      <c r="I159" s="39">
        <v>0</v>
      </c>
      <c r="J159" s="39">
        <v>0</v>
      </c>
      <c r="K159" s="39">
        <v>0</v>
      </c>
      <c r="L159" s="40">
        <f t="shared" si="8"/>
        <v>0</v>
      </c>
      <c r="M159" s="41">
        <v>0</v>
      </c>
      <c r="N159" s="41">
        <v>0</v>
      </c>
      <c r="O159" s="42" t="s">
        <v>793</v>
      </c>
      <c r="P159" s="42" t="s">
        <v>794</v>
      </c>
      <c r="Q159" s="42" t="s">
        <v>795</v>
      </c>
      <c r="R159" s="42" t="s">
        <v>796</v>
      </c>
      <c r="S159" s="42" t="s">
        <v>797</v>
      </c>
      <c r="T159" s="42"/>
    </row>
    <row r="160" spans="1:20" x14ac:dyDescent="0.3">
      <c r="A160" s="37"/>
      <c r="B160" s="37"/>
      <c r="C160" s="40">
        <f t="shared" si="6"/>
        <v>0</v>
      </c>
      <c r="D160" s="39">
        <v>0</v>
      </c>
      <c r="E160" s="39">
        <v>0</v>
      </c>
      <c r="F160" s="39">
        <f t="shared" si="7"/>
        <v>0</v>
      </c>
      <c r="G160" s="39">
        <v>0</v>
      </c>
      <c r="H160" s="39"/>
      <c r="I160" s="39">
        <v>0</v>
      </c>
      <c r="J160" s="39">
        <v>0</v>
      </c>
      <c r="K160" s="39">
        <v>0</v>
      </c>
      <c r="L160" s="40">
        <f t="shared" si="8"/>
        <v>0</v>
      </c>
      <c r="M160" s="41">
        <v>0</v>
      </c>
      <c r="N160" s="41">
        <v>0</v>
      </c>
      <c r="O160" s="42" t="s">
        <v>798</v>
      </c>
      <c r="P160" s="42" t="s">
        <v>799</v>
      </c>
      <c r="Q160" s="42" t="s">
        <v>800</v>
      </c>
      <c r="R160" s="42" t="s">
        <v>801</v>
      </c>
      <c r="S160" s="42" t="s">
        <v>802</v>
      </c>
      <c r="T160" s="42"/>
    </row>
    <row r="161" spans="1:20" x14ac:dyDescent="0.3">
      <c r="A161" s="37"/>
      <c r="B161" s="37"/>
      <c r="C161" s="40">
        <f t="shared" si="6"/>
        <v>0</v>
      </c>
      <c r="D161" s="39">
        <v>0</v>
      </c>
      <c r="E161" s="39">
        <v>0</v>
      </c>
      <c r="F161" s="39">
        <f t="shared" si="7"/>
        <v>0</v>
      </c>
      <c r="G161" s="39">
        <v>0</v>
      </c>
      <c r="H161" s="39"/>
      <c r="I161" s="39">
        <v>0</v>
      </c>
      <c r="J161" s="39">
        <v>0</v>
      </c>
      <c r="K161" s="39">
        <v>0</v>
      </c>
      <c r="L161" s="40">
        <f t="shared" si="8"/>
        <v>0</v>
      </c>
      <c r="M161" s="41">
        <v>0</v>
      </c>
      <c r="N161" s="41">
        <v>0</v>
      </c>
      <c r="O161" s="42" t="s">
        <v>803</v>
      </c>
      <c r="P161" s="42" t="s">
        <v>804</v>
      </c>
      <c r="Q161" s="42" t="s">
        <v>805</v>
      </c>
      <c r="R161" s="42" t="s">
        <v>806</v>
      </c>
      <c r="S161" s="42" t="s">
        <v>807</v>
      </c>
      <c r="T161" s="42"/>
    </row>
    <row r="162" spans="1:20" x14ac:dyDescent="0.3">
      <c r="A162" s="37"/>
      <c r="B162" s="37"/>
      <c r="C162" s="40">
        <f t="shared" si="6"/>
        <v>0</v>
      </c>
      <c r="D162" s="39">
        <v>0</v>
      </c>
      <c r="E162" s="39">
        <v>0</v>
      </c>
      <c r="F162" s="39">
        <f t="shared" si="7"/>
        <v>0</v>
      </c>
      <c r="G162" s="39">
        <v>0</v>
      </c>
      <c r="H162" s="39"/>
      <c r="I162" s="39">
        <v>0</v>
      </c>
      <c r="J162" s="39">
        <v>0</v>
      </c>
      <c r="K162" s="39">
        <v>0</v>
      </c>
      <c r="L162" s="40">
        <f t="shared" si="8"/>
        <v>0</v>
      </c>
      <c r="M162" s="41">
        <v>0</v>
      </c>
      <c r="N162" s="41">
        <v>0</v>
      </c>
      <c r="O162" s="42" t="s">
        <v>808</v>
      </c>
      <c r="P162" s="42" t="s">
        <v>809</v>
      </c>
      <c r="Q162" s="42" t="s">
        <v>810</v>
      </c>
      <c r="R162" s="42" t="s">
        <v>811</v>
      </c>
      <c r="S162" s="42" t="s">
        <v>812</v>
      </c>
      <c r="T162" s="42"/>
    </row>
    <row r="163" spans="1:20" x14ac:dyDescent="0.3">
      <c r="A163" s="37"/>
      <c r="B163" s="37"/>
      <c r="C163" s="40">
        <f t="shared" si="6"/>
        <v>0</v>
      </c>
      <c r="D163" s="39">
        <v>0</v>
      </c>
      <c r="E163" s="39">
        <v>0</v>
      </c>
      <c r="F163" s="39">
        <f t="shared" si="7"/>
        <v>0</v>
      </c>
      <c r="G163" s="39">
        <v>0</v>
      </c>
      <c r="H163" s="39"/>
      <c r="I163" s="39">
        <v>0</v>
      </c>
      <c r="J163" s="39">
        <v>0</v>
      </c>
      <c r="K163" s="39">
        <v>0</v>
      </c>
      <c r="L163" s="40">
        <f t="shared" si="8"/>
        <v>0</v>
      </c>
      <c r="M163" s="41">
        <v>0</v>
      </c>
      <c r="N163" s="41">
        <v>0</v>
      </c>
      <c r="O163" s="42" t="s">
        <v>813</v>
      </c>
      <c r="P163" s="42" t="s">
        <v>814</v>
      </c>
      <c r="Q163" s="42" t="s">
        <v>815</v>
      </c>
      <c r="R163" s="42" t="s">
        <v>816</v>
      </c>
      <c r="S163" s="42" t="s">
        <v>817</v>
      </c>
      <c r="T163" s="42"/>
    </row>
    <row r="164" spans="1:20" x14ac:dyDescent="0.3">
      <c r="A164" s="37"/>
      <c r="B164" s="37"/>
      <c r="C164" s="40">
        <f t="shared" si="6"/>
        <v>0</v>
      </c>
      <c r="D164" s="39">
        <v>0</v>
      </c>
      <c r="E164" s="39">
        <v>0</v>
      </c>
      <c r="F164" s="39">
        <f t="shared" si="7"/>
        <v>0</v>
      </c>
      <c r="G164" s="39">
        <v>0</v>
      </c>
      <c r="H164" s="39"/>
      <c r="I164" s="39">
        <v>0</v>
      </c>
      <c r="J164" s="39">
        <v>0</v>
      </c>
      <c r="K164" s="39">
        <v>0</v>
      </c>
      <c r="L164" s="40">
        <f t="shared" si="8"/>
        <v>0</v>
      </c>
      <c r="M164" s="41">
        <v>0</v>
      </c>
      <c r="N164" s="41">
        <v>0</v>
      </c>
      <c r="O164" s="42" t="s">
        <v>818</v>
      </c>
      <c r="P164" s="42" t="s">
        <v>819</v>
      </c>
      <c r="Q164" s="42" t="s">
        <v>820</v>
      </c>
      <c r="R164" s="42" t="s">
        <v>821</v>
      </c>
      <c r="S164" s="42" t="s">
        <v>822</v>
      </c>
      <c r="T164" s="42"/>
    </row>
    <row r="165" spans="1:20" x14ac:dyDescent="0.3">
      <c r="A165" s="37"/>
      <c r="B165" s="37"/>
      <c r="C165" s="40">
        <f t="shared" ref="C165:C228" si="9">L164</f>
        <v>0</v>
      </c>
      <c r="D165" s="39">
        <v>0</v>
      </c>
      <c r="E165" s="39">
        <v>0</v>
      </c>
      <c r="F165" s="39">
        <f t="shared" ref="F165:F228" si="10">E165-G165-H165</f>
        <v>0</v>
      </c>
      <c r="G165" s="39">
        <v>0</v>
      </c>
      <c r="H165" s="39"/>
      <c r="I165" s="39">
        <v>0</v>
      </c>
      <c r="J165" s="39">
        <v>0</v>
      </c>
      <c r="K165" s="39">
        <v>0</v>
      </c>
      <c r="L165" s="40">
        <f t="shared" ref="L165:L228" si="11">C165+J165+K165-H165-F165+D165</f>
        <v>0</v>
      </c>
      <c r="M165" s="41">
        <v>0</v>
      </c>
      <c r="N165" s="41">
        <v>0</v>
      </c>
      <c r="O165" s="42" t="s">
        <v>823</v>
      </c>
      <c r="P165" s="42" t="s">
        <v>824</v>
      </c>
      <c r="Q165" s="42" t="s">
        <v>825</v>
      </c>
      <c r="R165" s="42" t="s">
        <v>826</v>
      </c>
      <c r="S165" s="42" t="s">
        <v>827</v>
      </c>
      <c r="T165" s="42"/>
    </row>
    <row r="166" spans="1:20" x14ac:dyDescent="0.3">
      <c r="A166" s="37"/>
      <c r="B166" s="37"/>
      <c r="C166" s="40">
        <f t="shared" si="9"/>
        <v>0</v>
      </c>
      <c r="D166" s="39">
        <v>0</v>
      </c>
      <c r="E166" s="39">
        <v>0</v>
      </c>
      <c r="F166" s="39">
        <f t="shared" si="10"/>
        <v>0</v>
      </c>
      <c r="G166" s="39">
        <v>0</v>
      </c>
      <c r="H166" s="39"/>
      <c r="I166" s="39">
        <v>0</v>
      </c>
      <c r="J166" s="39">
        <v>0</v>
      </c>
      <c r="K166" s="39">
        <v>0</v>
      </c>
      <c r="L166" s="40">
        <f t="shared" si="11"/>
        <v>0</v>
      </c>
      <c r="M166" s="41">
        <v>0</v>
      </c>
      <c r="N166" s="41">
        <v>0</v>
      </c>
      <c r="O166" s="42" t="s">
        <v>828</v>
      </c>
      <c r="P166" s="42" t="s">
        <v>829</v>
      </c>
      <c r="Q166" s="42" t="s">
        <v>830</v>
      </c>
      <c r="R166" s="42" t="s">
        <v>831</v>
      </c>
      <c r="S166" s="42" t="s">
        <v>832</v>
      </c>
      <c r="T166" s="42"/>
    </row>
    <row r="167" spans="1:20" x14ac:dyDescent="0.3">
      <c r="A167" s="37"/>
      <c r="B167" s="37"/>
      <c r="C167" s="40">
        <f t="shared" si="9"/>
        <v>0</v>
      </c>
      <c r="D167" s="39">
        <v>0</v>
      </c>
      <c r="E167" s="39">
        <v>0</v>
      </c>
      <c r="F167" s="39">
        <f t="shared" si="10"/>
        <v>0</v>
      </c>
      <c r="G167" s="39">
        <v>0</v>
      </c>
      <c r="H167" s="39"/>
      <c r="I167" s="39">
        <v>0</v>
      </c>
      <c r="J167" s="39">
        <v>0</v>
      </c>
      <c r="K167" s="39">
        <v>0</v>
      </c>
      <c r="L167" s="40">
        <f t="shared" si="11"/>
        <v>0</v>
      </c>
      <c r="M167" s="41">
        <v>0</v>
      </c>
      <c r="N167" s="41">
        <v>0</v>
      </c>
      <c r="O167" s="42" t="s">
        <v>833</v>
      </c>
      <c r="P167" s="42" t="s">
        <v>834</v>
      </c>
      <c r="Q167" s="42" t="s">
        <v>835</v>
      </c>
      <c r="R167" s="42" t="s">
        <v>836</v>
      </c>
      <c r="S167" s="42" t="s">
        <v>837</v>
      </c>
      <c r="T167" s="42"/>
    </row>
    <row r="168" spans="1:20" x14ac:dyDescent="0.3">
      <c r="A168" s="37"/>
      <c r="B168" s="37"/>
      <c r="C168" s="40">
        <f t="shared" si="9"/>
        <v>0</v>
      </c>
      <c r="D168" s="39">
        <v>0</v>
      </c>
      <c r="E168" s="39">
        <v>0</v>
      </c>
      <c r="F168" s="39">
        <f t="shared" si="10"/>
        <v>0</v>
      </c>
      <c r="G168" s="39">
        <v>0</v>
      </c>
      <c r="H168" s="39"/>
      <c r="I168" s="39">
        <v>0</v>
      </c>
      <c r="J168" s="39">
        <v>0</v>
      </c>
      <c r="K168" s="39">
        <v>0</v>
      </c>
      <c r="L168" s="40">
        <f t="shared" si="11"/>
        <v>0</v>
      </c>
      <c r="M168" s="41">
        <v>0</v>
      </c>
      <c r="N168" s="41">
        <v>0</v>
      </c>
      <c r="O168" s="42" t="s">
        <v>838</v>
      </c>
      <c r="P168" s="42" t="s">
        <v>839</v>
      </c>
      <c r="Q168" s="42" t="s">
        <v>840</v>
      </c>
      <c r="R168" s="42" t="s">
        <v>841</v>
      </c>
      <c r="S168" s="42" t="s">
        <v>842</v>
      </c>
      <c r="T168" s="42"/>
    </row>
    <row r="169" spans="1:20" x14ac:dyDescent="0.3">
      <c r="A169" s="37"/>
      <c r="B169" s="37"/>
      <c r="C169" s="40">
        <f t="shared" si="9"/>
        <v>0</v>
      </c>
      <c r="D169" s="39">
        <v>0</v>
      </c>
      <c r="E169" s="39">
        <v>0</v>
      </c>
      <c r="F169" s="39">
        <f t="shared" si="10"/>
        <v>0</v>
      </c>
      <c r="G169" s="39">
        <v>0</v>
      </c>
      <c r="H169" s="39"/>
      <c r="I169" s="39">
        <v>0</v>
      </c>
      <c r="J169" s="39">
        <v>0</v>
      </c>
      <c r="K169" s="39">
        <v>0</v>
      </c>
      <c r="L169" s="40">
        <f t="shared" si="11"/>
        <v>0</v>
      </c>
      <c r="M169" s="41">
        <v>0</v>
      </c>
      <c r="N169" s="41">
        <v>0</v>
      </c>
      <c r="O169" s="42" t="s">
        <v>843</v>
      </c>
      <c r="P169" s="42" t="s">
        <v>844</v>
      </c>
      <c r="Q169" s="42" t="s">
        <v>845</v>
      </c>
      <c r="R169" s="42" t="s">
        <v>846</v>
      </c>
      <c r="S169" s="42" t="s">
        <v>847</v>
      </c>
      <c r="T169" s="42"/>
    </row>
    <row r="170" spans="1:20" x14ac:dyDescent="0.3">
      <c r="A170" s="37"/>
      <c r="B170" s="37"/>
      <c r="C170" s="40">
        <f t="shared" si="9"/>
        <v>0</v>
      </c>
      <c r="D170" s="39">
        <v>0</v>
      </c>
      <c r="E170" s="39">
        <v>0</v>
      </c>
      <c r="F170" s="39">
        <f t="shared" si="10"/>
        <v>0</v>
      </c>
      <c r="G170" s="39">
        <v>0</v>
      </c>
      <c r="H170" s="39"/>
      <c r="I170" s="39">
        <v>0</v>
      </c>
      <c r="J170" s="39">
        <v>0</v>
      </c>
      <c r="K170" s="39">
        <v>0</v>
      </c>
      <c r="L170" s="40">
        <f t="shared" si="11"/>
        <v>0</v>
      </c>
      <c r="M170" s="41">
        <v>0</v>
      </c>
      <c r="N170" s="41">
        <v>0</v>
      </c>
      <c r="O170" s="42" t="s">
        <v>848</v>
      </c>
      <c r="P170" s="42" t="s">
        <v>849</v>
      </c>
      <c r="Q170" s="42" t="s">
        <v>850</v>
      </c>
      <c r="R170" s="42" t="s">
        <v>851</v>
      </c>
      <c r="S170" s="42" t="s">
        <v>852</v>
      </c>
      <c r="T170" s="42"/>
    </row>
    <row r="171" spans="1:20" x14ac:dyDescent="0.3">
      <c r="A171" s="37"/>
      <c r="B171" s="37"/>
      <c r="C171" s="40">
        <f t="shared" si="9"/>
        <v>0</v>
      </c>
      <c r="D171" s="39">
        <v>0</v>
      </c>
      <c r="E171" s="39">
        <v>0</v>
      </c>
      <c r="F171" s="39">
        <f t="shared" si="10"/>
        <v>0</v>
      </c>
      <c r="G171" s="39">
        <v>0</v>
      </c>
      <c r="H171" s="39"/>
      <c r="I171" s="39">
        <v>0</v>
      </c>
      <c r="J171" s="39">
        <v>0</v>
      </c>
      <c r="K171" s="39">
        <v>0</v>
      </c>
      <c r="L171" s="40">
        <f t="shared" si="11"/>
        <v>0</v>
      </c>
      <c r="M171" s="41">
        <v>0</v>
      </c>
      <c r="N171" s="41">
        <v>0</v>
      </c>
      <c r="O171" s="42" t="s">
        <v>853</v>
      </c>
      <c r="P171" s="42" t="s">
        <v>854</v>
      </c>
      <c r="Q171" s="42" t="s">
        <v>855</v>
      </c>
      <c r="R171" s="42" t="s">
        <v>856</v>
      </c>
      <c r="S171" s="42" t="s">
        <v>857</v>
      </c>
      <c r="T171" s="42"/>
    </row>
    <row r="172" spans="1:20" x14ac:dyDescent="0.3">
      <c r="A172" s="37"/>
      <c r="B172" s="37"/>
      <c r="C172" s="40">
        <f t="shared" si="9"/>
        <v>0</v>
      </c>
      <c r="D172" s="39">
        <v>0</v>
      </c>
      <c r="E172" s="39">
        <v>0</v>
      </c>
      <c r="F172" s="39">
        <f t="shared" si="10"/>
        <v>0</v>
      </c>
      <c r="G172" s="39">
        <v>0</v>
      </c>
      <c r="H172" s="39"/>
      <c r="I172" s="39">
        <v>0</v>
      </c>
      <c r="J172" s="39">
        <v>0</v>
      </c>
      <c r="K172" s="39">
        <v>0</v>
      </c>
      <c r="L172" s="40">
        <f t="shared" si="11"/>
        <v>0</v>
      </c>
      <c r="M172" s="41">
        <v>0</v>
      </c>
      <c r="N172" s="41">
        <v>0</v>
      </c>
      <c r="O172" s="42" t="s">
        <v>858</v>
      </c>
      <c r="P172" s="42" t="s">
        <v>859</v>
      </c>
      <c r="Q172" s="42" t="s">
        <v>860</v>
      </c>
      <c r="R172" s="42" t="s">
        <v>861</v>
      </c>
      <c r="S172" s="42" t="s">
        <v>862</v>
      </c>
      <c r="T172" s="42"/>
    </row>
    <row r="173" spans="1:20" x14ac:dyDescent="0.3">
      <c r="A173" s="37"/>
      <c r="B173" s="37"/>
      <c r="C173" s="40">
        <f t="shared" si="9"/>
        <v>0</v>
      </c>
      <c r="D173" s="39">
        <v>0</v>
      </c>
      <c r="E173" s="39">
        <v>0</v>
      </c>
      <c r="F173" s="39">
        <f t="shared" si="10"/>
        <v>0</v>
      </c>
      <c r="G173" s="39">
        <v>0</v>
      </c>
      <c r="H173" s="39"/>
      <c r="I173" s="39">
        <v>0</v>
      </c>
      <c r="J173" s="39">
        <v>0</v>
      </c>
      <c r="K173" s="39">
        <v>0</v>
      </c>
      <c r="L173" s="40">
        <f t="shared" si="11"/>
        <v>0</v>
      </c>
      <c r="M173" s="41">
        <v>0</v>
      </c>
      <c r="N173" s="41">
        <v>0</v>
      </c>
      <c r="O173" s="42" t="s">
        <v>863</v>
      </c>
      <c r="P173" s="42" t="s">
        <v>864</v>
      </c>
      <c r="Q173" s="42" t="s">
        <v>865</v>
      </c>
      <c r="R173" s="42" t="s">
        <v>866</v>
      </c>
      <c r="S173" s="42" t="s">
        <v>867</v>
      </c>
      <c r="T173" s="42"/>
    </row>
    <row r="174" spans="1:20" x14ac:dyDescent="0.3">
      <c r="A174" s="37"/>
      <c r="B174" s="37"/>
      <c r="C174" s="40">
        <f t="shared" si="9"/>
        <v>0</v>
      </c>
      <c r="D174" s="39">
        <v>0</v>
      </c>
      <c r="E174" s="39">
        <v>0</v>
      </c>
      <c r="F174" s="39">
        <f t="shared" si="10"/>
        <v>0</v>
      </c>
      <c r="G174" s="39">
        <v>0</v>
      </c>
      <c r="H174" s="39"/>
      <c r="I174" s="39">
        <v>0</v>
      </c>
      <c r="J174" s="39">
        <v>0</v>
      </c>
      <c r="K174" s="39">
        <v>0</v>
      </c>
      <c r="L174" s="40">
        <f t="shared" si="11"/>
        <v>0</v>
      </c>
      <c r="M174" s="41">
        <v>0</v>
      </c>
      <c r="N174" s="41">
        <v>0</v>
      </c>
      <c r="O174" s="42" t="s">
        <v>868</v>
      </c>
      <c r="P174" s="42" t="s">
        <v>869</v>
      </c>
      <c r="Q174" s="42" t="s">
        <v>870</v>
      </c>
      <c r="R174" s="42" t="s">
        <v>871</v>
      </c>
      <c r="S174" s="42" t="s">
        <v>872</v>
      </c>
      <c r="T174" s="42"/>
    </row>
    <row r="175" spans="1:20" x14ac:dyDescent="0.3">
      <c r="A175" s="37"/>
      <c r="B175" s="37"/>
      <c r="C175" s="40">
        <f t="shared" si="9"/>
        <v>0</v>
      </c>
      <c r="D175" s="39">
        <v>0</v>
      </c>
      <c r="E175" s="39">
        <v>0</v>
      </c>
      <c r="F175" s="39">
        <f t="shared" si="10"/>
        <v>0</v>
      </c>
      <c r="G175" s="39">
        <v>0</v>
      </c>
      <c r="H175" s="39"/>
      <c r="I175" s="39">
        <v>0</v>
      </c>
      <c r="J175" s="39">
        <v>0</v>
      </c>
      <c r="K175" s="39">
        <v>0</v>
      </c>
      <c r="L175" s="40">
        <f t="shared" si="11"/>
        <v>0</v>
      </c>
      <c r="M175" s="41">
        <v>0</v>
      </c>
      <c r="N175" s="41">
        <v>0</v>
      </c>
      <c r="O175" s="42" t="s">
        <v>873</v>
      </c>
      <c r="P175" s="42" t="s">
        <v>874</v>
      </c>
      <c r="Q175" s="42" t="s">
        <v>875</v>
      </c>
      <c r="R175" s="42" t="s">
        <v>876</v>
      </c>
      <c r="S175" s="42" t="s">
        <v>877</v>
      </c>
      <c r="T175" s="42"/>
    </row>
    <row r="176" spans="1:20" x14ac:dyDescent="0.3">
      <c r="A176" s="37"/>
      <c r="B176" s="37"/>
      <c r="C176" s="40">
        <f t="shared" si="9"/>
        <v>0</v>
      </c>
      <c r="D176" s="39">
        <v>0</v>
      </c>
      <c r="E176" s="39">
        <v>0</v>
      </c>
      <c r="F176" s="39">
        <f t="shared" si="10"/>
        <v>0</v>
      </c>
      <c r="G176" s="39">
        <v>0</v>
      </c>
      <c r="H176" s="39"/>
      <c r="I176" s="39">
        <v>0</v>
      </c>
      <c r="J176" s="39">
        <v>0</v>
      </c>
      <c r="K176" s="39">
        <v>0</v>
      </c>
      <c r="L176" s="40">
        <f t="shared" si="11"/>
        <v>0</v>
      </c>
      <c r="M176" s="41">
        <v>0</v>
      </c>
      <c r="N176" s="41">
        <v>0</v>
      </c>
      <c r="O176" s="42" t="s">
        <v>878</v>
      </c>
      <c r="P176" s="42" t="s">
        <v>879</v>
      </c>
      <c r="Q176" s="42" t="s">
        <v>880</v>
      </c>
      <c r="R176" s="42" t="s">
        <v>881</v>
      </c>
      <c r="S176" s="42" t="s">
        <v>882</v>
      </c>
      <c r="T176" s="42"/>
    </row>
    <row r="177" spans="1:20" x14ac:dyDescent="0.3">
      <c r="A177" s="37"/>
      <c r="B177" s="37"/>
      <c r="C177" s="40">
        <f t="shared" si="9"/>
        <v>0</v>
      </c>
      <c r="D177" s="39">
        <v>0</v>
      </c>
      <c r="E177" s="39">
        <v>0</v>
      </c>
      <c r="F177" s="39">
        <f t="shared" si="10"/>
        <v>0</v>
      </c>
      <c r="G177" s="39">
        <v>0</v>
      </c>
      <c r="H177" s="39"/>
      <c r="I177" s="39">
        <v>0</v>
      </c>
      <c r="J177" s="39">
        <v>0</v>
      </c>
      <c r="K177" s="39">
        <v>0</v>
      </c>
      <c r="L177" s="40">
        <f t="shared" si="11"/>
        <v>0</v>
      </c>
      <c r="M177" s="41">
        <v>0</v>
      </c>
      <c r="N177" s="41">
        <v>0</v>
      </c>
      <c r="O177" s="42" t="s">
        <v>883</v>
      </c>
      <c r="P177" s="42" t="s">
        <v>884</v>
      </c>
      <c r="Q177" s="42" t="s">
        <v>885</v>
      </c>
      <c r="R177" s="42" t="s">
        <v>886</v>
      </c>
      <c r="S177" s="42" t="s">
        <v>887</v>
      </c>
      <c r="T177" s="42"/>
    </row>
    <row r="178" spans="1:20" x14ac:dyDescent="0.3">
      <c r="A178" s="37"/>
      <c r="B178" s="37"/>
      <c r="C178" s="40">
        <f t="shared" si="9"/>
        <v>0</v>
      </c>
      <c r="D178" s="39">
        <v>0</v>
      </c>
      <c r="E178" s="39">
        <v>0</v>
      </c>
      <c r="F178" s="39">
        <f t="shared" si="10"/>
        <v>0</v>
      </c>
      <c r="G178" s="39">
        <v>0</v>
      </c>
      <c r="H178" s="39"/>
      <c r="I178" s="39">
        <v>0</v>
      </c>
      <c r="J178" s="39">
        <v>0</v>
      </c>
      <c r="K178" s="39">
        <v>0</v>
      </c>
      <c r="L178" s="40">
        <f t="shared" si="11"/>
        <v>0</v>
      </c>
      <c r="M178" s="41">
        <v>0</v>
      </c>
      <c r="N178" s="41">
        <v>0</v>
      </c>
      <c r="O178" s="42" t="s">
        <v>888</v>
      </c>
      <c r="P178" s="42" t="s">
        <v>889</v>
      </c>
      <c r="Q178" s="42" t="s">
        <v>890</v>
      </c>
      <c r="R178" s="42" t="s">
        <v>891</v>
      </c>
      <c r="S178" s="42" t="s">
        <v>892</v>
      </c>
      <c r="T178" s="42"/>
    </row>
    <row r="179" spans="1:20" x14ac:dyDescent="0.3">
      <c r="A179" s="37"/>
      <c r="B179" s="37"/>
      <c r="C179" s="40">
        <f t="shared" si="9"/>
        <v>0</v>
      </c>
      <c r="D179" s="39">
        <v>0</v>
      </c>
      <c r="E179" s="39">
        <v>0</v>
      </c>
      <c r="F179" s="39">
        <f t="shared" si="10"/>
        <v>0</v>
      </c>
      <c r="G179" s="39">
        <v>0</v>
      </c>
      <c r="H179" s="39"/>
      <c r="I179" s="39">
        <v>0</v>
      </c>
      <c r="J179" s="39">
        <v>0</v>
      </c>
      <c r="K179" s="39">
        <v>0</v>
      </c>
      <c r="L179" s="40">
        <f t="shared" si="11"/>
        <v>0</v>
      </c>
      <c r="M179" s="41">
        <v>0</v>
      </c>
      <c r="N179" s="41">
        <v>0</v>
      </c>
      <c r="O179" s="42" t="s">
        <v>893</v>
      </c>
      <c r="P179" s="42" t="s">
        <v>894</v>
      </c>
      <c r="Q179" s="42" t="s">
        <v>895</v>
      </c>
      <c r="R179" s="42" t="s">
        <v>896</v>
      </c>
      <c r="S179" s="42" t="s">
        <v>897</v>
      </c>
      <c r="T179" s="42"/>
    </row>
    <row r="180" spans="1:20" x14ac:dyDescent="0.3">
      <c r="A180" s="37"/>
      <c r="B180" s="37"/>
      <c r="C180" s="40">
        <f t="shared" si="9"/>
        <v>0</v>
      </c>
      <c r="D180" s="39">
        <v>0</v>
      </c>
      <c r="E180" s="39">
        <v>0</v>
      </c>
      <c r="F180" s="39">
        <f t="shared" si="10"/>
        <v>0</v>
      </c>
      <c r="G180" s="39">
        <v>0</v>
      </c>
      <c r="H180" s="39"/>
      <c r="I180" s="39">
        <v>0</v>
      </c>
      <c r="J180" s="39">
        <v>0</v>
      </c>
      <c r="K180" s="39">
        <v>0</v>
      </c>
      <c r="L180" s="40">
        <f t="shared" si="11"/>
        <v>0</v>
      </c>
      <c r="M180" s="41">
        <v>0</v>
      </c>
      <c r="N180" s="41">
        <v>0</v>
      </c>
      <c r="O180" s="42" t="s">
        <v>898</v>
      </c>
      <c r="P180" s="42" t="s">
        <v>899</v>
      </c>
      <c r="Q180" s="42" t="s">
        <v>900</v>
      </c>
      <c r="R180" s="42" t="s">
        <v>901</v>
      </c>
      <c r="S180" s="42" t="s">
        <v>902</v>
      </c>
      <c r="T180" s="42"/>
    </row>
    <row r="181" spans="1:20" x14ac:dyDescent="0.3">
      <c r="A181" s="37"/>
      <c r="B181" s="37"/>
      <c r="C181" s="40">
        <f t="shared" si="9"/>
        <v>0</v>
      </c>
      <c r="D181" s="39">
        <v>0</v>
      </c>
      <c r="E181" s="39">
        <v>0</v>
      </c>
      <c r="F181" s="39">
        <f t="shared" si="10"/>
        <v>0</v>
      </c>
      <c r="G181" s="39">
        <v>0</v>
      </c>
      <c r="H181" s="39"/>
      <c r="I181" s="39">
        <v>0</v>
      </c>
      <c r="J181" s="39">
        <v>0</v>
      </c>
      <c r="K181" s="39">
        <v>0</v>
      </c>
      <c r="L181" s="40">
        <f t="shared" si="11"/>
        <v>0</v>
      </c>
      <c r="M181" s="41">
        <v>0</v>
      </c>
      <c r="N181" s="41">
        <v>0</v>
      </c>
      <c r="O181" s="42" t="s">
        <v>903</v>
      </c>
      <c r="P181" s="42" t="s">
        <v>904</v>
      </c>
      <c r="Q181" s="42" t="s">
        <v>905</v>
      </c>
      <c r="R181" s="42" t="s">
        <v>906</v>
      </c>
      <c r="S181" s="42" t="s">
        <v>907</v>
      </c>
      <c r="T181" s="42"/>
    </row>
    <row r="182" spans="1:20" x14ac:dyDescent="0.3">
      <c r="A182" s="37"/>
      <c r="B182" s="37"/>
      <c r="C182" s="40">
        <f t="shared" si="9"/>
        <v>0</v>
      </c>
      <c r="D182" s="39">
        <v>0</v>
      </c>
      <c r="E182" s="39">
        <v>0</v>
      </c>
      <c r="F182" s="39">
        <f t="shared" si="10"/>
        <v>0</v>
      </c>
      <c r="G182" s="39">
        <v>0</v>
      </c>
      <c r="H182" s="39"/>
      <c r="I182" s="39">
        <v>0</v>
      </c>
      <c r="J182" s="39">
        <v>0</v>
      </c>
      <c r="K182" s="39">
        <v>0</v>
      </c>
      <c r="L182" s="40">
        <f t="shared" si="11"/>
        <v>0</v>
      </c>
      <c r="M182" s="41">
        <v>0</v>
      </c>
      <c r="N182" s="41">
        <v>0</v>
      </c>
      <c r="O182" s="42" t="s">
        <v>908</v>
      </c>
      <c r="P182" s="42" t="s">
        <v>909</v>
      </c>
      <c r="Q182" s="42" t="s">
        <v>910</v>
      </c>
      <c r="R182" s="42" t="s">
        <v>911</v>
      </c>
      <c r="S182" s="42" t="s">
        <v>912</v>
      </c>
      <c r="T182" s="42"/>
    </row>
    <row r="183" spans="1:20" x14ac:dyDescent="0.3">
      <c r="A183" s="37"/>
      <c r="B183" s="37"/>
      <c r="C183" s="40">
        <f t="shared" si="9"/>
        <v>0</v>
      </c>
      <c r="D183" s="39">
        <v>0</v>
      </c>
      <c r="E183" s="39">
        <v>0</v>
      </c>
      <c r="F183" s="39">
        <f t="shared" si="10"/>
        <v>0</v>
      </c>
      <c r="G183" s="39">
        <v>0</v>
      </c>
      <c r="H183" s="39"/>
      <c r="I183" s="39">
        <v>0</v>
      </c>
      <c r="J183" s="39">
        <v>0</v>
      </c>
      <c r="K183" s="39">
        <v>0</v>
      </c>
      <c r="L183" s="40">
        <f t="shared" si="11"/>
        <v>0</v>
      </c>
      <c r="M183" s="41">
        <v>0</v>
      </c>
      <c r="N183" s="41">
        <v>0</v>
      </c>
      <c r="O183" s="42" t="s">
        <v>913</v>
      </c>
      <c r="P183" s="42" t="s">
        <v>914</v>
      </c>
      <c r="Q183" s="42" t="s">
        <v>915</v>
      </c>
      <c r="R183" s="42" t="s">
        <v>916</v>
      </c>
      <c r="S183" s="42" t="s">
        <v>917</v>
      </c>
      <c r="T183" s="42"/>
    </row>
    <row r="184" spans="1:20" x14ac:dyDescent="0.3">
      <c r="A184" s="37"/>
      <c r="B184" s="37"/>
      <c r="C184" s="40">
        <f t="shared" si="9"/>
        <v>0</v>
      </c>
      <c r="D184" s="39">
        <v>0</v>
      </c>
      <c r="E184" s="39">
        <v>0</v>
      </c>
      <c r="F184" s="39">
        <f t="shared" si="10"/>
        <v>0</v>
      </c>
      <c r="G184" s="39">
        <v>0</v>
      </c>
      <c r="H184" s="39"/>
      <c r="I184" s="39">
        <v>0</v>
      </c>
      <c r="J184" s="39">
        <v>0</v>
      </c>
      <c r="K184" s="39">
        <v>0</v>
      </c>
      <c r="L184" s="40">
        <f t="shared" si="11"/>
        <v>0</v>
      </c>
      <c r="M184" s="41">
        <v>0</v>
      </c>
      <c r="N184" s="41">
        <v>0</v>
      </c>
      <c r="O184" s="42" t="s">
        <v>918</v>
      </c>
      <c r="P184" s="42" t="s">
        <v>919</v>
      </c>
      <c r="Q184" s="42" t="s">
        <v>920</v>
      </c>
      <c r="R184" s="42" t="s">
        <v>921</v>
      </c>
      <c r="S184" s="42" t="s">
        <v>922</v>
      </c>
      <c r="T184" s="42"/>
    </row>
    <row r="185" spans="1:20" x14ac:dyDescent="0.3">
      <c r="A185" s="37"/>
      <c r="B185" s="37"/>
      <c r="C185" s="40">
        <f t="shared" si="9"/>
        <v>0</v>
      </c>
      <c r="D185" s="39">
        <v>0</v>
      </c>
      <c r="E185" s="39">
        <v>0</v>
      </c>
      <c r="F185" s="39">
        <f t="shared" si="10"/>
        <v>0</v>
      </c>
      <c r="G185" s="39">
        <v>0</v>
      </c>
      <c r="H185" s="39"/>
      <c r="I185" s="39">
        <v>0</v>
      </c>
      <c r="J185" s="39">
        <v>0</v>
      </c>
      <c r="K185" s="39">
        <v>0</v>
      </c>
      <c r="L185" s="40">
        <f t="shared" si="11"/>
        <v>0</v>
      </c>
      <c r="M185" s="41">
        <v>0</v>
      </c>
      <c r="N185" s="41">
        <v>0</v>
      </c>
      <c r="O185" s="42" t="s">
        <v>923</v>
      </c>
      <c r="P185" s="42" t="s">
        <v>924</v>
      </c>
      <c r="Q185" s="42" t="s">
        <v>925</v>
      </c>
      <c r="R185" s="42" t="s">
        <v>926</v>
      </c>
      <c r="S185" s="42" t="s">
        <v>927</v>
      </c>
      <c r="T185" s="42"/>
    </row>
    <row r="186" spans="1:20" x14ac:dyDescent="0.3">
      <c r="A186" s="37"/>
      <c r="B186" s="37"/>
      <c r="C186" s="40">
        <f t="shared" si="9"/>
        <v>0</v>
      </c>
      <c r="D186" s="39">
        <v>0</v>
      </c>
      <c r="E186" s="39">
        <v>0</v>
      </c>
      <c r="F186" s="39">
        <f t="shared" si="10"/>
        <v>0</v>
      </c>
      <c r="G186" s="39">
        <v>0</v>
      </c>
      <c r="H186" s="39"/>
      <c r="I186" s="39">
        <v>0</v>
      </c>
      <c r="J186" s="39">
        <v>0</v>
      </c>
      <c r="K186" s="39">
        <v>0</v>
      </c>
      <c r="L186" s="40">
        <f t="shared" si="11"/>
        <v>0</v>
      </c>
      <c r="M186" s="41">
        <v>0</v>
      </c>
      <c r="N186" s="41">
        <v>0</v>
      </c>
      <c r="O186" s="42" t="s">
        <v>928</v>
      </c>
      <c r="P186" s="42" t="s">
        <v>929</v>
      </c>
      <c r="Q186" s="42" t="s">
        <v>930</v>
      </c>
      <c r="R186" s="42" t="s">
        <v>931</v>
      </c>
      <c r="S186" s="42" t="s">
        <v>932</v>
      </c>
      <c r="T186" s="42"/>
    </row>
    <row r="187" spans="1:20" x14ac:dyDescent="0.3">
      <c r="A187" s="37"/>
      <c r="B187" s="37"/>
      <c r="C187" s="40">
        <f t="shared" si="9"/>
        <v>0</v>
      </c>
      <c r="D187" s="39">
        <v>0</v>
      </c>
      <c r="E187" s="39">
        <v>0</v>
      </c>
      <c r="F187" s="39">
        <f t="shared" si="10"/>
        <v>0</v>
      </c>
      <c r="G187" s="39">
        <v>0</v>
      </c>
      <c r="H187" s="39"/>
      <c r="I187" s="39">
        <v>0</v>
      </c>
      <c r="J187" s="39">
        <v>0</v>
      </c>
      <c r="K187" s="39">
        <v>0</v>
      </c>
      <c r="L187" s="40">
        <f t="shared" si="11"/>
        <v>0</v>
      </c>
      <c r="M187" s="41">
        <v>0</v>
      </c>
      <c r="N187" s="41">
        <v>0</v>
      </c>
      <c r="O187" s="42" t="s">
        <v>933</v>
      </c>
      <c r="P187" s="42" t="s">
        <v>934</v>
      </c>
      <c r="Q187" s="42" t="s">
        <v>935</v>
      </c>
      <c r="R187" s="42" t="s">
        <v>936</v>
      </c>
      <c r="S187" s="42" t="s">
        <v>937</v>
      </c>
      <c r="T187" s="42"/>
    </row>
    <row r="188" spans="1:20" x14ac:dyDescent="0.3">
      <c r="A188" s="37"/>
      <c r="B188" s="37"/>
      <c r="C188" s="40">
        <f t="shared" si="9"/>
        <v>0</v>
      </c>
      <c r="D188" s="39">
        <v>0</v>
      </c>
      <c r="E188" s="39">
        <v>0</v>
      </c>
      <c r="F188" s="39">
        <f t="shared" si="10"/>
        <v>0</v>
      </c>
      <c r="G188" s="39">
        <v>0</v>
      </c>
      <c r="H188" s="39"/>
      <c r="I188" s="39">
        <v>0</v>
      </c>
      <c r="J188" s="39">
        <v>0</v>
      </c>
      <c r="K188" s="39">
        <v>0</v>
      </c>
      <c r="L188" s="40">
        <f t="shared" si="11"/>
        <v>0</v>
      </c>
      <c r="M188" s="41">
        <v>0</v>
      </c>
      <c r="N188" s="41">
        <v>0</v>
      </c>
      <c r="O188" s="42" t="s">
        <v>938</v>
      </c>
      <c r="P188" s="42" t="s">
        <v>939</v>
      </c>
      <c r="Q188" s="42" t="s">
        <v>940</v>
      </c>
      <c r="R188" s="42" t="s">
        <v>941</v>
      </c>
      <c r="S188" s="42" t="s">
        <v>942</v>
      </c>
      <c r="T188" s="42"/>
    </row>
    <row r="189" spans="1:20" x14ac:dyDescent="0.3">
      <c r="A189" s="37"/>
      <c r="B189" s="37"/>
      <c r="C189" s="40">
        <f t="shared" si="9"/>
        <v>0</v>
      </c>
      <c r="D189" s="39">
        <v>0</v>
      </c>
      <c r="E189" s="39">
        <v>0</v>
      </c>
      <c r="F189" s="39">
        <f t="shared" si="10"/>
        <v>0</v>
      </c>
      <c r="G189" s="39">
        <v>0</v>
      </c>
      <c r="H189" s="39"/>
      <c r="I189" s="39">
        <v>0</v>
      </c>
      <c r="J189" s="39">
        <v>0</v>
      </c>
      <c r="K189" s="39">
        <v>0</v>
      </c>
      <c r="L189" s="40">
        <f t="shared" si="11"/>
        <v>0</v>
      </c>
      <c r="M189" s="41">
        <v>0</v>
      </c>
      <c r="N189" s="41">
        <v>0</v>
      </c>
      <c r="O189" s="42" t="s">
        <v>943</v>
      </c>
      <c r="P189" s="42" t="s">
        <v>944</v>
      </c>
      <c r="Q189" s="42" t="s">
        <v>945</v>
      </c>
      <c r="R189" s="42" t="s">
        <v>946</v>
      </c>
      <c r="S189" s="42" t="s">
        <v>947</v>
      </c>
      <c r="T189" s="42"/>
    </row>
    <row r="190" spans="1:20" x14ac:dyDescent="0.3">
      <c r="A190" s="37"/>
      <c r="B190" s="37"/>
      <c r="C190" s="40">
        <f t="shared" si="9"/>
        <v>0</v>
      </c>
      <c r="D190" s="39">
        <v>0</v>
      </c>
      <c r="E190" s="39">
        <v>0</v>
      </c>
      <c r="F190" s="39">
        <f t="shared" si="10"/>
        <v>0</v>
      </c>
      <c r="G190" s="39">
        <v>0</v>
      </c>
      <c r="H190" s="39"/>
      <c r="I190" s="39">
        <v>0</v>
      </c>
      <c r="J190" s="39">
        <v>0</v>
      </c>
      <c r="K190" s="39">
        <v>0</v>
      </c>
      <c r="L190" s="40">
        <f t="shared" si="11"/>
        <v>0</v>
      </c>
      <c r="M190" s="41">
        <v>0</v>
      </c>
      <c r="N190" s="41">
        <v>0</v>
      </c>
      <c r="O190" s="42" t="s">
        <v>948</v>
      </c>
      <c r="P190" s="42" t="s">
        <v>949</v>
      </c>
      <c r="Q190" s="42" t="s">
        <v>950</v>
      </c>
      <c r="R190" s="42" t="s">
        <v>951</v>
      </c>
      <c r="S190" s="42" t="s">
        <v>952</v>
      </c>
      <c r="T190" s="42"/>
    </row>
    <row r="191" spans="1:20" x14ac:dyDescent="0.3">
      <c r="A191" s="37"/>
      <c r="B191" s="37"/>
      <c r="C191" s="40">
        <f t="shared" si="9"/>
        <v>0</v>
      </c>
      <c r="D191" s="39">
        <v>0</v>
      </c>
      <c r="E191" s="39">
        <v>0</v>
      </c>
      <c r="F191" s="39">
        <f t="shared" si="10"/>
        <v>0</v>
      </c>
      <c r="G191" s="39">
        <v>0</v>
      </c>
      <c r="H191" s="39"/>
      <c r="I191" s="39">
        <v>0</v>
      </c>
      <c r="J191" s="39">
        <v>0</v>
      </c>
      <c r="K191" s="39">
        <v>0</v>
      </c>
      <c r="L191" s="40">
        <f t="shared" si="11"/>
        <v>0</v>
      </c>
      <c r="M191" s="41">
        <v>0</v>
      </c>
      <c r="N191" s="41">
        <v>0</v>
      </c>
      <c r="O191" s="42" t="s">
        <v>953</v>
      </c>
      <c r="P191" s="42" t="s">
        <v>954</v>
      </c>
      <c r="Q191" s="42" t="s">
        <v>955</v>
      </c>
      <c r="R191" s="42" t="s">
        <v>956</v>
      </c>
      <c r="S191" s="42" t="s">
        <v>957</v>
      </c>
      <c r="T191" s="42"/>
    </row>
    <row r="192" spans="1:20" x14ac:dyDescent="0.3">
      <c r="A192" s="37"/>
      <c r="B192" s="37"/>
      <c r="C192" s="40">
        <f t="shared" si="9"/>
        <v>0</v>
      </c>
      <c r="D192" s="39">
        <v>0</v>
      </c>
      <c r="E192" s="39">
        <v>0</v>
      </c>
      <c r="F192" s="39">
        <f t="shared" si="10"/>
        <v>0</v>
      </c>
      <c r="G192" s="39">
        <v>0</v>
      </c>
      <c r="H192" s="39"/>
      <c r="I192" s="39">
        <v>0</v>
      </c>
      <c r="J192" s="39">
        <v>0</v>
      </c>
      <c r="K192" s="39">
        <v>0</v>
      </c>
      <c r="L192" s="40">
        <f t="shared" si="11"/>
        <v>0</v>
      </c>
      <c r="M192" s="41">
        <v>0</v>
      </c>
      <c r="N192" s="41">
        <v>0</v>
      </c>
      <c r="O192" s="42" t="s">
        <v>958</v>
      </c>
      <c r="P192" s="42" t="s">
        <v>959</v>
      </c>
      <c r="Q192" s="42" t="s">
        <v>960</v>
      </c>
      <c r="R192" s="42" t="s">
        <v>961</v>
      </c>
      <c r="S192" s="42" t="s">
        <v>962</v>
      </c>
      <c r="T192" s="42"/>
    </row>
    <row r="193" spans="1:20" x14ac:dyDescent="0.3">
      <c r="A193" s="37"/>
      <c r="B193" s="37"/>
      <c r="C193" s="40">
        <f t="shared" si="9"/>
        <v>0</v>
      </c>
      <c r="D193" s="39">
        <v>0</v>
      </c>
      <c r="E193" s="39">
        <v>0</v>
      </c>
      <c r="F193" s="39">
        <f t="shared" si="10"/>
        <v>0</v>
      </c>
      <c r="G193" s="39">
        <v>0</v>
      </c>
      <c r="H193" s="39"/>
      <c r="I193" s="39">
        <v>0</v>
      </c>
      <c r="J193" s="39">
        <v>0</v>
      </c>
      <c r="K193" s="39">
        <v>0</v>
      </c>
      <c r="L193" s="40">
        <f t="shared" si="11"/>
        <v>0</v>
      </c>
      <c r="M193" s="41">
        <v>0</v>
      </c>
      <c r="N193" s="41">
        <v>0</v>
      </c>
      <c r="O193" s="42" t="s">
        <v>963</v>
      </c>
      <c r="P193" s="42" t="s">
        <v>964</v>
      </c>
      <c r="Q193" s="42" t="s">
        <v>965</v>
      </c>
      <c r="R193" s="42" t="s">
        <v>966</v>
      </c>
      <c r="S193" s="42" t="s">
        <v>967</v>
      </c>
      <c r="T193" s="42"/>
    </row>
    <row r="194" spans="1:20" x14ac:dyDescent="0.3">
      <c r="A194" s="37"/>
      <c r="B194" s="37"/>
      <c r="C194" s="40">
        <f t="shared" si="9"/>
        <v>0</v>
      </c>
      <c r="D194" s="39">
        <v>0</v>
      </c>
      <c r="E194" s="39">
        <v>0</v>
      </c>
      <c r="F194" s="39">
        <f t="shared" si="10"/>
        <v>0</v>
      </c>
      <c r="G194" s="39">
        <v>0</v>
      </c>
      <c r="H194" s="39"/>
      <c r="I194" s="39">
        <v>0</v>
      </c>
      <c r="J194" s="39">
        <v>0</v>
      </c>
      <c r="K194" s="39">
        <v>0</v>
      </c>
      <c r="L194" s="40">
        <f t="shared" si="11"/>
        <v>0</v>
      </c>
      <c r="M194" s="41">
        <v>0</v>
      </c>
      <c r="N194" s="41">
        <v>0</v>
      </c>
      <c r="O194" s="42" t="s">
        <v>968</v>
      </c>
      <c r="P194" s="42" t="s">
        <v>969</v>
      </c>
      <c r="Q194" s="42" t="s">
        <v>970</v>
      </c>
      <c r="R194" s="42" t="s">
        <v>971</v>
      </c>
      <c r="S194" s="42" t="s">
        <v>972</v>
      </c>
      <c r="T194" s="42"/>
    </row>
    <row r="195" spans="1:20" x14ac:dyDescent="0.3">
      <c r="A195" s="37"/>
      <c r="B195" s="37"/>
      <c r="C195" s="40">
        <f t="shared" si="9"/>
        <v>0</v>
      </c>
      <c r="D195" s="39">
        <v>0</v>
      </c>
      <c r="E195" s="39">
        <v>0</v>
      </c>
      <c r="F195" s="39">
        <f t="shared" si="10"/>
        <v>0</v>
      </c>
      <c r="G195" s="39">
        <v>0</v>
      </c>
      <c r="H195" s="39"/>
      <c r="I195" s="39">
        <v>0</v>
      </c>
      <c r="J195" s="39">
        <v>0</v>
      </c>
      <c r="K195" s="39">
        <v>0</v>
      </c>
      <c r="L195" s="40">
        <f t="shared" si="11"/>
        <v>0</v>
      </c>
      <c r="M195" s="41">
        <v>0</v>
      </c>
      <c r="N195" s="41">
        <v>0</v>
      </c>
      <c r="O195" s="42" t="s">
        <v>973</v>
      </c>
      <c r="P195" s="42" t="s">
        <v>974</v>
      </c>
      <c r="Q195" s="42" t="s">
        <v>975</v>
      </c>
      <c r="R195" s="42" t="s">
        <v>976</v>
      </c>
      <c r="S195" s="42" t="s">
        <v>977</v>
      </c>
      <c r="T195" s="42"/>
    </row>
    <row r="196" spans="1:20" x14ac:dyDescent="0.3">
      <c r="A196" s="37"/>
      <c r="B196" s="37"/>
      <c r="C196" s="40">
        <f t="shared" si="9"/>
        <v>0</v>
      </c>
      <c r="D196" s="39">
        <v>0</v>
      </c>
      <c r="E196" s="39">
        <v>0</v>
      </c>
      <c r="F196" s="39">
        <f t="shared" si="10"/>
        <v>0</v>
      </c>
      <c r="G196" s="39">
        <v>0</v>
      </c>
      <c r="H196" s="39"/>
      <c r="I196" s="39">
        <v>0</v>
      </c>
      <c r="J196" s="39">
        <v>0</v>
      </c>
      <c r="K196" s="39">
        <v>0</v>
      </c>
      <c r="L196" s="40">
        <f t="shared" si="11"/>
        <v>0</v>
      </c>
      <c r="M196" s="41">
        <v>0</v>
      </c>
      <c r="N196" s="41">
        <v>0</v>
      </c>
      <c r="O196" s="42" t="s">
        <v>978</v>
      </c>
      <c r="P196" s="42" t="s">
        <v>979</v>
      </c>
      <c r="Q196" s="42" t="s">
        <v>980</v>
      </c>
      <c r="R196" s="42" t="s">
        <v>981</v>
      </c>
      <c r="S196" s="42" t="s">
        <v>982</v>
      </c>
      <c r="T196" s="42"/>
    </row>
    <row r="197" spans="1:20" x14ac:dyDescent="0.3">
      <c r="A197" s="37"/>
      <c r="B197" s="37"/>
      <c r="C197" s="40">
        <f t="shared" si="9"/>
        <v>0</v>
      </c>
      <c r="D197" s="39">
        <v>0</v>
      </c>
      <c r="E197" s="39">
        <v>0</v>
      </c>
      <c r="F197" s="39">
        <f t="shared" si="10"/>
        <v>0</v>
      </c>
      <c r="G197" s="39">
        <v>0</v>
      </c>
      <c r="H197" s="39"/>
      <c r="I197" s="39">
        <v>0</v>
      </c>
      <c r="J197" s="39">
        <v>0</v>
      </c>
      <c r="K197" s="39">
        <v>0</v>
      </c>
      <c r="L197" s="40">
        <f t="shared" si="11"/>
        <v>0</v>
      </c>
      <c r="M197" s="41">
        <v>0</v>
      </c>
      <c r="N197" s="41">
        <v>0</v>
      </c>
      <c r="O197" s="42" t="s">
        <v>983</v>
      </c>
      <c r="P197" s="42" t="s">
        <v>984</v>
      </c>
      <c r="Q197" s="42" t="s">
        <v>985</v>
      </c>
      <c r="R197" s="42" t="s">
        <v>986</v>
      </c>
      <c r="S197" s="42" t="s">
        <v>987</v>
      </c>
      <c r="T197" s="42"/>
    </row>
    <row r="198" spans="1:20" x14ac:dyDescent="0.3">
      <c r="A198" s="37"/>
      <c r="B198" s="37"/>
      <c r="C198" s="40">
        <f t="shared" si="9"/>
        <v>0</v>
      </c>
      <c r="D198" s="39">
        <v>0</v>
      </c>
      <c r="E198" s="39">
        <v>0</v>
      </c>
      <c r="F198" s="39">
        <f t="shared" si="10"/>
        <v>0</v>
      </c>
      <c r="G198" s="39">
        <v>0</v>
      </c>
      <c r="H198" s="39"/>
      <c r="I198" s="39">
        <v>0</v>
      </c>
      <c r="J198" s="39">
        <v>0</v>
      </c>
      <c r="K198" s="39">
        <v>0</v>
      </c>
      <c r="L198" s="40">
        <f t="shared" si="11"/>
        <v>0</v>
      </c>
      <c r="M198" s="41">
        <v>0</v>
      </c>
      <c r="N198" s="41">
        <v>0</v>
      </c>
      <c r="O198" s="42" t="s">
        <v>988</v>
      </c>
      <c r="P198" s="42" t="s">
        <v>989</v>
      </c>
      <c r="Q198" s="42" t="s">
        <v>990</v>
      </c>
      <c r="R198" s="42" t="s">
        <v>991</v>
      </c>
      <c r="S198" s="42" t="s">
        <v>992</v>
      </c>
      <c r="T198" s="42"/>
    </row>
    <row r="199" spans="1:20" x14ac:dyDescent="0.3">
      <c r="A199" s="37"/>
      <c r="B199" s="37"/>
      <c r="C199" s="40">
        <f t="shared" si="9"/>
        <v>0</v>
      </c>
      <c r="D199" s="39">
        <v>0</v>
      </c>
      <c r="E199" s="39">
        <v>0</v>
      </c>
      <c r="F199" s="39">
        <f t="shared" si="10"/>
        <v>0</v>
      </c>
      <c r="G199" s="39">
        <v>0</v>
      </c>
      <c r="H199" s="39"/>
      <c r="I199" s="39">
        <v>0</v>
      </c>
      <c r="J199" s="39">
        <v>0</v>
      </c>
      <c r="K199" s="39">
        <v>0</v>
      </c>
      <c r="L199" s="40">
        <f t="shared" si="11"/>
        <v>0</v>
      </c>
      <c r="M199" s="41">
        <v>0</v>
      </c>
      <c r="N199" s="41">
        <v>0</v>
      </c>
      <c r="O199" s="42" t="s">
        <v>993</v>
      </c>
      <c r="P199" s="42" t="s">
        <v>994</v>
      </c>
      <c r="Q199" s="42" t="s">
        <v>995</v>
      </c>
      <c r="R199" s="42" t="s">
        <v>996</v>
      </c>
      <c r="S199" s="42" t="s">
        <v>997</v>
      </c>
      <c r="T199" s="42"/>
    </row>
    <row r="200" spans="1:20" x14ac:dyDescent="0.3">
      <c r="A200" s="37"/>
      <c r="B200" s="37"/>
      <c r="C200" s="40">
        <f t="shared" si="9"/>
        <v>0</v>
      </c>
      <c r="D200" s="39">
        <v>0</v>
      </c>
      <c r="E200" s="39">
        <v>0</v>
      </c>
      <c r="F200" s="39">
        <f t="shared" si="10"/>
        <v>0</v>
      </c>
      <c r="G200" s="39">
        <v>0</v>
      </c>
      <c r="H200" s="39"/>
      <c r="I200" s="39">
        <v>0</v>
      </c>
      <c r="J200" s="39">
        <v>0</v>
      </c>
      <c r="K200" s="39">
        <v>0</v>
      </c>
      <c r="L200" s="40">
        <f t="shared" si="11"/>
        <v>0</v>
      </c>
      <c r="M200" s="41">
        <v>0</v>
      </c>
      <c r="N200" s="41">
        <v>0</v>
      </c>
      <c r="O200" s="42" t="s">
        <v>998</v>
      </c>
      <c r="P200" s="42" t="s">
        <v>999</v>
      </c>
      <c r="Q200" s="42" t="s">
        <v>1000</v>
      </c>
      <c r="R200" s="42" t="s">
        <v>1001</v>
      </c>
      <c r="S200" s="42" t="s">
        <v>1002</v>
      </c>
      <c r="T200" s="42"/>
    </row>
    <row r="201" spans="1:20" x14ac:dyDescent="0.3">
      <c r="A201" s="37"/>
      <c r="B201" s="37"/>
      <c r="C201" s="40">
        <f t="shared" si="9"/>
        <v>0</v>
      </c>
      <c r="D201" s="39">
        <v>0</v>
      </c>
      <c r="E201" s="39">
        <v>0</v>
      </c>
      <c r="F201" s="39">
        <f t="shared" si="10"/>
        <v>0</v>
      </c>
      <c r="G201" s="39">
        <v>0</v>
      </c>
      <c r="H201" s="39"/>
      <c r="I201" s="39">
        <v>0</v>
      </c>
      <c r="J201" s="39">
        <v>0</v>
      </c>
      <c r="K201" s="39">
        <v>0</v>
      </c>
      <c r="L201" s="40">
        <f t="shared" si="11"/>
        <v>0</v>
      </c>
      <c r="M201" s="41">
        <v>0</v>
      </c>
      <c r="N201" s="41">
        <v>0</v>
      </c>
      <c r="O201" s="42" t="s">
        <v>1012</v>
      </c>
      <c r="P201" s="42" t="s">
        <v>1013</v>
      </c>
      <c r="Q201" s="42" t="s">
        <v>1014</v>
      </c>
      <c r="R201" s="42" t="s">
        <v>1015</v>
      </c>
      <c r="S201" s="42" t="s">
        <v>1016</v>
      </c>
      <c r="T201" s="42"/>
    </row>
    <row r="202" spans="1:20" x14ac:dyDescent="0.3">
      <c r="A202" s="37"/>
      <c r="B202" s="37"/>
      <c r="C202" s="40">
        <f t="shared" si="9"/>
        <v>0</v>
      </c>
      <c r="D202" s="39">
        <v>0</v>
      </c>
      <c r="E202" s="39">
        <v>0</v>
      </c>
      <c r="F202" s="39">
        <f t="shared" si="10"/>
        <v>0</v>
      </c>
      <c r="G202" s="39">
        <v>0</v>
      </c>
      <c r="H202" s="39"/>
      <c r="I202" s="39">
        <v>0</v>
      </c>
      <c r="J202" s="39">
        <v>0</v>
      </c>
      <c r="K202" s="39">
        <v>0</v>
      </c>
      <c r="L202" s="40">
        <f t="shared" si="11"/>
        <v>0</v>
      </c>
      <c r="M202" s="41">
        <v>0</v>
      </c>
      <c r="N202" s="41">
        <v>0</v>
      </c>
      <c r="O202" s="42" t="s">
        <v>1017</v>
      </c>
      <c r="P202" s="42" t="s">
        <v>1018</v>
      </c>
      <c r="Q202" s="42" t="s">
        <v>1019</v>
      </c>
      <c r="R202" s="42" t="s">
        <v>1020</v>
      </c>
      <c r="S202" s="42" t="s">
        <v>1021</v>
      </c>
      <c r="T202" s="42"/>
    </row>
    <row r="203" spans="1:20" x14ac:dyDescent="0.3">
      <c r="A203" s="37"/>
      <c r="B203" s="37"/>
      <c r="C203" s="40">
        <f t="shared" si="9"/>
        <v>0</v>
      </c>
      <c r="D203" s="39">
        <v>0</v>
      </c>
      <c r="E203" s="39">
        <v>0</v>
      </c>
      <c r="F203" s="39">
        <f t="shared" si="10"/>
        <v>0</v>
      </c>
      <c r="G203" s="39">
        <v>0</v>
      </c>
      <c r="H203" s="39"/>
      <c r="I203" s="39">
        <v>0</v>
      </c>
      <c r="J203" s="39">
        <v>0</v>
      </c>
      <c r="K203" s="39">
        <v>0</v>
      </c>
      <c r="L203" s="40">
        <f t="shared" si="11"/>
        <v>0</v>
      </c>
      <c r="M203" s="41">
        <v>0</v>
      </c>
      <c r="N203" s="41">
        <v>0</v>
      </c>
      <c r="O203" s="42" t="s">
        <v>1022</v>
      </c>
      <c r="P203" s="42" t="s">
        <v>1023</v>
      </c>
      <c r="Q203" s="42" t="s">
        <v>1024</v>
      </c>
      <c r="R203" s="42" t="s">
        <v>1025</v>
      </c>
      <c r="S203" s="42" t="s">
        <v>1026</v>
      </c>
      <c r="T203" s="42"/>
    </row>
    <row r="204" spans="1:20" x14ac:dyDescent="0.3">
      <c r="A204" s="37"/>
      <c r="B204" s="37"/>
      <c r="C204" s="40">
        <f t="shared" si="9"/>
        <v>0</v>
      </c>
      <c r="D204" s="39">
        <v>0</v>
      </c>
      <c r="E204" s="39">
        <v>0</v>
      </c>
      <c r="F204" s="39">
        <f t="shared" si="10"/>
        <v>0</v>
      </c>
      <c r="G204" s="39">
        <v>0</v>
      </c>
      <c r="H204" s="39"/>
      <c r="I204" s="39">
        <v>0</v>
      </c>
      <c r="J204" s="39">
        <v>0</v>
      </c>
      <c r="K204" s="39">
        <v>0</v>
      </c>
      <c r="L204" s="40">
        <f t="shared" si="11"/>
        <v>0</v>
      </c>
      <c r="M204" s="41">
        <v>0</v>
      </c>
      <c r="N204" s="41">
        <v>0</v>
      </c>
      <c r="O204" s="42" t="s">
        <v>1027</v>
      </c>
      <c r="P204" s="42" t="s">
        <v>1028</v>
      </c>
      <c r="Q204" s="42" t="s">
        <v>1029</v>
      </c>
      <c r="R204" s="42" t="s">
        <v>1030</v>
      </c>
      <c r="S204" s="42" t="s">
        <v>1031</v>
      </c>
      <c r="T204" s="42"/>
    </row>
    <row r="205" spans="1:20" x14ac:dyDescent="0.3">
      <c r="A205" s="37"/>
      <c r="B205" s="37"/>
      <c r="C205" s="40">
        <f t="shared" si="9"/>
        <v>0</v>
      </c>
      <c r="D205" s="39">
        <v>0</v>
      </c>
      <c r="E205" s="39">
        <v>0</v>
      </c>
      <c r="F205" s="39">
        <f t="shared" si="10"/>
        <v>0</v>
      </c>
      <c r="G205" s="39">
        <v>0</v>
      </c>
      <c r="H205" s="39"/>
      <c r="I205" s="39">
        <v>0</v>
      </c>
      <c r="J205" s="39">
        <v>0</v>
      </c>
      <c r="K205" s="39">
        <v>0</v>
      </c>
      <c r="L205" s="40">
        <f t="shared" si="11"/>
        <v>0</v>
      </c>
      <c r="M205" s="41">
        <v>0</v>
      </c>
      <c r="N205" s="41">
        <v>0</v>
      </c>
      <c r="O205" s="42" t="s">
        <v>1032</v>
      </c>
      <c r="P205" s="42" t="s">
        <v>1033</v>
      </c>
      <c r="Q205" s="42" t="s">
        <v>1034</v>
      </c>
      <c r="R205" s="42" t="s">
        <v>1035</v>
      </c>
      <c r="S205" s="42" t="s">
        <v>1036</v>
      </c>
      <c r="T205" s="42"/>
    </row>
    <row r="206" spans="1:20" x14ac:dyDescent="0.3">
      <c r="A206" s="37"/>
      <c r="B206" s="37"/>
      <c r="C206" s="40">
        <f t="shared" si="9"/>
        <v>0</v>
      </c>
      <c r="D206" s="39">
        <v>0</v>
      </c>
      <c r="E206" s="39">
        <v>0</v>
      </c>
      <c r="F206" s="39">
        <f t="shared" si="10"/>
        <v>0</v>
      </c>
      <c r="G206" s="39">
        <v>0</v>
      </c>
      <c r="H206" s="39"/>
      <c r="I206" s="39">
        <v>0</v>
      </c>
      <c r="J206" s="39">
        <v>0</v>
      </c>
      <c r="K206" s="39">
        <v>0</v>
      </c>
      <c r="L206" s="40">
        <f t="shared" si="11"/>
        <v>0</v>
      </c>
      <c r="M206" s="41">
        <v>0</v>
      </c>
      <c r="N206" s="41">
        <v>0</v>
      </c>
      <c r="O206" s="42" t="s">
        <v>1037</v>
      </c>
      <c r="P206" s="42" t="s">
        <v>1038</v>
      </c>
      <c r="Q206" s="42" t="s">
        <v>1039</v>
      </c>
      <c r="R206" s="42" t="s">
        <v>1040</v>
      </c>
      <c r="S206" s="42" t="s">
        <v>1041</v>
      </c>
      <c r="T206" s="42"/>
    </row>
    <row r="207" spans="1:20" x14ac:dyDescent="0.3">
      <c r="A207" s="37"/>
      <c r="B207" s="37"/>
      <c r="C207" s="40">
        <f t="shared" si="9"/>
        <v>0</v>
      </c>
      <c r="D207" s="39">
        <v>0</v>
      </c>
      <c r="E207" s="39">
        <v>0</v>
      </c>
      <c r="F207" s="39">
        <f t="shared" si="10"/>
        <v>0</v>
      </c>
      <c r="G207" s="39">
        <v>0</v>
      </c>
      <c r="H207" s="39"/>
      <c r="I207" s="39">
        <v>0</v>
      </c>
      <c r="J207" s="39">
        <v>0</v>
      </c>
      <c r="K207" s="39">
        <v>0</v>
      </c>
      <c r="L207" s="40">
        <f t="shared" si="11"/>
        <v>0</v>
      </c>
      <c r="M207" s="41">
        <v>0</v>
      </c>
      <c r="N207" s="41">
        <v>0</v>
      </c>
      <c r="O207" s="42" t="s">
        <v>1042</v>
      </c>
      <c r="P207" s="42" t="s">
        <v>1043</v>
      </c>
      <c r="Q207" s="42" t="s">
        <v>1044</v>
      </c>
      <c r="R207" s="42" t="s">
        <v>1045</v>
      </c>
      <c r="S207" s="42" t="s">
        <v>1046</v>
      </c>
      <c r="T207" s="42"/>
    </row>
    <row r="208" spans="1:20" x14ac:dyDescent="0.3">
      <c r="A208" s="37"/>
      <c r="B208" s="37"/>
      <c r="C208" s="40">
        <f t="shared" si="9"/>
        <v>0</v>
      </c>
      <c r="D208" s="39">
        <v>0</v>
      </c>
      <c r="E208" s="39">
        <v>0</v>
      </c>
      <c r="F208" s="39">
        <f t="shared" si="10"/>
        <v>0</v>
      </c>
      <c r="G208" s="39">
        <v>0</v>
      </c>
      <c r="H208" s="39"/>
      <c r="I208" s="39">
        <v>0</v>
      </c>
      <c r="J208" s="39">
        <v>0</v>
      </c>
      <c r="K208" s="39">
        <v>0</v>
      </c>
      <c r="L208" s="40">
        <f t="shared" si="11"/>
        <v>0</v>
      </c>
      <c r="M208" s="41">
        <v>0</v>
      </c>
      <c r="N208" s="41">
        <v>0</v>
      </c>
      <c r="O208" s="42" t="s">
        <v>1047</v>
      </c>
      <c r="P208" s="42" t="s">
        <v>1048</v>
      </c>
      <c r="Q208" s="42" t="s">
        <v>1049</v>
      </c>
      <c r="R208" s="42" t="s">
        <v>1050</v>
      </c>
      <c r="S208" s="42" t="s">
        <v>1051</v>
      </c>
      <c r="T208" s="42"/>
    </row>
    <row r="209" spans="1:20" x14ac:dyDescent="0.3">
      <c r="A209" s="37"/>
      <c r="B209" s="37"/>
      <c r="C209" s="40">
        <f t="shared" si="9"/>
        <v>0</v>
      </c>
      <c r="D209" s="39">
        <v>0</v>
      </c>
      <c r="E209" s="39">
        <v>0</v>
      </c>
      <c r="F209" s="39">
        <f t="shared" si="10"/>
        <v>0</v>
      </c>
      <c r="G209" s="39">
        <v>0</v>
      </c>
      <c r="H209" s="39"/>
      <c r="I209" s="39">
        <v>0</v>
      </c>
      <c r="J209" s="39">
        <v>0</v>
      </c>
      <c r="K209" s="39">
        <v>0</v>
      </c>
      <c r="L209" s="40">
        <f t="shared" si="11"/>
        <v>0</v>
      </c>
      <c r="M209" s="41">
        <v>0</v>
      </c>
      <c r="N209" s="41">
        <v>0</v>
      </c>
      <c r="O209" s="42" t="s">
        <v>1052</v>
      </c>
      <c r="P209" s="42" t="s">
        <v>1053</v>
      </c>
      <c r="Q209" s="42" t="s">
        <v>1054</v>
      </c>
      <c r="R209" s="42" t="s">
        <v>1055</v>
      </c>
      <c r="S209" s="42" t="s">
        <v>1056</v>
      </c>
      <c r="T209" s="42"/>
    </row>
    <row r="210" spans="1:20" x14ac:dyDescent="0.3">
      <c r="A210" s="37"/>
      <c r="B210" s="37"/>
      <c r="C210" s="40">
        <f t="shared" si="9"/>
        <v>0</v>
      </c>
      <c r="D210" s="39">
        <v>0</v>
      </c>
      <c r="E210" s="39">
        <v>0</v>
      </c>
      <c r="F210" s="39">
        <f t="shared" si="10"/>
        <v>0</v>
      </c>
      <c r="G210" s="39">
        <v>0</v>
      </c>
      <c r="H210" s="39"/>
      <c r="I210" s="39">
        <v>0</v>
      </c>
      <c r="J210" s="39">
        <v>0</v>
      </c>
      <c r="K210" s="39">
        <v>0</v>
      </c>
      <c r="L210" s="40">
        <f t="shared" si="11"/>
        <v>0</v>
      </c>
      <c r="M210" s="41">
        <v>0</v>
      </c>
      <c r="N210" s="41">
        <v>0</v>
      </c>
      <c r="O210" s="42" t="s">
        <v>1057</v>
      </c>
      <c r="P210" s="42" t="s">
        <v>1058</v>
      </c>
      <c r="Q210" s="42" t="s">
        <v>1059</v>
      </c>
      <c r="R210" s="42" t="s">
        <v>1060</v>
      </c>
      <c r="S210" s="42" t="s">
        <v>1061</v>
      </c>
      <c r="T210" s="42"/>
    </row>
    <row r="211" spans="1:20" x14ac:dyDescent="0.3">
      <c r="A211" s="37"/>
      <c r="B211" s="37"/>
      <c r="C211" s="40">
        <f t="shared" si="9"/>
        <v>0</v>
      </c>
      <c r="D211" s="39">
        <v>0</v>
      </c>
      <c r="E211" s="39">
        <v>0</v>
      </c>
      <c r="F211" s="39">
        <f t="shared" si="10"/>
        <v>0</v>
      </c>
      <c r="G211" s="39">
        <v>0</v>
      </c>
      <c r="H211" s="39"/>
      <c r="I211" s="39">
        <v>0</v>
      </c>
      <c r="J211" s="39">
        <v>0</v>
      </c>
      <c r="K211" s="39">
        <v>0</v>
      </c>
      <c r="L211" s="40">
        <f t="shared" si="11"/>
        <v>0</v>
      </c>
      <c r="M211" s="41">
        <v>0</v>
      </c>
      <c r="N211" s="41">
        <v>0</v>
      </c>
      <c r="O211" s="42" t="s">
        <v>1062</v>
      </c>
      <c r="P211" s="42" t="s">
        <v>1063</v>
      </c>
      <c r="Q211" s="42" t="s">
        <v>1064</v>
      </c>
      <c r="R211" s="42" t="s">
        <v>1065</v>
      </c>
      <c r="S211" s="42" t="s">
        <v>1066</v>
      </c>
      <c r="T211" s="42"/>
    </row>
    <row r="212" spans="1:20" x14ac:dyDescent="0.3">
      <c r="A212" s="37"/>
      <c r="B212" s="37"/>
      <c r="C212" s="40">
        <f t="shared" si="9"/>
        <v>0</v>
      </c>
      <c r="D212" s="39">
        <v>0</v>
      </c>
      <c r="E212" s="39">
        <v>0</v>
      </c>
      <c r="F212" s="39">
        <f t="shared" si="10"/>
        <v>0</v>
      </c>
      <c r="G212" s="39">
        <v>0</v>
      </c>
      <c r="H212" s="39"/>
      <c r="I212" s="39">
        <v>0</v>
      </c>
      <c r="J212" s="39">
        <v>0</v>
      </c>
      <c r="K212" s="39">
        <v>0</v>
      </c>
      <c r="L212" s="40">
        <f t="shared" si="11"/>
        <v>0</v>
      </c>
      <c r="M212" s="41">
        <v>0</v>
      </c>
      <c r="N212" s="41">
        <v>0</v>
      </c>
      <c r="O212" s="42" t="s">
        <v>1067</v>
      </c>
      <c r="P212" s="42" t="s">
        <v>1068</v>
      </c>
      <c r="Q212" s="42" t="s">
        <v>1069</v>
      </c>
      <c r="R212" s="42" t="s">
        <v>1070</v>
      </c>
      <c r="S212" s="42" t="s">
        <v>1071</v>
      </c>
      <c r="T212" s="42"/>
    </row>
    <row r="213" spans="1:20" x14ac:dyDescent="0.3">
      <c r="A213" s="37"/>
      <c r="B213" s="37"/>
      <c r="C213" s="40">
        <f t="shared" si="9"/>
        <v>0</v>
      </c>
      <c r="D213" s="39">
        <v>0</v>
      </c>
      <c r="E213" s="39">
        <v>0</v>
      </c>
      <c r="F213" s="39">
        <f t="shared" si="10"/>
        <v>0</v>
      </c>
      <c r="G213" s="39">
        <v>0</v>
      </c>
      <c r="H213" s="39"/>
      <c r="I213" s="39">
        <v>0</v>
      </c>
      <c r="J213" s="39">
        <v>0</v>
      </c>
      <c r="K213" s="39">
        <v>0</v>
      </c>
      <c r="L213" s="40">
        <f t="shared" si="11"/>
        <v>0</v>
      </c>
      <c r="M213" s="41">
        <v>0</v>
      </c>
      <c r="N213" s="41">
        <v>0</v>
      </c>
      <c r="O213" s="42" t="s">
        <v>1072</v>
      </c>
      <c r="P213" s="42" t="s">
        <v>1073</v>
      </c>
      <c r="Q213" s="42" t="s">
        <v>1074</v>
      </c>
      <c r="R213" s="42" t="s">
        <v>1075</v>
      </c>
      <c r="S213" s="42" t="s">
        <v>1076</v>
      </c>
      <c r="T213" s="42"/>
    </row>
    <row r="214" spans="1:20" x14ac:dyDescent="0.3">
      <c r="A214" s="37"/>
      <c r="B214" s="37"/>
      <c r="C214" s="40">
        <f t="shared" si="9"/>
        <v>0</v>
      </c>
      <c r="D214" s="39">
        <v>0</v>
      </c>
      <c r="E214" s="39">
        <v>0</v>
      </c>
      <c r="F214" s="39">
        <f t="shared" si="10"/>
        <v>0</v>
      </c>
      <c r="G214" s="39">
        <v>0</v>
      </c>
      <c r="H214" s="39"/>
      <c r="I214" s="39">
        <v>0</v>
      </c>
      <c r="J214" s="39">
        <v>0</v>
      </c>
      <c r="K214" s="39">
        <v>0</v>
      </c>
      <c r="L214" s="40">
        <f t="shared" si="11"/>
        <v>0</v>
      </c>
      <c r="M214" s="41">
        <v>0</v>
      </c>
      <c r="N214" s="41">
        <v>0</v>
      </c>
      <c r="O214" s="42" t="s">
        <v>1077</v>
      </c>
      <c r="P214" s="42" t="s">
        <v>1078</v>
      </c>
      <c r="Q214" s="42" t="s">
        <v>1079</v>
      </c>
      <c r="R214" s="42" t="s">
        <v>1080</v>
      </c>
      <c r="S214" s="42" t="s">
        <v>1081</v>
      </c>
      <c r="T214" s="42"/>
    </row>
    <row r="215" spans="1:20" x14ac:dyDescent="0.3">
      <c r="A215" s="37"/>
      <c r="B215" s="37"/>
      <c r="C215" s="40">
        <f t="shared" si="9"/>
        <v>0</v>
      </c>
      <c r="D215" s="39">
        <v>0</v>
      </c>
      <c r="E215" s="39">
        <v>0</v>
      </c>
      <c r="F215" s="39">
        <f t="shared" si="10"/>
        <v>0</v>
      </c>
      <c r="G215" s="39">
        <v>0</v>
      </c>
      <c r="H215" s="39"/>
      <c r="I215" s="39">
        <v>0</v>
      </c>
      <c r="J215" s="39">
        <v>0</v>
      </c>
      <c r="K215" s="39">
        <v>0</v>
      </c>
      <c r="L215" s="40">
        <f t="shared" si="11"/>
        <v>0</v>
      </c>
      <c r="M215" s="41">
        <v>0</v>
      </c>
      <c r="N215" s="41">
        <v>0</v>
      </c>
      <c r="O215" s="42" t="s">
        <v>1082</v>
      </c>
      <c r="P215" s="42" t="s">
        <v>1083</v>
      </c>
      <c r="Q215" s="42" t="s">
        <v>1084</v>
      </c>
      <c r="R215" s="42" t="s">
        <v>1085</v>
      </c>
      <c r="S215" s="42" t="s">
        <v>1086</v>
      </c>
      <c r="T215" s="42"/>
    </row>
    <row r="216" spans="1:20" x14ac:dyDescent="0.3">
      <c r="A216" s="37"/>
      <c r="B216" s="37"/>
      <c r="C216" s="40">
        <f t="shared" si="9"/>
        <v>0</v>
      </c>
      <c r="D216" s="39">
        <v>0</v>
      </c>
      <c r="E216" s="39">
        <v>0</v>
      </c>
      <c r="F216" s="39">
        <f t="shared" si="10"/>
        <v>0</v>
      </c>
      <c r="G216" s="39">
        <v>0</v>
      </c>
      <c r="H216" s="39"/>
      <c r="I216" s="39">
        <v>0</v>
      </c>
      <c r="J216" s="39">
        <v>0</v>
      </c>
      <c r="K216" s="39">
        <v>0</v>
      </c>
      <c r="L216" s="40">
        <f t="shared" si="11"/>
        <v>0</v>
      </c>
      <c r="M216" s="41">
        <v>0</v>
      </c>
      <c r="N216" s="41">
        <v>0</v>
      </c>
      <c r="O216" s="42" t="s">
        <v>1087</v>
      </c>
      <c r="P216" s="42" t="s">
        <v>1088</v>
      </c>
      <c r="Q216" s="42" t="s">
        <v>1089</v>
      </c>
      <c r="R216" s="42" t="s">
        <v>1090</v>
      </c>
      <c r="S216" s="42" t="s">
        <v>1091</v>
      </c>
      <c r="T216" s="42"/>
    </row>
    <row r="217" spans="1:20" x14ac:dyDescent="0.3">
      <c r="A217" s="37"/>
      <c r="B217" s="37"/>
      <c r="C217" s="40">
        <f t="shared" si="9"/>
        <v>0</v>
      </c>
      <c r="D217" s="39">
        <v>0</v>
      </c>
      <c r="E217" s="39">
        <v>0</v>
      </c>
      <c r="F217" s="39">
        <f t="shared" si="10"/>
        <v>0</v>
      </c>
      <c r="G217" s="39">
        <v>0</v>
      </c>
      <c r="H217" s="39"/>
      <c r="I217" s="39">
        <v>0</v>
      </c>
      <c r="J217" s="39">
        <v>0</v>
      </c>
      <c r="K217" s="39">
        <v>0</v>
      </c>
      <c r="L217" s="40">
        <f t="shared" si="11"/>
        <v>0</v>
      </c>
      <c r="M217" s="41">
        <v>0</v>
      </c>
      <c r="N217" s="41">
        <v>0</v>
      </c>
      <c r="O217" s="42" t="s">
        <v>1092</v>
      </c>
      <c r="P217" s="42" t="s">
        <v>1093</v>
      </c>
      <c r="Q217" s="42" t="s">
        <v>1094</v>
      </c>
      <c r="R217" s="42" t="s">
        <v>1095</v>
      </c>
      <c r="S217" s="42" t="s">
        <v>1096</v>
      </c>
      <c r="T217" s="42"/>
    </row>
    <row r="218" spans="1:20" x14ac:dyDescent="0.3">
      <c r="A218" s="37"/>
      <c r="B218" s="37"/>
      <c r="C218" s="40">
        <f t="shared" si="9"/>
        <v>0</v>
      </c>
      <c r="D218" s="39">
        <v>0</v>
      </c>
      <c r="E218" s="39">
        <v>0</v>
      </c>
      <c r="F218" s="39">
        <f t="shared" si="10"/>
        <v>0</v>
      </c>
      <c r="G218" s="39">
        <v>0</v>
      </c>
      <c r="H218" s="39"/>
      <c r="I218" s="39">
        <v>0</v>
      </c>
      <c r="J218" s="39">
        <v>0</v>
      </c>
      <c r="K218" s="39">
        <v>0</v>
      </c>
      <c r="L218" s="40">
        <f t="shared" si="11"/>
        <v>0</v>
      </c>
      <c r="M218" s="41">
        <v>0</v>
      </c>
      <c r="N218" s="41">
        <v>0</v>
      </c>
      <c r="O218" s="42" t="s">
        <v>1097</v>
      </c>
      <c r="P218" s="42" t="s">
        <v>1098</v>
      </c>
      <c r="Q218" s="42" t="s">
        <v>1099</v>
      </c>
      <c r="R218" s="42" t="s">
        <v>1100</v>
      </c>
      <c r="S218" s="42" t="s">
        <v>1101</v>
      </c>
      <c r="T218" s="42"/>
    </row>
    <row r="219" spans="1:20" x14ac:dyDescent="0.3">
      <c r="A219" s="37"/>
      <c r="B219" s="37"/>
      <c r="C219" s="40">
        <f t="shared" si="9"/>
        <v>0</v>
      </c>
      <c r="D219" s="39">
        <v>0</v>
      </c>
      <c r="E219" s="39">
        <v>0</v>
      </c>
      <c r="F219" s="39">
        <f t="shared" si="10"/>
        <v>0</v>
      </c>
      <c r="G219" s="39">
        <v>0</v>
      </c>
      <c r="H219" s="39"/>
      <c r="I219" s="39">
        <v>0</v>
      </c>
      <c r="J219" s="39">
        <v>0</v>
      </c>
      <c r="K219" s="39">
        <v>0</v>
      </c>
      <c r="L219" s="40">
        <f t="shared" si="11"/>
        <v>0</v>
      </c>
      <c r="M219" s="41">
        <v>0</v>
      </c>
      <c r="N219" s="41">
        <v>0</v>
      </c>
      <c r="O219" s="42" t="s">
        <v>1102</v>
      </c>
      <c r="P219" s="42" t="s">
        <v>1103</v>
      </c>
      <c r="Q219" s="42" t="s">
        <v>1104</v>
      </c>
      <c r="R219" s="42" t="s">
        <v>1105</v>
      </c>
      <c r="S219" s="42" t="s">
        <v>1106</v>
      </c>
      <c r="T219" s="42"/>
    </row>
    <row r="220" spans="1:20" x14ac:dyDescent="0.3">
      <c r="A220" s="37"/>
      <c r="B220" s="37"/>
      <c r="C220" s="40">
        <f t="shared" si="9"/>
        <v>0</v>
      </c>
      <c r="D220" s="39">
        <v>0</v>
      </c>
      <c r="E220" s="39">
        <v>0</v>
      </c>
      <c r="F220" s="39">
        <f t="shared" si="10"/>
        <v>0</v>
      </c>
      <c r="G220" s="39">
        <v>0</v>
      </c>
      <c r="H220" s="39"/>
      <c r="I220" s="39">
        <v>0</v>
      </c>
      <c r="J220" s="39">
        <v>0</v>
      </c>
      <c r="K220" s="39">
        <v>0</v>
      </c>
      <c r="L220" s="40">
        <f t="shared" si="11"/>
        <v>0</v>
      </c>
      <c r="M220" s="41">
        <v>0</v>
      </c>
      <c r="N220" s="41">
        <v>0</v>
      </c>
      <c r="O220" s="42" t="s">
        <v>1107</v>
      </c>
      <c r="P220" s="42" t="s">
        <v>1108</v>
      </c>
      <c r="Q220" s="42" t="s">
        <v>1109</v>
      </c>
      <c r="R220" s="42" t="s">
        <v>1110</v>
      </c>
      <c r="S220" s="42" t="s">
        <v>1111</v>
      </c>
      <c r="T220" s="42"/>
    </row>
    <row r="221" spans="1:20" x14ac:dyDescent="0.3">
      <c r="A221" s="37"/>
      <c r="B221" s="37"/>
      <c r="C221" s="40">
        <f t="shared" si="9"/>
        <v>0</v>
      </c>
      <c r="D221" s="39">
        <v>0</v>
      </c>
      <c r="E221" s="39">
        <v>0</v>
      </c>
      <c r="F221" s="39">
        <f t="shared" si="10"/>
        <v>0</v>
      </c>
      <c r="G221" s="39">
        <v>0</v>
      </c>
      <c r="H221" s="39"/>
      <c r="I221" s="39">
        <v>0</v>
      </c>
      <c r="J221" s="39">
        <v>0</v>
      </c>
      <c r="K221" s="39">
        <v>0</v>
      </c>
      <c r="L221" s="40">
        <f t="shared" si="11"/>
        <v>0</v>
      </c>
      <c r="M221" s="41">
        <v>0</v>
      </c>
      <c r="N221" s="41">
        <v>0</v>
      </c>
      <c r="O221" s="42" t="s">
        <v>1112</v>
      </c>
      <c r="P221" s="42" t="s">
        <v>1113</v>
      </c>
      <c r="Q221" s="42" t="s">
        <v>1114</v>
      </c>
      <c r="R221" s="42" t="s">
        <v>1115</v>
      </c>
      <c r="S221" s="42" t="s">
        <v>1116</v>
      </c>
      <c r="T221" s="42"/>
    </row>
    <row r="222" spans="1:20" x14ac:dyDescent="0.3">
      <c r="A222" s="37"/>
      <c r="B222" s="37"/>
      <c r="C222" s="40">
        <f t="shared" si="9"/>
        <v>0</v>
      </c>
      <c r="D222" s="39">
        <v>0</v>
      </c>
      <c r="E222" s="39">
        <v>0</v>
      </c>
      <c r="F222" s="39">
        <f t="shared" si="10"/>
        <v>0</v>
      </c>
      <c r="G222" s="39">
        <v>0</v>
      </c>
      <c r="H222" s="39"/>
      <c r="I222" s="39">
        <v>0</v>
      </c>
      <c r="J222" s="39">
        <v>0</v>
      </c>
      <c r="K222" s="39">
        <v>0</v>
      </c>
      <c r="L222" s="40">
        <f t="shared" si="11"/>
        <v>0</v>
      </c>
      <c r="M222" s="41">
        <v>0</v>
      </c>
      <c r="N222" s="41">
        <v>0</v>
      </c>
      <c r="O222" s="42" t="s">
        <v>1117</v>
      </c>
      <c r="P222" s="42" t="s">
        <v>1118</v>
      </c>
      <c r="Q222" s="42" t="s">
        <v>1119</v>
      </c>
      <c r="R222" s="42" t="s">
        <v>1120</v>
      </c>
      <c r="S222" s="42" t="s">
        <v>1121</v>
      </c>
      <c r="T222" s="42"/>
    </row>
    <row r="223" spans="1:20" x14ac:dyDescent="0.3">
      <c r="A223" s="37"/>
      <c r="B223" s="37"/>
      <c r="C223" s="40">
        <f t="shared" si="9"/>
        <v>0</v>
      </c>
      <c r="D223" s="39">
        <v>0</v>
      </c>
      <c r="E223" s="39">
        <v>0</v>
      </c>
      <c r="F223" s="39">
        <f t="shared" si="10"/>
        <v>0</v>
      </c>
      <c r="G223" s="39">
        <v>0</v>
      </c>
      <c r="H223" s="39"/>
      <c r="I223" s="39">
        <v>0</v>
      </c>
      <c r="J223" s="39">
        <v>0</v>
      </c>
      <c r="K223" s="39">
        <v>0</v>
      </c>
      <c r="L223" s="40">
        <f t="shared" si="11"/>
        <v>0</v>
      </c>
      <c r="M223" s="41">
        <v>0</v>
      </c>
      <c r="N223" s="41">
        <v>0</v>
      </c>
      <c r="O223" s="42" t="s">
        <v>1122</v>
      </c>
      <c r="P223" s="42" t="s">
        <v>1123</v>
      </c>
      <c r="Q223" s="42" t="s">
        <v>1124</v>
      </c>
      <c r="R223" s="42" t="s">
        <v>1125</v>
      </c>
      <c r="S223" s="42" t="s">
        <v>1126</v>
      </c>
      <c r="T223" s="42"/>
    </row>
    <row r="224" spans="1:20" x14ac:dyDescent="0.3">
      <c r="A224" s="37"/>
      <c r="B224" s="37"/>
      <c r="C224" s="40">
        <f t="shared" si="9"/>
        <v>0</v>
      </c>
      <c r="D224" s="39">
        <v>0</v>
      </c>
      <c r="E224" s="39">
        <v>0</v>
      </c>
      <c r="F224" s="39">
        <f t="shared" si="10"/>
        <v>0</v>
      </c>
      <c r="G224" s="39">
        <v>0</v>
      </c>
      <c r="H224" s="39"/>
      <c r="I224" s="39">
        <v>0</v>
      </c>
      <c r="J224" s="39">
        <v>0</v>
      </c>
      <c r="K224" s="39">
        <v>0</v>
      </c>
      <c r="L224" s="40">
        <f t="shared" si="11"/>
        <v>0</v>
      </c>
      <c r="M224" s="41">
        <v>0</v>
      </c>
      <c r="N224" s="41">
        <v>0</v>
      </c>
      <c r="O224" s="42" t="s">
        <v>1127</v>
      </c>
      <c r="P224" s="42" t="s">
        <v>1128</v>
      </c>
      <c r="Q224" s="42" t="s">
        <v>1129</v>
      </c>
      <c r="R224" s="42" t="s">
        <v>1130</v>
      </c>
      <c r="S224" s="42" t="s">
        <v>1131</v>
      </c>
      <c r="T224" s="42"/>
    </row>
    <row r="225" spans="1:20" x14ac:dyDescent="0.3">
      <c r="A225" s="37"/>
      <c r="B225" s="37"/>
      <c r="C225" s="40">
        <f t="shared" si="9"/>
        <v>0</v>
      </c>
      <c r="D225" s="39">
        <v>0</v>
      </c>
      <c r="E225" s="39">
        <v>0</v>
      </c>
      <c r="F225" s="39">
        <f t="shared" si="10"/>
        <v>0</v>
      </c>
      <c r="G225" s="39">
        <v>0</v>
      </c>
      <c r="H225" s="39"/>
      <c r="I225" s="39">
        <v>0</v>
      </c>
      <c r="J225" s="39">
        <v>0</v>
      </c>
      <c r="K225" s="39">
        <v>0</v>
      </c>
      <c r="L225" s="40">
        <f t="shared" si="11"/>
        <v>0</v>
      </c>
      <c r="M225" s="41">
        <v>0</v>
      </c>
      <c r="N225" s="41">
        <v>0</v>
      </c>
      <c r="O225" s="42" t="s">
        <v>1132</v>
      </c>
      <c r="P225" s="42" t="s">
        <v>1133</v>
      </c>
      <c r="Q225" s="42" t="s">
        <v>1134</v>
      </c>
      <c r="R225" s="42" t="s">
        <v>1135</v>
      </c>
      <c r="S225" s="42" t="s">
        <v>1136</v>
      </c>
      <c r="T225" s="42"/>
    </row>
    <row r="226" spans="1:20" x14ac:dyDescent="0.3">
      <c r="A226" s="37"/>
      <c r="B226" s="37"/>
      <c r="C226" s="40">
        <f t="shared" si="9"/>
        <v>0</v>
      </c>
      <c r="D226" s="39">
        <v>0</v>
      </c>
      <c r="E226" s="39">
        <v>0</v>
      </c>
      <c r="F226" s="39">
        <f t="shared" si="10"/>
        <v>0</v>
      </c>
      <c r="G226" s="39">
        <v>0</v>
      </c>
      <c r="H226" s="39"/>
      <c r="I226" s="39">
        <v>0</v>
      </c>
      <c r="J226" s="39">
        <v>0</v>
      </c>
      <c r="K226" s="39">
        <v>0</v>
      </c>
      <c r="L226" s="40">
        <f t="shared" si="11"/>
        <v>0</v>
      </c>
      <c r="M226" s="41">
        <v>0</v>
      </c>
      <c r="N226" s="41">
        <v>0</v>
      </c>
      <c r="O226" s="42" t="s">
        <v>1137</v>
      </c>
      <c r="P226" s="42" t="s">
        <v>1138</v>
      </c>
      <c r="Q226" s="42" t="s">
        <v>1139</v>
      </c>
      <c r="R226" s="42" t="s">
        <v>1140</v>
      </c>
      <c r="S226" s="42" t="s">
        <v>1141</v>
      </c>
      <c r="T226" s="42"/>
    </row>
    <row r="227" spans="1:20" x14ac:dyDescent="0.3">
      <c r="A227" s="37"/>
      <c r="B227" s="37"/>
      <c r="C227" s="40">
        <f t="shared" si="9"/>
        <v>0</v>
      </c>
      <c r="D227" s="39">
        <v>0</v>
      </c>
      <c r="E227" s="39">
        <v>0</v>
      </c>
      <c r="F227" s="39">
        <f t="shared" si="10"/>
        <v>0</v>
      </c>
      <c r="G227" s="39">
        <v>0</v>
      </c>
      <c r="H227" s="39"/>
      <c r="I227" s="39">
        <v>0</v>
      </c>
      <c r="J227" s="39">
        <v>0</v>
      </c>
      <c r="K227" s="39">
        <v>0</v>
      </c>
      <c r="L227" s="40">
        <f t="shared" si="11"/>
        <v>0</v>
      </c>
      <c r="M227" s="41">
        <v>0</v>
      </c>
      <c r="N227" s="41">
        <v>0</v>
      </c>
      <c r="O227" s="42" t="s">
        <v>1142</v>
      </c>
      <c r="P227" s="42" t="s">
        <v>1143</v>
      </c>
      <c r="Q227" s="42" t="s">
        <v>1144</v>
      </c>
      <c r="R227" s="42" t="s">
        <v>1145</v>
      </c>
      <c r="S227" s="42" t="s">
        <v>1146</v>
      </c>
      <c r="T227" s="42"/>
    </row>
    <row r="228" spans="1:20" x14ac:dyDescent="0.3">
      <c r="A228" s="37"/>
      <c r="B228" s="37"/>
      <c r="C228" s="40">
        <f t="shared" si="9"/>
        <v>0</v>
      </c>
      <c r="D228" s="39">
        <v>0</v>
      </c>
      <c r="E228" s="39">
        <v>0</v>
      </c>
      <c r="F228" s="39">
        <f t="shared" si="10"/>
        <v>0</v>
      </c>
      <c r="G228" s="39">
        <v>0</v>
      </c>
      <c r="H228" s="39"/>
      <c r="I228" s="39">
        <v>0</v>
      </c>
      <c r="J228" s="39">
        <v>0</v>
      </c>
      <c r="K228" s="39">
        <v>0</v>
      </c>
      <c r="L228" s="40">
        <f t="shared" si="11"/>
        <v>0</v>
      </c>
      <c r="M228" s="41">
        <v>0</v>
      </c>
      <c r="N228" s="41">
        <v>0</v>
      </c>
      <c r="O228" s="42" t="s">
        <v>1147</v>
      </c>
      <c r="P228" s="42" t="s">
        <v>1148</v>
      </c>
      <c r="Q228" s="42" t="s">
        <v>1149</v>
      </c>
      <c r="R228" s="42" t="s">
        <v>1150</v>
      </c>
      <c r="S228" s="42" t="s">
        <v>1151</v>
      </c>
      <c r="T228" s="42"/>
    </row>
    <row r="229" spans="1:20" x14ac:dyDescent="0.3">
      <c r="A229" s="37"/>
      <c r="B229" s="37"/>
      <c r="C229" s="40">
        <f t="shared" ref="C229:C292" si="12">L228</f>
        <v>0</v>
      </c>
      <c r="D229" s="39">
        <v>0</v>
      </c>
      <c r="E229" s="39">
        <v>0</v>
      </c>
      <c r="F229" s="39">
        <f t="shared" ref="F229:F292" si="13">E229-G229-H229</f>
        <v>0</v>
      </c>
      <c r="G229" s="39">
        <v>0</v>
      </c>
      <c r="H229" s="39"/>
      <c r="I229" s="39">
        <v>0</v>
      </c>
      <c r="J229" s="39">
        <v>0</v>
      </c>
      <c r="K229" s="39">
        <v>0</v>
      </c>
      <c r="L229" s="40">
        <f t="shared" ref="L229:L292" si="14">C229+J229+K229-H229-F229+D229</f>
        <v>0</v>
      </c>
      <c r="M229" s="41">
        <v>0</v>
      </c>
      <c r="N229" s="41">
        <v>0</v>
      </c>
      <c r="O229" s="42" t="s">
        <v>1152</v>
      </c>
      <c r="P229" s="42" t="s">
        <v>1153</v>
      </c>
      <c r="Q229" s="42" t="s">
        <v>1154</v>
      </c>
      <c r="R229" s="42" t="s">
        <v>1155</v>
      </c>
      <c r="S229" s="42" t="s">
        <v>1156</v>
      </c>
      <c r="T229" s="42"/>
    </row>
    <row r="230" spans="1:20" x14ac:dyDescent="0.3">
      <c r="A230" s="37"/>
      <c r="B230" s="37"/>
      <c r="C230" s="40">
        <f t="shared" si="12"/>
        <v>0</v>
      </c>
      <c r="D230" s="39">
        <v>0</v>
      </c>
      <c r="E230" s="39">
        <v>0</v>
      </c>
      <c r="F230" s="39">
        <f t="shared" si="13"/>
        <v>0</v>
      </c>
      <c r="G230" s="39">
        <v>0</v>
      </c>
      <c r="H230" s="39"/>
      <c r="I230" s="39">
        <v>0</v>
      </c>
      <c r="J230" s="39">
        <v>0</v>
      </c>
      <c r="K230" s="39">
        <v>0</v>
      </c>
      <c r="L230" s="40">
        <f t="shared" si="14"/>
        <v>0</v>
      </c>
      <c r="M230" s="41">
        <v>0</v>
      </c>
      <c r="N230" s="41">
        <v>0</v>
      </c>
      <c r="O230" s="42" t="s">
        <v>1157</v>
      </c>
      <c r="P230" s="42" t="s">
        <v>1158</v>
      </c>
      <c r="Q230" s="42" t="s">
        <v>1159</v>
      </c>
      <c r="R230" s="42" t="s">
        <v>1160</v>
      </c>
      <c r="S230" s="42" t="s">
        <v>1161</v>
      </c>
      <c r="T230" s="42"/>
    </row>
    <row r="231" spans="1:20" x14ac:dyDescent="0.3">
      <c r="A231" s="37"/>
      <c r="B231" s="37"/>
      <c r="C231" s="40">
        <f t="shared" si="12"/>
        <v>0</v>
      </c>
      <c r="D231" s="39">
        <v>0</v>
      </c>
      <c r="E231" s="39">
        <v>0</v>
      </c>
      <c r="F231" s="39">
        <f t="shared" si="13"/>
        <v>0</v>
      </c>
      <c r="G231" s="39">
        <v>0</v>
      </c>
      <c r="H231" s="39"/>
      <c r="I231" s="39">
        <v>0</v>
      </c>
      <c r="J231" s="39">
        <v>0</v>
      </c>
      <c r="K231" s="39">
        <v>0</v>
      </c>
      <c r="L231" s="40">
        <f t="shared" si="14"/>
        <v>0</v>
      </c>
      <c r="M231" s="41">
        <v>0</v>
      </c>
      <c r="N231" s="41">
        <v>0</v>
      </c>
      <c r="O231" s="42" t="s">
        <v>1162</v>
      </c>
      <c r="P231" s="42" t="s">
        <v>1163</v>
      </c>
      <c r="Q231" s="42" t="s">
        <v>1164</v>
      </c>
      <c r="R231" s="42" t="s">
        <v>1165</v>
      </c>
      <c r="S231" s="42" t="s">
        <v>1166</v>
      </c>
      <c r="T231" s="42"/>
    </row>
    <row r="232" spans="1:20" x14ac:dyDescent="0.3">
      <c r="A232" s="37"/>
      <c r="B232" s="37"/>
      <c r="C232" s="40">
        <f t="shared" si="12"/>
        <v>0</v>
      </c>
      <c r="D232" s="39">
        <v>0</v>
      </c>
      <c r="E232" s="39">
        <v>0</v>
      </c>
      <c r="F232" s="39">
        <f t="shared" si="13"/>
        <v>0</v>
      </c>
      <c r="G232" s="39">
        <v>0</v>
      </c>
      <c r="H232" s="39"/>
      <c r="I232" s="39">
        <v>0</v>
      </c>
      <c r="J232" s="39">
        <v>0</v>
      </c>
      <c r="K232" s="39">
        <v>0</v>
      </c>
      <c r="L232" s="40">
        <f t="shared" si="14"/>
        <v>0</v>
      </c>
      <c r="M232" s="41">
        <v>0</v>
      </c>
      <c r="N232" s="41">
        <v>0</v>
      </c>
      <c r="O232" s="42" t="s">
        <v>1167</v>
      </c>
      <c r="P232" s="42" t="s">
        <v>1168</v>
      </c>
      <c r="Q232" s="42" t="s">
        <v>1169</v>
      </c>
      <c r="R232" s="42" t="s">
        <v>1170</v>
      </c>
      <c r="S232" s="42" t="s">
        <v>1171</v>
      </c>
      <c r="T232" s="42"/>
    </row>
    <row r="233" spans="1:20" x14ac:dyDescent="0.3">
      <c r="A233" s="37"/>
      <c r="B233" s="37"/>
      <c r="C233" s="40">
        <f t="shared" si="12"/>
        <v>0</v>
      </c>
      <c r="D233" s="39">
        <v>0</v>
      </c>
      <c r="E233" s="39">
        <v>0</v>
      </c>
      <c r="F233" s="39">
        <f t="shared" si="13"/>
        <v>0</v>
      </c>
      <c r="G233" s="39">
        <v>0</v>
      </c>
      <c r="H233" s="39"/>
      <c r="I233" s="39">
        <v>0</v>
      </c>
      <c r="J233" s="39">
        <v>0</v>
      </c>
      <c r="K233" s="39">
        <v>0</v>
      </c>
      <c r="L233" s="40">
        <f t="shared" si="14"/>
        <v>0</v>
      </c>
      <c r="M233" s="41">
        <v>0</v>
      </c>
      <c r="N233" s="41">
        <v>0</v>
      </c>
      <c r="O233" s="42" t="s">
        <v>1172</v>
      </c>
      <c r="P233" s="42" t="s">
        <v>1173</v>
      </c>
      <c r="Q233" s="42" t="s">
        <v>1174</v>
      </c>
      <c r="R233" s="42" t="s">
        <v>1175</v>
      </c>
      <c r="S233" s="42" t="s">
        <v>1176</v>
      </c>
      <c r="T233" s="42"/>
    </row>
    <row r="234" spans="1:20" x14ac:dyDescent="0.3">
      <c r="A234" s="37"/>
      <c r="B234" s="37"/>
      <c r="C234" s="40">
        <f t="shared" si="12"/>
        <v>0</v>
      </c>
      <c r="D234" s="39">
        <v>0</v>
      </c>
      <c r="E234" s="39">
        <v>0</v>
      </c>
      <c r="F234" s="39">
        <f t="shared" si="13"/>
        <v>0</v>
      </c>
      <c r="G234" s="39">
        <v>0</v>
      </c>
      <c r="H234" s="39"/>
      <c r="I234" s="39">
        <v>0</v>
      </c>
      <c r="J234" s="39">
        <v>0</v>
      </c>
      <c r="K234" s="39">
        <v>0</v>
      </c>
      <c r="L234" s="40">
        <f t="shared" si="14"/>
        <v>0</v>
      </c>
      <c r="M234" s="41">
        <v>0</v>
      </c>
      <c r="N234" s="41">
        <v>0</v>
      </c>
      <c r="O234" s="42" t="s">
        <v>1177</v>
      </c>
      <c r="P234" s="42" t="s">
        <v>1178</v>
      </c>
      <c r="Q234" s="42" t="s">
        <v>1179</v>
      </c>
      <c r="R234" s="42" t="s">
        <v>1180</v>
      </c>
      <c r="S234" s="42" t="s">
        <v>1181</v>
      </c>
      <c r="T234" s="42"/>
    </row>
    <row r="235" spans="1:20" x14ac:dyDescent="0.3">
      <c r="A235" s="37"/>
      <c r="B235" s="37"/>
      <c r="C235" s="40">
        <f t="shared" si="12"/>
        <v>0</v>
      </c>
      <c r="D235" s="39">
        <v>0</v>
      </c>
      <c r="E235" s="39">
        <v>0</v>
      </c>
      <c r="F235" s="39">
        <f t="shared" si="13"/>
        <v>0</v>
      </c>
      <c r="G235" s="39">
        <v>0</v>
      </c>
      <c r="H235" s="39"/>
      <c r="I235" s="39">
        <v>0</v>
      </c>
      <c r="J235" s="39">
        <v>0</v>
      </c>
      <c r="K235" s="39">
        <v>0</v>
      </c>
      <c r="L235" s="40">
        <f t="shared" si="14"/>
        <v>0</v>
      </c>
      <c r="M235" s="41">
        <v>0</v>
      </c>
      <c r="N235" s="41">
        <v>0</v>
      </c>
      <c r="O235" s="42" t="s">
        <v>1182</v>
      </c>
      <c r="P235" s="42" t="s">
        <v>1183</v>
      </c>
      <c r="Q235" s="42" t="s">
        <v>1184</v>
      </c>
      <c r="R235" s="42" t="s">
        <v>1185</v>
      </c>
      <c r="S235" s="42" t="s">
        <v>1186</v>
      </c>
      <c r="T235" s="42"/>
    </row>
    <row r="236" spans="1:20" x14ac:dyDescent="0.3">
      <c r="A236" s="37"/>
      <c r="B236" s="37"/>
      <c r="C236" s="40">
        <f t="shared" si="12"/>
        <v>0</v>
      </c>
      <c r="D236" s="39">
        <v>0</v>
      </c>
      <c r="E236" s="39">
        <v>0</v>
      </c>
      <c r="F236" s="39">
        <f t="shared" si="13"/>
        <v>0</v>
      </c>
      <c r="G236" s="39">
        <v>0</v>
      </c>
      <c r="H236" s="39"/>
      <c r="I236" s="39">
        <v>0</v>
      </c>
      <c r="J236" s="39">
        <v>0</v>
      </c>
      <c r="K236" s="39">
        <v>0</v>
      </c>
      <c r="L236" s="40">
        <f t="shared" si="14"/>
        <v>0</v>
      </c>
      <c r="M236" s="41">
        <v>0</v>
      </c>
      <c r="N236" s="41">
        <v>0</v>
      </c>
      <c r="O236" s="42" t="s">
        <v>1187</v>
      </c>
      <c r="P236" s="42" t="s">
        <v>1188</v>
      </c>
      <c r="Q236" s="42" t="s">
        <v>1189</v>
      </c>
      <c r="R236" s="42" t="s">
        <v>1190</v>
      </c>
      <c r="S236" s="42" t="s">
        <v>1191</v>
      </c>
      <c r="T236" s="42"/>
    </row>
    <row r="237" spans="1:20" x14ac:dyDescent="0.3">
      <c r="A237" s="37"/>
      <c r="B237" s="37"/>
      <c r="C237" s="40">
        <f t="shared" si="12"/>
        <v>0</v>
      </c>
      <c r="D237" s="39">
        <v>0</v>
      </c>
      <c r="E237" s="39">
        <v>0</v>
      </c>
      <c r="F237" s="39">
        <f t="shared" si="13"/>
        <v>0</v>
      </c>
      <c r="G237" s="39">
        <v>0</v>
      </c>
      <c r="H237" s="39"/>
      <c r="I237" s="39">
        <v>0</v>
      </c>
      <c r="J237" s="39">
        <v>0</v>
      </c>
      <c r="K237" s="39">
        <v>0</v>
      </c>
      <c r="L237" s="40">
        <f t="shared" si="14"/>
        <v>0</v>
      </c>
      <c r="M237" s="41">
        <v>0</v>
      </c>
      <c r="N237" s="41">
        <v>0</v>
      </c>
      <c r="O237" s="42" t="s">
        <v>1192</v>
      </c>
      <c r="P237" s="42" t="s">
        <v>1193</v>
      </c>
      <c r="Q237" s="42" t="s">
        <v>1194</v>
      </c>
      <c r="R237" s="42" t="s">
        <v>1195</v>
      </c>
      <c r="S237" s="42" t="s">
        <v>1196</v>
      </c>
      <c r="T237" s="42"/>
    </row>
    <row r="238" spans="1:20" x14ac:dyDescent="0.3">
      <c r="A238" s="37"/>
      <c r="B238" s="37"/>
      <c r="C238" s="40">
        <f t="shared" si="12"/>
        <v>0</v>
      </c>
      <c r="D238" s="39">
        <v>0</v>
      </c>
      <c r="E238" s="39">
        <v>0</v>
      </c>
      <c r="F238" s="39">
        <f t="shared" si="13"/>
        <v>0</v>
      </c>
      <c r="G238" s="39">
        <v>0</v>
      </c>
      <c r="H238" s="39"/>
      <c r="I238" s="39">
        <v>0</v>
      </c>
      <c r="J238" s="39">
        <v>0</v>
      </c>
      <c r="K238" s="39">
        <v>0</v>
      </c>
      <c r="L238" s="40">
        <f t="shared" si="14"/>
        <v>0</v>
      </c>
      <c r="M238" s="41">
        <v>0</v>
      </c>
      <c r="N238" s="41">
        <v>0</v>
      </c>
      <c r="O238" s="42" t="s">
        <v>1197</v>
      </c>
      <c r="P238" s="42" t="s">
        <v>1198</v>
      </c>
      <c r="Q238" s="42" t="s">
        <v>1199</v>
      </c>
      <c r="R238" s="42" t="s">
        <v>1200</v>
      </c>
      <c r="S238" s="42" t="s">
        <v>1201</v>
      </c>
      <c r="T238" s="42"/>
    </row>
    <row r="239" spans="1:20" x14ac:dyDescent="0.3">
      <c r="A239" s="37"/>
      <c r="B239" s="37"/>
      <c r="C239" s="40">
        <f t="shared" si="12"/>
        <v>0</v>
      </c>
      <c r="D239" s="39">
        <v>0</v>
      </c>
      <c r="E239" s="39">
        <v>0</v>
      </c>
      <c r="F239" s="39">
        <f t="shared" si="13"/>
        <v>0</v>
      </c>
      <c r="G239" s="39">
        <v>0</v>
      </c>
      <c r="H239" s="39"/>
      <c r="I239" s="39">
        <v>0</v>
      </c>
      <c r="J239" s="39">
        <v>0</v>
      </c>
      <c r="K239" s="39">
        <v>0</v>
      </c>
      <c r="L239" s="40">
        <f t="shared" si="14"/>
        <v>0</v>
      </c>
      <c r="M239" s="41">
        <v>0</v>
      </c>
      <c r="N239" s="41">
        <v>0</v>
      </c>
      <c r="O239" s="42" t="s">
        <v>1202</v>
      </c>
      <c r="P239" s="42" t="s">
        <v>1203</v>
      </c>
      <c r="Q239" s="42" t="s">
        <v>1204</v>
      </c>
      <c r="R239" s="42" t="s">
        <v>1205</v>
      </c>
      <c r="S239" s="42" t="s">
        <v>1206</v>
      </c>
      <c r="T239" s="42"/>
    </row>
    <row r="240" spans="1:20" x14ac:dyDescent="0.3">
      <c r="A240" s="37"/>
      <c r="B240" s="37"/>
      <c r="C240" s="40">
        <f t="shared" si="12"/>
        <v>0</v>
      </c>
      <c r="D240" s="39">
        <v>0</v>
      </c>
      <c r="E240" s="39">
        <v>0</v>
      </c>
      <c r="F240" s="39">
        <f t="shared" si="13"/>
        <v>0</v>
      </c>
      <c r="G240" s="39">
        <v>0</v>
      </c>
      <c r="H240" s="39"/>
      <c r="I240" s="39">
        <v>0</v>
      </c>
      <c r="J240" s="39">
        <v>0</v>
      </c>
      <c r="K240" s="39">
        <v>0</v>
      </c>
      <c r="L240" s="40">
        <f t="shared" si="14"/>
        <v>0</v>
      </c>
      <c r="M240" s="41">
        <v>0</v>
      </c>
      <c r="N240" s="41">
        <v>0</v>
      </c>
      <c r="O240" s="42" t="s">
        <v>1207</v>
      </c>
      <c r="P240" s="42" t="s">
        <v>1208</v>
      </c>
      <c r="Q240" s="42" t="s">
        <v>1209</v>
      </c>
      <c r="R240" s="42" t="s">
        <v>1210</v>
      </c>
      <c r="S240" s="42" t="s">
        <v>1211</v>
      </c>
      <c r="T240" s="42"/>
    </row>
    <row r="241" spans="1:20" x14ac:dyDescent="0.3">
      <c r="A241" s="37"/>
      <c r="B241" s="37"/>
      <c r="C241" s="40">
        <f t="shared" si="12"/>
        <v>0</v>
      </c>
      <c r="D241" s="39">
        <v>0</v>
      </c>
      <c r="E241" s="39">
        <v>0</v>
      </c>
      <c r="F241" s="39">
        <f t="shared" si="13"/>
        <v>0</v>
      </c>
      <c r="G241" s="39">
        <v>0</v>
      </c>
      <c r="H241" s="39"/>
      <c r="I241" s="39">
        <v>0</v>
      </c>
      <c r="J241" s="39">
        <v>0</v>
      </c>
      <c r="K241" s="39">
        <v>0</v>
      </c>
      <c r="L241" s="40">
        <f t="shared" si="14"/>
        <v>0</v>
      </c>
      <c r="M241" s="41">
        <v>0</v>
      </c>
      <c r="N241" s="41">
        <v>0</v>
      </c>
      <c r="O241" s="42" t="s">
        <v>1212</v>
      </c>
      <c r="P241" s="42" t="s">
        <v>1213</v>
      </c>
      <c r="Q241" s="42" t="s">
        <v>1214</v>
      </c>
      <c r="R241" s="42" t="s">
        <v>1215</v>
      </c>
      <c r="S241" s="42" t="s">
        <v>1216</v>
      </c>
      <c r="T241" s="42"/>
    </row>
    <row r="242" spans="1:20" x14ac:dyDescent="0.3">
      <c r="A242" s="37"/>
      <c r="B242" s="37"/>
      <c r="C242" s="40">
        <f t="shared" si="12"/>
        <v>0</v>
      </c>
      <c r="D242" s="39">
        <v>0</v>
      </c>
      <c r="E242" s="39">
        <v>0</v>
      </c>
      <c r="F242" s="39">
        <f t="shared" si="13"/>
        <v>0</v>
      </c>
      <c r="G242" s="39">
        <v>0</v>
      </c>
      <c r="H242" s="39"/>
      <c r="I242" s="39">
        <v>0</v>
      </c>
      <c r="J242" s="39">
        <v>0</v>
      </c>
      <c r="K242" s="39">
        <v>0</v>
      </c>
      <c r="L242" s="40">
        <f t="shared" si="14"/>
        <v>0</v>
      </c>
      <c r="M242" s="41">
        <v>0</v>
      </c>
      <c r="N242" s="41">
        <v>0</v>
      </c>
      <c r="O242" s="42" t="s">
        <v>1217</v>
      </c>
      <c r="P242" s="42" t="s">
        <v>1218</v>
      </c>
      <c r="Q242" s="42" t="s">
        <v>1219</v>
      </c>
      <c r="R242" s="42" t="s">
        <v>1220</v>
      </c>
      <c r="S242" s="42" t="s">
        <v>1221</v>
      </c>
      <c r="T242" s="42"/>
    </row>
    <row r="243" spans="1:20" x14ac:dyDescent="0.3">
      <c r="A243" s="37"/>
      <c r="B243" s="37"/>
      <c r="C243" s="40">
        <f t="shared" si="12"/>
        <v>0</v>
      </c>
      <c r="D243" s="39">
        <v>0</v>
      </c>
      <c r="E243" s="39">
        <v>0</v>
      </c>
      <c r="F243" s="39">
        <f t="shared" si="13"/>
        <v>0</v>
      </c>
      <c r="G243" s="39">
        <v>0</v>
      </c>
      <c r="H243" s="39"/>
      <c r="I243" s="39">
        <v>0</v>
      </c>
      <c r="J243" s="39">
        <v>0</v>
      </c>
      <c r="K243" s="39">
        <v>0</v>
      </c>
      <c r="L243" s="40">
        <f t="shared" si="14"/>
        <v>0</v>
      </c>
      <c r="M243" s="41">
        <v>0</v>
      </c>
      <c r="N243" s="41">
        <v>0</v>
      </c>
      <c r="O243" s="42" t="s">
        <v>1222</v>
      </c>
      <c r="P243" s="42" t="s">
        <v>1223</v>
      </c>
      <c r="Q243" s="42" t="s">
        <v>1224</v>
      </c>
      <c r="R243" s="42" t="s">
        <v>1225</v>
      </c>
      <c r="S243" s="42" t="s">
        <v>1226</v>
      </c>
      <c r="T243" s="42"/>
    </row>
    <row r="244" spans="1:20" x14ac:dyDescent="0.3">
      <c r="A244" s="37"/>
      <c r="B244" s="37"/>
      <c r="C244" s="40">
        <f t="shared" si="12"/>
        <v>0</v>
      </c>
      <c r="D244" s="39">
        <v>0</v>
      </c>
      <c r="E244" s="39">
        <v>0</v>
      </c>
      <c r="F244" s="39">
        <f t="shared" si="13"/>
        <v>0</v>
      </c>
      <c r="G244" s="39">
        <v>0</v>
      </c>
      <c r="H244" s="39"/>
      <c r="I244" s="39">
        <v>0</v>
      </c>
      <c r="J244" s="39">
        <v>0</v>
      </c>
      <c r="K244" s="39">
        <v>0</v>
      </c>
      <c r="L244" s="40">
        <f t="shared" si="14"/>
        <v>0</v>
      </c>
      <c r="M244" s="41">
        <v>0</v>
      </c>
      <c r="N244" s="41">
        <v>0</v>
      </c>
      <c r="O244" s="42" t="s">
        <v>1227</v>
      </c>
      <c r="P244" s="42" t="s">
        <v>1228</v>
      </c>
      <c r="Q244" s="42" t="s">
        <v>1229</v>
      </c>
      <c r="R244" s="42" t="s">
        <v>1230</v>
      </c>
      <c r="S244" s="42" t="s">
        <v>1231</v>
      </c>
      <c r="T244" s="42"/>
    </row>
    <row r="245" spans="1:20" x14ac:dyDescent="0.3">
      <c r="A245" s="37"/>
      <c r="B245" s="37"/>
      <c r="C245" s="40">
        <f t="shared" si="12"/>
        <v>0</v>
      </c>
      <c r="D245" s="39">
        <v>0</v>
      </c>
      <c r="E245" s="39">
        <v>0</v>
      </c>
      <c r="F245" s="39">
        <f t="shared" si="13"/>
        <v>0</v>
      </c>
      <c r="G245" s="39">
        <v>0</v>
      </c>
      <c r="H245" s="39"/>
      <c r="I245" s="39">
        <v>0</v>
      </c>
      <c r="J245" s="39">
        <v>0</v>
      </c>
      <c r="K245" s="39">
        <v>0</v>
      </c>
      <c r="L245" s="40">
        <f t="shared" si="14"/>
        <v>0</v>
      </c>
      <c r="M245" s="41">
        <v>0</v>
      </c>
      <c r="N245" s="41">
        <v>0</v>
      </c>
      <c r="O245" s="42" t="s">
        <v>1232</v>
      </c>
      <c r="P245" s="42" t="s">
        <v>1233</v>
      </c>
      <c r="Q245" s="42" t="s">
        <v>1234</v>
      </c>
      <c r="R245" s="42" t="s">
        <v>1235</v>
      </c>
      <c r="S245" s="42" t="s">
        <v>1236</v>
      </c>
      <c r="T245" s="42"/>
    </row>
    <row r="246" spans="1:20" x14ac:dyDescent="0.3">
      <c r="A246" s="37"/>
      <c r="B246" s="37"/>
      <c r="C246" s="40">
        <f t="shared" si="12"/>
        <v>0</v>
      </c>
      <c r="D246" s="39">
        <v>0</v>
      </c>
      <c r="E246" s="39">
        <v>0</v>
      </c>
      <c r="F246" s="39">
        <f t="shared" si="13"/>
        <v>0</v>
      </c>
      <c r="G246" s="39">
        <v>0</v>
      </c>
      <c r="H246" s="39"/>
      <c r="I246" s="39">
        <v>0</v>
      </c>
      <c r="J246" s="39">
        <v>0</v>
      </c>
      <c r="K246" s="39">
        <v>0</v>
      </c>
      <c r="L246" s="40">
        <f t="shared" si="14"/>
        <v>0</v>
      </c>
      <c r="M246" s="41">
        <v>0</v>
      </c>
      <c r="N246" s="41">
        <v>0</v>
      </c>
      <c r="O246" s="42" t="s">
        <v>1237</v>
      </c>
      <c r="P246" s="42" t="s">
        <v>1238</v>
      </c>
      <c r="Q246" s="42" t="s">
        <v>1239</v>
      </c>
      <c r="R246" s="42" t="s">
        <v>1240</v>
      </c>
      <c r="S246" s="42" t="s">
        <v>1241</v>
      </c>
      <c r="T246" s="42"/>
    </row>
    <row r="247" spans="1:20" x14ac:dyDescent="0.3">
      <c r="A247" s="37"/>
      <c r="B247" s="37"/>
      <c r="C247" s="40">
        <f t="shared" si="12"/>
        <v>0</v>
      </c>
      <c r="D247" s="39">
        <v>0</v>
      </c>
      <c r="E247" s="39">
        <v>0</v>
      </c>
      <c r="F247" s="39">
        <f t="shared" si="13"/>
        <v>0</v>
      </c>
      <c r="G247" s="39">
        <v>0</v>
      </c>
      <c r="H247" s="39"/>
      <c r="I247" s="39">
        <v>0</v>
      </c>
      <c r="J247" s="39">
        <v>0</v>
      </c>
      <c r="K247" s="39">
        <v>0</v>
      </c>
      <c r="L247" s="40">
        <f t="shared" si="14"/>
        <v>0</v>
      </c>
      <c r="M247" s="41">
        <v>0</v>
      </c>
      <c r="N247" s="41">
        <v>0</v>
      </c>
      <c r="O247" s="42" t="s">
        <v>1242</v>
      </c>
      <c r="P247" s="42" t="s">
        <v>1243</v>
      </c>
      <c r="Q247" s="42" t="s">
        <v>1244</v>
      </c>
      <c r="R247" s="42" t="s">
        <v>1245</v>
      </c>
      <c r="S247" s="42" t="s">
        <v>1246</v>
      </c>
      <c r="T247" s="42"/>
    </row>
    <row r="248" spans="1:20" x14ac:dyDescent="0.3">
      <c r="A248" s="37"/>
      <c r="B248" s="37"/>
      <c r="C248" s="40">
        <f t="shared" si="12"/>
        <v>0</v>
      </c>
      <c r="D248" s="39">
        <v>0</v>
      </c>
      <c r="E248" s="39">
        <v>0</v>
      </c>
      <c r="F248" s="39">
        <f t="shared" si="13"/>
        <v>0</v>
      </c>
      <c r="G248" s="39">
        <v>0</v>
      </c>
      <c r="H248" s="39"/>
      <c r="I248" s="39">
        <v>0</v>
      </c>
      <c r="J248" s="39">
        <v>0</v>
      </c>
      <c r="K248" s="39">
        <v>0</v>
      </c>
      <c r="L248" s="40">
        <f t="shared" si="14"/>
        <v>0</v>
      </c>
      <c r="M248" s="41">
        <v>0</v>
      </c>
      <c r="N248" s="41">
        <v>0</v>
      </c>
      <c r="O248" s="42" t="s">
        <v>1247</v>
      </c>
      <c r="P248" s="42" t="s">
        <v>1248</v>
      </c>
      <c r="Q248" s="42" t="s">
        <v>1249</v>
      </c>
      <c r="R248" s="42" t="s">
        <v>1250</v>
      </c>
      <c r="S248" s="42" t="s">
        <v>1251</v>
      </c>
      <c r="T248" s="42"/>
    </row>
    <row r="249" spans="1:20" x14ac:dyDescent="0.3">
      <c r="A249" s="37"/>
      <c r="B249" s="37"/>
      <c r="C249" s="40">
        <f t="shared" si="12"/>
        <v>0</v>
      </c>
      <c r="D249" s="39">
        <v>0</v>
      </c>
      <c r="E249" s="39">
        <v>0</v>
      </c>
      <c r="F249" s="39">
        <f t="shared" si="13"/>
        <v>0</v>
      </c>
      <c r="G249" s="39">
        <v>0</v>
      </c>
      <c r="H249" s="39"/>
      <c r="I249" s="39">
        <v>0</v>
      </c>
      <c r="J249" s="39">
        <v>0</v>
      </c>
      <c r="K249" s="39">
        <v>0</v>
      </c>
      <c r="L249" s="40">
        <f t="shared" si="14"/>
        <v>0</v>
      </c>
      <c r="M249" s="41">
        <v>0</v>
      </c>
      <c r="N249" s="41">
        <v>0</v>
      </c>
      <c r="O249" s="42" t="s">
        <v>1252</v>
      </c>
      <c r="P249" s="42" t="s">
        <v>1253</v>
      </c>
      <c r="Q249" s="42" t="s">
        <v>1254</v>
      </c>
      <c r="R249" s="42" t="s">
        <v>1255</v>
      </c>
      <c r="S249" s="42" t="s">
        <v>1256</v>
      </c>
      <c r="T249" s="42"/>
    </row>
    <row r="250" spans="1:20" x14ac:dyDescent="0.3">
      <c r="A250" s="37"/>
      <c r="B250" s="37"/>
      <c r="C250" s="40">
        <f t="shared" si="12"/>
        <v>0</v>
      </c>
      <c r="D250" s="39">
        <v>0</v>
      </c>
      <c r="E250" s="39">
        <v>0</v>
      </c>
      <c r="F250" s="39">
        <f t="shared" si="13"/>
        <v>0</v>
      </c>
      <c r="G250" s="39">
        <v>0</v>
      </c>
      <c r="H250" s="39"/>
      <c r="I250" s="39">
        <v>0</v>
      </c>
      <c r="J250" s="39">
        <v>0</v>
      </c>
      <c r="K250" s="39">
        <v>0</v>
      </c>
      <c r="L250" s="40">
        <f t="shared" si="14"/>
        <v>0</v>
      </c>
      <c r="M250" s="41">
        <v>0</v>
      </c>
      <c r="N250" s="41">
        <v>0</v>
      </c>
      <c r="O250" s="42" t="s">
        <v>1257</v>
      </c>
      <c r="P250" s="42" t="s">
        <v>1258</v>
      </c>
      <c r="Q250" s="42" t="s">
        <v>1259</v>
      </c>
      <c r="R250" s="42" t="s">
        <v>1260</v>
      </c>
      <c r="S250" s="42" t="s">
        <v>1261</v>
      </c>
      <c r="T250" s="42"/>
    </row>
    <row r="251" spans="1:20" x14ac:dyDescent="0.3">
      <c r="A251" s="37"/>
      <c r="B251" s="37"/>
      <c r="C251" s="40">
        <f t="shared" si="12"/>
        <v>0</v>
      </c>
      <c r="D251" s="39">
        <v>0</v>
      </c>
      <c r="E251" s="39">
        <v>0</v>
      </c>
      <c r="F251" s="39">
        <f t="shared" si="13"/>
        <v>0</v>
      </c>
      <c r="G251" s="39">
        <v>0</v>
      </c>
      <c r="H251" s="39"/>
      <c r="I251" s="39">
        <v>0</v>
      </c>
      <c r="J251" s="39">
        <v>0</v>
      </c>
      <c r="K251" s="39">
        <v>0</v>
      </c>
      <c r="L251" s="40">
        <f t="shared" si="14"/>
        <v>0</v>
      </c>
      <c r="M251" s="41">
        <v>0</v>
      </c>
      <c r="N251" s="41">
        <v>0</v>
      </c>
      <c r="O251" s="42" t="s">
        <v>1262</v>
      </c>
      <c r="P251" s="42" t="s">
        <v>1263</v>
      </c>
      <c r="Q251" s="42" t="s">
        <v>1264</v>
      </c>
      <c r="R251" s="42" t="s">
        <v>1265</v>
      </c>
      <c r="S251" s="42" t="s">
        <v>1266</v>
      </c>
      <c r="T251" s="42"/>
    </row>
    <row r="252" spans="1:20" x14ac:dyDescent="0.3">
      <c r="A252" s="37"/>
      <c r="B252" s="37"/>
      <c r="C252" s="40">
        <f t="shared" si="12"/>
        <v>0</v>
      </c>
      <c r="D252" s="39">
        <v>0</v>
      </c>
      <c r="E252" s="39">
        <v>0</v>
      </c>
      <c r="F252" s="39">
        <f t="shared" si="13"/>
        <v>0</v>
      </c>
      <c r="G252" s="39">
        <v>0</v>
      </c>
      <c r="H252" s="39"/>
      <c r="I252" s="39">
        <v>0</v>
      </c>
      <c r="J252" s="39">
        <v>0</v>
      </c>
      <c r="K252" s="39">
        <v>0</v>
      </c>
      <c r="L252" s="40">
        <f t="shared" si="14"/>
        <v>0</v>
      </c>
      <c r="M252" s="41">
        <v>0</v>
      </c>
      <c r="N252" s="41">
        <v>0</v>
      </c>
      <c r="O252" s="42" t="s">
        <v>1267</v>
      </c>
      <c r="P252" s="42" t="s">
        <v>1268</v>
      </c>
      <c r="Q252" s="42" t="s">
        <v>1269</v>
      </c>
      <c r="R252" s="42" t="s">
        <v>1270</v>
      </c>
      <c r="S252" s="42" t="s">
        <v>1271</v>
      </c>
      <c r="T252" s="42"/>
    </row>
    <row r="253" spans="1:20" x14ac:dyDescent="0.3">
      <c r="A253" s="37"/>
      <c r="B253" s="37"/>
      <c r="C253" s="40">
        <f t="shared" si="12"/>
        <v>0</v>
      </c>
      <c r="D253" s="39">
        <v>0</v>
      </c>
      <c r="E253" s="39">
        <v>0</v>
      </c>
      <c r="F253" s="39">
        <f t="shared" si="13"/>
        <v>0</v>
      </c>
      <c r="G253" s="39">
        <v>0</v>
      </c>
      <c r="H253" s="39"/>
      <c r="I253" s="39">
        <v>0</v>
      </c>
      <c r="J253" s="39">
        <v>0</v>
      </c>
      <c r="K253" s="39">
        <v>0</v>
      </c>
      <c r="L253" s="40">
        <f t="shared" si="14"/>
        <v>0</v>
      </c>
      <c r="M253" s="41">
        <v>0</v>
      </c>
      <c r="N253" s="41">
        <v>0</v>
      </c>
      <c r="O253" s="42" t="s">
        <v>1272</v>
      </c>
      <c r="P253" s="42" t="s">
        <v>1273</v>
      </c>
      <c r="Q253" s="42" t="s">
        <v>1274</v>
      </c>
      <c r="R253" s="42" t="s">
        <v>1275</v>
      </c>
      <c r="S253" s="42" t="s">
        <v>1276</v>
      </c>
      <c r="T253" s="42"/>
    </row>
    <row r="254" spans="1:20" x14ac:dyDescent="0.3">
      <c r="A254" s="37"/>
      <c r="B254" s="37"/>
      <c r="C254" s="40">
        <f t="shared" si="12"/>
        <v>0</v>
      </c>
      <c r="D254" s="39">
        <v>0</v>
      </c>
      <c r="E254" s="39">
        <v>0</v>
      </c>
      <c r="F254" s="39">
        <f t="shared" si="13"/>
        <v>0</v>
      </c>
      <c r="G254" s="39">
        <v>0</v>
      </c>
      <c r="H254" s="39"/>
      <c r="I254" s="39">
        <v>0</v>
      </c>
      <c r="J254" s="39">
        <v>0</v>
      </c>
      <c r="K254" s="39">
        <v>0</v>
      </c>
      <c r="L254" s="40">
        <f t="shared" si="14"/>
        <v>0</v>
      </c>
      <c r="M254" s="41">
        <v>0</v>
      </c>
      <c r="N254" s="41">
        <v>0</v>
      </c>
      <c r="O254" s="42" t="s">
        <v>1277</v>
      </c>
      <c r="P254" s="42" t="s">
        <v>1278</v>
      </c>
      <c r="Q254" s="42" t="s">
        <v>1279</v>
      </c>
      <c r="R254" s="42" t="s">
        <v>1280</v>
      </c>
      <c r="S254" s="42" t="s">
        <v>1281</v>
      </c>
      <c r="T254" s="42"/>
    </row>
    <row r="255" spans="1:20" x14ac:dyDescent="0.3">
      <c r="A255" s="37"/>
      <c r="B255" s="37"/>
      <c r="C255" s="40">
        <f t="shared" si="12"/>
        <v>0</v>
      </c>
      <c r="D255" s="39">
        <v>0</v>
      </c>
      <c r="E255" s="39">
        <v>0</v>
      </c>
      <c r="F255" s="39">
        <f t="shared" si="13"/>
        <v>0</v>
      </c>
      <c r="G255" s="39">
        <v>0</v>
      </c>
      <c r="H255" s="39"/>
      <c r="I255" s="39">
        <v>0</v>
      </c>
      <c r="J255" s="39">
        <v>0</v>
      </c>
      <c r="K255" s="39">
        <v>0</v>
      </c>
      <c r="L255" s="40">
        <f t="shared" si="14"/>
        <v>0</v>
      </c>
      <c r="M255" s="41">
        <v>0</v>
      </c>
      <c r="N255" s="41">
        <v>0</v>
      </c>
      <c r="O255" s="42" t="s">
        <v>1282</v>
      </c>
      <c r="P255" s="42" t="s">
        <v>1283</v>
      </c>
      <c r="Q255" s="42" t="s">
        <v>1284</v>
      </c>
      <c r="R255" s="42" t="s">
        <v>1285</v>
      </c>
      <c r="S255" s="42" t="s">
        <v>1286</v>
      </c>
      <c r="T255" s="42"/>
    </row>
    <row r="256" spans="1:20" x14ac:dyDescent="0.3">
      <c r="A256" s="37"/>
      <c r="B256" s="37"/>
      <c r="C256" s="40">
        <f t="shared" si="12"/>
        <v>0</v>
      </c>
      <c r="D256" s="39">
        <v>0</v>
      </c>
      <c r="E256" s="39">
        <v>0</v>
      </c>
      <c r="F256" s="39">
        <f t="shared" si="13"/>
        <v>0</v>
      </c>
      <c r="G256" s="39">
        <v>0</v>
      </c>
      <c r="H256" s="39"/>
      <c r="I256" s="39">
        <v>0</v>
      </c>
      <c r="J256" s="39">
        <v>0</v>
      </c>
      <c r="K256" s="39">
        <v>0</v>
      </c>
      <c r="L256" s="40">
        <f t="shared" si="14"/>
        <v>0</v>
      </c>
      <c r="M256" s="41">
        <v>0</v>
      </c>
      <c r="N256" s="41">
        <v>0</v>
      </c>
      <c r="O256" s="42" t="s">
        <v>1287</v>
      </c>
      <c r="P256" s="42" t="s">
        <v>1288</v>
      </c>
      <c r="Q256" s="42" t="s">
        <v>1289</v>
      </c>
      <c r="R256" s="42" t="s">
        <v>1290</v>
      </c>
      <c r="S256" s="42" t="s">
        <v>1291</v>
      </c>
      <c r="T256" s="42"/>
    </row>
    <row r="257" spans="1:20" x14ac:dyDescent="0.3">
      <c r="A257" s="37"/>
      <c r="B257" s="37"/>
      <c r="C257" s="40">
        <f t="shared" si="12"/>
        <v>0</v>
      </c>
      <c r="D257" s="39">
        <v>0</v>
      </c>
      <c r="E257" s="39">
        <v>0</v>
      </c>
      <c r="F257" s="39">
        <f t="shared" si="13"/>
        <v>0</v>
      </c>
      <c r="G257" s="39">
        <v>0</v>
      </c>
      <c r="H257" s="39"/>
      <c r="I257" s="39">
        <v>0</v>
      </c>
      <c r="J257" s="39">
        <v>0</v>
      </c>
      <c r="K257" s="39">
        <v>0</v>
      </c>
      <c r="L257" s="40">
        <f t="shared" si="14"/>
        <v>0</v>
      </c>
      <c r="M257" s="41">
        <v>0</v>
      </c>
      <c r="N257" s="41">
        <v>0</v>
      </c>
      <c r="O257" s="42" t="s">
        <v>1292</v>
      </c>
      <c r="P257" s="42" t="s">
        <v>1293</v>
      </c>
      <c r="Q257" s="42" t="s">
        <v>1294</v>
      </c>
      <c r="R257" s="42" t="s">
        <v>1295</v>
      </c>
      <c r="S257" s="42" t="s">
        <v>1296</v>
      </c>
      <c r="T257" s="42"/>
    </row>
    <row r="258" spans="1:20" x14ac:dyDescent="0.3">
      <c r="A258" s="37"/>
      <c r="B258" s="37"/>
      <c r="C258" s="40">
        <f t="shared" si="12"/>
        <v>0</v>
      </c>
      <c r="D258" s="39">
        <v>0</v>
      </c>
      <c r="E258" s="39">
        <v>0</v>
      </c>
      <c r="F258" s="39">
        <f t="shared" si="13"/>
        <v>0</v>
      </c>
      <c r="G258" s="39">
        <v>0</v>
      </c>
      <c r="H258" s="39"/>
      <c r="I258" s="39">
        <v>0</v>
      </c>
      <c r="J258" s="39">
        <v>0</v>
      </c>
      <c r="K258" s="39">
        <v>0</v>
      </c>
      <c r="L258" s="40">
        <f t="shared" si="14"/>
        <v>0</v>
      </c>
      <c r="M258" s="41">
        <v>0</v>
      </c>
      <c r="N258" s="41">
        <v>0</v>
      </c>
      <c r="O258" s="42" t="s">
        <v>1297</v>
      </c>
      <c r="P258" s="42" t="s">
        <v>1298</v>
      </c>
      <c r="Q258" s="42" t="s">
        <v>1299</v>
      </c>
      <c r="R258" s="42" t="s">
        <v>1300</v>
      </c>
      <c r="S258" s="42" t="s">
        <v>1301</v>
      </c>
      <c r="T258" s="42"/>
    </row>
    <row r="259" spans="1:20" x14ac:dyDescent="0.3">
      <c r="A259" s="37"/>
      <c r="B259" s="37"/>
      <c r="C259" s="40">
        <f t="shared" si="12"/>
        <v>0</v>
      </c>
      <c r="D259" s="39">
        <v>0</v>
      </c>
      <c r="E259" s="39">
        <v>0</v>
      </c>
      <c r="F259" s="39">
        <f t="shared" si="13"/>
        <v>0</v>
      </c>
      <c r="G259" s="39">
        <v>0</v>
      </c>
      <c r="H259" s="39"/>
      <c r="I259" s="39">
        <v>0</v>
      </c>
      <c r="J259" s="39">
        <v>0</v>
      </c>
      <c r="K259" s="39">
        <v>0</v>
      </c>
      <c r="L259" s="40">
        <f t="shared" si="14"/>
        <v>0</v>
      </c>
      <c r="M259" s="41">
        <v>0</v>
      </c>
      <c r="N259" s="41">
        <v>0</v>
      </c>
      <c r="O259" s="42" t="s">
        <v>1302</v>
      </c>
      <c r="P259" s="42" t="s">
        <v>1303</v>
      </c>
      <c r="Q259" s="42" t="s">
        <v>1304</v>
      </c>
      <c r="R259" s="42" t="s">
        <v>1305</v>
      </c>
      <c r="S259" s="42" t="s">
        <v>1306</v>
      </c>
      <c r="T259" s="42"/>
    </row>
    <row r="260" spans="1:20" x14ac:dyDescent="0.3">
      <c r="A260" s="37"/>
      <c r="B260" s="37"/>
      <c r="C260" s="40">
        <f t="shared" si="12"/>
        <v>0</v>
      </c>
      <c r="D260" s="39">
        <v>0</v>
      </c>
      <c r="E260" s="39">
        <v>0</v>
      </c>
      <c r="F260" s="39">
        <f t="shared" si="13"/>
        <v>0</v>
      </c>
      <c r="G260" s="39">
        <v>0</v>
      </c>
      <c r="H260" s="39"/>
      <c r="I260" s="39">
        <v>0</v>
      </c>
      <c r="J260" s="39">
        <v>0</v>
      </c>
      <c r="K260" s="39">
        <v>0</v>
      </c>
      <c r="L260" s="40">
        <f t="shared" si="14"/>
        <v>0</v>
      </c>
      <c r="M260" s="41">
        <v>0</v>
      </c>
      <c r="N260" s="41">
        <v>0</v>
      </c>
      <c r="O260" s="42" t="s">
        <v>1307</v>
      </c>
      <c r="P260" s="42" t="s">
        <v>1308</v>
      </c>
      <c r="Q260" s="42" t="s">
        <v>1309</v>
      </c>
      <c r="R260" s="42" t="s">
        <v>1310</v>
      </c>
      <c r="S260" s="42" t="s">
        <v>1311</v>
      </c>
      <c r="T260" s="42"/>
    </row>
    <row r="261" spans="1:20" x14ac:dyDescent="0.3">
      <c r="A261" s="37"/>
      <c r="B261" s="37"/>
      <c r="C261" s="40">
        <f t="shared" si="12"/>
        <v>0</v>
      </c>
      <c r="D261" s="39">
        <v>0</v>
      </c>
      <c r="E261" s="39">
        <v>0</v>
      </c>
      <c r="F261" s="39">
        <f t="shared" si="13"/>
        <v>0</v>
      </c>
      <c r="G261" s="39">
        <v>0</v>
      </c>
      <c r="H261" s="39"/>
      <c r="I261" s="39">
        <v>0</v>
      </c>
      <c r="J261" s="39">
        <v>0</v>
      </c>
      <c r="K261" s="39">
        <v>0</v>
      </c>
      <c r="L261" s="40">
        <f t="shared" si="14"/>
        <v>0</v>
      </c>
      <c r="M261" s="41">
        <v>0</v>
      </c>
      <c r="N261" s="41">
        <v>0</v>
      </c>
      <c r="O261" s="42" t="s">
        <v>1312</v>
      </c>
      <c r="P261" s="42" t="s">
        <v>1313</v>
      </c>
      <c r="Q261" s="42" t="s">
        <v>1314</v>
      </c>
      <c r="R261" s="42" t="s">
        <v>1315</v>
      </c>
      <c r="S261" s="42" t="s">
        <v>1316</v>
      </c>
      <c r="T261" s="42"/>
    </row>
    <row r="262" spans="1:20" x14ac:dyDescent="0.3">
      <c r="A262" s="37"/>
      <c r="B262" s="37"/>
      <c r="C262" s="40">
        <f t="shared" si="12"/>
        <v>0</v>
      </c>
      <c r="D262" s="39">
        <v>0</v>
      </c>
      <c r="E262" s="39">
        <v>0</v>
      </c>
      <c r="F262" s="39">
        <f t="shared" si="13"/>
        <v>0</v>
      </c>
      <c r="G262" s="39">
        <v>0</v>
      </c>
      <c r="H262" s="39"/>
      <c r="I262" s="39">
        <v>0</v>
      </c>
      <c r="J262" s="39">
        <v>0</v>
      </c>
      <c r="K262" s="39">
        <v>0</v>
      </c>
      <c r="L262" s="40">
        <f t="shared" si="14"/>
        <v>0</v>
      </c>
      <c r="M262" s="41">
        <v>0</v>
      </c>
      <c r="N262" s="41">
        <v>0</v>
      </c>
      <c r="O262" s="42" t="s">
        <v>1317</v>
      </c>
      <c r="P262" s="42" t="s">
        <v>1318</v>
      </c>
      <c r="Q262" s="42" t="s">
        <v>1319</v>
      </c>
      <c r="R262" s="42" t="s">
        <v>1320</v>
      </c>
      <c r="S262" s="42" t="s">
        <v>1321</v>
      </c>
      <c r="T262" s="42"/>
    </row>
    <row r="263" spans="1:20" x14ac:dyDescent="0.3">
      <c r="A263" s="37"/>
      <c r="B263" s="37"/>
      <c r="C263" s="40">
        <f t="shared" si="12"/>
        <v>0</v>
      </c>
      <c r="D263" s="39">
        <v>0</v>
      </c>
      <c r="E263" s="39">
        <v>0</v>
      </c>
      <c r="F263" s="39">
        <f t="shared" si="13"/>
        <v>0</v>
      </c>
      <c r="G263" s="39">
        <v>0</v>
      </c>
      <c r="H263" s="39"/>
      <c r="I263" s="39">
        <v>0</v>
      </c>
      <c r="J263" s="39">
        <v>0</v>
      </c>
      <c r="K263" s="39">
        <v>0</v>
      </c>
      <c r="L263" s="40">
        <f t="shared" si="14"/>
        <v>0</v>
      </c>
      <c r="M263" s="41">
        <v>0</v>
      </c>
      <c r="N263" s="41">
        <v>0</v>
      </c>
      <c r="O263" s="42" t="s">
        <v>1322</v>
      </c>
      <c r="P263" s="42" t="s">
        <v>1323</v>
      </c>
      <c r="Q263" s="42" t="s">
        <v>1324</v>
      </c>
      <c r="R263" s="42" t="s">
        <v>1325</v>
      </c>
      <c r="S263" s="42" t="s">
        <v>1326</v>
      </c>
      <c r="T263" s="42"/>
    </row>
    <row r="264" spans="1:20" x14ac:dyDescent="0.3">
      <c r="A264" s="37"/>
      <c r="B264" s="37"/>
      <c r="C264" s="40">
        <f t="shared" si="12"/>
        <v>0</v>
      </c>
      <c r="D264" s="39">
        <v>0</v>
      </c>
      <c r="E264" s="39">
        <v>0</v>
      </c>
      <c r="F264" s="39">
        <f t="shared" si="13"/>
        <v>0</v>
      </c>
      <c r="G264" s="39">
        <v>0</v>
      </c>
      <c r="H264" s="39"/>
      <c r="I264" s="39">
        <v>0</v>
      </c>
      <c r="J264" s="39">
        <v>0</v>
      </c>
      <c r="K264" s="39">
        <v>0</v>
      </c>
      <c r="L264" s="40">
        <f t="shared" si="14"/>
        <v>0</v>
      </c>
      <c r="M264" s="41">
        <v>0</v>
      </c>
      <c r="N264" s="41">
        <v>0</v>
      </c>
      <c r="O264" s="42" t="s">
        <v>1327</v>
      </c>
      <c r="P264" s="42" t="s">
        <v>1328</v>
      </c>
      <c r="Q264" s="42" t="s">
        <v>1329</v>
      </c>
      <c r="R264" s="42" t="s">
        <v>1330</v>
      </c>
      <c r="S264" s="42" t="s">
        <v>1331</v>
      </c>
      <c r="T264" s="42"/>
    </row>
    <row r="265" spans="1:20" x14ac:dyDescent="0.3">
      <c r="A265" s="37"/>
      <c r="B265" s="37"/>
      <c r="C265" s="40">
        <f t="shared" si="12"/>
        <v>0</v>
      </c>
      <c r="D265" s="39">
        <v>0</v>
      </c>
      <c r="E265" s="39">
        <v>0</v>
      </c>
      <c r="F265" s="39">
        <f t="shared" si="13"/>
        <v>0</v>
      </c>
      <c r="G265" s="39">
        <v>0</v>
      </c>
      <c r="H265" s="39"/>
      <c r="I265" s="39">
        <v>0</v>
      </c>
      <c r="J265" s="39">
        <v>0</v>
      </c>
      <c r="K265" s="39">
        <v>0</v>
      </c>
      <c r="L265" s="40">
        <f t="shared" si="14"/>
        <v>0</v>
      </c>
      <c r="M265" s="41">
        <v>0</v>
      </c>
      <c r="N265" s="41">
        <v>0</v>
      </c>
      <c r="O265" s="42" t="s">
        <v>1332</v>
      </c>
      <c r="P265" s="42" t="s">
        <v>1333</v>
      </c>
      <c r="Q265" s="42" t="s">
        <v>1334</v>
      </c>
      <c r="R265" s="42" t="s">
        <v>1335</v>
      </c>
      <c r="S265" s="42" t="s">
        <v>1336</v>
      </c>
      <c r="T265" s="42"/>
    </row>
    <row r="266" spans="1:20" x14ac:dyDescent="0.3">
      <c r="A266" s="37"/>
      <c r="B266" s="37"/>
      <c r="C266" s="40">
        <f t="shared" si="12"/>
        <v>0</v>
      </c>
      <c r="D266" s="39">
        <v>0</v>
      </c>
      <c r="E266" s="39">
        <v>0</v>
      </c>
      <c r="F266" s="39">
        <f t="shared" si="13"/>
        <v>0</v>
      </c>
      <c r="G266" s="39">
        <v>0</v>
      </c>
      <c r="H266" s="39"/>
      <c r="I266" s="39">
        <v>0</v>
      </c>
      <c r="J266" s="39">
        <v>0</v>
      </c>
      <c r="K266" s="39">
        <v>0</v>
      </c>
      <c r="L266" s="40">
        <f t="shared" si="14"/>
        <v>0</v>
      </c>
      <c r="M266" s="41">
        <v>0</v>
      </c>
      <c r="N266" s="41">
        <v>0</v>
      </c>
      <c r="O266" s="42" t="s">
        <v>1337</v>
      </c>
      <c r="P266" s="42" t="s">
        <v>1338</v>
      </c>
      <c r="Q266" s="42" t="s">
        <v>1339</v>
      </c>
      <c r="R266" s="42" t="s">
        <v>1340</v>
      </c>
      <c r="S266" s="42" t="s">
        <v>1341</v>
      </c>
      <c r="T266" s="42"/>
    </row>
    <row r="267" spans="1:20" x14ac:dyDescent="0.3">
      <c r="A267" s="37"/>
      <c r="B267" s="37"/>
      <c r="C267" s="40">
        <f t="shared" si="12"/>
        <v>0</v>
      </c>
      <c r="D267" s="39">
        <v>0</v>
      </c>
      <c r="E267" s="39">
        <v>0</v>
      </c>
      <c r="F267" s="39">
        <f t="shared" si="13"/>
        <v>0</v>
      </c>
      <c r="G267" s="39">
        <v>0</v>
      </c>
      <c r="H267" s="39"/>
      <c r="I267" s="39">
        <v>0</v>
      </c>
      <c r="J267" s="39">
        <v>0</v>
      </c>
      <c r="K267" s="39">
        <v>0</v>
      </c>
      <c r="L267" s="40">
        <f t="shared" si="14"/>
        <v>0</v>
      </c>
      <c r="M267" s="41">
        <v>0</v>
      </c>
      <c r="N267" s="41">
        <v>0</v>
      </c>
      <c r="O267" s="42" t="s">
        <v>1342</v>
      </c>
      <c r="P267" s="42" t="s">
        <v>1343</v>
      </c>
      <c r="Q267" s="42" t="s">
        <v>1344</v>
      </c>
      <c r="R267" s="42" t="s">
        <v>1345</v>
      </c>
      <c r="S267" s="42" t="s">
        <v>1346</v>
      </c>
      <c r="T267" s="42"/>
    </row>
    <row r="268" spans="1:20" x14ac:dyDescent="0.3">
      <c r="A268" s="37"/>
      <c r="B268" s="37"/>
      <c r="C268" s="40">
        <f t="shared" si="12"/>
        <v>0</v>
      </c>
      <c r="D268" s="39">
        <v>0</v>
      </c>
      <c r="E268" s="39">
        <v>0</v>
      </c>
      <c r="F268" s="39">
        <f t="shared" si="13"/>
        <v>0</v>
      </c>
      <c r="G268" s="39">
        <v>0</v>
      </c>
      <c r="H268" s="39"/>
      <c r="I268" s="39">
        <v>0</v>
      </c>
      <c r="J268" s="39">
        <v>0</v>
      </c>
      <c r="K268" s="39">
        <v>0</v>
      </c>
      <c r="L268" s="40">
        <f t="shared" si="14"/>
        <v>0</v>
      </c>
      <c r="M268" s="41">
        <v>0</v>
      </c>
      <c r="N268" s="41">
        <v>0</v>
      </c>
      <c r="O268" s="42" t="s">
        <v>1347</v>
      </c>
      <c r="P268" s="42" t="s">
        <v>1348</v>
      </c>
      <c r="Q268" s="42" t="s">
        <v>1349</v>
      </c>
      <c r="R268" s="42" t="s">
        <v>1350</v>
      </c>
      <c r="S268" s="42" t="s">
        <v>1351</v>
      </c>
      <c r="T268" s="42"/>
    </row>
    <row r="269" spans="1:20" x14ac:dyDescent="0.3">
      <c r="A269" s="37"/>
      <c r="B269" s="37"/>
      <c r="C269" s="40">
        <f t="shared" si="12"/>
        <v>0</v>
      </c>
      <c r="D269" s="39">
        <v>0</v>
      </c>
      <c r="E269" s="39">
        <v>0</v>
      </c>
      <c r="F269" s="39">
        <f t="shared" si="13"/>
        <v>0</v>
      </c>
      <c r="G269" s="39">
        <v>0</v>
      </c>
      <c r="H269" s="39"/>
      <c r="I269" s="39">
        <v>0</v>
      </c>
      <c r="J269" s="39">
        <v>0</v>
      </c>
      <c r="K269" s="39">
        <v>0</v>
      </c>
      <c r="L269" s="40">
        <f t="shared" si="14"/>
        <v>0</v>
      </c>
      <c r="M269" s="41">
        <v>0</v>
      </c>
      <c r="N269" s="41">
        <v>0</v>
      </c>
      <c r="O269" s="42" t="s">
        <v>1352</v>
      </c>
      <c r="P269" s="42" t="s">
        <v>1353</v>
      </c>
      <c r="Q269" s="42" t="s">
        <v>1354</v>
      </c>
      <c r="R269" s="42" t="s">
        <v>1355</v>
      </c>
      <c r="S269" s="42" t="s">
        <v>1356</v>
      </c>
      <c r="T269" s="42"/>
    </row>
    <row r="270" spans="1:20" x14ac:dyDescent="0.3">
      <c r="A270" s="37"/>
      <c r="B270" s="37"/>
      <c r="C270" s="40">
        <f t="shared" si="12"/>
        <v>0</v>
      </c>
      <c r="D270" s="39">
        <v>0</v>
      </c>
      <c r="E270" s="39">
        <v>0</v>
      </c>
      <c r="F270" s="39">
        <f t="shared" si="13"/>
        <v>0</v>
      </c>
      <c r="G270" s="39">
        <v>0</v>
      </c>
      <c r="H270" s="39"/>
      <c r="I270" s="39">
        <v>0</v>
      </c>
      <c r="J270" s="39">
        <v>0</v>
      </c>
      <c r="K270" s="39">
        <v>0</v>
      </c>
      <c r="L270" s="40">
        <f t="shared" si="14"/>
        <v>0</v>
      </c>
      <c r="M270" s="41">
        <v>0</v>
      </c>
      <c r="N270" s="41">
        <v>0</v>
      </c>
      <c r="O270" s="42" t="s">
        <v>1357</v>
      </c>
      <c r="P270" s="42" t="s">
        <v>1358</v>
      </c>
      <c r="Q270" s="42" t="s">
        <v>1359</v>
      </c>
      <c r="R270" s="42" t="s">
        <v>1360</v>
      </c>
      <c r="S270" s="42" t="s">
        <v>1361</v>
      </c>
      <c r="T270" s="42"/>
    </row>
    <row r="271" spans="1:20" x14ac:dyDescent="0.3">
      <c r="A271" s="37"/>
      <c r="B271" s="37"/>
      <c r="C271" s="40">
        <f t="shared" si="12"/>
        <v>0</v>
      </c>
      <c r="D271" s="39">
        <v>0</v>
      </c>
      <c r="E271" s="39">
        <v>0</v>
      </c>
      <c r="F271" s="39">
        <f t="shared" si="13"/>
        <v>0</v>
      </c>
      <c r="G271" s="39">
        <v>0</v>
      </c>
      <c r="H271" s="39"/>
      <c r="I271" s="39">
        <v>0</v>
      </c>
      <c r="J271" s="39">
        <v>0</v>
      </c>
      <c r="K271" s="39">
        <v>0</v>
      </c>
      <c r="L271" s="40">
        <f t="shared" si="14"/>
        <v>0</v>
      </c>
      <c r="M271" s="41">
        <v>0</v>
      </c>
      <c r="N271" s="41">
        <v>0</v>
      </c>
      <c r="O271" s="42" t="s">
        <v>1362</v>
      </c>
      <c r="P271" s="42" t="s">
        <v>1363</v>
      </c>
      <c r="Q271" s="42" t="s">
        <v>1364</v>
      </c>
      <c r="R271" s="42" t="s">
        <v>1365</v>
      </c>
      <c r="S271" s="42" t="s">
        <v>1366</v>
      </c>
      <c r="T271" s="42"/>
    </row>
    <row r="272" spans="1:20" x14ac:dyDescent="0.3">
      <c r="A272" s="37"/>
      <c r="B272" s="37"/>
      <c r="C272" s="40">
        <f t="shared" si="12"/>
        <v>0</v>
      </c>
      <c r="D272" s="39">
        <v>0</v>
      </c>
      <c r="E272" s="39">
        <v>0</v>
      </c>
      <c r="F272" s="39">
        <f t="shared" si="13"/>
        <v>0</v>
      </c>
      <c r="G272" s="39">
        <v>0</v>
      </c>
      <c r="H272" s="39"/>
      <c r="I272" s="39">
        <v>0</v>
      </c>
      <c r="J272" s="39">
        <v>0</v>
      </c>
      <c r="K272" s="39">
        <v>0</v>
      </c>
      <c r="L272" s="40">
        <f t="shared" si="14"/>
        <v>0</v>
      </c>
      <c r="M272" s="41">
        <v>0</v>
      </c>
      <c r="N272" s="41">
        <v>0</v>
      </c>
      <c r="O272" s="42" t="s">
        <v>1367</v>
      </c>
      <c r="P272" s="42" t="s">
        <v>1368</v>
      </c>
      <c r="Q272" s="42" t="s">
        <v>1369</v>
      </c>
      <c r="R272" s="42" t="s">
        <v>1370</v>
      </c>
      <c r="S272" s="42" t="s">
        <v>1371</v>
      </c>
      <c r="T272" s="42"/>
    </row>
    <row r="273" spans="1:20" x14ac:dyDescent="0.3">
      <c r="A273" s="37"/>
      <c r="B273" s="37"/>
      <c r="C273" s="40">
        <f t="shared" si="12"/>
        <v>0</v>
      </c>
      <c r="D273" s="39">
        <v>0</v>
      </c>
      <c r="E273" s="39">
        <v>0</v>
      </c>
      <c r="F273" s="39">
        <f t="shared" si="13"/>
        <v>0</v>
      </c>
      <c r="G273" s="39">
        <v>0</v>
      </c>
      <c r="H273" s="39"/>
      <c r="I273" s="39">
        <v>0</v>
      </c>
      <c r="J273" s="39">
        <v>0</v>
      </c>
      <c r="K273" s="39">
        <v>0</v>
      </c>
      <c r="L273" s="40">
        <f t="shared" si="14"/>
        <v>0</v>
      </c>
      <c r="M273" s="41">
        <v>0</v>
      </c>
      <c r="N273" s="41">
        <v>0</v>
      </c>
      <c r="O273" s="42" t="s">
        <v>1372</v>
      </c>
      <c r="P273" s="42" t="s">
        <v>1373</v>
      </c>
      <c r="Q273" s="42" t="s">
        <v>1374</v>
      </c>
      <c r="R273" s="42" t="s">
        <v>1375</v>
      </c>
      <c r="S273" s="42" t="s">
        <v>1376</v>
      </c>
      <c r="T273" s="42"/>
    </row>
    <row r="274" spans="1:20" x14ac:dyDescent="0.3">
      <c r="A274" s="37"/>
      <c r="B274" s="37"/>
      <c r="C274" s="40">
        <f t="shared" si="12"/>
        <v>0</v>
      </c>
      <c r="D274" s="39">
        <v>0</v>
      </c>
      <c r="E274" s="39">
        <v>0</v>
      </c>
      <c r="F274" s="39">
        <f t="shared" si="13"/>
        <v>0</v>
      </c>
      <c r="G274" s="39">
        <v>0</v>
      </c>
      <c r="H274" s="39"/>
      <c r="I274" s="39">
        <v>0</v>
      </c>
      <c r="J274" s="39">
        <v>0</v>
      </c>
      <c r="K274" s="39">
        <v>0</v>
      </c>
      <c r="L274" s="40">
        <f t="shared" si="14"/>
        <v>0</v>
      </c>
      <c r="M274" s="41">
        <v>0</v>
      </c>
      <c r="N274" s="41">
        <v>0</v>
      </c>
      <c r="O274" s="42" t="s">
        <v>1377</v>
      </c>
      <c r="P274" s="42" t="s">
        <v>1378</v>
      </c>
      <c r="Q274" s="42" t="s">
        <v>1379</v>
      </c>
      <c r="R274" s="42" t="s">
        <v>1380</v>
      </c>
      <c r="S274" s="42" t="s">
        <v>1381</v>
      </c>
      <c r="T274" s="42"/>
    </row>
    <row r="275" spans="1:20" x14ac:dyDescent="0.3">
      <c r="A275" s="37"/>
      <c r="B275" s="37"/>
      <c r="C275" s="40">
        <f t="shared" si="12"/>
        <v>0</v>
      </c>
      <c r="D275" s="39">
        <v>0</v>
      </c>
      <c r="E275" s="39">
        <v>0</v>
      </c>
      <c r="F275" s="39">
        <f t="shared" si="13"/>
        <v>0</v>
      </c>
      <c r="G275" s="39">
        <v>0</v>
      </c>
      <c r="H275" s="39"/>
      <c r="I275" s="39">
        <v>0</v>
      </c>
      <c r="J275" s="39">
        <v>0</v>
      </c>
      <c r="K275" s="39">
        <v>0</v>
      </c>
      <c r="L275" s="40">
        <f t="shared" si="14"/>
        <v>0</v>
      </c>
      <c r="M275" s="41">
        <v>0</v>
      </c>
      <c r="N275" s="41">
        <v>0</v>
      </c>
      <c r="O275" s="42" t="s">
        <v>1382</v>
      </c>
      <c r="P275" s="42" t="s">
        <v>1383</v>
      </c>
      <c r="Q275" s="42" t="s">
        <v>1384</v>
      </c>
      <c r="R275" s="42" t="s">
        <v>1385</v>
      </c>
      <c r="S275" s="42" t="s">
        <v>1386</v>
      </c>
      <c r="T275" s="42"/>
    </row>
    <row r="276" spans="1:20" x14ac:dyDescent="0.3">
      <c r="A276" s="37"/>
      <c r="B276" s="37"/>
      <c r="C276" s="40">
        <f t="shared" si="12"/>
        <v>0</v>
      </c>
      <c r="D276" s="39">
        <v>0</v>
      </c>
      <c r="E276" s="39">
        <v>0</v>
      </c>
      <c r="F276" s="39">
        <f t="shared" si="13"/>
        <v>0</v>
      </c>
      <c r="G276" s="39">
        <v>0</v>
      </c>
      <c r="H276" s="39"/>
      <c r="I276" s="39">
        <v>0</v>
      </c>
      <c r="J276" s="39">
        <v>0</v>
      </c>
      <c r="K276" s="39">
        <v>0</v>
      </c>
      <c r="L276" s="40">
        <f t="shared" si="14"/>
        <v>0</v>
      </c>
      <c r="M276" s="41">
        <v>0</v>
      </c>
      <c r="N276" s="41">
        <v>0</v>
      </c>
      <c r="O276" s="42" t="s">
        <v>1387</v>
      </c>
      <c r="P276" s="42" t="s">
        <v>1388</v>
      </c>
      <c r="Q276" s="42" t="s">
        <v>1389</v>
      </c>
      <c r="R276" s="42" t="s">
        <v>1390</v>
      </c>
      <c r="S276" s="42" t="s">
        <v>1391</v>
      </c>
      <c r="T276" s="42"/>
    </row>
    <row r="277" spans="1:20" x14ac:dyDescent="0.3">
      <c r="A277" s="37"/>
      <c r="B277" s="37"/>
      <c r="C277" s="40">
        <f t="shared" si="12"/>
        <v>0</v>
      </c>
      <c r="D277" s="39">
        <v>0</v>
      </c>
      <c r="E277" s="39">
        <v>0</v>
      </c>
      <c r="F277" s="39">
        <f t="shared" si="13"/>
        <v>0</v>
      </c>
      <c r="G277" s="39">
        <v>0</v>
      </c>
      <c r="H277" s="39"/>
      <c r="I277" s="39">
        <v>0</v>
      </c>
      <c r="J277" s="39">
        <v>0</v>
      </c>
      <c r="K277" s="39">
        <v>0</v>
      </c>
      <c r="L277" s="40">
        <f t="shared" si="14"/>
        <v>0</v>
      </c>
      <c r="M277" s="41">
        <v>0</v>
      </c>
      <c r="N277" s="41">
        <v>0</v>
      </c>
      <c r="O277" s="42" t="s">
        <v>1392</v>
      </c>
      <c r="P277" s="42" t="s">
        <v>1393</v>
      </c>
      <c r="Q277" s="42" t="s">
        <v>1394</v>
      </c>
      <c r="R277" s="42" t="s">
        <v>1395</v>
      </c>
      <c r="S277" s="42" t="s">
        <v>1396</v>
      </c>
      <c r="T277" s="42"/>
    </row>
    <row r="278" spans="1:20" x14ac:dyDescent="0.3">
      <c r="A278" s="37"/>
      <c r="B278" s="37"/>
      <c r="C278" s="40">
        <f t="shared" si="12"/>
        <v>0</v>
      </c>
      <c r="D278" s="39">
        <v>0</v>
      </c>
      <c r="E278" s="39">
        <v>0</v>
      </c>
      <c r="F278" s="39">
        <f t="shared" si="13"/>
        <v>0</v>
      </c>
      <c r="G278" s="39">
        <v>0</v>
      </c>
      <c r="H278" s="39"/>
      <c r="I278" s="39">
        <v>0</v>
      </c>
      <c r="J278" s="39">
        <v>0</v>
      </c>
      <c r="K278" s="39">
        <v>0</v>
      </c>
      <c r="L278" s="40">
        <f t="shared" si="14"/>
        <v>0</v>
      </c>
      <c r="M278" s="41">
        <v>0</v>
      </c>
      <c r="N278" s="41">
        <v>0</v>
      </c>
      <c r="O278" s="42" t="s">
        <v>1397</v>
      </c>
      <c r="P278" s="42" t="s">
        <v>1398</v>
      </c>
      <c r="Q278" s="42" t="s">
        <v>1399</v>
      </c>
      <c r="R278" s="42" t="s">
        <v>1400</v>
      </c>
      <c r="S278" s="42" t="s">
        <v>1401</v>
      </c>
      <c r="T278" s="42"/>
    </row>
    <row r="279" spans="1:20" x14ac:dyDescent="0.3">
      <c r="A279" s="37"/>
      <c r="B279" s="37"/>
      <c r="C279" s="40">
        <f t="shared" si="12"/>
        <v>0</v>
      </c>
      <c r="D279" s="39">
        <v>0</v>
      </c>
      <c r="E279" s="39">
        <v>0</v>
      </c>
      <c r="F279" s="39">
        <f t="shared" si="13"/>
        <v>0</v>
      </c>
      <c r="G279" s="39">
        <v>0</v>
      </c>
      <c r="H279" s="39"/>
      <c r="I279" s="39">
        <v>0</v>
      </c>
      <c r="J279" s="39">
        <v>0</v>
      </c>
      <c r="K279" s="39">
        <v>0</v>
      </c>
      <c r="L279" s="40">
        <f t="shared" si="14"/>
        <v>0</v>
      </c>
      <c r="M279" s="41">
        <v>0</v>
      </c>
      <c r="N279" s="41">
        <v>0</v>
      </c>
      <c r="O279" s="42" t="s">
        <v>1402</v>
      </c>
      <c r="P279" s="42" t="s">
        <v>1403</v>
      </c>
      <c r="Q279" s="42" t="s">
        <v>1404</v>
      </c>
      <c r="R279" s="42" t="s">
        <v>1405</v>
      </c>
      <c r="S279" s="42" t="s">
        <v>1406</v>
      </c>
      <c r="T279" s="42"/>
    </row>
    <row r="280" spans="1:20" x14ac:dyDescent="0.3">
      <c r="A280" s="37"/>
      <c r="B280" s="37"/>
      <c r="C280" s="40">
        <f t="shared" si="12"/>
        <v>0</v>
      </c>
      <c r="D280" s="39">
        <v>0</v>
      </c>
      <c r="E280" s="39">
        <v>0</v>
      </c>
      <c r="F280" s="39">
        <f t="shared" si="13"/>
        <v>0</v>
      </c>
      <c r="G280" s="39">
        <v>0</v>
      </c>
      <c r="H280" s="39"/>
      <c r="I280" s="39">
        <v>0</v>
      </c>
      <c r="J280" s="39">
        <v>0</v>
      </c>
      <c r="K280" s="39">
        <v>0</v>
      </c>
      <c r="L280" s="40">
        <f t="shared" si="14"/>
        <v>0</v>
      </c>
      <c r="M280" s="41">
        <v>0</v>
      </c>
      <c r="N280" s="41">
        <v>0</v>
      </c>
      <c r="O280" s="42" t="s">
        <v>1407</v>
      </c>
      <c r="P280" s="42" t="s">
        <v>1408</v>
      </c>
      <c r="Q280" s="42" t="s">
        <v>1409</v>
      </c>
      <c r="R280" s="42" t="s">
        <v>1410</v>
      </c>
      <c r="S280" s="42" t="s">
        <v>1411</v>
      </c>
      <c r="T280" s="42"/>
    </row>
    <row r="281" spans="1:20" x14ac:dyDescent="0.3">
      <c r="A281" s="37"/>
      <c r="B281" s="37"/>
      <c r="C281" s="40">
        <f t="shared" si="12"/>
        <v>0</v>
      </c>
      <c r="D281" s="39">
        <v>0</v>
      </c>
      <c r="E281" s="39">
        <v>0</v>
      </c>
      <c r="F281" s="39">
        <f t="shared" si="13"/>
        <v>0</v>
      </c>
      <c r="G281" s="39">
        <v>0</v>
      </c>
      <c r="H281" s="39"/>
      <c r="I281" s="39">
        <v>0</v>
      </c>
      <c r="J281" s="39">
        <v>0</v>
      </c>
      <c r="K281" s="39">
        <v>0</v>
      </c>
      <c r="L281" s="40">
        <f t="shared" si="14"/>
        <v>0</v>
      </c>
      <c r="M281" s="41">
        <v>0</v>
      </c>
      <c r="N281" s="41">
        <v>0</v>
      </c>
      <c r="O281" s="42" t="s">
        <v>1412</v>
      </c>
      <c r="P281" s="42" t="s">
        <v>1413</v>
      </c>
      <c r="Q281" s="42" t="s">
        <v>1414</v>
      </c>
      <c r="R281" s="42" t="s">
        <v>1415</v>
      </c>
      <c r="S281" s="42" t="s">
        <v>1416</v>
      </c>
      <c r="T281" s="42"/>
    </row>
    <row r="282" spans="1:20" x14ac:dyDescent="0.3">
      <c r="A282" s="37"/>
      <c r="B282" s="37"/>
      <c r="C282" s="40">
        <f t="shared" si="12"/>
        <v>0</v>
      </c>
      <c r="D282" s="39">
        <v>0</v>
      </c>
      <c r="E282" s="39">
        <v>0</v>
      </c>
      <c r="F282" s="39">
        <f t="shared" si="13"/>
        <v>0</v>
      </c>
      <c r="G282" s="39">
        <v>0</v>
      </c>
      <c r="H282" s="39"/>
      <c r="I282" s="39">
        <v>0</v>
      </c>
      <c r="J282" s="39">
        <v>0</v>
      </c>
      <c r="K282" s="39">
        <v>0</v>
      </c>
      <c r="L282" s="40">
        <f t="shared" si="14"/>
        <v>0</v>
      </c>
      <c r="M282" s="41">
        <v>0</v>
      </c>
      <c r="N282" s="41">
        <v>0</v>
      </c>
      <c r="O282" s="42" t="s">
        <v>1417</v>
      </c>
      <c r="P282" s="42" t="s">
        <v>1418</v>
      </c>
      <c r="Q282" s="42" t="s">
        <v>1419</v>
      </c>
      <c r="R282" s="42" t="s">
        <v>1420</v>
      </c>
      <c r="S282" s="42" t="s">
        <v>1421</v>
      </c>
      <c r="T282" s="42"/>
    </row>
    <row r="283" spans="1:20" x14ac:dyDescent="0.3">
      <c r="A283" s="37"/>
      <c r="B283" s="37"/>
      <c r="C283" s="40">
        <f t="shared" si="12"/>
        <v>0</v>
      </c>
      <c r="D283" s="39">
        <v>0</v>
      </c>
      <c r="E283" s="39">
        <v>0</v>
      </c>
      <c r="F283" s="39">
        <f t="shared" si="13"/>
        <v>0</v>
      </c>
      <c r="G283" s="39">
        <v>0</v>
      </c>
      <c r="H283" s="39"/>
      <c r="I283" s="39">
        <v>0</v>
      </c>
      <c r="J283" s="39">
        <v>0</v>
      </c>
      <c r="K283" s="39">
        <v>0</v>
      </c>
      <c r="L283" s="40">
        <f t="shared" si="14"/>
        <v>0</v>
      </c>
      <c r="M283" s="41">
        <v>0</v>
      </c>
      <c r="N283" s="41">
        <v>0</v>
      </c>
      <c r="O283" s="42" t="s">
        <v>1422</v>
      </c>
      <c r="P283" s="42" t="s">
        <v>1423</v>
      </c>
      <c r="Q283" s="42" t="s">
        <v>1424</v>
      </c>
      <c r="R283" s="42" t="s">
        <v>1425</v>
      </c>
      <c r="S283" s="42" t="s">
        <v>1426</v>
      </c>
      <c r="T283" s="42"/>
    </row>
    <row r="284" spans="1:20" x14ac:dyDescent="0.3">
      <c r="A284" s="37"/>
      <c r="B284" s="37"/>
      <c r="C284" s="40">
        <f t="shared" si="12"/>
        <v>0</v>
      </c>
      <c r="D284" s="39">
        <v>0</v>
      </c>
      <c r="E284" s="39">
        <v>0</v>
      </c>
      <c r="F284" s="39">
        <f t="shared" si="13"/>
        <v>0</v>
      </c>
      <c r="G284" s="39">
        <v>0</v>
      </c>
      <c r="H284" s="39"/>
      <c r="I284" s="39">
        <v>0</v>
      </c>
      <c r="J284" s="39">
        <v>0</v>
      </c>
      <c r="K284" s="39">
        <v>0</v>
      </c>
      <c r="L284" s="40">
        <f t="shared" si="14"/>
        <v>0</v>
      </c>
      <c r="M284" s="41">
        <v>0</v>
      </c>
      <c r="N284" s="41">
        <v>0</v>
      </c>
      <c r="O284" s="42" t="s">
        <v>1427</v>
      </c>
      <c r="P284" s="42" t="s">
        <v>1428</v>
      </c>
      <c r="Q284" s="42" t="s">
        <v>1429</v>
      </c>
      <c r="R284" s="42" t="s">
        <v>1430</v>
      </c>
      <c r="S284" s="42" t="s">
        <v>1431</v>
      </c>
      <c r="T284" s="42"/>
    </row>
    <row r="285" spans="1:20" x14ac:dyDescent="0.3">
      <c r="A285" s="37"/>
      <c r="B285" s="37"/>
      <c r="C285" s="40">
        <f t="shared" si="12"/>
        <v>0</v>
      </c>
      <c r="D285" s="39">
        <v>0</v>
      </c>
      <c r="E285" s="39">
        <v>0</v>
      </c>
      <c r="F285" s="39">
        <f t="shared" si="13"/>
        <v>0</v>
      </c>
      <c r="G285" s="39">
        <v>0</v>
      </c>
      <c r="H285" s="39"/>
      <c r="I285" s="39">
        <v>0</v>
      </c>
      <c r="J285" s="39">
        <v>0</v>
      </c>
      <c r="K285" s="39">
        <v>0</v>
      </c>
      <c r="L285" s="40">
        <f t="shared" si="14"/>
        <v>0</v>
      </c>
      <c r="M285" s="41">
        <v>0</v>
      </c>
      <c r="N285" s="41">
        <v>0</v>
      </c>
      <c r="O285" s="42" t="s">
        <v>1432</v>
      </c>
      <c r="P285" s="42" t="s">
        <v>1433</v>
      </c>
      <c r="Q285" s="42" t="s">
        <v>1434</v>
      </c>
      <c r="R285" s="42" t="s">
        <v>1435</v>
      </c>
      <c r="S285" s="42" t="s">
        <v>1436</v>
      </c>
      <c r="T285" s="42"/>
    </row>
    <row r="286" spans="1:20" x14ac:dyDescent="0.3">
      <c r="A286" s="37"/>
      <c r="B286" s="37"/>
      <c r="C286" s="40">
        <f t="shared" si="12"/>
        <v>0</v>
      </c>
      <c r="D286" s="39">
        <v>0</v>
      </c>
      <c r="E286" s="39">
        <v>0</v>
      </c>
      <c r="F286" s="39">
        <f t="shared" si="13"/>
        <v>0</v>
      </c>
      <c r="G286" s="39">
        <v>0</v>
      </c>
      <c r="H286" s="39"/>
      <c r="I286" s="39">
        <v>0</v>
      </c>
      <c r="J286" s="39">
        <v>0</v>
      </c>
      <c r="K286" s="39">
        <v>0</v>
      </c>
      <c r="L286" s="40">
        <f t="shared" si="14"/>
        <v>0</v>
      </c>
      <c r="M286" s="41">
        <v>0</v>
      </c>
      <c r="N286" s="41">
        <v>0</v>
      </c>
      <c r="O286" s="42" t="s">
        <v>1437</v>
      </c>
      <c r="P286" s="42" t="s">
        <v>1438</v>
      </c>
      <c r="Q286" s="42" t="s">
        <v>1439</v>
      </c>
      <c r="R286" s="42" t="s">
        <v>1440</v>
      </c>
      <c r="S286" s="42" t="s">
        <v>1441</v>
      </c>
      <c r="T286" s="42"/>
    </row>
    <row r="287" spans="1:20" x14ac:dyDescent="0.3">
      <c r="A287" s="37"/>
      <c r="B287" s="37"/>
      <c r="C287" s="40">
        <f t="shared" si="12"/>
        <v>0</v>
      </c>
      <c r="D287" s="39">
        <v>0</v>
      </c>
      <c r="E287" s="39">
        <v>0</v>
      </c>
      <c r="F287" s="39">
        <f t="shared" si="13"/>
        <v>0</v>
      </c>
      <c r="G287" s="39">
        <v>0</v>
      </c>
      <c r="H287" s="39"/>
      <c r="I287" s="39">
        <v>0</v>
      </c>
      <c r="J287" s="39">
        <v>0</v>
      </c>
      <c r="K287" s="39">
        <v>0</v>
      </c>
      <c r="L287" s="40">
        <f t="shared" si="14"/>
        <v>0</v>
      </c>
      <c r="M287" s="41">
        <v>0</v>
      </c>
      <c r="N287" s="41">
        <v>0</v>
      </c>
      <c r="O287" s="42" t="s">
        <v>1442</v>
      </c>
      <c r="P287" s="42" t="s">
        <v>1443</v>
      </c>
      <c r="Q287" s="42" t="s">
        <v>1444</v>
      </c>
      <c r="R287" s="42" t="s">
        <v>1445</v>
      </c>
      <c r="S287" s="42" t="s">
        <v>1446</v>
      </c>
      <c r="T287" s="42"/>
    </row>
    <row r="288" spans="1:20" x14ac:dyDescent="0.3">
      <c r="A288" s="37"/>
      <c r="B288" s="37"/>
      <c r="C288" s="40">
        <f t="shared" si="12"/>
        <v>0</v>
      </c>
      <c r="D288" s="39">
        <v>0</v>
      </c>
      <c r="E288" s="39">
        <v>0</v>
      </c>
      <c r="F288" s="39">
        <f t="shared" si="13"/>
        <v>0</v>
      </c>
      <c r="G288" s="39">
        <v>0</v>
      </c>
      <c r="H288" s="39"/>
      <c r="I288" s="39">
        <v>0</v>
      </c>
      <c r="J288" s="39">
        <v>0</v>
      </c>
      <c r="K288" s="39">
        <v>0</v>
      </c>
      <c r="L288" s="40">
        <f t="shared" si="14"/>
        <v>0</v>
      </c>
      <c r="M288" s="41">
        <v>0</v>
      </c>
      <c r="N288" s="41">
        <v>0</v>
      </c>
      <c r="O288" s="42" t="s">
        <v>1447</v>
      </c>
      <c r="P288" s="42" t="s">
        <v>1448</v>
      </c>
      <c r="Q288" s="42" t="s">
        <v>1449</v>
      </c>
      <c r="R288" s="42" t="s">
        <v>1450</v>
      </c>
      <c r="S288" s="42" t="s">
        <v>1451</v>
      </c>
      <c r="T288" s="42"/>
    </row>
    <row r="289" spans="1:20" x14ac:dyDescent="0.3">
      <c r="A289" s="37"/>
      <c r="B289" s="37"/>
      <c r="C289" s="40">
        <f t="shared" si="12"/>
        <v>0</v>
      </c>
      <c r="D289" s="39">
        <v>0</v>
      </c>
      <c r="E289" s="39">
        <v>0</v>
      </c>
      <c r="F289" s="39">
        <f t="shared" si="13"/>
        <v>0</v>
      </c>
      <c r="G289" s="39">
        <v>0</v>
      </c>
      <c r="H289" s="39"/>
      <c r="I289" s="39">
        <v>0</v>
      </c>
      <c r="J289" s="39">
        <v>0</v>
      </c>
      <c r="K289" s="39">
        <v>0</v>
      </c>
      <c r="L289" s="40">
        <f t="shared" si="14"/>
        <v>0</v>
      </c>
      <c r="M289" s="41">
        <v>0</v>
      </c>
      <c r="N289" s="41">
        <v>0</v>
      </c>
      <c r="O289" s="42" t="s">
        <v>1452</v>
      </c>
      <c r="P289" s="42" t="s">
        <v>1453</v>
      </c>
      <c r="Q289" s="42" t="s">
        <v>1454</v>
      </c>
      <c r="R289" s="42" t="s">
        <v>1455</v>
      </c>
      <c r="S289" s="42" t="s">
        <v>1456</v>
      </c>
      <c r="T289" s="42"/>
    </row>
    <row r="290" spans="1:20" x14ac:dyDescent="0.3">
      <c r="A290" s="37"/>
      <c r="B290" s="37"/>
      <c r="C290" s="40">
        <f t="shared" si="12"/>
        <v>0</v>
      </c>
      <c r="D290" s="39">
        <v>0</v>
      </c>
      <c r="E290" s="39">
        <v>0</v>
      </c>
      <c r="F290" s="39">
        <f t="shared" si="13"/>
        <v>0</v>
      </c>
      <c r="G290" s="39">
        <v>0</v>
      </c>
      <c r="H290" s="39"/>
      <c r="I290" s="39">
        <v>0</v>
      </c>
      <c r="J290" s="39">
        <v>0</v>
      </c>
      <c r="K290" s="39">
        <v>0</v>
      </c>
      <c r="L290" s="40">
        <f t="shared" si="14"/>
        <v>0</v>
      </c>
      <c r="M290" s="41">
        <v>0</v>
      </c>
      <c r="N290" s="41">
        <v>0</v>
      </c>
      <c r="O290" s="42" t="s">
        <v>1457</v>
      </c>
      <c r="P290" s="42" t="s">
        <v>1458</v>
      </c>
      <c r="Q290" s="42" t="s">
        <v>1459</v>
      </c>
      <c r="R290" s="42" t="s">
        <v>1460</v>
      </c>
      <c r="S290" s="42" t="s">
        <v>1461</v>
      </c>
      <c r="T290" s="42"/>
    </row>
    <row r="291" spans="1:20" x14ac:dyDescent="0.3">
      <c r="A291" s="37"/>
      <c r="B291" s="37"/>
      <c r="C291" s="40">
        <f t="shared" si="12"/>
        <v>0</v>
      </c>
      <c r="D291" s="39">
        <v>0</v>
      </c>
      <c r="E291" s="39">
        <v>0</v>
      </c>
      <c r="F291" s="39">
        <f t="shared" si="13"/>
        <v>0</v>
      </c>
      <c r="G291" s="39">
        <v>0</v>
      </c>
      <c r="H291" s="39"/>
      <c r="I291" s="39">
        <v>0</v>
      </c>
      <c r="J291" s="39">
        <v>0</v>
      </c>
      <c r="K291" s="39">
        <v>0</v>
      </c>
      <c r="L291" s="40">
        <f t="shared" si="14"/>
        <v>0</v>
      </c>
      <c r="M291" s="41">
        <v>0</v>
      </c>
      <c r="N291" s="41">
        <v>0</v>
      </c>
      <c r="O291" s="42" t="s">
        <v>1462</v>
      </c>
      <c r="P291" s="42" t="s">
        <v>1463</v>
      </c>
      <c r="Q291" s="42" t="s">
        <v>1464</v>
      </c>
      <c r="R291" s="42" t="s">
        <v>1465</v>
      </c>
      <c r="S291" s="42" t="s">
        <v>1466</v>
      </c>
      <c r="T291" s="42"/>
    </row>
    <row r="292" spans="1:20" x14ac:dyDescent="0.3">
      <c r="A292" s="37"/>
      <c r="B292" s="37"/>
      <c r="C292" s="40">
        <f t="shared" si="12"/>
        <v>0</v>
      </c>
      <c r="D292" s="39">
        <v>0</v>
      </c>
      <c r="E292" s="39">
        <v>0</v>
      </c>
      <c r="F292" s="39">
        <f t="shared" si="13"/>
        <v>0</v>
      </c>
      <c r="G292" s="39">
        <v>0</v>
      </c>
      <c r="H292" s="39"/>
      <c r="I292" s="39">
        <v>0</v>
      </c>
      <c r="J292" s="39">
        <v>0</v>
      </c>
      <c r="K292" s="39">
        <v>0</v>
      </c>
      <c r="L292" s="40">
        <f t="shared" si="14"/>
        <v>0</v>
      </c>
      <c r="M292" s="41">
        <v>0</v>
      </c>
      <c r="N292" s="41">
        <v>0</v>
      </c>
      <c r="O292" s="42" t="s">
        <v>1467</v>
      </c>
      <c r="P292" s="42" t="s">
        <v>1468</v>
      </c>
      <c r="Q292" s="42" t="s">
        <v>1469</v>
      </c>
      <c r="R292" s="42" t="s">
        <v>1470</v>
      </c>
      <c r="S292" s="42" t="s">
        <v>1471</v>
      </c>
      <c r="T292" s="42"/>
    </row>
    <row r="293" spans="1:20" x14ac:dyDescent="0.3">
      <c r="A293" s="37"/>
      <c r="B293" s="37"/>
      <c r="C293" s="40">
        <f t="shared" ref="C293:C356" si="15">L292</f>
        <v>0</v>
      </c>
      <c r="D293" s="39">
        <v>0</v>
      </c>
      <c r="E293" s="39">
        <v>0</v>
      </c>
      <c r="F293" s="39">
        <f t="shared" ref="F293:F356" si="16">E293-G293-H293</f>
        <v>0</v>
      </c>
      <c r="G293" s="39">
        <v>0</v>
      </c>
      <c r="H293" s="39"/>
      <c r="I293" s="39">
        <v>0</v>
      </c>
      <c r="J293" s="39">
        <v>0</v>
      </c>
      <c r="K293" s="39">
        <v>0</v>
      </c>
      <c r="L293" s="40">
        <f t="shared" ref="L293:L356" si="17">C293+J293+K293-H293-F293+D293</f>
        <v>0</v>
      </c>
      <c r="M293" s="41">
        <v>0</v>
      </c>
      <c r="N293" s="41">
        <v>0</v>
      </c>
      <c r="O293" s="42" t="s">
        <v>1472</v>
      </c>
      <c r="P293" s="42" t="s">
        <v>1473</v>
      </c>
      <c r="Q293" s="42" t="s">
        <v>1474</v>
      </c>
      <c r="R293" s="42" t="s">
        <v>1475</v>
      </c>
      <c r="S293" s="42" t="s">
        <v>1476</v>
      </c>
      <c r="T293" s="42"/>
    </row>
    <row r="294" spans="1:20" x14ac:dyDescent="0.3">
      <c r="A294" s="37"/>
      <c r="B294" s="37"/>
      <c r="C294" s="40">
        <f t="shared" si="15"/>
        <v>0</v>
      </c>
      <c r="D294" s="39">
        <v>0</v>
      </c>
      <c r="E294" s="39">
        <v>0</v>
      </c>
      <c r="F294" s="39">
        <f t="shared" si="16"/>
        <v>0</v>
      </c>
      <c r="G294" s="39">
        <v>0</v>
      </c>
      <c r="H294" s="39"/>
      <c r="I294" s="39">
        <v>0</v>
      </c>
      <c r="J294" s="39">
        <v>0</v>
      </c>
      <c r="K294" s="39">
        <v>0</v>
      </c>
      <c r="L294" s="40">
        <f t="shared" si="17"/>
        <v>0</v>
      </c>
      <c r="M294" s="41">
        <v>0</v>
      </c>
      <c r="N294" s="41">
        <v>0</v>
      </c>
      <c r="O294" s="42" t="s">
        <v>1477</v>
      </c>
      <c r="P294" s="42" t="s">
        <v>1478</v>
      </c>
      <c r="Q294" s="42" t="s">
        <v>1479</v>
      </c>
      <c r="R294" s="42" t="s">
        <v>1480</v>
      </c>
      <c r="S294" s="42" t="s">
        <v>1481</v>
      </c>
      <c r="T294" s="42"/>
    </row>
    <row r="295" spans="1:20" x14ac:dyDescent="0.3">
      <c r="A295" s="37"/>
      <c r="B295" s="37"/>
      <c r="C295" s="40">
        <f t="shared" si="15"/>
        <v>0</v>
      </c>
      <c r="D295" s="39">
        <v>0</v>
      </c>
      <c r="E295" s="39">
        <v>0</v>
      </c>
      <c r="F295" s="39">
        <f t="shared" si="16"/>
        <v>0</v>
      </c>
      <c r="G295" s="39">
        <v>0</v>
      </c>
      <c r="H295" s="39"/>
      <c r="I295" s="39">
        <v>0</v>
      </c>
      <c r="J295" s="39">
        <v>0</v>
      </c>
      <c r="K295" s="39">
        <v>0</v>
      </c>
      <c r="L295" s="40">
        <f t="shared" si="17"/>
        <v>0</v>
      </c>
      <c r="M295" s="41">
        <v>0</v>
      </c>
      <c r="N295" s="41">
        <v>0</v>
      </c>
      <c r="O295" s="42" t="s">
        <v>1482</v>
      </c>
      <c r="P295" s="42" t="s">
        <v>1483</v>
      </c>
      <c r="Q295" s="42" t="s">
        <v>1484</v>
      </c>
      <c r="R295" s="42" t="s">
        <v>1485</v>
      </c>
      <c r="S295" s="42" t="s">
        <v>1486</v>
      </c>
      <c r="T295" s="42"/>
    </row>
    <row r="296" spans="1:20" x14ac:dyDescent="0.3">
      <c r="A296" s="37"/>
      <c r="B296" s="37"/>
      <c r="C296" s="40">
        <f t="shared" si="15"/>
        <v>0</v>
      </c>
      <c r="D296" s="39">
        <v>0</v>
      </c>
      <c r="E296" s="39">
        <v>0</v>
      </c>
      <c r="F296" s="39">
        <f t="shared" si="16"/>
        <v>0</v>
      </c>
      <c r="G296" s="39">
        <v>0</v>
      </c>
      <c r="H296" s="39"/>
      <c r="I296" s="39">
        <v>0</v>
      </c>
      <c r="J296" s="39">
        <v>0</v>
      </c>
      <c r="K296" s="39">
        <v>0</v>
      </c>
      <c r="L296" s="40">
        <f t="shared" si="17"/>
        <v>0</v>
      </c>
      <c r="M296" s="41">
        <v>0</v>
      </c>
      <c r="N296" s="41">
        <v>0</v>
      </c>
      <c r="O296" s="42" t="s">
        <v>1487</v>
      </c>
      <c r="P296" s="42" t="s">
        <v>1488</v>
      </c>
      <c r="Q296" s="42" t="s">
        <v>1489</v>
      </c>
      <c r="R296" s="42" t="s">
        <v>1490</v>
      </c>
      <c r="S296" s="42" t="s">
        <v>1491</v>
      </c>
      <c r="T296" s="42"/>
    </row>
    <row r="297" spans="1:20" x14ac:dyDescent="0.3">
      <c r="A297" s="37"/>
      <c r="B297" s="37"/>
      <c r="C297" s="40">
        <f t="shared" si="15"/>
        <v>0</v>
      </c>
      <c r="D297" s="39">
        <v>0</v>
      </c>
      <c r="E297" s="39">
        <v>0</v>
      </c>
      <c r="F297" s="39">
        <f t="shared" si="16"/>
        <v>0</v>
      </c>
      <c r="G297" s="39">
        <v>0</v>
      </c>
      <c r="H297" s="39"/>
      <c r="I297" s="39">
        <v>0</v>
      </c>
      <c r="J297" s="39">
        <v>0</v>
      </c>
      <c r="K297" s="39">
        <v>0</v>
      </c>
      <c r="L297" s="40">
        <f t="shared" si="17"/>
        <v>0</v>
      </c>
      <c r="M297" s="41">
        <v>0</v>
      </c>
      <c r="N297" s="41">
        <v>0</v>
      </c>
      <c r="O297" s="42" t="s">
        <v>1492</v>
      </c>
      <c r="P297" s="42" t="s">
        <v>1493</v>
      </c>
      <c r="Q297" s="42" t="s">
        <v>1494</v>
      </c>
      <c r="R297" s="42" t="s">
        <v>1495</v>
      </c>
      <c r="S297" s="42" t="s">
        <v>1496</v>
      </c>
      <c r="T297" s="42"/>
    </row>
    <row r="298" spans="1:20" x14ac:dyDescent="0.3">
      <c r="A298" s="37"/>
      <c r="B298" s="37"/>
      <c r="C298" s="40">
        <f t="shared" si="15"/>
        <v>0</v>
      </c>
      <c r="D298" s="39">
        <v>0</v>
      </c>
      <c r="E298" s="39">
        <v>0</v>
      </c>
      <c r="F298" s="39">
        <f t="shared" si="16"/>
        <v>0</v>
      </c>
      <c r="G298" s="39">
        <v>0</v>
      </c>
      <c r="H298" s="39"/>
      <c r="I298" s="39">
        <v>0</v>
      </c>
      <c r="J298" s="39">
        <v>0</v>
      </c>
      <c r="K298" s="39">
        <v>0</v>
      </c>
      <c r="L298" s="40">
        <f t="shared" si="17"/>
        <v>0</v>
      </c>
      <c r="M298" s="41">
        <v>0</v>
      </c>
      <c r="N298" s="41">
        <v>0</v>
      </c>
      <c r="O298" s="42" t="s">
        <v>1497</v>
      </c>
      <c r="P298" s="42" t="s">
        <v>1498</v>
      </c>
      <c r="Q298" s="42" t="s">
        <v>1499</v>
      </c>
      <c r="R298" s="42" t="s">
        <v>1500</v>
      </c>
      <c r="S298" s="42" t="s">
        <v>1501</v>
      </c>
      <c r="T298" s="42"/>
    </row>
    <row r="299" spans="1:20" x14ac:dyDescent="0.3">
      <c r="A299" s="37"/>
      <c r="B299" s="37"/>
      <c r="C299" s="40">
        <f t="shared" si="15"/>
        <v>0</v>
      </c>
      <c r="D299" s="39">
        <v>0</v>
      </c>
      <c r="E299" s="39">
        <v>0</v>
      </c>
      <c r="F299" s="39">
        <f t="shared" si="16"/>
        <v>0</v>
      </c>
      <c r="G299" s="39">
        <v>0</v>
      </c>
      <c r="H299" s="39"/>
      <c r="I299" s="39">
        <v>0</v>
      </c>
      <c r="J299" s="39">
        <v>0</v>
      </c>
      <c r="K299" s="39">
        <v>0</v>
      </c>
      <c r="L299" s="40">
        <f t="shared" si="17"/>
        <v>0</v>
      </c>
      <c r="M299" s="41">
        <v>0</v>
      </c>
      <c r="N299" s="41">
        <v>0</v>
      </c>
      <c r="O299" s="42" t="s">
        <v>1502</v>
      </c>
      <c r="P299" s="42" t="s">
        <v>1503</v>
      </c>
      <c r="Q299" s="42" t="s">
        <v>1504</v>
      </c>
      <c r="R299" s="42" t="s">
        <v>1505</v>
      </c>
      <c r="S299" s="42" t="s">
        <v>1506</v>
      </c>
      <c r="T299" s="42"/>
    </row>
    <row r="300" spans="1:20" x14ac:dyDescent="0.3">
      <c r="A300" s="37"/>
      <c r="B300" s="37"/>
      <c r="C300" s="40">
        <f t="shared" si="15"/>
        <v>0</v>
      </c>
      <c r="D300" s="39">
        <v>0</v>
      </c>
      <c r="E300" s="39">
        <v>0</v>
      </c>
      <c r="F300" s="39">
        <f t="shared" si="16"/>
        <v>0</v>
      </c>
      <c r="G300" s="39">
        <v>0</v>
      </c>
      <c r="H300" s="39"/>
      <c r="I300" s="39">
        <v>0</v>
      </c>
      <c r="J300" s="39">
        <v>0</v>
      </c>
      <c r="K300" s="39">
        <v>0</v>
      </c>
      <c r="L300" s="40">
        <f t="shared" si="17"/>
        <v>0</v>
      </c>
      <c r="M300" s="41">
        <v>0</v>
      </c>
      <c r="N300" s="41">
        <v>0</v>
      </c>
      <c r="O300" s="42" t="s">
        <v>1507</v>
      </c>
      <c r="P300" s="42" t="s">
        <v>1508</v>
      </c>
      <c r="Q300" s="42" t="s">
        <v>1509</v>
      </c>
      <c r="R300" s="42" t="s">
        <v>1510</v>
      </c>
      <c r="S300" s="42" t="s">
        <v>1511</v>
      </c>
      <c r="T300" s="42"/>
    </row>
    <row r="301" spans="1:20" x14ac:dyDescent="0.3">
      <c r="A301" s="37"/>
      <c r="B301" s="37"/>
      <c r="C301" s="40">
        <f t="shared" si="15"/>
        <v>0</v>
      </c>
      <c r="D301" s="39">
        <v>0</v>
      </c>
      <c r="E301" s="39">
        <v>0</v>
      </c>
      <c r="F301" s="39">
        <f t="shared" si="16"/>
        <v>0</v>
      </c>
      <c r="G301" s="39">
        <v>0</v>
      </c>
      <c r="H301" s="39"/>
      <c r="I301" s="39">
        <v>0</v>
      </c>
      <c r="J301" s="39">
        <v>0</v>
      </c>
      <c r="K301" s="39">
        <v>0</v>
      </c>
      <c r="L301" s="40">
        <f t="shared" si="17"/>
        <v>0</v>
      </c>
      <c r="M301" s="41">
        <v>0</v>
      </c>
      <c r="N301" s="41">
        <v>0</v>
      </c>
      <c r="O301" s="42" t="s">
        <v>1512</v>
      </c>
      <c r="P301" s="42" t="s">
        <v>1513</v>
      </c>
      <c r="Q301" s="42" t="s">
        <v>1514</v>
      </c>
      <c r="R301" s="42" t="s">
        <v>1515</v>
      </c>
      <c r="S301" s="42" t="s">
        <v>1516</v>
      </c>
      <c r="T301" s="42"/>
    </row>
    <row r="302" spans="1:20" x14ac:dyDescent="0.3">
      <c r="A302" s="37"/>
      <c r="B302" s="37"/>
      <c r="C302" s="40">
        <f t="shared" si="15"/>
        <v>0</v>
      </c>
      <c r="D302" s="39">
        <v>0</v>
      </c>
      <c r="E302" s="39">
        <v>0</v>
      </c>
      <c r="F302" s="39">
        <f t="shared" si="16"/>
        <v>0</v>
      </c>
      <c r="G302" s="39">
        <v>0</v>
      </c>
      <c r="H302" s="39"/>
      <c r="I302" s="39">
        <v>0</v>
      </c>
      <c r="J302" s="39">
        <v>0</v>
      </c>
      <c r="K302" s="39">
        <v>0</v>
      </c>
      <c r="L302" s="40">
        <f t="shared" si="17"/>
        <v>0</v>
      </c>
      <c r="M302" s="41">
        <v>0</v>
      </c>
      <c r="N302" s="41">
        <v>0</v>
      </c>
      <c r="O302" s="42" t="s">
        <v>1517</v>
      </c>
      <c r="P302" s="42" t="s">
        <v>1518</v>
      </c>
      <c r="Q302" s="42" t="s">
        <v>1519</v>
      </c>
      <c r="R302" s="42" t="s">
        <v>1520</v>
      </c>
      <c r="S302" s="42" t="s">
        <v>1521</v>
      </c>
      <c r="T302" s="42"/>
    </row>
    <row r="303" spans="1:20" x14ac:dyDescent="0.3">
      <c r="A303" s="37"/>
      <c r="B303" s="37"/>
      <c r="C303" s="40">
        <f t="shared" si="15"/>
        <v>0</v>
      </c>
      <c r="D303" s="39">
        <v>0</v>
      </c>
      <c r="E303" s="39">
        <v>0</v>
      </c>
      <c r="F303" s="39">
        <f t="shared" si="16"/>
        <v>0</v>
      </c>
      <c r="G303" s="39">
        <v>0</v>
      </c>
      <c r="H303" s="39"/>
      <c r="I303" s="39">
        <v>0</v>
      </c>
      <c r="J303" s="39">
        <v>0</v>
      </c>
      <c r="K303" s="39">
        <v>0</v>
      </c>
      <c r="L303" s="40">
        <f t="shared" si="17"/>
        <v>0</v>
      </c>
      <c r="M303" s="41">
        <v>0</v>
      </c>
      <c r="N303" s="41">
        <v>0</v>
      </c>
      <c r="O303" s="42" t="s">
        <v>1522</v>
      </c>
      <c r="P303" s="42" t="s">
        <v>1523</v>
      </c>
      <c r="Q303" s="42" t="s">
        <v>1524</v>
      </c>
      <c r="R303" s="42" t="s">
        <v>1525</v>
      </c>
      <c r="S303" s="42" t="s">
        <v>1526</v>
      </c>
      <c r="T303" s="42"/>
    </row>
    <row r="304" spans="1:20" x14ac:dyDescent="0.3">
      <c r="A304" s="37"/>
      <c r="B304" s="37"/>
      <c r="C304" s="40">
        <f t="shared" si="15"/>
        <v>0</v>
      </c>
      <c r="D304" s="39">
        <v>0</v>
      </c>
      <c r="E304" s="39">
        <v>0</v>
      </c>
      <c r="F304" s="39">
        <f t="shared" si="16"/>
        <v>0</v>
      </c>
      <c r="G304" s="39">
        <v>0</v>
      </c>
      <c r="H304" s="39"/>
      <c r="I304" s="39">
        <v>0</v>
      </c>
      <c r="J304" s="39">
        <v>0</v>
      </c>
      <c r="K304" s="39">
        <v>0</v>
      </c>
      <c r="L304" s="40">
        <f t="shared" si="17"/>
        <v>0</v>
      </c>
      <c r="M304" s="41">
        <v>0</v>
      </c>
      <c r="N304" s="41">
        <v>0</v>
      </c>
      <c r="O304" s="42" t="s">
        <v>1527</v>
      </c>
      <c r="P304" s="42" t="s">
        <v>1528</v>
      </c>
      <c r="Q304" s="42" t="s">
        <v>1529</v>
      </c>
      <c r="R304" s="42" t="s">
        <v>1530</v>
      </c>
      <c r="S304" s="42" t="s">
        <v>1531</v>
      </c>
      <c r="T304" s="42"/>
    </row>
    <row r="305" spans="1:20" x14ac:dyDescent="0.3">
      <c r="A305" s="37"/>
      <c r="B305" s="37"/>
      <c r="C305" s="40">
        <f t="shared" si="15"/>
        <v>0</v>
      </c>
      <c r="D305" s="39">
        <v>0</v>
      </c>
      <c r="E305" s="39">
        <v>0</v>
      </c>
      <c r="F305" s="39">
        <f t="shared" si="16"/>
        <v>0</v>
      </c>
      <c r="G305" s="39">
        <v>0</v>
      </c>
      <c r="H305" s="39"/>
      <c r="I305" s="39">
        <v>0</v>
      </c>
      <c r="J305" s="39">
        <v>0</v>
      </c>
      <c r="K305" s="39">
        <v>0</v>
      </c>
      <c r="L305" s="40">
        <f t="shared" si="17"/>
        <v>0</v>
      </c>
      <c r="M305" s="41">
        <v>0</v>
      </c>
      <c r="N305" s="41">
        <v>0</v>
      </c>
      <c r="O305" s="42" t="s">
        <v>1532</v>
      </c>
      <c r="P305" s="42" t="s">
        <v>1533</v>
      </c>
      <c r="Q305" s="42" t="s">
        <v>1534</v>
      </c>
      <c r="R305" s="42" t="s">
        <v>1535</v>
      </c>
      <c r="S305" s="42" t="s">
        <v>1536</v>
      </c>
      <c r="T305" s="42"/>
    </row>
    <row r="306" spans="1:20" x14ac:dyDescent="0.3">
      <c r="A306" s="37"/>
      <c r="B306" s="37"/>
      <c r="C306" s="40">
        <f t="shared" si="15"/>
        <v>0</v>
      </c>
      <c r="D306" s="39">
        <v>0</v>
      </c>
      <c r="E306" s="39">
        <v>0</v>
      </c>
      <c r="F306" s="39">
        <f t="shared" si="16"/>
        <v>0</v>
      </c>
      <c r="G306" s="39">
        <v>0</v>
      </c>
      <c r="H306" s="39"/>
      <c r="I306" s="39">
        <v>0</v>
      </c>
      <c r="J306" s="39">
        <v>0</v>
      </c>
      <c r="K306" s="39">
        <v>0</v>
      </c>
      <c r="L306" s="40">
        <f t="shared" si="17"/>
        <v>0</v>
      </c>
      <c r="M306" s="41">
        <v>0</v>
      </c>
      <c r="N306" s="41">
        <v>0</v>
      </c>
      <c r="O306" s="42" t="s">
        <v>1537</v>
      </c>
      <c r="P306" s="42" t="s">
        <v>1538</v>
      </c>
      <c r="Q306" s="42" t="s">
        <v>1539</v>
      </c>
      <c r="R306" s="42" t="s">
        <v>1540</v>
      </c>
      <c r="S306" s="42" t="s">
        <v>1541</v>
      </c>
      <c r="T306" s="42"/>
    </row>
    <row r="307" spans="1:20" x14ac:dyDescent="0.3">
      <c r="A307" s="37"/>
      <c r="B307" s="37"/>
      <c r="C307" s="40">
        <f t="shared" si="15"/>
        <v>0</v>
      </c>
      <c r="D307" s="39">
        <v>0</v>
      </c>
      <c r="E307" s="39">
        <v>0</v>
      </c>
      <c r="F307" s="39">
        <f t="shared" si="16"/>
        <v>0</v>
      </c>
      <c r="G307" s="39">
        <v>0</v>
      </c>
      <c r="H307" s="39"/>
      <c r="I307" s="39">
        <v>0</v>
      </c>
      <c r="J307" s="39">
        <v>0</v>
      </c>
      <c r="K307" s="39">
        <v>0</v>
      </c>
      <c r="L307" s="40">
        <f t="shared" si="17"/>
        <v>0</v>
      </c>
      <c r="M307" s="41">
        <v>0</v>
      </c>
      <c r="N307" s="41">
        <v>0</v>
      </c>
      <c r="O307" s="42" t="s">
        <v>1542</v>
      </c>
      <c r="P307" s="42" t="s">
        <v>1543</v>
      </c>
      <c r="Q307" s="42" t="s">
        <v>1544</v>
      </c>
      <c r="R307" s="42" t="s">
        <v>1545</v>
      </c>
      <c r="S307" s="42" t="s">
        <v>1546</v>
      </c>
      <c r="T307" s="42"/>
    </row>
    <row r="308" spans="1:20" x14ac:dyDescent="0.3">
      <c r="A308" s="37"/>
      <c r="B308" s="37"/>
      <c r="C308" s="40">
        <f t="shared" si="15"/>
        <v>0</v>
      </c>
      <c r="D308" s="39">
        <v>0</v>
      </c>
      <c r="E308" s="39">
        <v>0</v>
      </c>
      <c r="F308" s="39">
        <f t="shared" si="16"/>
        <v>0</v>
      </c>
      <c r="G308" s="39">
        <v>0</v>
      </c>
      <c r="H308" s="39"/>
      <c r="I308" s="39">
        <v>0</v>
      </c>
      <c r="J308" s="39">
        <v>0</v>
      </c>
      <c r="K308" s="39">
        <v>0</v>
      </c>
      <c r="L308" s="40">
        <f t="shared" si="17"/>
        <v>0</v>
      </c>
      <c r="M308" s="41">
        <v>0</v>
      </c>
      <c r="N308" s="41">
        <v>0</v>
      </c>
      <c r="O308" s="42" t="s">
        <v>1547</v>
      </c>
      <c r="P308" s="42" t="s">
        <v>1548</v>
      </c>
      <c r="Q308" s="42" t="s">
        <v>1549</v>
      </c>
      <c r="R308" s="42" t="s">
        <v>1550</v>
      </c>
      <c r="S308" s="42" t="s">
        <v>1551</v>
      </c>
      <c r="T308" s="42"/>
    </row>
    <row r="309" spans="1:20" x14ac:dyDescent="0.3">
      <c r="A309" s="37"/>
      <c r="B309" s="37"/>
      <c r="C309" s="40">
        <f t="shared" si="15"/>
        <v>0</v>
      </c>
      <c r="D309" s="39">
        <v>0</v>
      </c>
      <c r="E309" s="39">
        <v>0</v>
      </c>
      <c r="F309" s="39">
        <f t="shared" si="16"/>
        <v>0</v>
      </c>
      <c r="G309" s="39">
        <v>0</v>
      </c>
      <c r="H309" s="39"/>
      <c r="I309" s="39">
        <v>0</v>
      </c>
      <c r="J309" s="39">
        <v>0</v>
      </c>
      <c r="K309" s="39">
        <v>0</v>
      </c>
      <c r="L309" s="40">
        <f t="shared" si="17"/>
        <v>0</v>
      </c>
      <c r="M309" s="41">
        <v>0</v>
      </c>
      <c r="N309" s="41">
        <v>0</v>
      </c>
      <c r="O309" s="42" t="s">
        <v>1552</v>
      </c>
      <c r="P309" s="42" t="s">
        <v>1553</v>
      </c>
      <c r="Q309" s="42" t="s">
        <v>1554</v>
      </c>
      <c r="R309" s="42" t="s">
        <v>1555</v>
      </c>
      <c r="S309" s="42" t="s">
        <v>1556</v>
      </c>
      <c r="T309" s="42"/>
    </row>
    <row r="310" spans="1:20" x14ac:dyDescent="0.3">
      <c r="A310" s="37"/>
      <c r="B310" s="37"/>
      <c r="C310" s="40">
        <f t="shared" si="15"/>
        <v>0</v>
      </c>
      <c r="D310" s="39">
        <v>0</v>
      </c>
      <c r="E310" s="39">
        <v>0</v>
      </c>
      <c r="F310" s="39">
        <f t="shared" si="16"/>
        <v>0</v>
      </c>
      <c r="G310" s="39">
        <v>0</v>
      </c>
      <c r="H310" s="39"/>
      <c r="I310" s="39">
        <v>0</v>
      </c>
      <c r="J310" s="39">
        <v>0</v>
      </c>
      <c r="K310" s="39">
        <v>0</v>
      </c>
      <c r="L310" s="40">
        <f t="shared" si="17"/>
        <v>0</v>
      </c>
      <c r="M310" s="41">
        <v>0</v>
      </c>
      <c r="N310" s="41">
        <v>0</v>
      </c>
      <c r="O310" s="42" t="s">
        <v>1557</v>
      </c>
      <c r="P310" s="42" t="s">
        <v>1558</v>
      </c>
      <c r="Q310" s="42" t="s">
        <v>1559</v>
      </c>
      <c r="R310" s="42" t="s">
        <v>1560</v>
      </c>
      <c r="S310" s="42" t="s">
        <v>1561</v>
      </c>
      <c r="T310" s="42"/>
    </row>
    <row r="311" spans="1:20" x14ac:dyDescent="0.3">
      <c r="A311" s="37"/>
      <c r="B311" s="37"/>
      <c r="C311" s="40">
        <f t="shared" si="15"/>
        <v>0</v>
      </c>
      <c r="D311" s="39">
        <v>0</v>
      </c>
      <c r="E311" s="39">
        <v>0</v>
      </c>
      <c r="F311" s="39">
        <f t="shared" si="16"/>
        <v>0</v>
      </c>
      <c r="G311" s="39">
        <v>0</v>
      </c>
      <c r="H311" s="39"/>
      <c r="I311" s="39">
        <v>0</v>
      </c>
      <c r="J311" s="39">
        <v>0</v>
      </c>
      <c r="K311" s="39">
        <v>0</v>
      </c>
      <c r="L311" s="40">
        <f t="shared" si="17"/>
        <v>0</v>
      </c>
      <c r="M311" s="41">
        <v>0</v>
      </c>
      <c r="N311" s="41">
        <v>0</v>
      </c>
      <c r="O311" s="42" t="s">
        <v>1562</v>
      </c>
      <c r="P311" s="42" t="s">
        <v>1563</v>
      </c>
      <c r="Q311" s="42" t="s">
        <v>1564</v>
      </c>
      <c r="R311" s="42" t="s">
        <v>1565</v>
      </c>
      <c r="S311" s="42" t="s">
        <v>1566</v>
      </c>
      <c r="T311" s="42"/>
    </row>
    <row r="312" spans="1:20" x14ac:dyDescent="0.3">
      <c r="A312" s="37"/>
      <c r="B312" s="37"/>
      <c r="C312" s="40">
        <f t="shared" si="15"/>
        <v>0</v>
      </c>
      <c r="D312" s="39">
        <v>0</v>
      </c>
      <c r="E312" s="39">
        <v>0</v>
      </c>
      <c r="F312" s="39">
        <f t="shared" si="16"/>
        <v>0</v>
      </c>
      <c r="G312" s="39">
        <v>0</v>
      </c>
      <c r="H312" s="39"/>
      <c r="I312" s="39">
        <v>0</v>
      </c>
      <c r="J312" s="39">
        <v>0</v>
      </c>
      <c r="K312" s="39">
        <v>0</v>
      </c>
      <c r="L312" s="40">
        <f t="shared" si="17"/>
        <v>0</v>
      </c>
      <c r="M312" s="41">
        <v>0</v>
      </c>
      <c r="N312" s="41">
        <v>0</v>
      </c>
      <c r="O312" s="42" t="s">
        <v>1567</v>
      </c>
      <c r="P312" s="42" t="s">
        <v>1568</v>
      </c>
      <c r="Q312" s="42" t="s">
        <v>1569</v>
      </c>
      <c r="R312" s="42" t="s">
        <v>1570</v>
      </c>
      <c r="S312" s="42" t="s">
        <v>1571</v>
      </c>
      <c r="T312" s="42"/>
    </row>
    <row r="313" spans="1:20" x14ac:dyDescent="0.3">
      <c r="A313" s="37"/>
      <c r="B313" s="37"/>
      <c r="C313" s="40">
        <f t="shared" si="15"/>
        <v>0</v>
      </c>
      <c r="D313" s="39">
        <v>0</v>
      </c>
      <c r="E313" s="39">
        <v>0</v>
      </c>
      <c r="F313" s="39">
        <f t="shared" si="16"/>
        <v>0</v>
      </c>
      <c r="G313" s="39">
        <v>0</v>
      </c>
      <c r="H313" s="39"/>
      <c r="I313" s="39">
        <v>0</v>
      </c>
      <c r="J313" s="39">
        <v>0</v>
      </c>
      <c r="K313" s="39">
        <v>0</v>
      </c>
      <c r="L313" s="40">
        <f t="shared" si="17"/>
        <v>0</v>
      </c>
      <c r="M313" s="41">
        <v>0</v>
      </c>
      <c r="N313" s="41">
        <v>0</v>
      </c>
      <c r="O313" s="42" t="s">
        <v>1572</v>
      </c>
      <c r="P313" s="42" t="s">
        <v>1573</v>
      </c>
      <c r="Q313" s="42" t="s">
        <v>1574</v>
      </c>
      <c r="R313" s="42" t="s">
        <v>1575</v>
      </c>
      <c r="S313" s="42" t="s">
        <v>1576</v>
      </c>
      <c r="T313" s="42"/>
    </row>
    <row r="314" spans="1:20" x14ac:dyDescent="0.3">
      <c r="A314" s="37"/>
      <c r="B314" s="37"/>
      <c r="C314" s="40">
        <f t="shared" si="15"/>
        <v>0</v>
      </c>
      <c r="D314" s="39">
        <v>0</v>
      </c>
      <c r="E314" s="39">
        <v>0</v>
      </c>
      <c r="F314" s="39">
        <f t="shared" si="16"/>
        <v>0</v>
      </c>
      <c r="G314" s="39">
        <v>0</v>
      </c>
      <c r="H314" s="39"/>
      <c r="I314" s="39">
        <v>0</v>
      </c>
      <c r="J314" s="39">
        <v>0</v>
      </c>
      <c r="K314" s="39">
        <v>0</v>
      </c>
      <c r="L314" s="40">
        <f t="shared" si="17"/>
        <v>0</v>
      </c>
      <c r="M314" s="41">
        <v>0</v>
      </c>
      <c r="N314" s="41">
        <v>0</v>
      </c>
      <c r="O314" s="42" t="s">
        <v>1577</v>
      </c>
      <c r="P314" s="42" t="s">
        <v>1578</v>
      </c>
      <c r="Q314" s="42" t="s">
        <v>1579</v>
      </c>
      <c r="R314" s="42" t="s">
        <v>1580</v>
      </c>
      <c r="S314" s="42" t="s">
        <v>1581</v>
      </c>
      <c r="T314" s="42"/>
    </row>
    <row r="315" spans="1:20" x14ac:dyDescent="0.3">
      <c r="A315" s="37"/>
      <c r="B315" s="37"/>
      <c r="C315" s="40">
        <f t="shared" si="15"/>
        <v>0</v>
      </c>
      <c r="D315" s="39">
        <v>0</v>
      </c>
      <c r="E315" s="39">
        <v>0</v>
      </c>
      <c r="F315" s="39">
        <f t="shared" si="16"/>
        <v>0</v>
      </c>
      <c r="G315" s="39">
        <v>0</v>
      </c>
      <c r="H315" s="39"/>
      <c r="I315" s="39">
        <v>0</v>
      </c>
      <c r="J315" s="39">
        <v>0</v>
      </c>
      <c r="K315" s="39">
        <v>0</v>
      </c>
      <c r="L315" s="40">
        <f t="shared" si="17"/>
        <v>0</v>
      </c>
      <c r="M315" s="41">
        <v>0</v>
      </c>
      <c r="N315" s="41">
        <v>0</v>
      </c>
      <c r="O315" s="42" t="s">
        <v>1582</v>
      </c>
      <c r="P315" s="42" t="s">
        <v>1583</v>
      </c>
      <c r="Q315" s="42" t="s">
        <v>1584</v>
      </c>
      <c r="R315" s="42" t="s">
        <v>1585</v>
      </c>
      <c r="S315" s="42" t="s">
        <v>1586</v>
      </c>
      <c r="T315" s="42"/>
    </row>
    <row r="316" spans="1:20" x14ac:dyDescent="0.3">
      <c r="A316" s="37"/>
      <c r="B316" s="37"/>
      <c r="C316" s="40">
        <f t="shared" si="15"/>
        <v>0</v>
      </c>
      <c r="D316" s="39">
        <v>0</v>
      </c>
      <c r="E316" s="39">
        <v>0</v>
      </c>
      <c r="F316" s="39">
        <f t="shared" si="16"/>
        <v>0</v>
      </c>
      <c r="G316" s="39">
        <v>0</v>
      </c>
      <c r="H316" s="39"/>
      <c r="I316" s="39">
        <v>0</v>
      </c>
      <c r="J316" s="39">
        <v>0</v>
      </c>
      <c r="K316" s="39">
        <v>0</v>
      </c>
      <c r="L316" s="40">
        <f t="shared" si="17"/>
        <v>0</v>
      </c>
      <c r="M316" s="41">
        <v>0</v>
      </c>
      <c r="N316" s="41">
        <v>0</v>
      </c>
      <c r="O316" s="42" t="s">
        <v>1587</v>
      </c>
      <c r="P316" s="42" t="s">
        <v>1588</v>
      </c>
      <c r="Q316" s="42" t="s">
        <v>1589</v>
      </c>
      <c r="R316" s="42" t="s">
        <v>1590</v>
      </c>
      <c r="S316" s="42" t="s">
        <v>1591</v>
      </c>
      <c r="T316" s="42"/>
    </row>
    <row r="317" spans="1:20" x14ac:dyDescent="0.3">
      <c r="A317" s="37"/>
      <c r="B317" s="37"/>
      <c r="C317" s="40">
        <f t="shared" si="15"/>
        <v>0</v>
      </c>
      <c r="D317" s="39">
        <v>0</v>
      </c>
      <c r="E317" s="39">
        <v>0</v>
      </c>
      <c r="F317" s="39">
        <f t="shared" si="16"/>
        <v>0</v>
      </c>
      <c r="G317" s="39">
        <v>0</v>
      </c>
      <c r="H317" s="39"/>
      <c r="I317" s="39">
        <v>0</v>
      </c>
      <c r="J317" s="39">
        <v>0</v>
      </c>
      <c r="K317" s="39">
        <v>0</v>
      </c>
      <c r="L317" s="40">
        <f t="shared" si="17"/>
        <v>0</v>
      </c>
      <c r="M317" s="41">
        <v>0</v>
      </c>
      <c r="N317" s="41">
        <v>0</v>
      </c>
      <c r="O317" s="42" t="s">
        <v>1592</v>
      </c>
      <c r="P317" s="42" t="s">
        <v>1593</v>
      </c>
      <c r="Q317" s="42" t="s">
        <v>1594</v>
      </c>
      <c r="R317" s="42" t="s">
        <v>1595</v>
      </c>
      <c r="S317" s="42" t="s">
        <v>1596</v>
      </c>
      <c r="T317" s="42"/>
    </row>
    <row r="318" spans="1:20" x14ac:dyDescent="0.3">
      <c r="A318" s="37"/>
      <c r="B318" s="37"/>
      <c r="C318" s="40">
        <f t="shared" si="15"/>
        <v>0</v>
      </c>
      <c r="D318" s="39">
        <v>0</v>
      </c>
      <c r="E318" s="39">
        <v>0</v>
      </c>
      <c r="F318" s="39">
        <f t="shared" si="16"/>
        <v>0</v>
      </c>
      <c r="G318" s="39">
        <v>0</v>
      </c>
      <c r="H318" s="39"/>
      <c r="I318" s="39">
        <v>0</v>
      </c>
      <c r="J318" s="39">
        <v>0</v>
      </c>
      <c r="K318" s="39">
        <v>0</v>
      </c>
      <c r="L318" s="40">
        <f t="shared" si="17"/>
        <v>0</v>
      </c>
      <c r="M318" s="41">
        <v>0</v>
      </c>
      <c r="N318" s="41">
        <v>0</v>
      </c>
      <c r="O318" s="42" t="s">
        <v>1597</v>
      </c>
      <c r="P318" s="42" t="s">
        <v>1598</v>
      </c>
      <c r="Q318" s="42" t="s">
        <v>1599</v>
      </c>
      <c r="R318" s="42" t="s">
        <v>1600</v>
      </c>
      <c r="S318" s="42" t="s">
        <v>1601</v>
      </c>
      <c r="T318" s="42"/>
    </row>
    <row r="319" spans="1:20" x14ac:dyDescent="0.3">
      <c r="A319" s="37"/>
      <c r="B319" s="37"/>
      <c r="C319" s="40">
        <f t="shared" si="15"/>
        <v>0</v>
      </c>
      <c r="D319" s="39">
        <v>0</v>
      </c>
      <c r="E319" s="39">
        <v>0</v>
      </c>
      <c r="F319" s="39">
        <f t="shared" si="16"/>
        <v>0</v>
      </c>
      <c r="G319" s="39">
        <v>0</v>
      </c>
      <c r="H319" s="39"/>
      <c r="I319" s="39">
        <v>0</v>
      </c>
      <c r="J319" s="39">
        <v>0</v>
      </c>
      <c r="K319" s="39">
        <v>0</v>
      </c>
      <c r="L319" s="40">
        <f t="shared" si="17"/>
        <v>0</v>
      </c>
      <c r="M319" s="41">
        <v>0</v>
      </c>
      <c r="N319" s="41">
        <v>0</v>
      </c>
      <c r="O319" s="42" t="s">
        <v>1602</v>
      </c>
      <c r="P319" s="42" t="s">
        <v>1603</v>
      </c>
      <c r="Q319" s="42" t="s">
        <v>1604</v>
      </c>
      <c r="R319" s="42" t="s">
        <v>1605</v>
      </c>
      <c r="S319" s="42" t="s">
        <v>1606</v>
      </c>
      <c r="T319" s="42"/>
    </row>
    <row r="320" spans="1:20" x14ac:dyDescent="0.3">
      <c r="A320" s="37"/>
      <c r="B320" s="37"/>
      <c r="C320" s="40">
        <f t="shared" si="15"/>
        <v>0</v>
      </c>
      <c r="D320" s="39">
        <v>0</v>
      </c>
      <c r="E320" s="39">
        <v>0</v>
      </c>
      <c r="F320" s="39">
        <f t="shared" si="16"/>
        <v>0</v>
      </c>
      <c r="G320" s="39">
        <v>0</v>
      </c>
      <c r="H320" s="39"/>
      <c r="I320" s="39">
        <v>0</v>
      </c>
      <c r="J320" s="39">
        <v>0</v>
      </c>
      <c r="K320" s="39">
        <v>0</v>
      </c>
      <c r="L320" s="40">
        <f t="shared" si="17"/>
        <v>0</v>
      </c>
      <c r="M320" s="41">
        <v>0</v>
      </c>
      <c r="N320" s="41">
        <v>0</v>
      </c>
      <c r="O320" s="42" t="s">
        <v>1607</v>
      </c>
      <c r="P320" s="42" t="s">
        <v>1608</v>
      </c>
      <c r="Q320" s="42" t="s">
        <v>1609</v>
      </c>
      <c r="R320" s="42" t="s">
        <v>1610</v>
      </c>
      <c r="S320" s="42" t="s">
        <v>1611</v>
      </c>
      <c r="T320" s="42"/>
    </row>
    <row r="321" spans="1:20" x14ac:dyDescent="0.3">
      <c r="A321" s="37"/>
      <c r="B321" s="37"/>
      <c r="C321" s="40">
        <f t="shared" si="15"/>
        <v>0</v>
      </c>
      <c r="D321" s="39">
        <v>0</v>
      </c>
      <c r="E321" s="39">
        <v>0</v>
      </c>
      <c r="F321" s="39">
        <f t="shared" si="16"/>
        <v>0</v>
      </c>
      <c r="G321" s="39">
        <v>0</v>
      </c>
      <c r="H321" s="39"/>
      <c r="I321" s="39">
        <v>0</v>
      </c>
      <c r="J321" s="39">
        <v>0</v>
      </c>
      <c r="K321" s="39">
        <v>0</v>
      </c>
      <c r="L321" s="40">
        <f t="shared" si="17"/>
        <v>0</v>
      </c>
      <c r="M321" s="41">
        <v>0</v>
      </c>
      <c r="N321" s="41">
        <v>0</v>
      </c>
      <c r="O321" s="42" t="s">
        <v>1612</v>
      </c>
      <c r="P321" s="42" t="s">
        <v>1613</v>
      </c>
      <c r="Q321" s="42" t="s">
        <v>1614</v>
      </c>
      <c r="R321" s="42" t="s">
        <v>1615</v>
      </c>
      <c r="S321" s="42" t="s">
        <v>1616</v>
      </c>
      <c r="T321" s="42"/>
    </row>
    <row r="322" spans="1:20" x14ac:dyDescent="0.3">
      <c r="A322" s="37"/>
      <c r="B322" s="37"/>
      <c r="C322" s="40">
        <f t="shared" si="15"/>
        <v>0</v>
      </c>
      <c r="D322" s="39">
        <v>0</v>
      </c>
      <c r="E322" s="39">
        <v>0</v>
      </c>
      <c r="F322" s="39">
        <f t="shared" si="16"/>
        <v>0</v>
      </c>
      <c r="G322" s="39">
        <v>0</v>
      </c>
      <c r="H322" s="39"/>
      <c r="I322" s="39">
        <v>0</v>
      </c>
      <c r="J322" s="39">
        <v>0</v>
      </c>
      <c r="K322" s="39">
        <v>0</v>
      </c>
      <c r="L322" s="40">
        <f t="shared" si="17"/>
        <v>0</v>
      </c>
      <c r="M322" s="41">
        <v>0</v>
      </c>
      <c r="N322" s="41">
        <v>0</v>
      </c>
      <c r="O322" s="42" t="s">
        <v>1617</v>
      </c>
      <c r="P322" s="42" t="s">
        <v>1618</v>
      </c>
      <c r="Q322" s="42" t="s">
        <v>1619</v>
      </c>
      <c r="R322" s="42" t="s">
        <v>1620</v>
      </c>
      <c r="S322" s="42" t="s">
        <v>1621</v>
      </c>
      <c r="T322" s="42"/>
    </row>
    <row r="323" spans="1:20" x14ac:dyDescent="0.3">
      <c r="A323" s="37"/>
      <c r="B323" s="37"/>
      <c r="C323" s="40">
        <f t="shared" si="15"/>
        <v>0</v>
      </c>
      <c r="D323" s="39">
        <v>0</v>
      </c>
      <c r="E323" s="39">
        <v>0</v>
      </c>
      <c r="F323" s="39">
        <f t="shared" si="16"/>
        <v>0</v>
      </c>
      <c r="G323" s="39">
        <v>0</v>
      </c>
      <c r="H323" s="39"/>
      <c r="I323" s="39">
        <v>0</v>
      </c>
      <c r="J323" s="39">
        <v>0</v>
      </c>
      <c r="K323" s="39">
        <v>0</v>
      </c>
      <c r="L323" s="40">
        <f t="shared" si="17"/>
        <v>0</v>
      </c>
      <c r="M323" s="41">
        <v>0</v>
      </c>
      <c r="N323" s="41">
        <v>0</v>
      </c>
      <c r="O323" s="42" t="s">
        <v>1622</v>
      </c>
      <c r="P323" s="42" t="s">
        <v>1623</v>
      </c>
      <c r="Q323" s="42" t="s">
        <v>1624</v>
      </c>
      <c r="R323" s="42" t="s">
        <v>1625</v>
      </c>
      <c r="S323" s="42" t="s">
        <v>1626</v>
      </c>
      <c r="T323" s="42"/>
    </row>
    <row r="324" spans="1:20" x14ac:dyDescent="0.3">
      <c r="A324" s="37"/>
      <c r="B324" s="37"/>
      <c r="C324" s="40">
        <f t="shared" si="15"/>
        <v>0</v>
      </c>
      <c r="D324" s="39">
        <v>0</v>
      </c>
      <c r="E324" s="39">
        <v>0</v>
      </c>
      <c r="F324" s="39">
        <f t="shared" si="16"/>
        <v>0</v>
      </c>
      <c r="G324" s="39">
        <v>0</v>
      </c>
      <c r="H324" s="39"/>
      <c r="I324" s="39">
        <v>0</v>
      </c>
      <c r="J324" s="39">
        <v>0</v>
      </c>
      <c r="K324" s="39">
        <v>0</v>
      </c>
      <c r="L324" s="40">
        <f t="shared" si="17"/>
        <v>0</v>
      </c>
      <c r="M324" s="41">
        <v>0</v>
      </c>
      <c r="N324" s="41">
        <v>0</v>
      </c>
      <c r="O324" s="42" t="s">
        <v>1627</v>
      </c>
      <c r="P324" s="42" t="s">
        <v>1628</v>
      </c>
      <c r="Q324" s="42" t="s">
        <v>1629</v>
      </c>
      <c r="R324" s="42" t="s">
        <v>1630</v>
      </c>
      <c r="S324" s="42" t="s">
        <v>1631</v>
      </c>
      <c r="T324" s="42"/>
    </row>
    <row r="325" spans="1:20" x14ac:dyDescent="0.3">
      <c r="A325" s="37"/>
      <c r="B325" s="37"/>
      <c r="C325" s="40">
        <f t="shared" si="15"/>
        <v>0</v>
      </c>
      <c r="D325" s="39">
        <v>0</v>
      </c>
      <c r="E325" s="39">
        <v>0</v>
      </c>
      <c r="F325" s="39">
        <f t="shared" si="16"/>
        <v>0</v>
      </c>
      <c r="G325" s="39">
        <v>0</v>
      </c>
      <c r="H325" s="39"/>
      <c r="I325" s="39">
        <v>0</v>
      </c>
      <c r="J325" s="39">
        <v>0</v>
      </c>
      <c r="K325" s="39">
        <v>0</v>
      </c>
      <c r="L325" s="40">
        <f t="shared" si="17"/>
        <v>0</v>
      </c>
      <c r="M325" s="41">
        <v>0</v>
      </c>
      <c r="N325" s="41">
        <v>0</v>
      </c>
      <c r="O325" s="42" t="s">
        <v>1632</v>
      </c>
      <c r="P325" s="42" t="s">
        <v>1633</v>
      </c>
      <c r="Q325" s="42" t="s">
        <v>1634</v>
      </c>
      <c r="R325" s="42" t="s">
        <v>1635</v>
      </c>
      <c r="S325" s="42" t="s">
        <v>1636</v>
      </c>
      <c r="T325" s="42"/>
    </row>
    <row r="326" spans="1:20" x14ac:dyDescent="0.3">
      <c r="A326" s="37"/>
      <c r="B326" s="37"/>
      <c r="C326" s="40">
        <f t="shared" si="15"/>
        <v>0</v>
      </c>
      <c r="D326" s="39">
        <v>0</v>
      </c>
      <c r="E326" s="39">
        <v>0</v>
      </c>
      <c r="F326" s="39">
        <f t="shared" si="16"/>
        <v>0</v>
      </c>
      <c r="G326" s="39">
        <v>0</v>
      </c>
      <c r="H326" s="39"/>
      <c r="I326" s="39">
        <v>0</v>
      </c>
      <c r="J326" s="39">
        <v>0</v>
      </c>
      <c r="K326" s="39">
        <v>0</v>
      </c>
      <c r="L326" s="40">
        <f t="shared" si="17"/>
        <v>0</v>
      </c>
      <c r="M326" s="41">
        <v>0</v>
      </c>
      <c r="N326" s="41">
        <v>0</v>
      </c>
      <c r="O326" s="42" t="s">
        <v>1637</v>
      </c>
      <c r="P326" s="42" t="s">
        <v>1638</v>
      </c>
      <c r="Q326" s="42" t="s">
        <v>1639</v>
      </c>
      <c r="R326" s="42" t="s">
        <v>1640</v>
      </c>
      <c r="S326" s="42" t="s">
        <v>1641</v>
      </c>
      <c r="T326" s="42"/>
    </row>
    <row r="327" spans="1:20" x14ac:dyDescent="0.3">
      <c r="A327" s="37"/>
      <c r="B327" s="37"/>
      <c r="C327" s="40">
        <f t="shared" si="15"/>
        <v>0</v>
      </c>
      <c r="D327" s="39">
        <v>0</v>
      </c>
      <c r="E327" s="39">
        <v>0</v>
      </c>
      <c r="F327" s="39">
        <f t="shared" si="16"/>
        <v>0</v>
      </c>
      <c r="G327" s="39">
        <v>0</v>
      </c>
      <c r="H327" s="39"/>
      <c r="I327" s="39">
        <v>0</v>
      </c>
      <c r="J327" s="39">
        <v>0</v>
      </c>
      <c r="K327" s="39">
        <v>0</v>
      </c>
      <c r="L327" s="40">
        <f t="shared" si="17"/>
        <v>0</v>
      </c>
      <c r="M327" s="41">
        <v>0</v>
      </c>
      <c r="N327" s="41">
        <v>0</v>
      </c>
      <c r="O327" s="42" t="s">
        <v>1642</v>
      </c>
      <c r="P327" s="42" t="s">
        <v>1643</v>
      </c>
      <c r="Q327" s="42" t="s">
        <v>1644</v>
      </c>
      <c r="R327" s="42" t="s">
        <v>1645</v>
      </c>
      <c r="S327" s="42" t="s">
        <v>1646</v>
      </c>
      <c r="T327" s="42"/>
    </row>
    <row r="328" spans="1:20" x14ac:dyDescent="0.3">
      <c r="A328" s="37"/>
      <c r="B328" s="37"/>
      <c r="C328" s="40">
        <f t="shared" si="15"/>
        <v>0</v>
      </c>
      <c r="D328" s="39">
        <v>0</v>
      </c>
      <c r="E328" s="39">
        <v>0</v>
      </c>
      <c r="F328" s="39">
        <f t="shared" si="16"/>
        <v>0</v>
      </c>
      <c r="G328" s="39">
        <v>0</v>
      </c>
      <c r="H328" s="39"/>
      <c r="I328" s="39">
        <v>0</v>
      </c>
      <c r="J328" s="39">
        <v>0</v>
      </c>
      <c r="K328" s="39">
        <v>0</v>
      </c>
      <c r="L328" s="40">
        <f t="shared" si="17"/>
        <v>0</v>
      </c>
      <c r="M328" s="41">
        <v>0</v>
      </c>
      <c r="N328" s="41">
        <v>0</v>
      </c>
      <c r="O328" s="42" t="s">
        <v>1647</v>
      </c>
      <c r="P328" s="42" t="s">
        <v>1648</v>
      </c>
      <c r="Q328" s="42" t="s">
        <v>1649</v>
      </c>
      <c r="R328" s="42" t="s">
        <v>1650</v>
      </c>
      <c r="S328" s="42" t="s">
        <v>1651</v>
      </c>
      <c r="T328" s="42"/>
    </row>
    <row r="329" spans="1:20" x14ac:dyDescent="0.3">
      <c r="A329" s="37"/>
      <c r="B329" s="37"/>
      <c r="C329" s="40">
        <f t="shared" si="15"/>
        <v>0</v>
      </c>
      <c r="D329" s="39">
        <v>0</v>
      </c>
      <c r="E329" s="39">
        <v>0</v>
      </c>
      <c r="F329" s="39">
        <f t="shared" si="16"/>
        <v>0</v>
      </c>
      <c r="G329" s="39">
        <v>0</v>
      </c>
      <c r="H329" s="39"/>
      <c r="I329" s="39">
        <v>0</v>
      </c>
      <c r="J329" s="39">
        <v>0</v>
      </c>
      <c r="K329" s="39">
        <v>0</v>
      </c>
      <c r="L329" s="40">
        <f t="shared" si="17"/>
        <v>0</v>
      </c>
      <c r="M329" s="41">
        <v>0</v>
      </c>
      <c r="N329" s="41">
        <v>0</v>
      </c>
      <c r="O329" s="42" t="s">
        <v>1652</v>
      </c>
      <c r="P329" s="42" t="s">
        <v>1653</v>
      </c>
      <c r="Q329" s="42" t="s">
        <v>1654</v>
      </c>
      <c r="R329" s="42" t="s">
        <v>1655</v>
      </c>
      <c r="S329" s="42" t="s">
        <v>1656</v>
      </c>
      <c r="T329" s="42"/>
    </row>
    <row r="330" spans="1:20" x14ac:dyDescent="0.3">
      <c r="A330" s="37"/>
      <c r="B330" s="37"/>
      <c r="C330" s="40">
        <f t="shared" si="15"/>
        <v>0</v>
      </c>
      <c r="D330" s="39">
        <v>0</v>
      </c>
      <c r="E330" s="39">
        <v>0</v>
      </c>
      <c r="F330" s="39">
        <f t="shared" si="16"/>
        <v>0</v>
      </c>
      <c r="G330" s="39">
        <v>0</v>
      </c>
      <c r="H330" s="39"/>
      <c r="I330" s="39">
        <v>0</v>
      </c>
      <c r="J330" s="39">
        <v>0</v>
      </c>
      <c r="K330" s="39">
        <v>0</v>
      </c>
      <c r="L330" s="40">
        <f t="shared" si="17"/>
        <v>0</v>
      </c>
      <c r="M330" s="41">
        <v>0</v>
      </c>
      <c r="N330" s="41">
        <v>0</v>
      </c>
      <c r="O330" s="42" t="s">
        <v>1657</v>
      </c>
      <c r="P330" s="42" t="s">
        <v>1658</v>
      </c>
      <c r="Q330" s="42" t="s">
        <v>1659</v>
      </c>
      <c r="R330" s="42" t="s">
        <v>1660</v>
      </c>
      <c r="S330" s="42" t="s">
        <v>1661</v>
      </c>
      <c r="T330" s="42"/>
    </row>
    <row r="331" spans="1:20" x14ac:dyDescent="0.3">
      <c r="A331" s="37"/>
      <c r="B331" s="37"/>
      <c r="C331" s="40">
        <f t="shared" si="15"/>
        <v>0</v>
      </c>
      <c r="D331" s="39">
        <v>0</v>
      </c>
      <c r="E331" s="39">
        <v>0</v>
      </c>
      <c r="F331" s="39">
        <f t="shared" si="16"/>
        <v>0</v>
      </c>
      <c r="G331" s="39">
        <v>0</v>
      </c>
      <c r="H331" s="39"/>
      <c r="I331" s="39">
        <v>0</v>
      </c>
      <c r="J331" s="39">
        <v>0</v>
      </c>
      <c r="K331" s="39">
        <v>0</v>
      </c>
      <c r="L331" s="40">
        <f t="shared" si="17"/>
        <v>0</v>
      </c>
      <c r="M331" s="41">
        <v>0</v>
      </c>
      <c r="N331" s="41">
        <v>0</v>
      </c>
      <c r="O331" s="42" t="s">
        <v>1662</v>
      </c>
      <c r="P331" s="42" t="s">
        <v>1663</v>
      </c>
      <c r="Q331" s="42" t="s">
        <v>1664</v>
      </c>
      <c r="R331" s="42" t="s">
        <v>1665</v>
      </c>
      <c r="S331" s="42" t="s">
        <v>1666</v>
      </c>
      <c r="T331" s="42"/>
    </row>
    <row r="332" spans="1:20" x14ac:dyDescent="0.3">
      <c r="A332" s="37"/>
      <c r="B332" s="37"/>
      <c r="C332" s="40">
        <f t="shared" si="15"/>
        <v>0</v>
      </c>
      <c r="D332" s="39">
        <v>0</v>
      </c>
      <c r="E332" s="39">
        <v>0</v>
      </c>
      <c r="F332" s="39">
        <f t="shared" si="16"/>
        <v>0</v>
      </c>
      <c r="G332" s="39">
        <v>0</v>
      </c>
      <c r="H332" s="39"/>
      <c r="I332" s="39">
        <v>0</v>
      </c>
      <c r="J332" s="39">
        <v>0</v>
      </c>
      <c r="K332" s="39">
        <v>0</v>
      </c>
      <c r="L332" s="40">
        <f t="shared" si="17"/>
        <v>0</v>
      </c>
      <c r="M332" s="41">
        <v>0</v>
      </c>
      <c r="N332" s="41">
        <v>0</v>
      </c>
      <c r="O332" s="42" t="s">
        <v>1667</v>
      </c>
      <c r="P332" s="42" t="s">
        <v>1668</v>
      </c>
      <c r="Q332" s="42" t="s">
        <v>1669</v>
      </c>
      <c r="R332" s="42" t="s">
        <v>1670</v>
      </c>
      <c r="S332" s="42" t="s">
        <v>1671</v>
      </c>
      <c r="T332" s="42"/>
    </row>
    <row r="333" spans="1:20" x14ac:dyDescent="0.3">
      <c r="A333" s="37"/>
      <c r="B333" s="37"/>
      <c r="C333" s="40">
        <f t="shared" si="15"/>
        <v>0</v>
      </c>
      <c r="D333" s="39">
        <v>0</v>
      </c>
      <c r="E333" s="39">
        <v>0</v>
      </c>
      <c r="F333" s="39">
        <f t="shared" si="16"/>
        <v>0</v>
      </c>
      <c r="G333" s="39">
        <v>0</v>
      </c>
      <c r="H333" s="39"/>
      <c r="I333" s="39">
        <v>0</v>
      </c>
      <c r="J333" s="39">
        <v>0</v>
      </c>
      <c r="K333" s="39">
        <v>0</v>
      </c>
      <c r="L333" s="40">
        <f t="shared" si="17"/>
        <v>0</v>
      </c>
      <c r="M333" s="41">
        <v>0</v>
      </c>
      <c r="N333" s="41">
        <v>0</v>
      </c>
      <c r="O333" s="42" t="s">
        <v>1672</v>
      </c>
      <c r="P333" s="42" t="s">
        <v>1673</v>
      </c>
      <c r="Q333" s="42" t="s">
        <v>1674</v>
      </c>
      <c r="R333" s="42" t="s">
        <v>1675</v>
      </c>
      <c r="S333" s="42" t="s">
        <v>1676</v>
      </c>
      <c r="T333" s="42"/>
    </row>
    <row r="334" spans="1:20" x14ac:dyDescent="0.3">
      <c r="A334" s="37"/>
      <c r="B334" s="37"/>
      <c r="C334" s="40">
        <f t="shared" si="15"/>
        <v>0</v>
      </c>
      <c r="D334" s="39">
        <v>0</v>
      </c>
      <c r="E334" s="39">
        <v>0</v>
      </c>
      <c r="F334" s="39">
        <f t="shared" si="16"/>
        <v>0</v>
      </c>
      <c r="G334" s="39">
        <v>0</v>
      </c>
      <c r="H334" s="39"/>
      <c r="I334" s="39">
        <v>0</v>
      </c>
      <c r="J334" s="39">
        <v>0</v>
      </c>
      <c r="K334" s="39">
        <v>0</v>
      </c>
      <c r="L334" s="40">
        <f t="shared" si="17"/>
        <v>0</v>
      </c>
      <c r="M334" s="41">
        <v>0</v>
      </c>
      <c r="N334" s="41">
        <v>0</v>
      </c>
      <c r="O334" s="42" t="s">
        <v>1677</v>
      </c>
      <c r="P334" s="42" t="s">
        <v>1678</v>
      </c>
      <c r="Q334" s="42" t="s">
        <v>1679</v>
      </c>
      <c r="R334" s="42" t="s">
        <v>1680</v>
      </c>
      <c r="S334" s="42" t="s">
        <v>1681</v>
      </c>
      <c r="T334" s="42"/>
    </row>
    <row r="335" spans="1:20" x14ac:dyDescent="0.3">
      <c r="A335" s="37"/>
      <c r="B335" s="37"/>
      <c r="C335" s="40">
        <f t="shared" si="15"/>
        <v>0</v>
      </c>
      <c r="D335" s="39">
        <v>0</v>
      </c>
      <c r="E335" s="39">
        <v>0</v>
      </c>
      <c r="F335" s="39">
        <f t="shared" si="16"/>
        <v>0</v>
      </c>
      <c r="G335" s="39">
        <v>0</v>
      </c>
      <c r="H335" s="39"/>
      <c r="I335" s="39">
        <v>0</v>
      </c>
      <c r="J335" s="39">
        <v>0</v>
      </c>
      <c r="K335" s="39">
        <v>0</v>
      </c>
      <c r="L335" s="40">
        <f t="shared" si="17"/>
        <v>0</v>
      </c>
      <c r="M335" s="41">
        <v>0</v>
      </c>
      <c r="N335" s="41">
        <v>0</v>
      </c>
      <c r="O335" s="42" t="s">
        <v>1682</v>
      </c>
      <c r="P335" s="42" t="s">
        <v>1683</v>
      </c>
      <c r="Q335" s="42" t="s">
        <v>1684</v>
      </c>
      <c r="R335" s="42" t="s">
        <v>1685</v>
      </c>
      <c r="S335" s="42" t="s">
        <v>1686</v>
      </c>
      <c r="T335" s="42"/>
    </row>
    <row r="336" spans="1:20" x14ac:dyDescent="0.3">
      <c r="A336" s="37"/>
      <c r="B336" s="37"/>
      <c r="C336" s="40">
        <f t="shared" si="15"/>
        <v>0</v>
      </c>
      <c r="D336" s="39">
        <v>0</v>
      </c>
      <c r="E336" s="39">
        <v>0</v>
      </c>
      <c r="F336" s="39">
        <f t="shared" si="16"/>
        <v>0</v>
      </c>
      <c r="G336" s="39">
        <v>0</v>
      </c>
      <c r="H336" s="39"/>
      <c r="I336" s="39">
        <v>0</v>
      </c>
      <c r="J336" s="39">
        <v>0</v>
      </c>
      <c r="K336" s="39">
        <v>0</v>
      </c>
      <c r="L336" s="40">
        <f t="shared" si="17"/>
        <v>0</v>
      </c>
      <c r="M336" s="41">
        <v>0</v>
      </c>
      <c r="N336" s="41">
        <v>0</v>
      </c>
      <c r="O336" s="42" t="s">
        <v>1687</v>
      </c>
      <c r="P336" s="42" t="s">
        <v>1688</v>
      </c>
      <c r="Q336" s="42" t="s">
        <v>1689</v>
      </c>
      <c r="R336" s="42" t="s">
        <v>1690</v>
      </c>
      <c r="S336" s="42" t="s">
        <v>1691</v>
      </c>
      <c r="T336" s="42"/>
    </row>
    <row r="337" spans="1:20" x14ac:dyDescent="0.3">
      <c r="A337" s="37"/>
      <c r="B337" s="37"/>
      <c r="C337" s="40">
        <f t="shared" si="15"/>
        <v>0</v>
      </c>
      <c r="D337" s="39">
        <v>0</v>
      </c>
      <c r="E337" s="39">
        <v>0</v>
      </c>
      <c r="F337" s="39">
        <f t="shared" si="16"/>
        <v>0</v>
      </c>
      <c r="G337" s="39">
        <v>0</v>
      </c>
      <c r="H337" s="39"/>
      <c r="I337" s="39">
        <v>0</v>
      </c>
      <c r="J337" s="39">
        <v>0</v>
      </c>
      <c r="K337" s="39">
        <v>0</v>
      </c>
      <c r="L337" s="40">
        <f t="shared" si="17"/>
        <v>0</v>
      </c>
      <c r="M337" s="41">
        <v>0</v>
      </c>
      <c r="N337" s="41">
        <v>0</v>
      </c>
      <c r="O337" s="42" t="s">
        <v>1692</v>
      </c>
      <c r="P337" s="42" t="s">
        <v>1693</v>
      </c>
      <c r="Q337" s="42" t="s">
        <v>1694</v>
      </c>
      <c r="R337" s="42" t="s">
        <v>1695</v>
      </c>
      <c r="S337" s="42" t="s">
        <v>1696</v>
      </c>
      <c r="T337" s="42"/>
    </row>
    <row r="338" spans="1:20" x14ac:dyDescent="0.3">
      <c r="A338" s="37"/>
      <c r="B338" s="37"/>
      <c r="C338" s="40">
        <f t="shared" si="15"/>
        <v>0</v>
      </c>
      <c r="D338" s="39">
        <v>0</v>
      </c>
      <c r="E338" s="39">
        <v>0</v>
      </c>
      <c r="F338" s="39">
        <f t="shared" si="16"/>
        <v>0</v>
      </c>
      <c r="G338" s="39">
        <v>0</v>
      </c>
      <c r="H338" s="39"/>
      <c r="I338" s="39">
        <v>0</v>
      </c>
      <c r="J338" s="39">
        <v>0</v>
      </c>
      <c r="K338" s="39">
        <v>0</v>
      </c>
      <c r="L338" s="40">
        <f t="shared" si="17"/>
        <v>0</v>
      </c>
      <c r="M338" s="41">
        <v>0</v>
      </c>
      <c r="N338" s="41">
        <v>0</v>
      </c>
      <c r="O338" s="42" t="s">
        <v>1697</v>
      </c>
      <c r="P338" s="42" t="s">
        <v>1698</v>
      </c>
      <c r="Q338" s="42" t="s">
        <v>1699</v>
      </c>
      <c r="R338" s="42" t="s">
        <v>1700</v>
      </c>
      <c r="S338" s="42" t="s">
        <v>1701</v>
      </c>
      <c r="T338" s="42"/>
    </row>
    <row r="339" spans="1:20" x14ac:dyDescent="0.3">
      <c r="A339" s="37"/>
      <c r="B339" s="37"/>
      <c r="C339" s="40">
        <f t="shared" si="15"/>
        <v>0</v>
      </c>
      <c r="D339" s="39">
        <v>0</v>
      </c>
      <c r="E339" s="39">
        <v>0</v>
      </c>
      <c r="F339" s="39">
        <f t="shared" si="16"/>
        <v>0</v>
      </c>
      <c r="G339" s="39">
        <v>0</v>
      </c>
      <c r="H339" s="39"/>
      <c r="I339" s="39">
        <v>0</v>
      </c>
      <c r="J339" s="39">
        <v>0</v>
      </c>
      <c r="K339" s="39">
        <v>0</v>
      </c>
      <c r="L339" s="40">
        <f t="shared" si="17"/>
        <v>0</v>
      </c>
      <c r="M339" s="41">
        <v>0</v>
      </c>
      <c r="N339" s="41">
        <v>0</v>
      </c>
      <c r="O339" s="42" t="s">
        <v>1702</v>
      </c>
      <c r="P339" s="42" t="s">
        <v>1703</v>
      </c>
      <c r="Q339" s="42" t="s">
        <v>1704</v>
      </c>
      <c r="R339" s="42" t="s">
        <v>1705</v>
      </c>
      <c r="S339" s="42" t="s">
        <v>1706</v>
      </c>
      <c r="T339" s="42"/>
    </row>
    <row r="340" spans="1:20" x14ac:dyDescent="0.3">
      <c r="A340" s="37"/>
      <c r="B340" s="37"/>
      <c r="C340" s="40">
        <f t="shared" si="15"/>
        <v>0</v>
      </c>
      <c r="D340" s="39">
        <v>0</v>
      </c>
      <c r="E340" s="39">
        <v>0</v>
      </c>
      <c r="F340" s="39">
        <f t="shared" si="16"/>
        <v>0</v>
      </c>
      <c r="G340" s="39">
        <v>0</v>
      </c>
      <c r="H340" s="39"/>
      <c r="I340" s="39">
        <v>0</v>
      </c>
      <c r="J340" s="39">
        <v>0</v>
      </c>
      <c r="K340" s="39">
        <v>0</v>
      </c>
      <c r="L340" s="40">
        <f t="shared" si="17"/>
        <v>0</v>
      </c>
      <c r="M340" s="41">
        <v>0</v>
      </c>
      <c r="N340" s="41">
        <v>0</v>
      </c>
      <c r="O340" s="42" t="s">
        <v>1707</v>
      </c>
      <c r="P340" s="42" t="s">
        <v>1708</v>
      </c>
      <c r="Q340" s="42" t="s">
        <v>1709</v>
      </c>
      <c r="R340" s="42" t="s">
        <v>1710</v>
      </c>
      <c r="S340" s="42" t="s">
        <v>1711</v>
      </c>
      <c r="T340" s="42"/>
    </row>
    <row r="341" spans="1:20" x14ac:dyDescent="0.3">
      <c r="A341" s="37"/>
      <c r="B341" s="37"/>
      <c r="C341" s="40">
        <f t="shared" si="15"/>
        <v>0</v>
      </c>
      <c r="D341" s="39">
        <v>0</v>
      </c>
      <c r="E341" s="39">
        <v>0</v>
      </c>
      <c r="F341" s="39">
        <f t="shared" si="16"/>
        <v>0</v>
      </c>
      <c r="G341" s="39">
        <v>0</v>
      </c>
      <c r="H341" s="39"/>
      <c r="I341" s="39">
        <v>0</v>
      </c>
      <c r="J341" s="39">
        <v>0</v>
      </c>
      <c r="K341" s="39">
        <v>0</v>
      </c>
      <c r="L341" s="40">
        <f t="shared" si="17"/>
        <v>0</v>
      </c>
      <c r="M341" s="41">
        <v>0</v>
      </c>
      <c r="N341" s="41">
        <v>0</v>
      </c>
      <c r="O341" s="42" t="s">
        <v>1712</v>
      </c>
      <c r="P341" s="42" t="s">
        <v>1713</v>
      </c>
      <c r="Q341" s="42" t="s">
        <v>1714</v>
      </c>
      <c r="R341" s="42" t="s">
        <v>1715</v>
      </c>
      <c r="S341" s="42" t="s">
        <v>1716</v>
      </c>
      <c r="T341" s="42"/>
    </row>
    <row r="342" spans="1:20" x14ac:dyDescent="0.3">
      <c r="A342" s="37"/>
      <c r="B342" s="37"/>
      <c r="C342" s="40">
        <f t="shared" si="15"/>
        <v>0</v>
      </c>
      <c r="D342" s="39">
        <v>0</v>
      </c>
      <c r="E342" s="39">
        <v>0</v>
      </c>
      <c r="F342" s="39">
        <f t="shared" si="16"/>
        <v>0</v>
      </c>
      <c r="G342" s="39">
        <v>0</v>
      </c>
      <c r="H342" s="39"/>
      <c r="I342" s="39">
        <v>0</v>
      </c>
      <c r="J342" s="39">
        <v>0</v>
      </c>
      <c r="K342" s="39">
        <v>0</v>
      </c>
      <c r="L342" s="40">
        <f t="shared" si="17"/>
        <v>0</v>
      </c>
      <c r="M342" s="41">
        <v>0</v>
      </c>
      <c r="N342" s="41">
        <v>0</v>
      </c>
      <c r="O342" s="42" t="s">
        <v>1717</v>
      </c>
      <c r="P342" s="42" t="s">
        <v>1718</v>
      </c>
      <c r="Q342" s="42" t="s">
        <v>1719</v>
      </c>
      <c r="R342" s="42" t="s">
        <v>1720</v>
      </c>
      <c r="S342" s="42" t="s">
        <v>1721</v>
      </c>
      <c r="T342" s="42"/>
    </row>
    <row r="343" spans="1:20" x14ac:dyDescent="0.3">
      <c r="A343" s="37"/>
      <c r="B343" s="37"/>
      <c r="C343" s="40">
        <f t="shared" si="15"/>
        <v>0</v>
      </c>
      <c r="D343" s="39">
        <v>0</v>
      </c>
      <c r="E343" s="39">
        <v>0</v>
      </c>
      <c r="F343" s="39">
        <f t="shared" si="16"/>
        <v>0</v>
      </c>
      <c r="G343" s="39">
        <v>0</v>
      </c>
      <c r="H343" s="39"/>
      <c r="I343" s="39">
        <v>0</v>
      </c>
      <c r="J343" s="39">
        <v>0</v>
      </c>
      <c r="K343" s="39">
        <v>0</v>
      </c>
      <c r="L343" s="40">
        <f t="shared" si="17"/>
        <v>0</v>
      </c>
      <c r="M343" s="41">
        <v>0</v>
      </c>
      <c r="N343" s="41">
        <v>0</v>
      </c>
      <c r="O343" s="42" t="s">
        <v>1722</v>
      </c>
      <c r="P343" s="42" t="s">
        <v>1723</v>
      </c>
      <c r="Q343" s="42" t="s">
        <v>1724</v>
      </c>
      <c r="R343" s="42" t="s">
        <v>1725</v>
      </c>
      <c r="S343" s="42" t="s">
        <v>1726</v>
      </c>
      <c r="T343" s="42"/>
    </row>
    <row r="344" spans="1:20" x14ac:dyDescent="0.3">
      <c r="A344" s="37"/>
      <c r="B344" s="37"/>
      <c r="C344" s="40">
        <f t="shared" si="15"/>
        <v>0</v>
      </c>
      <c r="D344" s="39">
        <v>0</v>
      </c>
      <c r="E344" s="39">
        <v>0</v>
      </c>
      <c r="F344" s="39">
        <f t="shared" si="16"/>
        <v>0</v>
      </c>
      <c r="G344" s="39">
        <v>0</v>
      </c>
      <c r="H344" s="39"/>
      <c r="I344" s="39">
        <v>0</v>
      </c>
      <c r="J344" s="39">
        <v>0</v>
      </c>
      <c r="K344" s="39">
        <v>0</v>
      </c>
      <c r="L344" s="40">
        <f t="shared" si="17"/>
        <v>0</v>
      </c>
      <c r="M344" s="41">
        <v>0</v>
      </c>
      <c r="N344" s="41">
        <v>0</v>
      </c>
      <c r="O344" s="42" t="s">
        <v>1727</v>
      </c>
      <c r="P344" s="42" t="s">
        <v>1728</v>
      </c>
      <c r="Q344" s="42" t="s">
        <v>1729</v>
      </c>
      <c r="R344" s="42" t="s">
        <v>1730</v>
      </c>
      <c r="S344" s="42" t="s">
        <v>1731</v>
      </c>
      <c r="T344" s="42"/>
    </row>
    <row r="345" spans="1:20" x14ac:dyDescent="0.3">
      <c r="A345" s="37"/>
      <c r="B345" s="37"/>
      <c r="C345" s="40">
        <f t="shared" si="15"/>
        <v>0</v>
      </c>
      <c r="D345" s="39">
        <v>0</v>
      </c>
      <c r="E345" s="39">
        <v>0</v>
      </c>
      <c r="F345" s="39">
        <f t="shared" si="16"/>
        <v>0</v>
      </c>
      <c r="G345" s="39">
        <v>0</v>
      </c>
      <c r="H345" s="39"/>
      <c r="I345" s="39">
        <v>0</v>
      </c>
      <c r="J345" s="39">
        <v>0</v>
      </c>
      <c r="K345" s="39">
        <v>0</v>
      </c>
      <c r="L345" s="40">
        <f t="shared" si="17"/>
        <v>0</v>
      </c>
      <c r="M345" s="41">
        <v>0</v>
      </c>
      <c r="N345" s="41">
        <v>0</v>
      </c>
      <c r="O345" s="42" t="s">
        <v>1732</v>
      </c>
      <c r="P345" s="42" t="s">
        <v>1733</v>
      </c>
      <c r="Q345" s="42" t="s">
        <v>1734</v>
      </c>
      <c r="R345" s="42" t="s">
        <v>1735</v>
      </c>
      <c r="S345" s="42" t="s">
        <v>1736</v>
      </c>
      <c r="T345" s="42"/>
    </row>
    <row r="346" spans="1:20" x14ac:dyDescent="0.3">
      <c r="A346" s="37"/>
      <c r="B346" s="37"/>
      <c r="C346" s="40">
        <f t="shared" si="15"/>
        <v>0</v>
      </c>
      <c r="D346" s="39">
        <v>0</v>
      </c>
      <c r="E346" s="39">
        <v>0</v>
      </c>
      <c r="F346" s="39">
        <f t="shared" si="16"/>
        <v>0</v>
      </c>
      <c r="G346" s="39">
        <v>0</v>
      </c>
      <c r="H346" s="39"/>
      <c r="I346" s="39">
        <v>0</v>
      </c>
      <c r="J346" s="39">
        <v>0</v>
      </c>
      <c r="K346" s="39">
        <v>0</v>
      </c>
      <c r="L346" s="40">
        <f t="shared" si="17"/>
        <v>0</v>
      </c>
      <c r="M346" s="41">
        <v>0</v>
      </c>
      <c r="N346" s="41">
        <v>0</v>
      </c>
      <c r="O346" s="42" t="s">
        <v>1737</v>
      </c>
      <c r="P346" s="42" t="s">
        <v>1738</v>
      </c>
      <c r="Q346" s="42" t="s">
        <v>1739</v>
      </c>
      <c r="R346" s="42" t="s">
        <v>1740</v>
      </c>
      <c r="S346" s="42" t="s">
        <v>1741</v>
      </c>
      <c r="T346" s="42"/>
    </row>
    <row r="347" spans="1:20" x14ac:dyDescent="0.3">
      <c r="A347" s="37"/>
      <c r="B347" s="37"/>
      <c r="C347" s="40">
        <f t="shared" si="15"/>
        <v>0</v>
      </c>
      <c r="D347" s="39">
        <v>0</v>
      </c>
      <c r="E347" s="39">
        <v>0</v>
      </c>
      <c r="F347" s="39">
        <f t="shared" si="16"/>
        <v>0</v>
      </c>
      <c r="G347" s="39">
        <v>0</v>
      </c>
      <c r="H347" s="39"/>
      <c r="I347" s="39">
        <v>0</v>
      </c>
      <c r="J347" s="39">
        <v>0</v>
      </c>
      <c r="K347" s="39">
        <v>0</v>
      </c>
      <c r="L347" s="40">
        <f t="shared" si="17"/>
        <v>0</v>
      </c>
      <c r="M347" s="41">
        <v>0</v>
      </c>
      <c r="N347" s="41">
        <v>0</v>
      </c>
      <c r="O347" s="42" t="s">
        <v>1742</v>
      </c>
      <c r="P347" s="42" t="s">
        <v>1743</v>
      </c>
      <c r="Q347" s="42" t="s">
        <v>1744</v>
      </c>
      <c r="R347" s="42" t="s">
        <v>1745</v>
      </c>
      <c r="S347" s="42" t="s">
        <v>1746</v>
      </c>
      <c r="T347" s="42"/>
    </row>
    <row r="348" spans="1:20" x14ac:dyDescent="0.3">
      <c r="A348" s="37"/>
      <c r="B348" s="37"/>
      <c r="C348" s="40">
        <f t="shared" si="15"/>
        <v>0</v>
      </c>
      <c r="D348" s="39">
        <v>0</v>
      </c>
      <c r="E348" s="39">
        <v>0</v>
      </c>
      <c r="F348" s="39">
        <f t="shared" si="16"/>
        <v>0</v>
      </c>
      <c r="G348" s="39">
        <v>0</v>
      </c>
      <c r="H348" s="39"/>
      <c r="I348" s="39">
        <v>0</v>
      </c>
      <c r="J348" s="39">
        <v>0</v>
      </c>
      <c r="K348" s="39">
        <v>0</v>
      </c>
      <c r="L348" s="40">
        <f t="shared" si="17"/>
        <v>0</v>
      </c>
      <c r="M348" s="41">
        <v>0</v>
      </c>
      <c r="N348" s="41">
        <v>0</v>
      </c>
      <c r="O348" s="42" t="s">
        <v>1747</v>
      </c>
      <c r="P348" s="42" t="s">
        <v>1748</v>
      </c>
      <c r="Q348" s="42" t="s">
        <v>1749</v>
      </c>
      <c r="R348" s="42" t="s">
        <v>1750</v>
      </c>
      <c r="S348" s="42" t="s">
        <v>1751</v>
      </c>
      <c r="T348" s="42"/>
    </row>
    <row r="349" spans="1:20" x14ac:dyDescent="0.3">
      <c r="A349" s="37"/>
      <c r="B349" s="37"/>
      <c r="C349" s="40">
        <f t="shared" si="15"/>
        <v>0</v>
      </c>
      <c r="D349" s="39">
        <v>0</v>
      </c>
      <c r="E349" s="39">
        <v>0</v>
      </c>
      <c r="F349" s="39">
        <f t="shared" si="16"/>
        <v>0</v>
      </c>
      <c r="G349" s="39">
        <v>0</v>
      </c>
      <c r="H349" s="39"/>
      <c r="I349" s="39">
        <v>0</v>
      </c>
      <c r="J349" s="39">
        <v>0</v>
      </c>
      <c r="K349" s="39">
        <v>0</v>
      </c>
      <c r="L349" s="40">
        <f t="shared" si="17"/>
        <v>0</v>
      </c>
      <c r="M349" s="41">
        <v>0</v>
      </c>
      <c r="N349" s="41">
        <v>0</v>
      </c>
      <c r="O349" s="42" t="s">
        <v>1752</v>
      </c>
      <c r="P349" s="42" t="s">
        <v>1753</v>
      </c>
      <c r="Q349" s="42" t="s">
        <v>1754</v>
      </c>
      <c r="R349" s="42" t="s">
        <v>1755</v>
      </c>
      <c r="S349" s="42" t="s">
        <v>1756</v>
      </c>
      <c r="T349" s="42"/>
    </row>
    <row r="350" spans="1:20" x14ac:dyDescent="0.3">
      <c r="A350" s="37"/>
      <c r="B350" s="37"/>
      <c r="C350" s="40">
        <f t="shared" si="15"/>
        <v>0</v>
      </c>
      <c r="D350" s="39">
        <v>0</v>
      </c>
      <c r="E350" s="39">
        <v>0</v>
      </c>
      <c r="F350" s="39">
        <f t="shared" si="16"/>
        <v>0</v>
      </c>
      <c r="G350" s="39">
        <v>0</v>
      </c>
      <c r="H350" s="39"/>
      <c r="I350" s="39">
        <v>0</v>
      </c>
      <c r="J350" s="39">
        <v>0</v>
      </c>
      <c r="K350" s="39">
        <v>0</v>
      </c>
      <c r="L350" s="40">
        <f t="shared" si="17"/>
        <v>0</v>
      </c>
      <c r="M350" s="41">
        <v>0</v>
      </c>
      <c r="N350" s="41">
        <v>0</v>
      </c>
      <c r="O350" s="42" t="s">
        <v>1757</v>
      </c>
      <c r="P350" s="42" t="s">
        <v>1758</v>
      </c>
      <c r="Q350" s="42" t="s">
        <v>1759</v>
      </c>
      <c r="R350" s="42" t="s">
        <v>1760</v>
      </c>
      <c r="S350" s="42" t="s">
        <v>1761</v>
      </c>
      <c r="T350" s="42"/>
    </row>
    <row r="351" spans="1:20" x14ac:dyDescent="0.3">
      <c r="A351" s="37"/>
      <c r="B351" s="37"/>
      <c r="C351" s="40">
        <f t="shared" si="15"/>
        <v>0</v>
      </c>
      <c r="D351" s="39">
        <v>0</v>
      </c>
      <c r="E351" s="39">
        <v>0</v>
      </c>
      <c r="F351" s="39">
        <f t="shared" si="16"/>
        <v>0</v>
      </c>
      <c r="G351" s="39">
        <v>0</v>
      </c>
      <c r="H351" s="39"/>
      <c r="I351" s="39">
        <v>0</v>
      </c>
      <c r="J351" s="39">
        <v>0</v>
      </c>
      <c r="K351" s="39">
        <v>0</v>
      </c>
      <c r="L351" s="40">
        <f t="shared" si="17"/>
        <v>0</v>
      </c>
      <c r="M351" s="41">
        <v>0</v>
      </c>
      <c r="N351" s="41">
        <v>0</v>
      </c>
      <c r="O351" s="42" t="s">
        <v>1762</v>
      </c>
      <c r="P351" s="42" t="s">
        <v>1763</v>
      </c>
      <c r="Q351" s="42" t="s">
        <v>1764</v>
      </c>
      <c r="R351" s="42" t="s">
        <v>1765</v>
      </c>
      <c r="S351" s="42" t="s">
        <v>1766</v>
      </c>
      <c r="T351" s="42"/>
    </row>
    <row r="352" spans="1:20" x14ac:dyDescent="0.3">
      <c r="A352" s="37"/>
      <c r="B352" s="37"/>
      <c r="C352" s="40">
        <f t="shared" si="15"/>
        <v>0</v>
      </c>
      <c r="D352" s="39">
        <v>0</v>
      </c>
      <c r="E352" s="39">
        <v>0</v>
      </c>
      <c r="F352" s="39">
        <f t="shared" si="16"/>
        <v>0</v>
      </c>
      <c r="G352" s="39">
        <v>0</v>
      </c>
      <c r="H352" s="39"/>
      <c r="I352" s="39">
        <v>0</v>
      </c>
      <c r="J352" s="39">
        <v>0</v>
      </c>
      <c r="K352" s="39">
        <v>0</v>
      </c>
      <c r="L352" s="40">
        <f t="shared" si="17"/>
        <v>0</v>
      </c>
      <c r="M352" s="41">
        <v>0</v>
      </c>
      <c r="N352" s="41">
        <v>0</v>
      </c>
      <c r="O352" s="42" t="s">
        <v>1767</v>
      </c>
      <c r="P352" s="42" t="s">
        <v>1768</v>
      </c>
      <c r="Q352" s="42" t="s">
        <v>1769</v>
      </c>
      <c r="R352" s="42" t="s">
        <v>1770</v>
      </c>
      <c r="S352" s="42" t="s">
        <v>1771</v>
      </c>
      <c r="T352" s="42"/>
    </row>
    <row r="353" spans="1:20" x14ac:dyDescent="0.3">
      <c r="A353" s="37"/>
      <c r="B353" s="37"/>
      <c r="C353" s="40">
        <f t="shared" si="15"/>
        <v>0</v>
      </c>
      <c r="D353" s="39">
        <v>0</v>
      </c>
      <c r="E353" s="39">
        <v>0</v>
      </c>
      <c r="F353" s="39">
        <f t="shared" si="16"/>
        <v>0</v>
      </c>
      <c r="G353" s="39">
        <v>0</v>
      </c>
      <c r="H353" s="39"/>
      <c r="I353" s="39">
        <v>0</v>
      </c>
      <c r="J353" s="39">
        <v>0</v>
      </c>
      <c r="K353" s="39">
        <v>0</v>
      </c>
      <c r="L353" s="40">
        <f t="shared" si="17"/>
        <v>0</v>
      </c>
      <c r="M353" s="41">
        <v>0</v>
      </c>
      <c r="N353" s="41">
        <v>0</v>
      </c>
      <c r="O353" s="42" t="s">
        <v>1772</v>
      </c>
      <c r="P353" s="42" t="s">
        <v>1773</v>
      </c>
      <c r="Q353" s="42" t="s">
        <v>1774</v>
      </c>
      <c r="R353" s="42" t="s">
        <v>1775</v>
      </c>
      <c r="S353" s="42" t="s">
        <v>1776</v>
      </c>
      <c r="T353" s="42"/>
    </row>
    <row r="354" spans="1:20" x14ac:dyDescent="0.3">
      <c r="A354" s="37"/>
      <c r="B354" s="37"/>
      <c r="C354" s="40">
        <f t="shared" si="15"/>
        <v>0</v>
      </c>
      <c r="D354" s="39">
        <v>0</v>
      </c>
      <c r="E354" s="39">
        <v>0</v>
      </c>
      <c r="F354" s="39">
        <f t="shared" si="16"/>
        <v>0</v>
      </c>
      <c r="G354" s="39">
        <v>0</v>
      </c>
      <c r="H354" s="39"/>
      <c r="I354" s="39">
        <v>0</v>
      </c>
      <c r="J354" s="39">
        <v>0</v>
      </c>
      <c r="K354" s="39">
        <v>0</v>
      </c>
      <c r="L354" s="40">
        <f t="shared" si="17"/>
        <v>0</v>
      </c>
      <c r="M354" s="41">
        <v>0</v>
      </c>
      <c r="N354" s="41">
        <v>0</v>
      </c>
      <c r="O354" s="42" t="s">
        <v>1777</v>
      </c>
      <c r="P354" s="42" t="s">
        <v>1778</v>
      </c>
      <c r="Q354" s="42" t="s">
        <v>1779</v>
      </c>
      <c r="R354" s="42" t="s">
        <v>1780</v>
      </c>
      <c r="S354" s="42" t="s">
        <v>1781</v>
      </c>
      <c r="T354" s="42"/>
    </row>
    <row r="355" spans="1:20" x14ac:dyDescent="0.3">
      <c r="A355" s="37"/>
      <c r="B355" s="37"/>
      <c r="C355" s="40">
        <f t="shared" si="15"/>
        <v>0</v>
      </c>
      <c r="D355" s="39">
        <v>0</v>
      </c>
      <c r="E355" s="39">
        <v>0</v>
      </c>
      <c r="F355" s="39">
        <f t="shared" si="16"/>
        <v>0</v>
      </c>
      <c r="G355" s="39">
        <v>0</v>
      </c>
      <c r="H355" s="39"/>
      <c r="I355" s="39">
        <v>0</v>
      </c>
      <c r="J355" s="39">
        <v>0</v>
      </c>
      <c r="K355" s="39">
        <v>0</v>
      </c>
      <c r="L355" s="40">
        <f t="shared" si="17"/>
        <v>0</v>
      </c>
      <c r="M355" s="41">
        <v>0</v>
      </c>
      <c r="N355" s="41">
        <v>0</v>
      </c>
      <c r="O355" s="42" t="s">
        <v>1782</v>
      </c>
      <c r="P355" s="42" t="s">
        <v>1783</v>
      </c>
      <c r="Q355" s="42" t="s">
        <v>1784</v>
      </c>
      <c r="R355" s="42" t="s">
        <v>1785</v>
      </c>
      <c r="S355" s="42" t="s">
        <v>1786</v>
      </c>
      <c r="T355" s="42"/>
    </row>
    <row r="356" spans="1:20" x14ac:dyDescent="0.3">
      <c r="A356" s="37"/>
      <c r="B356" s="37"/>
      <c r="C356" s="40">
        <f t="shared" si="15"/>
        <v>0</v>
      </c>
      <c r="D356" s="39">
        <v>0</v>
      </c>
      <c r="E356" s="39">
        <v>0</v>
      </c>
      <c r="F356" s="39">
        <f t="shared" si="16"/>
        <v>0</v>
      </c>
      <c r="G356" s="39">
        <v>0</v>
      </c>
      <c r="H356" s="39"/>
      <c r="I356" s="39">
        <v>0</v>
      </c>
      <c r="J356" s="39">
        <v>0</v>
      </c>
      <c r="K356" s="39">
        <v>0</v>
      </c>
      <c r="L356" s="40">
        <f t="shared" si="17"/>
        <v>0</v>
      </c>
      <c r="M356" s="41">
        <v>0</v>
      </c>
      <c r="N356" s="41">
        <v>0</v>
      </c>
      <c r="O356" s="42" t="s">
        <v>1787</v>
      </c>
      <c r="P356" s="42" t="s">
        <v>1788</v>
      </c>
      <c r="Q356" s="42" t="s">
        <v>1789</v>
      </c>
      <c r="R356" s="42" t="s">
        <v>1790</v>
      </c>
      <c r="S356" s="42" t="s">
        <v>1791</v>
      </c>
      <c r="T356" s="42"/>
    </row>
    <row r="357" spans="1:20" x14ac:dyDescent="0.3">
      <c r="A357" s="37"/>
      <c r="B357" s="37"/>
      <c r="C357" s="40">
        <f t="shared" ref="C357:C420" si="18">L356</f>
        <v>0</v>
      </c>
      <c r="D357" s="39">
        <v>0</v>
      </c>
      <c r="E357" s="39">
        <v>0</v>
      </c>
      <c r="F357" s="39">
        <f t="shared" ref="F357:F420" si="19">E357-G357-H357</f>
        <v>0</v>
      </c>
      <c r="G357" s="39">
        <v>0</v>
      </c>
      <c r="H357" s="39"/>
      <c r="I357" s="39">
        <v>0</v>
      </c>
      <c r="J357" s="39">
        <v>0</v>
      </c>
      <c r="K357" s="39">
        <v>0</v>
      </c>
      <c r="L357" s="40">
        <f t="shared" ref="L357:L420" si="20">C357+J357+K357-H357-F357+D357</f>
        <v>0</v>
      </c>
      <c r="M357" s="41">
        <v>0</v>
      </c>
      <c r="N357" s="41">
        <v>0</v>
      </c>
      <c r="O357" s="42" t="s">
        <v>1792</v>
      </c>
      <c r="P357" s="42" t="s">
        <v>1793</v>
      </c>
      <c r="Q357" s="42" t="s">
        <v>1794</v>
      </c>
      <c r="R357" s="42" t="s">
        <v>1795</v>
      </c>
      <c r="S357" s="42" t="s">
        <v>1796</v>
      </c>
      <c r="T357" s="42"/>
    </row>
    <row r="358" spans="1:20" x14ac:dyDescent="0.3">
      <c r="A358" s="37"/>
      <c r="B358" s="37"/>
      <c r="C358" s="40">
        <f t="shared" si="18"/>
        <v>0</v>
      </c>
      <c r="D358" s="39">
        <v>0</v>
      </c>
      <c r="E358" s="39">
        <v>0</v>
      </c>
      <c r="F358" s="39">
        <f t="shared" si="19"/>
        <v>0</v>
      </c>
      <c r="G358" s="39">
        <v>0</v>
      </c>
      <c r="H358" s="39"/>
      <c r="I358" s="39">
        <v>0</v>
      </c>
      <c r="J358" s="39">
        <v>0</v>
      </c>
      <c r="K358" s="39">
        <v>0</v>
      </c>
      <c r="L358" s="40">
        <f t="shared" si="20"/>
        <v>0</v>
      </c>
      <c r="M358" s="41">
        <v>0</v>
      </c>
      <c r="N358" s="41">
        <v>0</v>
      </c>
      <c r="O358" s="42" t="s">
        <v>1797</v>
      </c>
      <c r="P358" s="42" t="s">
        <v>1798</v>
      </c>
      <c r="Q358" s="42" t="s">
        <v>1799</v>
      </c>
      <c r="R358" s="42" t="s">
        <v>1800</v>
      </c>
      <c r="S358" s="42" t="s">
        <v>1801</v>
      </c>
      <c r="T358" s="42"/>
    </row>
    <row r="359" spans="1:20" x14ac:dyDescent="0.3">
      <c r="A359" s="37"/>
      <c r="B359" s="37"/>
      <c r="C359" s="40">
        <f t="shared" si="18"/>
        <v>0</v>
      </c>
      <c r="D359" s="39">
        <v>0</v>
      </c>
      <c r="E359" s="39">
        <v>0</v>
      </c>
      <c r="F359" s="39">
        <f t="shared" si="19"/>
        <v>0</v>
      </c>
      <c r="G359" s="39">
        <v>0</v>
      </c>
      <c r="H359" s="39"/>
      <c r="I359" s="39">
        <v>0</v>
      </c>
      <c r="J359" s="39">
        <v>0</v>
      </c>
      <c r="K359" s="39">
        <v>0</v>
      </c>
      <c r="L359" s="40">
        <f t="shared" si="20"/>
        <v>0</v>
      </c>
      <c r="M359" s="41">
        <v>0</v>
      </c>
      <c r="N359" s="41">
        <v>0</v>
      </c>
      <c r="O359" s="42" t="s">
        <v>1802</v>
      </c>
      <c r="P359" s="42" t="s">
        <v>1803</v>
      </c>
      <c r="Q359" s="42" t="s">
        <v>1804</v>
      </c>
      <c r="R359" s="42" t="s">
        <v>1805</v>
      </c>
      <c r="S359" s="42" t="s">
        <v>1806</v>
      </c>
      <c r="T359" s="42"/>
    </row>
    <row r="360" spans="1:20" x14ac:dyDescent="0.3">
      <c r="A360" s="37"/>
      <c r="B360" s="37"/>
      <c r="C360" s="40">
        <f t="shared" si="18"/>
        <v>0</v>
      </c>
      <c r="D360" s="39">
        <v>0</v>
      </c>
      <c r="E360" s="39">
        <v>0</v>
      </c>
      <c r="F360" s="39">
        <f t="shared" si="19"/>
        <v>0</v>
      </c>
      <c r="G360" s="39">
        <v>0</v>
      </c>
      <c r="H360" s="39"/>
      <c r="I360" s="39">
        <v>0</v>
      </c>
      <c r="J360" s="39">
        <v>0</v>
      </c>
      <c r="K360" s="39">
        <v>0</v>
      </c>
      <c r="L360" s="40">
        <f t="shared" si="20"/>
        <v>0</v>
      </c>
      <c r="M360" s="41">
        <v>0</v>
      </c>
      <c r="N360" s="41">
        <v>0</v>
      </c>
      <c r="O360" s="42" t="s">
        <v>1807</v>
      </c>
      <c r="P360" s="42" t="s">
        <v>1808</v>
      </c>
      <c r="Q360" s="42" t="s">
        <v>1809</v>
      </c>
      <c r="R360" s="42" t="s">
        <v>1810</v>
      </c>
      <c r="S360" s="42" t="s">
        <v>1811</v>
      </c>
      <c r="T360" s="42"/>
    </row>
    <row r="361" spans="1:20" x14ac:dyDescent="0.3">
      <c r="A361" s="37"/>
      <c r="B361" s="37"/>
      <c r="C361" s="40">
        <f t="shared" si="18"/>
        <v>0</v>
      </c>
      <c r="D361" s="39">
        <v>0</v>
      </c>
      <c r="E361" s="39">
        <v>0</v>
      </c>
      <c r="F361" s="39">
        <f t="shared" si="19"/>
        <v>0</v>
      </c>
      <c r="G361" s="39">
        <v>0</v>
      </c>
      <c r="H361" s="39"/>
      <c r="I361" s="39">
        <v>0</v>
      </c>
      <c r="J361" s="39">
        <v>0</v>
      </c>
      <c r="K361" s="39">
        <v>0</v>
      </c>
      <c r="L361" s="40">
        <f t="shared" si="20"/>
        <v>0</v>
      </c>
      <c r="M361" s="41">
        <v>0</v>
      </c>
      <c r="N361" s="41">
        <v>0</v>
      </c>
      <c r="O361" s="42" t="s">
        <v>1812</v>
      </c>
      <c r="P361" s="42" t="s">
        <v>1813</v>
      </c>
      <c r="Q361" s="42" t="s">
        <v>1814</v>
      </c>
      <c r="R361" s="42" t="s">
        <v>1815</v>
      </c>
      <c r="S361" s="42" t="s">
        <v>1816</v>
      </c>
      <c r="T361" s="42"/>
    </row>
    <row r="362" spans="1:20" x14ac:dyDescent="0.3">
      <c r="A362" s="37"/>
      <c r="B362" s="37"/>
      <c r="C362" s="40">
        <f t="shared" si="18"/>
        <v>0</v>
      </c>
      <c r="D362" s="39">
        <v>0</v>
      </c>
      <c r="E362" s="39">
        <v>0</v>
      </c>
      <c r="F362" s="39">
        <f t="shared" si="19"/>
        <v>0</v>
      </c>
      <c r="G362" s="39">
        <v>0</v>
      </c>
      <c r="H362" s="39"/>
      <c r="I362" s="39">
        <v>0</v>
      </c>
      <c r="J362" s="39">
        <v>0</v>
      </c>
      <c r="K362" s="39">
        <v>0</v>
      </c>
      <c r="L362" s="40">
        <f t="shared" si="20"/>
        <v>0</v>
      </c>
      <c r="M362" s="41">
        <v>0</v>
      </c>
      <c r="N362" s="41">
        <v>0</v>
      </c>
      <c r="O362" s="42" t="s">
        <v>1817</v>
      </c>
      <c r="P362" s="42" t="s">
        <v>1818</v>
      </c>
      <c r="Q362" s="42" t="s">
        <v>1819</v>
      </c>
      <c r="R362" s="42" t="s">
        <v>1820</v>
      </c>
      <c r="S362" s="42" t="s">
        <v>1821</v>
      </c>
      <c r="T362" s="42"/>
    </row>
    <row r="363" spans="1:20" x14ac:dyDescent="0.3">
      <c r="A363" s="37"/>
      <c r="B363" s="37"/>
      <c r="C363" s="40">
        <f t="shared" si="18"/>
        <v>0</v>
      </c>
      <c r="D363" s="39">
        <v>0</v>
      </c>
      <c r="E363" s="39">
        <v>0</v>
      </c>
      <c r="F363" s="39">
        <f t="shared" si="19"/>
        <v>0</v>
      </c>
      <c r="G363" s="39">
        <v>0</v>
      </c>
      <c r="H363" s="39"/>
      <c r="I363" s="39">
        <v>0</v>
      </c>
      <c r="J363" s="39">
        <v>0</v>
      </c>
      <c r="K363" s="39">
        <v>0</v>
      </c>
      <c r="L363" s="40">
        <f t="shared" si="20"/>
        <v>0</v>
      </c>
      <c r="M363" s="41">
        <v>0</v>
      </c>
      <c r="N363" s="41">
        <v>0</v>
      </c>
      <c r="O363" s="42" t="s">
        <v>1822</v>
      </c>
      <c r="P363" s="42" t="s">
        <v>1823</v>
      </c>
      <c r="Q363" s="42" t="s">
        <v>1824</v>
      </c>
      <c r="R363" s="42" t="s">
        <v>1825</v>
      </c>
      <c r="S363" s="42" t="s">
        <v>1826</v>
      </c>
      <c r="T363" s="42"/>
    </row>
    <row r="364" spans="1:20" x14ac:dyDescent="0.3">
      <c r="A364" s="37"/>
      <c r="B364" s="37"/>
      <c r="C364" s="40">
        <f t="shared" si="18"/>
        <v>0</v>
      </c>
      <c r="D364" s="39">
        <v>0</v>
      </c>
      <c r="E364" s="39">
        <v>0</v>
      </c>
      <c r="F364" s="39">
        <f t="shared" si="19"/>
        <v>0</v>
      </c>
      <c r="G364" s="39">
        <v>0</v>
      </c>
      <c r="H364" s="39"/>
      <c r="I364" s="39">
        <v>0</v>
      </c>
      <c r="J364" s="39">
        <v>0</v>
      </c>
      <c r="K364" s="39">
        <v>0</v>
      </c>
      <c r="L364" s="40">
        <f t="shared" si="20"/>
        <v>0</v>
      </c>
      <c r="M364" s="41">
        <v>0</v>
      </c>
      <c r="N364" s="41">
        <v>0</v>
      </c>
      <c r="O364" s="42" t="s">
        <v>1827</v>
      </c>
      <c r="P364" s="42" t="s">
        <v>1828</v>
      </c>
      <c r="Q364" s="42" t="s">
        <v>1829</v>
      </c>
      <c r="R364" s="42" t="s">
        <v>1830</v>
      </c>
      <c r="S364" s="42" t="s">
        <v>1831</v>
      </c>
      <c r="T364" s="42"/>
    </row>
    <row r="365" spans="1:20" x14ac:dyDescent="0.3">
      <c r="A365" s="37"/>
      <c r="B365" s="37"/>
      <c r="C365" s="40">
        <f t="shared" si="18"/>
        <v>0</v>
      </c>
      <c r="D365" s="39">
        <v>0</v>
      </c>
      <c r="E365" s="39">
        <v>0</v>
      </c>
      <c r="F365" s="39">
        <f t="shared" si="19"/>
        <v>0</v>
      </c>
      <c r="G365" s="39">
        <v>0</v>
      </c>
      <c r="H365" s="39"/>
      <c r="I365" s="39">
        <v>0</v>
      </c>
      <c r="J365" s="39">
        <v>0</v>
      </c>
      <c r="K365" s="39">
        <v>0</v>
      </c>
      <c r="L365" s="40">
        <f t="shared" si="20"/>
        <v>0</v>
      </c>
      <c r="M365" s="41">
        <v>0</v>
      </c>
      <c r="N365" s="41">
        <v>0</v>
      </c>
      <c r="O365" s="42" t="s">
        <v>1832</v>
      </c>
      <c r="P365" s="42" t="s">
        <v>1833</v>
      </c>
      <c r="Q365" s="42" t="s">
        <v>1834</v>
      </c>
      <c r="R365" s="42" t="s">
        <v>1835</v>
      </c>
      <c r="S365" s="42" t="s">
        <v>1836</v>
      </c>
      <c r="T365" s="42"/>
    </row>
    <row r="366" spans="1:20" x14ac:dyDescent="0.3">
      <c r="A366" s="37"/>
      <c r="B366" s="37"/>
      <c r="C366" s="40">
        <f t="shared" si="18"/>
        <v>0</v>
      </c>
      <c r="D366" s="39">
        <v>0</v>
      </c>
      <c r="E366" s="39">
        <v>0</v>
      </c>
      <c r="F366" s="39">
        <f t="shared" si="19"/>
        <v>0</v>
      </c>
      <c r="G366" s="39">
        <v>0</v>
      </c>
      <c r="H366" s="39"/>
      <c r="I366" s="39">
        <v>0</v>
      </c>
      <c r="J366" s="39">
        <v>0</v>
      </c>
      <c r="K366" s="39">
        <v>0</v>
      </c>
      <c r="L366" s="40">
        <f t="shared" si="20"/>
        <v>0</v>
      </c>
      <c r="M366" s="41">
        <v>0</v>
      </c>
      <c r="N366" s="41">
        <v>0</v>
      </c>
      <c r="O366" s="42" t="s">
        <v>1837</v>
      </c>
      <c r="P366" s="42" t="s">
        <v>1838</v>
      </c>
      <c r="Q366" s="42" t="s">
        <v>1839</v>
      </c>
      <c r="R366" s="42" t="s">
        <v>1840</v>
      </c>
      <c r="S366" s="42" t="s">
        <v>1841</v>
      </c>
      <c r="T366" s="42"/>
    </row>
    <row r="367" spans="1:20" x14ac:dyDescent="0.3">
      <c r="A367" s="37"/>
      <c r="B367" s="37"/>
      <c r="C367" s="40">
        <f t="shared" si="18"/>
        <v>0</v>
      </c>
      <c r="D367" s="39">
        <v>0</v>
      </c>
      <c r="E367" s="39">
        <v>0</v>
      </c>
      <c r="F367" s="39">
        <f t="shared" si="19"/>
        <v>0</v>
      </c>
      <c r="G367" s="39">
        <v>0</v>
      </c>
      <c r="H367" s="39"/>
      <c r="I367" s="39">
        <v>0</v>
      </c>
      <c r="J367" s="39">
        <v>0</v>
      </c>
      <c r="K367" s="39">
        <v>0</v>
      </c>
      <c r="L367" s="40">
        <f t="shared" si="20"/>
        <v>0</v>
      </c>
      <c r="M367" s="41">
        <v>0</v>
      </c>
      <c r="N367" s="41">
        <v>0</v>
      </c>
      <c r="O367" s="42" t="s">
        <v>1842</v>
      </c>
      <c r="P367" s="42" t="s">
        <v>1843</v>
      </c>
      <c r="Q367" s="42" t="s">
        <v>1844</v>
      </c>
      <c r="R367" s="42" t="s">
        <v>1845</v>
      </c>
      <c r="S367" s="42" t="s">
        <v>1846</v>
      </c>
      <c r="T367" s="42"/>
    </row>
    <row r="368" spans="1:20" x14ac:dyDescent="0.3">
      <c r="A368" s="37"/>
      <c r="B368" s="37"/>
      <c r="C368" s="40">
        <f t="shared" si="18"/>
        <v>0</v>
      </c>
      <c r="D368" s="39">
        <v>0</v>
      </c>
      <c r="E368" s="39">
        <v>0</v>
      </c>
      <c r="F368" s="39">
        <f t="shared" si="19"/>
        <v>0</v>
      </c>
      <c r="G368" s="39">
        <v>0</v>
      </c>
      <c r="H368" s="39"/>
      <c r="I368" s="39">
        <v>0</v>
      </c>
      <c r="J368" s="39">
        <v>0</v>
      </c>
      <c r="K368" s="39">
        <v>0</v>
      </c>
      <c r="L368" s="40">
        <f t="shared" si="20"/>
        <v>0</v>
      </c>
      <c r="M368" s="41">
        <v>0</v>
      </c>
      <c r="N368" s="41">
        <v>0</v>
      </c>
      <c r="O368" s="42" t="s">
        <v>1847</v>
      </c>
      <c r="P368" s="42" t="s">
        <v>1848</v>
      </c>
      <c r="Q368" s="42" t="s">
        <v>1849</v>
      </c>
      <c r="R368" s="42" t="s">
        <v>1850</v>
      </c>
      <c r="S368" s="42" t="s">
        <v>1851</v>
      </c>
      <c r="T368" s="42"/>
    </row>
    <row r="369" spans="1:20" x14ac:dyDescent="0.3">
      <c r="A369" s="37"/>
      <c r="B369" s="37"/>
      <c r="C369" s="40">
        <f t="shared" si="18"/>
        <v>0</v>
      </c>
      <c r="D369" s="39">
        <v>0</v>
      </c>
      <c r="E369" s="39">
        <v>0</v>
      </c>
      <c r="F369" s="39">
        <f t="shared" si="19"/>
        <v>0</v>
      </c>
      <c r="G369" s="39">
        <v>0</v>
      </c>
      <c r="H369" s="39"/>
      <c r="I369" s="39">
        <v>0</v>
      </c>
      <c r="J369" s="39">
        <v>0</v>
      </c>
      <c r="K369" s="39">
        <v>0</v>
      </c>
      <c r="L369" s="40">
        <f t="shared" si="20"/>
        <v>0</v>
      </c>
      <c r="M369" s="41">
        <v>0</v>
      </c>
      <c r="N369" s="41">
        <v>0</v>
      </c>
      <c r="O369" s="42" t="s">
        <v>1852</v>
      </c>
      <c r="P369" s="42" t="s">
        <v>1853</v>
      </c>
      <c r="Q369" s="42" t="s">
        <v>1854</v>
      </c>
      <c r="R369" s="42" t="s">
        <v>1855</v>
      </c>
      <c r="S369" s="42" t="s">
        <v>1856</v>
      </c>
      <c r="T369" s="42"/>
    </row>
    <row r="370" spans="1:20" x14ac:dyDescent="0.3">
      <c r="A370" s="37"/>
      <c r="B370" s="37"/>
      <c r="C370" s="40">
        <f t="shared" si="18"/>
        <v>0</v>
      </c>
      <c r="D370" s="39">
        <v>0</v>
      </c>
      <c r="E370" s="39">
        <v>0</v>
      </c>
      <c r="F370" s="39">
        <f t="shared" si="19"/>
        <v>0</v>
      </c>
      <c r="G370" s="39">
        <v>0</v>
      </c>
      <c r="H370" s="39"/>
      <c r="I370" s="39">
        <v>0</v>
      </c>
      <c r="J370" s="39">
        <v>0</v>
      </c>
      <c r="K370" s="39">
        <v>0</v>
      </c>
      <c r="L370" s="40">
        <f t="shared" si="20"/>
        <v>0</v>
      </c>
      <c r="M370" s="41">
        <v>0</v>
      </c>
      <c r="N370" s="41">
        <v>0</v>
      </c>
      <c r="O370" s="42" t="s">
        <v>1857</v>
      </c>
      <c r="P370" s="42" t="s">
        <v>1858</v>
      </c>
      <c r="Q370" s="42" t="s">
        <v>1859</v>
      </c>
      <c r="R370" s="42" t="s">
        <v>1860</v>
      </c>
      <c r="S370" s="42" t="s">
        <v>1861</v>
      </c>
      <c r="T370" s="42"/>
    </row>
    <row r="371" spans="1:20" x14ac:dyDescent="0.3">
      <c r="A371" s="37"/>
      <c r="B371" s="37"/>
      <c r="C371" s="40">
        <f t="shared" si="18"/>
        <v>0</v>
      </c>
      <c r="D371" s="39">
        <v>0</v>
      </c>
      <c r="E371" s="39">
        <v>0</v>
      </c>
      <c r="F371" s="39">
        <f t="shared" si="19"/>
        <v>0</v>
      </c>
      <c r="G371" s="39">
        <v>0</v>
      </c>
      <c r="H371" s="39"/>
      <c r="I371" s="39">
        <v>0</v>
      </c>
      <c r="J371" s="39">
        <v>0</v>
      </c>
      <c r="K371" s="39">
        <v>0</v>
      </c>
      <c r="L371" s="40">
        <f t="shared" si="20"/>
        <v>0</v>
      </c>
      <c r="M371" s="41">
        <v>0</v>
      </c>
      <c r="N371" s="41">
        <v>0</v>
      </c>
      <c r="O371" s="42" t="s">
        <v>1862</v>
      </c>
      <c r="P371" s="42" t="s">
        <v>1863</v>
      </c>
      <c r="Q371" s="42" t="s">
        <v>1864</v>
      </c>
      <c r="R371" s="42" t="s">
        <v>1865</v>
      </c>
      <c r="S371" s="42" t="s">
        <v>1866</v>
      </c>
      <c r="T371" s="42"/>
    </row>
    <row r="372" spans="1:20" x14ac:dyDescent="0.3">
      <c r="A372" s="37"/>
      <c r="B372" s="37"/>
      <c r="C372" s="40">
        <f t="shared" si="18"/>
        <v>0</v>
      </c>
      <c r="D372" s="39">
        <v>0</v>
      </c>
      <c r="E372" s="39">
        <v>0</v>
      </c>
      <c r="F372" s="39">
        <f t="shared" si="19"/>
        <v>0</v>
      </c>
      <c r="G372" s="39">
        <v>0</v>
      </c>
      <c r="H372" s="39"/>
      <c r="I372" s="39">
        <v>0</v>
      </c>
      <c r="J372" s="39">
        <v>0</v>
      </c>
      <c r="K372" s="39">
        <v>0</v>
      </c>
      <c r="L372" s="40">
        <f t="shared" si="20"/>
        <v>0</v>
      </c>
      <c r="M372" s="41">
        <v>0</v>
      </c>
      <c r="N372" s="41">
        <v>0</v>
      </c>
      <c r="O372" s="42" t="s">
        <v>1867</v>
      </c>
      <c r="P372" s="42" t="s">
        <v>1868</v>
      </c>
      <c r="Q372" s="42" t="s">
        <v>1869</v>
      </c>
      <c r="R372" s="42" t="s">
        <v>1870</v>
      </c>
      <c r="S372" s="42" t="s">
        <v>1871</v>
      </c>
      <c r="T372" s="42"/>
    </row>
    <row r="373" spans="1:20" x14ac:dyDescent="0.3">
      <c r="A373" s="37"/>
      <c r="B373" s="37"/>
      <c r="C373" s="40">
        <f t="shared" si="18"/>
        <v>0</v>
      </c>
      <c r="D373" s="39">
        <v>0</v>
      </c>
      <c r="E373" s="39">
        <v>0</v>
      </c>
      <c r="F373" s="39">
        <f t="shared" si="19"/>
        <v>0</v>
      </c>
      <c r="G373" s="39">
        <v>0</v>
      </c>
      <c r="H373" s="39"/>
      <c r="I373" s="39">
        <v>0</v>
      </c>
      <c r="J373" s="39">
        <v>0</v>
      </c>
      <c r="K373" s="39">
        <v>0</v>
      </c>
      <c r="L373" s="40">
        <f t="shared" si="20"/>
        <v>0</v>
      </c>
      <c r="M373" s="41">
        <v>0</v>
      </c>
      <c r="N373" s="41">
        <v>0</v>
      </c>
      <c r="O373" s="42" t="s">
        <v>1872</v>
      </c>
      <c r="P373" s="42" t="s">
        <v>1873</v>
      </c>
      <c r="Q373" s="42" t="s">
        <v>1874</v>
      </c>
      <c r="R373" s="42" t="s">
        <v>1875</v>
      </c>
      <c r="S373" s="42" t="s">
        <v>1876</v>
      </c>
      <c r="T373" s="42"/>
    </row>
    <row r="374" spans="1:20" x14ac:dyDescent="0.3">
      <c r="A374" s="37"/>
      <c r="B374" s="37"/>
      <c r="C374" s="40">
        <f t="shared" si="18"/>
        <v>0</v>
      </c>
      <c r="D374" s="39">
        <v>0</v>
      </c>
      <c r="E374" s="39">
        <v>0</v>
      </c>
      <c r="F374" s="39">
        <f t="shared" si="19"/>
        <v>0</v>
      </c>
      <c r="G374" s="39">
        <v>0</v>
      </c>
      <c r="H374" s="39"/>
      <c r="I374" s="39">
        <v>0</v>
      </c>
      <c r="J374" s="39">
        <v>0</v>
      </c>
      <c r="K374" s="39">
        <v>0</v>
      </c>
      <c r="L374" s="40">
        <f t="shared" si="20"/>
        <v>0</v>
      </c>
      <c r="M374" s="41">
        <v>0</v>
      </c>
      <c r="N374" s="41">
        <v>0</v>
      </c>
      <c r="O374" s="42" t="s">
        <v>1877</v>
      </c>
      <c r="P374" s="42" t="s">
        <v>1878</v>
      </c>
      <c r="Q374" s="42" t="s">
        <v>1879</v>
      </c>
      <c r="R374" s="42" t="s">
        <v>1880</v>
      </c>
      <c r="S374" s="42" t="s">
        <v>1881</v>
      </c>
      <c r="T374" s="42"/>
    </row>
    <row r="375" spans="1:20" x14ac:dyDescent="0.3">
      <c r="A375" s="37"/>
      <c r="B375" s="37"/>
      <c r="C375" s="40">
        <f t="shared" si="18"/>
        <v>0</v>
      </c>
      <c r="D375" s="39">
        <v>0</v>
      </c>
      <c r="E375" s="39">
        <v>0</v>
      </c>
      <c r="F375" s="39">
        <f t="shared" si="19"/>
        <v>0</v>
      </c>
      <c r="G375" s="39">
        <v>0</v>
      </c>
      <c r="H375" s="39"/>
      <c r="I375" s="39">
        <v>0</v>
      </c>
      <c r="J375" s="39">
        <v>0</v>
      </c>
      <c r="K375" s="39">
        <v>0</v>
      </c>
      <c r="L375" s="40">
        <f t="shared" si="20"/>
        <v>0</v>
      </c>
      <c r="M375" s="41">
        <v>0</v>
      </c>
      <c r="N375" s="41">
        <v>0</v>
      </c>
      <c r="O375" s="42" t="s">
        <v>1882</v>
      </c>
      <c r="P375" s="42" t="s">
        <v>1883</v>
      </c>
      <c r="Q375" s="42" t="s">
        <v>1884</v>
      </c>
      <c r="R375" s="42" t="s">
        <v>1885</v>
      </c>
      <c r="S375" s="42" t="s">
        <v>1886</v>
      </c>
      <c r="T375" s="42"/>
    </row>
    <row r="376" spans="1:20" x14ac:dyDescent="0.3">
      <c r="A376" s="37"/>
      <c r="B376" s="37"/>
      <c r="C376" s="40">
        <f t="shared" si="18"/>
        <v>0</v>
      </c>
      <c r="D376" s="39">
        <v>0</v>
      </c>
      <c r="E376" s="39">
        <v>0</v>
      </c>
      <c r="F376" s="39">
        <f t="shared" si="19"/>
        <v>0</v>
      </c>
      <c r="G376" s="39">
        <v>0</v>
      </c>
      <c r="H376" s="39"/>
      <c r="I376" s="39">
        <v>0</v>
      </c>
      <c r="J376" s="39">
        <v>0</v>
      </c>
      <c r="K376" s="39">
        <v>0</v>
      </c>
      <c r="L376" s="40">
        <f t="shared" si="20"/>
        <v>0</v>
      </c>
      <c r="M376" s="41">
        <v>0</v>
      </c>
      <c r="N376" s="41">
        <v>0</v>
      </c>
      <c r="O376" s="42" t="s">
        <v>1887</v>
      </c>
      <c r="P376" s="42" t="s">
        <v>1888</v>
      </c>
      <c r="Q376" s="42" t="s">
        <v>1889</v>
      </c>
      <c r="R376" s="42" t="s">
        <v>1890</v>
      </c>
      <c r="S376" s="42" t="s">
        <v>1891</v>
      </c>
      <c r="T376" s="42"/>
    </row>
    <row r="377" spans="1:20" x14ac:dyDescent="0.3">
      <c r="A377" s="37"/>
      <c r="B377" s="37"/>
      <c r="C377" s="40">
        <f t="shared" si="18"/>
        <v>0</v>
      </c>
      <c r="D377" s="39">
        <v>0</v>
      </c>
      <c r="E377" s="39">
        <v>0</v>
      </c>
      <c r="F377" s="39">
        <f t="shared" si="19"/>
        <v>0</v>
      </c>
      <c r="G377" s="39">
        <v>0</v>
      </c>
      <c r="H377" s="39"/>
      <c r="I377" s="39">
        <v>0</v>
      </c>
      <c r="J377" s="39">
        <v>0</v>
      </c>
      <c r="K377" s="39">
        <v>0</v>
      </c>
      <c r="L377" s="40">
        <f t="shared" si="20"/>
        <v>0</v>
      </c>
      <c r="M377" s="41">
        <v>0</v>
      </c>
      <c r="N377" s="41">
        <v>0</v>
      </c>
      <c r="O377" s="42" t="s">
        <v>1892</v>
      </c>
      <c r="P377" s="42" t="s">
        <v>1893</v>
      </c>
      <c r="Q377" s="42" t="s">
        <v>1894</v>
      </c>
      <c r="R377" s="42" t="s">
        <v>1895</v>
      </c>
      <c r="S377" s="42" t="s">
        <v>1896</v>
      </c>
      <c r="T377" s="42"/>
    </row>
    <row r="378" spans="1:20" x14ac:dyDescent="0.3">
      <c r="A378" s="37"/>
      <c r="B378" s="37"/>
      <c r="C378" s="40">
        <f t="shared" si="18"/>
        <v>0</v>
      </c>
      <c r="D378" s="39">
        <v>0</v>
      </c>
      <c r="E378" s="39">
        <v>0</v>
      </c>
      <c r="F378" s="39">
        <f t="shared" si="19"/>
        <v>0</v>
      </c>
      <c r="G378" s="39">
        <v>0</v>
      </c>
      <c r="H378" s="39"/>
      <c r="I378" s="39">
        <v>0</v>
      </c>
      <c r="J378" s="39">
        <v>0</v>
      </c>
      <c r="K378" s="39">
        <v>0</v>
      </c>
      <c r="L378" s="40">
        <f t="shared" si="20"/>
        <v>0</v>
      </c>
      <c r="M378" s="41">
        <v>0</v>
      </c>
      <c r="N378" s="41">
        <v>0</v>
      </c>
      <c r="O378" s="42" t="s">
        <v>1897</v>
      </c>
      <c r="P378" s="42" t="s">
        <v>1898</v>
      </c>
      <c r="Q378" s="42" t="s">
        <v>1899</v>
      </c>
      <c r="R378" s="42" t="s">
        <v>1900</v>
      </c>
      <c r="S378" s="42" t="s">
        <v>1901</v>
      </c>
      <c r="T378" s="42"/>
    </row>
    <row r="379" spans="1:20" x14ac:dyDescent="0.3">
      <c r="A379" s="37"/>
      <c r="B379" s="37"/>
      <c r="C379" s="40">
        <f t="shared" si="18"/>
        <v>0</v>
      </c>
      <c r="D379" s="39">
        <v>0</v>
      </c>
      <c r="E379" s="39">
        <v>0</v>
      </c>
      <c r="F379" s="39">
        <f t="shared" si="19"/>
        <v>0</v>
      </c>
      <c r="G379" s="39">
        <v>0</v>
      </c>
      <c r="H379" s="39"/>
      <c r="I379" s="39">
        <v>0</v>
      </c>
      <c r="J379" s="39">
        <v>0</v>
      </c>
      <c r="K379" s="39">
        <v>0</v>
      </c>
      <c r="L379" s="40">
        <f t="shared" si="20"/>
        <v>0</v>
      </c>
      <c r="M379" s="41">
        <v>0</v>
      </c>
      <c r="N379" s="41">
        <v>0</v>
      </c>
      <c r="O379" s="42" t="s">
        <v>1902</v>
      </c>
      <c r="P379" s="42" t="s">
        <v>1903</v>
      </c>
      <c r="Q379" s="42" t="s">
        <v>1904</v>
      </c>
      <c r="R379" s="42" t="s">
        <v>1905</v>
      </c>
      <c r="S379" s="42" t="s">
        <v>1906</v>
      </c>
      <c r="T379" s="42"/>
    </row>
    <row r="380" spans="1:20" x14ac:dyDescent="0.3">
      <c r="A380" s="37"/>
      <c r="B380" s="37"/>
      <c r="C380" s="40">
        <f t="shared" si="18"/>
        <v>0</v>
      </c>
      <c r="D380" s="39">
        <v>0</v>
      </c>
      <c r="E380" s="39">
        <v>0</v>
      </c>
      <c r="F380" s="39">
        <f t="shared" si="19"/>
        <v>0</v>
      </c>
      <c r="G380" s="39">
        <v>0</v>
      </c>
      <c r="H380" s="39"/>
      <c r="I380" s="39">
        <v>0</v>
      </c>
      <c r="J380" s="39">
        <v>0</v>
      </c>
      <c r="K380" s="39">
        <v>0</v>
      </c>
      <c r="L380" s="40">
        <f t="shared" si="20"/>
        <v>0</v>
      </c>
      <c r="M380" s="41">
        <v>0</v>
      </c>
      <c r="N380" s="41">
        <v>0</v>
      </c>
      <c r="O380" s="42" t="s">
        <v>1907</v>
      </c>
      <c r="P380" s="42" t="s">
        <v>1908</v>
      </c>
      <c r="Q380" s="42" t="s">
        <v>1909</v>
      </c>
      <c r="R380" s="42" t="s">
        <v>1910</v>
      </c>
      <c r="S380" s="42" t="s">
        <v>1911</v>
      </c>
      <c r="T380" s="42"/>
    </row>
    <row r="381" spans="1:20" x14ac:dyDescent="0.3">
      <c r="A381" s="37"/>
      <c r="B381" s="37"/>
      <c r="C381" s="40">
        <f t="shared" si="18"/>
        <v>0</v>
      </c>
      <c r="D381" s="39">
        <v>0</v>
      </c>
      <c r="E381" s="39">
        <v>0</v>
      </c>
      <c r="F381" s="39">
        <f t="shared" si="19"/>
        <v>0</v>
      </c>
      <c r="G381" s="39">
        <v>0</v>
      </c>
      <c r="H381" s="39"/>
      <c r="I381" s="39">
        <v>0</v>
      </c>
      <c r="J381" s="39">
        <v>0</v>
      </c>
      <c r="K381" s="39">
        <v>0</v>
      </c>
      <c r="L381" s="40">
        <f t="shared" si="20"/>
        <v>0</v>
      </c>
      <c r="M381" s="41">
        <v>0</v>
      </c>
      <c r="N381" s="41">
        <v>0</v>
      </c>
      <c r="O381" s="42" t="s">
        <v>1912</v>
      </c>
      <c r="P381" s="42" t="s">
        <v>1913</v>
      </c>
      <c r="Q381" s="42" t="s">
        <v>1914</v>
      </c>
      <c r="R381" s="42" t="s">
        <v>1915</v>
      </c>
      <c r="S381" s="42" t="s">
        <v>1916</v>
      </c>
      <c r="T381" s="42"/>
    </row>
    <row r="382" spans="1:20" x14ac:dyDescent="0.3">
      <c r="A382" s="37"/>
      <c r="B382" s="37"/>
      <c r="C382" s="40">
        <f t="shared" si="18"/>
        <v>0</v>
      </c>
      <c r="D382" s="39">
        <v>0</v>
      </c>
      <c r="E382" s="39">
        <v>0</v>
      </c>
      <c r="F382" s="39">
        <f t="shared" si="19"/>
        <v>0</v>
      </c>
      <c r="G382" s="39">
        <v>0</v>
      </c>
      <c r="H382" s="39"/>
      <c r="I382" s="39">
        <v>0</v>
      </c>
      <c r="J382" s="39">
        <v>0</v>
      </c>
      <c r="K382" s="39">
        <v>0</v>
      </c>
      <c r="L382" s="40">
        <f t="shared" si="20"/>
        <v>0</v>
      </c>
      <c r="M382" s="41">
        <v>0</v>
      </c>
      <c r="N382" s="41">
        <v>0</v>
      </c>
      <c r="O382" s="42" t="s">
        <v>1917</v>
      </c>
      <c r="P382" s="42" t="s">
        <v>1918</v>
      </c>
      <c r="Q382" s="42" t="s">
        <v>1919</v>
      </c>
      <c r="R382" s="42" t="s">
        <v>1920</v>
      </c>
      <c r="S382" s="42" t="s">
        <v>1921</v>
      </c>
      <c r="T382" s="42"/>
    </row>
    <row r="383" spans="1:20" x14ac:dyDescent="0.3">
      <c r="A383" s="37"/>
      <c r="B383" s="37"/>
      <c r="C383" s="40">
        <f t="shared" si="18"/>
        <v>0</v>
      </c>
      <c r="D383" s="39">
        <v>0</v>
      </c>
      <c r="E383" s="39">
        <v>0</v>
      </c>
      <c r="F383" s="39">
        <f t="shared" si="19"/>
        <v>0</v>
      </c>
      <c r="G383" s="39">
        <v>0</v>
      </c>
      <c r="H383" s="39"/>
      <c r="I383" s="39">
        <v>0</v>
      </c>
      <c r="J383" s="39">
        <v>0</v>
      </c>
      <c r="K383" s="39">
        <v>0</v>
      </c>
      <c r="L383" s="40">
        <f t="shared" si="20"/>
        <v>0</v>
      </c>
      <c r="M383" s="41">
        <v>0</v>
      </c>
      <c r="N383" s="41">
        <v>0</v>
      </c>
      <c r="O383" s="42" t="s">
        <v>1922</v>
      </c>
      <c r="P383" s="42" t="s">
        <v>1923</v>
      </c>
      <c r="Q383" s="42" t="s">
        <v>1924</v>
      </c>
      <c r="R383" s="42" t="s">
        <v>1925</v>
      </c>
      <c r="S383" s="42" t="s">
        <v>1926</v>
      </c>
      <c r="T383" s="42"/>
    </row>
    <row r="384" spans="1:20" x14ac:dyDescent="0.3">
      <c r="A384" s="37"/>
      <c r="B384" s="37"/>
      <c r="C384" s="40">
        <f t="shared" si="18"/>
        <v>0</v>
      </c>
      <c r="D384" s="39">
        <v>0</v>
      </c>
      <c r="E384" s="39">
        <v>0</v>
      </c>
      <c r="F384" s="39">
        <f t="shared" si="19"/>
        <v>0</v>
      </c>
      <c r="G384" s="39">
        <v>0</v>
      </c>
      <c r="H384" s="39"/>
      <c r="I384" s="39">
        <v>0</v>
      </c>
      <c r="J384" s="39">
        <v>0</v>
      </c>
      <c r="K384" s="39">
        <v>0</v>
      </c>
      <c r="L384" s="40">
        <f t="shared" si="20"/>
        <v>0</v>
      </c>
      <c r="M384" s="41">
        <v>0</v>
      </c>
      <c r="N384" s="41">
        <v>0</v>
      </c>
      <c r="O384" s="42" t="s">
        <v>1927</v>
      </c>
      <c r="P384" s="42" t="s">
        <v>1928</v>
      </c>
      <c r="Q384" s="42" t="s">
        <v>1929</v>
      </c>
      <c r="R384" s="42" t="s">
        <v>1930</v>
      </c>
      <c r="S384" s="42" t="s">
        <v>1931</v>
      </c>
      <c r="T384" s="42"/>
    </row>
    <row r="385" spans="1:20" x14ac:dyDescent="0.3">
      <c r="A385" s="37"/>
      <c r="B385" s="37"/>
      <c r="C385" s="40">
        <f t="shared" si="18"/>
        <v>0</v>
      </c>
      <c r="D385" s="39">
        <v>0</v>
      </c>
      <c r="E385" s="39">
        <v>0</v>
      </c>
      <c r="F385" s="39">
        <f t="shared" si="19"/>
        <v>0</v>
      </c>
      <c r="G385" s="39">
        <v>0</v>
      </c>
      <c r="H385" s="39"/>
      <c r="I385" s="39">
        <v>0</v>
      </c>
      <c r="J385" s="39">
        <v>0</v>
      </c>
      <c r="K385" s="39">
        <v>0</v>
      </c>
      <c r="L385" s="40">
        <f t="shared" si="20"/>
        <v>0</v>
      </c>
      <c r="M385" s="41">
        <v>0</v>
      </c>
      <c r="N385" s="41">
        <v>0</v>
      </c>
      <c r="O385" s="42" t="s">
        <v>1932</v>
      </c>
      <c r="P385" s="42" t="s">
        <v>1933</v>
      </c>
      <c r="Q385" s="42" t="s">
        <v>1934</v>
      </c>
      <c r="R385" s="42" t="s">
        <v>1935</v>
      </c>
      <c r="S385" s="42" t="s">
        <v>1936</v>
      </c>
      <c r="T385" s="42"/>
    </row>
    <row r="386" spans="1:20" x14ac:dyDescent="0.3">
      <c r="A386" s="37"/>
      <c r="B386" s="37"/>
      <c r="C386" s="40">
        <f t="shared" si="18"/>
        <v>0</v>
      </c>
      <c r="D386" s="39">
        <v>0</v>
      </c>
      <c r="E386" s="39">
        <v>0</v>
      </c>
      <c r="F386" s="39">
        <f t="shared" si="19"/>
        <v>0</v>
      </c>
      <c r="G386" s="39">
        <v>0</v>
      </c>
      <c r="H386" s="39"/>
      <c r="I386" s="39">
        <v>0</v>
      </c>
      <c r="J386" s="39">
        <v>0</v>
      </c>
      <c r="K386" s="39">
        <v>0</v>
      </c>
      <c r="L386" s="40">
        <f t="shared" si="20"/>
        <v>0</v>
      </c>
      <c r="M386" s="41">
        <v>0</v>
      </c>
      <c r="N386" s="41">
        <v>0</v>
      </c>
      <c r="O386" s="42" t="s">
        <v>1937</v>
      </c>
      <c r="P386" s="42" t="s">
        <v>1938</v>
      </c>
      <c r="Q386" s="42" t="s">
        <v>1939</v>
      </c>
      <c r="R386" s="42" t="s">
        <v>1940</v>
      </c>
      <c r="S386" s="42" t="s">
        <v>1941</v>
      </c>
      <c r="T386" s="42"/>
    </row>
    <row r="387" spans="1:20" x14ac:dyDescent="0.3">
      <c r="A387" s="37"/>
      <c r="B387" s="37"/>
      <c r="C387" s="40">
        <f t="shared" si="18"/>
        <v>0</v>
      </c>
      <c r="D387" s="39">
        <v>0</v>
      </c>
      <c r="E387" s="39">
        <v>0</v>
      </c>
      <c r="F387" s="39">
        <f t="shared" si="19"/>
        <v>0</v>
      </c>
      <c r="G387" s="39">
        <v>0</v>
      </c>
      <c r="H387" s="39"/>
      <c r="I387" s="39">
        <v>0</v>
      </c>
      <c r="J387" s="39">
        <v>0</v>
      </c>
      <c r="K387" s="39">
        <v>0</v>
      </c>
      <c r="L387" s="40">
        <f t="shared" si="20"/>
        <v>0</v>
      </c>
      <c r="M387" s="41">
        <v>0</v>
      </c>
      <c r="N387" s="41">
        <v>0</v>
      </c>
      <c r="O387" s="42" t="s">
        <v>1942</v>
      </c>
      <c r="P387" s="42" t="s">
        <v>1943</v>
      </c>
      <c r="Q387" s="42" t="s">
        <v>1944</v>
      </c>
      <c r="R387" s="42" t="s">
        <v>1945</v>
      </c>
      <c r="S387" s="42" t="s">
        <v>1946</v>
      </c>
      <c r="T387" s="42"/>
    </row>
    <row r="388" spans="1:20" x14ac:dyDescent="0.3">
      <c r="A388" s="37"/>
      <c r="B388" s="37"/>
      <c r="C388" s="40">
        <f t="shared" si="18"/>
        <v>0</v>
      </c>
      <c r="D388" s="39">
        <v>0</v>
      </c>
      <c r="E388" s="39">
        <v>0</v>
      </c>
      <c r="F388" s="39">
        <f t="shared" si="19"/>
        <v>0</v>
      </c>
      <c r="G388" s="39">
        <v>0</v>
      </c>
      <c r="H388" s="39"/>
      <c r="I388" s="39">
        <v>0</v>
      </c>
      <c r="J388" s="39">
        <v>0</v>
      </c>
      <c r="K388" s="39">
        <v>0</v>
      </c>
      <c r="L388" s="40">
        <f t="shared" si="20"/>
        <v>0</v>
      </c>
      <c r="M388" s="41">
        <v>0</v>
      </c>
      <c r="N388" s="41">
        <v>0</v>
      </c>
      <c r="O388" s="42" t="s">
        <v>1947</v>
      </c>
      <c r="P388" s="42" t="s">
        <v>1948</v>
      </c>
      <c r="Q388" s="42" t="s">
        <v>1949</v>
      </c>
      <c r="R388" s="42" t="s">
        <v>1950</v>
      </c>
      <c r="S388" s="42" t="s">
        <v>1951</v>
      </c>
      <c r="T388" s="42"/>
    </row>
    <row r="389" spans="1:20" x14ac:dyDescent="0.3">
      <c r="A389" s="37"/>
      <c r="B389" s="37"/>
      <c r="C389" s="40">
        <f t="shared" si="18"/>
        <v>0</v>
      </c>
      <c r="D389" s="39">
        <v>0</v>
      </c>
      <c r="E389" s="39">
        <v>0</v>
      </c>
      <c r="F389" s="39">
        <f t="shared" si="19"/>
        <v>0</v>
      </c>
      <c r="G389" s="39">
        <v>0</v>
      </c>
      <c r="H389" s="39"/>
      <c r="I389" s="39">
        <v>0</v>
      </c>
      <c r="J389" s="39">
        <v>0</v>
      </c>
      <c r="K389" s="39">
        <v>0</v>
      </c>
      <c r="L389" s="40">
        <f t="shared" si="20"/>
        <v>0</v>
      </c>
      <c r="M389" s="41">
        <v>0</v>
      </c>
      <c r="N389" s="41">
        <v>0</v>
      </c>
      <c r="O389" s="42" t="s">
        <v>1952</v>
      </c>
      <c r="P389" s="42" t="s">
        <v>1953</v>
      </c>
      <c r="Q389" s="42" t="s">
        <v>1954</v>
      </c>
      <c r="R389" s="42" t="s">
        <v>1955</v>
      </c>
      <c r="S389" s="42" t="s">
        <v>1956</v>
      </c>
      <c r="T389" s="42"/>
    </row>
    <row r="390" spans="1:20" x14ac:dyDescent="0.3">
      <c r="A390" s="37"/>
      <c r="B390" s="37"/>
      <c r="C390" s="40">
        <f t="shared" si="18"/>
        <v>0</v>
      </c>
      <c r="D390" s="39">
        <v>0</v>
      </c>
      <c r="E390" s="39">
        <v>0</v>
      </c>
      <c r="F390" s="39">
        <f t="shared" si="19"/>
        <v>0</v>
      </c>
      <c r="G390" s="39">
        <v>0</v>
      </c>
      <c r="H390" s="39"/>
      <c r="I390" s="39">
        <v>0</v>
      </c>
      <c r="J390" s="39">
        <v>0</v>
      </c>
      <c r="K390" s="39">
        <v>0</v>
      </c>
      <c r="L390" s="40">
        <f t="shared" si="20"/>
        <v>0</v>
      </c>
      <c r="M390" s="41">
        <v>0</v>
      </c>
      <c r="N390" s="41">
        <v>0</v>
      </c>
      <c r="O390" s="42" t="s">
        <v>1957</v>
      </c>
      <c r="P390" s="42" t="s">
        <v>1958</v>
      </c>
      <c r="Q390" s="42" t="s">
        <v>1959</v>
      </c>
      <c r="R390" s="42" t="s">
        <v>1960</v>
      </c>
      <c r="S390" s="42" t="s">
        <v>1961</v>
      </c>
      <c r="T390" s="42"/>
    </row>
    <row r="391" spans="1:20" x14ac:dyDescent="0.3">
      <c r="A391" s="37"/>
      <c r="B391" s="37"/>
      <c r="C391" s="40">
        <f t="shared" si="18"/>
        <v>0</v>
      </c>
      <c r="D391" s="39">
        <v>0</v>
      </c>
      <c r="E391" s="39">
        <v>0</v>
      </c>
      <c r="F391" s="39">
        <f t="shared" si="19"/>
        <v>0</v>
      </c>
      <c r="G391" s="39">
        <v>0</v>
      </c>
      <c r="H391" s="39"/>
      <c r="I391" s="39">
        <v>0</v>
      </c>
      <c r="J391" s="39">
        <v>0</v>
      </c>
      <c r="K391" s="39">
        <v>0</v>
      </c>
      <c r="L391" s="40">
        <f t="shared" si="20"/>
        <v>0</v>
      </c>
      <c r="M391" s="41">
        <v>0</v>
      </c>
      <c r="N391" s="41">
        <v>0</v>
      </c>
      <c r="O391" s="42" t="s">
        <v>1962</v>
      </c>
      <c r="P391" s="42" t="s">
        <v>1963</v>
      </c>
      <c r="Q391" s="42" t="s">
        <v>1964</v>
      </c>
      <c r="R391" s="42" t="s">
        <v>1965</v>
      </c>
      <c r="S391" s="42" t="s">
        <v>1966</v>
      </c>
      <c r="T391" s="42"/>
    </row>
    <row r="392" spans="1:20" x14ac:dyDescent="0.3">
      <c r="A392" s="37"/>
      <c r="B392" s="37"/>
      <c r="C392" s="40">
        <f t="shared" si="18"/>
        <v>0</v>
      </c>
      <c r="D392" s="39">
        <v>0</v>
      </c>
      <c r="E392" s="39">
        <v>0</v>
      </c>
      <c r="F392" s="39">
        <f t="shared" si="19"/>
        <v>0</v>
      </c>
      <c r="G392" s="39">
        <v>0</v>
      </c>
      <c r="H392" s="39"/>
      <c r="I392" s="39">
        <v>0</v>
      </c>
      <c r="J392" s="39">
        <v>0</v>
      </c>
      <c r="K392" s="39">
        <v>0</v>
      </c>
      <c r="L392" s="40">
        <f t="shared" si="20"/>
        <v>0</v>
      </c>
      <c r="M392" s="41">
        <v>0</v>
      </c>
      <c r="N392" s="41">
        <v>0</v>
      </c>
      <c r="O392" s="42" t="s">
        <v>1967</v>
      </c>
      <c r="P392" s="42" t="s">
        <v>1968</v>
      </c>
      <c r="Q392" s="42" t="s">
        <v>1969</v>
      </c>
      <c r="R392" s="42" t="s">
        <v>1970</v>
      </c>
      <c r="S392" s="42" t="s">
        <v>1971</v>
      </c>
      <c r="T392" s="42"/>
    </row>
    <row r="393" spans="1:20" x14ac:dyDescent="0.3">
      <c r="A393" s="37"/>
      <c r="B393" s="37"/>
      <c r="C393" s="40">
        <f t="shared" si="18"/>
        <v>0</v>
      </c>
      <c r="D393" s="39">
        <v>0</v>
      </c>
      <c r="E393" s="39">
        <v>0</v>
      </c>
      <c r="F393" s="39">
        <f t="shared" si="19"/>
        <v>0</v>
      </c>
      <c r="G393" s="39">
        <v>0</v>
      </c>
      <c r="H393" s="39"/>
      <c r="I393" s="39">
        <v>0</v>
      </c>
      <c r="J393" s="39">
        <v>0</v>
      </c>
      <c r="K393" s="39">
        <v>0</v>
      </c>
      <c r="L393" s="40">
        <f t="shared" si="20"/>
        <v>0</v>
      </c>
      <c r="M393" s="41">
        <v>0</v>
      </c>
      <c r="N393" s="41">
        <v>0</v>
      </c>
      <c r="O393" s="42" t="s">
        <v>1972</v>
      </c>
      <c r="P393" s="42" t="s">
        <v>1973</v>
      </c>
      <c r="Q393" s="42" t="s">
        <v>1974</v>
      </c>
      <c r="R393" s="42" t="s">
        <v>1975</v>
      </c>
      <c r="S393" s="42" t="s">
        <v>1976</v>
      </c>
      <c r="T393" s="42"/>
    </row>
    <row r="394" spans="1:20" x14ac:dyDescent="0.3">
      <c r="A394" s="37"/>
      <c r="B394" s="37"/>
      <c r="C394" s="40">
        <f t="shared" si="18"/>
        <v>0</v>
      </c>
      <c r="D394" s="39">
        <v>0</v>
      </c>
      <c r="E394" s="39">
        <v>0</v>
      </c>
      <c r="F394" s="39">
        <f t="shared" si="19"/>
        <v>0</v>
      </c>
      <c r="G394" s="39">
        <v>0</v>
      </c>
      <c r="H394" s="39"/>
      <c r="I394" s="39">
        <v>0</v>
      </c>
      <c r="J394" s="39">
        <v>0</v>
      </c>
      <c r="K394" s="39">
        <v>0</v>
      </c>
      <c r="L394" s="40">
        <f t="shared" si="20"/>
        <v>0</v>
      </c>
      <c r="M394" s="41">
        <v>0</v>
      </c>
      <c r="N394" s="41">
        <v>0</v>
      </c>
      <c r="O394" s="42" t="s">
        <v>1977</v>
      </c>
      <c r="P394" s="42" t="s">
        <v>1978</v>
      </c>
      <c r="Q394" s="42" t="s">
        <v>1979</v>
      </c>
      <c r="R394" s="42" t="s">
        <v>1980</v>
      </c>
      <c r="S394" s="42" t="s">
        <v>1981</v>
      </c>
      <c r="T394" s="42"/>
    </row>
    <row r="395" spans="1:20" x14ac:dyDescent="0.3">
      <c r="A395" s="37"/>
      <c r="B395" s="37"/>
      <c r="C395" s="40">
        <f t="shared" si="18"/>
        <v>0</v>
      </c>
      <c r="D395" s="39">
        <v>0</v>
      </c>
      <c r="E395" s="39">
        <v>0</v>
      </c>
      <c r="F395" s="39">
        <f t="shared" si="19"/>
        <v>0</v>
      </c>
      <c r="G395" s="39">
        <v>0</v>
      </c>
      <c r="H395" s="39"/>
      <c r="I395" s="39">
        <v>0</v>
      </c>
      <c r="J395" s="39">
        <v>0</v>
      </c>
      <c r="K395" s="39">
        <v>0</v>
      </c>
      <c r="L395" s="40">
        <f t="shared" si="20"/>
        <v>0</v>
      </c>
      <c r="M395" s="41">
        <v>0</v>
      </c>
      <c r="N395" s="41">
        <v>0</v>
      </c>
      <c r="O395" s="42" t="s">
        <v>1982</v>
      </c>
      <c r="P395" s="42" t="s">
        <v>1983</v>
      </c>
      <c r="Q395" s="42" t="s">
        <v>1984</v>
      </c>
      <c r="R395" s="42" t="s">
        <v>1985</v>
      </c>
      <c r="S395" s="42" t="s">
        <v>1986</v>
      </c>
      <c r="T395" s="42"/>
    </row>
    <row r="396" spans="1:20" x14ac:dyDescent="0.3">
      <c r="A396" s="37"/>
      <c r="B396" s="37"/>
      <c r="C396" s="40">
        <f t="shared" si="18"/>
        <v>0</v>
      </c>
      <c r="D396" s="39">
        <v>0</v>
      </c>
      <c r="E396" s="39">
        <v>0</v>
      </c>
      <c r="F396" s="39">
        <f t="shared" si="19"/>
        <v>0</v>
      </c>
      <c r="G396" s="39">
        <v>0</v>
      </c>
      <c r="H396" s="39"/>
      <c r="I396" s="39">
        <v>0</v>
      </c>
      <c r="J396" s="39">
        <v>0</v>
      </c>
      <c r="K396" s="39">
        <v>0</v>
      </c>
      <c r="L396" s="40">
        <f t="shared" si="20"/>
        <v>0</v>
      </c>
      <c r="M396" s="41">
        <v>0</v>
      </c>
      <c r="N396" s="41">
        <v>0</v>
      </c>
      <c r="O396" s="42" t="s">
        <v>1987</v>
      </c>
      <c r="P396" s="42" t="s">
        <v>1988</v>
      </c>
      <c r="Q396" s="42" t="s">
        <v>1989</v>
      </c>
      <c r="R396" s="42" t="s">
        <v>1990</v>
      </c>
      <c r="S396" s="42" t="s">
        <v>1991</v>
      </c>
      <c r="T396" s="42"/>
    </row>
    <row r="397" spans="1:20" x14ac:dyDescent="0.3">
      <c r="A397" s="37"/>
      <c r="B397" s="37"/>
      <c r="C397" s="40">
        <f t="shared" si="18"/>
        <v>0</v>
      </c>
      <c r="D397" s="39">
        <v>0</v>
      </c>
      <c r="E397" s="39">
        <v>0</v>
      </c>
      <c r="F397" s="39">
        <f t="shared" si="19"/>
        <v>0</v>
      </c>
      <c r="G397" s="39">
        <v>0</v>
      </c>
      <c r="H397" s="39"/>
      <c r="I397" s="39">
        <v>0</v>
      </c>
      <c r="J397" s="39">
        <v>0</v>
      </c>
      <c r="K397" s="39">
        <v>0</v>
      </c>
      <c r="L397" s="40">
        <f t="shared" si="20"/>
        <v>0</v>
      </c>
      <c r="M397" s="41">
        <v>0</v>
      </c>
      <c r="N397" s="41">
        <v>0</v>
      </c>
      <c r="O397" s="42" t="s">
        <v>1992</v>
      </c>
      <c r="P397" s="42" t="s">
        <v>1993</v>
      </c>
      <c r="Q397" s="42" t="s">
        <v>1994</v>
      </c>
      <c r="R397" s="42" t="s">
        <v>1995</v>
      </c>
      <c r="S397" s="42" t="s">
        <v>1996</v>
      </c>
      <c r="T397" s="42"/>
    </row>
    <row r="398" spans="1:20" x14ac:dyDescent="0.3">
      <c r="A398" s="37"/>
      <c r="B398" s="37"/>
      <c r="C398" s="40">
        <f t="shared" si="18"/>
        <v>0</v>
      </c>
      <c r="D398" s="39">
        <v>0</v>
      </c>
      <c r="E398" s="39">
        <v>0</v>
      </c>
      <c r="F398" s="39">
        <f t="shared" si="19"/>
        <v>0</v>
      </c>
      <c r="G398" s="39">
        <v>0</v>
      </c>
      <c r="H398" s="39"/>
      <c r="I398" s="39">
        <v>0</v>
      </c>
      <c r="J398" s="39">
        <v>0</v>
      </c>
      <c r="K398" s="39">
        <v>0</v>
      </c>
      <c r="L398" s="40">
        <f t="shared" si="20"/>
        <v>0</v>
      </c>
      <c r="M398" s="41">
        <v>0</v>
      </c>
      <c r="N398" s="41">
        <v>0</v>
      </c>
      <c r="O398" s="42" t="s">
        <v>1997</v>
      </c>
      <c r="P398" s="42" t="s">
        <v>1998</v>
      </c>
      <c r="Q398" s="42" t="s">
        <v>1999</v>
      </c>
      <c r="R398" s="42" t="s">
        <v>2000</v>
      </c>
      <c r="S398" s="42" t="s">
        <v>2001</v>
      </c>
      <c r="T398" s="42"/>
    </row>
    <row r="399" spans="1:20" x14ac:dyDescent="0.3">
      <c r="A399" s="37"/>
      <c r="B399" s="37"/>
      <c r="C399" s="40">
        <f t="shared" si="18"/>
        <v>0</v>
      </c>
      <c r="D399" s="39">
        <v>0</v>
      </c>
      <c r="E399" s="39">
        <v>0</v>
      </c>
      <c r="F399" s="39">
        <f t="shared" si="19"/>
        <v>0</v>
      </c>
      <c r="G399" s="39">
        <v>0</v>
      </c>
      <c r="H399" s="39"/>
      <c r="I399" s="39">
        <v>0</v>
      </c>
      <c r="J399" s="39">
        <v>0</v>
      </c>
      <c r="K399" s="39">
        <v>0</v>
      </c>
      <c r="L399" s="40">
        <f t="shared" si="20"/>
        <v>0</v>
      </c>
      <c r="M399" s="41">
        <v>0</v>
      </c>
      <c r="N399" s="41">
        <v>0</v>
      </c>
      <c r="O399" s="42" t="s">
        <v>2002</v>
      </c>
      <c r="P399" s="42" t="s">
        <v>2003</v>
      </c>
      <c r="Q399" s="42" t="s">
        <v>2004</v>
      </c>
      <c r="R399" s="42" t="s">
        <v>2005</v>
      </c>
      <c r="S399" s="42" t="s">
        <v>2006</v>
      </c>
      <c r="T399" s="42"/>
    </row>
    <row r="400" spans="1:20" x14ac:dyDescent="0.3">
      <c r="A400" s="37"/>
      <c r="B400" s="37"/>
      <c r="C400" s="40">
        <f t="shared" si="18"/>
        <v>0</v>
      </c>
      <c r="D400" s="39">
        <v>0</v>
      </c>
      <c r="E400" s="39">
        <v>0</v>
      </c>
      <c r="F400" s="39">
        <f t="shared" si="19"/>
        <v>0</v>
      </c>
      <c r="G400" s="39">
        <v>0</v>
      </c>
      <c r="H400" s="39"/>
      <c r="I400" s="39">
        <v>0</v>
      </c>
      <c r="J400" s="39">
        <v>0</v>
      </c>
      <c r="K400" s="39">
        <v>0</v>
      </c>
      <c r="L400" s="40">
        <f t="shared" si="20"/>
        <v>0</v>
      </c>
      <c r="M400" s="41">
        <v>0</v>
      </c>
      <c r="N400" s="41">
        <v>0</v>
      </c>
      <c r="O400" s="42" t="s">
        <v>2007</v>
      </c>
      <c r="P400" s="42" t="s">
        <v>2008</v>
      </c>
      <c r="Q400" s="42" t="s">
        <v>2009</v>
      </c>
      <c r="R400" s="42" t="s">
        <v>2010</v>
      </c>
      <c r="S400" s="42" t="s">
        <v>2011</v>
      </c>
      <c r="T400" s="42"/>
    </row>
    <row r="401" spans="1:20" x14ac:dyDescent="0.3">
      <c r="A401" s="37"/>
      <c r="B401" s="37"/>
      <c r="C401" s="40">
        <f t="shared" si="18"/>
        <v>0</v>
      </c>
      <c r="D401" s="39">
        <v>0</v>
      </c>
      <c r="E401" s="39">
        <v>0</v>
      </c>
      <c r="F401" s="39">
        <f t="shared" si="19"/>
        <v>0</v>
      </c>
      <c r="G401" s="39">
        <v>0</v>
      </c>
      <c r="H401" s="39"/>
      <c r="I401" s="39">
        <v>0</v>
      </c>
      <c r="J401" s="39">
        <v>0</v>
      </c>
      <c r="K401" s="39">
        <v>0</v>
      </c>
      <c r="L401" s="40">
        <f t="shared" si="20"/>
        <v>0</v>
      </c>
      <c r="M401" s="41">
        <v>0</v>
      </c>
      <c r="N401" s="41">
        <v>0</v>
      </c>
      <c r="O401" s="42" t="s">
        <v>2012</v>
      </c>
      <c r="P401" s="42" t="s">
        <v>2013</v>
      </c>
      <c r="Q401" s="42" t="s">
        <v>2014</v>
      </c>
      <c r="R401" s="42" t="s">
        <v>2015</v>
      </c>
      <c r="S401" s="42" t="s">
        <v>2016</v>
      </c>
      <c r="T401" s="42"/>
    </row>
    <row r="402" spans="1:20" x14ac:dyDescent="0.3">
      <c r="A402" s="37"/>
      <c r="B402" s="37"/>
      <c r="C402" s="40">
        <f t="shared" si="18"/>
        <v>0</v>
      </c>
      <c r="D402" s="39">
        <v>0</v>
      </c>
      <c r="E402" s="39">
        <v>0</v>
      </c>
      <c r="F402" s="39">
        <f t="shared" si="19"/>
        <v>0</v>
      </c>
      <c r="G402" s="39">
        <v>0</v>
      </c>
      <c r="H402" s="39"/>
      <c r="I402" s="39">
        <v>0</v>
      </c>
      <c r="J402" s="39">
        <v>0</v>
      </c>
      <c r="K402" s="39">
        <v>0</v>
      </c>
      <c r="L402" s="40">
        <f t="shared" si="20"/>
        <v>0</v>
      </c>
      <c r="M402" s="41">
        <v>0</v>
      </c>
      <c r="N402" s="41">
        <v>0</v>
      </c>
      <c r="O402" s="42" t="s">
        <v>2017</v>
      </c>
      <c r="P402" s="42" t="s">
        <v>2018</v>
      </c>
      <c r="Q402" s="42" t="s">
        <v>2019</v>
      </c>
      <c r="R402" s="42" t="s">
        <v>2020</v>
      </c>
      <c r="S402" s="42" t="s">
        <v>2021</v>
      </c>
      <c r="T402" s="42"/>
    </row>
    <row r="403" spans="1:20" x14ac:dyDescent="0.3">
      <c r="A403" s="37"/>
      <c r="B403" s="37"/>
      <c r="C403" s="40">
        <f t="shared" si="18"/>
        <v>0</v>
      </c>
      <c r="D403" s="39">
        <v>0</v>
      </c>
      <c r="E403" s="39">
        <v>0</v>
      </c>
      <c r="F403" s="39">
        <f t="shared" si="19"/>
        <v>0</v>
      </c>
      <c r="G403" s="39">
        <v>0</v>
      </c>
      <c r="H403" s="39"/>
      <c r="I403" s="39">
        <v>0</v>
      </c>
      <c r="J403" s="39">
        <v>0</v>
      </c>
      <c r="K403" s="39">
        <v>0</v>
      </c>
      <c r="L403" s="40">
        <f t="shared" si="20"/>
        <v>0</v>
      </c>
      <c r="M403" s="41">
        <v>0</v>
      </c>
      <c r="N403" s="41">
        <v>0</v>
      </c>
      <c r="O403" s="42" t="s">
        <v>2022</v>
      </c>
      <c r="P403" s="42" t="s">
        <v>2023</v>
      </c>
      <c r="Q403" s="42" t="s">
        <v>2024</v>
      </c>
      <c r="R403" s="42" t="s">
        <v>2025</v>
      </c>
      <c r="S403" s="42" t="s">
        <v>2026</v>
      </c>
      <c r="T403" s="42"/>
    </row>
    <row r="404" spans="1:20" x14ac:dyDescent="0.3">
      <c r="A404" s="37"/>
      <c r="B404" s="37"/>
      <c r="C404" s="40">
        <f t="shared" si="18"/>
        <v>0</v>
      </c>
      <c r="D404" s="39">
        <v>0</v>
      </c>
      <c r="E404" s="39">
        <v>0</v>
      </c>
      <c r="F404" s="39">
        <f t="shared" si="19"/>
        <v>0</v>
      </c>
      <c r="G404" s="39">
        <v>0</v>
      </c>
      <c r="H404" s="39"/>
      <c r="I404" s="39">
        <v>0</v>
      </c>
      <c r="J404" s="39">
        <v>0</v>
      </c>
      <c r="K404" s="39">
        <v>0</v>
      </c>
      <c r="L404" s="40">
        <f t="shared" si="20"/>
        <v>0</v>
      </c>
      <c r="M404" s="41">
        <v>0</v>
      </c>
      <c r="N404" s="41">
        <v>0</v>
      </c>
      <c r="O404" s="42" t="s">
        <v>2027</v>
      </c>
      <c r="P404" s="42" t="s">
        <v>2028</v>
      </c>
      <c r="Q404" s="42" t="s">
        <v>2029</v>
      </c>
      <c r="R404" s="42" t="s">
        <v>2030</v>
      </c>
      <c r="S404" s="42" t="s">
        <v>2031</v>
      </c>
      <c r="T404" s="42"/>
    </row>
    <row r="405" spans="1:20" x14ac:dyDescent="0.3">
      <c r="A405" s="37"/>
      <c r="B405" s="37"/>
      <c r="C405" s="40">
        <f t="shared" si="18"/>
        <v>0</v>
      </c>
      <c r="D405" s="39">
        <v>0</v>
      </c>
      <c r="E405" s="39">
        <v>0</v>
      </c>
      <c r="F405" s="39">
        <f t="shared" si="19"/>
        <v>0</v>
      </c>
      <c r="G405" s="39">
        <v>0</v>
      </c>
      <c r="H405" s="39"/>
      <c r="I405" s="39">
        <v>0</v>
      </c>
      <c r="J405" s="39">
        <v>0</v>
      </c>
      <c r="K405" s="39">
        <v>0</v>
      </c>
      <c r="L405" s="40">
        <f t="shared" si="20"/>
        <v>0</v>
      </c>
      <c r="M405" s="41">
        <v>0</v>
      </c>
      <c r="N405" s="41">
        <v>0</v>
      </c>
      <c r="O405" s="42" t="s">
        <v>2032</v>
      </c>
      <c r="P405" s="42" t="s">
        <v>2033</v>
      </c>
      <c r="Q405" s="42" t="s">
        <v>2034</v>
      </c>
      <c r="R405" s="42" t="s">
        <v>2035</v>
      </c>
      <c r="S405" s="42" t="s">
        <v>2036</v>
      </c>
      <c r="T405" s="42"/>
    </row>
    <row r="406" spans="1:20" x14ac:dyDescent="0.3">
      <c r="A406" s="37"/>
      <c r="B406" s="37"/>
      <c r="C406" s="40">
        <f t="shared" si="18"/>
        <v>0</v>
      </c>
      <c r="D406" s="39">
        <v>0</v>
      </c>
      <c r="E406" s="39">
        <v>0</v>
      </c>
      <c r="F406" s="39">
        <f t="shared" si="19"/>
        <v>0</v>
      </c>
      <c r="G406" s="39">
        <v>0</v>
      </c>
      <c r="H406" s="39"/>
      <c r="I406" s="39">
        <v>0</v>
      </c>
      <c r="J406" s="39">
        <v>0</v>
      </c>
      <c r="K406" s="39">
        <v>0</v>
      </c>
      <c r="L406" s="40">
        <f t="shared" si="20"/>
        <v>0</v>
      </c>
      <c r="M406" s="41">
        <v>0</v>
      </c>
      <c r="N406" s="41">
        <v>0</v>
      </c>
      <c r="O406" s="42" t="s">
        <v>2037</v>
      </c>
      <c r="P406" s="42" t="s">
        <v>2038</v>
      </c>
      <c r="Q406" s="42" t="s">
        <v>2039</v>
      </c>
      <c r="R406" s="42" t="s">
        <v>2040</v>
      </c>
      <c r="S406" s="42" t="s">
        <v>2041</v>
      </c>
      <c r="T406" s="42"/>
    </row>
    <row r="407" spans="1:20" x14ac:dyDescent="0.3">
      <c r="A407" s="37"/>
      <c r="B407" s="37"/>
      <c r="C407" s="40">
        <f t="shared" si="18"/>
        <v>0</v>
      </c>
      <c r="D407" s="39">
        <v>0</v>
      </c>
      <c r="E407" s="39">
        <v>0</v>
      </c>
      <c r="F407" s="39">
        <f t="shared" si="19"/>
        <v>0</v>
      </c>
      <c r="G407" s="39">
        <v>0</v>
      </c>
      <c r="H407" s="39"/>
      <c r="I407" s="39">
        <v>0</v>
      </c>
      <c r="J407" s="39">
        <v>0</v>
      </c>
      <c r="K407" s="39">
        <v>0</v>
      </c>
      <c r="L407" s="40">
        <f t="shared" si="20"/>
        <v>0</v>
      </c>
      <c r="M407" s="41">
        <v>0</v>
      </c>
      <c r="N407" s="41">
        <v>0</v>
      </c>
      <c r="O407" s="42" t="s">
        <v>2042</v>
      </c>
      <c r="P407" s="42" t="s">
        <v>2043</v>
      </c>
      <c r="Q407" s="42" t="s">
        <v>2044</v>
      </c>
      <c r="R407" s="42" t="s">
        <v>2045</v>
      </c>
      <c r="S407" s="42" t="s">
        <v>2046</v>
      </c>
      <c r="T407" s="42"/>
    </row>
    <row r="408" spans="1:20" x14ac:dyDescent="0.3">
      <c r="A408" s="37"/>
      <c r="B408" s="37"/>
      <c r="C408" s="40">
        <f t="shared" si="18"/>
        <v>0</v>
      </c>
      <c r="D408" s="39">
        <v>0</v>
      </c>
      <c r="E408" s="39">
        <v>0</v>
      </c>
      <c r="F408" s="39">
        <f t="shared" si="19"/>
        <v>0</v>
      </c>
      <c r="G408" s="39">
        <v>0</v>
      </c>
      <c r="H408" s="39"/>
      <c r="I408" s="39">
        <v>0</v>
      </c>
      <c r="J408" s="39">
        <v>0</v>
      </c>
      <c r="K408" s="39">
        <v>0</v>
      </c>
      <c r="L408" s="40">
        <f t="shared" si="20"/>
        <v>0</v>
      </c>
      <c r="M408" s="41">
        <v>0</v>
      </c>
      <c r="N408" s="41">
        <v>0</v>
      </c>
      <c r="O408" s="42" t="s">
        <v>2047</v>
      </c>
      <c r="P408" s="42" t="s">
        <v>2048</v>
      </c>
      <c r="Q408" s="42" t="s">
        <v>2049</v>
      </c>
      <c r="R408" s="42" t="s">
        <v>2050</v>
      </c>
      <c r="S408" s="42" t="s">
        <v>2051</v>
      </c>
      <c r="T408" s="42"/>
    </row>
    <row r="409" spans="1:20" x14ac:dyDescent="0.3">
      <c r="A409" s="37"/>
      <c r="B409" s="37"/>
      <c r="C409" s="40">
        <f t="shared" si="18"/>
        <v>0</v>
      </c>
      <c r="D409" s="39">
        <v>0</v>
      </c>
      <c r="E409" s="39">
        <v>0</v>
      </c>
      <c r="F409" s="39">
        <f t="shared" si="19"/>
        <v>0</v>
      </c>
      <c r="G409" s="39">
        <v>0</v>
      </c>
      <c r="H409" s="39"/>
      <c r="I409" s="39">
        <v>0</v>
      </c>
      <c r="J409" s="39">
        <v>0</v>
      </c>
      <c r="K409" s="39">
        <v>0</v>
      </c>
      <c r="L409" s="40">
        <f t="shared" si="20"/>
        <v>0</v>
      </c>
      <c r="M409" s="41">
        <v>0</v>
      </c>
      <c r="N409" s="41">
        <v>0</v>
      </c>
      <c r="O409" s="42" t="s">
        <v>2052</v>
      </c>
      <c r="P409" s="42" t="s">
        <v>2053</v>
      </c>
      <c r="Q409" s="42" t="s">
        <v>2054</v>
      </c>
      <c r="R409" s="42" t="s">
        <v>2055</v>
      </c>
      <c r="S409" s="42" t="s">
        <v>2056</v>
      </c>
      <c r="T409" s="42"/>
    </row>
    <row r="410" spans="1:20" x14ac:dyDescent="0.3">
      <c r="A410" s="37"/>
      <c r="B410" s="37"/>
      <c r="C410" s="40">
        <f t="shared" si="18"/>
        <v>0</v>
      </c>
      <c r="D410" s="39">
        <v>0</v>
      </c>
      <c r="E410" s="39">
        <v>0</v>
      </c>
      <c r="F410" s="39">
        <f t="shared" si="19"/>
        <v>0</v>
      </c>
      <c r="G410" s="39">
        <v>0</v>
      </c>
      <c r="H410" s="39"/>
      <c r="I410" s="39">
        <v>0</v>
      </c>
      <c r="J410" s="39">
        <v>0</v>
      </c>
      <c r="K410" s="39">
        <v>0</v>
      </c>
      <c r="L410" s="40">
        <f t="shared" si="20"/>
        <v>0</v>
      </c>
      <c r="M410" s="41">
        <v>0</v>
      </c>
      <c r="N410" s="41">
        <v>0</v>
      </c>
      <c r="O410" s="42" t="s">
        <v>2057</v>
      </c>
      <c r="P410" s="42" t="s">
        <v>2058</v>
      </c>
      <c r="Q410" s="42" t="s">
        <v>2059</v>
      </c>
      <c r="R410" s="42" t="s">
        <v>2060</v>
      </c>
      <c r="S410" s="42" t="s">
        <v>2061</v>
      </c>
      <c r="T410" s="42"/>
    </row>
    <row r="411" spans="1:20" x14ac:dyDescent="0.3">
      <c r="A411" s="37"/>
      <c r="B411" s="37"/>
      <c r="C411" s="40">
        <f t="shared" si="18"/>
        <v>0</v>
      </c>
      <c r="D411" s="39">
        <v>0</v>
      </c>
      <c r="E411" s="39">
        <v>0</v>
      </c>
      <c r="F411" s="39">
        <f t="shared" si="19"/>
        <v>0</v>
      </c>
      <c r="G411" s="39">
        <v>0</v>
      </c>
      <c r="H411" s="39"/>
      <c r="I411" s="39">
        <v>0</v>
      </c>
      <c r="J411" s="39">
        <v>0</v>
      </c>
      <c r="K411" s="39">
        <v>0</v>
      </c>
      <c r="L411" s="40">
        <f t="shared" si="20"/>
        <v>0</v>
      </c>
      <c r="M411" s="41">
        <v>0</v>
      </c>
      <c r="N411" s="41">
        <v>0</v>
      </c>
      <c r="O411" s="42" t="s">
        <v>2062</v>
      </c>
      <c r="P411" s="42" t="s">
        <v>2063</v>
      </c>
      <c r="Q411" s="42" t="s">
        <v>2064</v>
      </c>
      <c r="R411" s="42" t="s">
        <v>2065</v>
      </c>
      <c r="S411" s="42" t="s">
        <v>2066</v>
      </c>
      <c r="T411" s="42"/>
    </row>
    <row r="412" spans="1:20" x14ac:dyDescent="0.3">
      <c r="A412" s="37"/>
      <c r="B412" s="37"/>
      <c r="C412" s="40">
        <f t="shared" si="18"/>
        <v>0</v>
      </c>
      <c r="D412" s="39">
        <v>0</v>
      </c>
      <c r="E412" s="39">
        <v>0</v>
      </c>
      <c r="F412" s="39">
        <f t="shared" si="19"/>
        <v>0</v>
      </c>
      <c r="G412" s="39">
        <v>0</v>
      </c>
      <c r="H412" s="39"/>
      <c r="I412" s="39">
        <v>0</v>
      </c>
      <c r="J412" s="39">
        <v>0</v>
      </c>
      <c r="K412" s="39">
        <v>0</v>
      </c>
      <c r="L412" s="40">
        <f t="shared" si="20"/>
        <v>0</v>
      </c>
      <c r="M412" s="41">
        <v>0</v>
      </c>
      <c r="N412" s="41">
        <v>0</v>
      </c>
      <c r="O412" s="42" t="s">
        <v>2067</v>
      </c>
      <c r="P412" s="42" t="s">
        <v>2068</v>
      </c>
      <c r="Q412" s="42" t="s">
        <v>2069</v>
      </c>
      <c r="R412" s="42" t="s">
        <v>2070</v>
      </c>
      <c r="S412" s="42" t="s">
        <v>2071</v>
      </c>
      <c r="T412" s="42"/>
    </row>
    <row r="413" spans="1:20" x14ac:dyDescent="0.3">
      <c r="A413" s="37"/>
      <c r="B413" s="37"/>
      <c r="C413" s="40">
        <f t="shared" si="18"/>
        <v>0</v>
      </c>
      <c r="D413" s="39">
        <v>0</v>
      </c>
      <c r="E413" s="39">
        <v>0</v>
      </c>
      <c r="F413" s="39">
        <f t="shared" si="19"/>
        <v>0</v>
      </c>
      <c r="G413" s="39">
        <v>0</v>
      </c>
      <c r="H413" s="39"/>
      <c r="I413" s="39">
        <v>0</v>
      </c>
      <c r="J413" s="39">
        <v>0</v>
      </c>
      <c r="K413" s="39">
        <v>0</v>
      </c>
      <c r="L413" s="40">
        <f t="shared" si="20"/>
        <v>0</v>
      </c>
      <c r="M413" s="41">
        <v>0</v>
      </c>
      <c r="N413" s="41">
        <v>0</v>
      </c>
      <c r="O413" s="42" t="s">
        <v>2072</v>
      </c>
      <c r="P413" s="42" t="s">
        <v>2073</v>
      </c>
      <c r="Q413" s="42" t="s">
        <v>2074</v>
      </c>
      <c r="R413" s="42" t="s">
        <v>2075</v>
      </c>
      <c r="S413" s="42" t="s">
        <v>2076</v>
      </c>
      <c r="T413" s="42"/>
    </row>
    <row r="414" spans="1:20" x14ac:dyDescent="0.3">
      <c r="A414" s="37"/>
      <c r="B414" s="37"/>
      <c r="C414" s="40">
        <f t="shared" si="18"/>
        <v>0</v>
      </c>
      <c r="D414" s="39">
        <v>0</v>
      </c>
      <c r="E414" s="39">
        <v>0</v>
      </c>
      <c r="F414" s="39">
        <f t="shared" si="19"/>
        <v>0</v>
      </c>
      <c r="G414" s="39">
        <v>0</v>
      </c>
      <c r="H414" s="39"/>
      <c r="I414" s="39">
        <v>0</v>
      </c>
      <c r="J414" s="39">
        <v>0</v>
      </c>
      <c r="K414" s="39">
        <v>0</v>
      </c>
      <c r="L414" s="40">
        <f t="shared" si="20"/>
        <v>0</v>
      </c>
      <c r="M414" s="41">
        <v>0</v>
      </c>
      <c r="N414" s="41">
        <v>0</v>
      </c>
      <c r="O414" s="42" t="s">
        <v>2077</v>
      </c>
      <c r="P414" s="42" t="s">
        <v>2078</v>
      </c>
      <c r="Q414" s="42" t="s">
        <v>2079</v>
      </c>
      <c r="R414" s="42" t="s">
        <v>2080</v>
      </c>
      <c r="S414" s="42" t="s">
        <v>2081</v>
      </c>
      <c r="T414" s="42"/>
    </row>
    <row r="415" spans="1:20" x14ac:dyDescent="0.3">
      <c r="A415" s="37"/>
      <c r="B415" s="37"/>
      <c r="C415" s="40">
        <f t="shared" si="18"/>
        <v>0</v>
      </c>
      <c r="D415" s="39">
        <v>0</v>
      </c>
      <c r="E415" s="39">
        <v>0</v>
      </c>
      <c r="F415" s="39">
        <f t="shared" si="19"/>
        <v>0</v>
      </c>
      <c r="G415" s="39">
        <v>0</v>
      </c>
      <c r="H415" s="39"/>
      <c r="I415" s="39">
        <v>0</v>
      </c>
      <c r="J415" s="39">
        <v>0</v>
      </c>
      <c r="K415" s="39">
        <v>0</v>
      </c>
      <c r="L415" s="40">
        <f t="shared" si="20"/>
        <v>0</v>
      </c>
      <c r="M415" s="41">
        <v>0</v>
      </c>
      <c r="N415" s="41">
        <v>0</v>
      </c>
      <c r="O415" s="42" t="s">
        <v>2082</v>
      </c>
      <c r="P415" s="42" t="s">
        <v>2083</v>
      </c>
      <c r="Q415" s="42" t="s">
        <v>2084</v>
      </c>
      <c r="R415" s="42" t="s">
        <v>2085</v>
      </c>
      <c r="S415" s="42" t="s">
        <v>2086</v>
      </c>
      <c r="T415" s="42"/>
    </row>
    <row r="416" spans="1:20" x14ac:dyDescent="0.3">
      <c r="A416" s="37"/>
      <c r="B416" s="37"/>
      <c r="C416" s="40">
        <f t="shared" si="18"/>
        <v>0</v>
      </c>
      <c r="D416" s="39">
        <v>0</v>
      </c>
      <c r="E416" s="39">
        <v>0</v>
      </c>
      <c r="F416" s="39">
        <f t="shared" si="19"/>
        <v>0</v>
      </c>
      <c r="G416" s="39">
        <v>0</v>
      </c>
      <c r="H416" s="39"/>
      <c r="I416" s="39">
        <v>0</v>
      </c>
      <c r="J416" s="39">
        <v>0</v>
      </c>
      <c r="K416" s="39">
        <v>0</v>
      </c>
      <c r="L416" s="40">
        <f t="shared" si="20"/>
        <v>0</v>
      </c>
      <c r="M416" s="41">
        <v>0</v>
      </c>
      <c r="N416" s="41">
        <v>0</v>
      </c>
      <c r="O416" s="42" t="s">
        <v>2087</v>
      </c>
      <c r="P416" s="42" t="s">
        <v>2088</v>
      </c>
      <c r="Q416" s="42" t="s">
        <v>2089</v>
      </c>
      <c r="R416" s="42" t="s">
        <v>2090</v>
      </c>
      <c r="S416" s="42" t="s">
        <v>2091</v>
      </c>
      <c r="T416" s="42"/>
    </row>
    <row r="417" spans="1:20" x14ac:dyDescent="0.3">
      <c r="A417" s="37"/>
      <c r="B417" s="37"/>
      <c r="C417" s="40">
        <f t="shared" si="18"/>
        <v>0</v>
      </c>
      <c r="D417" s="39">
        <v>0</v>
      </c>
      <c r="E417" s="39">
        <v>0</v>
      </c>
      <c r="F417" s="39">
        <f t="shared" si="19"/>
        <v>0</v>
      </c>
      <c r="G417" s="39">
        <v>0</v>
      </c>
      <c r="H417" s="39"/>
      <c r="I417" s="39">
        <v>0</v>
      </c>
      <c r="J417" s="39">
        <v>0</v>
      </c>
      <c r="K417" s="39">
        <v>0</v>
      </c>
      <c r="L417" s="40">
        <f t="shared" si="20"/>
        <v>0</v>
      </c>
      <c r="M417" s="41">
        <v>0</v>
      </c>
      <c r="N417" s="41">
        <v>0</v>
      </c>
      <c r="O417" s="42" t="s">
        <v>2092</v>
      </c>
      <c r="P417" s="42" t="s">
        <v>2093</v>
      </c>
      <c r="Q417" s="42" t="s">
        <v>2094</v>
      </c>
      <c r="R417" s="42" t="s">
        <v>2095</v>
      </c>
      <c r="S417" s="42" t="s">
        <v>2096</v>
      </c>
      <c r="T417" s="42"/>
    </row>
    <row r="418" spans="1:20" x14ac:dyDescent="0.3">
      <c r="A418" s="37"/>
      <c r="B418" s="37"/>
      <c r="C418" s="40">
        <f t="shared" si="18"/>
        <v>0</v>
      </c>
      <c r="D418" s="39">
        <v>0</v>
      </c>
      <c r="E418" s="39">
        <v>0</v>
      </c>
      <c r="F418" s="39">
        <f t="shared" si="19"/>
        <v>0</v>
      </c>
      <c r="G418" s="39">
        <v>0</v>
      </c>
      <c r="H418" s="39"/>
      <c r="I418" s="39">
        <v>0</v>
      </c>
      <c r="J418" s="39">
        <v>0</v>
      </c>
      <c r="K418" s="39">
        <v>0</v>
      </c>
      <c r="L418" s="40">
        <f t="shared" si="20"/>
        <v>0</v>
      </c>
      <c r="M418" s="41">
        <v>0</v>
      </c>
      <c r="N418" s="41">
        <v>0</v>
      </c>
      <c r="O418" s="42" t="s">
        <v>2097</v>
      </c>
      <c r="P418" s="42" t="s">
        <v>2098</v>
      </c>
      <c r="Q418" s="42" t="s">
        <v>2099</v>
      </c>
      <c r="R418" s="42" t="s">
        <v>2100</v>
      </c>
      <c r="S418" s="42" t="s">
        <v>2101</v>
      </c>
      <c r="T418" s="42"/>
    </row>
    <row r="419" spans="1:20" x14ac:dyDescent="0.3">
      <c r="A419" s="37"/>
      <c r="B419" s="37"/>
      <c r="C419" s="40">
        <f t="shared" si="18"/>
        <v>0</v>
      </c>
      <c r="D419" s="39">
        <v>0</v>
      </c>
      <c r="E419" s="39">
        <v>0</v>
      </c>
      <c r="F419" s="39">
        <f t="shared" si="19"/>
        <v>0</v>
      </c>
      <c r="G419" s="39">
        <v>0</v>
      </c>
      <c r="H419" s="39"/>
      <c r="I419" s="39">
        <v>0</v>
      </c>
      <c r="J419" s="39">
        <v>0</v>
      </c>
      <c r="K419" s="39">
        <v>0</v>
      </c>
      <c r="L419" s="40">
        <f t="shared" si="20"/>
        <v>0</v>
      </c>
      <c r="M419" s="41">
        <v>0</v>
      </c>
      <c r="N419" s="41">
        <v>0</v>
      </c>
      <c r="O419" s="42" t="s">
        <v>2102</v>
      </c>
      <c r="P419" s="42" t="s">
        <v>2103</v>
      </c>
      <c r="Q419" s="42" t="s">
        <v>2104</v>
      </c>
      <c r="R419" s="42" t="s">
        <v>2105</v>
      </c>
      <c r="S419" s="42" t="s">
        <v>2106</v>
      </c>
      <c r="T419" s="42"/>
    </row>
    <row r="420" spans="1:20" x14ac:dyDescent="0.3">
      <c r="A420" s="37"/>
      <c r="B420" s="37"/>
      <c r="C420" s="40">
        <f t="shared" si="18"/>
        <v>0</v>
      </c>
      <c r="D420" s="39">
        <v>0</v>
      </c>
      <c r="E420" s="39">
        <v>0</v>
      </c>
      <c r="F420" s="39">
        <f t="shared" si="19"/>
        <v>0</v>
      </c>
      <c r="G420" s="39">
        <v>0</v>
      </c>
      <c r="H420" s="39"/>
      <c r="I420" s="39">
        <v>0</v>
      </c>
      <c r="J420" s="39">
        <v>0</v>
      </c>
      <c r="K420" s="39">
        <v>0</v>
      </c>
      <c r="L420" s="40">
        <f t="shared" si="20"/>
        <v>0</v>
      </c>
      <c r="M420" s="41">
        <v>0</v>
      </c>
      <c r="N420" s="41">
        <v>0</v>
      </c>
      <c r="O420" s="42" t="s">
        <v>2107</v>
      </c>
      <c r="P420" s="42" t="s">
        <v>2108</v>
      </c>
      <c r="Q420" s="42" t="s">
        <v>2109</v>
      </c>
      <c r="R420" s="42" t="s">
        <v>2110</v>
      </c>
      <c r="S420" s="42" t="s">
        <v>2111</v>
      </c>
      <c r="T420" s="42"/>
    </row>
    <row r="421" spans="1:20" x14ac:dyDescent="0.3">
      <c r="A421" s="37"/>
      <c r="B421" s="37"/>
      <c r="C421" s="40">
        <f t="shared" ref="C421:C484" si="21">L420</f>
        <v>0</v>
      </c>
      <c r="D421" s="39">
        <v>0</v>
      </c>
      <c r="E421" s="39">
        <v>0</v>
      </c>
      <c r="F421" s="39">
        <f t="shared" ref="F421:F484" si="22">E421-G421-H421</f>
        <v>0</v>
      </c>
      <c r="G421" s="39">
        <v>0</v>
      </c>
      <c r="H421" s="39"/>
      <c r="I421" s="39">
        <v>0</v>
      </c>
      <c r="J421" s="39">
        <v>0</v>
      </c>
      <c r="K421" s="39">
        <v>0</v>
      </c>
      <c r="L421" s="40">
        <f t="shared" ref="L421:L484" si="23">C421+J421+K421-H421-F421+D421</f>
        <v>0</v>
      </c>
      <c r="M421" s="41">
        <v>0</v>
      </c>
      <c r="N421" s="41">
        <v>0</v>
      </c>
      <c r="O421" s="42" t="s">
        <v>2112</v>
      </c>
      <c r="P421" s="42" t="s">
        <v>2113</v>
      </c>
      <c r="Q421" s="42" t="s">
        <v>2114</v>
      </c>
      <c r="R421" s="42" t="s">
        <v>2115</v>
      </c>
      <c r="S421" s="42" t="s">
        <v>2116</v>
      </c>
      <c r="T421" s="42"/>
    </row>
    <row r="422" spans="1:20" x14ac:dyDescent="0.3">
      <c r="A422" s="37"/>
      <c r="B422" s="37"/>
      <c r="C422" s="40">
        <f t="shared" si="21"/>
        <v>0</v>
      </c>
      <c r="D422" s="39">
        <v>0</v>
      </c>
      <c r="E422" s="39">
        <v>0</v>
      </c>
      <c r="F422" s="39">
        <f t="shared" si="22"/>
        <v>0</v>
      </c>
      <c r="G422" s="39">
        <v>0</v>
      </c>
      <c r="H422" s="39"/>
      <c r="I422" s="39">
        <v>0</v>
      </c>
      <c r="J422" s="39">
        <v>0</v>
      </c>
      <c r="K422" s="39">
        <v>0</v>
      </c>
      <c r="L422" s="40">
        <f t="shared" si="23"/>
        <v>0</v>
      </c>
      <c r="M422" s="41">
        <v>0</v>
      </c>
      <c r="N422" s="41">
        <v>0</v>
      </c>
      <c r="O422" s="42" t="s">
        <v>2117</v>
      </c>
      <c r="P422" s="42" t="s">
        <v>2118</v>
      </c>
      <c r="Q422" s="42" t="s">
        <v>2119</v>
      </c>
      <c r="R422" s="42" t="s">
        <v>2120</v>
      </c>
      <c r="S422" s="42" t="s">
        <v>2121</v>
      </c>
      <c r="T422" s="42"/>
    </row>
    <row r="423" spans="1:20" x14ac:dyDescent="0.3">
      <c r="A423" s="37"/>
      <c r="B423" s="37"/>
      <c r="C423" s="40">
        <f t="shared" si="21"/>
        <v>0</v>
      </c>
      <c r="D423" s="39">
        <v>0</v>
      </c>
      <c r="E423" s="39">
        <v>0</v>
      </c>
      <c r="F423" s="39">
        <f t="shared" si="22"/>
        <v>0</v>
      </c>
      <c r="G423" s="39">
        <v>0</v>
      </c>
      <c r="H423" s="39"/>
      <c r="I423" s="39">
        <v>0</v>
      </c>
      <c r="J423" s="39">
        <v>0</v>
      </c>
      <c r="K423" s="39">
        <v>0</v>
      </c>
      <c r="L423" s="40">
        <f t="shared" si="23"/>
        <v>0</v>
      </c>
      <c r="M423" s="41">
        <v>0</v>
      </c>
      <c r="N423" s="41">
        <v>0</v>
      </c>
      <c r="O423" s="42" t="s">
        <v>2122</v>
      </c>
      <c r="P423" s="42" t="s">
        <v>2123</v>
      </c>
      <c r="Q423" s="42" t="s">
        <v>2124</v>
      </c>
      <c r="R423" s="42" t="s">
        <v>2125</v>
      </c>
      <c r="S423" s="42" t="s">
        <v>2126</v>
      </c>
      <c r="T423" s="42"/>
    </row>
    <row r="424" spans="1:20" x14ac:dyDescent="0.3">
      <c r="A424" s="37"/>
      <c r="B424" s="37"/>
      <c r="C424" s="40">
        <f t="shared" si="21"/>
        <v>0</v>
      </c>
      <c r="D424" s="39">
        <v>0</v>
      </c>
      <c r="E424" s="39">
        <v>0</v>
      </c>
      <c r="F424" s="39">
        <f t="shared" si="22"/>
        <v>0</v>
      </c>
      <c r="G424" s="39">
        <v>0</v>
      </c>
      <c r="H424" s="39"/>
      <c r="I424" s="39">
        <v>0</v>
      </c>
      <c r="J424" s="39">
        <v>0</v>
      </c>
      <c r="K424" s="39">
        <v>0</v>
      </c>
      <c r="L424" s="40">
        <f t="shared" si="23"/>
        <v>0</v>
      </c>
      <c r="M424" s="41">
        <v>0</v>
      </c>
      <c r="N424" s="41">
        <v>0</v>
      </c>
      <c r="O424" s="42" t="s">
        <v>2127</v>
      </c>
      <c r="P424" s="42" t="s">
        <v>2128</v>
      </c>
      <c r="Q424" s="42" t="s">
        <v>2129</v>
      </c>
      <c r="R424" s="42" t="s">
        <v>2130</v>
      </c>
      <c r="S424" s="42" t="s">
        <v>2131</v>
      </c>
      <c r="T424" s="42"/>
    </row>
    <row r="425" spans="1:20" x14ac:dyDescent="0.3">
      <c r="A425" s="37"/>
      <c r="B425" s="37"/>
      <c r="C425" s="40">
        <f t="shared" si="21"/>
        <v>0</v>
      </c>
      <c r="D425" s="39">
        <v>0</v>
      </c>
      <c r="E425" s="39">
        <v>0</v>
      </c>
      <c r="F425" s="39">
        <f t="shared" si="22"/>
        <v>0</v>
      </c>
      <c r="G425" s="39">
        <v>0</v>
      </c>
      <c r="H425" s="39"/>
      <c r="I425" s="39">
        <v>0</v>
      </c>
      <c r="J425" s="39">
        <v>0</v>
      </c>
      <c r="K425" s="39">
        <v>0</v>
      </c>
      <c r="L425" s="40">
        <f t="shared" si="23"/>
        <v>0</v>
      </c>
      <c r="M425" s="41">
        <v>0</v>
      </c>
      <c r="N425" s="41">
        <v>0</v>
      </c>
      <c r="O425" s="42" t="s">
        <v>2132</v>
      </c>
      <c r="P425" s="42" t="s">
        <v>2133</v>
      </c>
      <c r="Q425" s="42" t="s">
        <v>2134</v>
      </c>
      <c r="R425" s="42" t="s">
        <v>2135</v>
      </c>
      <c r="S425" s="42" t="s">
        <v>2136</v>
      </c>
      <c r="T425" s="42"/>
    </row>
    <row r="426" spans="1:20" x14ac:dyDescent="0.3">
      <c r="A426" s="37"/>
      <c r="B426" s="37"/>
      <c r="C426" s="40">
        <f t="shared" si="21"/>
        <v>0</v>
      </c>
      <c r="D426" s="39">
        <v>0</v>
      </c>
      <c r="E426" s="39">
        <v>0</v>
      </c>
      <c r="F426" s="39">
        <f t="shared" si="22"/>
        <v>0</v>
      </c>
      <c r="G426" s="39">
        <v>0</v>
      </c>
      <c r="H426" s="39"/>
      <c r="I426" s="39">
        <v>0</v>
      </c>
      <c r="J426" s="39">
        <v>0</v>
      </c>
      <c r="K426" s="39">
        <v>0</v>
      </c>
      <c r="L426" s="40">
        <f t="shared" si="23"/>
        <v>0</v>
      </c>
      <c r="M426" s="41">
        <v>0</v>
      </c>
      <c r="N426" s="41">
        <v>0</v>
      </c>
      <c r="O426" s="42" t="s">
        <v>2137</v>
      </c>
      <c r="P426" s="42" t="s">
        <v>2138</v>
      </c>
      <c r="Q426" s="42" t="s">
        <v>2139</v>
      </c>
      <c r="R426" s="42" t="s">
        <v>2140</v>
      </c>
      <c r="S426" s="42" t="s">
        <v>2141</v>
      </c>
      <c r="T426" s="42"/>
    </row>
    <row r="427" spans="1:20" x14ac:dyDescent="0.3">
      <c r="A427" s="37"/>
      <c r="B427" s="37"/>
      <c r="C427" s="40">
        <f t="shared" si="21"/>
        <v>0</v>
      </c>
      <c r="D427" s="39">
        <v>0</v>
      </c>
      <c r="E427" s="39">
        <v>0</v>
      </c>
      <c r="F427" s="39">
        <f t="shared" si="22"/>
        <v>0</v>
      </c>
      <c r="G427" s="39">
        <v>0</v>
      </c>
      <c r="H427" s="39"/>
      <c r="I427" s="39">
        <v>0</v>
      </c>
      <c r="J427" s="39">
        <v>0</v>
      </c>
      <c r="K427" s="39">
        <v>0</v>
      </c>
      <c r="L427" s="40">
        <f t="shared" si="23"/>
        <v>0</v>
      </c>
      <c r="M427" s="41">
        <v>0</v>
      </c>
      <c r="N427" s="41">
        <v>0</v>
      </c>
      <c r="O427" s="42" t="s">
        <v>2142</v>
      </c>
      <c r="P427" s="42" t="s">
        <v>2143</v>
      </c>
      <c r="Q427" s="42" t="s">
        <v>2144</v>
      </c>
      <c r="R427" s="42" t="s">
        <v>2145</v>
      </c>
      <c r="S427" s="42" t="s">
        <v>2146</v>
      </c>
      <c r="T427" s="42"/>
    </row>
    <row r="428" spans="1:20" x14ac:dyDescent="0.3">
      <c r="A428" s="37"/>
      <c r="B428" s="37"/>
      <c r="C428" s="40">
        <f t="shared" si="21"/>
        <v>0</v>
      </c>
      <c r="D428" s="39">
        <v>0</v>
      </c>
      <c r="E428" s="39">
        <v>0</v>
      </c>
      <c r="F428" s="39">
        <f t="shared" si="22"/>
        <v>0</v>
      </c>
      <c r="G428" s="39">
        <v>0</v>
      </c>
      <c r="H428" s="39"/>
      <c r="I428" s="39">
        <v>0</v>
      </c>
      <c r="J428" s="39">
        <v>0</v>
      </c>
      <c r="K428" s="39">
        <v>0</v>
      </c>
      <c r="L428" s="40">
        <f t="shared" si="23"/>
        <v>0</v>
      </c>
      <c r="M428" s="41">
        <v>0</v>
      </c>
      <c r="N428" s="41">
        <v>0</v>
      </c>
      <c r="O428" s="42" t="s">
        <v>2147</v>
      </c>
      <c r="P428" s="42" t="s">
        <v>2148</v>
      </c>
      <c r="Q428" s="42" t="s">
        <v>2149</v>
      </c>
      <c r="R428" s="42" t="s">
        <v>2150</v>
      </c>
      <c r="S428" s="42" t="s">
        <v>2151</v>
      </c>
      <c r="T428" s="42"/>
    </row>
    <row r="429" spans="1:20" x14ac:dyDescent="0.3">
      <c r="A429" s="37"/>
      <c r="B429" s="37"/>
      <c r="C429" s="40">
        <f t="shared" si="21"/>
        <v>0</v>
      </c>
      <c r="D429" s="39">
        <v>0</v>
      </c>
      <c r="E429" s="39">
        <v>0</v>
      </c>
      <c r="F429" s="39">
        <f t="shared" si="22"/>
        <v>0</v>
      </c>
      <c r="G429" s="39">
        <v>0</v>
      </c>
      <c r="H429" s="39"/>
      <c r="I429" s="39">
        <v>0</v>
      </c>
      <c r="J429" s="39">
        <v>0</v>
      </c>
      <c r="K429" s="39">
        <v>0</v>
      </c>
      <c r="L429" s="40">
        <f t="shared" si="23"/>
        <v>0</v>
      </c>
      <c r="M429" s="41">
        <v>0</v>
      </c>
      <c r="N429" s="41">
        <v>0</v>
      </c>
      <c r="O429" s="42" t="s">
        <v>2152</v>
      </c>
      <c r="P429" s="42" t="s">
        <v>2153</v>
      </c>
      <c r="Q429" s="42" t="s">
        <v>2154</v>
      </c>
      <c r="R429" s="42" t="s">
        <v>2155</v>
      </c>
      <c r="S429" s="42" t="s">
        <v>2156</v>
      </c>
      <c r="T429" s="42"/>
    </row>
    <row r="430" spans="1:20" x14ac:dyDescent="0.3">
      <c r="A430" s="37"/>
      <c r="B430" s="37"/>
      <c r="C430" s="40">
        <f t="shared" si="21"/>
        <v>0</v>
      </c>
      <c r="D430" s="39">
        <v>0</v>
      </c>
      <c r="E430" s="39">
        <v>0</v>
      </c>
      <c r="F430" s="39">
        <f t="shared" si="22"/>
        <v>0</v>
      </c>
      <c r="G430" s="39">
        <v>0</v>
      </c>
      <c r="H430" s="39"/>
      <c r="I430" s="39">
        <v>0</v>
      </c>
      <c r="J430" s="39">
        <v>0</v>
      </c>
      <c r="K430" s="39">
        <v>0</v>
      </c>
      <c r="L430" s="40">
        <f t="shared" si="23"/>
        <v>0</v>
      </c>
      <c r="M430" s="41">
        <v>0</v>
      </c>
      <c r="N430" s="41">
        <v>0</v>
      </c>
      <c r="O430" s="42" t="s">
        <v>2157</v>
      </c>
      <c r="P430" s="42" t="s">
        <v>2158</v>
      </c>
      <c r="Q430" s="42" t="s">
        <v>2159</v>
      </c>
      <c r="R430" s="42" t="s">
        <v>2160</v>
      </c>
      <c r="S430" s="42" t="s">
        <v>2161</v>
      </c>
      <c r="T430" s="42"/>
    </row>
    <row r="431" spans="1:20" x14ac:dyDescent="0.3">
      <c r="A431" s="37"/>
      <c r="B431" s="37"/>
      <c r="C431" s="40">
        <f t="shared" si="21"/>
        <v>0</v>
      </c>
      <c r="D431" s="39">
        <v>0</v>
      </c>
      <c r="E431" s="39">
        <v>0</v>
      </c>
      <c r="F431" s="39">
        <f t="shared" si="22"/>
        <v>0</v>
      </c>
      <c r="G431" s="39">
        <v>0</v>
      </c>
      <c r="H431" s="39"/>
      <c r="I431" s="39">
        <v>0</v>
      </c>
      <c r="J431" s="39">
        <v>0</v>
      </c>
      <c r="K431" s="39">
        <v>0</v>
      </c>
      <c r="L431" s="40">
        <f t="shared" si="23"/>
        <v>0</v>
      </c>
      <c r="M431" s="41">
        <v>0</v>
      </c>
      <c r="N431" s="41">
        <v>0</v>
      </c>
      <c r="O431" s="42" t="s">
        <v>2162</v>
      </c>
      <c r="P431" s="42" t="s">
        <v>2163</v>
      </c>
      <c r="Q431" s="42" t="s">
        <v>2164</v>
      </c>
      <c r="R431" s="42" t="s">
        <v>2165</v>
      </c>
      <c r="S431" s="42" t="s">
        <v>2166</v>
      </c>
      <c r="T431" s="42"/>
    </row>
    <row r="432" spans="1:20" x14ac:dyDescent="0.3">
      <c r="A432" s="37"/>
      <c r="B432" s="37"/>
      <c r="C432" s="40">
        <f t="shared" si="21"/>
        <v>0</v>
      </c>
      <c r="D432" s="39">
        <v>0</v>
      </c>
      <c r="E432" s="39">
        <v>0</v>
      </c>
      <c r="F432" s="39">
        <f t="shared" si="22"/>
        <v>0</v>
      </c>
      <c r="G432" s="39">
        <v>0</v>
      </c>
      <c r="H432" s="39"/>
      <c r="I432" s="39">
        <v>0</v>
      </c>
      <c r="J432" s="39">
        <v>0</v>
      </c>
      <c r="K432" s="39">
        <v>0</v>
      </c>
      <c r="L432" s="40">
        <f t="shared" si="23"/>
        <v>0</v>
      </c>
      <c r="M432" s="41">
        <v>0</v>
      </c>
      <c r="N432" s="41">
        <v>0</v>
      </c>
      <c r="O432" s="42" t="s">
        <v>2167</v>
      </c>
      <c r="P432" s="42" t="s">
        <v>2168</v>
      </c>
      <c r="Q432" s="42" t="s">
        <v>2169</v>
      </c>
      <c r="R432" s="42" t="s">
        <v>2170</v>
      </c>
      <c r="S432" s="42" t="s">
        <v>2171</v>
      </c>
      <c r="T432" s="42"/>
    </row>
    <row r="433" spans="1:20" x14ac:dyDescent="0.3">
      <c r="A433" s="37"/>
      <c r="B433" s="37"/>
      <c r="C433" s="40">
        <f t="shared" si="21"/>
        <v>0</v>
      </c>
      <c r="D433" s="39">
        <v>0</v>
      </c>
      <c r="E433" s="39">
        <v>0</v>
      </c>
      <c r="F433" s="39">
        <f t="shared" si="22"/>
        <v>0</v>
      </c>
      <c r="G433" s="39">
        <v>0</v>
      </c>
      <c r="H433" s="39"/>
      <c r="I433" s="39">
        <v>0</v>
      </c>
      <c r="J433" s="39">
        <v>0</v>
      </c>
      <c r="K433" s="39">
        <v>0</v>
      </c>
      <c r="L433" s="40">
        <f t="shared" si="23"/>
        <v>0</v>
      </c>
      <c r="M433" s="41">
        <v>0</v>
      </c>
      <c r="N433" s="41">
        <v>0</v>
      </c>
      <c r="O433" s="42" t="s">
        <v>2172</v>
      </c>
      <c r="P433" s="42" t="s">
        <v>2173</v>
      </c>
      <c r="Q433" s="42" t="s">
        <v>2174</v>
      </c>
      <c r="R433" s="42" t="s">
        <v>2175</v>
      </c>
      <c r="S433" s="42" t="s">
        <v>2176</v>
      </c>
      <c r="T433" s="42"/>
    </row>
    <row r="434" spans="1:20" x14ac:dyDescent="0.3">
      <c r="A434" s="37"/>
      <c r="B434" s="37"/>
      <c r="C434" s="40">
        <f t="shared" si="21"/>
        <v>0</v>
      </c>
      <c r="D434" s="39">
        <v>0</v>
      </c>
      <c r="E434" s="39">
        <v>0</v>
      </c>
      <c r="F434" s="39">
        <f t="shared" si="22"/>
        <v>0</v>
      </c>
      <c r="G434" s="39">
        <v>0</v>
      </c>
      <c r="H434" s="39"/>
      <c r="I434" s="39">
        <v>0</v>
      </c>
      <c r="J434" s="39">
        <v>0</v>
      </c>
      <c r="K434" s="39">
        <v>0</v>
      </c>
      <c r="L434" s="40">
        <f t="shared" si="23"/>
        <v>0</v>
      </c>
      <c r="M434" s="41">
        <v>0</v>
      </c>
      <c r="N434" s="41">
        <v>0</v>
      </c>
      <c r="O434" s="42" t="s">
        <v>2177</v>
      </c>
      <c r="P434" s="42" t="s">
        <v>2178</v>
      </c>
      <c r="Q434" s="42" t="s">
        <v>2179</v>
      </c>
      <c r="R434" s="42" t="s">
        <v>2180</v>
      </c>
      <c r="S434" s="42" t="s">
        <v>2181</v>
      </c>
      <c r="T434" s="42"/>
    </row>
    <row r="435" spans="1:20" x14ac:dyDescent="0.3">
      <c r="A435" s="37"/>
      <c r="B435" s="37"/>
      <c r="C435" s="40">
        <f t="shared" si="21"/>
        <v>0</v>
      </c>
      <c r="D435" s="39">
        <v>0</v>
      </c>
      <c r="E435" s="39">
        <v>0</v>
      </c>
      <c r="F435" s="39">
        <f t="shared" si="22"/>
        <v>0</v>
      </c>
      <c r="G435" s="39">
        <v>0</v>
      </c>
      <c r="H435" s="39"/>
      <c r="I435" s="39">
        <v>0</v>
      </c>
      <c r="J435" s="39">
        <v>0</v>
      </c>
      <c r="K435" s="39">
        <v>0</v>
      </c>
      <c r="L435" s="40">
        <f t="shared" si="23"/>
        <v>0</v>
      </c>
      <c r="M435" s="41">
        <v>0</v>
      </c>
      <c r="N435" s="41">
        <v>0</v>
      </c>
      <c r="O435" s="42" t="s">
        <v>2182</v>
      </c>
      <c r="P435" s="42" t="s">
        <v>2183</v>
      </c>
      <c r="Q435" s="42" t="s">
        <v>2184</v>
      </c>
      <c r="R435" s="42" t="s">
        <v>2185</v>
      </c>
      <c r="S435" s="42" t="s">
        <v>2186</v>
      </c>
      <c r="T435" s="42"/>
    </row>
    <row r="436" spans="1:20" x14ac:dyDescent="0.3">
      <c r="A436" s="37"/>
      <c r="B436" s="37"/>
      <c r="C436" s="40">
        <f t="shared" si="21"/>
        <v>0</v>
      </c>
      <c r="D436" s="39">
        <v>0</v>
      </c>
      <c r="E436" s="39">
        <v>0</v>
      </c>
      <c r="F436" s="39">
        <f t="shared" si="22"/>
        <v>0</v>
      </c>
      <c r="G436" s="39">
        <v>0</v>
      </c>
      <c r="H436" s="39"/>
      <c r="I436" s="39">
        <v>0</v>
      </c>
      <c r="J436" s="39">
        <v>0</v>
      </c>
      <c r="K436" s="39">
        <v>0</v>
      </c>
      <c r="L436" s="40">
        <f t="shared" si="23"/>
        <v>0</v>
      </c>
      <c r="M436" s="41">
        <v>0</v>
      </c>
      <c r="N436" s="41">
        <v>0</v>
      </c>
      <c r="O436" s="42" t="s">
        <v>2187</v>
      </c>
      <c r="P436" s="42" t="s">
        <v>2188</v>
      </c>
      <c r="Q436" s="42" t="s">
        <v>2189</v>
      </c>
      <c r="R436" s="42" t="s">
        <v>2190</v>
      </c>
      <c r="S436" s="42" t="s">
        <v>2191</v>
      </c>
      <c r="T436" s="42"/>
    </row>
    <row r="437" spans="1:20" x14ac:dyDescent="0.3">
      <c r="A437" s="37"/>
      <c r="B437" s="37"/>
      <c r="C437" s="40">
        <f t="shared" si="21"/>
        <v>0</v>
      </c>
      <c r="D437" s="39">
        <v>0</v>
      </c>
      <c r="E437" s="39">
        <v>0</v>
      </c>
      <c r="F437" s="39">
        <f t="shared" si="22"/>
        <v>0</v>
      </c>
      <c r="G437" s="39">
        <v>0</v>
      </c>
      <c r="H437" s="39"/>
      <c r="I437" s="39">
        <v>0</v>
      </c>
      <c r="J437" s="39">
        <v>0</v>
      </c>
      <c r="K437" s="39">
        <v>0</v>
      </c>
      <c r="L437" s="40">
        <f t="shared" si="23"/>
        <v>0</v>
      </c>
      <c r="M437" s="41">
        <v>0</v>
      </c>
      <c r="N437" s="41">
        <v>0</v>
      </c>
      <c r="O437" s="42" t="s">
        <v>2192</v>
      </c>
      <c r="P437" s="42" t="s">
        <v>2193</v>
      </c>
      <c r="Q437" s="42" t="s">
        <v>2194</v>
      </c>
      <c r="R437" s="42" t="s">
        <v>2195</v>
      </c>
      <c r="S437" s="42" t="s">
        <v>2196</v>
      </c>
      <c r="T437" s="42"/>
    </row>
    <row r="438" spans="1:20" x14ac:dyDescent="0.3">
      <c r="A438" s="37"/>
      <c r="B438" s="37"/>
      <c r="C438" s="40">
        <f t="shared" si="21"/>
        <v>0</v>
      </c>
      <c r="D438" s="39">
        <v>0</v>
      </c>
      <c r="E438" s="39">
        <v>0</v>
      </c>
      <c r="F438" s="39">
        <f t="shared" si="22"/>
        <v>0</v>
      </c>
      <c r="G438" s="39">
        <v>0</v>
      </c>
      <c r="H438" s="39"/>
      <c r="I438" s="39">
        <v>0</v>
      </c>
      <c r="J438" s="39">
        <v>0</v>
      </c>
      <c r="K438" s="39">
        <v>0</v>
      </c>
      <c r="L438" s="40">
        <f t="shared" si="23"/>
        <v>0</v>
      </c>
      <c r="M438" s="41">
        <v>0</v>
      </c>
      <c r="N438" s="41">
        <v>0</v>
      </c>
      <c r="O438" s="42" t="s">
        <v>2197</v>
      </c>
      <c r="P438" s="42" t="s">
        <v>2198</v>
      </c>
      <c r="Q438" s="42" t="s">
        <v>2199</v>
      </c>
      <c r="R438" s="42" t="s">
        <v>2200</v>
      </c>
      <c r="S438" s="42" t="s">
        <v>2201</v>
      </c>
      <c r="T438" s="42"/>
    </row>
    <row r="439" spans="1:20" x14ac:dyDescent="0.3">
      <c r="A439" s="37"/>
      <c r="B439" s="37"/>
      <c r="C439" s="40">
        <f t="shared" si="21"/>
        <v>0</v>
      </c>
      <c r="D439" s="39">
        <v>0</v>
      </c>
      <c r="E439" s="39">
        <v>0</v>
      </c>
      <c r="F439" s="39">
        <f t="shared" si="22"/>
        <v>0</v>
      </c>
      <c r="G439" s="39">
        <v>0</v>
      </c>
      <c r="H439" s="39"/>
      <c r="I439" s="39">
        <v>0</v>
      </c>
      <c r="J439" s="39">
        <v>0</v>
      </c>
      <c r="K439" s="39">
        <v>0</v>
      </c>
      <c r="L439" s="40">
        <f t="shared" si="23"/>
        <v>0</v>
      </c>
      <c r="M439" s="41">
        <v>0</v>
      </c>
      <c r="N439" s="41">
        <v>0</v>
      </c>
      <c r="O439" s="42" t="s">
        <v>2202</v>
      </c>
      <c r="P439" s="42" t="s">
        <v>2203</v>
      </c>
      <c r="Q439" s="42" t="s">
        <v>2204</v>
      </c>
      <c r="R439" s="42" t="s">
        <v>2205</v>
      </c>
      <c r="S439" s="42" t="s">
        <v>2206</v>
      </c>
      <c r="T439" s="42"/>
    </row>
    <row r="440" spans="1:20" x14ac:dyDescent="0.3">
      <c r="A440" s="37"/>
      <c r="B440" s="37"/>
      <c r="C440" s="40">
        <f t="shared" si="21"/>
        <v>0</v>
      </c>
      <c r="D440" s="39">
        <v>0</v>
      </c>
      <c r="E440" s="39">
        <v>0</v>
      </c>
      <c r="F440" s="39">
        <f t="shared" si="22"/>
        <v>0</v>
      </c>
      <c r="G440" s="39">
        <v>0</v>
      </c>
      <c r="H440" s="39"/>
      <c r="I440" s="39">
        <v>0</v>
      </c>
      <c r="J440" s="39">
        <v>0</v>
      </c>
      <c r="K440" s="39">
        <v>0</v>
      </c>
      <c r="L440" s="40">
        <f t="shared" si="23"/>
        <v>0</v>
      </c>
      <c r="M440" s="41">
        <v>0</v>
      </c>
      <c r="N440" s="41">
        <v>0</v>
      </c>
      <c r="O440" s="42" t="s">
        <v>2207</v>
      </c>
      <c r="P440" s="42" t="s">
        <v>2208</v>
      </c>
      <c r="Q440" s="42" t="s">
        <v>2209</v>
      </c>
      <c r="R440" s="42" t="s">
        <v>2210</v>
      </c>
      <c r="S440" s="42" t="s">
        <v>2211</v>
      </c>
      <c r="T440" s="42"/>
    </row>
    <row r="441" spans="1:20" x14ac:dyDescent="0.3">
      <c r="A441" s="37"/>
      <c r="B441" s="37"/>
      <c r="C441" s="40">
        <f t="shared" si="21"/>
        <v>0</v>
      </c>
      <c r="D441" s="39">
        <v>0</v>
      </c>
      <c r="E441" s="39">
        <v>0</v>
      </c>
      <c r="F441" s="39">
        <f t="shared" si="22"/>
        <v>0</v>
      </c>
      <c r="G441" s="39">
        <v>0</v>
      </c>
      <c r="H441" s="39"/>
      <c r="I441" s="39">
        <v>0</v>
      </c>
      <c r="J441" s="39">
        <v>0</v>
      </c>
      <c r="K441" s="39">
        <v>0</v>
      </c>
      <c r="L441" s="40">
        <f t="shared" si="23"/>
        <v>0</v>
      </c>
      <c r="M441" s="41">
        <v>0</v>
      </c>
      <c r="N441" s="41">
        <v>0</v>
      </c>
      <c r="O441" s="42" t="s">
        <v>2212</v>
      </c>
      <c r="P441" s="42" t="s">
        <v>2213</v>
      </c>
      <c r="Q441" s="42" t="s">
        <v>2214</v>
      </c>
      <c r="R441" s="42" t="s">
        <v>2215</v>
      </c>
      <c r="S441" s="42" t="s">
        <v>2216</v>
      </c>
      <c r="T441" s="42"/>
    </row>
    <row r="442" spans="1:20" x14ac:dyDescent="0.3">
      <c r="A442" s="37"/>
      <c r="B442" s="37"/>
      <c r="C442" s="40">
        <f t="shared" si="21"/>
        <v>0</v>
      </c>
      <c r="D442" s="39">
        <v>0</v>
      </c>
      <c r="E442" s="39">
        <v>0</v>
      </c>
      <c r="F442" s="39">
        <f t="shared" si="22"/>
        <v>0</v>
      </c>
      <c r="G442" s="39">
        <v>0</v>
      </c>
      <c r="H442" s="39"/>
      <c r="I442" s="39">
        <v>0</v>
      </c>
      <c r="J442" s="39">
        <v>0</v>
      </c>
      <c r="K442" s="39">
        <v>0</v>
      </c>
      <c r="L442" s="40">
        <f t="shared" si="23"/>
        <v>0</v>
      </c>
      <c r="M442" s="41">
        <v>0</v>
      </c>
      <c r="N442" s="41">
        <v>0</v>
      </c>
      <c r="O442" s="42" t="s">
        <v>2217</v>
      </c>
      <c r="P442" s="42" t="s">
        <v>2218</v>
      </c>
      <c r="Q442" s="42" t="s">
        <v>2219</v>
      </c>
      <c r="R442" s="42" t="s">
        <v>2220</v>
      </c>
      <c r="S442" s="42" t="s">
        <v>2221</v>
      </c>
      <c r="T442" s="42"/>
    </row>
    <row r="443" spans="1:20" x14ac:dyDescent="0.3">
      <c r="A443" s="37"/>
      <c r="B443" s="37"/>
      <c r="C443" s="40">
        <f t="shared" si="21"/>
        <v>0</v>
      </c>
      <c r="D443" s="39">
        <v>0</v>
      </c>
      <c r="E443" s="39">
        <v>0</v>
      </c>
      <c r="F443" s="39">
        <f t="shared" si="22"/>
        <v>0</v>
      </c>
      <c r="G443" s="39">
        <v>0</v>
      </c>
      <c r="H443" s="39"/>
      <c r="I443" s="39">
        <v>0</v>
      </c>
      <c r="J443" s="39">
        <v>0</v>
      </c>
      <c r="K443" s="39">
        <v>0</v>
      </c>
      <c r="L443" s="40">
        <f t="shared" si="23"/>
        <v>0</v>
      </c>
      <c r="M443" s="41">
        <v>0</v>
      </c>
      <c r="N443" s="41">
        <v>0</v>
      </c>
      <c r="O443" s="42" t="s">
        <v>2222</v>
      </c>
      <c r="P443" s="42" t="s">
        <v>2223</v>
      </c>
      <c r="Q443" s="42" t="s">
        <v>2224</v>
      </c>
      <c r="R443" s="42" t="s">
        <v>2225</v>
      </c>
      <c r="S443" s="42" t="s">
        <v>2226</v>
      </c>
      <c r="T443" s="42"/>
    </row>
    <row r="444" spans="1:20" x14ac:dyDescent="0.3">
      <c r="A444" s="37"/>
      <c r="B444" s="37"/>
      <c r="C444" s="40">
        <f t="shared" si="21"/>
        <v>0</v>
      </c>
      <c r="D444" s="39">
        <v>0</v>
      </c>
      <c r="E444" s="39">
        <v>0</v>
      </c>
      <c r="F444" s="39">
        <f t="shared" si="22"/>
        <v>0</v>
      </c>
      <c r="G444" s="39">
        <v>0</v>
      </c>
      <c r="H444" s="39"/>
      <c r="I444" s="39">
        <v>0</v>
      </c>
      <c r="J444" s="39">
        <v>0</v>
      </c>
      <c r="K444" s="39">
        <v>0</v>
      </c>
      <c r="L444" s="40">
        <f t="shared" si="23"/>
        <v>0</v>
      </c>
      <c r="M444" s="41">
        <v>0</v>
      </c>
      <c r="N444" s="41">
        <v>0</v>
      </c>
      <c r="O444" s="42" t="s">
        <v>2227</v>
      </c>
      <c r="P444" s="42" t="s">
        <v>2228</v>
      </c>
      <c r="Q444" s="42" t="s">
        <v>2229</v>
      </c>
      <c r="R444" s="42" t="s">
        <v>2230</v>
      </c>
      <c r="S444" s="42" t="s">
        <v>2231</v>
      </c>
      <c r="T444" s="42"/>
    </row>
    <row r="445" spans="1:20" x14ac:dyDescent="0.3">
      <c r="A445" s="37"/>
      <c r="B445" s="37"/>
      <c r="C445" s="40">
        <f t="shared" si="21"/>
        <v>0</v>
      </c>
      <c r="D445" s="39">
        <v>0</v>
      </c>
      <c r="E445" s="39">
        <v>0</v>
      </c>
      <c r="F445" s="39">
        <f t="shared" si="22"/>
        <v>0</v>
      </c>
      <c r="G445" s="39">
        <v>0</v>
      </c>
      <c r="H445" s="39"/>
      <c r="I445" s="39">
        <v>0</v>
      </c>
      <c r="J445" s="39">
        <v>0</v>
      </c>
      <c r="K445" s="39">
        <v>0</v>
      </c>
      <c r="L445" s="40">
        <f t="shared" si="23"/>
        <v>0</v>
      </c>
      <c r="M445" s="41">
        <v>0</v>
      </c>
      <c r="N445" s="41">
        <v>0</v>
      </c>
      <c r="O445" s="42" t="s">
        <v>2232</v>
      </c>
      <c r="P445" s="42" t="s">
        <v>2233</v>
      </c>
      <c r="Q445" s="42" t="s">
        <v>2234</v>
      </c>
      <c r="R445" s="42" t="s">
        <v>2235</v>
      </c>
      <c r="S445" s="42" t="s">
        <v>2236</v>
      </c>
      <c r="T445" s="42"/>
    </row>
    <row r="446" spans="1:20" x14ac:dyDescent="0.3">
      <c r="A446" s="37"/>
      <c r="B446" s="37"/>
      <c r="C446" s="40">
        <f t="shared" si="21"/>
        <v>0</v>
      </c>
      <c r="D446" s="39">
        <v>0</v>
      </c>
      <c r="E446" s="39">
        <v>0</v>
      </c>
      <c r="F446" s="39">
        <f t="shared" si="22"/>
        <v>0</v>
      </c>
      <c r="G446" s="39">
        <v>0</v>
      </c>
      <c r="H446" s="39"/>
      <c r="I446" s="39">
        <v>0</v>
      </c>
      <c r="J446" s="39">
        <v>0</v>
      </c>
      <c r="K446" s="39">
        <v>0</v>
      </c>
      <c r="L446" s="40">
        <f t="shared" si="23"/>
        <v>0</v>
      </c>
      <c r="M446" s="41">
        <v>0</v>
      </c>
      <c r="N446" s="41">
        <v>0</v>
      </c>
      <c r="O446" s="42" t="s">
        <v>2237</v>
      </c>
      <c r="P446" s="42" t="s">
        <v>2238</v>
      </c>
      <c r="Q446" s="42" t="s">
        <v>2239</v>
      </c>
      <c r="R446" s="42" t="s">
        <v>2240</v>
      </c>
      <c r="S446" s="42" t="s">
        <v>2241</v>
      </c>
      <c r="T446" s="42"/>
    </row>
    <row r="447" spans="1:20" x14ac:dyDescent="0.3">
      <c r="A447" s="37"/>
      <c r="B447" s="37"/>
      <c r="C447" s="40">
        <f t="shared" si="21"/>
        <v>0</v>
      </c>
      <c r="D447" s="39">
        <v>0</v>
      </c>
      <c r="E447" s="39">
        <v>0</v>
      </c>
      <c r="F447" s="39">
        <f t="shared" si="22"/>
        <v>0</v>
      </c>
      <c r="G447" s="39">
        <v>0</v>
      </c>
      <c r="H447" s="39"/>
      <c r="I447" s="39">
        <v>0</v>
      </c>
      <c r="J447" s="39">
        <v>0</v>
      </c>
      <c r="K447" s="39">
        <v>0</v>
      </c>
      <c r="L447" s="40">
        <f t="shared" si="23"/>
        <v>0</v>
      </c>
      <c r="M447" s="41">
        <v>0</v>
      </c>
      <c r="N447" s="41">
        <v>0</v>
      </c>
      <c r="O447" s="42" t="s">
        <v>2242</v>
      </c>
      <c r="P447" s="42" t="s">
        <v>2243</v>
      </c>
      <c r="Q447" s="42" t="s">
        <v>2244</v>
      </c>
      <c r="R447" s="42" t="s">
        <v>2245</v>
      </c>
      <c r="S447" s="42" t="s">
        <v>2246</v>
      </c>
      <c r="T447" s="42"/>
    </row>
    <row r="448" spans="1:20" x14ac:dyDescent="0.3">
      <c r="A448" s="37"/>
      <c r="B448" s="37"/>
      <c r="C448" s="40">
        <f t="shared" si="21"/>
        <v>0</v>
      </c>
      <c r="D448" s="39">
        <v>0</v>
      </c>
      <c r="E448" s="39">
        <v>0</v>
      </c>
      <c r="F448" s="39">
        <f t="shared" si="22"/>
        <v>0</v>
      </c>
      <c r="G448" s="39">
        <v>0</v>
      </c>
      <c r="H448" s="39"/>
      <c r="I448" s="39">
        <v>0</v>
      </c>
      <c r="J448" s="39">
        <v>0</v>
      </c>
      <c r="K448" s="39">
        <v>0</v>
      </c>
      <c r="L448" s="40">
        <f t="shared" si="23"/>
        <v>0</v>
      </c>
      <c r="M448" s="41">
        <v>0</v>
      </c>
      <c r="N448" s="41">
        <v>0</v>
      </c>
      <c r="O448" s="42" t="s">
        <v>2247</v>
      </c>
      <c r="P448" s="42" t="s">
        <v>2248</v>
      </c>
      <c r="Q448" s="42" t="s">
        <v>2249</v>
      </c>
      <c r="R448" s="42" t="s">
        <v>2250</v>
      </c>
      <c r="S448" s="42" t="s">
        <v>2251</v>
      </c>
      <c r="T448" s="42"/>
    </row>
    <row r="449" spans="1:20" x14ac:dyDescent="0.3">
      <c r="A449" s="37"/>
      <c r="B449" s="37"/>
      <c r="C449" s="40">
        <f t="shared" si="21"/>
        <v>0</v>
      </c>
      <c r="D449" s="39">
        <v>0</v>
      </c>
      <c r="E449" s="39">
        <v>0</v>
      </c>
      <c r="F449" s="39">
        <f t="shared" si="22"/>
        <v>0</v>
      </c>
      <c r="G449" s="39">
        <v>0</v>
      </c>
      <c r="H449" s="39"/>
      <c r="I449" s="39">
        <v>0</v>
      </c>
      <c r="J449" s="39">
        <v>0</v>
      </c>
      <c r="K449" s="39">
        <v>0</v>
      </c>
      <c r="L449" s="40">
        <f t="shared" si="23"/>
        <v>0</v>
      </c>
      <c r="M449" s="41">
        <v>0</v>
      </c>
      <c r="N449" s="41">
        <v>0</v>
      </c>
      <c r="O449" s="42" t="s">
        <v>2252</v>
      </c>
      <c r="P449" s="42" t="s">
        <v>2253</v>
      </c>
      <c r="Q449" s="42" t="s">
        <v>2254</v>
      </c>
      <c r="R449" s="42" t="s">
        <v>2255</v>
      </c>
      <c r="S449" s="42" t="s">
        <v>2256</v>
      </c>
      <c r="T449" s="42"/>
    </row>
    <row r="450" spans="1:20" x14ac:dyDescent="0.3">
      <c r="A450" s="37"/>
      <c r="B450" s="37"/>
      <c r="C450" s="40">
        <f t="shared" si="21"/>
        <v>0</v>
      </c>
      <c r="D450" s="39">
        <v>0</v>
      </c>
      <c r="E450" s="39">
        <v>0</v>
      </c>
      <c r="F450" s="39">
        <f t="shared" si="22"/>
        <v>0</v>
      </c>
      <c r="G450" s="39">
        <v>0</v>
      </c>
      <c r="H450" s="39"/>
      <c r="I450" s="39">
        <v>0</v>
      </c>
      <c r="J450" s="39">
        <v>0</v>
      </c>
      <c r="K450" s="39">
        <v>0</v>
      </c>
      <c r="L450" s="40">
        <f t="shared" si="23"/>
        <v>0</v>
      </c>
      <c r="M450" s="41">
        <v>0</v>
      </c>
      <c r="N450" s="41">
        <v>0</v>
      </c>
      <c r="O450" s="42" t="s">
        <v>2257</v>
      </c>
      <c r="P450" s="42" t="s">
        <v>2258</v>
      </c>
      <c r="Q450" s="42" t="s">
        <v>2259</v>
      </c>
      <c r="R450" s="42" t="s">
        <v>2260</v>
      </c>
      <c r="S450" s="42" t="s">
        <v>2261</v>
      </c>
      <c r="T450" s="42"/>
    </row>
    <row r="451" spans="1:20" x14ac:dyDescent="0.3">
      <c r="A451" s="37"/>
      <c r="B451" s="37"/>
      <c r="C451" s="40">
        <f t="shared" si="21"/>
        <v>0</v>
      </c>
      <c r="D451" s="39">
        <v>0</v>
      </c>
      <c r="E451" s="39">
        <v>0</v>
      </c>
      <c r="F451" s="39">
        <f t="shared" si="22"/>
        <v>0</v>
      </c>
      <c r="G451" s="39">
        <v>0</v>
      </c>
      <c r="H451" s="39"/>
      <c r="I451" s="39">
        <v>0</v>
      </c>
      <c r="J451" s="39">
        <v>0</v>
      </c>
      <c r="K451" s="39">
        <v>0</v>
      </c>
      <c r="L451" s="40">
        <f t="shared" si="23"/>
        <v>0</v>
      </c>
      <c r="M451" s="41">
        <v>0</v>
      </c>
      <c r="N451" s="41">
        <v>0</v>
      </c>
      <c r="O451" s="42" t="s">
        <v>2262</v>
      </c>
      <c r="P451" s="42" t="s">
        <v>2263</v>
      </c>
      <c r="Q451" s="42" t="s">
        <v>2264</v>
      </c>
      <c r="R451" s="42" t="s">
        <v>2265</v>
      </c>
      <c r="S451" s="42" t="s">
        <v>2266</v>
      </c>
      <c r="T451" s="42"/>
    </row>
    <row r="452" spans="1:20" x14ac:dyDescent="0.3">
      <c r="A452" s="37"/>
      <c r="B452" s="37"/>
      <c r="C452" s="40">
        <f t="shared" si="21"/>
        <v>0</v>
      </c>
      <c r="D452" s="39">
        <v>0</v>
      </c>
      <c r="E452" s="39">
        <v>0</v>
      </c>
      <c r="F452" s="39">
        <f t="shared" si="22"/>
        <v>0</v>
      </c>
      <c r="G452" s="39">
        <v>0</v>
      </c>
      <c r="H452" s="39"/>
      <c r="I452" s="39">
        <v>0</v>
      </c>
      <c r="J452" s="39">
        <v>0</v>
      </c>
      <c r="K452" s="39">
        <v>0</v>
      </c>
      <c r="L452" s="40">
        <f t="shared" si="23"/>
        <v>0</v>
      </c>
      <c r="M452" s="41">
        <v>0</v>
      </c>
      <c r="N452" s="41">
        <v>0</v>
      </c>
      <c r="O452" s="42" t="s">
        <v>2267</v>
      </c>
      <c r="P452" s="42" t="s">
        <v>2268</v>
      </c>
      <c r="Q452" s="42" t="s">
        <v>2269</v>
      </c>
      <c r="R452" s="42" t="s">
        <v>2270</v>
      </c>
      <c r="S452" s="42" t="s">
        <v>2271</v>
      </c>
      <c r="T452" s="42"/>
    </row>
    <row r="453" spans="1:20" x14ac:dyDescent="0.3">
      <c r="A453" s="37"/>
      <c r="B453" s="37"/>
      <c r="C453" s="40">
        <f t="shared" si="21"/>
        <v>0</v>
      </c>
      <c r="D453" s="39">
        <v>0</v>
      </c>
      <c r="E453" s="39">
        <v>0</v>
      </c>
      <c r="F453" s="39">
        <f t="shared" si="22"/>
        <v>0</v>
      </c>
      <c r="G453" s="39">
        <v>0</v>
      </c>
      <c r="H453" s="39"/>
      <c r="I453" s="39">
        <v>0</v>
      </c>
      <c r="J453" s="39">
        <v>0</v>
      </c>
      <c r="K453" s="39">
        <v>0</v>
      </c>
      <c r="L453" s="40">
        <f t="shared" si="23"/>
        <v>0</v>
      </c>
      <c r="M453" s="41">
        <v>0</v>
      </c>
      <c r="N453" s="41">
        <v>0</v>
      </c>
      <c r="O453" s="42" t="s">
        <v>2272</v>
      </c>
      <c r="P453" s="42" t="s">
        <v>2273</v>
      </c>
      <c r="Q453" s="42" t="s">
        <v>2274</v>
      </c>
      <c r="R453" s="42" t="s">
        <v>2275</v>
      </c>
      <c r="S453" s="42" t="s">
        <v>2276</v>
      </c>
      <c r="T453" s="42"/>
    </row>
    <row r="454" spans="1:20" x14ac:dyDescent="0.3">
      <c r="A454" s="37"/>
      <c r="B454" s="37"/>
      <c r="C454" s="40">
        <f t="shared" si="21"/>
        <v>0</v>
      </c>
      <c r="D454" s="39">
        <v>0</v>
      </c>
      <c r="E454" s="39">
        <v>0</v>
      </c>
      <c r="F454" s="39">
        <f t="shared" si="22"/>
        <v>0</v>
      </c>
      <c r="G454" s="39">
        <v>0</v>
      </c>
      <c r="H454" s="39"/>
      <c r="I454" s="39">
        <v>0</v>
      </c>
      <c r="J454" s="39">
        <v>0</v>
      </c>
      <c r="K454" s="39">
        <v>0</v>
      </c>
      <c r="L454" s="40">
        <f t="shared" si="23"/>
        <v>0</v>
      </c>
      <c r="M454" s="41">
        <v>0</v>
      </c>
      <c r="N454" s="41">
        <v>0</v>
      </c>
      <c r="O454" s="42" t="s">
        <v>2277</v>
      </c>
      <c r="P454" s="42" t="s">
        <v>2278</v>
      </c>
      <c r="Q454" s="42" t="s">
        <v>2279</v>
      </c>
      <c r="R454" s="42" t="s">
        <v>2280</v>
      </c>
      <c r="S454" s="42" t="s">
        <v>2281</v>
      </c>
      <c r="T454" s="42"/>
    </row>
    <row r="455" spans="1:20" x14ac:dyDescent="0.3">
      <c r="A455" s="37"/>
      <c r="B455" s="37"/>
      <c r="C455" s="40">
        <f t="shared" si="21"/>
        <v>0</v>
      </c>
      <c r="D455" s="39">
        <v>0</v>
      </c>
      <c r="E455" s="39">
        <v>0</v>
      </c>
      <c r="F455" s="39">
        <f t="shared" si="22"/>
        <v>0</v>
      </c>
      <c r="G455" s="39">
        <v>0</v>
      </c>
      <c r="H455" s="39"/>
      <c r="I455" s="39">
        <v>0</v>
      </c>
      <c r="J455" s="39">
        <v>0</v>
      </c>
      <c r="K455" s="39">
        <v>0</v>
      </c>
      <c r="L455" s="40">
        <f t="shared" si="23"/>
        <v>0</v>
      </c>
      <c r="M455" s="41">
        <v>0</v>
      </c>
      <c r="N455" s="41">
        <v>0</v>
      </c>
      <c r="O455" s="42" t="s">
        <v>2282</v>
      </c>
      <c r="P455" s="42" t="s">
        <v>2283</v>
      </c>
      <c r="Q455" s="42" t="s">
        <v>2284</v>
      </c>
      <c r="R455" s="42" t="s">
        <v>2285</v>
      </c>
      <c r="S455" s="42" t="s">
        <v>2286</v>
      </c>
      <c r="T455" s="42"/>
    </row>
    <row r="456" spans="1:20" x14ac:dyDescent="0.3">
      <c r="A456" s="37"/>
      <c r="B456" s="37"/>
      <c r="C456" s="40">
        <f t="shared" si="21"/>
        <v>0</v>
      </c>
      <c r="D456" s="39">
        <v>0</v>
      </c>
      <c r="E456" s="39">
        <v>0</v>
      </c>
      <c r="F456" s="39">
        <f t="shared" si="22"/>
        <v>0</v>
      </c>
      <c r="G456" s="39">
        <v>0</v>
      </c>
      <c r="H456" s="39"/>
      <c r="I456" s="39">
        <v>0</v>
      </c>
      <c r="J456" s="39">
        <v>0</v>
      </c>
      <c r="K456" s="39">
        <v>0</v>
      </c>
      <c r="L456" s="40">
        <f t="shared" si="23"/>
        <v>0</v>
      </c>
      <c r="M456" s="41">
        <v>0</v>
      </c>
      <c r="N456" s="41">
        <v>0</v>
      </c>
      <c r="O456" s="42" t="s">
        <v>2287</v>
      </c>
      <c r="P456" s="42" t="s">
        <v>2288</v>
      </c>
      <c r="Q456" s="42" t="s">
        <v>2289</v>
      </c>
      <c r="R456" s="42" t="s">
        <v>2290</v>
      </c>
      <c r="S456" s="42" t="s">
        <v>2291</v>
      </c>
      <c r="T456" s="42"/>
    </row>
    <row r="457" spans="1:20" x14ac:dyDescent="0.3">
      <c r="A457" s="37"/>
      <c r="B457" s="37"/>
      <c r="C457" s="40">
        <f t="shared" si="21"/>
        <v>0</v>
      </c>
      <c r="D457" s="39">
        <v>0</v>
      </c>
      <c r="E457" s="39">
        <v>0</v>
      </c>
      <c r="F457" s="39">
        <f t="shared" si="22"/>
        <v>0</v>
      </c>
      <c r="G457" s="39">
        <v>0</v>
      </c>
      <c r="H457" s="39"/>
      <c r="I457" s="39">
        <v>0</v>
      </c>
      <c r="J457" s="39">
        <v>0</v>
      </c>
      <c r="K457" s="39">
        <v>0</v>
      </c>
      <c r="L457" s="40">
        <f t="shared" si="23"/>
        <v>0</v>
      </c>
      <c r="M457" s="41">
        <v>0</v>
      </c>
      <c r="N457" s="41">
        <v>0</v>
      </c>
      <c r="O457" s="42" t="s">
        <v>2292</v>
      </c>
      <c r="P457" s="42" t="s">
        <v>2293</v>
      </c>
      <c r="Q457" s="42" t="s">
        <v>2294</v>
      </c>
      <c r="R457" s="42" t="s">
        <v>2295</v>
      </c>
      <c r="S457" s="42" t="s">
        <v>2296</v>
      </c>
      <c r="T457" s="42"/>
    </row>
    <row r="458" spans="1:20" x14ac:dyDescent="0.3">
      <c r="A458" s="37"/>
      <c r="B458" s="37"/>
      <c r="C458" s="40">
        <f t="shared" si="21"/>
        <v>0</v>
      </c>
      <c r="D458" s="39">
        <v>0</v>
      </c>
      <c r="E458" s="39">
        <v>0</v>
      </c>
      <c r="F458" s="39">
        <f t="shared" si="22"/>
        <v>0</v>
      </c>
      <c r="G458" s="39">
        <v>0</v>
      </c>
      <c r="H458" s="39"/>
      <c r="I458" s="39">
        <v>0</v>
      </c>
      <c r="J458" s="39">
        <v>0</v>
      </c>
      <c r="K458" s="39">
        <v>0</v>
      </c>
      <c r="L458" s="40">
        <f t="shared" si="23"/>
        <v>0</v>
      </c>
      <c r="M458" s="41">
        <v>0</v>
      </c>
      <c r="N458" s="41">
        <v>0</v>
      </c>
      <c r="O458" s="42" t="s">
        <v>2297</v>
      </c>
      <c r="P458" s="42" t="s">
        <v>2298</v>
      </c>
      <c r="Q458" s="42" t="s">
        <v>2299</v>
      </c>
      <c r="R458" s="42" t="s">
        <v>2300</v>
      </c>
      <c r="S458" s="42" t="s">
        <v>2301</v>
      </c>
      <c r="T458" s="42"/>
    </row>
    <row r="459" spans="1:20" x14ac:dyDescent="0.3">
      <c r="A459" s="37"/>
      <c r="B459" s="37"/>
      <c r="C459" s="40">
        <f t="shared" si="21"/>
        <v>0</v>
      </c>
      <c r="D459" s="39">
        <v>0</v>
      </c>
      <c r="E459" s="39">
        <v>0</v>
      </c>
      <c r="F459" s="39">
        <f t="shared" si="22"/>
        <v>0</v>
      </c>
      <c r="G459" s="39">
        <v>0</v>
      </c>
      <c r="H459" s="39"/>
      <c r="I459" s="39">
        <v>0</v>
      </c>
      <c r="J459" s="39">
        <v>0</v>
      </c>
      <c r="K459" s="39">
        <v>0</v>
      </c>
      <c r="L459" s="40">
        <f t="shared" si="23"/>
        <v>0</v>
      </c>
      <c r="M459" s="41">
        <v>0</v>
      </c>
      <c r="N459" s="41">
        <v>0</v>
      </c>
      <c r="O459" s="42" t="s">
        <v>2302</v>
      </c>
      <c r="P459" s="42" t="s">
        <v>2303</v>
      </c>
      <c r="Q459" s="42" t="s">
        <v>2304</v>
      </c>
      <c r="R459" s="42" t="s">
        <v>2305</v>
      </c>
      <c r="S459" s="42" t="s">
        <v>2306</v>
      </c>
      <c r="T459" s="42"/>
    </row>
    <row r="460" spans="1:20" x14ac:dyDescent="0.3">
      <c r="A460" s="37"/>
      <c r="B460" s="37"/>
      <c r="C460" s="40">
        <f t="shared" si="21"/>
        <v>0</v>
      </c>
      <c r="D460" s="39">
        <v>0</v>
      </c>
      <c r="E460" s="39">
        <v>0</v>
      </c>
      <c r="F460" s="39">
        <f t="shared" si="22"/>
        <v>0</v>
      </c>
      <c r="G460" s="39">
        <v>0</v>
      </c>
      <c r="H460" s="39"/>
      <c r="I460" s="39">
        <v>0</v>
      </c>
      <c r="J460" s="39">
        <v>0</v>
      </c>
      <c r="K460" s="39">
        <v>0</v>
      </c>
      <c r="L460" s="40">
        <f t="shared" si="23"/>
        <v>0</v>
      </c>
      <c r="M460" s="41">
        <v>0</v>
      </c>
      <c r="N460" s="41">
        <v>0</v>
      </c>
      <c r="O460" s="42" t="s">
        <v>2307</v>
      </c>
      <c r="P460" s="42" t="s">
        <v>2308</v>
      </c>
      <c r="Q460" s="42" t="s">
        <v>2309</v>
      </c>
      <c r="R460" s="42" t="s">
        <v>2310</v>
      </c>
      <c r="S460" s="42" t="s">
        <v>2311</v>
      </c>
      <c r="T460" s="42"/>
    </row>
    <row r="461" spans="1:20" x14ac:dyDescent="0.3">
      <c r="A461" s="37"/>
      <c r="B461" s="37"/>
      <c r="C461" s="40">
        <f t="shared" si="21"/>
        <v>0</v>
      </c>
      <c r="D461" s="39">
        <v>0</v>
      </c>
      <c r="E461" s="39">
        <v>0</v>
      </c>
      <c r="F461" s="39">
        <f t="shared" si="22"/>
        <v>0</v>
      </c>
      <c r="G461" s="39">
        <v>0</v>
      </c>
      <c r="H461" s="39"/>
      <c r="I461" s="39">
        <v>0</v>
      </c>
      <c r="J461" s="39">
        <v>0</v>
      </c>
      <c r="K461" s="39">
        <v>0</v>
      </c>
      <c r="L461" s="40">
        <f t="shared" si="23"/>
        <v>0</v>
      </c>
      <c r="M461" s="41">
        <v>0</v>
      </c>
      <c r="N461" s="41">
        <v>0</v>
      </c>
      <c r="O461" s="42" t="s">
        <v>2312</v>
      </c>
      <c r="P461" s="42" t="s">
        <v>2313</v>
      </c>
      <c r="Q461" s="42" t="s">
        <v>2314</v>
      </c>
      <c r="R461" s="42" t="s">
        <v>2315</v>
      </c>
      <c r="S461" s="42" t="s">
        <v>2316</v>
      </c>
      <c r="T461" s="42"/>
    </row>
    <row r="462" spans="1:20" x14ac:dyDescent="0.3">
      <c r="A462" s="37"/>
      <c r="B462" s="37"/>
      <c r="C462" s="40">
        <f t="shared" si="21"/>
        <v>0</v>
      </c>
      <c r="D462" s="39">
        <v>0</v>
      </c>
      <c r="E462" s="39">
        <v>0</v>
      </c>
      <c r="F462" s="39">
        <f t="shared" si="22"/>
        <v>0</v>
      </c>
      <c r="G462" s="39">
        <v>0</v>
      </c>
      <c r="H462" s="39"/>
      <c r="I462" s="39">
        <v>0</v>
      </c>
      <c r="J462" s="39">
        <v>0</v>
      </c>
      <c r="K462" s="39">
        <v>0</v>
      </c>
      <c r="L462" s="40">
        <f t="shared" si="23"/>
        <v>0</v>
      </c>
      <c r="M462" s="41">
        <v>0</v>
      </c>
      <c r="N462" s="41">
        <v>0</v>
      </c>
      <c r="O462" s="42" t="s">
        <v>2317</v>
      </c>
      <c r="P462" s="42" t="s">
        <v>2318</v>
      </c>
      <c r="Q462" s="42" t="s">
        <v>2319</v>
      </c>
      <c r="R462" s="42" t="s">
        <v>2320</v>
      </c>
      <c r="S462" s="42" t="s">
        <v>2321</v>
      </c>
      <c r="T462" s="42"/>
    </row>
    <row r="463" spans="1:20" x14ac:dyDescent="0.3">
      <c r="A463" s="37"/>
      <c r="B463" s="37"/>
      <c r="C463" s="40">
        <f t="shared" si="21"/>
        <v>0</v>
      </c>
      <c r="D463" s="39">
        <v>0</v>
      </c>
      <c r="E463" s="39">
        <v>0</v>
      </c>
      <c r="F463" s="39">
        <f t="shared" si="22"/>
        <v>0</v>
      </c>
      <c r="G463" s="39">
        <v>0</v>
      </c>
      <c r="H463" s="39"/>
      <c r="I463" s="39">
        <v>0</v>
      </c>
      <c r="J463" s="39">
        <v>0</v>
      </c>
      <c r="K463" s="39">
        <v>0</v>
      </c>
      <c r="L463" s="40">
        <f t="shared" si="23"/>
        <v>0</v>
      </c>
      <c r="M463" s="41">
        <v>0</v>
      </c>
      <c r="N463" s="41">
        <v>0</v>
      </c>
      <c r="O463" s="42" t="s">
        <v>2322</v>
      </c>
      <c r="P463" s="42" t="s">
        <v>2323</v>
      </c>
      <c r="Q463" s="42" t="s">
        <v>2324</v>
      </c>
      <c r="R463" s="42" t="s">
        <v>2325</v>
      </c>
      <c r="S463" s="42" t="s">
        <v>2326</v>
      </c>
      <c r="T463" s="42"/>
    </row>
    <row r="464" spans="1:20" x14ac:dyDescent="0.3">
      <c r="A464" s="37"/>
      <c r="B464" s="37"/>
      <c r="C464" s="40">
        <f t="shared" si="21"/>
        <v>0</v>
      </c>
      <c r="D464" s="39">
        <v>0</v>
      </c>
      <c r="E464" s="39">
        <v>0</v>
      </c>
      <c r="F464" s="39">
        <f t="shared" si="22"/>
        <v>0</v>
      </c>
      <c r="G464" s="39">
        <v>0</v>
      </c>
      <c r="H464" s="39"/>
      <c r="I464" s="39">
        <v>0</v>
      </c>
      <c r="J464" s="39">
        <v>0</v>
      </c>
      <c r="K464" s="39">
        <v>0</v>
      </c>
      <c r="L464" s="40">
        <f t="shared" si="23"/>
        <v>0</v>
      </c>
      <c r="M464" s="41">
        <v>0</v>
      </c>
      <c r="N464" s="41">
        <v>0</v>
      </c>
      <c r="O464" s="42" t="s">
        <v>2327</v>
      </c>
      <c r="P464" s="42" t="s">
        <v>2328</v>
      </c>
      <c r="Q464" s="42" t="s">
        <v>2329</v>
      </c>
      <c r="R464" s="42" t="s">
        <v>2330</v>
      </c>
      <c r="S464" s="42" t="s">
        <v>2331</v>
      </c>
      <c r="T464" s="42"/>
    </row>
    <row r="465" spans="1:20" x14ac:dyDescent="0.3">
      <c r="A465" s="37"/>
      <c r="B465" s="37"/>
      <c r="C465" s="40">
        <f t="shared" si="21"/>
        <v>0</v>
      </c>
      <c r="D465" s="39">
        <v>0</v>
      </c>
      <c r="E465" s="39">
        <v>0</v>
      </c>
      <c r="F465" s="39">
        <f t="shared" si="22"/>
        <v>0</v>
      </c>
      <c r="G465" s="39">
        <v>0</v>
      </c>
      <c r="H465" s="39"/>
      <c r="I465" s="39">
        <v>0</v>
      </c>
      <c r="J465" s="39">
        <v>0</v>
      </c>
      <c r="K465" s="39">
        <v>0</v>
      </c>
      <c r="L465" s="40">
        <f t="shared" si="23"/>
        <v>0</v>
      </c>
      <c r="M465" s="41">
        <v>0</v>
      </c>
      <c r="N465" s="41">
        <v>0</v>
      </c>
      <c r="O465" s="42" t="s">
        <v>2332</v>
      </c>
      <c r="P465" s="42" t="s">
        <v>2333</v>
      </c>
      <c r="Q465" s="42" t="s">
        <v>2334</v>
      </c>
      <c r="R465" s="42" t="s">
        <v>2335</v>
      </c>
      <c r="S465" s="42" t="s">
        <v>2336</v>
      </c>
      <c r="T465" s="42"/>
    </row>
    <row r="466" spans="1:20" x14ac:dyDescent="0.3">
      <c r="A466" s="37"/>
      <c r="B466" s="37"/>
      <c r="C466" s="40">
        <f t="shared" si="21"/>
        <v>0</v>
      </c>
      <c r="D466" s="39">
        <v>0</v>
      </c>
      <c r="E466" s="39">
        <v>0</v>
      </c>
      <c r="F466" s="39">
        <f t="shared" si="22"/>
        <v>0</v>
      </c>
      <c r="G466" s="39">
        <v>0</v>
      </c>
      <c r="H466" s="39"/>
      <c r="I466" s="39">
        <v>0</v>
      </c>
      <c r="J466" s="39">
        <v>0</v>
      </c>
      <c r="K466" s="39">
        <v>0</v>
      </c>
      <c r="L466" s="40">
        <f t="shared" si="23"/>
        <v>0</v>
      </c>
      <c r="M466" s="41">
        <v>0</v>
      </c>
      <c r="N466" s="41">
        <v>0</v>
      </c>
      <c r="O466" s="42" t="s">
        <v>2337</v>
      </c>
      <c r="P466" s="42" t="s">
        <v>2338</v>
      </c>
      <c r="Q466" s="42" t="s">
        <v>2339</v>
      </c>
      <c r="R466" s="42" t="s">
        <v>2340</v>
      </c>
      <c r="S466" s="42" t="s">
        <v>2341</v>
      </c>
      <c r="T466" s="42"/>
    </row>
    <row r="467" spans="1:20" x14ac:dyDescent="0.3">
      <c r="A467" s="37"/>
      <c r="B467" s="37"/>
      <c r="C467" s="40">
        <f t="shared" si="21"/>
        <v>0</v>
      </c>
      <c r="D467" s="39">
        <v>0</v>
      </c>
      <c r="E467" s="39">
        <v>0</v>
      </c>
      <c r="F467" s="39">
        <f t="shared" si="22"/>
        <v>0</v>
      </c>
      <c r="G467" s="39">
        <v>0</v>
      </c>
      <c r="H467" s="39"/>
      <c r="I467" s="39">
        <v>0</v>
      </c>
      <c r="J467" s="39">
        <v>0</v>
      </c>
      <c r="K467" s="39">
        <v>0</v>
      </c>
      <c r="L467" s="40">
        <f t="shared" si="23"/>
        <v>0</v>
      </c>
      <c r="M467" s="41">
        <v>0</v>
      </c>
      <c r="N467" s="41">
        <v>0</v>
      </c>
      <c r="O467" s="42" t="s">
        <v>2342</v>
      </c>
      <c r="P467" s="42" t="s">
        <v>2343</v>
      </c>
      <c r="Q467" s="42" t="s">
        <v>2344</v>
      </c>
      <c r="R467" s="42" t="s">
        <v>2345</v>
      </c>
      <c r="S467" s="42" t="s">
        <v>2346</v>
      </c>
      <c r="T467" s="42"/>
    </row>
    <row r="468" spans="1:20" x14ac:dyDescent="0.3">
      <c r="A468" s="37"/>
      <c r="B468" s="37"/>
      <c r="C468" s="40">
        <f t="shared" si="21"/>
        <v>0</v>
      </c>
      <c r="D468" s="39">
        <v>0</v>
      </c>
      <c r="E468" s="39">
        <v>0</v>
      </c>
      <c r="F468" s="39">
        <f t="shared" si="22"/>
        <v>0</v>
      </c>
      <c r="G468" s="39">
        <v>0</v>
      </c>
      <c r="H468" s="39"/>
      <c r="I468" s="39">
        <v>0</v>
      </c>
      <c r="J468" s="39">
        <v>0</v>
      </c>
      <c r="K468" s="39">
        <v>0</v>
      </c>
      <c r="L468" s="40">
        <f t="shared" si="23"/>
        <v>0</v>
      </c>
      <c r="M468" s="41">
        <v>0</v>
      </c>
      <c r="N468" s="41">
        <v>0</v>
      </c>
      <c r="O468" s="42" t="s">
        <v>2347</v>
      </c>
      <c r="P468" s="42" t="s">
        <v>2348</v>
      </c>
      <c r="Q468" s="42" t="s">
        <v>2349</v>
      </c>
      <c r="R468" s="42" t="s">
        <v>2350</v>
      </c>
      <c r="S468" s="42" t="s">
        <v>2351</v>
      </c>
      <c r="T468" s="42"/>
    </row>
    <row r="469" spans="1:20" x14ac:dyDescent="0.3">
      <c r="A469" s="37"/>
      <c r="B469" s="37"/>
      <c r="C469" s="40">
        <f t="shared" si="21"/>
        <v>0</v>
      </c>
      <c r="D469" s="39">
        <v>0</v>
      </c>
      <c r="E469" s="39">
        <v>0</v>
      </c>
      <c r="F469" s="39">
        <f t="shared" si="22"/>
        <v>0</v>
      </c>
      <c r="G469" s="39">
        <v>0</v>
      </c>
      <c r="H469" s="39"/>
      <c r="I469" s="39">
        <v>0</v>
      </c>
      <c r="J469" s="39">
        <v>0</v>
      </c>
      <c r="K469" s="39">
        <v>0</v>
      </c>
      <c r="L469" s="40">
        <f t="shared" si="23"/>
        <v>0</v>
      </c>
      <c r="M469" s="41">
        <v>0</v>
      </c>
      <c r="N469" s="41">
        <v>0</v>
      </c>
      <c r="O469" s="42" t="s">
        <v>2352</v>
      </c>
      <c r="P469" s="42" t="s">
        <v>2353</v>
      </c>
      <c r="Q469" s="42" t="s">
        <v>2354</v>
      </c>
      <c r="R469" s="42" t="s">
        <v>2355</v>
      </c>
      <c r="S469" s="42" t="s">
        <v>2356</v>
      </c>
      <c r="T469" s="42"/>
    </row>
    <row r="470" spans="1:20" x14ac:dyDescent="0.3">
      <c r="A470" s="37"/>
      <c r="B470" s="37"/>
      <c r="C470" s="40">
        <f t="shared" si="21"/>
        <v>0</v>
      </c>
      <c r="D470" s="39">
        <v>0</v>
      </c>
      <c r="E470" s="39">
        <v>0</v>
      </c>
      <c r="F470" s="39">
        <f t="shared" si="22"/>
        <v>0</v>
      </c>
      <c r="G470" s="39">
        <v>0</v>
      </c>
      <c r="H470" s="39"/>
      <c r="I470" s="39">
        <v>0</v>
      </c>
      <c r="J470" s="39">
        <v>0</v>
      </c>
      <c r="K470" s="39">
        <v>0</v>
      </c>
      <c r="L470" s="40">
        <f t="shared" si="23"/>
        <v>0</v>
      </c>
      <c r="M470" s="41">
        <v>0</v>
      </c>
      <c r="N470" s="41">
        <v>0</v>
      </c>
      <c r="O470" s="42" t="s">
        <v>2357</v>
      </c>
      <c r="P470" s="42" t="s">
        <v>2358</v>
      </c>
      <c r="Q470" s="42" t="s">
        <v>2359</v>
      </c>
      <c r="R470" s="42" t="s">
        <v>2360</v>
      </c>
      <c r="S470" s="42" t="s">
        <v>2361</v>
      </c>
      <c r="T470" s="42"/>
    </row>
    <row r="471" spans="1:20" x14ac:dyDescent="0.3">
      <c r="A471" s="37"/>
      <c r="B471" s="37"/>
      <c r="C471" s="40">
        <f t="shared" si="21"/>
        <v>0</v>
      </c>
      <c r="D471" s="39">
        <v>0</v>
      </c>
      <c r="E471" s="39">
        <v>0</v>
      </c>
      <c r="F471" s="39">
        <f t="shared" si="22"/>
        <v>0</v>
      </c>
      <c r="G471" s="39">
        <v>0</v>
      </c>
      <c r="H471" s="39"/>
      <c r="I471" s="39">
        <v>0</v>
      </c>
      <c r="J471" s="39">
        <v>0</v>
      </c>
      <c r="K471" s="39">
        <v>0</v>
      </c>
      <c r="L471" s="40">
        <f t="shared" si="23"/>
        <v>0</v>
      </c>
      <c r="M471" s="41">
        <v>0</v>
      </c>
      <c r="N471" s="41">
        <v>0</v>
      </c>
      <c r="O471" s="42" t="s">
        <v>2362</v>
      </c>
      <c r="P471" s="42" t="s">
        <v>2363</v>
      </c>
      <c r="Q471" s="42" t="s">
        <v>2364</v>
      </c>
      <c r="R471" s="42" t="s">
        <v>2365</v>
      </c>
      <c r="S471" s="42" t="s">
        <v>2366</v>
      </c>
      <c r="T471" s="42"/>
    </row>
    <row r="472" spans="1:20" x14ac:dyDescent="0.3">
      <c r="A472" s="37"/>
      <c r="B472" s="37"/>
      <c r="C472" s="40">
        <f t="shared" si="21"/>
        <v>0</v>
      </c>
      <c r="D472" s="39">
        <v>0</v>
      </c>
      <c r="E472" s="39">
        <v>0</v>
      </c>
      <c r="F472" s="39">
        <f t="shared" si="22"/>
        <v>0</v>
      </c>
      <c r="G472" s="39">
        <v>0</v>
      </c>
      <c r="H472" s="39"/>
      <c r="I472" s="39">
        <v>0</v>
      </c>
      <c r="J472" s="39">
        <v>0</v>
      </c>
      <c r="K472" s="39">
        <v>0</v>
      </c>
      <c r="L472" s="40">
        <f t="shared" si="23"/>
        <v>0</v>
      </c>
      <c r="M472" s="41">
        <v>0</v>
      </c>
      <c r="N472" s="41">
        <v>0</v>
      </c>
      <c r="O472" s="42" t="s">
        <v>2367</v>
      </c>
      <c r="P472" s="42" t="s">
        <v>2368</v>
      </c>
      <c r="Q472" s="42" t="s">
        <v>2369</v>
      </c>
      <c r="R472" s="42" t="s">
        <v>2370</v>
      </c>
      <c r="S472" s="42" t="s">
        <v>2371</v>
      </c>
      <c r="T472" s="42"/>
    </row>
    <row r="473" spans="1:20" x14ac:dyDescent="0.3">
      <c r="A473" s="37"/>
      <c r="B473" s="37"/>
      <c r="C473" s="40">
        <f t="shared" si="21"/>
        <v>0</v>
      </c>
      <c r="D473" s="39">
        <v>0</v>
      </c>
      <c r="E473" s="39">
        <v>0</v>
      </c>
      <c r="F473" s="39">
        <f t="shared" si="22"/>
        <v>0</v>
      </c>
      <c r="G473" s="39">
        <v>0</v>
      </c>
      <c r="H473" s="39"/>
      <c r="I473" s="39">
        <v>0</v>
      </c>
      <c r="J473" s="39">
        <v>0</v>
      </c>
      <c r="K473" s="39">
        <v>0</v>
      </c>
      <c r="L473" s="40">
        <f t="shared" si="23"/>
        <v>0</v>
      </c>
      <c r="M473" s="41">
        <v>0</v>
      </c>
      <c r="N473" s="41">
        <v>0</v>
      </c>
      <c r="O473" s="42" t="s">
        <v>2372</v>
      </c>
      <c r="P473" s="42" t="s">
        <v>2373</v>
      </c>
      <c r="Q473" s="42" t="s">
        <v>2374</v>
      </c>
      <c r="R473" s="42" t="s">
        <v>2375</v>
      </c>
      <c r="S473" s="42" t="s">
        <v>2376</v>
      </c>
      <c r="T473" s="42"/>
    </row>
    <row r="474" spans="1:20" x14ac:dyDescent="0.3">
      <c r="A474" s="37"/>
      <c r="B474" s="37"/>
      <c r="C474" s="40">
        <f t="shared" si="21"/>
        <v>0</v>
      </c>
      <c r="D474" s="39">
        <v>0</v>
      </c>
      <c r="E474" s="39">
        <v>0</v>
      </c>
      <c r="F474" s="39">
        <f t="shared" si="22"/>
        <v>0</v>
      </c>
      <c r="G474" s="39">
        <v>0</v>
      </c>
      <c r="H474" s="39"/>
      <c r="I474" s="39">
        <v>0</v>
      </c>
      <c r="J474" s="39">
        <v>0</v>
      </c>
      <c r="K474" s="39">
        <v>0</v>
      </c>
      <c r="L474" s="40">
        <f t="shared" si="23"/>
        <v>0</v>
      </c>
      <c r="M474" s="41">
        <v>0</v>
      </c>
      <c r="N474" s="41">
        <v>0</v>
      </c>
      <c r="O474" s="42" t="s">
        <v>2377</v>
      </c>
      <c r="P474" s="42" t="s">
        <v>2378</v>
      </c>
      <c r="Q474" s="42" t="s">
        <v>2379</v>
      </c>
      <c r="R474" s="42" t="s">
        <v>2380</v>
      </c>
      <c r="S474" s="42" t="s">
        <v>2381</v>
      </c>
      <c r="T474" s="42"/>
    </row>
    <row r="475" spans="1:20" x14ac:dyDescent="0.3">
      <c r="A475" s="37"/>
      <c r="B475" s="37"/>
      <c r="C475" s="40">
        <f t="shared" si="21"/>
        <v>0</v>
      </c>
      <c r="D475" s="39">
        <v>0</v>
      </c>
      <c r="E475" s="39">
        <v>0</v>
      </c>
      <c r="F475" s="39">
        <f t="shared" si="22"/>
        <v>0</v>
      </c>
      <c r="G475" s="39">
        <v>0</v>
      </c>
      <c r="H475" s="39"/>
      <c r="I475" s="39">
        <v>0</v>
      </c>
      <c r="J475" s="39">
        <v>0</v>
      </c>
      <c r="K475" s="39">
        <v>0</v>
      </c>
      <c r="L475" s="40">
        <f t="shared" si="23"/>
        <v>0</v>
      </c>
      <c r="M475" s="41">
        <v>0</v>
      </c>
      <c r="N475" s="41">
        <v>0</v>
      </c>
      <c r="O475" s="42" t="s">
        <v>2382</v>
      </c>
      <c r="P475" s="42" t="s">
        <v>2383</v>
      </c>
      <c r="Q475" s="42" t="s">
        <v>2384</v>
      </c>
      <c r="R475" s="42" t="s">
        <v>2385</v>
      </c>
      <c r="S475" s="42" t="s">
        <v>2386</v>
      </c>
      <c r="T475" s="42"/>
    </row>
    <row r="476" spans="1:20" x14ac:dyDescent="0.3">
      <c r="A476" s="37"/>
      <c r="B476" s="37"/>
      <c r="C476" s="40">
        <f t="shared" si="21"/>
        <v>0</v>
      </c>
      <c r="D476" s="39">
        <v>0</v>
      </c>
      <c r="E476" s="39">
        <v>0</v>
      </c>
      <c r="F476" s="39">
        <f t="shared" si="22"/>
        <v>0</v>
      </c>
      <c r="G476" s="39">
        <v>0</v>
      </c>
      <c r="H476" s="39"/>
      <c r="I476" s="39">
        <v>0</v>
      </c>
      <c r="J476" s="39">
        <v>0</v>
      </c>
      <c r="K476" s="39">
        <v>0</v>
      </c>
      <c r="L476" s="40">
        <f t="shared" si="23"/>
        <v>0</v>
      </c>
      <c r="M476" s="41">
        <v>0</v>
      </c>
      <c r="N476" s="41">
        <v>0</v>
      </c>
      <c r="O476" s="42" t="s">
        <v>2387</v>
      </c>
      <c r="P476" s="42" t="s">
        <v>2388</v>
      </c>
      <c r="Q476" s="42" t="s">
        <v>2389</v>
      </c>
      <c r="R476" s="42" t="s">
        <v>2390</v>
      </c>
      <c r="S476" s="42" t="s">
        <v>2391</v>
      </c>
      <c r="T476" s="42"/>
    </row>
    <row r="477" spans="1:20" x14ac:dyDescent="0.3">
      <c r="A477" s="37"/>
      <c r="B477" s="37"/>
      <c r="C477" s="40">
        <f t="shared" si="21"/>
        <v>0</v>
      </c>
      <c r="D477" s="39">
        <v>0</v>
      </c>
      <c r="E477" s="39">
        <v>0</v>
      </c>
      <c r="F477" s="39">
        <f t="shared" si="22"/>
        <v>0</v>
      </c>
      <c r="G477" s="39">
        <v>0</v>
      </c>
      <c r="H477" s="39"/>
      <c r="I477" s="39">
        <v>0</v>
      </c>
      <c r="J477" s="39">
        <v>0</v>
      </c>
      <c r="K477" s="39">
        <v>0</v>
      </c>
      <c r="L477" s="40">
        <f t="shared" si="23"/>
        <v>0</v>
      </c>
      <c r="M477" s="41">
        <v>0</v>
      </c>
      <c r="N477" s="41">
        <v>0</v>
      </c>
      <c r="O477" s="42" t="s">
        <v>2392</v>
      </c>
      <c r="P477" s="42" t="s">
        <v>2393</v>
      </c>
      <c r="Q477" s="42" t="s">
        <v>2394</v>
      </c>
      <c r="R477" s="42" t="s">
        <v>2395</v>
      </c>
      <c r="S477" s="42" t="s">
        <v>2396</v>
      </c>
      <c r="T477" s="42"/>
    </row>
    <row r="478" spans="1:20" x14ac:dyDescent="0.3">
      <c r="A478" s="37"/>
      <c r="B478" s="37"/>
      <c r="C478" s="40">
        <f t="shared" si="21"/>
        <v>0</v>
      </c>
      <c r="D478" s="39">
        <v>0</v>
      </c>
      <c r="E478" s="39">
        <v>0</v>
      </c>
      <c r="F478" s="39">
        <f t="shared" si="22"/>
        <v>0</v>
      </c>
      <c r="G478" s="39">
        <v>0</v>
      </c>
      <c r="H478" s="39"/>
      <c r="I478" s="39">
        <v>0</v>
      </c>
      <c r="J478" s="39">
        <v>0</v>
      </c>
      <c r="K478" s="39">
        <v>0</v>
      </c>
      <c r="L478" s="40">
        <f t="shared" si="23"/>
        <v>0</v>
      </c>
      <c r="M478" s="41">
        <v>0</v>
      </c>
      <c r="N478" s="41">
        <v>0</v>
      </c>
      <c r="O478" s="42" t="s">
        <v>2397</v>
      </c>
      <c r="P478" s="42" t="s">
        <v>2398</v>
      </c>
      <c r="Q478" s="42" t="s">
        <v>2399</v>
      </c>
      <c r="R478" s="42" t="s">
        <v>2400</v>
      </c>
      <c r="S478" s="42" t="s">
        <v>2401</v>
      </c>
      <c r="T478" s="42"/>
    </row>
    <row r="479" spans="1:20" x14ac:dyDescent="0.3">
      <c r="A479" s="37"/>
      <c r="B479" s="37"/>
      <c r="C479" s="40">
        <f t="shared" si="21"/>
        <v>0</v>
      </c>
      <c r="D479" s="39">
        <v>0</v>
      </c>
      <c r="E479" s="39">
        <v>0</v>
      </c>
      <c r="F479" s="39">
        <f t="shared" si="22"/>
        <v>0</v>
      </c>
      <c r="G479" s="39">
        <v>0</v>
      </c>
      <c r="H479" s="39"/>
      <c r="I479" s="39">
        <v>0</v>
      </c>
      <c r="J479" s="39">
        <v>0</v>
      </c>
      <c r="K479" s="39">
        <v>0</v>
      </c>
      <c r="L479" s="40">
        <f t="shared" si="23"/>
        <v>0</v>
      </c>
      <c r="M479" s="41">
        <v>0</v>
      </c>
      <c r="N479" s="41">
        <v>0</v>
      </c>
      <c r="O479" s="42" t="s">
        <v>2402</v>
      </c>
      <c r="P479" s="42" t="s">
        <v>2403</v>
      </c>
      <c r="Q479" s="42" t="s">
        <v>2404</v>
      </c>
      <c r="R479" s="42" t="s">
        <v>2405</v>
      </c>
      <c r="S479" s="42" t="s">
        <v>2406</v>
      </c>
      <c r="T479" s="42"/>
    </row>
    <row r="480" spans="1:20" x14ac:dyDescent="0.3">
      <c r="A480" s="37"/>
      <c r="B480" s="37"/>
      <c r="C480" s="40">
        <f t="shared" si="21"/>
        <v>0</v>
      </c>
      <c r="D480" s="39">
        <v>0</v>
      </c>
      <c r="E480" s="39">
        <v>0</v>
      </c>
      <c r="F480" s="39">
        <f t="shared" si="22"/>
        <v>0</v>
      </c>
      <c r="G480" s="39">
        <v>0</v>
      </c>
      <c r="H480" s="39"/>
      <c r="I480" s="39">
        <v>0</v>
      </c>
      <c r="J480" s="39">
        <v>0</v>
      </c>
      <c r="K480" s="39">
        <v>0</v>
      </c>
      <c r="L480" s="40">
        <f t="shared" si="23"/>
        <v>0</v>
      </c>
      <c r="M480" s="41">
        <v>0</v>
      </c>
      <c r="N480" s="41">
        <v>0</v>
      </c>
      <c r="O480" s="42" t="s">
        <v>2407</v>
      </c>
      <c r="P480" s="42" t="s">
        <v>2408</v>
      </c>
      <c r="Q480" s="42" t="s">
        <v>2409</v>
      </c>
      <c r="R480" s="42" t="s">
        <v>2410</v>
      </c>
      <c r="S480" s="42" t="s">
        <v>2411</v>
      </c>
      <c r="T480" s="42"/>
    </row>
    <row r="481" spans="1:20" x14ac:dyDescent="0.3">
      <c r="A481" s="37"/>
      <c r="B481" s="37"/>
      <c r="C481" s="40">
        <f t="shared" si="21"/>
        <v>0</v>
      </c>
      <c r="D481" s="39">
        <v>0</v>
      </c>
      <c r="E481" s="39">
        <v>0</v>
      </c>
      <c r="F481" s="39">
        <f t="shared" si="22"/>
        <v>0</v>
      </c>
      <c r="G481" s="39">
        <v>0</v>
      </c>
      <c r="H481" s="39"/>
      <c r="I481" s="39">
        <v>0</v>
      </c>
      <c r="J481" s="39">
        <v>0</v>
      </c>
      <c r="K481" s="39">
        <v>0</v>
      </c>
      <c r="L481" s="40">
        <f t="shared" si="23"/>
        <v>0</v>
      </c>
      <c r="M481" s="41">
        <v>0</v>
      </c>
      <c r="N481" s="41">
        <v>0</v>
      </c>
      <c r="O481" s="42" t="s">
        <v>2412</v>
      </c>
      <c r="P481" s="42" t="s">
        <v>2413</v>
      </c>
      <c r="Q481" s="42" t="s">
        <v>2414</v>
      </c>
      <c r="R481" s="42" t="s">
        <v>2415</v>
      </c>
      <c r="S481" s="42" t="s">
        <v>2416</v>
      </c>
      <c r="T481" s="42"/>
    </row>
    <row r="482" spans="1:20" x14ac:dyDescent="0.3">
      <c r="A482" s="37"/>
      <c r="B482" s="37"/>
      <c r="C482" s="40">
        <f t="shared" si="21"/>
        <v>0</v>
      </c>
      <c r="D482" s="39">
        <v>0</v>
      </c>
      <c r="E482" s="39">
        <v>0</v>
      </c>
      <c r="F482" s="39">
        <f t="shared" si="22"/>
        <v>0</v>
      </c>
      <c r="G482" s="39">
        <v>0</v>
      </c>
      <c r="H482" s="39"/>
      <c r="I482" s="39">
        <v>0</v>
      </c>
      <c r="J482" s="39">
        <v>0</v>
      </c>
      <c r="K482" s="39">
        <v>0</v>
      </c>
      <c r="L482" s="40">
        <f t="shared" si="23"/>
        <v>0</v>
      </c>
      <c r="M482" s="41">
        <v>0</v>
      </c>
      <c r="N482" s="41">
        <v>0</v>
      </c>
      <c r="O482" s="42" t="s">
        <v>2417</v>
      </c>
      <c r="P482" s="42" t="s">
        <v>2418</v>
      </c>
      <c r="Q482" s="42" t="s">
        <v>2419</v>
      </c>
      <c r="R482" s="42" t="s">
        <v>2420</v>
      </c>
      <c r="S482" s="42" t="s">
        <v>2421</v>
      </c>
      <c r="T482" s="42"/>
    </row>
    <row r="483" spans="1:20" x14ac:dyDescent="0.3">
      <c r="A483" s="37"/>
      <c r="B483" s="37"/>
      <c r="C483" s="40">
        <f t="shared" si="21"/>
        <v>0</v>
      </c>
      <c r="D483" s="39">
        <v>0</v>
      </c>
      <c r="E483" s="39">
        <v>0</v>
      </c>
      <c r="F483" s="39">
        <f t="shared" si="22"/>
        <v>0</v>
      </c>
      <c r="G483" s="39">
        <v>0</v>
      </c>
      <c r="H483" s="39"/>
      <c r="I483" s="39">
        <v>0</v>
      </c>
      <c r="J483" s="39">
        <v>0</v>
      </c>
      <c r="K483" s="39">
        <v>0</v>
      </c>
      <c r="L483" s="40">
        <f t="shared" si="23"/>
        <v>0</v>
      </c>
      <c r="M483" s="41">
        <v>0</v>
      </c>
      <c r="N483" s="41">
        <v>0</v>
      </c>
      <c r="O483" s="42" t="s">
        <v>2422</v>
      </c>
      <c r="P483" s="42" t="s">
        <v>2423</v>
      </c>
      <c r="Q483" s="42" t="s">
        <v>2424</v>
      </c>
      <c r="R483" s="42" t="s">
        <v>2425</v>
      </c>
      <c r="S483" s="42" t="s">
        <v>2426</v>
      </c>
      <c r="T483" s="42"/>
    </row>
    <row r="484" spans="1:20" x14ac:dyDescent="0.3">
      <c r="A484" s="37"/>
      <c r="B484" s="37"/>
      <c r="C484" s="40">
        <f t="shared" si="21"/>
        <v>0</v>
      </c>
      <c r="D484" s="39">
        <v>0</v>
      </c>
      <c r="E484" s="39">
        <v>0</v>
      </c>
      <c r="F484" s="39">
        <f t="shared" si="22"/>
        <v>0</v>
      </c>
      <c r="G484" s="39">
        <v>0</v>
      </c>
      <c r="H484" s="39"/>
      <c r="I484" s="39">
        <v>0</v>
      </c>
      <c r="J484" s="39">
        <v>0</v>
      </c>
      <c r="K484" s="39">
        <v>0</v>
      </c>
      <c r="L484" s="40">
        <f t="shared" si="23"/>
        <v>0</v>
      </c>
      <c r="M484" s="41">
        <v>0</v>
      </c>
      <c r="N484" s="41">
        <v>0</v>
      </c>
      <c r="O484" s="42" t="s">
        <v>2427</v>
      </c>
      <c r="P484" s="42" t="s">
        <v>2428</v>
      </c>
      <c r="Q484" s="42" t="s">
        <v>2429</v>
      </c>
      <c r="R484" s="42" t="s">
        <v>2430</v>
      </c>
      <c r="S484" s="42" t="s">
        <v>2431</v>
      </c>
      <c r="T484" s="42"/>
    </row>
    <row r="485" spans="1:20" x14ac:dyDescent="0.3">
      <c r="A485" s="37"/>
      <c r="B485" s="37"/>
      <c r="C485" s="40">
        <f t="shared" ref="C485:C500" si="24">L484</f>
        <v>0</v>
      </c>
      <c r="D485" s="39">
        <v>0</v>
      </c>
      <c r="E485" s="39">
        <v>0</v>
      </c>
      <c r="F485" s="39">
        <f t="shared" ref="F485:F500" si="25">E485-G485-H485</f>
        <v>0</v>
      </c>
      <c r="G485" s="39">
        <v>0</v>
      </c>
      <c r="H485" s="39"/>
      <c r="I485" s="39">
        <v>0</v>
      </c>
      <c r="J485" s="39">
        <v>0</v>
      </c>
      <c r="K485" s="39">
        <v>0</v>
      </c>
      <c r="L485" s="40">
        <f t="shared" ref="L485:L500" si="26">C485+J485+K485-H485-F485+D485</f>
        <v>0</v>
      </c>
      <c r="M485" s="41">
        <v>0</v>
      </c>
      <c r="N485" s="41">
        <v>0</v>
      </c>
      <c r="O485" s="42" t="s">
        <v>2432</v>
      </c>
      <c r="P485" s="42" t="s">
        <v>2433</v>
      </c>
      <c r="Q485" s="42" t="s">
        <v>2434</v>
      </c>
      <c r="R485" s="42" t="s">
        <v>2435</v>
      </c>
      <c r="S485" s="42" t="s">
        <v>2436</v>
      </c>
      <c r="T485" s="42"/>
    </row>
    <row r="486" spans="1:20" x14ac:dyDescent="0.3">
      <c r="A486" s="37"/>
      <c r="B486" s="37"/>
      <c r="C486" s="40">
        <f t="shared" si="24"/>
        <v>0</v>
      </c>
      <c r="D486" s="39">
        <v>0</v>
      </c>
      <c r="E486" s="39">
        <v>0</v>
      </c>
      <c r="F486" s="39">
        <f t="shared" si="25"/>
        <v>0</v>
      </c>
      <c r="G486" s="39">
        <v>0</v>
      </c>
      <c r="H486" s="39"/>
      <c r="I486" s="39">
        <v>0</v>
      </c>
      <c r="J486" s="39">
        <v>0</v>
      </c>
      <c r="K486" s="39">
        <v>0</v>
      </c>
      <c r="L486" s="40">
        <f t="shared" si="26"/>
        <v>0</v>
      </c>
      <c r="M486" s="41">
        <v>0</v>
      </c>
      <c r="N486" s="41">
        <v>0</v>
      </c>
      <c r="O486" s="42" t="s">
        <v>2437</v>
      </c>
      <c r="P486" s="42" t="s">
        <v>2438</v>
      </c>
      <c r="Q486" s="42" t="s">
        <v>2439</v>
      </c>
      <c r="R486" s="42" t="s">
        <v>2440</v>
      </c>
      <c r="S486" s="42" t="s">
        <v>2441</v>
      </c>
      <c r="T486" s="42"/>
    </row>
    <row r="487" spans="1:20" x14ac:dyDescent="0.3">
      <c r="A487" s="37"/>
      <c r="B487" s="37"/>
      <c r="C487" s="40">
        <f t="shared" si="24"/>
        <v>0</v>
      </c>
      <c r="D487" s="39">
        <v>0</v>
      </c>
      <c r="E487" s="39">
        <v>0</v>
      </c>
      <c r="F487" s="39">
        <f t="shared" si="25"/>
        <v>0</v>
      </c>
      <c r="G487" s="39">
        <v>0</v>
      </c>
      <c r="H487" s="39"/>
      <c r="I487" s="39">
        <v>0</v>
      </c>
      <c r="J487" s="39">
        <v>0</v>
      </c>
      <c r="K487" s="39">
        <v>0</v>
      </c>
      <c r="L487" s="40">
        <f t="shared" si="26"/>
        <v>0</v>
      </c>
      <c r="M487" s="41">
        <v>0</v>
      </c>
      <c r="N487" s="41">
        <v>0</v>
      </c>
      <c r="O487" s="42" t="s">
        <v>2442</v>
      </c>
      <c r="P487" s="42" t="s">
        <v>2443</v>
      </c>
      <c r="Q487" s="42" t="s">
        <v>2444</v>
      </c>
      <c r="R487" s="42" t="s">
        <v>2445</v>
      </c>
      <c r="S487" s="42" t="s">
        <v>2446</v>
      </c>
      <c r="T487" s="42"/>
    </row>
    <row r="488" spans="1:20" x14ac:dyDescent="0.3">
      <c r="A488" s="37"/>
      <c r="B488" s="37"/>
      <c r="C488" s="40">
        <f t="shared" si="24"/>
        <v>0</v>
      </c>
      <c r="D488" s="39">
        <v>0</v>
      </c>
      <c r="E488" s="39">
        <v>0</v>
      </c>
      <c r="F488" s="39">
        <f t="shared" si="25"/>
        <v>0</v>
      </c>
      <c r="G488" s="39">
        <v>0</v>
      </c>
      <c r="H488" s="39"/>
      <c r="I488" s="39">
        <v>0</v>
      </c>
      <c r="J488" s="39">
        <v>0</v>
      </c>
      <c r="K488" s="39">
        <v>0</v>
      </c>
      <c r="L488" s="40">
        <f t="shared" si="26"/>
        <v>0</v>
      </c>
      <c r="M488" s="41">
        <v>0</v>
      </c>
      <c r="N488" s="41">
        <v>0</v>
      </c>
      <c r="O488" s="42" t="s">
        <v>2447</v>
      </c>
      <c r="P488" s="42" t="s">
        <v>2448</v>
      </c>
      <c r="Q488" s="42" t="s">
        <v>2449</v>
      </c>
      <c r="R488" s="42" t="s">
        <v>2450</v>
      </c>
      <c r="S488" s="42" t="s">
        <v>2451</v>
      </c>
      <c r="T488" s="42"/>
    </row>
    <row r="489" spans="1:20" x14ac:dyDescent="0.3">
      <c r="A489" s="37"/>
      <c r="B489" s="37"/>
      <c r="C489" s="40">
        <f t="shared" si="24"/>
        <v>0</v>
      </c>
      <c r="D489" s="39">
        <v>0</v>
      </c>
      <c r="E489" s="39">
        <v>0</v>
      </c>
      <c r="F489" s="39">
        <f t="shared" si="25"/>
        <v>0</v>
      </c>
      <c r="G489" s="39">
        <v>0</v>
      </c>
      <c r="H489" s="39"/>
      <c r="I489" s="39">
        <v>0</v>
      </c>
      <c r="J489" s="39">
        <v>0</v>
      </c>
      <c r="K489" s="39">
        <v>0</v>
      </c>
      <c r="L489" s="40">
        <f t="shared" si="26"/>
        <v>0</v>
      </c>
      <c r="M489" s="41">
        <v>0</v>
      </c>
      <c r="N489" s="41">
        <v>0</v>
      </c>
      <c r="O489" s="42" t="s">
        <v>2452</v>
      </c>
      <c r="P489" s="42" t="s">
        <v>2453</v>
      </c>
      <c r="Q489" s="42" t="s">
        <v>2454</v>
      </c>
      <c r="R489" s="42" t="s">
        <v>2455</v>
      </c>
      <c r="S489" s="42" t="s">
        <v>2456</v>
      </c>
      <c r="T489" s="42"/>
    </row>
    <row r="490" spans="1:20" x14ac:dyDescent="0.3">
      <c r="A490" s="37"/>
      <c r="B490" s="37"/>
      <c r="C490" s="40">
        <f t="shared" si="24"/>
        <v>0</v>
      </c>
      <c r="D490" s="39">
        <v>0</v>
      </c>
      <c r="E490" s="39">
        <v>0</v>
      </c>
      <c r="F490" s="39">
        <f t="shared" si="25"/>
        <v>0</v>
      </c>
      <c r="G490" s="39">
        <v>0</v>
      </c>
      <c r="H490" s="39"/>
      <c r="I490" s="39">
        <v>0</v>
      </c>
      <c r="J490" s="39">
        <v>0</v>
      </c>
      <c r="K490" s="39">
        <v>0</v>
      </c>
      <c r="L490" s="40">
        <f t="shared" si="26"/>
        <v>0</v>
      </c>
      <c r="M490" s="41">
        <v>0</v>
      </c>
      <c r="N490" s="41">
        <v>0</v>
      </c>
      <c r="O490" s="42" t="s">
        <v>2457</v>
      </c>
      <c r="P490" s="42" t="s">
        <v>2458</v>
      </c>
      <c r="Q490" s="42" t="s">
        <v>2459</v>
      </c>
      <c r="R490" s="42" t="s">
        <v>2460</v>
      </c>
      <c r="S490" s="42" t="s">
        <v>2461</v>
      </c>
      <c r="T490" s="42"/>
    </row>
    <row r="491" spans="1:20" x14ac:dyDescent="0.3">
      <c r="A491" s="37"/>
      <c r="B491" s="37"/>
      <c r="C491" s="40">
        <f t="shared" si="24"/>
        <v>0</v>
      </c>
      <c r="D491" s="39">
        <v>0</v>
      </c>
      <c r="E491" s="39">
        <v>0</v>
      </c>
      <c r="F491" s="39">
        <f t="shared" si="25"/>
        <v>0</v>
      </c>
      <c r="G491" s="39">
        <v>0</v>
      </c>
      <c r="H491" s="39"/>
      <c r="I491" s="39">
        <v>0</v>
      </c>
      <c r="J491" s="39">
        <v>0</v>
      </c>
      <c r="K491" s="39">
        <v>0</v>
      </c>
      <c r="L491" s="40">
        <f t="shared" si="26"/>
        <v>0</v>
      </c>
      <c r="M491" s="41">
        <v>0</v>
      </c>
      <c r="N491" s="41">
        <v>0</v>
      </c>
      <c r="O491" s="42" t="s">
        <v>2462</v>
      </c>
      <c r="P491" s="42" t="s">
        <v>2463</v>
      </c>
      <c r="Q491" s="42" t="s">
        <v>2464</v>
      </c>
      <c r="R491" s="42" t="s">
        <v>2465</v>
      </c>
      <c r="S491" s="42" t="s">
        <v>2466</v>
      </c>
      <c r="T491" s="42"/>
    </row>
    <row r="492" spans="1:20" x14ac:dyDescent="0.3">
      <c r="A492" s="37"/>
      <c r="B492" s="37"/>
      <c r="C492" s="40">
        <f t="shared" si="24"/>
        <v>0</v>
      </c>
      <c r="D492" s="39">
        <v>0</v>
      </c>
      <c r="E492" s="39">
        <v>0</v>
      </c>
      <c r="F492" s="39">
        <f t="shared" si="25"/>
        <v>0</v>
      </c>
      <c r="G492" s="39">
        <v>0</v>
      </c>
      <c r="H492" s="39"/>
      <c r="I492" s="39">
        <v>0</v>
      </c>
      <c r="J492" s="39">
        <v>0</v>
      </c>
      <c r="K492" s="39">
        <v>0</v>
      </c>
      <c r="L492" s="40">
        <f t="shared" si="26"/>
        <v>0</v>
      </c>
      <c r="M492" s="41">
        <v>0</v>
      </c>
      <c r="N492" s="41">
        <v>0</v>
      </c>
      <c r="O492" s="42" t="s">
        <v>2467</v>
      </c>
      <c r="P492" s="42" t="s">
        <v>2468</v>
      </c>
      <c r="Q492" s="42" t="s">
        <v>2469</v>
      </c>
      <c r="R492" s="42" t="s">
        <v>2470</v>
      </c>
      <c r="S492" s="42" t="s">
        <v>2471</v>
      </c>
      <c r="T492" s="42"/>
    </row>
    <row r="493" spans="1:20" x14ac:dyDescent="0.3">
      <c r="A493" s="37"/>
      <c r="B493" s="37"/>
      <c r="C493" s="40">
        <f t="shared" si="24"/>
        <v>0</v>
      </c>
      <c r="D493" s="39">
        <v>0</v>
      </c>
      <c r="E493" s="39">
        <v>0</v>
      </c>
      <c r="F493" s="39">
        <f t="shared" si="25"/>
        <v>0</v>
      </c>
      <c r="G493" s="39">
        <v>0</v>
      </c>
      <c r="H493" s="39"/>
      <c r="I493" s="39">
        <v>0</v>
      </c>
      <c r="J493" s="39">
        <v>0</v>
      </c>
      <c r="K493" s="39">
        <v>0</v>
      </c>
      <c r="L493" s="40">
        <f t="shared" si="26"/>
        <v>0</v>
      </c>
      <c r="M493" s="41">
        <v>0</v>
      </c>
      <c r="N493" s="41">
        <v>0</v>
      </c>
      <c r="O493" s="42" t="s">
        <v>2472</v>
      </c>
      <c r="P493" s="42" t="s">
        <v>2473</v>
      </c>
      <c r="Q493" s="42" t="s">
        <v>2474</v>
      </c>
      <c r="R493" s="42" t="s">
        <v>2475</v>
      </c>
      <c r="S493" s="42" t="s">
        <v>2476</v>
      </c>
      <c r="T493" s="42"/>
    </row>
    <row r="494" spans="1:20" x14ac:dyDescent="0.3">
      <c r="A494" s="37"/>
      <c r="B494" s="37"/>
      <c r="C494" s="40">
        <f t="shared" si="24"/>
        <v>0</v>
      </c>
      <c r="D494" s="39">
        <v>0</v>
      </c>
      <c r="E494" s="39">
        <v>0</v>
      </c>
      <c r="F494" s="39">
        <f t="shared" si="25"/>
        <v>0</v>
      </c>
      <c r="G494" s="39">
        <v>0</v>
      </c>
      <c r="H494" s="39"/>
      <c r="I494" s="39">
        <v>0</v>
      </c>
      <c r="J494" s="39">
        <v>0</v>
      </c>
      <c r="K494" s="39">
        <v>0</v>
      </c>
      <c r="L494" s="40">
        <f t="shared" si="26"/>
        <v>0</v>
      </c>
      <c r="M494" s="41">
        <v>0</v>
      </c>
      <c r="N494" s="41">
        <v>0</v>
      </c>
      <c r="O494" s="42" t="s">
        <v>2477</v>
      </c>
      <c r="P494" s="42" t="s">
        <v>2478</v>
      </c>
      <c r="Q494" s="42" t="s">
        <v>2479</v>
      </c>
      <c r="R494" s="42" t="s">
        <v>2480</v>
      </c>
      <c r="S494" s="42" t="s">
        <v>2481</v>
      </c>
      <c r="T494" s="42"/>
    </row>
    <row r="495" spans="1:20" x14ac:dyDescent="0.3">
      <c r="A495" s="37"/>
      <c r="B495" s="37"/>
      <c r="C495" s="40">
        <f t="shared" si="24"/>
        <v>0</v>
      </c>
      <c r="D495" s="39">
        <v>0</v>
      </c>
      <c r="E495" s="39">
        <v>0</v>
      </c>
      <c r="F495" s="39">
        <f t="shared" si="25"/>
        <v>0</v>
      </c>
      <c r="G495" s="39">
        <v>0</v>
      </c>
      <c r="H495" s="39"/>
      <c r="I495" s="39">
        <v>0</v>
      </c>
      <c r="J495" s="39">
        <v>0</v>
      </c>
      <c r="K495" s="39">
        <v>0</v>
      </c>
      <c r="L495" s="40">
        <f t="shared" si="26"/>
        <v>0</v>
      </c>
      <c r="M495" s="41">
        <v>0</v>
      </c>
      <c r="N495" s="41">
        <v>0</v>
      </c>
      <c r="O495" s="42" t="s">
        <v>2482</v>
      </c>
      <c r="P495" s="42" t="s">
        <v>2483</v>
      </c>
      <c r="Q495" s="42" t="s">
        <v>2484</v>
      </c>
      <c r="R495" s="42" t="s">
        <v>2485</v>
      </c>
      <c r="S495" s="42" t="s">
        <v>2486</v>
      </c>
      <c r="T495" s="42"/>
    </row>
    <row r="496" spans="1:20" x14ac:dyDescent="0.3">
      <c r="A496" s="37"/>
      <c r="B496" s="37"/>
      <c r="C496" s="40">
        <f t="shared" si="24"/>
        <v>0</v>
      </c>
      <c r="D496" s="39">
        <v>0</v>
      </c>
      <c r="E496" s="39">
        <v>0</v>
      </c>
      <c r="F496" s="39">
        <f t="shared" si="25"/>
        <v>0</v>
      </c>
      <c r="G496" s="39">
        <v>0</v>
      </c>
      <c r="H496" s="39"/>
      <c r="I496" s="39">
        <v>0</v>
      </c>
      <c r="J496" s="39">
        <v>0</v>
      </c>
      <c r="K496" s="39">
        <v>0</v>
      </c>
      <c r="L496" s="40">
        <f t="shared" si="26"/>
        <v>0</v>
      </c>
      <c r="M496" s="41">
        <v>0</v>
      </c>
      <c r="N496" s="41">
        <v>0</v>
      </c>
      <c r="O496" s="42" t="s">
        <v>2487</v>
      </c>
      <c r="P496" s="42" t="s">
        <v>2488</v>
      </c>
      <c r="Q496" s="42" t="s">
        <v>2489</v>
      </c>
      <c r="R496" s="42" t="s">
        <v>2490</v>
      </c>
      <c r="S496" s="42" t="s">
        <v>2491</v>
      </c>
      <c r="T496" s="42"/>
    </row>
    <row r="497" spans="1:20" x14ac:dyDescent="0.3">
      <c r="A497" s="37"/>
      <c r="B497" s="37"/>
      <c r="C497" s="40">
        <f t="shared" si="24"/>
        <v>0</v>
      </c>
      <c r="D497" s="39">
        <v>0</v>
      </c>
      <c r="E497" s="39">
        <v>0</v>
      </c>
      <c r="F497" s="39">
        <f t="shared" si="25"/>
        <v>0</v>
      </c>
      <c r="G497" s="39">
        <v>0</v>
      </c>
      <c r="H497" s="39"/>
      <c r="I497" s="39">
        <v>0</v>
      </c>
      <c r="J497" s="39">
        <v>0</v>
      </c>
      <c r="K497" s="39">
        <v>0</v>
      </c>
      <c r="L497" s="40">
        <f t="shared" si="26"/>
        <v>0</v>
      </c>
      <c r="M497" s="41">
        <v>0</v>
      </c>
      <c r="N497" s="41">
        <v>0</v>
      </c>
      <c r="O497" s="42" t="s">
        <v>2492</v>
      </c>
      <c r="P497" s="42" t="s">
        <v>2493</v>
      </c>
      <c r="Q497" s="42" t="s">
        <v>2494</v>
      </c>
      <c r="R497" s="42" t="s">
        <v>2495</v>
      </c>
      <c r="S497" s="42" t="s">
        <v>2496</v>
      </c>
      <c r="T497" s="42"/>
    </row>
    <row r="498" spans="1:20" x14ac:dyDescent="0.3">
      <c r="A498" s="37"/>
      <c r="B498" s="37"/>
      <c r="C498" s="40">
        <f t="shared" si="24"/>
        <v>0</v>
      </c>
      <c r="D498" s="39">
        <v>0</v>
      </c>
      <c r="E498" s="39">
        <v>0</v>
      </c>
      <c r="F498" s="39">
        <f t="shared" si="25"/>
        <v>0</v>
      </c>
      <c r="G498" s="39">
        <v>0</v>
      </c>
      <c r="H498" s="39"/>
      <c r="I498" s="39">
        <v>0</v>
      </c>
      <c r="J498" s="39">
        <v>0</v>
      </c>
      <c r="K498" s="39">
        <v>0</v>
      </c>
      <c r="L498" s="40">
        <f t="shared" si="26"/>
        <v>0</v>
      </c>
      <c r="M498" s="41">
        <v>0</v>
      </c>
      <c r="N498" s="41">
        <v>0</v>
      </c>
      <c r="O498" s="42" t="s">
        <v>2497</v>
      </c>
      <c r="P498" s="42" t="s">
        <v>2498</v>
      </c>
      <c r="Q498" s="42" t="s">
        <v>2499</v>
      </c>
      <c r="R498" s="42" t="s">
        <v>2500</v>
      </c>
      <c r="S498" s="42" t="s">
        <v>2501</v>
      </c>
      <c r="T498" s="42"/>
    </row>
    <row r="499" spans="1:20" x14ac:dyDescent="0.3">
      <c r="A499" s="37"/>
      <c r="B499" s="37"/>
      <c r="C499" s="40">
        <f t="shared" si="24"/>
        <v>0</v>
      </c>
      <c r="D499" s="39">
        <v>0</v>
      </c>
      <c r="E499" s="39">
        <v>0</v>
      </c>
      <c r="F499" s="39">
        <f t="shared" si="25"/>
        <v>0</v>
      </c>
      <c r="G499" s="39">
        <v>0</v>
      </c>
      <c r="H499" s="39"/>
      <c r="I499" s="39">
        <v>0</v>
      </c>
      <c r="J499" s="39">
        <v>0</v>
      </c>
      <c r="K499" s="39">
        <v>0</v>
      </c>
      <c r="L499" s="40">
        <f t="shared" si="26"/>
        <v>0</v>
      </c>
      <c r="M499" s="41">
        <v>0</v>
      </c>
      <c r="N499" s="41">
        <v>0</v>
      </c>
      <c r="O499" s="42" t="s">
        <v>2502</v>
      </c>
      <c r="P499" s="42" t="s">
        <v>2503</v>
      </c>
      <c r="Q499" s="42" t="s">
        <v>2504</v>
      </c>
      <c r="R499" s="42" t="s">
        <v>2505</v>
      </c>
      <c r="S499" s="42" t="s">
        <v>2506</v>
      </c>
      <c r="T499" s="42"/>
    </row>
    <row r="500" spans="1:20" x14ac:dyDescent="0.3">
      <c r="A500" s="37"/>
      <c r="B500" s="37"/>
      <c r="C500" s="40">
        <f t="shared" si="24"/>
        <v>0</v>
      </c>
      <c r="D500" s="39">
        <v>0</v>
      </c>
      <c r="E500" s="39">
        <v>0</v>
      </c>
      <c r="F500" s="39">
        <f t="shared" si="25"/>
        <v>0</v>
      </c>
      <c r="G500" s="39">
        <v>0</v>
      </c>
      <c r="H500" s="39"/>
      <c r="I500" s="39">
        <v>0</v>
      </c>
      <c r="J500" s="39">
        <v>0</v>
      </c>
      <c r="K500" s="39">
        <v>0</v>
      </c>
      <c r="L500" s="40">
        <f t="shared" si="26"/>
        <v>0</v>
      </c>
      <c r="M500" s="41">
        <v>0</v>
      </c>
      <c r="N500" s="41">
        <v>0</v>
      </c>
      <c r="O500" s="42" t="s">
        <v>2507</v>
      </c>
      <c r="P500" s="42" t="s">
        <v>2508</v>
      </c>
      <c r="Q500" s="42" t="s">
        <v>2509</v>
      </c>
      <c r="R500" s="42" t="s">
        <v>2510</v>
      </c>
      <c r="S500" s="42" t="s">
        <v>2511</v>
      </c>
      <c r="T500" s="42"/>
    </row>
    <row r="501" spans="1:20" x14ac:dyDescent="0.3">
      <c r="A501" s="2"/>
      <c r="B501" s="18" t="s">
        <v>7</v>
      </c>
      <c r="C501" s="2"/>
      <c r="D501" s="14">
        <f t="shared" ref="D501:K501" si="27">SUM(D12:D500)</f>
        <v>0</v>
      </c>
      <c r="E501" s="14">
        <f t="shared" si="27"/>
        <v>0</v>
      </c>
      <c r="F501" s="14">
        <f t="shared" si="27"/>
        <v>0</v>
      </c>
      <c r="G501" s="14">
        <f t="shared" si="27"/>
        <v>0</v>
      </c>
      <c r="H501" s="14">
        <f t="shared" si="27"/>
        <v>0</v>
      </c>
      <c r="I501" s="14">
        <f t="shared" si="27"/>
        <v>0</v>
      </c>
      <c r="J501" s="14">
        <f t="shared" si="27"/>
        <v>0</v>
      </c>
      <c r="K501" s="14">
        <f t="shared" si="27"/>
        <v>0</v>
      </c>
      <c r="L501" s="14">
        <f>INDEX(L12:L500, COUNTA(L12:L500))</f>
        <v>0</v>
      </c>
    </row>
    <row r="502" spans="1:20" x14ac:dyDescent="0.3">
      <c r="D502" s="10"/>
    </row>
    <row r="503" spans="1:20" x14ac:dyDescent="0.3">
      <c r="D503" s="10"/>
      <c r="E503" s="15"/>
      <c r="F503"/>
      <c r="K503" s="47" t="s">
        <v>752</v>
      </c>
    </row>
    <row r="504" spans="1:20" x14ac:dyDescent="0.3">
      <c r="D504" s="10"/>
    </row>
    <row r="505" spans="1:20" x14ac:dyDescent="0.3">
      <c r="D505" s="10"/>
    </row>
    <row r="506" spans="1:20" x14ac:dyDescent="0.3">
      <c r="D506" s="10"/>
    </row>
    <row r="509" spans="1:20" x14ac:dyDescent="0.3">
      <c r="D509" s="10"/>
    </row>
  </sheetData>
  <mergeCells count="1">
    <mergeCell ref="A1:L1"/>
  </mergeCells>
  <pageMargins left="0.7" right="0.7" top="0.75" bottom="0.75" header="0.3" footer="0.3"/>
  <pageSetup scale="53"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O802"/>
  <sheetViews>
    <sheetView showGridLines="0" tabSelected="1" zoomScaleNormal="100" workbookViewId="0">
      <selection activeCell="H9" sqref="H9"/>
    </sheetView>
  </sheetViews>
  <sheetFormatPr defaultRowHeight="14.4" x14ac:dyDescent="0.3"/>
  <cols>
    <col min="1" max="1" width="18.88671875" customWidth="1"/>
    <col min="2" max="2" width="14.33203125" customWidth="1"/>
    <col min="3" max="3" width="14" customWidth="1"/>
    <col min="4" max="4" width="14.6640625" customWidth="1"/>
    <col min="5" max="5" width="14" customWidth="1"/>
    <col min="6" max="6" width="14.77734375" customWidth="1"/>
    <col min="7" max="7" width="16.44140625" customWidth="1"/>
    <col min="8" max="8" width="83.5546875" customWidth="1"/>
    <col min="9" max="9" width="11.44140625" customWidth="1"/>
  </cols>
  <sheetData>
    <row r="1" spans="1:41" ht="32.4" customHeight="1" thickTop="1" x14ac:dyDescent="0.3">
      <c r="A1" s="51" t="s">
        <v>1005</v>
      </c>
      <c r="B1" s="52" t="s">
        <v>1</v>
      </c>
      <c r="C1" s="52" t="s">
        <v>2</v>
      </c>
      <c r="D1" s="52" t="s">
        <v>3</v>
      </c>
      <c r="E1" s="52" t="s">
        <v>31</v>
      </c>
      <c r="F1" s="53" t="s">
        <v>1006</v>
      </c>
      <c r="G1" s="54" t="s">
        <v>1007</v>
      </c>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row>
    <row r="2" spans="1:41" ht="19.8" customHeight="1" x14ac:dyDescent="0.3">
      <c r="A2" s="55"/>
      <c r="B2" s="56"/>
      <c r="C2" s="57"/>
      <c r="D2" s="57"/>
      <c r="E2" s="57"/>
      <c r="F2" s="58"/>
      <c r="G2" s="59"/>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spans="1:41" ht="12.6" customHeight="1" x14ac:dyDescent="0.3">
      <c r="A3" s="61" t="s">
        <v>1010</v>
      </c>
      <c r="B3" s="62"/>
      <c r="C3" s="62"/>
      <c r="D3" s="62"/>
      <c r="E3" s="62"/>
      <c r="F3" s="62"/>
      <c r="G3" s="63"/>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row>
    <row r="4" spans="1:41" ht="20.399999999999999" customHeight="1" thickBot="1" x14ac:dyDescent="0.35">
      <c r="A4" s="64"/>
      <c r="B4" s="65"/>
      <c r="C4" s="65"/>
      <c r="D4" s="65"/>
      <c r="E4" s="65"/>
      <c r="F4" s="65"/>
      <c r="G4" s="66"/>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row>
    <row r="5" spans="1:41" ht="31.2" customHeight="1" thickTop="1" thickBot="1" x14ac:dyDescent="0.35">
      <c r="A5" s="75" t="s">
        <v>1004</v>
      </c>
      <c r="B5" s="76"/>
      <c r="C5" s="76"/>
      <c r="D5" s="76"/>
      <c r="E5" s="76"/>
      <c r="F5" s="76"/>
      <c r="G5" s="77"/>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row>
    <row r="6" spans="1:41" ht="15.6" thickTop="1" thickBot="1" x14ac:dyDescent="0.35">
      <c r="A6" s="78" t="str">
        <f ca="1">IF(ISBLANK(THTT!C2),
"",
IF(NOT(ISNUMBER(THTT!C2)),
"Ô C2 nhập sai, vui lòng nhập lại",
IF(AND(THTT!D2&lt;&gt;"",NOT(ISNUMBER(THTT!D2))),
"Ô D2 nhập sai, vui lòng nhập lại",
IF(AND(THTT!E2&lt;&gt;"",NOT(ISNUMBER(THTT!E2))),
"Ô E2 nhập sai, vui lòng nhập lại",
IF(AND(THTT!G2&lt;&gt;"",NOT(ISNUMBER(THTT!G2))),
"Ô G2 không đúng định dạng số hoặc đang dư dấu cách",
IF(ISBLANK(THTT!G2),
"",
IF(ISBLANK(THTT!B2),
"Hãy nhập mã ở ô B2",
IF(IFERROR(INDIRECT("'"&amp;THTT!B2&amp;"'!H6"),"REF")="REF",
IF(YEAR(THTT!C2)=2020,
"Bạn vẫn có thể tạo bảng"
&amp; CHAR(10) &amp;
"""Lưu ý:"" Năm 2020 ""CÓ THỂ"" thiếu sao kê, bạn hãy kiểm tra kỹ. Nếu đúng là thiếu, hãy tải sao kê trên ""WAY4 HISTORY""."
&amp; CHAR(10) &amp;
"Cách up sao kê HISTORY: lấy ""sao kê mới"" gắn vào ""sao kê cũ"", chỉ gắn phần mà sao kê cũ còn thiếu, sau đó up file hoàn chỉnh lên.",
IF(YEAR(THTT!C2)&lt;=2019,
"Bạn vẫn có thể tạo bảng"
&amp; CHAR(10) &amp;
"""Lưu ý:"" Năm 2019 trở về trước sẽ bị thiếu sao kê, bạn nên kiểm tra và tải bổ sung sao kê trên ""WAY4 HISTORY""."
&amp; CHAR(10) &amp;
"Cách up sao kê HISTORY: lấy ""sao kê mới"" gắn vào ""sao kê cũ"", chỉ gắn phần mà sao kê cũ còn thiếu, sau đó up file hoàn chỉnh lên.",
"Nhập liệu hoàn tất."
)),
IF(INDIRECT("'"&amp;THTT!B2&amp;"'!H6")="",
"Hãy nhập dữ liệu cột H6",
IF(NOT(ISNUMBER(INDIRECT("'"&amp;THTT!B2&amp;"'!H6"))),
"Ô H6 không đúng định dạng số",
IF(ABS(INDIRECT("'"&amp;THTT!B2&amp;"'!H6")-THTT!G2)&gt;0,
IF(INDIRECT("'"&amp;THTT!B2&amp;"'!H6")-THTT!G2&lt;0,
"Hãy Tăng (+) thêm "&amp;TEXT(ABS(INDIRECT("'"&amp;THTT!B2&amp;"'!H6")-THTT!G2),"#,##0")&amp;" cho phần Phí đã trả hoặc Lãi đã trả"
&amp; CHAR(10) &amp;
"Lưu ý: Trước khi xóa hoặc điều chỉnh, hãy kiểm tra lãi trên Fin đã bằng với khoản vừa tạo chưa. Nếu lãi đã bằng rồi, thì trừ vào phần Phí đã trả. Cách xử lý này đúng logic và tránh lệch số.",
"Hãy Giảm (-) bớt "&amp;TEXT(ABS(INDIRECT("'"&amp;THTT!B2&amp;"'!H6")-THTT!G2),"#,##0")&amp;" cho phần Phí đã trả hoặc Lãi đã trả"
&amp; CHAR(10) &amp;
"Lưu ý: Trước khi xóa hoặc điều chỉnh, hãy kiểm tra lãi trên Fin đã bằng với khoản vừa tạo chưa. Nếu lãi đã bằng rồi, thì trừ vào phần Phí đã trả. Cách xử lý này đúng logic và tránh lệch số."
),
"Đã đúng gốc"
)))))))))))</f>
        <v/>
      </c>
      <c r="B6" s="79"/>
      <c r="C6" s="79"/>
      <c r="D6" s="79"/>
      <c r="E6" s="79"/>
      <c r="F6" s="79"/>
      <c r="G6" s="8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row>
    <row r="7" spans="1:41" ht="15.6" thickTop="1" thickBot="1" x14ac:dyDescent="0.35">
      <c r="A7" s="78"/>
      <c r="B7" s="79"/>
      <c r="C7" s="79"/>
      <c r="D7" s="79"/>
      <c r="E7" s="79"/>
      <c r="F7" s="79"/>
      <c r="G7" s="8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row>
    <row r="8" spans="1:41" ht="12" customHeight="1" thickTop="1" thickBot="1" x14ac:dyDescent="0.35">
      <c r="A8" s="78"/>
      <c r="B8" s="79"/>
      <c r="C8" s="79"/>
      <c r="D8" s="79"/>
      <c r="E8" s="79"/>
      <c r="F8" s="79"/>
      <c r="G8" s="8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row>
    <row r="9" spans="1:41" ht="8.4" customHeight="1" thickTop="1" thickBot="1" x14ac:dyDescent="0.35">
      <c r="A9" s="78"/>
      <c r="B9" s="79"/>
      <c r="C9" s="79"/>
      <c r="D9" s="79"/>
      <c r="E9" s="79"/>
      <c r="F9" s="79"/>
      <c r="G9" s="8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row>
    <row r="10" spans="1:41" ht="15.6" thickTop="1" thickBot="1" x14ac:dyDescent="0.35">
      <c r="A10" s="78"/>
      <c r="B10" s="79"/>
      <c r="C10" s="79"/>
      <c r="D10" s="79"/>
      <c r="E10" s="79"/>
      <c r="F10" s="79"/>
      <c r="G10" s="8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row>
    <row r="11" spans="1:41" ht="9.6" customHeight="1" thickTop="1" thickBot="1" x14ac:dyDescent="0.35">
      <c r="A11" s="78"/>
      <c r="B11" s="79"/>
      <c r="C11" s="79"/>
      <c r="D11" s="79"/>
      <c r="E11" s="79"/>
      <c r="F11" s="79"/>
      <c r="G11" s="8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row>
    <row r="12" spans="1:41" ht="16.8" customHeight="1" thickTop="1" thickBot="1" x14ac:dyDescent="0.35">
      <c r="A12" s="78"/>
      <c r="B12" s="79"/>
      <c r="C12" s="79"/>
      <c r="D12" s="79"/>
      <c r="E12" s="79"/>
      <c r="F12" s="79"/>
      <c r="G12" s="8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row>
    <row r="13" spans="1:41" ht="6" customHeight="1" thickTop="1" thickBot="1" x14ac:dyDescent="0.35">
      <c r="A13" s="78"/>
      <c r="B13" s="79"/>
      <c r="C13" s="79"/>
      <c r="D13" s="79"/>
      <c r="E13" s="79"/>
      <c r="F13" s="79"/>
      <c r="G13" s="8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row>
    <row r="14" spans="1:41" ht="15" customHeight="1" thickTop="1" x14ac:dyDescent="0.3">
      <c r="A14" s="81"/>
      <c r="B14" s="82"/>
      <c r="C14" s="82"/>
      <c r="D14" s="82"/>
      <c r="E14" s="82"/>
      <c r="F14" s="82"/>
      <c r="G14" s="83"/>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row>
    <row r="15" spans="1:41" ht="22.2" customHeight="1" x14ac:dyDescent="0.3">
      <c r="A15" s="84" t="s">
        <v>1009</v>
      </c>
      <c r="B15" s="84"/>
      <c r="C15" s="84"/>
      <c r="D15" s="85" t="s">
        <v>1003</v>
      </c>
      <c r="E15" s="86" t="s">
        <v>1008</v>
      </c>
      <c r="F15" s="86"/>
      <c r="G15" s="87"/>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row>
    <row r="16" spans="1:41" ht="15.6" customHeight="1" x14ac:dyDescent="0.3">
      <c r="A16" s="84"/>
      <c r="B16" s="84"/>
      <c r="C16" s="84"/>
      <c r="D16" s="85"/>
      <c r="E16" s="86"/>
      <c r="F16" s="86"/>
      <c r="G16" s="87"/>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row>
    <row r="17" spans="1:41" ht="22.2" customHeight="1" x14ac:dyDescent="0.3">
      <c r="A17" s="84"/>
      <c r="B17" s="84"/>
      <c r="C17" s="84"/>
      <c r="D17" s="85"/>
      <c r="E17" s="86"/>
      <c r="F17" s="86"/>
      <c r="G17" s="87"/>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row>
    <row r="18" spans="1:41" ht="17.399999999999999" customHeight="1" x14ac:dyDescent="0.3">
      <c r="A18" s="84"/>
      <c r="B18" s="84"/>
      <c r="C18" s="84"/>
      <c r="D18" s="85"/>
      <c r="E18" s="86"/>
      <c r="F18" s="86"/>
      <c r="G18" s="87"/>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row>
    <row r="19" spans="1:41" ht="12" customHeight="1" x14ac:dyDescent="0.35">
      <c r="A19" s="73"/>
      <c r="B19" s="73"/>
      <c r="C19" s="73"/>
      <c r="D19" s="73"/>
      <c r="E19" s="73"/>
      <c r="F19" s="73"/>
      <c r="G19" s="74"/>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row>
    <row r="20" spans="1:41" ht="24" customHeight="1" x14ac:dyDescent="0.3">
      <c r="A20" s="67" t="s">
        <v>1011</v>
      </c>
      <c r="B20" s="68"/>
      <c r="C20" s="68"/>
      <c r="D20" s="68"/>
      <c r="E20" s="68"/>
      <c r="F20" s="68"/>
      <c r="G20" s="69"/>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row>
    <row r="21" spans="1:41" ht="27" customHeight="1" thickBot="1" x14ac:dyDescent="0.35">
      <c r="A21" s="70"/>
      <c r="B21" s="71"/>
      <c r="C21" s="71"/>
      <c r="D21" s="71"/>
      <c r="E21" s="71"/>
      <c r="F21" s="71"/>
      <c r="G21" s="72"/>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row>
    <row r="22" spans="1:41" ht="15" thickTop="1" x14ac:dyDescent="0.3">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row>
    <row r="23" spans="1:41" x14ac:dyDescent="0.3">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row>
    <row r="24" spans="1:41" x14ac:dyDescent="0.3">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row>
    <row r="25" spans="1:41" x14ac:dyDescent="0.3">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row>
    <row r="26" spans="1:41" x14ac:dyDescent="0.3">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row>
    <row r="27" spans="1:41" x14ac:dyDescent="0.3">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row>
    <row r="28" spans="1:41" x14ac:dyDescent="0.3">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row>
    <row r="29" spans="1:41" x14ac:dyDescent="0.3">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row>
    <row r="30" spans="1:41" x14ac:dyDescent="0.3">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row>
    <row r="31" spans="1:41" x14ac:dyDescent="0.3">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row>
    <row r="32" spans="1:41" x14ac:dyDescent="0.3">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row>
    <row r="33" spans="1:41" x14ac:dyDescent="0.3">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row>
    <row r="34" spans="1:41" x14ac:dyDescent="0.3">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row>
    <row r="35" spans="1:41" x14ac:dyDescent="0.3">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row>
    <row r="36" spans="1:41" x14ac:dyDescent="0.3">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row>
    <row r="37" spans="1:41" x14ac:dyDescent="0.3">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row>
    <row r="38" spans="1:41" x14ac:dyDescent="0.3">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row>
    <row r="39" spans="1:41" x14ac:dyDescent="0.3">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row>
    <row r="40" spans="1:41" x14ac:dyDescent="0.3">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row>
    <row r="41" spans="1:41" x14ac:dyDescent="0.3">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row>
    <row r="42" spans="1:41" x14ac:dyDescent="0.3">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row>
    <row r="43" spans="1:41" x14ac:dyDescent="0.3">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row>
    <row r="44" spans="1:41" x14ac:dyDescent="0.3">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row>
    <row r="45" spans="1:41" x14ac:dyDescent="0.3">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row>
    <row r="46" spans="1:41" x14ac:dyDescent="0.3">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row>
    <row r="47" spans="1:41" x14ac:dyDescent="0.3">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row>
    <row r="48" spans="1:41" x14ac:dyDescent="0.3">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row>
    <row r="49" spans="1:41" x14ac:dyDescent="0.3">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row>
    <row r="50" spans="1:41" x14ac:dyDescent="0.3">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row>
    <row r="51" spans="1:41" x14ac:dyDescent="0.3">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row>
    <row r="52" spans="1:41" x14ac:dyDescent="0.3">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row>
    <row r="53" spans="1:41" x14ac:dyDescent="0.3">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row>
    <row r="54" spans="1:41" x14ac:dyDescent="0.3">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row>
    <row r="55" spans="1:41" x14ac:dyDescent="0.3">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row>
    <row r="56" spans="1:41" x14ac:dyDescent="0.3">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row>
    <row r="57" spans="1:41" x14ac:dyDescent="0.3">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row>
    <row r="58" spans="1:41" x14ac:dyDescent="0.3">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row>
    <row r="59" spans="1:41" x14ac:dyDescent="0.3">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row>
    <row r="60" spans="1:41" x14ac:dyDescent="0.3">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row>
    <row r="61" spans="1:41" x14ac:dyDescent="0.3">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row>
    <row r="62" spans="1:41" x14ac:dyDescent="0.3">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row>
    <row r="63" spans="1:41" x14ac:dyDescent="0.3">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row>
    <row r="64" spans="1:41" x14ac:dyDescent="0.3">
      <c r="A64" s="50"/>
      <c r="B64" s="50"/>
      <c r="C64" s="50"/>
      <c r="D64" s="50"/>
      <c r="E64" s="50"/>
      <c r="F64" s="50"/>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row>
    <row r="65" spans="1:41" x14ac:dyDescent="0.3">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row>
    <row r="66" spans="1:41" x14ac:dyDescent="0.3">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row>
    <row r="67" spans="1:41" x14ac:dyDescent="0.3">
      <c r="A67" s="50"/>
      <c r="B67" s="50"/>
      <c r="C67" s="50"/>
      <c r="D67" s="50"/>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row>
    <row r="68" spans="1:41" x14ac:dyDescent="0.3">
      <c r="A68" s="50"/>
      <c r="B68" s="50"/>
      <c r="C68" s="5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row>
    <row r="69" spans="1:41" x14ac:dyDescent="0.3">
      <c r="A69" s="50"/>
      <c r="B69" s="50"/>
      <c r="C69" s="50"/>
      <c r="D69" s="50"/>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row>
    <row r="70" spans="1:41" x14ac:dyDescent="0.3">
      <c r="A70" s="50"/>
      <c r="B70" s="50"/>
      <c r="C70" s="50"/>
      <c r="D70" s="50"/>
      <c r="E70" s="50"/>
      <c r="F70" s="50"/>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row>
    <row r="71" spans="1:41" x14ac:dyDescent="0.3">
      <c r="A71" s="50"/>
      <c r="B71" s="50"/>
      <c r="C71" s="50"/>
      <c r="D71" s="50"/>
      <c r="E71" s="50"/>
      <c r="F71" s="50"/>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row>
    <row r="72" spans="1:41" x14ac:dyDescent="0.3">
      <c r="A72" s="50"/>
      <c r="B72" s="50"/>
      <c r="C72" s="50"/>
      <c r="D72" s="50"/>
      <c r="E72" s="50"/>
      <c r="F72" s="50"/>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row>
    <row r="73" spans="1:41" x14ac:dyDescent="0.3">
      <c r="A73" s="50"/>
      <c r="B73" s="50"/>
      <c r="C73" s="5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row>
    <row r="74" spans="1:41" x14ac:dyDescent="0.3">
      <c r="A74" s="50"/>
      <c r="B74" s="50"/>
      <c r="C74" s="5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row>
    <row r="75" spans="1:41" x14ac:dyDescent="0.3">
      <c r="A75" s="50"/>
      <c r="B75" s="50"/>
      <c r="C75" s="50"/>
      <c r="D75" s="50"/>
      <c r="E75" s="50"/>
      <c r="F75" s="50"/>
      <c r="G75" s="50"/>
      <c r="H75" s="50"/>
      <c r="I75" s="5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row>
    <row r="76" spans="1:41" x14ac:dyDescent="0.3">
      <c r="A76" s="50"/>
      <c r="B76" s="50"/>
      <c r="C76" s="50"/>
      <c r="D76" s="50"/>
      <c r="E76" s="50"/>
      <c r="F76" s="50"/>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row>
    <row r="77" spans="1:41" x14ac:dyDescent="0.3">
      <c r="A77" s="50"/>
      <c r="B77" s="50"/>
      <c r="C77" s="50"/>
      <c r="D77" s="50"/>
      <c r="E77" s="50"/>
      <c r="F77" s="50"/>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row>
    <row r="78" spans="1:41" x14ac:dyDescent="0.3">
      <c r="A78" s="50"/>
      <c r="B78" s="50"/>
      <c r="C78" s="5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row>
    <row r="79" spans="1:41" x14ac:dyDescent="0.3">
      <c r="A79" s="50"/>
      <c r="B79" s="50"/>
      <c r="C79" s="5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row>
    <row r="80" spans="1:41" x14ac:dyDescent="0.3">
      <c r="A80" s="50"/>
      <c r="B80" s="50"/>
      <c r="C80" s="50"/>
      <c r="D80" s="50"/>
      <c r="E80" s="50"/>
      <c r="F80" s="50"/>
      <c r="G80" s="50"/>
      <c r="H80" s="50"/>
      <c r="I80" s="5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row>
    <row r="81" spans="1:41" x14ac:dyDescent="0.3">
      <c r="A81" s="50"/>
      <c r="B81" s="50"/>
      <c r="C81" s="50"/>
      <c r="D81" s="50"/>
      <c r="E81" s="50"/>
      <c r="F81" s="50"/>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row>
    <row r="82" spans="1:41" x14ac:dyDescent="0.3">
      <c r="A82" s="50"/>
      <c r="B82" s="50"/>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row>
    <row r="83" spans="1:41" x14ac:dyDescent="0.3">
      <c r="A83" s="50"/>
      <c r="B83" s="50"/>
      <c r="C83" s="50"/>
      <c r="D83" s="50"/>
      <c r="E83" s="50"/>
      <c r="F83" s="50"/>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row>
    <row r="84" spans="1:41" x14ac:dyDescent="0.3">
      <c r="A84" s="50"/>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row>
    <row r="85" spans="1:41" x14ac:dyDescent="0.3">
      <c r="A85" s="50"/>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row>
    <row r="86" spans="1:41" x14ac:dyDescent="0.3">
      <c r="A86" s="50"/>
      <c r="B86" s="50"/>
      <c r="C86" s="5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row>
    <row r="87" spans="1:41" x14ac:dyDescent="0.3">
      <c r="A87" s="50"/>
      <c r="B87" s="50"/>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row>
    <row r="88" spans="1:41" x14ac:dyDescent="0.3">
      <c r="A88" s="50"/>
      <c r="B88" s="50"/>
      <c r="C88" s="5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row>
    <row r="89" spans="1:41" x14ac:dyDescent="0.3">
      <c r="A89" s="50"/>
      <c r="B89" s="50"/>
      <c r="C89" s="50"/>
      <c r="D89" s="50"/>
      <c r="E89" s="50"/>
      <c r="F89" s="50"/>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row>
    <row r="90" spans="1:41" x14ac:dyDescent="0.3">
      <c r="A90" s="50"/>
      <c r="B90" s="50"/>
      <c r="C90" s="5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row>
    <row r="91" spans="1:41" x14ac:dyDescent="0.3">
      <c r="A91" s="50"/>
      <c r="B91" s="50"/>
      <c r="C91" s="50"/>
      <c r="D91" s="50"/>
      <c r="E91" s="50"/>
      <c r="F91" s="50"/>
      <c r="G91" s="50"/>
      <c r="H91" s="50"/>
      <c r="I91" s="5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row>
    <row r="92" spans="1:41" x14ac:dyDescent="0.3">
      <c r="A92" s="50"/>
      <c r="B92" s="50"/>
      <c r="C92" s="5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row>
    <row r="93" spans="1:41" x14ac:dyDescent="0.3">
      <c r="A93" s="50"/>
      <c r="B93" s="50"/>
      <c r="C93" s="5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row>
    <row r="94" spans="1:41" x14ac:dyDescent="0.3">
      <c r="A94" s="50"/>
      <c r="B94" s="50"/>
      <c r="C94" s="50"/>
      <c r="D94" s="50"/>
      <c r="E94" s="50"/>
      <c r="F94" s="50"/>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row>
    <row r="95" spans="1:41" x14ac:dyDescent="0.3">
      <c r="A95" s="50"/>
      <c r="B95" s="50"/>
      <c r="C95" s="50"/>
      <c r="D95" s="50"/>
      <c r="E95" s="50"/>
      <c r="F95" s="50"/>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row>
    <row r="96" spans="1:41" x14ac:dyDescent="0.3">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row>
    <row r="97" spans="8:41" x14ac:dyDescent="0.3">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row>
    <row r="98" spans="8:41" x14ac:dyDescent="0.3">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row>
    <row r="99" spans="8:41" x14ac:dyDescent="0.3">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row>
    <row r="100" spans="8:41" x14ac:dyDescent="0.3">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row>
    <row r="101" spans="8:41" x14ac:dyDescent="0.3">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row>
    <row r="102" spans="8:41" x14ac:dyDescent="0.3">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row>
    <row r="103" spans="8:41" x14ac:dyDescent="0.3">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row>
    <row r="104" spans="8:41" x14ac:dyDescent="0.3">
      <c r="H104" s="50"/>
      <c r="I104" s="5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row>
    <row r="105" spans="8:41" x14ac:dyDescent="0.3">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row>
    <row r="106" spans="8:41" x14ac:dyDescent="0.3">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row>
    <row r="107" spans="8:41" x14ac:dyDescent="0.3">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row>
    <row r="108" spans="8:41" x14ac:dyDescent="0.3">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row>
    <row r="109" spans="8:41" x14ac:dyDescent="0.3">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row>
    <row r="110" spans="8:41" x14ac:dyDescent="0.3">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row>
    <row r="111" spans="8:41" x14ac:dyDescent="0.3">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row>
    <row r="112" spans="8:41" x14ac:dyDescent="0.3">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row>
    <row r="113" spans="8:41" x14ac:dyDescent="0.3">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row>
    <row r="114" spans="8:41" x14ac:dyDescent="0.3">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row>
    <row r="115" spans="8:41" x14ac:dyDescent="0.3">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row>
    <row r="116" spans="8:41" x14ac:dyDescent="0.3">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row>
    <row r="117" spans="8:41" x14ac:dyDescent="0.3">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row>
    <row r="118" spans="8:41" x14ac:dyDescent="0.3">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row>
    <row r="119" spans="8:41" x14ac:dyDescent="0.3">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row>
    <row r="120" spans="8:41" x14ac:dyDescent="0.3">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row>
    <row r="121" spans="8:41" x14ac:dyDescent="0.3">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row>
    <row r="122" spans="8:41" x14ac:dyDescent="0.3">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row>
    <row r="123" spans="8:41" x14ac:dyDescent="0.3">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row>
    <row r="124" spans="8:41" x14ac:dyDescent="0.3">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row>
    <row r="125" spans="8:41" x14ac:dyDescent="0.3">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row>
    <row r="126" spans="8:41" x14ac:dyDescent="0.3">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row>
    <row r="127" spans="8:41" x14ac:dyDescent="0.3">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row>
    <row r="128" spans="8:41" x14ac:dyDescent="0.3">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row>
    <row r="129" spans="8:41" x14ac:dyDescent="0.3">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row>
    <row r="130" spans="8:41" x14ac:dyDescent="0.3">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row>
    <row r="131" spans="8:41" x14ac:dyDescent="0.3">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row>
    <row r="132" spans="8:41" x14ac:dyDescent="0.3">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row>
    <row r="133" spans="8:41" x14ac:dyDescent="0.3">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row>
    <row r="134" spans="8:41" x14ac:dyDescent="0.3">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row>
    <row r="135" spans="8:41" x14ac:dyDescent="0.3">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row>
    <row r="136" spans="8:41" x14ac:dyDescent="0.3">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row>
    <row r="137" spans="8:41" x14ac:dyDescent="0.3">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row>
    <row r="138" spans="8:41" x14ac:dyDescent="0.3">
      <c r="H138" s="50"/>
      <c r="I138" s="5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row>
    <row r="139" spans="8:41" x14ac:dyDescent="0.3">
      <c r="H139" s="50"/>
      <c r="I139" s="5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row>
    <row r="140" spans="8:41" x14ac:dyDescent="0.3">
      <c r="H140" s="50"/>
      <c r="I140" s="5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row>
    <row r="141" spans="8:41" x14ac:dyDescent="0.3">
      <c r="H141" s="50"/>
      <c r="I141" s="5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row>
    <row r="142" spans="8:41" x14ac:dyDescent="0.3">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row>
    <row r="143" spans="8:41" x14ac:dyDescent="0.3">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row>
    <row r="144" spans="8:41" x14ac:dyDescent="0.3">
      <c r="H144" s="50"/>
      <c r="I144" s="5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row>
    <row r="145" spans="8:41" x14ac:dyDescent="0.3">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row>
    <row r="146" spans="8:41" x14ac:dyDescent="0.3">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row>
    <row r="147" spans="8:41" x14ac:dyDescent="0.3">
      <c r="H147" s="50"/>
      <c r="I147" s="5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row>
    <row r="148" spans="8:41" x14ac:dyDescent="0.3">
      <c r="H148" s="50"/>
      <c r="I148" s="5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row>
    <row r="149" spans="8:41" x14ac:dyDescent="0.3">
      <c r="H149" s="50"/>
      <c r="I149" s="5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row>
    <row r="150" spans="8:41" x14ac:dyDescent="0.3">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row>
    <row r="151" spans="8:41" x14ac:dyDescent="0.3">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row>
    <row r="152" spans="8:41" x14ac:dyDescent="0.3">
      <c r="H152" s="50"/>
      <c r="I152" s="5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row>
    <row r="153" spans="8:41" x14ac:dyDescent="0.3">
      <c r="H153" s="50"/>
      <c r="I153" s="5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row>
    <row r="154" spans="8:41" x14ac:dyDescent="0.3">
      <c r="H154" s="50"/>
      <c r="I154" s="5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row>
    <row r="155" spans="8:41" x14ac:dyDescent="0.3">
      <c r="H155" s="50"/>
      <c r="I155" s="5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row>
    <row r="156" spans="8:41" x14ac:dyDescent="0.3">
      <c r="H156" s="50"/>
      <c r="I156" s="5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row>
    <row r="157" spans="8:41" x14ac:dyDescent="0.3">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row>
    <row r="158" spans="8:41" x14ac:dyDescent="0.3">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row>
    <row r="802" spans="1:2" x14ac:dyDescent="0.3">
      <c r="A802" t="s">
        <v>50</v>
      </c>
      <c r="B802" t="s">
        <v>51</v>
      </c>
    </row>
  </sheetData>
  <mergeCells count="8">
    <mergeCell ref="A3:G4"/>
    <mergeCell ref="A20:G21"/>
    <mergeCell ref="A19:G19"/>
    <mergeCell ref="A5:G5"/>
    <mergeCell ref="A6:G14"/>
    <mergeCell ref="A15:C18"/>
    <mergeCell ref="D15:D18"/>
    <mergeCell ref="E15:G1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K4" sqref="K4"/>
    </sheetView>
  </sheetViews>
  <sheetFormatPr defaultRowHeight="14.4" x14ac:dyDescent="0.3"/>
  <cols>
    <col min="1" max="1" width="13.77734375" bestFit="1" customWidth="1"/>
    <col min="2" max="2" width="13.21875" bestFit="1" customWidth="1"/>
    <col min="3" max="3" width="12.6640625" bestFit="1" customWidth="1"/>
    <col min="4" max="4" width="13.77734375" bestFit="1" customWidth="1"/>
    <col min="5" max="5" width="12.88671875" bestFit="1" customWidth="1"/>
    <col min="6" max="6" width="24.33203125" bestFit="1" customWidth="1"/>
    <col min="7" max="7" width="11.44140625" bestFit="1" customWidth="1"/>
    <col min="8" max="8" width="14.6640625" bestFit="1" customWidth="1"/>
    <col min="9" max="9" width="11.33203125" bestFit="1" customWidth="1"/>
    <col min="10" max="10" width="15.6640625" bestFit="1" customWidth="1"/>
    <col min="11" max="11" width="24" bestFit="1" customWidth="1"/>
    <col min="12" max="12" width="12.109375" bestFit="1" customWidth="1"/>
    <col min="13" max="13" width="15.33203125" bestFit="1" customWidth="1"/>
    <col min="14" max="14" width="11.6640625" bestFit="1" customWidth="1"/>
    <col min="15" max="15" width="12.109375" bestFit="1" customWidth="1"/>
    <col min="16" max="16" width="15.77734375" bestFit="1" customWidth="1"/>
    <col min="17" max="17" width="11.88671875" bestFit="1" customWidth="1"/>
    <col min="18" max="18" width="12"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30"/>
  <sheetViews>
    <sheetView topLeftCell="H1" zoomScale="79" zoomScaleNormal="70" workbookViewId="0">
      <selection activeCell="L17" sqref="L17"/>
    </sheetView>
  </sheetViews>
  <sheetFormatPr defaultRowHeight="14.4" x14ac:dyDescent="0.3"/>
  <cols>
    <col min="1" max="1" width="23" style="17" hidden="1" customWidth="1"/>
    <col min="2" max="2" width="26" style="29" hidden="1" customWidth="1"/>
    <col min="3" max="3" width="26.88671875" hidden="1" customWidth="1"/>
    <col min="4" max="4" width="83.33203125" hidden="1" customWidth="1"/>
    <col min="5" max="5" width="20.6640625" hidden="1" customWidth="1"/>
    <col min="6" max="6" width="33.109375" hidden="1" customWidth="1"/>
    <col min="7" max="7" width="18.5546875" hidden="1" customWidth="1"/>
    <col min="8" max="8" width="21.5546875" customWidth="1"/>
    <col min="9" max="9" width="19.109375" bestFit="1" customWidth="1"/>
    <col min="221" max="221" width="10.109375" bestFit="1" customWidth="1"/>
    <col min="222" max="222" width="18.33203125" customWidth="1"/>
    <col min="223" max="223" width="11.88671875" bestFit="1" customWidth="1"/>
    <col min="224" max="224" width="13.44140625" customWidth="1"/>
    <col min="225" max="225" width="30.88671875" bestFit="1" customWidth="1"/>
    <col min="226" max="226" width="21.109375" customWidth="1"/>
    <col min="227" max="227" width="44.5546875" customWidth="1"/>
    <col min="228" max="228" width="17.44140625" customWidth="1"/>
    <col min="229" max="229" width="30.88671875" customWidth="1"/>
    <col min="230" max="230" width="11.88671875" customWidth="1"/>
    <col min="231" max="231" width="41.6640625" customWidth="1"/>
    <col min="232" max="237" width="30.88671875" bestFit="1" customWidth="1"/>
    <col min="238" max="238" width="10.5546875" bestFit="1" customWidth="1"/>
    <col min="477" max="477" width="10.109375" bestFit="1" customWidth="1"/>
    <col min="478" max="478" width="18.33203125" customWidth="1"/>
    <col min="479" max="479" width="11.88671875" bestFit="1" customWidth="1"/>
    <col min="480" max="480" width="13.44140625" customWidth="1"/>
    <col min="481" max="481" width="30.88671875" bestFit="1" customWidth="1"/>
    <col min="482" max="482" width="21.109375" customWidth="1"/>
    <col min="483" max="483" width="44.5546875" customWidth="1"/>
    <col min="484" max="484" width="17.44140625" customWidth="1"/>
    <col min="485" max="485" width="30.88671875" customWidth="1"/>
    <col min="486" max="486" width="11.88671875" customWidth="1"/>
    <col min="487" max="487" width="41.6640625" customWidth="1"/>
    <col min="488" max="493" width="30.88671875" bestFit="1" customWidth="1"/>
    <col min="494" max="494" width="10.5546875" bestFit="1" customWidth="1"/>
    <col min="733" max="733" width="10.109375" bestFit="1" customWidth="1"/>
    <col min="734" max="734" width="18.33203125" customWidth="1"/>
    <col min="735" max="735" width="11.88671875" bestFit="1" customWidth="1"/>
    <col min="736" max="736" width="13.44140625" customWidth="1"/>
    <col min="737" max="737" width="30.88671875" bestFit="1" customWidth="1"/>
    <col min="738" max="738" width="21.109375" customWidth="1"/>
    <col min="739" max="739" width="44.5546875" customWidth="1"/>
    <col min="740" max="740" width="17.44140625" customWidth="1"/>
    <col min="741" max="741" width="30.88671875" customWidth="1"/>
    <col min="742" max="742" width="11.88671875" customWidth="1"/>
    <col min="743" max="743" width="41.6640625" customWidth="1"/>
    <col min="744" max="749" width="30.88671875" bestFit="1" customWidth="1"/>
    <col min="750" max="750" width="10.5546875" bestFit="1" customWidth="1"/>
    <col min="989" max="989" width="10.109375" bestFit="1" customWidth="1"/>
    <col min="990" max="990" width="18.33203125" customWidth="1"/>
    <col min="991" max="991" width="11.88671875" bestFit="1" customWidth="1"/>
    <col min="992" max="992" width="13.44140625" customWidth="1"/>
    <col min="993" max="993" width="30.88671875" bestFit="1" customWidth="1"/>
    <col min="994" max="994" width="21.109375" customWidth="1"/>
    <col min="995" max="995" width="44.5546875" customWidth="1"/>
    <col min="996" max="996" width="17.44140625" customWidth="1"/>
    <col min="997" max="997" width="30.88671875" customWidth="1"/>
    <col min="998" max="998" width="11.88671875" customWidth="1"/>
    <col min="999" max="999" width="41.6640625" customWidth="1"/>
    <col min="1000" max="1005" width="30.88671875" bestFit="1" customWidth="1"/>
    <col min="1006" max="1006" width="10.5546875" bestFit="1" customWidth="1"/>
    <col min="1245" max="1245" width="10.109375" bestFit="1" customWidth="1"/>
    <col min="1246" max="1246" width="18.33203125" customWidth="1"/>
    <col min="1247" max="1247" width="11.88671875" bestFit="1" customWidth="1"/>
    <col min="1248" max="1248" width="13.44140625" customWidth="1"/>
    <col min="1249" max="1249" width="30.88671875" bestFit="1" customWidth="1"/>
    <col min="1250" max="1250" width="21.109375" customWidth="1"/>
    <col min="1251" max="1251" width="44.5546875" customWidth="1"/>
    <col min="1252" max="1252" width="17.44140625" customWidth="1"/>
    <col min="1253" max="1253" width="30.88671875" customWidth="1"/>
    <col min="1254" max="1254" width="11.88671875" customWidth="1"/>
    <col min="1255" max="1255" width="41.6640625" customWidth="1"/>
    <col min="1256" max="1261" width="30.88671875" bestFit="1" customWidth="1"/>
    <col min="1262" max="1262" width="10.5546875" bestFit="1" customWidth="1"/>
    <col min="1501" max="1501" width="10.109375" bestFit="1" customWidth="1"/>
    <col min="1502" max="1502" width="18.33203125" customWidth="1"/>
    <col min="1503" max="1503" width="11.88671875" bestFit="1" customWidth="1"/>
    <col min="1504" max="1504" width="13.44140625" customWidth="1"/>
    <col min="1505" max="1505" width="30.88671875" bestFit="1" customWidth="1"/>
    <col min="1506" max="1506" width="21.109375" customWidth="1"/>
    <col min="1507" max="1507" width="44.5546875" customWidth="1"/>
    <col min="1508" max="1508" width="17.44140625" customWidth="1"/>
    <col min="1509" max="1509" width="30.88671875" customWidth="1"/>
    <col min="1510" max="1510" width="11.88671875" customWidth="1"/>
    <col min="1511" max="1511" width="41.6640625" customWidth="1"/>
    <col min="1512" max="1517" width="30.88671875" bestFit="1" customWidth="1"/>
    <col min="1518" max="1518" width="10.5546875" bestFit="1" customWidth="1"/>
    <col min="1757" max="1757" width="10.109375" bestFit="1" customWidth="1"/>
    <col min="1758" max="1758" width="18.33203125" customWidth="1"/>
    <col min="1759" max="1759" width="11.88671875" bestFit="1" customWidth="1"/>
    <col min="1760" max="1760" width="13.44140625" customWidth="1"/>
    <col min="1761" max="1761" width="30.88671875" bestFit="1" customWidth="1"/>
    <col min="1762" max="1762" width="21.109375" customWidth="1"/>
    <col min="1763" max="1763" width="44.5546875" customWidth="1"/>
    <col min="1764" max="1764" width="17.44140625" customWidth="1"/>
    <col min="1765" max="1765" width="30.88671875" customWidth="1"/>
    <col min="1766" max="1766" width="11.88671875" customWidth="1"/>
    <col min="1767" max="1767" width="41.6640625" customWidth="1"/>
    <col min="1768" max="1773" width="30.88671875" bestFit="1" customWidth="1"/>
    <col min="1774" max="1774" width="10.5546875" bestFit="1" customWidth="1"/>
    <col min="2013" max="2013" width="10.109375" bestFit="1" customWidth="1"/>
    <col min="2014" max="2014" width="18.33203125" customWidth="1"/>
    <col min="2015" max="2015" width="11.88671875" bestFit="1" customWidth="1"/>
    <col min="2016" max="2016" width="13.44140625" customWidth="1"/>
    <col min="2017" max="2017" width="30.88671875" bestFit="1" customWidth="1"/>
    <col min="2018" max="2018" width="21.109375" customWidth="1"/>
    <col min="2019" max="2019" width="44.5546875" customWidth="1"/>
    <col min="2020" max="2020" width="17.44140625" customWidth="1"/>
    <col min="2021" max="2021" width="30.88671875" customWidth="1"/>
    <col min="2022" max="2022" width="11.88671875" customWidth="1"/>
    <col min="2023" max="2023" width="41.6640625" customWidth="1"/>
    <col min="2024" max="2029" width="30.88671875" bestFit="1" customWidth="1"/>
    <col min="2030" max="2030" width="10.5546875" bestFit="1" customWidth="1"/>
    <col min="2269" max="2269" width="10.109375" bestFit="1" customWidth="1"/>
    <col min="2270" max="2270" width="18.33203125" customWidth="1"/>
    <col min="2271" max="2271" width="11.88671875" bestFit="1" customWidth="1"/>
    <col min="2272" max="2272" width="13.44140625" customWidth="1"/>
    <col min="2273" max="2273" width="30.88671875" bestFit="1" customWidth="1"/>
    <col min="2274" max="2274" width="21.109375" customWidth="1"/>
    <col min="2275" max="2275" width="44.5546875" customWidth="1"/>
    <col min="2276" max="2276" width="17.44140625" customWidth="1"/>
    <col min="2277" max="2277" width="30.88671875" customWidth="1"/>
    <col min="2278" max="2278" width="11.88671875" customWidth="1"/>
    <col min="2279" max="2279" width="41.6640625" customWidth="1"/>
    <col min="2280" max="2285" width="30.88671875" bestFit="1" customWidth="1"/>
    <col min="2286" max="2286" width="10.5546875" bestFit="1" customWidth="1"/>
    <col min="2525" max="2525" width="10.109375" bestFit="1" customWidth="1"/>
    <col min="2526" max="2526" width="18.33203125" customWidth="1"/>
    <col min="2527" max="2527" width="11.88671875" bestFit="1" customWidth="1"/>
    <col min="2528" max="2528" width="13.44140625" customWidth="1"/>
    <col min="2529" max="2529" width="30.88671875" bestFit="1" customWidth="1"/>
    <col min="2530" max="2530" width="21.109375" customWidth="1"/>
    <col min="2531" max="2531" width="44.5546875" customWidth="1"/>
    <col min="2532" max="2532" width="17.44140625" customWidth="1"/>
    <col min="2533" max="2533" width="30.88671875" customWidth="1"/>
    <col min="2534" max="2534" width="11.88671875" customWidth="1"/>
    <col min="2535" max="2535" width="41.6640625" customWidth="1"/>
    <col min="2536" max="2541" width="30.88671875" bestFit="1" customWidth="1"/>
    <col min="2542" max="2542" width="10.5546875" bestFit="1" customWidth="1"/>
    <col min="2781" max="2781" width="10.109375" bestFit="1" customWidth="1"/>
    <col min="2782" max="2782" width="18.33203125" customWidth="1"/>
    <col min="2783" max="2783" width="11.88671875" bestFit="1" customWidth="1"/>
    <col min="2784" max="2784" width="13.44140625" customWidth="1"/>
    <col min="2785" max="2785" width="30.88671875" bestFit="1" customWidth="1"/>
    <col min="2786" max="2786" width="21.109375" customWidth="1"/>
    <col min="2787" max="2787" width="44.5546875" customWidth="1"/>
    <col min="2788" max="2788" width="17.44140625" customWidth="1"/>
    <col min="2789" max="2789" width="30.88671875" customWidth="1"/>
    <col min="2790" max="2790" width="11.88671875" customWidth="1"/>
    <col min="2791" max="2791" width="41.6640625" customWidth="1"/>
    <col min="2792" max="2797" width="30.88671875" bestFit="1" customWidth="1"/>
    <col min="2798" max="2798" width="10.5546875" bestFit="1" customWidth="1"/>
    <col min="3037" max="3037" width="10.109375" bestFit="1" customWidth="1"/>
    <col min="3038" max="3038" width="18.33203125" customWidth="1"/>
    <col min="3039" max="3039" width="11.88671875" bestFit="1" customWidth="1"/>
    <col min="3040" max="3040" width="13.44140625" customWidth="1"/>
    <col min="3041" max="3041" width="30.88671875" bestFit="1" customWidth="1"/>
    <col min="3042" max="3042" width="21.109375" customWidth="1"/>
    <col min="3043" max="3043" width="44.5546875" customWidth="1"/>
    <col min="3044" max="3044" width="17.44140625" customWidth="1"/>
    <col min="3045" max="3045" width="30.88671875" customWidth="1"/>
    <col min="3046" max="3046" width="11.88671875" customWidth="1"/>
    <col min="3047" max="3047" width="41.6640625" customWidth="1"/>
    <col min="3048" max="3053" width="30.88671875" bestFit="1" customWidth="1"/>
    <col min="3054" max="3054" width="10.5546875" bestFit="1" customWidth="1"/>
    <col min="3293" max="3293" width="10.109375" bestFit="1" customWidth="1"/>
    <col min="3294" max="3294" width="18.33203125" customWidth="1"/>
    <col min="3295" max="3295" width="11.88671875" bestFit="1" customWidth="1"/>
    <col min="3296" max="3296" width="13.44140625" customWidth="1"/>
    <col min="3297" max="3297" width="30.88671875" bestFit="1" customWidth="1"/>
    <col min="3298" max="3298" width="21.109375" customWidth="1"/>
    <col min="3299" max="3299" width="44.5546875" customWidth="1"/>
    <col min="3300" max="3300" width="17.44140625" customWidth="1"/>
    <col min="3301" max="3301" width="30.88671875" customWidth="1"/>
    <col min="3302" max="3302" width="11.88671875" customWidth="1"/>
    <col min="3303" max="3303" width="41.6640625" customWidth="1"/>
    <col min="3304" max="3309" width="30.88671875" bestFit="1" customWidth="1"/>
    <col min="3310" max="3310" width="10.5546875" bestFit="1" customWidth="1"/>
    <col min="3549" max="3549" width="10.109375" bestFit="1" customWidth="1"/>
    <col min="3550" max="3550" width="18.33203125" customWidth="1"/>
    <col min="3551" max="3551" width="11.88671875" bestFit="1" customWidth="1"/>
    <col min="3552" max="3552" width="13.44140625" customWidth="1"/>
    <col min="3553" max="3553" width="30.88671875" bestFit="1" customWidth="1"/>
    <col min="3554" max="3554" width="21.109375" customWidth="1"/>
    <col min="3555" max="3555" width="44.5546875" customWidth="1"/>
    <col min="3556" max="3556" width="17.44140625" customWidth="1"/>
    <col min="3557" max="3557" width="30.88671875" customWidth="1"/>
    <col min="3558" max="3558" width="11.88671875" customWidth="1"/>
    <col min="3559" max="3559" width="41.6640625" customWidth="1"/>
    <col min="3560" max="3565" width="30.88671875" bestFit="1" customWidth="1"/>
    <col min="3566" max="3566" width="10.5546875" bestFit="1" customWidth="1"/>
    <col min="3805" max="3805" width="10.109375" bestFit="1" customWidth="1"/>
    <col min="3806" max="3806" width="18.33203125" customWidth="1"/>
    <col min="3807" max="3807" width="11.88671875" bestFit="1" customWidth="1"/>
    <col min="3808" max="3808" width="13.44140625" customWidth="1"/>
    <col min="3809" max="3809" width="30.88671875" bestFit="1" customWidth="1"/>
    <col min="3810" max="3810" width="21.109375" customWidth="1"/>
    <col min="3811" max="3811" width="44.5546875" customWidth="1"/>
    <col min="3812" max="3812" width="17.44140625" customWidth="1"/>
    <col min="3813" max="3813" width="30.88671875" customWidth="1"/>
    <col min="3814" max="3814" width="11.88671875" customWidth="1"/>
    <col min="3815" max="3815" width="41.6640625" customWidth="1"/>
    <col min="3816" max="3821" width="30.88671875" bestFit="1" customWidth="1"/>
    <col min="3822" max="3822" width="10.5546875" bestFit="1" customWidth="1"/>
    <col min="4061" max="4061" width="10.109375" bestFit="1" customWidth="1"/>
    <col min="4062" max="4062" width="18.33203125" customWidth="1"/>
    <col min="4063" max="4063" width="11.88671875" bestFit="1" customWidth="1"/>
    <col min="4064" max="4064" width="13.44140625" customWidth="1"/>
    <col min="4065" max="4065" width="30.88671875" bestFit="1" customWidth="1"/>
    <col min="4066" max="4066" width="21.109375" customWidth="1"/>
    <col min="4067" max="4067" width="44.5546875" customWidth="1"/>
    <col min="4068" max="4068" width="17.44140625" customWidth="1"/>
    <col min="4069" max="4069" width="30.88671875" customWidth="1"/>
    <col min="4070" max="4070" width="11.88671875" customWidth="1"/>
    <col min="4071" max="4071" width="41.6640625" customWidth="1"/>
    <col min="4072" max="4077" width="30.88671875" bestFit="1" customWidth="1"/>
    <col min="4078" max="4078" width="10.5546875" bestFit="1" customWidth="1"/>
    <col min="4317" max="4317" width="10.109375" bestFit="1" customWidth="1"/>
    <col min="4318" max="4318" width="18.33203125" customWidth="1"/>
    <col min="4319" max="4319" width="11.88671875" bestFit="1" customWidth="1"/>
    <col min="4320" max="4320" width="13.44140625" customWidth="1"/>
    <col min="4321" max="4321" width="30.88671875" bestFit="1" customWidth="1"/>
    <col min="4322" max="4322" width="21.109375" customWidth="1"/>
    <col min="4323" max="4323" width="44.5546875" customWidth="1"/>
    <col min="4324" max="4324" width="17.44140625" customWidth="1"/>
    <col min="4325" max="4325" width="30.88671875" customWidth="1"/>
    <col min="4326" max="4326" width="11.88671875" customWidth="1"/>
    <col min="4327" max="4327" width="41.6640625" customWidth="1"/>
    <col min="4328" max="4333" width="30.88671875" bestFit="1" customWidth="1"/>
    <col min="4334" max="4334" width="10.5546875" bestFit="1" customWidth="1"/>
    <col min="4573" max="4573" width="10.109375" bestFit="1" customWidth="1"/>
    <col min="4574" max="4574" width="18.33203125" customWidth="1"/>
    <col min="4575" max="4575" width="11.88671875" bestFit="1" customWidth="1"/>
    <col min="4576" max="4576" width="13.44140625" customWidth="1"/>
    <col min="4577" max="4577" width="30.88671875" bestFit="1" customWidth="1"/>
    <col min="4578" max="4578" width="21.109375" customWidth="1"/>
    <col min="4579" max="4579" width="44.5546875" customWidth="1"/>
    <col min="4580" max="4580" width="17.44140625" customWidth="1"/>
    <col min="4581" max="4581" width="30.88671875" customWidth="1"/>
    <col min="4582" max="4582" width="11.88671875" customWidth="1"/>
    <col min="4583" max="4583" width="41.6640625" customWidth="1"/>
    <col min="4584" max="4589" width="30.88671875" bestFit="1" customWidth="1"/>
    <col min="4590" max="4590" width="10.5546875" bestFit="1" customWidth="1"/>
    <col min="4829" max="4829" width="10.109375" bestFit="1" customWidth="1"/>
    <col min="4830" max="4830" width="18.33203125" customWidth="1"/>
    <col min="4831" max="4831" width="11.88671875" bestFit="1" customWidth="1"/>
    <col min="4832" max="4832" width="13.44140625" customWidth="1"/>
    <col min="4833" max="4833" width="30.88671875" bestFit="1" customWidth="1"/>
    <col min="4834" max="4834" width="21.109375" customWidth="1"/>
    <col min="4835" max="4835" width="44.5546875" customWidth="1"/>
    <col min="4836" max="4836" width="17.44140625" customWidth="1"/>
    <col min="4837" max="4837" width="30.88671875" customWidth="1"/>
    <col min="4838" max="4838" width="11.88671875" customWidth="1"/>
    <col min="4839" max="4839" width="41.6640625" customWidth="1"/>
    <col min="4840" max="4845" width="30.88671875" bestFit="1" customWidth="1"/>
    <col min="4846" max="4846" width="10.5546875" bestFit="1" customWidth="1"/>
    <col min="5085" max="5085" width="10.109375" bestFit="1" customWidth="1"/>
    <col min="5086" max="5086" width="18.33203125" customWidth="1"/>
    <col min="5087" max="5087" width="11.88671875" bestFit="1" customWidth="1"/>
    <col min="5088" max="5088" width="13.44140625" customWidth="1"/>
    <col min="5089" max="5089" width="30.88671875" bestFit="1" customWidth="1"/>
    <col min="5090" max="5090" width="21.109375" customWidth="1"/>
    <col min="5091" max="5091" width="44.5546875" customWidth="1"/>
    <col min="5092" max="5092" width="17.44140625" customWidth="1"/>
    <col min="5093" max="5093" width="30.88671875" customWidth="1"/>
    <col min="5094" max="5094" width="11.88671875" customWidth="1"/>
    <col min="5095" max="5095" width="41.6640625" customWidth="1"/>
    <col min="5096" max="5101" width="30.88671875" bestFit="1" customWidth="1"/>
    <col min="5102" max="5102" width="10.5546875" bestFit="1" customWidth="1"/>
    <col min="5341" max="5341" width="10.109375" bestFit="1" customWidth="1"/>
    <col min="5342" max="5342" width="18.33203125" customWidth="1"/>
    <col min="5343" max="5343" width="11.88671875" bestFit="1" customWidth="1"/>
    <col min="5344" max="5344" width="13.44140625" customWidth="1"/>
    <col min="5345" max="5345" width="30.88671875" bestFit="1" customWidth="1"/>
    <col min="5346" max="5346" width="21.109375" customWidth="1"/>
    <col min="5347" max="5347" width="44.5546875" customWidth="1"/>
    <col min="5348" max="5348" width="17.44140625" customWidth="1"/>
    <col min="5349" max="5349" width="30.88671875" customWidth="1"/>
    <col min="5350" max="5350" width="11.88671875" customWidth="1"/>
    <col min="5351" max="5351" width="41.6640625" customWidth="1"/>
    <col min="5352" max="5357" width="30.88671875" bestFit="1" customWidth="1"/>
    <col min="5358" max="5358" width="10.5546875" bestFit="1" customWidth="1"/>
    <col min="5597" max="5597" width="10.109375" bestFit="1" customWidth="1"/>
    <col min="5598" max="5598" width="18.33203125" customWidth="1"/>
    <col min="5599" max="5599" width="11.88671875" bestFit="1" customWidth="1"/>
    <col min="5600" max="5600" width="13.44140625" customWidth="1"/>
    <col min="5601" max="5601" width="30.88671875" bestFit="1" customWidth="1"/>
    <col min="5602" max="5602" width="21.109375" customWidth="1"/>
    <col min="5603" max="5603" width="44.5546875" customWidth="1"/>
    <col min="5604" max="5604" width="17.44140625" customWidth="1"/>
    <col min="5605" max="5605" width="30.88671875" customWidth="1"/>
    <col min="5606" max="5606" width="11.88671875" customWidth="1"/>
    <col min="5607" max="5607" width="41.6640625" customWidth="1"/>
    <col min="5608" max="5613" width="30.88671875" bestFit="1" customWidth="1"/>
    <col min="5614" max="5614" width="10.5546875" bestFit="1" customWidth="1"/>
    <col min="5853" max="5853" width="10.109375" bestFit="1" customWidth="1"/>
    <col min="5854" max="5854" width="18.33203125" customWidth="1"/>
    <col min="5855" max="5855" width="11.88671875" bestFit="1" customWidth="1"/>
    <col min="5856" max="5856" width="13.44140625" customWidth="1"/>
    <col min="5857" max="5857" width="30.88671875" bestFit="1" customWidth="1"/>
    <col min="5858" max="5858" width="21.109375" customWidth="1"/>
    <col min="5859" max="5859" width="44.5546875" customWidth="1"/>
    <col min="5860" max="5860" width="17.44140625" customWidth="1"/>
    <col min="5861" max="5861" width="30.88671875" customWidth="1"/>
    <col min="5862" max="5862" width="11.88671875" customWidth="1"/>
    <col min="5863" max="5863" width="41.6640625" customWidth="1"/>
    <col min="5864" max="5869" width="30.88671875" bestFit="1" customWidth="1"/>
    <col min="5870" max="5870" width="10.5546875" bestFit="1" customWidth="1"/>
    <col min="6109" max="6109" width="10.109375" bestFit="1" customWidth="1"/>
    <col min="6110" max="6110" width="18.33203125" customWidth="1"/>
    <col min="6111" max="6111" width="11.88671875" bestFit="1" customWidth="1"/>
    <col min="6112" max="6112" width="13.44140625" customWidth="1"/>
    <col min="6113" max="6113" width="30.88671875" bestFit="1" customWidth="1"/>
    <col min="6114" max="6114" width="21.109375" customWidth="1"/>
    <col min="6115" max="6115" width="44.5546875" customWidth="1"/>
    <col min="6116" max="6116" width="17.44140625" customWidth="1"/>
    <col min="6117" max="6117" width="30.88671875" customWidth="1"/>
    <col min="6118" max="6118" width="11.88671875" customWidth="1"/>
    <col min="6119" max="6119" width="41.6640625" customWidth="1"/>
    <col min="6120" max="6125" width="30.88671875" bestFit="1" customWidth="1"/>
    <col min="6126" max="6126" width="10.5546875" bestFit="1" customWidth="1"/>
    <col min="6365" max="6365" width="10.109375" bestFit="1" customWidth="1"/>
    <col min="6366" max="6366" width="18.33203125" customWidth="1"/>
    <col min="6367" max="6367" width="11.88671875" bestFit="1" customWidth="1"/>
    <col min="6368" max="6368" width="13.44140625" customWidth="1"/>
    <col min="6369" max="6369" width="30.88671875" bestFit="1" customWidth="1"/>
    <col min="6370" max="6370" width="21.109375" customWidth="1"/>
    <col min="6371" max="6371" width="44.5546875" customWidth="1"/>
    <col min="6372" max="6372" width="17.44140625" customWidth="1"/>
    <col min="6373" max="6373" width="30.88671875" customWidth="1"/>
    <col min="6374" max="6374" width="11.88671875" customWidth="1"/>
    <col min="6375" max="6375" width="41.6640625" customWidth="1"/>
    <col min="6376" max="6381" width="30.88671875" bestFit="1" customWidth="1"/>
    <col min="6382" max="6382" width="10.5546875" bestFit="1" customWidth="1"/>
    <col min="6621" max="6621" width="10.109375" bestFit="1" customWidth="1"/>
    <col min="6622" max="6622" width="18.33203125" customWidth="1"/>
    <col min="6623" max="6623" width="11.88671875" bestFit="1" customWidth="1"/>
    <col min="6624" max="6624" width="13.44140625" customWidth="1"/>
    <col min="6625" max="6625" width="30.88671875" bestFit="1" customWidth="1"/>
    <col min="6626" max="6626" width="21.109375" customWidth="1"/>
    <col min="6627" max="6627" width="44.5546875" customWidth="1"/>
    <col min="6628" max="6628" width="17.44140625" customWidth="1"/>
    <col min="6629" max="6629" width="30.88671875" customWidth="1"/>
    <col min="6630" max="6630" width="11.88671875" customWidth="1"/>
    <col min="6631" max="6631" width="41.6640625" customWidth="1"/>
    <col min="6632" max="6637" width="30.88671875" bestFit="1" customWidth="1"/>
    <col min="6638" max="6638" width="10.5546875" bestFit="1" customWidth="1"/>
    <col min="6877" max="6877" width="10.109375" bestFit="1" customWidth="1"/>
    <col min="6878" max="6878" width="18.33203125" customWidth="1"/>
    <col min="6879" max="6879" width="11.88671875" bestFit="1" customWidth="1"/>
    <col min="6880" max="6880" width="13.44140625" customWidth="1"/>
    <col min="6881" max="6881" width="30.88671875" bestFit="1" customWidth="1"/>
    <col min="6882" max="6882" width="21.109375" customWidth="1"/>
    <col min="6883" max="6883" width="44.5546875" customWidth="1"/>
    <col min="6884" max="6884" width="17.44140625" customWidth="1"/>
    <col min="6885" max="6885" width="30.88671875" customWidth="1"/>
    <col min="6886" max="6886" width="11.88671875" customWidth="1"/>
    <col min="6887" max="6887" width="41.6640625" customWidth="1"/>
    <col min="6888" max="6893" width="30.88671875" bestFit="1" customWidth="1"/>
    <col min="6894" max="6894" width="10.5546875" bestFit="1" customWidth="1"/>
    <col min="7133" max="7133" width="10.109375" bestFit="1" customWidth="1"/>
    <col min="7134" max="7134" width="18.33203125" customWidth="1"/>
    <col min="7135" max="7135" width="11.88671875" bestFit="1" customWidth="1"/>
    <col min="7136" max="7136" width="13.44140625" customWidth="1"/>
    <col min="7137" max="7137" width="30.88671875" bestFit="1" customWidth="1"/>
    <col min="7138" max="7138" width="21.109375" customWidth="1"/>
    <col min="7139" max="7139" width="44.5546875" customWidth="1"/>
    <col min="7140" max="7140" width="17.44140625" customWidth="1"/>
    <col min="7141" max="7141" width="30.88671875" customWidth="1"/>
    <col min="7142" max="7142" width="11.88671875" customWidth="1"/>
    <col min="7143" max="7143" width="41.6640625" customWidth="1"/>
    <col min="7144" max="7149" width="30.88671875" bestFit="1" customWidth="1"/>
    <col min="7150" max="7150" width="10.5546875" bestFit="1" customWidth="1"/>
    <col min="7389" max="7389" width="10.109375" bestFit="1" customWidth="1"/>
    <col min="7390" max="7390" width="18.33203125" customWidth="1"/>
    <col min="7391" max="7391" width="11.88671875" bestFit="1" customWidth="1"/>
    <col min="7392" max="7392" width="13.44140625" customWidth="1"/>
    <col min="7393" max="7393" width="30.88671875" bestFit="1" customWidth="1"/>
    <col min="7394" max="7394" width="21.109375" customWidth="1"/>
    <col min="7395" max="7395" width="44.5546875" customWidth="1"/>
    <col min="7396" max="7396" width="17.44140625" customWidth="1"/>
    <col min="7397" max="7397" width="30.88671875" customWidth="1"/>
    <col min="7398" max="7398" width="11.88671875" customWidth="1"/>
    <col min="7399" max="7399" width="41.6640625" customWidth="1"/>
    <col min="7400" max="7405" width="30.88671875" bestFit="1" customWidth="1"/>
    <col min="7406" max="7406" width="10.5546875" bestFit="1" customWidth="1"/>
    <col min="7645" max="7645" width="10.109375" bestFit="1" customWidth="1"/>
    <col min="7646" max="7646" width="18.33203125" customWidth="1"/>
    <col min="7647" max="7647" width="11.88671875" bestFit="1" customWidth="1"/>
    <col min="7648" max="7648" width="13.44140625" customWidth="1"/>
    <col min="7649" max="7649" width="30.88671875" bestFit="1" customWidth="1"/>
    <col min="7650" max="7650" width="21.109375" customWidth="1"/>
    <col min="7651" max="7651" width="44.5546875" customWidth="1"/>
    <col min="7652" max="7652" width="17.44140625" customWidth="1"/>
    <col min="7653" max="7653" width="30.88671875" customWidth="1"/>
    <col min="7654" max="7654" width="11.88671875" customWidth="1"/>
    <col min="7655" max="7655" width="41.6640625" customWidth="1"/>
    <col min="7656" max="7661" width="30.88671875" bestFit="1" customWidth="1"/>
    <col min="7662" max="7662" width="10.5546875" bestFit="1" customWidth="1"/>
    <col min="7901" max="7901" width="10.109375" bestFit="1" customWidth="1"/>
    <col min="7902" max="7902" width="18.33203125" customWidth="1"/>
    <col min="7903" max="7903" width="11.88671875" bestFit="1" customWidth="1"/>
    <col min="7904" max="7904" width="13.44140625" customWidth="1"/>
    <col min="7905" max="7905" width="30.88671875" bestFit="1" customWidth="1"/>
    <col min="7906" max="7906" width="21.109375" customWidth="1"/>
    <col min="7907" max="7907" width="44.5546875" customWidth="1"/>
    <col min="7908" max="7908" width="17.44140625" customWidth="1"/>
    <col min="7909" max="7909" width="30.88671875" customWidth="1"/>
    <col min="7910" max="7910" width="11.88671875" customWidth="1"/>
    <col min="7911" max="7911" width="41.6640625" customWidth="1"/>
    <col min="7912" max="7917" width="30.88671875" bestFit="1" customWidth="1"/>
    <col min="7918" max="7918" width="10.5546875" bestFit="1" customWidth="1"/>
    <col min="8157" max="8157" width="10.109375" bestFit="1" customWidth="1"/>
    <col min="8158" max="8158" width="18.33203125" customWidth="1"/>
    <col min="8159" max="8159" width="11.88671875" bestFit="1" customWidth="1"/>
    <col min="8160" max="8160" width="13.44140625" customWidth="1"/>
    <col min="8161" max="8161" width="30.88671875" bestFit="1" customWidth="1"/>
    <col min="8162" max="8162" width="21.109375" customWidth="1"/>
    <col min="8163" max="8163" width="44.5546875" customWidth="1"/>
    <col min="8164" max="8164" width="17.44140625" customWidth="1"/>
    <col min="8165" max="8165" width="30.88671875" customWidth="1"/>
    <col min="8166" max="8166" width="11.88671875" customWidth="1"/>
    <col min="8167" max="8167" width="41.6640625" customWidth="1"/>
    <col min="8168" max="8173" width="30.88671875" bestFit="1" customWidth="1"/>
    <col min="8174" max="8174" width="10.5546875" bestFit="1" customWidth="1"/>
    <col min="8413" max="8413" width="10.109375" bestFit="1" customWidth="1"/>
    <col min="8414" max="8414" width="18.33203125" customWidth="1"/>
    <col min="8415" max="8415" width="11.88671875" bestFit="1" customWidth="1"/>
    <col min="8416" max="8416" width="13.44140625" customWidth="1"/>
    <col min="8417" max="8417" width="30.88671875" bestFit="1" customWidth="1"/>
    <col min="8418" max="8418" width="21.109375" customWidth="1"/>
    <col min="8419" max="8419" width="44.5546875" customWidth="1"/>
    <col min="8420" max="8420" width="17.44140625" customWidth="1"/>
    <col min="8421" max="8421" width="30.88671875" customWidth="1"/>
    <col min="8422" max="8422" width="11.88671875" customWidth="1"/>
    <col min="8423" max="8423" width="41.6640625" customWidth="1"/>
    <col min="8424" max="8429" width="30.88671875" bestFit="1" customWidth="1"/>
    <col min="8430" max="8430" width="10.5546875" bestFit="1" customWidth="1"/>
    <col min="8669" max="8669" width="10.109375" bestFit="1" customWidth="1"/>
    <col min="8670" max="8670" width="18.33203125" customWidth="1"/>
    <col min="8671" max="8671" width="11.88671875" bestFit="1" customWidth="1"/>
    <col min="8672" max="8672" width="13.44140625" customWidth="1"/>
    <col min="8673" max="8673" width="30.88671875" bestFit="1" customWidth="1"/>
    <col min="8674" max="8674" width="21.109375" customWidth="1"/>
    <col min="8675" max="8675" width="44.5546875" customWidth="1"/>
    <col min="8676" max="8676" width="17.44140625" customWidth="1"/>
    <col min="8677" max="8677" width="30.88671875" customWidth="1"/>
    <col min="8678" max="8678" width="11.88671875" customWidth="1"/>
    <col min="8679" max="8679" width="41.6640625" customWidth="1"/>
    <col min="8680" max="8685" width="30.88671875" bestFit="1" customWidth="1"/>
    <col min="8686" max="8686" width="10.5546875" bestFit="1" customWidth="1"/>
    <col min="8925" max="8925" width="10.109375" bestFit="1" customWidth="1"/>
    <col min="8926" max="8926" width="18.33203125" customWidth="1"/>
    <col min="8927" max="8927" width="11.88671875" bestFit="1" customWidth="1"/>
    <col min="8928" max="8928" width="13.44140625" customWidth="1"/>
    <col min="8929" max="8929" width="30.88671875" bestFit="1" customWidth="1"/>
    <col min="8930" max="8930" width="21.109375" customWidth="1"/>
    <col min="8931" max="8931" width="44.5546875" customWidth="1"/>
    <col min="8932" max="8932" width="17.44140625" customWidth="1"/>
    <col min="8933" max="8933" width="30.88671875" customWidth="1"/>
    <col min="8934" max="8934" width="11.88671875" customWidth="1"/>
    <col min="8935" max="8935" width="41.6640625" customWidth="1"/>
    <col min="8936" max="8941" width="30.88671875" bestFit="1" customWidth="1"/>
    <col min="8942" max="8942" width="10.5546875" bestFit="1" customWidth="1"/>
    <col min="9181" max="9181" width="10.109375" bestFit="1" customWidth="1"/>
    <col min="9182" max="9182" width="18.33203125" customWidth="1"/>
    <col min="9183" max="9183" width="11.88671875" bestFit="1" customWidth="1"/>
    <col min="9184" max="9184" width="13.44140625" customWidth="1"/>
    <col min="9185" max="9185" width="30.88671875" bestFit="1" customWidth="1"/>
    <col min="9186" max="9186" width="21.109375" customWidth="1"/>
    <col min="9187" max="9187" width="44.5546875" customWidth="1"/>
    <col min="9188" max="9188" width="17.44140625" customWidth="1"/>
    <col min="9189" max="9189" width="30.88671875" customWidth="1"/>
    <col min="9190" max="9190" width="11.88671875" customWidth="1"/>
    <col min="9191" max="9191" width="41.6640625" customWidth="1"/>
    <col min="9192" max="9197" width="30.88671875" bestFit="1" customWidth="1"/>
    <col min="9198" max="9198" width="10.5546875" bestFit="1" customWidth="1"/>
    <col min="9437" max="9437" width="10.109375" bestFit="1" customWidth="1"/>
    <col min="9438" max="9438" width="18.33203125" customWidth="1"/>
    <col min="9439" max="9439" width="11.88671875" bestFit="1" customWidth="1"/>
    <col min="9440" max="9440" width="13.44140625" customWidth="1"/>
    <col min="9441" max="9441" width="30.88671875" bestFit="1" customWidth="1"/>
    <col min="9442" max="9442" width="21.109375" customWidth="1"/>
    <col min="9443" max="9443" width="44.5546875" customWidth="1"/>
    <col min="9444" max="9444" width="17.44140625" customWidth="1"/>
    <col min="9445" max="9445" width="30.88671875" customWidth="1"/>
    <col min="9446" max="9446" width="11.88671875" customWidth="1"/>
    <col min="9447" max="9447" width="41.6640625" customWidth="1"/>
    <col min="9448" max="9453" width="30.88671875" bestFit="1" customWidth="1"/>
    <col min="9454" max="9454" width="10.5546875" bestFit="1" customWidth="1"/>
    <col min="9693" max="9693" width="10.109375" bestFit="1" customWidth="1"/>
    <col min="9694" max="9694" width="18.33203125" customWidth="1"/>
    <col min="9695" max="9695" width="11.88671875" bestFit="1" customWidth="1"/>
    <col min="9696" max="9696" width="13.44140625" customWidth="1"/>
    <col min="9697" max="9697" width="30.88671875" bestFit="1" customWidth="1"/>
    <col min="9698" max="9698" width="21.109375" customWidth="1"/>
    <col min="9699" max="9699" width="44.5546875" customWidth="1"/>
    <col min="9700" max="9700" width="17.44140625" customWidth="1"/>
    <col min="9701" max="9701" width="30.88671875" customWidth="1"/>
    <col min="9702" max="9702" width="11.88671875" customWidth="1"/>
    <col min="9703" max="9703" width="41.6640625" customWidth="1"/>
    <col min="9704" max="9709" width="30.88671875" bestFit="1" customWidth="1"/>
    <col min="9710" max="9710" width="10.5546875" bestFit="1" customWidth="1"/>
    <col min="9949" max="9949" width="10.109375" bestFit="1" customWidth="1"/>
    <col min="9950" max="9950" width="18.33203125" customWidth="1"/>
    <col min="9951" max="9951" width="11.88671875" bestFit="1" customWidth="1"/>
    <col min="9952" max="9952" width="13.44140625" customWidth="1"/>
    <col min="9953" max="9953" width="30.88671875" bestFit="1" customWidth="1"/>
    <col min="9954" max="9954" width="21.109375" customWidth="1"/>
    <col min="9955" max="9955" width="44.5546875" customWidth="1"/>
    <col min="9956" max="9956" width="17.44140625" customWidth="1"/>
    <col min="9957" max="9957" width="30.88671875" customWidth="1"/>
    <col min="9958" max="9958" width="11.88671875" customWidth="1"/>
    <col min="9959" max="9959" width="41.6640625" customWidth="1"/>
    <col min="9960" max="9965" width="30.88671875" bestFit="1" customWidth="1"/>
    <col min="9966" max="9966" width="10.5546875" bestFit="1" customWidth="1"/>
    <col min="10205" max="10205" width="10.109375" bestFit="1" customWidth="1"/>
    <col min="10206" max="10206" width="18.33203125" customWidth="1"/>
    <col min="10207" max="10207" width="11.88671875" bestFit="1" customWidth="1"/>
    <col min="10208" max="10208" width="13.44140625" customWidth="1"/>
    <col min="10209" max="10209" width="30.88671875" bestFit="1" customWidth="1"/>
    <col min="10210" max="10210" width="21.109375" customWidth="1"/>
    <col min="10211" max="10211" width="44.5546875" customWidth="1"/>
    <col min="10212" max="10212" width="17.44140625" customWidth="1"/>
    <col min="10213" max="10213" width="30.88671875" customWidth="1"/>
    <col min="10214" max="10214" width="11.88671875" customWidth="1"/>
    <col min="10215" max="10215" width="41.6640625" customWidth="1"/>
    <col min="10216" max="10221" width="30.88671875" bestFit="1" customWidth="1"/>
    <col min="10222" max="10222" width="10.5546875" bestFit="1" customWidth="1"/>
    <col min="10461" max="10461" width="10.109375" bestFit="1" customWidth="1"/>
    <col min="10462" max="10462" width="18.33203125" customWidth="1"/>
    <col min="10463" max="10463" width="11.88671875" bestFit="1" customWidth="1"/>
    <col min="10464" max="10464" width="13.44140625" customWidth="1"/>
    <col min="10465" max="10465" width="30.88671875" bestFit="1" customWidth="1"/>
    <col min="10466" max="10466" width="21.109375" customWidth="1"/>
    <col min="10467" max="10467" width="44.5546875" customWidth="1"/>
    <col min="10468" max="10468" width="17.44140625" customWidth="1"/>
    <col min="10469" max="10469" width="30.88671875" customWidth="1"/>
    <col min="10470" max="10470" width="11.88671875" customWidth="1"/>
    <col min="10471" max="10471" width="41.6640625" customWidth="1"/>
    <col min="10472" max="10477" width="30.88671875" bestFit="1" customWidth="1"/>
    <col min="10478" max="10478" width="10.5546875" bestFit="1" customWidth="1"/>
    <col min="10717" max="10717" width="10.109375" bestFit="1" customWidth="1"/>
    <col min="10718" max="10718" width="18.33203125" customWidth="1"/>
    <col min="10719" max="10719" width="11.88671875" bestFit="1" customWidth="1"/>
    <col min="10720" max="10720" width="13.44140625" customWidth="1"/>
    <col min="10721" max="10721" width="30.88671875" bestFit="1" customWidth="1"/>
    <col min="10722" max="10722" width="21.109375" customWidth="1"/>
    <col min="10723" max="10723" width="44.5546875" customWidth="1"/>
    <col min="10724" max="10724" width="17.44140625" customWidth="1"/>
    <col min="10725" max="10725" width="30.88671875" customWidth="1"/>
    <col min="10726" max="10726" width="11.88671875" customWidth="1"/>
    <col min="10727" max="10727" width="41.6640625" customWidth="1"/>
    <col min="10728" max="10733" width="30.88671875" bestFit="1" customWidth="1"/>
    <col min="10734" max="10734" width="10.5546875" bestFit="1" customWidth="1"/>
    <col min="10973" max="10973" width="10.109375" bestFit="1" customWidth="1"/>
    <col min="10974" max="10974" width="18.33203125" customWidth="1"/>
    <col min="10975" max="10975" width="11.88671875" bestFit="1" customWidth="1"/>
    <col min="10976" max="10976" width="13.44140625" customWidth="1"/>
    <col min="10977" max="10977" width="30.88671875" bestFit="1" customWidth="1"/>
    <col min="10978" max="10978" width="21.109375" customWidth="1"/>
    <col min="10979" max="10979" width="44.5546875" customWidth="1"/>
    <col min="10980" max="10980" width="17.44140625" customWidth="1"/>
    <col min="10981" max="10981" width="30.88671875" customWidth="1"/>
    <col min="10982" max="10982" width="11.88671875" customWidth="1"/>
    <col min="10983" max="10983" width="41.6640625" customWidth="1"/>
    <col min="10984" max="10989" width="30.88671875" bestFit="1" customWidth="1"/>
    <col min="10990" max="10990" width="10.5546875" bestFit="1" customWidth="1"/>
    <col min="11229" max="11229" width="10.109375" bestFit="1" customWidth="1"/>
    <col min="11230" max="11230" width="18.33203125" customWidth="1"/>
    <col min="11231" max="11231" width="11.88671875" bestFit="1" customWidth="1"/>
    <col min="11232" max="11232" width="13.44140625" customWidth="1"/>
    <col min="11233" max="11233" width="30.88671875" bestFit="1" customWidth="1"/>
    <col min="11234" max="11234" width="21.109375" customWidth="1"/>
    <col min="11235" max="11235" width="44.5546875" customWidth="1"/>
    <col min="11236" max="11236" width="17.44140625" customWidth="1"/>
    <col min="11237" max="11237" width="30.88671875" customWidth="1"/>
    <col min="11238" max="11238" width="11.88671875" customWidth="1"/>
    <col min="11239" max="11239" width="41.6640625" customWidth="1"/>
    <col min="11240" max="11245" width="30.88671875" bestFit="1" customWidth="1"/>
    <col min="11246" max="11246" width="10.5546875" bestFit="1" customWidth="1"/>
    <col min="11485" max="11485" width="10.109375" bestFit="1" customWidth="1"/>
    <col min="11486" max="11486" width="18.33203125" customWidth="1"/>
    <col min="11487" max="11487" width="11.88671875" bestFit="1" customWidth="1"/>
    <col min="11488" max="11488" width="13.44140625" customWidth="1"/>
    <col min="11489" max="11489" width="30.88671875" bestFit="1" customWidth="1"/>
    <col min="11490" max="11490" width="21.109375" customWidth="1"/>
    <col min="11491" max="11491" width="44.5546875" customWidth="1"/>
    <col min="11492" max="11492" width="17.44140625" customWidth="1"/>
    <col min="11493" max="11493" width="30.88671875" customWidth="1"/>
    <col min="11494" max="11494" width="11.88671875" customWidth="1"/>
    <col min="11495" max="11495" width="41.6640625" customWidth="1"/>
    <col min="11496" max="11501" width="30.88671875" bestFit="1" customWidth="1"/>
    <col min="11502" max="11502" width="10.5546875" bestFit="1" customWidth="1"/>
    <col min="11741" max="11741" width="10.109375" bestFit="1" customWidth="1"/>
    <col min="11742" max="11742" width="18.33203125" customWidth="1"/>
    <col min="11743" max="11743" width="11.88671875" bestFit="1" customWidth="1"/>
    <col min="11744" max="11744" width="13.44140625" customWidth="1"/>
    <col min="11745" max="11745" width="30.88671875" bestFit="1" customWidth="1"/>
    <col min="11746" max="11746" width="21.109375" customWidth="1"/>
    <col min="11747" max="11747" width="44.5546875" customWidth="1"/>
    <col min="11748" max="11748" width="17.44140625" customWidth="1"/>
    <col min="11749" max="11749" width="30.88671875" customWidth="1"/>
    <col min="11750" max="11750" width="11.88671875" customWidth="1"/>
    <col min="11751" max="11751" width="41.6640625" customWidth="1"/>
    <col min="11752" max="11757" width="30.88671875" bestFit="1" customWidth="1"/>
    <col min="11758" max="11758" width="10.5546875" bestFit="1" customWidth="1"/>
    <col min="11997" max="11997" width="10.109375" bestFit="1" customWidth="1"/>
    <col min="11998" max="11998" width="18.33203125" customWidth="1"/>
    <col min="11999" max="11999" width="11.88671875" bestFit="1" customWidth="1"/>
    <col min="12000" max="12000" width="13.44140625" customWidth="1"/>
    <col min="12001" max="12001" width="30.88671875" bestFit="1" customWidth="1"/>
    <col min="12002" max="12002" width="21.109375" customWidth="1"/>
    <col min="12003" max="12003" width="44.5546875" customWidth="1"/>
    <col min="12004" max="12004" width="17.44140625" customWidth="1"/>
    <col min="12005" max="12005" width="30.88671875" customWidth="1"/>
    <col min="12006" max="12006" width="11.88671875" customWidth="1"/>
    <col min="12007" max="12007" width="41.6640625" customWidth="1"/>
    <col min="12008" max="12013" width="30.88671875" bestFit="1" customWidth="1"/>
    <col min="12014" max="12014" width="10.5546875" bestFit="1" customWidth="1"/>
    <col min="12253" max="12253" width="10.109375" bestFit="1" customWidth="1"/>
    <col min="12254" max="12254" width="18.33203125" customWidth="1"/>
    <col min="12255" max="12255" width="11.88671875" bestFit="1" customWidth="1"/>
    <col min="12256" max="12256" width="13.44140625" customWidth="1"/>
    <col min="12257" max="12257" width="30.88671875" bestFit="1" customWidth="1"/>
    <col min="12258" max="12258" width="21.109375" customWidth="1"/>
    <col min="12259" max="12259" width="44.5546875" customWidth="1"/>
    <col min="12260" max="12260" width="17.44140625" customWidth="1"/>
    <col min="12261" max="12261" width="30.88671875" customWidth="1"/>
    <col min="12262" max="12262" width="11.88671875" customWidth="1"/>
    <col min="12263" max="12263" width="41.6640625" customWidth="1"/>
    <col min="12264" max="12269" width="30.88671875" bestFit="1" customWidth="1"/>
    <col min="12270" max="12270" width="10.5546875" bestFit="1" customWidth="1"/>
    <col min="12509" max="12509" width="10.109375" bestFit="1" customWidth="1"/>
    <col min="12510" max="12510" width="18.33203125" customWidth="1"/>
    <col min="12511" max="12511" width="11.88671875" bestFit="1" customWidth="1"/>
    <col min="12512" max="12512" width="13.44140625" customWidth="1"/>
    <col min="12513" max="12513" width="30.88671875" bestFit="1" customWidth="1"/>
    <col min="12514" max="12514" width="21.109375" customWidth="1"/>
    <col min="12515" max="12515" width="44.5546875" customWidth="1"/>
    <col min="12516" max="12516" width="17.44140625" customWidth="1"/>
    <col min="12517" max="12517" width="30.88671875" customWidth="1"/>
    <col min="12518" max="12518" width="11.88671875" customWidth="1"/>
    <col min="12519" max="12519" width="41.6640625" customWidth="1"/>
    <col min="12520" max="12525" width="30.88671875" bestFit="1" customWidth="1"/>
    <col min="12526" max="12526" width="10.5546875" bestFit="1" customWidth="1"/>
    <col min="12765" max="12765" width="10.109375" bestFit="1" customWidth="1"/>
    <col min="12766" max="12766" width="18.33203125" customWidth="1"/>
    <col min="12767" max="12767" width="11.88671875" bestFit="1" customWidth="1"/>
    <col min="12768" max="12768" width="13.44140625" customWidth="1"/>
    <col min="12769" max="12769" width="30.88671875" bestFit="1" customWidth="1"/>
    <col min="12770" max="12770" width="21.109375" customWidth="1"/>
    <col min="12771" max="12771" width="44.5546875" customWidth="1"/>
    <col min="12772" max="12772" width="17.44140625" customWidth="1"/>
    <col min="12773" max="12773" width="30.88671875" customWidth="1"/>
    <col min="12774" max="12774" width="11.88671875" customWidth="1"/>
    <col min="12775" max="12775" width="41.6640625" customWidth="1"/>
    <col min="12776" max="12781" width="30.88671875" bestFit="1" customWidth="1"/>
    <col min="12782" max="12782" width="10.5546875" bestFit="1" customWidth="1"/>
    <col min="13021" max="13021" width="10.109375" bestFit="1" customWidth="1"/>
    <col min="13022" max="13022" width="18.33203125" customWidth="1"/>
    <col min="13023" max="13023" width="11.88671875" bestFit="1" customWidth="1"/>
    <col min="13024" max="13024" width="13.44140625" customWidth="1"/>
    <col min="13025" max="13025" width="30.88671875" bestFit="1" customWidth="1"/>
    <col min="13026" max="13026" width="21.109375" customWidth="1"/>
    <col min="13027" max="13027" width="44.5546875" customWidth="1"/>
    <col min="13028" max="13028" width="17.44140625" customWidth="1"/>
    <col min="13029" max="13029" width="30.88671875" customWidth="1"/>
    <col min="13030" max="13030" width="11.88671875" customWidth="1"/>
    <col min="13031" max="13031" width="41.6640625" customWidth="1"/>
    <col min="13032" max="13037" width="30.88671875" bestFit="1" customWidth="1"/>
    <col min="13038" max="13038" width="10.5546875" bestFit="1" customWidth="1"/>
    <col min="13277" max="13277" width="10.109375" bestFit="1" customWidth="1"/>
    <col min="13278" max="13278" width="18.33203125" customWidth="1"/>
    <col min="13279" max="13279" width="11.88671875" bestFit="1" customWidth="1"/>
    <col min="13280" max="13280" width="13.44140625" customWidth="1"/>
    <col min="13281" max="13281" width="30.88671875" bestFit="1" customWidth="1"/>
    <col min="13282" max="13282" width="21.109375" customWidth="1"/>
    <col min="13283" max="13283" width="44.5546875" customWidth="1"/>
    <col min="13284" max="13284" width="17.44140625" customWidth="1"/>
    <col min="13285" max="13285" width="30.88671875" customWidth="1"/>
    <col min="13286" max="13286" width="11.88671875" customWidth="1"/>
    <col min="13287" max="13287" width="41.6640625" customWidth="1"/>
    <col min="13288" max="13293" width="30.88671875" bestFit="1" customWidth="1"/>
    <col min="13294" max="13294" width="10.5546875" bestFit="1" customWidth="1"/>
    <col min="13533" max="13533" width="10.109375" bestFit="1" customWidth="1"/>
    <col min="13534" max="13534" width="18.33203125" customWidth="1"/>
    <col min="13535" max="13535" width="11.88671875" bestFit="1" customWidth="1"/>
    <col min="13536" max="13536" width="13.44140625" customWidth="1"/>
    <col min="13537" max="13537" width="30.88671875" bestFit="1" customWidth="1"/>
    <col min="13538" max="13538" width="21.109375" customWidth="1"/>
    <col min="13539" max="13539" width="44.5546875" customWidth="1"/>
    <col min="13540" max="13540" width="17.44140625" customWidth="1"/>
    <col min="13541" max="13541" width="30.88671875" customWidth="1"/>
    <col min="13542" max="13542" width="11.88671875" customWidth="1"/>
    <col min="13543" max="13543" width="41.6640625" customWidth="1"/>
    <col min="13544" max="13549" width="30.88671875" bestFit="1" customWidth="1"/>
    <col min="13550" max="13550" width="10.5546875" bestFit="1" customWidth="1"/>
    <col min="13789" max="13789" width="10.109375" bestFit="1" customWidth="1"/>
    <col min="13790" max="13790" width="18.33203125" customWidth="1"/>
    <col min="13791" max="13791" width="11.88671875" bestFit="1" customWidth="1"/>
    <col min="13792" max="13792" width="13.44140625" customWidth="1"/>
    <col min="13793" max="13793" width="30.88671875" bestFit="1" customWidth="1"/>
    <col min="13794" max="13794" width="21.109375" customWidth="1"/>
    <col min="13795" max="13795" width="44.5546875" customWidth="1"/>
    <col min="13796" max="13796" width="17.44140625" customWidth="1"/>
    <col min="13797" max="13797" width="30.88671875" customWidth="1"/>
    <col min="13798" max="13798" width="11.88671875" customWidth="1"/>
    <col min="13799" max="13799" width="41.6640625" customWidth="1"/>
    <col min="13800" max="13805" width="30.88671875" bestFit="1" customWidth="1"/>
    <col min="13806" max="13806" width="10.5546875" bestFit="1" customWidth="1"/>
    <col min="14045" max="14045" width="10.109375" bestFit="1" customWidth="1"/>
    <col min="14046" max="14046" width="18.33203125" customWidth="1"/>
    <col min="14047" max="14047" width="11.88671875" bestFit="1" customWidth="1"/>
    <col min="14048" max="14048" width="13.44140625" customWidth="1"/>
    <col min="14049" max="14049" width="30.88671875" bestFit="1" customWidth="1"/>
    <col min="14050" max="14050" width="21.109375" customWidth="1"/>
    <col min="14051" max="14051" width="44.5546875" customWidth="1"/>
    <col min="14052" max="14052" width="17.44140625" customWidth="1"/>
    <col min="14053" max="14053" width="30.88671875" customWidth="1"/>
    <col min="14054" max="14054" width="11.88671875" customWidth="1"/>
    <col min="14055" max="14055" width="41.6640625" customWidth="1"/>
    <col min="14056" max="14061" width="30.88671875" bestFit="1" customWidth="1"/>
    <col min="14062" max="14062" width="10.5546875" bestFit="1" customWidth="1"/>
    <col min="14301" max="14301" width="10.109375" bestFit="1" customWidth="1"/>
    <col min="14302" max="14302" width="18.33203125" customWidth="1"/>
    <col min="14303" max="14303" width="11.88671875" bestFit="1" customWidth="1"/>
    <col min="14304" max="14304" width="13.44140625" customWidth="1"/>
    <col min="14305" max="14305" width="30.88671875" bestFit="1" customWidth="1"/>
    <col min="14306" max="14306" width="21.109375" customWidth="1"/>
    <col min="14307" max="14307" width="44.5546875" customWidth="1"/>
    <col min="14308" max="14308" width="17.44140625" customWidth="1"/>
    <col min="14309" max="14309" width="30.88671875" customWidth="1"/>
    <col min="14310" max="14310" width="11.88671875" customWidth="1"/>
    <col min="14311" max="14311" width="41.6640625" customWidth="1"/>
    <col min="14312" max="14317" width="30.88671875" bestFit="1" customWidth="1"/>
    <col min="14318" max="14318" width="10.5546875" bestFit="1" customWidth="1"/>
    <col min="14557" max="14557" width="10.109375" bestFit="1" customWidth="1"/>
    <col min="14558" max="14558" width="18.33203125" customWidth="1"/>
    <col min="14559" max="14559" width="11.88671875" bestFit="1" customWidth="1"/>
    <col min="14560" max="14560" width="13.44140625" customWidth="1"/>
    <col min="14561" max="14561" width="30.88671875" bestFit="1" customWidth="1"/>
    <col min="14562" max="14562" width="21.109375" customWidth="1"/>
    <col min="14563" max="14563" width="44.5546875" customWidth="1"/>
    <col min="14564" max="14564" width="17.44140625" customWidth="1"/>
    <col min="14565" max="14565" width="30.88671875" customWidth="1"/>
    <col min="14566" max="14566" width="11.88671875" customWidth="1"/>
    <col min="14567" max="14567" width="41.6640625" customWidth="1"/>
    <col min="14568" max="14573" width="30.88671875" bestFit="1" customWidth="1"/>
    <col min="14574" max="14574" width="10.5546875" bestFit="1" customWidth="1"/>
    <col min="14813" max="14813" width="10.109375" bestFit="1" customWidth="1"/>
    <col min="14814" max="14814" width="18.33203125" customWidth="1"/>
    <col min="14815" max="14815" width="11.88671875" bestFit="1" customWidth="1"/>
    <col min="14816" max="14816" width="13.44140625" customWidth="1"/>
    <col min="14817" max="14817" width="30.88671875" bestFit="1" customWidth="1"/>
    <col min="14818" max="14818" width="21.109375" customWidth="1"/>
    <col min="14819" max="14819" width="44.5546875" customWidth="1"/>
    <col min="14820" max="14820" width="17.44140625" customWidth="1"/>
    <col min="14821" max="14821" width="30.88671875" customWidth="1"/>
    <col min="14822" max="14822" width="11.88671875" customWidth="1"/>
    <col min="14823" max="14823" width="41.6640625" customWidth="1"/>
    <col min="14824" max="14829" width="30.88671875" bestFit="1" customWidth="1"/>
    <col min="14830" max="14830" width="10.5546875" bestFit="1" customWidth="1"/>
    <col min="15069" max="15069" width="10.109375" bestFit="1" customWidth="1"/>
    <col min="15070" max="15070" width="18.33203125" customWidth="1"/>
    <col min="15071" max="15071" width="11.88671875" bestFit="1" customWidth="1"/>
    <col min="15072" max="15072" width="13.44140625" customWidth="1"/>
    <col min="15073" max="15073" width="30.88671875" bestFit="1" customWidth="1"/>
    <col min="15074" max="15074" width="21.109375" customWidth="1"/>
    <col min="15075" max="15075" width="44.5546875" customWidth="1"/>
    <col min="15076" max="15076" width="17.44140625" customWidth="1"/>
    <col min="15077" max="15077" width="30.88671875" customWidth="1"/>
    <col min="15078" max="15078" width="11.88671875" customWidth="1"/>
    <col min="15079" max="15079" width="41.6640625" customWidth="1"/>
    <col min="15080" max="15085" width="30.88671875" bestFit="1" customWidth="1"/>
    <col min="15086" max="15086" width="10.5546875" bestFit="1" customWidth="1"/>
    <col min="15325" max="15325" width="10.109375" bestFit="1" customWidth="1"/>
    <col min="15326" max="15326" width="18.33203125" customWidth="1"/>
    <col min="15327" max="15327" width="11.88671875" bestFit="1" customWidth="1"/>
    <col min="15328" max="15328" width="13.44140625" customWidth="1"/>
    <col min="15329" max="15329" width="30.88671875" bestFit="1" customWidth="1"/>
    <col min="15330" max="15330" width="21.109375" customWidth="1"/>
    <col min="15331" max="15331" width="44.5546875" customWidth="1"/>
    <col min="15332" max="15332" width="17.44140625" customWidth="1"/>
    <col min="15333" max="15333" width="30.88671875" customWidth="1"/>
    <col min="15334" max="15334" width="11.88671875" customWidth="1"/>
    <col min="15335" max="15335" width="41.6640625" customWidth="1"/>
    <col min="15336" max="15341" width="30.88671875" bestFit="1" customWidth="1"/>
    <col min="15342" max="15342" width="10.5546875" bestFit="1" customWidth="1"/>
    <col min="15581" max="15581" width="10.109375" bestFit="1" customWidth="1"/>
    <col min="15582" max="15582" width="18.33203125" customWidth="1"/>
    <col min="15583" max="15583" width="11.88671875" bestFit="1" customWidth="1"/>
    <col min="15584" max="15584" width="13.44140625" customWidth="1"/>
    <col min="15585" max="15585" width="30.88671875" bestFit="1" customWidth="1"/>
    <col min="15586" max="15586" width="21.109375" customWidth="1"/>
    <col min="15587" max="15587" width="44.5546875" customWidth="1"/>
    <col min="15588" max="15588" width="17.44140625" customWidth="1"/>
    <col min="15589" max="15589" width="30.88671875" customWidth="1"/>
    <col min="15590" max="15590" width="11.88671875" customWidth="1"/>
    <col min="15591" max="15591" width="41.6640625" customWidth="1"/>
    <col min="15592" max="15597" width="30.88671875" bestFit="1" customWidth="1"/>
    <col min="15598" max="15598" width="10.5546875" bestFit="1" customWidth="1"/>
    <col min="15837" max="15837" width="10.109375" bestFit="1" customWidth="1"/>
    <col min="15838" max="15838" width="18.33203125" customWidth="1"/>
    <col min="15839" max="15839" width="11.88671875" bestFit="1" customWidth="1"/>
    <col min="15840" max="15840" width="13.44140625" customWidth="1"/>
    <col min="15841" max="15841" width="30.88671875" bestFit="1" customWidth="1"/>
    <col min="15842" max="15842" width="21.109375" customWidth="1"/>
    <col min="15843" max="15843" width="44.5546875" customWidth="1"/>
    <col min="15844" max="15844" width="17.44140625" customWidth="1"/>
    <col min="15845" max="15845" width="30.88671875" customWidth="1"/>
    <col min="15846" max="15846" width="11.88671875" customWidth="1"/>
    <col min="15847" max="15847" width="41.6640625" customWidth="1"/>
    <col min="15848" max="15853" width="30.88671875" bestFit="1" customWidth="1"/>
    <col min="15854" max="15854" width="10.5546875" bestFit="1" customWidth="1"/>
    <col min="16093" max="16093" width="10.109375" bestFit="1" customWidth="1"/>
    <col min="16094" max="16094" width="18.33203125" customWidth="1"/>
    <col min="16095" max="16095" width="11.88671875" bestFit="1" customWidth="1"/>
    <col min="16096" max="16096" width="13.44140625" customWidth="1"/>
    <col min="16097" max="16097" width="30.88671875" bestFit="1" customWidth="1"/>
    <col min="16098" max="16098" width="21.109375" customWidth="1"/>
    <col min="16099" max="16099" width="44.5546875" customWidth="1"/>
    <col min="16100" max="16100" width="17.44140625" customWidth="1"/>
    <col min="16101" max="16101" width="30.88671875" customWidth="1"/>
    <col min="16102" max="16102" width="11.88671875" customWidth="1"/>
    <col min="16103" max="16103" width="41.6640625" customWidth="1"/>
    <col min="16104" max="16109" width="30.88671875" bestFit="1" customWidth="1"/>
    <col min="16110" max="16110" width="10.5546875" bestFit="1" customWidth="1"/>
  </cols>
  <sheetData>
    <row r="1" spans="1:26" x14ac:dyDescent="0.3">
      <c r="A1" s="16" t="s">
        <v>13</v>
      </c>
      <c r="B1" s="28" t="s">
        <v>14</v>
      </c>
      <c r="C1" s="4" t="s">
        <v>18</v>
      </c>
      <c r="D1" s="4" t="s">
        <v>27</v>
      </c>
      <c r="E1" s="3" t="s">
        <v>15</v>
      </c>
      <c r="F1" s="5" t="s">
        <v>16</v>
      </c>
      <c r="G1" s="6" t="s">
        <v>17</v>
      </c>
      <c r="Z1" s="44" t="s">
        <v>40</v>
      </c>
    </row>
    <row r="2" spans="1:26" x14ac:dyDescent="0.3">
      <c r="A2" s="48">
        <v>45576</v>
      </c>
      <c r="B2" s="31">
        <v>-11437574.890000001</v>
      </c>
      <c r="C2" t="s">
        <v>41</v>
      </c>
      <c r="D2" s="22"/>
      <c r="E2" s="23" t="str">
        <f t="shared" ref="E2:E65" si="0">IF(OR(C2="Transaction",C2="Interests",C2="Misc",C2="Account Transfer"), IF(C2="Transaction", IF(B2&lt;0, "Du no", "Da thanh toan"), IF(C2="Interests", "Lai", IF(C2="Misc", "Phi", IF(C2="Account Transfer", IF(OR(ISNUMBER(SEARCH("Trich lai tra gop the TD", D2)), ISNUMBER(SEARCH("Chuyen lai tra gop con lai sang du no thong thuong khi BadDebt", D2))), IF(B2&lt;0, "Lai tra gop", ""), "" )))))) &amp; " " &amp; IF(C2="Interests", TEXT(EDATE(IF(DAY(A2)&gt;=11, A2, EDATE(A2,-1)), -1),"yyyy-mm"), TEXT(IF(DAY(A2)&gt;=11, A2, EDATE(A2,-1)),"yyyy-mm"))</f>
        <v>Lai 2024-09</v>
      </c>
      <c r="F2" s="24">
        <f t="shared" ref="F2:F65" si="1">IF(ISNUMBER(B2), ROUND(SUMIFS($B$2:$B$10000, $E$2:$E$10000, E2, $B$2:$B$10000, IF(B2&lt;0, "&lt;0", "&gt;0")), 0), "")</f>
        <v>-12954208</v>
      </c>
      <c r="G2" s="25" t="str">
        <f t="shared" ref="G2:G65" si="2">IF(F2&gt;0, IF(C2="Transaction", "Da thanh toan", "Duong"), IF(F2&lt;0, IF(C2="Transaction", "Du no", IF(C2="Interests", "Lai phat sinh", IF(C2="Misc", "Phi", IF(C2="Account Transfer", "Lai tra gop", "Am")))), "Bang 0"))</f>
        <v>Lai phat sinh</v>
      </c>
    </row>
    <row r="3" spans="1:26" x14ac:dyDescent="0.3">
      <c r="A3" s="48">
        <v>45576</v>
      </c>
      <c r="B3" s="31">
        <v>-42112.160000000003</v>
      </c>
      <c r="C3" t="s">
        <v>41</v>
      </c>
      <c r="D3" s="22"/>
      <c r="E3" s="23" t="str">
        <f t="shared" si="0"/>
        <v>Lai 2024-09</v>
      </c>
      <c r="F3" s="24">
        <f t="shared" si="1"/>
        <v>-12954208</v>
      </c>
      <c r="G3" s="25" t="str">
        <f t="shared" si="2"/>
        <v>Lai phat sinh</v>
      </c>
    </row>
    <row r="4" spans="1:26" x14ac:dyDescent="0.3">
      <c r="A4" s="48">
        <v>45576</v>
      </c>
      <c r="B4" s="31">
        <v>-1474520.55</v>
      </c>
      <c r="C4" t="s">
        <v>41</v>
      </c>
      <c r="D4" s="22"/>
      <c r="E4" s="23" t="str">
        <f t="shared" si="0"/>
        <v>Lai 2024-09</v>
      </c>
      <c r="F4" s="24">
        <f t="shared" si="1"/>
        <v>-12954208</v>
      </c>
      <c r="G4" s="25" t="str">
        <f t="shared" si="2"/>
        <v>Lai phat sinh</v>
      </c>
    </row>
    <row r="5" spans="1:26" x14ac:dyDescent="0.3">
      <c r="A5" s="48">
        <v>45546</v>
      </c>
      <c r="B5" s="31">
        <v>-11422972.73</v>
      </c>
      <c r="C5" t="s">
        <v>41</v>
      </c>
      <c r="D5" s="7"/>
      <c r="E5" s="23" t="str">
        <f t="shared" si="0"/>
        <v>Lai 2024-08</v>
      </c>
      <c r="F5" s="24">
        <f t="shared" si="1"/>
        <v>-12990160</v>
      </c>
      <c r="G5" s="25" t="str">
        <f t="shared" si="2"/>
        <v>Lai phat sinh</v>
      </c>
    </row>
    <row r="6" spans="1:26" x14ac:dyDescent="0.3">
      <c r="A6" s="48">
        <v>45546</v>
      </c>
      <c r="B6" s="31">
        <v>-43515.9</v>
      </c>
      <c r="C6" t="s">
        <v>41</v>
      </c>
      <c r="D6" s="22"/>
      <c r="E6" s="23" t="str">
        <f t="shared" si="0"/>
        <v>Lai 2024-08</v>
      </c>
      <c r="F6" s="24">
        <f t="shared" si="1"/>
        <v>-12990160</v>
      </c>
      <c r="G6" s="25" t="str">
        <f t="shared" si="2"/>
        <v>Lai phat sinh</v>
      </c>
    </row>
    <row r="7" spans="1:26" x14ac:dyDescent="0.3">
      <c r="A7" s="48">
        <v>45546</v>
      </c>
      <c r="B7" s="31">
        <v>-1523671.23</v>
      </c>
      <c r="C7" t="s">
        <v>41</v>
      </c>
      <c r="D7" s="22"/>
      <c r="E7" s="23" t="str">
        <f t="shared" si="0"/>
        <v>Lai 2024-08</v>
      </c>
      <c r="F7" s="24">
        <f t="shared" si="1"/>
        <v>-12990160</v>
      </c>
      <c r="G7" s="25" t="str">
        <f t="shared" si="2"/>
        <v>Lai phat sinh</v>
      </c>
    </row>
    <row r="8" spans="1:26" x14ac:dyDescent="0.3">
      <c r="A8" s="48">
        <v>45515</v>
      </c>
      <c r="B8" s="31">
        <v>-11038824.390000001</v>
      </c>
      <c r="C8" t="s">
        <v>41</v>
      </c>
      <c r="D8" s="22"/>
      <c r="E8" s="23" t="str">
        <f t="shared" si="0"/>
        <v>Lai 2024-07</v>
      </c>
      <c r="F8" s="24">
        <f t="shared" si="1"/>
        <v>-12606012</v>
      </c>
      <c r="G8" s="25" t="str">
        <f t="shared" si="2"/>
        <v>Lai phat sinh</v>
      </c>
    </row>
    <row r="9" spans="1:26" x14ac:dyDescent="0.3">
      <c r="A9" s="48">
        <v>45515</v>
      </c>
      <c r="B9" s="31">
        <v>-43515.9</v>
      </c>
      <c r="C9" t="s">
        <v>41</v>
      </c>
      <c r="D9" s="22"/>
      <c r="E9" s="23" t="str">
        <f t="shared" si="0"/>
        <v>Lai 2024-07</v>
      </c>
      <c r="F9" s="24">
        <f t="shared" si="1"/>
        <v>-12606012</v>
      </c>
      <c r="G9" s="25" t="str">
        <f t="shared" si="2"/>
        <v>Lai phat sinh</v>
      </c>
    </row>
    <row r="10" spans="1:26" x14ac:dyDescent="0.3">
      <c r="A10" s="48">
        <v>45515</v>
      </c>
      <c r="B10" s="31">
        <v>-1523671.23</v>
      </c>
      <c r="C10" t="s">
        <v>41</v>
      </c>
      <c r="D10" s="22"/>
      <c r="E10" s="23" t="str">
        <f t="shared" si="0"/>
        <v>Lai 2024-07</v>
      </c>
      <c r="F10" s="24">
        <f t="shared" si="1"/>
        <v>-12606012</v>
      </c>
      <c r="G10" s="25" t="str">
        <f t="shared" si="2"/>
        <v>Lai phat sinh</v>
      </c>
    </row>
    <row r="11" spans="1:26" ht="16.5" customHeight="1" x14ac:dyDescent="0.3">
      <c r="A11" s="48">
        <v>45484</v>
      </c>
      <c r="B11" s="31">
        <v>-10333274.640000001</v>
      </c>
      <c r="C11" t="s">
        <v>41</v>
      </c>
      <c r="D11" s="22"/>
      <c r="E11" s="23" t="str">
        <f t="shared" si="0"/>
        <v>Lai 2024-06</v>
      </c>
      <c r="F11" s="24">
        <f t="shared" si="1"/>
        <v>-11849907</v>
      </c>
      <c r="G11" s="25" t="str">
        <f t="shared" si="2"/>
        <v>Lai phat sinh</v>
      </c>
    </row>
    <row r="12" spans="1:26" x14ac:dyDescent="0.3">
      <c r="A12" s="48">
        <v>45484</v>
      </c>
      <c r="B12" s="31">
        <v>-42112.160000000003</v>
      </c>
      <c r="C12" t="s">
        <v>41</v>
      </c>
      <c r="D12" s="22"/>
      <c r="E12" s="23" t="str">
        <f t="shared" si="0"/>
        <v>Lai 2024-06</v>
      </c>
      <c r="F12" s="24">
        <f t="shared" si="1"/>
        <v>-11849907</v>
      </c>
      <c r="G12" s="25" t="str">
        <f t="shared" si="2"/>
        <v>Lai phat sinh</v>
      </c>
    </row>
    <row r="13" spans="1:26" x14ac:dyDescent="0.3">
      <c r="A13" s="48">
        <v>45484</v>
      </c>
      <c r="B13" s="31">
        <v>-1474520.55</v>
      </c>
      <c r="C13" t="s">
        <v>41</v>
      </c>
      <c r="D13" s="22"/>
      <c r="E13" s="23" t="str">
        <f t="shared" si="0"/>
        <v>Lai 2024-06</v>
      </c>
      <c r="F13" s="24">
        <f t="shared" si="1"/>
        <v>-11849907</v>
      </c>
      <c r="G13" s="25" t="str">
        <f t="shared" si="2"/>
        <v>Lai phat sinh</v>
      </c>
    </row>
    <row r="14" spans="1:26" x14ac:dyDescent="0.3">
      <c r="A14" s="48">
        <v>45454</v>
      </c>
      <c r="B14" s="31">
        <v>-10315607.68</v>
      </c>
      <c r="C14" t="s">
        <v>41</v>
      </c>
      <c r="D14" s="22"/>
      <c r="E14" s="23" t="str">
        <f t="shared" si="0"/>
        <v>Lai 2024-05</v>
      </c>
      <c r="F14" s="24">
        <f t="shared" si="1"/>
        <v>-11882795</v>
      </c>
      <c r="G14" s="25" t="str">
        <f t="shared" si="2"/>
        <v>Lai phat sinh</v>
      </c>
    </row>
    <row r="15" spans="1:26" x14ac:dyDescent="0.3">
      <c r="A15" s="48">
        <v>45454</v>
      </c>
      <c r="B15" s="31">
        <v>-43515.9</v>
      </c>
      <c r="C15" t="s">
        <v>41</v>
      </c>
      <c r="D15" s="22"/>
      <c r="E15" s="23" t="str">
        <f t="shared" si="0"/>
        <v>Lai 2024-05</v>
      </c>
      <c r="F15" s="24">
        <f t="shared" si="1"/>
        <v>-11882795</v>
      </c>
      <c r="G15" s="25" t="str">
        <f t="shared" si="2"/>
        <v>Lai phat sinh</v>
      </c>
    </row>
    <row r="16" spans="1:26" x14ac:dyDescent="0.3">
      <c r="A16" s="48">
        <v>45454</v>
      </c>
      <c r="B16" s="31">
        <v>-1523671.23</v>
      </c>
      <c r="C16" t="s">
        <v>41</v>
      </c>
      <c r="D16" s="22"/>
      <c r="E16" s="23" t="str">
        <f t="shared" si="0"/>
        <v>Lai 2024-05</v>
      </c>
      <c r="F16" s="24">
        <f t="shared" si="1"/>
        <v>-11882795</v>
      </c>
      <c r="G16" s="25" t="str">
        <f t="shared" si="2"/>
        <v>Lai phat sinh</v>
      </c>
    </row>
    <row r="17" spans="1:7" x14ac:dyDescent="0.3">
      <c r="A17" s="48">
        <v>45423</v>
      </c>
      <c r="B17" s="31">
        <v>-9653436.2200000007</v>
      </c>
      <c r="C17" t="s">
        <v>41</v>
      </c>
      <c r="D17" s="22"/>
      <c r="E17" s="23" t="str">
        <f t="shared" si="0"/>
        <v>Lai 2024-04</v>
      </c>
      <c r="F17" s="24">
        <f t="shared" si="1"/>
        <v>-11170069</v>
      </c>
      <c r="G17" s="25" t="str">
        <f t="shared" si="2"/>
        <v>Lai phat sinh</v>
      </c>
    </row>
    <row r="18" spans="1:7" x14ac:dyDescent="0.3">
      <c r="A18" s="48">
        <v>45423</v>
      </c>
      <c r="B18" s="31">
        <v>-42112.160000000003</v>
      </c>
      <c r="C18" t="s">
        <v>41</v>
      </c>
      <c r="D18" s="22"/>
      <c r="E18" s="23" t="str">
        <f t="shared" si="0"/>
        <v>Lai 2024-04</v>
      </c>
      <c r="F18" s="24">
        <f t="shared" si="1"/>
        <v>-11170069</v>
      </c>
      <c r="G18" s="25" t="str">
        <f t="shared" si="2"/>
        <v>Lai phat sinh</v>
      </c>
    </row>
    <row r="19" spans="1:7" x14ac:dyDescent="0.3">
      <c r="A19" s="48">
        <v>45423</v>
      </c>
      <c r="B19" s="31">
        <v>-1474520.55</v>
      </c>
      <c r="C19" t="s">
        <v>41</v>
      </c>
      <c r="D19" s="22"/>
      <c r="E19" s="23" t="str">
        <f t="shared" si="0"/>
        <v>Lai 2024-04</v>
      </c>
      <c r="F19" s="24">
        <f t="shared" si="1"/>
        <v>-11170069</v>
      </c>
      <c r="G19" s="25" t="str">
        <f t="shared" si="2"/>
        <v>Lai phat sinh</v>
      </c>
    </row>
    <row r="20" spans="1:7" x14ac:dyDescent="0.3">
      <c r="A20" s="48">
        <v>45393</v>
      </c>
      <c r="B20" s="31">
        <v>-9633882.4700000007</v>
      </c>
      <c r="C20" t="s">
        <v>41</v>
      </c>
      <c r="D20" s="17"/>
      <c r="E20" s="23" t="str">
        <f t="shared" si="0"/>
        <v>Lai 2024-03</v>
      </c>
      <c r="F20" s="24">
        <f t="shared" si="1"/>
        <v>-11201070</v>
      </c>
      <c r="G20" s="25" t="str">
        <f t="shared" si="2"/>
        <v>Lai phat sinh</v>
      </c>
    </row>
    <row r="21" spans="1:7" x14ac:dyDescent="0.3">
      <c r="A21" s="48">
        <v>45393</v>
      </c>
      <c r="B21" s="31">
        <v>-43515.9</v>
      </c>
      <c r="C21" t="s">
        <v>41</v>
      </c>
      <c r="D21" s="17"/>
      <c r="E21" s="23" t="str">
        <f t="shared" si="0"/>
        <v>Lai 2024-03</v>
      </c>
      <c r="F21" s="24">
        <f t="shared" si="1"/>
        <v>-11201070</v>
      </c>
      <c r="G21" s="25" t="str">
        <f t="shared" si="2"/>
        <v>Lai phat sinh</v>
      </c>
    </row>
    <row r="22" spans="1:7" x14ac:dyDescent="0.3">
      <c r="A22" s="48">
        <v>45393</v>
      </c>
      <c r="B22" s="31">
        <v>-1523671.23</v>
      </c>
      <c r="C22" t="s">
        <v>41</v>
      </c>
      <c r="D22" s="17"/>
      <c r="E22" s="23" t="str">
        <f t="shared" si="0"/>
        <v>Lai 2024-03</v>
      </c>
      <c r="F22" s="24">
        <f t="shared" si="1"/>
        <v>-11201070</v>
      </c>
      <c r="G22" s="25" t="str">
        <f t="shared" si="2"/>
        <v>Lai phat sinh</v>
      </c>
    </row>
    <row r="23" spans="1:7" x14ac:dyDescent="0.3">
      <c r="A23" s="48">
        <v>45362</v>
      </c>
      <c r="B23" s="31">
        <v>-8721908.6799999997</v>
      </c>
      <c r="C23" t="s">
        <v>41</v>
      </c>
      <c r="D23" s="22"/>
      <c r="E23" s="23" t="str">
        <f t="shared" si="0"/>
        <v>Lai 2024-02</v>
      </c>
      <c r="F23" s="24">
        <f t="shared" si="1"/>
        <v>-10187987</v>
      </c>
      <c r="G23" s="25" t="str">
        <f t="shared" si="2"/>
        <v>Lai phat sinh</v>
      </c>
    </row>
    <row r="24" spans="1:7" x14ac:dyDescent="0.3">
      <c r="A24" s="48">
        <v>45362</v>
      </c>
      <c r="B24" s="31">
        <v>-40708.42</v>
      </c>
      <c r="C24" t="s">
        <v>41</v>
      </c>
      <c r="D24" s="22"/>
      <c r="E24" s="23" t="str">
        <f t="shared" si="0"/>
        <v>Lai 2024-02</v>
      </c>
      <c r="F24" s="24">
        <f t="shared" si="1"/>
        <v>-10187987</v>
      </c>
      <c r="G24" s="25" t="str">
        <f t="shared" si="2"/>
        <v>Lai phat sinh</v>
      </c>
    </row>
    <row r="25" spans="1:7" x14ac:dyDescent="0.3">
      <c r="A25" s="48">
        <v>45362</v>
      </c>
      <c r="B25" s="31">
        <v>-1425369.86</v>
      </c>
      <c r="C25" t="s">
        <v>41</v>
      </c>
      <c r="D25" s="22"/>
      <c r="E25" s="23" t="str">
        <f t="shared" si="0"/>
        <v>Lai 2024-02</v>
      </c>
      <c r="F25" s="24">
        <f t="shared" si="1"/>
        <v>-10187987</v>
      </c>
      <c r="G25" s="25" t="str">
        <f t="shared" si="2"/>
        <v>Lai phat sinh</v>
      </c>
    </row>
    <row r="26" spans="1:7" x14ac:dyDescent="0.3">
      <c r="A26" s="48">
        <v>45333</v>
      </c>
      <c r="B26" s="31">
        <v>-9001359.8000000007</v>
      </c>
      <c r="C26" t="s">
        <v>41</v>
      </c>
      <c r="D26" s="22"/>
      <c r="E26" s="23" t="str">
        <f t="shared" si="0"/>
        <v>Lai 2024-01</v>
      </c>
      <c r="F26" s="24">
        <f t="shared" si="1"/>
        <v>-10568547</v>
      </c>
      <c r="G26" s="25" t="str">
        <f t="shared" si="2"/>
        <v>Lai phat sinh</v>
      </c>
    </row>
    <row r="27" spans="1:7" x14ac:dyDescent="0.3">
      <c r="A27" s="48">
        <v>45333</v>
      </c>
      <c r="B27" s="31">
        <v>-43515.9</v>
      </c>
      <c r="C27" t="s">
        <v>41</v>
      </c>
      <c r="D27" s="22"/>
      <c r="E27" s="23" t="str">
        <f t="shared" si="0"/>
        <v>Lai 2024-01</v>
      </c>
      <c r="F27" s="24">
        <f t="shared" si="1"/>
        <v>-10568547</v>
      </c>
      <c r="G27" s="25" t="str">
        <f t="shared" si="2"/>
        <v>Lai phat sinh</v>
      </c>
    </row>
    <row r="28" spans="1:7" x14ac:dyDescent="0.3">
      <c r="A28" s="48">
        <v>45333</v>
      </c>
      <c r="B28" s="31">
        <v>-1523671.23</v>
      </c>
      <c r="C28" t="s">
        <v>41</v>
      </c>
      <c r="D28" s="22"/>
      <c r="E28" s="23" t="str">
        <f t="shared" si="0"/>
        <v>Lai 2024-01</v>
      </c>
      <c r="F28" s="24">
        <f t="shared" si="1"/>
        <v>-10568547</v>
      </c>
      <c r="G28" s="25" t="str">
        <f t="shared" si="2"/>
        <v>Lai phat sinh</v>
      </c>
    </row>
    <row r="29" spans="1:7" x14ac:dyDescent="0.3">
      <c r="A29" s="48">
        <v>45302</v>
      </c>
      <c r="B29" s="31">
        <v>-8688824.0199999996</v>
      </c>
      <c r="C29" t="s">
        <v>41</v>
      </c>
      <c r="D29" s="22"/>
      <c r="E29" s="23" t="str">
        <f t="shared" si="0"/>
        <v>Lai 2023-12</v>
      </c>
      <c r="F29" s="24">
        <f t="shared" si="1"/>
        <v>-10256011</v>
      </c>
      <c r="G29" s="25" t="str">
        <f t="shared" si="2"/>
        <v>Lai phat sinh</v>
      </c>
    </row>
    <row r="30" spans="1:7" x14ac:dyDescent="0.3">
      <c r="A30" s="48">
        <v>45302</v>
      </c>
      <c r="B30" s="31">
        <v>-43515.9</v>
      </c>
      <c r="C30" t="s">
        <v>41</v>
      </c>
      <c r="D30" s="22"/>
      <c r="E30" s="23" t="str">
        <f t="shared" si="0"/>
        <v>Lai 2023-12</v>
      </c>
      <c r="F30" s="24">
        <f t="shared" si="1"/>
        <v>-10256011</v>
      </c>
      <c r="G30" s="25" t="str">
        <f t="shared" si="2"/>
        <v>Lai phat sinh</v>
      </c>
    </row>
    <row r="31" spans="1:7" x14ac:dyDescent="0.3">
      <c r="A31" s="48">
        <v>45302</v>
      </c>
      <c r="B31" s="31">
        <v>-1523671.23</v>
      </c>
      <c r="C31" t="s">
        <v>41</v>
      </c>
      <c r="D31" s="22"/>
      <c r="E31" s="23" t="str">
        <f t="shared" si="0"/>
        <v>Lai 2023-12</v>
      </c>
      <c r="F31" s="24">
        <f t="shared" si="1"/>
        <v>-10256011</v>
      </c>
      <c r="G31" s="25" t="str">
        <f t="shared" si="2"/>
        <v>Lai phat sinh</v>
      </c>
    </row>
    <row r="32" spans="1:7" x14ac:dyDescent="0.3">
      <c r="A32" s="48">
        <v>45271</v>
      </c>
      <c r="B32" s="31">
        <v>-8124226.4699999997</v>
      </c>
      <c r="C32" t="s">
        <v>41</v>
      </c>
      <c r="D32" s="22"/>
      <c r="E32" s="23" t="str">
        <f t="shared" si="0"/>
        <v>Lai 2023-11</v>
      </c>
      <c r="F32" s="24">
        <f t="shared" si="1"/>
        <v>-9640859</v>
      </c>
      <c r="G32" s="25" t="str">
        <f t="shared" si="2"/>
        <v>Lai phat sinh</v>
      </c>
    </row>
    <row r="33" spans="1:7" x14ac:dyDescent="0.3">
      <c r="A33" s="48">
        <v>45271</v>
      </c>
      <c r="B33" s="31">
        <v>-42112.160000000003</v>
      </c>
      <c r="C33" t="s">
        <v>41</v>
      </c>
      <c r="D33" s="22"/>
      <c r="E33" s="23" t="str">
        <f t="shared" si="0"/>
        <v>Lai 2023-11</v>
      </c>
      <c r="F33" s="24">
        <f t="shared" si="1"/>
        <v>-9640859</v>
      </c>
      <c r="G33" s="25" t="str">
        <f t="shared" si="2"/>
        <v>Lai phat sinh</v>
      </c>
    </row>
    <row r="34" spans="1:7" x14ac:dyDescent="0.3">
      <c r="A34" s="48">
        <v>45271</v>
      </c>
      <c r="B34" s="31">
        <v>-1474520.55</v>
      </c>
      <c r="C34" t="s">
        <v>41</v>
      </c>
      <c r="D34" s="22"/>
      <c r="E34" s="23" t="str">
        <f t="shared" si="0"/>
        <v>Lai 2023-11</v>
      </c>
      <c r="F34" s="24">
        <f t="shared" si="1"/>
        <v>-9640859</v>
      </c>
      <c r="G34" s="25" t="str">
        <f t="shared" si="2"/>
        <v>Lai phat sinh</v>
      </c>
    </row>
    <row r="35" spans="1:7" x14ac:dyDescent="0.3">
      <c r="A35" s="48">
        <v>45241</v>
      </c>
      <c r="B35" s="31">
        <v>-8100428.6600000001</v>
      </c>
      <c r="C35" t="s">
        <v>41</v>
      </c>
      <c r="D35" s="22"/>
      <c r="E35" s="23" t="str">
        <f t="shared" si="0"/>
        <v>Lai 2023-10</v>
      </c>
      <c r="F35" s="24">
        <f t="shared" si="1"/>
        <v>-9667616</v>
      </c>
      <c r="G35" s="25" t="str">
        <f t="shared" si="2"/>
        <v>Lai phat sinh</v>
      </c>
    </row>
    <row r="36" spans="1:7" x14ac:dyDescent="0.3">
      <c r="A36" s="48">
        <v>45241</v>
      </c>
      <c r="B36" s="31">
        <v>-43515.9</v>
      </c>
      <c r="C36" t="s">
        <v>41</v>
      </c>
      <c r="D36" s="22"/>
      <c r="E36" s="23" t="str">
        <f t="shared" si="0"/>
        <v>Lai 2023-10</v>
      </c>
      <c r="F36" s="24">
        <f t="shared" si="1"/>
        <v>-9667616</v>
      </c>
      <c r="G36" s="25" t="str">
        <f t="shared" si="2"/>
        <v>Lai phat sinh</v>
      </c>
    </row>
    <row r="37" spans="1:7" x14ac:dyDescent="0.3">
      <c r="A37" s="48">
        <v>45241</v>
      </c>
      <c r="B37" s="31">
        <v>-1523671.23</v>
      </c>
      <c r="C37" t="s">
        <v>41</v>
      </c>
      <c r="D37" s="22"/>
      <c r="E37" s="23" t="str">
        <f t="shared" si="0"/>
        <v>Lai 2023-10</v>
      </c>
      <c r="F37" s="24">
        <f t="shared" si="1"/>
        <v>-9667616</v>
      </c>
      <c r="G37" s="25" t="str">
        <f t="shared" si="2"/>
        <v>Lai phat sinh</v>
      </c>
    </row>
    <row r="38" spans="1:7" x14ac:dyDescent="0.3">
      <c r="A38" s="48">
        <v>45210</v>
      </c>
      <c r="B38" s="31">
        <v>-7571122.8600000003</v>
      </c>
      <c r="C38" t="s">
        <v>41</v>
      </c>
      <c r="D38" s="22"/>
      <c r="E38" s="23" t="str">
        <f t="shared" si="0"/>
        <v>Lai 2023-09</v>
      </c>
      <c r="F38" s="24">
        <f t="shared" si="1"/>
        <v>-9087756</v>
      </c>
      <c r="G38" s="25" t="str">
        <f t="shared" si="2"/>
        <v>Lai phat sinh</v>
      </c>
    </row>
    <row r="39" spans="1:7" x14ac:dyDescent="0.3">
      <c r="A39" s="48">
        <v>45210</v>
      </c>
      <c r="B39" s="31">
        <v>-42112.160000000003</v>
      </c>
      <c r="C39" t="s">
        <v>41</v>
      </c>
      <c r="D39" s="22"/>
      <c r="E39" s="23" t="str">
        <f t="shared" si="0"/>
        <v>Lai 2023-09</v>
      </c>
      <c r="F39" s="24">
        <f t="shared" si="1"/>
        <v>-9087756</v>
      </c>
      <c r="G39" s="25" t="str">
        <f t="shared" si="2"/>
        <v>Lai phat sinh</v>
      </c>
    </row>
    <row r="40" spans="1:7" x14ac:dyDescent="0.3">
      <c r="A40" s="48">
        <v>45210</v>
      </c>
      <c r="B40" s="31">
        <v>-1474520.55</v>
      </c>
      <c r="C40" t="s">
        <v>41</v>
      </c>
      <c r="D40" s="17"/>
      <c r="E40" s="23" t="str">
        <f t="shared" si="0"/>
        <v>Lai 2023-09</v>
      </c>
      <c r="F40" s="24">
        <f t="shared" si="1"/>
        <v>-9087756</v>
      </c>
      <c r="G40" s="25" t="str">
        <f t="shared" si="2"/>
        <v>Lai phat sinh</v>
      </c>
    </row>
    <row r="41" spans="1:7" x14ac:dyDescent="0.3">
      <c r="A41" s="48">
        <v>45180</v>
      </c>
      <c r="B41" s="31">
        <v>-7545790</v>
      </c>
      <c r="C41" t="s">
        <v>41</v>
      </c>
      <c r="D41" s="17"/>
      <c r="E41" s="23" t="str">
        <f t="shared" si="0"/>
        <v>Lai 2023-08</v>
      </c>
      <c r="F41" s="24">
        <f t="shared" si="1"/>
        <v>-9112977</v>
      </c>
      <c r="G41" s="25" t="str">
        <f t="shared" si="2"/>
        <v>Lai phat sinh</v>
      </c>
    </row>
    <row r="42" spans="1:7" x14ac:dyDescent="0.3">
      <c r="A42" s="48">
        <v>45180</v>
      </c>
      <c r="B42" s="31">
        <v>-43515.9</v>
      </c>
      <c r="C42" t="s">
        <v>41</v>
      </c>
      <c r="D42" s="22"/>
      <c r="E42" s="23" t="str">
        <f t="shared" si="0"/>
        <v>Lai 2023-08</v>
      </c>
      <c r="F42" s="24">
        <f t="shared" si="1"/>
        <v>-9112977</v>
      </c>
      <c r="G42" s="25" t="str">
        <f t="shared" si="2"/>
        <v>Lai phat sinh</v>
      </c>
    </row>
    <row r="43" spans="1:7" x14ac:dyDescent="0.3">
      <c r="A43" s="48">
        <v>45180</v>
      </c>
      <c r="B43" s="31">
        <v>-1523671.23</v>
      </c>
      <c r="C43" t="s">
        <v>41</v>
      </c>
      <c r="D43" s="17"/>
      <c r="E43" s="23" t="str">
        <f t="shared" si="0"/>
        <v>Lai 2023-08</v>
      </c>
      <c r="F43" s="24">
        <f t="shared" si="1"/>
        <v>-9112977</v>
      </c>
      <c r="G43" s="25" t="str">
        <f t="shared" si="2"/>
        <v>Lai phat sinh</v>
      </c>
    </row>
    <row r="44" spans="1:7" x14ac:dyDescent="0.3">
      <c r="A44" s="48">
        <v>45149</v>
      </c>
      <c r="B44" s="31">
        <v>-7276298.7000000002</v>
      </c>
      <c r="C44" t="s">
        <v>41</v>
      </c>
      <c r="D44" s="17"/>
      <c r="E44" s="23" t="str">
        <f t="shared" si="0"/>
        <v>Lai 2023-07</v>
      </c>
      <c r="F44" s="24">
        <f t="shared" si="1"/>
        <v>-8843486</v>
      </c>
      <c r="G44" s="25" t="str">
        <f t="shared" si="2"/>
        <v>Lai phat sinh</v>
      </c>
    </row>
    <row r="45" spans="1:7" x14ac:dyDescent="0.3">
      <c r="A45" s="48">
        <v>45149</v>
      </c>
      <c r="B45" s="31">
        <v>-43515.9</v>
      </c>
      <c r="C45" t="s">
        <v>41</v>
      </c>
      <c r="D45" s="17"/>
      <c r="E45" s="23" t="str">
        <f t="shared" si="0"/>
        <v>Lai 2023-07</v>
      </c>
      <c r="F45" s="24">
        <f t="shared" si="1"/>
        <v>-8843486</v>
      </c>
      <c r="G45" s="25" t="str">
        <f t="shared" si="2"/>
        <v>Lai phat sinh</v>
      </c>
    </row>
    <row r="46" spans="1:7" x14ac:dyDescent="0.3">
      <c r="A46" s="48">
        <v>45149</v>
      </c>
      <c r="B46" s="31">
        <v>-1523671.23</v>
      </c>
      <c r="C46" t="s">
        <v>41</v>
      </c>
      <c r="D46" s="17"/>
      <c r="E46" s="23" t="str">
        <f t="shared" si="0"/>
        <v>Lai 2023-07</v>
      </c>
      <c r="F46" s="24">
        <f t="shared" si="1"/>
        <v>-8843486</v>
      </c>
      <c r="G46" s="25" t="str">
        <f t="shared" si="2"/>
        <v>Lai phat sinh</v>
      </c>
    </row>
    <row r="47" spans="1:7" x14ac:dyDescent="0.3">
      <c r="A47" s="48">
        <v>45118</v>
      </c>
      <c r="B47" s="31">
        <v>-6796423.9299999997</v>
      </c>
      <c r="C47" t="s">
        <v>41</v>
      </c>
      <c r="D47" s="17"/>
      <c r="E47" s="23" t="str">
        <f t="shared" si="0"/>
        <v>Lai 2023-06</v>
      </c>
      <c r="F47" s="24">
        <f t="shared" si="1"/>
        <v>-8313057</v>
      </c>
      <c r="G47" s="25" t="str">
        <f t="shared" si="2"/>
        <v>Lai phat sinh</v>
      </c>
    </row>
    <row r="48" spans="1:7" x14ac:dyDescent="0.3">
      <c r="A48" s="48">
        <v>45118</v>
      </c>
      <c r="B48" s="31">
        <v>-42112.160000000003</v>
      </c>
      <c r="C48" t="s">
        <v>41</v>
      </c>
      <c r="D48" s="17"/>
      <c r="E48" s="23" t="str">
        <f t="shared" si="0"/>
        <v>Lai 2023-06</v>
      </c>
      <c r="F48" s="24">
        <f t="shared" si="1"/>
        <v>-8313057</v>
      </c>
      <c r="G48" s="25" t="str">
        <f t="shared" si="2"/>
        <v>Lai phat sinh</v>
      </c>
    </row>
    <row r="49" spans="1:7" x14ac:dyDescent="0.3">
      <c r="A49" s="48">
        <v>45118</v>
      </c>
      <c r="B49" s="31">
        <v>-1474520.55</v>
      </c>
      <c r="C49" t="s">
        <v>41</v>
      </c>
      <c r="D49" s="17"/>
      <c r="E49" s="23" t="str">
        <f t="shared" si="0"/>
        <v>Lai 2023-06</v>
      </c>
      <c r="F49" s="24">
        <f t="shared" si="1"/>
        <v>-8313057</v>
      </c>
      <c r="G49" s="25" t="str">
        <f t="shared" si="2"/>
        <v>Lai phat sinh</v>
      </c>
    </row>
    <row r="50" spans="1:7" x14ac:dyDescent="0.3">
      <c r="A50" s="48">
        <v>45088</v>
      </c>
      <c r="B50" s="31">
        <v>-6768941.0300000003</v>
      </c>
      <c r="C50" t="s">
        <v>41</v>
      </c>
      <c r="D50" s="22"/>
      <c r="E50" s="23" t="str">
        <f t="shared" si="0"/>
        <v>Lai 2023-05</v>
      </c>
      <c r="F50" s="24">
        <f t="shared" si="1"/>
        <v>-8336128</v>
      </c>
      <c r="G50" s="25" t="str">
        <f t="shared" si="2"/>
        <v>Lai phat sinh</v>
      </c>
    </row>
    <row r="51" spans="1:7" x14ac:dyDescent="0.3">
      <c r="A51" s="48">
        <v>45088</v>
      </c>
      <c r="B51" s="31">
        <v>-43515.9</v>
      </c>
      <c r="C51" t="s">
        <v>41</v>
      </c>
      <c r="D51" s="22"/>
      <c r="E51" s="23" t="str">
        <f t="shared" si="0"/>
        <v>Lai 2023-05</v>
      </c>
      <c r="F51" s="24">
        <f t="shared" si="1"/>
        <v>-8336128</v>
      </c>
      <c r="G51" s="25" t="str">
        <f t="shared" si="2"/>
        <v>Lai phat sinh</v>
      </c>
    </row>
    <row r="52" spans="1:7" x14ac:dyDescent="0.3">
      <c r="A52" s="48">
        <v>45088</v>
      </c>
      <c r="B52" s="31">
        <v>-1523671.23</v>
      </c>
      <c r="C52" t="s">
        <v>41</v>
      </c>
      <c r="D52" s="22"/>
      <c r="E52" s="23" t="str">
        <f t="shared" si="0"/>
        <v>Lai 2023-05</v>
      </c>
      <c r="F52" s="24">
        <f t="shared" si="1"/>
        <v>-8336128</v>
      </c>
      <c r="G52" s="25" t="str">
        <f t="shared" si="2"/>
        <v>Lai phat sinh</v>
      </c>
    </row>
    <row r="53" spans="1:7" x14ac:dyDescent="0.3">
      <c r="A53" s="48">
        <v>45057</v>
      </c>
      <c r="B53" s="31">
        <v>-6319497.3899999997</v>
      </c>
      <c r="C53" t="s">
        <v>41</v>
      </c>
      <c r="D53" s="22"/>
      <c r="E53" s="23" t="str">
        <f t="shared" si="0"/>
        <v>Lai 2023-04</v>
      </c>
      <c r="F53" s="24">
        <f t="shared" si="1"/>
        <v>-7836130</v>
      </c>
      <c r="G53" s="25" t="str">
        <f t="shared" si="2"/>
        <v>Lai phat sinh</v>
      </c>
    </row>
    <row r="54" spans="1:7" x14ac:dyDescent="0.3">
      <c r="A54" s="48">
        <v>45057</v>
      </c>
      <c r="B54" s="31">
        <v>-42112.160000000003</v>
      </c>
      <c r="C54" t="s">
        <v>41</v>
      </c>
      <c r="D54" s="22"/>
      <c r="E54" s="23" t="str">
        <f t="shared" si="0"/>
        <v>Lai 2023-04</v>
      </c>
      <c r="F54" s="24">
        <f t="shared" si="1"/>
        <v>-7836130</v>
      </c>
      <c r="G54" s="25" t="str">
        <f t="shared" si="2"/>
        <v>Lai phat sinh</v>
      </c>
    </row>
    <row r="55" spans="1:7" x14ac:dyDescent="0.3">
      <c r="A55" s="48">
        <v>45057</v>
      </c>
      <c r="B55" s="31">
        <v>-1474520.55</v>
      </c>
      <c r="C55" t="s">
        <v>41</v>
      </c>
      <c r="D55" s="17"/>
      <c r="E55" s="23" t="str">
        <f t="shared" si="0"/>
        <v>Lai 2023-04</v>
      </c>
      <c r="F55" s="24">
        <f t="shared" si="1"/>
        <v>-7836130</v>
      </c>
      <c r="G55" s="25" t="str">
        <f t="shared" si="2"/>
        <v>Lai phat sinh</v>
      </c>
    </row>
    <row r="56" spans="1:7" x14ac:dyDescent="0.3">
      <c r="A56" s="48">
        <v>45027</v>
      </c>
      <c r="B56" s="31">
        <v>-6290690.8499999996</v>
      </c>
      <c r="C56" t="s">
        <v>41</v>
      </c>
      <c r="D56" s="17"/>
      <c r="E56" s="23" t="str">
        <f t="shared" si="0"/>
        <v>Lai 2023-03</v>
      </c>
      <c r="F56" s="24">
        <f t="shared" si="1"/>
        <v>-7857878</v>
      </c>
      <c r="G56" s="25" t="str">
        <f t="shared" si="2"/>
        <v>Lai phat sinh</v>
      </c>
    </row>
    <row r="57" spans="1:7" x14ac:dyDescent="0.3">
      <c r="A57" s="48">
        <v>45027</v>
      </c>
      <c r="B57" s="31">
        <v>-43515.9</v>
      </c>
      <c r="C57" t="s">
        <v>41</v>
      </c>
      <c r="D57" s="17"/>
      <c r="E57" s="23" t="str">
        <f t="shared" si="0"/>
        <v>Lai 2023-03</v>
      </c>
      <c r="F57" s="24">
        <f t="shared" si="1"/>
        <v>-7857878</v>
      </c>
      <c r="G57" s="25" t="str">
        <f t="shared" si="2"/>
        <v>Lai phat sinh</v>
      </c>
    </row>
    <row r="58" spans="1:7" x14ac:dyDescent="0.3">
      <c r="A58" s="48">
        <v>45027</v>
      </c>
      <c r="B58" s="31">
        <v>-1523671.23</v>
      </c>
      <c r="C58" t="s">
        <v>41</v>
      </c>
      <c r="D58" s="17"/>
      <c r="E58" s="23" t="str">
        <f t="shared" si="0"/>
        <v>Lai 2023-03</v>
      </c>
      <c r="F58" s="24">
        <f t="shared" si="1"/>
        <v>-7857878</v>
      </c>
      <c r="G58" s="25" t="str">
        <f t="shared" si="2"/>
        <v>Lai phat sinh</v>
      </c>
    </row>
    <row r="59" spans="1:7" x14ac:dyDescent="0.3">
      <c r="A59" s="48">
        <v>44996</v>
      </c>
      <c r="B59" s="31">
        <v>-5491794.6299999999</v>
      </c>
      <c r="C59" t="s">
        <v>41</v>
      </c>
      <c r="D59" s="17"/>
      <c r="E59" s="23" t="str">
        <f t="shared" si="0"/>
        <v>Lai 2023-02</v>
      </c>
      <c r="F59" s="24">
        <f t="shared" si="1"/>
        <v>-6907318</v>
      </c>
      <c r="G59" s="25" t="str">
        <f t="shared" si="2"/>
        <v>Lai phat sinh</v>
      </c>
    </row>
    <row r="60" spans="1:7" x14ac:dyDescent="0.3">
      <c r="A60" s="48">
        <v>44996</v>
      </c>
      <c r="B60" s="31">
        <v>-39304.68</v>
      </c>
      <c r="C60" t="s">
        <v>41</v>
      </c>
      <c r="D60" s="22"/>
      <c r="E60" s="23" t="str">
        <f t="shared" si="0"/>
        <v>Lai 2023-02</v>
      </c>
      <c r="F60" s="24">
        <f t="shared" si="1"/>
        <v>-6907318</v>
      </c>
      <c r="G60" s="25" t="str">
        <f t="shared" si="2"/>
        <v>Lai phat sinh</v>
      </c>
    </row>
    <row r="61" spans="1:7" x14ac:dyDescent="0.3">
      <c r="A61" s="48">
        <v>44996</v>
      </c>
      <c r="B61" s="31">
        <v>-1376219.18</v>
      </c>
      <c r="C61" t="s">
        <v>41</v>
      </c>
      <c r="D61" s="22"/>
      <c r="E61" s="23" t="str">
        <f t="shared" si="0"/>
        <v>Lai 2023-02</v>
      </c>
      <c r="F61" s="24">
        <f t="shared" si="1"/>
        <v>-6907318</v>
      </c>
      <c r="G61" s="25" t="str">
        <f t="shared" si="2"/>
        <v>Lai phat sinh</v>
      </c>
    </row>
    <row r="62" spans="1:7" x14ac:dyDescent="0.3">
      <c r="A62" s="48">
        <v>44968</v>
      </c>
      <c r="B62" s="31">
        <v>-5854050.6699999999</v>
      </c>
      <c r="C62" t="s">
        <v>41</v>
      </c>
      <c r="D62" s="22"/>
      <c r="E62" s="23" t="str">
        <f t="shared" si="0"/>
        <v>Lai 2023-01</v>
      </c>
      <c r="F62" s="24">
        <f t="shared" si="1"/>
        <v>-7421238</v>
      </c>
      <c r="G62" s="25" t="str">
        <f t="shared" si="2"/>
        <v>Lai phat sinh</v>
      </c>
    </row>
    <row r="63" spans="1:7" x14ac:dyDescent="0.3">
      <c r="A63" s="48">
        <v>44968</v>
      </c>
      <c r="B63" s="31">
        <v>-43515.9</v>
      </c>
      <c r="C63" t="s">
        <v>41</v>
      </c>
      <c r="D63" s="22"/>
      <c r="E63" s="23" t="str">
        <f t="shared" si="0"/>
        <v>Lai 2023-01</v>
      </c>
      <c r="F63" s="24">
        <f t="shared" si="1"/>
        <v>-7421238</v>
      </c>
      <c r="G63" s="25" t="str">
        <f t="shared" si="2"/>
        <v>Lai phat sinh</v>
      </c>
    </row>
    <row r="64" spans="1:7" x14ac:dyDescent="0.3">
      <c r="A64" s="48">
        <v>44968</v>
      </c>
      <c r="B64" s="31">
        <v>-1523671.23</v>
      </c>
      <c r="C64" t="s">
        <v>41</v>
      </c>
      <c r="D64" s="22"/>
      <c r="E64" s="23" t="str">
        <f t="shared" si="0"/>
        <v>Lai 2023-01</v>
      </c>
      <c r="F64" s="24">
        <f t="shared" si="1"/>
        <v>-7421238</v>
      </c>
      <c r="G64" s="25" t="str">
        <f t="shared" si="2"/>
        <v>Lai phat sinh</v>
      </c>
    </row>
    <row r="65" spans="1:7" x14ac:dyDescent="0.3">
      <c r="A65" s="48">
        <v>44937</v>
      </c>
      <c r="B65" s="31">
        <v>-5634587.9199999999</v>
      </c>
      <c r="C65" t="s">
        <v>41</v>
      </c>
      <c r="D65" s="22"/>
      <c r="E65" s="23" t="str">
        <f t="shared" si="0"/>
        <v>Lai 2022-12</v>
      </c>
      <c r="F65" s="24">
        <f t="shared" si="1"/>
        <v>-7201775</v>
      </c>
      <c r="G65" s="25" t="str">
        <f t="shared" si="2"/>
        <v>Lai phat sinh</v>
      </c>
    </row>
    <row r="66" spans="1:7" x14ac:dyDescent="0.3">
      <c r="A66" s="48">
        <v>44937</v>
      </c>
      <c r="B66" s="31">
        <v>-43515.9</v>
      </c>
      <c r="C66" t="s">
        <v>41</v>
      </c>
      <c r="D66" s="22"/>
      <c r="E66" s="23" t="str">
        <f t="shared" ref="E66:E129" si="3">IF(OR(C66="Transaction",C66="Interests",C66="Misc",C66="Account Transfer"), IF(C66="Transaction", IF(B66&lt;0, "Du no", "Da thanh toan"), IF(C66="Interests", "Lai", IF(C66="Misc", "Phi", IF(C66="Account Transfer", IF(OR(ISNUMBER(SEARCH("Trich lai tra gop the TD", D66)), ISNUMBER(SEARCH("Chuyen lai tra gop con lai sang du no thong thuong khi BadDebt", D66))), IF(B66&lt;0, "Lai tra gop", ""), "" )))))) &amp; " " &amp; IF(C66="Interests", TEXT(EDATE(IF(DAY(A66)&gt;=11, A66, EDATE(A66,-1)), -1),"yyyy-mm"), TEXT(IF(DAY(A66)&gt;=11, A66, EDATE(A66,-1)),"yyyy-mm"))</f>
        <v>Lai 2022-12</v>
      </c>
      <c r="F66" s="24">
        <f t="shared" ref="F66:F129" si="4">IF(ISNUMBER(B66), ROUND(SUMIFS($B$2:$B$10000, $E$2:$E$10000, E66, $B$2:$B$10000, IF(B66&lt;0, "&lt;0", "&gt;0")), 0), "")</f>
        <v>-7201775</v>
      </c>
      <c r="G66" s="25" t="str">
        <f t="shared" ref="G66:G129" si="5">IF(F66&gt;0, IF(C66="Transaction", "Da thanh toan", "Duong"), IF(F66&lt;0, IF(C66="Transaction", "Du no", IF(C66="Interests", "Lai phat sinh", IF(C66="Misc", "Phi", IF(C66="Account Transfer", "Lai tra gop", "Am")))), "Bang 0"))</f>
        <v>Lai phat sinh</v>
      </c>
    </row>
    <row r="67" spans="1:7" x14ac:dyDescent="0.3">
      <c r="A67" s="48">
        <v>44937</v>
      </c>
      <c r="B67" s="31">
        <v>-1523671.23</v>
      </c>
      <c r="C67" t="s">
        <v>41</v>
      </c>
      <c r="D67" s="22"/>
      <c r="E67" s="23" t="str">
        <f t="shared" si="3"/>
        <v>Lai 2022-12</v>
      </c>
      <c r="F67" s="24">
        <f t="shared" si="4"/>
        <v>-7201775</v>
      </c>
      <c r="G67" s="25" t="str">
        <f t="shared" si="5"/>
        <v>Lai phat sinh</v>
      </c>
    </row>
    <row r="68" spans="1:7" x14ac:dyDescent="0.3">
      <c r="A68" s="48">
        <v>44906</v>
      </c>
      <c r="B68" s="31">
        <v>-5219332.78</v>
      </c>
      <c r="C68" t="s">
        <v>41</v>
      </c>
      <c r="D68" s="17"/>
      <c r="E68" s="23" t="str">
        <f t="shared" si="3"/>
        <v>Lai 2022-11</v>
      </c>
      <c r="F68" s="24">
        <f t="shared" si="4"/>
        <v>-6725821</v>
      </c>
      <c r="G68" s="25" t="str">
        <f t="shared" si="5"/>
        <v>Lai phat sinh</v>
      </c>
    </row>
    <row r="69" spans="1:7" x14ac:dyDescent="0.3">
      <c r="A69" s="48">
        <v>44906</v>
      </c>
      <c r="B69" s="31">
        <v>-41830.47</v>
      </c>
      <c r="C69" t="s">
        <v>41</v>
      </c>
      <c r="D69" s="17"/>
      <c r="E69" s="23" t="str">
        <f t="shared" si="3"/>
        <v>Lai 2022-11</v>
      </c>
      <c r="F69" s="24">
        <f t="shared" si="4"/>
        <v>-6725821</v>
      </c>
      <c r="G69" s="25" t="str">
        <f t="shared" si="5"/>
        <v>Lai phat sinh</v>
      </c>
    </row>
    <row r="70" spans="1:7" x14ac:dyDescent="0.3">
      <c r="A70" s="48">
        <v>44906</v>
      </c>
      <c r="B70" s="31">
        <v>-1464657.53</v>
      </c>
      <c r="C70" t="s">
        <v>41</v>
      </c>
      <c r="D70" s="17"/>
      <c r="E70" s="23" t="str">
        <f t="shared" si="3"/>
        <v>Lai 2022-11</v>
      </c>
      <c r="F70" s="24">
        <f t="shared" si="4"/>
        <v>-6725821</v>
      </c>
      <c r="G70" s="25" t="str">
        <f t="shared" si="5"/>
        <v>Lai phat sinh</v>
      </c>
    </row>
    <row r="71" spans="1:7" x14ac:dyDescent="0.3">
      <c r="A71" s="48">
        <v>44876</v>
      </c>
      <c r="B71" s="31">
        <v>-4885929.24</v>
      </c>
      <c r="C71" t="s">
        <v>41</v>
      </c>
      <c r="D71" s="17"/>
      <c r="E71" s="23" t="str">
        <f t="shared" si="3"/>
        <v>Lai 2022-10</v>
      </c>
      <c r="F71" s="24">
        <f t="shared" si="4"/>
        <v>-6348288</v>
      </c>
      <c r="G71" s="25" t="str">
        <f t="shared" si="5"/>
        <v>Lai phat sinh</v>
      </c>
    </row>
    <row r="72" spans="1:7" x14ac:dyDescent="0.3">
      <c r="A72" s="48">
        <v>44876</v>
      </c>
      <c r="B72" s="31">
        <v>-40605.14</v>
      </c>
      <c r="C72" t="s">
        <v>41</v>
      </c>
      <c r="D72" s="22"/>
      <c r="E72" s="23" t="str">
        <f t="shared" si="3"/>
        <v>Lai 2022-10</v>
      </c>
      <c r="F72" s="24">
        <f t="shared" si="4"/>
        <v>-6348288</v>
      </c>
      <c r="G72" s="25" t="str">
        <f t="shared" si="5"/>
        <v>Lai phat sinh</v>
      </c>
    </row>
    <row r="73" spans="1:7" x14ac:dyDescent="0.3">
      <c r="A73" s="48">
        <v>44876</v>
      </c>
      <c r="B73" s="31">
        <v>-1421753.42</v>
      </c>
      <c r="C73" t="s">
        <v>41</v>
      </c>
      <c r="D73" s="22"/>
      <c r="E73" s="23" t="str">
        <f t="shared" si="3"/>
        <v>Lai 2022-10</v>
      </c>
      <c r="F73" s="24">
        <f t="shared" si="4"/>
        <v>-6348288</v>
      </c>
      <c r="G73" s="25" t="str">
        <f t="shared" si="5"/>
        <v>Lai phat sinh</v>
      </c>
    </row>
    <row r="74" spans="1:7" x14ac:dyDescent="0.3">
      <c r="A74" s="48">
        <v>44845</v>
      </c>
      <c r="B74" s="31">
        <v>-4563790.3</v>
      </c>
      <c r="C74" t="s">
        <v>41</v>
      </c>
      <c r="D74" s="17"/>
      <c r="E74" s="23" t="str">
        <f t="shared" si="3"/>
        <v>Lai 2022-09</v>
      </c>
      <c r="F74" s="24">
        <f t="shared" si="4"/>
        <v>-5978976</v>
      </c>
      <c r="G74" s="25" t="str">
        <f t="shared" si="5"/>
        <v>Lai phat sinh</v>
      </c>
    </row>
    <row r="75" spans="1:7" x14ac:dyDescent="0.3">
      <c r="A75" s="48">
        <v>44845</v>
      </c>
      <c r="B75" s="31">
        <v>-39295.29</v>
      </c>
      <c r="C75" t="s">
        <v>41</v>
      </c>
      <c r="D75" s="17"/>
      <c r="E75" s="23" t="str">
        <f t="shared" si="3"/>
        <v>Lai 2022-09</v>
      </c>
      <c r="F75" s="24">
        <f t="shared" si="4"/>
        <v>-5978976</v>
      </c>
      <c r="G75" s="25" t="str">
        <f t="shared" si="5"/>
        <v>Lai phat sinh</v>
      </c>
    </row>
    <row r="76" spans="1:7" x14ac:dyDescent="0.3">
      <c r="A76" s="48">
        <v>44845</v>
      </c>
      <c r="B76" s="31">
        <v>-1375890.41</v>
      </c>
      <c r="C76" t="s">
        <v>41</v>
      </c>
      <c r="D76" s="17"/>
      <c r="E76" s="23" t="str">
        <f t="shared" si="3"/>
        <v>Lai 2022-09</v>
      </c>
      <c r="F76" s="24">
        <f t="shared" si="4"/>
        <v>-5978976</v>
      </c>
      <c r="G76" s="25" t="str">
        <f t="shared" si="5"/>
        <v>Lai phat sinh</v>
      </c>
    </row>
    <row r="77" spans="1:7" x14ac:dyDescent="0.3">
      <c r="A77" s="48">
        <v>44815</v>
      </c>
      <c r="B77" s="31">
        <v>-4545094.3099999996</v>
      </c>
      <c r="C77" t="s">
        <v>41</v>
      </c>
      <c r="D77" s="17"/>
      <c r="E77" s="23" t="str">
        <f t="shared" si="3"/>
        <v>Lai 2022-08</v>
      </c>
      <c r="F77" s="24">
        <f t="shared" si="4"/>
        <v>-6007453</v>
      </c>
      <c r="G77" s="25" t="str">
        <f t="shared" si="5"/>
        <v>Lai phat sinh</v>
      </c>
    </row>
    <row r="78" spans="1:7" x14ac:dyDescent="0.3">
      <c r="A78" s="48">
        <v>44815</v>
      </c>
      <c r="B78" s="31">
        <v>-40605.14</v>
      </c>
      <c r="C78" t="s">
        <v>41</v>
      </c>
      <c r="D78" s="17"/>
      <c r="E78" s="23" t="str">
        <f t="shared" si="3"/>
        <v>Lai 2022-08</v>
      </c>
      <c r="F78" s="24">
        <f t="shared" si="4"/>
        <v>-6007453</v>
      </c>
      <c r="G78" s="25" t="str">
        <f t="shared" si="5"/>
        <v>Lai phat sinh</v>
      </c>
    </row>
    <row r="79" spans="1:7" x14ac:dyDescent="0.3">
      <c r="A79" s="48">
        <v>44815</v>
      </c>
      <c r="B79" s="31">
        <v>-1421753.42</v>
      </c>
      <c r="C79" t="s">
        <v>41</v>
      </c>
      <c r="D79" s="17"/>
      <c r="E79" s="23" t="str">
        <f t="shared" si="3"/>
        <v>Lai 2022-08</v>
      </c>
      <c r="F79" s="24">
        <f t="shared" si="4"/>
        <v>-6007453</v>
      </c>
      <c r="G79" s="25" t="str">
        <f t="shared" si="5"/>
        <v>Lai phat sinh</v>
      </c>
    </row>
    <row r="80" spans="1:7" x14ac:dyDescent="0.3">
      <c r="A80" s="48">
        <v>44784</v>
      </c>
      <c r="B80" s="31">
        <v>-4378995.0199999996</v>
      </c>
      <c r="C80" t="s">
        <v>41</v>
      </c>
      <c r="D80" s="17"/>
      <c r="E80" s="23" t="str">
        <f t="shared" si="3"/>
        <v>Lai 2022-07</v>
      </c>
      <c r="F80" s="24">
        <f t="shared" si="4"/>
        <v>-5841354</v>
      </c>
      <c r="G80" s="25" t="str">
        <f t="shared" si="5"/>
        <v>Lai phat sinh</v>
      </c>
    </row>
    <row r="81" spans="1:7" x14ac:dyDescent="0.3">
      <c r="A81" s="48">
        <v>44784</v>
      </c>
      <c r="B81" s="31">
        <v>-40605.14</v>
      </c>
      <c r="C81" t="s">
        <v>41</v>
      </c>
      <c r="D81" s="17"/>
      <c r="E81" s="23" t="str">
        <f t="shared" si="3"/>
        <v>Lai 2022-07</v>
      </c>
      <c r="F81" s="24">
        <f t="shared" si="4"/>
        <v>-5841354</v>
      </c>
      <c r="G81" s="25" t="str">
        <f t="shared" si="5"/>
        <v>Lai phat sinh</v>
      </c>
    </row>
    <row r="82" spans="1:7" x14ac:dyDescent="0.3">
      <c r="A82" s="48">
        <v>44784</v>
      </c>
      <c r="B82" s="31">
        <v>-1421753.42</v>
      </c>
      <c r="C82" t="s">
        <v>41</v>
      </c>
      <c r="D82" s="17"/>
      <c r="E82" s="23" t="str">
        <f t="shared" si="3"/>
        <v>Lai 2022-07</v>
      </c>
      <c r="F82" s="24">
        <f t="shared" si="4"/>
        <v>-5841354</v>
      </c>
      <c r="G82" s="25" t="str">
        <f t="shared" si="5"/>
        <v>Lai phat sinh</v>
      </c>
    </row>
    <row r="83" spans="1:7" x14ac:dyDescent="0.3">
      <c r="A83" s="48">
        <v>44753</v>
      </c>
      <c r="B83" s="31">
        <v>-4086347</v>
      </c>
      <c r="C83" t="s">
        <v>41</v>
      </c>
      <c r="D83" s="17"/>
      <c r="E83" s="23" t="str">
        <f t="shared" si="3"/>
        <v>Lai 2022-06</v>
      </c>
      <c r="F83" s="24">
        <f t="shared" si="4"/>
        <v>-5501533</v>
      </c>
      <c r="G83" s="25" t="str">
        <f t="shared" si="5"/>
        <v>Lai phat sinh</v>
      </c>
    </row>
    <row r="84" spans="1:7" x14ac:dyDescent="0.3">
      <c r="A84" s="48">
        <v>44753</v>
      </c>
      <c r="B84" s="31">
        <v>-39295.29</v>
      </c>
      <c r="C84" t="s">
        <v>41</v>
      </c>
      <c r="D84" s="17"/>
      <c r="E84" s="23" t="str">
        <f t="shared" si="3"/>
        <v>Lai 2022-06</v>
      </c>
      <c r="F84" s="24">
        <f t="shared" si="4"/>
        <v>-5501533</v>
      </c>
      <c r="G84" s="25" t="str">
        <f t="shared" si="5"/>
        <v>Lai phat sinh</v>
      </c>
    </row>
    <row r="85" spans="1:7" x14ac:dyDescent="0.3">
      <c r="A85" s="48">
        <v>44753</v>
      </c>
      <c r="B85" s="31">
        <v>-1375890.41</v>
      </c>
      <c r="C85" t="s">
        <v>41</v>
      </c>
      <c r="D85" s="17"/>
      <c r="E85" s="23" t="str">
        <f t="shared" si="3"/>
        <v>Lai 2022-06</v>
      </c>
      <c r="F85" s="24">
        <f t="shared" si="4"/>
        <v>-5501533</v>
      </c>
      <c r="G85" s="25" t="str">
        <f t="shared" si="5"/>
        <v>Lai phat sinh</v>
      </c>
    </row>
    <row r="86" spans="1:7" x14ac:dyDescent="0.3">
      <c r="A86" s="48">
        <v>44723</v>
      </c>
      <c r="B86" s="31">
        <v>-4065377.02</v>
      </c>
      <c r="C86" t="s">
        <v>41</v>
      </c>
      <c r="D86" s="22"/>
      <c r="E86" s="23" t="str">
        <f t="shared" si="3"/>
        <v>Lai 2022-05</v>
      </c>
      <c r="F86" s="24">
        <f t="shared" si="4"/>
        <v>-5527736</v>
      </c>
      <c r="G86" s="25" t="str">
        <f t="shared" si="5"/>
        <v>Lai phat sinh</v>
      </c>
    </row>
    <row r="87" spans="1:7" x14ac:dyDescent="0.3">
      <c r="A87" s="48">
        <v>44723</v>
      </c>
      <c r="B87" s="31">
        <v>-40605.14</v>
      </c>
      <c r="C87" t="s">
        <v>41</v>
      </c>
      <c r="D87" s="17"/>
      <c r="E87" s="23" t="str">
        <f t="shared" si="3"/>
        <v>Lai 2022-05</v>
      </c>
      <c r="F87" s="24">
        <f t="shared" si="4"/>
        <v>-5527736</v>
      </c>
      <c r="G87" s="25" t="str">
        <f t="shared" si="5"/>
        <v>Lai phat sinh</v>
      </c>
    </row>
    <row r="88" spans="1:7" x14ac:dyDescent="0.3">
      <c r="A88" s="48">
        <v>44723</v>
      </c>
      <c r="B88" s="31">
        <v>-1421753.42</v>
      </c>
      <c r="C88" t="s">
        <v>41</v>
      </c>
      <c r="D88" s="17"/>
      <c r="E88" s="23" t="str">
        <f t="shared" si="3"/>
        <v>Lai 2022-05</v>
      </c>
      <c r="F88" s="24">
        <f t="shared" si="4"/>
        <v>-5527736</v>
      </c>
      <c r="G88" s="25" t="str">
        <f t="shared" si="5"/>
        <v>Lai phat sinh</v>
      </c>
    </row>
    <row r="89" spans="1:7" x14ac:dyDescent="0.3">
      <c r="A89" s="48">
        <v>44692</v>
      </c>
      <c r="B89" s="31">
        <v>-3790973.73</v>
      </c>
      <c r="C89" t="s">
        <v>41</v>
      </c>
      <c r="D89" s="17"/>
      <c r="E89" s="23" t="str">
        <f t="shared" si="3"/>
        <v>Lai 2022-04</v>
      </c>
      <c r="F89" s="24">
        <f t="shared" si="4"/>
        <v>-5206159</v>
      </c>
      <c r="G89" s="25" t="str">
        <f t="shared" si="5"/>
        <v>Lai phat sinh</v>
      </c>
    </row>
    <row r="90" spans="1:7" x14ac:dyDescent="0.3">
      <c r="A90" s="48">
        <v>44692</v>
      </c>
      <c r="B90" s="31">
        <v>-39295.29</v>
      </c>
      <c r="C90" t="s">
        <v>41</v>
      </c>
      <c r="D90" s="17"/>
      <c r="E90" s="23" t="str">
        <f t="shared" si="3"/>
        <v>Lai 2022-04</v>
      </c>
      <c r="F90" s="24">
        <f t="shared" si="4"/>
        <v>-5206159</v>
      </c>
      <c r="G90" s="25" t="str">
        <f t="shared" si="5"/>
        <v>Lai phat sinh</v>
      </c>
    </row>
    <row r="91" spans="1:7" x14ac:dyDescent="0.3">
      <c r="A91" s="48">
        <v>44692</v>
      </c>
      <c r="B91" s="31">
        <v>-1375890.41</v>
      </c>
      <c r="C91" t="s">
        <v>41</v>
      </c>
      <c r="D91" s="17"/>
      <c r="E91" s="23" t="str">
        <f t="shared" si="3"/>
        <v>Lai 2022-04</v>
      </c>
      <c r="F91" s="24">
        <f t="shared" si="4"/>
        <v>-5206159</v>
      </c>
      <c r="G91" s="25" t="str">
        <f t="shared" si="5"/>
        <v>Lai phat sinh</v>
      </c>
    </row>
    <row r="92" spans="1:7" x14ac:dyDescent="0.3">
      <c r="A92" s="48">
        <v>44662</v>
      </c>
      <c r="B92" s="31">
        <v>-3768596.94</v>
      </c>
      <c r="C92" t="s">
        <v>41</v>
      </c>
      <c r="D92" s="17"/>
      <c r="E92" s="23" t="str">
        <f t="shared" si="3"/>
        <v>Lai 2022-03</v>
      </c>
      <c r="F92" s="24">
        <f t="shared" si="4"/>
        <v>-5230956</v>
      </c>
      <c r="G92" s="25" t="str">
        <f t="shared" si="5"/>
        <v>Lai phat sinh</v>
      </c>
    </row>
    <row r="93" spans="1:7" x14ac:dyDescent="0.3">
      <c r="A93" s="48">
        <v>44662</v>
      </c>
      <c r="B93" s="31">
        <v>-40605.14</v>
      </c>
      <c r="C93" t="s">
        <v>41</v>
      </c>
      <c r="D93" s="17"/>
      <c r="E93" s="23" t="str">
        <f t="shared" si="3"/>
        <v>Lai 2022-03</v>
      </c>
      <c r="F93" s="24">
        <f t="shared" si="4"/>
        <v>-5230956</v>
      </c>
      <c r="G93" s="25" t="str">
        <f t="shared" si="5"/>
        <v>Lai phat sinh</v>
      </c>
    </row>
    <row r="94" spans="1:7" x14ac:dyDescent="0.3">
      <c r="A94" s="48">
        <v>44662</v>
      </c>
      <c r="B94" s="31">
        <v>-1421753.42</v>
      </c>
      <c r="C94" t="s">
        <v>41</v>
      </c>
      <c r="D94" s="17"/>
      <c r="E94" s="23" t="str">
        <f t="shared" si="3"/>
        <v>Lai 2022-03</v>
      </c>
      <c r="F94" s="24">
        <f t="shared" si="4"/>
        <v>-5230956</v>
      </c>
      <c r="G94" s="25" t="str">
        <f t="shared" si="5"/>
        <v>Lai phat sinh</v>
      </c>
    </row>
    <row r="95" spans="1:7" x14ac:dyDescent="0.3">
      <c r="A95" s="48">
        <v>44631</v>
      </c>
      <c r="B95" s="31">
        <v>-3285585.85</v>
      </c>
      <c r="C95" t="s">
        <v>41</v>
      </c>
      <c r="D95" s="17"/>
      <c r="E95" s="23" t="str">
        <f t="shared" si="3"/>
        <v>Lai 2022-02</v>
      </c>
      <c r="F95" s="24">
        <f t="shared" si="4"/>
        <v>-4606426</v>
      </c>
      <c r="G95" s="25" t="str">
        <f t="shared" si="5"/>
        <v>Lai phat sinh</v>
      </c>
    </row>
    <row r="96" spans="1:7" x14ac:dyDescent="0.3">
      <c r="A96" s="48">
        <v>44631</v>
      </c>
      <c r="B96" s="31">
        <v>-36675.61</v>
      </c>
      <c r="C96" t="s">
        <v>41</v>
      </c>
      <c r="D96" s="17"/>
      <c r="E96" s="23" t="str">
        <f t="shared" si="3"/>
        <v>Lai 2022-02</v>
      </c>
      <c r="F96" s="24">
        <f t="shared" si="4"/>
        <v>-4606426</v>
      </c>
      <c r="G96" s="25" t="str">
        <f t="shared" si="5"/>
        <v>Lai phat sinh</v>
      </c>
    </row>
    <row r="97" spans="1:7" x14ac:dyDescent="0.3">
      <c r="A97" s="48">
        <v>44631</v>
      </c>
      <c r="B97" s="31">
        <v>-1284164.3799999999</v>
      </c>
      <c r="C97" t="s">
        <v>41</v>
      </c>
      <c r="D97" s="17"/>
      <c r="E97" s="23" t="str">
        <f t="shared" si="3"/>
        <v>Lai 2022-02</v>
      </c>
      <c r="F97" s="24">
        <f t="shared" si="4"/>
        <v>-4606426</v>
      </c>
      <c r="G97" s="25" t="str">
        <f t="shared" si="5"/>
        <v>Lai phat sinh</v>
      </c>
    </row>
    <row r="98" spans="1:7" x14ac:dyDescent="0.3">
      <c r="A98" s="48">
        <v>44603</v>
      </c>
      <c r="B98" s="31">
        <v>-3496604.46</v>
      </c>
      <c r="C98" t="s">
        <v>41</v>
      </c>
      <c r="D98" s="17"/>
      <c r="E98" s="23" t="str">
        <f t="shared" si="3"/>
        <v>Lai 2022-01</v>
      </c>
      <c r="F98" s="24">
        <f t="shared" si="4"/>
        <v>-4958963</v>
      </c>
      <c r="G98" s="25" t="str">
        <f t="shared" si="5"/>
        <v>Lai phat sinh</v>
      </c>
    </row>
    <row r="99" spans="1:7" x14ac:dyDescent="0.3">
      <c r="A99" s="48">
        <v>44603</v>
      </c>
      <c r="B99" s="31">
        <v>-40605.14</v>
      </c>
      <c r="C99" t="s">
        <v>41</v>
      </c>
      <c r="D99" s="17"/>
      <c r="E99" s="23" t="str">
        <f t="shared" si="3"/>
        <v>Lai 2022-01</v>
      </c>
      <c r="F99" s="24">
        <f t="shared" si="4"/>
        <v>-4958963</v>
      </c>
      <c r="G99" s="25" t="str">
        <f t="shared" si="5"/>
        <v>Lai phat sinh</v>
      </c>
    </row>
    <row r="100" spans="1:7" x14ac:dyDescent="0.3">
      <c r="A100" s="48">
        <v>44603</v>
      </c>
      <c r="B100" s="31">
        <v>-1421753.42</v>
      </c>
      <c r="C100" t="s">
        <v>41</v>
      </c>
      <c r="D100" s="17"/>
      <c r="E100" s="23" t="str">
        <f t="shared" si="3"/>
        <v>Lai 2022-01</v>
      </c>
      <c r="F100" s="24">
        <f t="shared" si="4"/>
        <v>-4958963</v>
      </c>
      <c r="G100" s="25" t="str">
        <f t="shared" si="5"/>
        <v>Lai phat sinh</v>
      </c>
    </row>
    <row r="101" spans="1:7" x14ac:dyDescent="0.3">
      <c r="A101" s="48">
        <v>44572</v>
      </c>
      <c r="B101" s="31">
        <v>-3359494.73</v>
      </c>
      <c r="C101" t="s">
        <v>41</v>
      </c>
      <c r="D101" s="22"/>
      <c r="E101" s="23" t="str">
        <f t="shared" si="3"/>
        <v>Lai 2021-12</v>
      </c>
      <c r="F101" s="24">
        <f t="shared" si="4"/>
        <v>-4821853</v>
      </c>
      <c r="G101" s="25" t="str">
        <f t="shared" si="5"/>
        <v>Lai phat sinh</v>
      </c>
    </row>
    <row r="102" spans="1:7" x14ac:dyDescent="0.3">
      <c r="A102" s="48">
        <v>44572</v>
      </c>
      <c r="B102" s="31">
        <v>-40605.14</v>
      </c>
      <c r="C102" t="s">
        <v>41</v>
      </c>
      <c r="D102" s="17"/>
      <c r="E102" s="23" t="str">
        <f t="shared" si="3"/>
        <v>Lai 2021-12</v>
      </c>
      <c r="F102" s="24">
        <f t="shared" si="4"/>
        <v>-4821853</v>
      </c>
      <c r="G102" s="25" t="str">
        <f t="shared" si="5"/>
        <v>Lai phat sinh</v>
      </c>
    </row>
    <row r="103" spans="1:7" x14ac:dyDescent="0.3">
      <c r="A103" s="48">
        <v>44572</v>
      </c>
      <c r="B103" s="31">
        <v>-1421753.42</v>
      </c>
      <c r="C103" t="s">
        <v>41</v>
      </c>
      <c r="D103" s="17"/>
      <c r="E103" s="23" t="str">
        <f t="shared" si="3"/>
        <v>Lai 2021-12</v>
      </c>
      <c r="F103" s="24">
        <f t="shared" si="4"/>
        <v>-4821853</v>
      </c>
      <c r="G103" s="25" t="str">
        <f t="shared" si="5"/>
        <v>Lai phat sinh</v>
      </c>
    </row>
    <row r="104" spans="1:7" x14ac:dyDescent="0.3">
      <c r="A104" s="48">
        <v>44541</v>
      </c>
      <c r="B104" s="31">
        <v>-3126156.16</v>
      </c>
      <c r="C104" t="s">
        <v>41</v>
      </c>
      <c r="D104" s="17"/>
      <c r="E104" s="23" t="str">
        <f t="shared" si="3"/>
        <v>Lai 2021-11</v>
      </c>
      <c r="F104" s="24">
        <f t="shared" si="4"/>
        <v>-4541342</v>
      </c>
      <c r="G104" s="25" t="str">
        <f t="shared" si="5"/>
        <v>Lai phat sinh</v>
      </c>
    </row>
    <row r="105" spans="1:7" x14ac:dyDescent="0.3">
      <c r="A105" s="48">
        <v>44541</v>
      </c>
      <c r="B105" s="31">
        <v>-39295.29</v>
      </c>
      <c r="C105" t="s">
        <v>41</v>
      </c>
      <c r="D105" s="17"/>
      <c r="E105" s="23" t="str">
        <f t="shared" si="3"/>
        <v>Lai 2021-11</v>
      </c>
      <c r="F105" s="24">
        <f t="shared" si="4"/>
        <v>-4541342</v>
      </c>
      <c r="G105" s="25" t="str">
        <f t="shared" si="5"/>
        <v>Lai phat sinh</v>
      </c>
    </row>
    <row r="106" spans="1:7" x14ac:dyDescent="0.3">
      <c r="A106" s="48">
        <v>44541</v>
      </c>
      <c r="B106" s="31">
        <v>-1375890.41</v>
      </c>
      <c r="C106" t="s">
        <v>41</v>
      </c>
      <c r="D106" s="17"/>
      <c r="E106" s="23" t="str">
        <f t="shared" si="3"/>
        <v>Lai 2021-11</v>
      </c>
      <c r="F106" s="24">
        <f t="shared" si="4"/>
        <v>-4541342</v>
      </c>
      <c r="G106" s="25" t="str">
        <f t="shared" si="5"/>
        <v>Lai phat sinh</v>
      </c>
    </row>
    <row r="107" spans="1:7" x14ac:dyDescent="0.3">
      <c r="A107" s="48">
        <v>44511</v>
      </c>
      <c r="B107" s="31">
        <v>-3100612.95</v>
      </c>
      <c r="C107" t="s">
        <v>41</v>
      </c>
      <c r="D107" s="17"/>
      <c r="E107" s="23" t="str">
        <f t="shared" si="3"/>
        <v>Lai 2021-10</v>
      </c>
      <c r="F107" s="24">
        <f t="shared" si="4"/>
        <v>-4562972</v>
      </c>
      <c r="G107" s="25" t="str">
        <f t="shared" si="5"/>
        <v>Lai phat sinh</v>
      </c>
    </row>
    <row r="108" spans="1:7" x14ac:dyDescent="0.3">
      <c r="A108" s="48">
        <v>44511</v>
      </c>
      <c r="B108" s="31">
        <v>-40605.14</v>
      </c>
      <c r="C108" t="s">
        <v>41</v>
      </c>
      <c r="D108" s="17"/>
      <c r="E108" s="23" t="str">
        <f t="shared" si="3"/>
        <v>Lai 2021-10</v>
      </c>
      <c r="F108" s="24">
        <f t="shared" si="4"/>
        <v>-4562972</v>
      </c>
      <c r="G108" s="25" t="str">
        <f t="shared" si="5"/>
        <v>Lai phat sinh</v>
      </c>
    </row>
    <row r="109" spans="1:7" x14ac:dyDescent="0.3">
      <c r="A109" s="48">
        <v>44511</v>
      </c>
      <c r="B109" s="31">
        <v>-1421753.42</v>
      </c>
      <c r="C109" t="s">
        <v>41</v>
      </c>
      <c r="D109" s="17"/>
      <c r="E109" s="23" t="str">
        <f t="shared" si="3"/>
        <v>Lai 2021-10</v>
      </c>
      <c r="F109" s="24">
        <f t="shared" si="4"/>
        <v>-4562972</v>
      </c>
      <c r="G109" s="25" t="str">
        <f t="shared" si="5"/>
        <v>Lai phat sinh</v>
      </c>
    </row>
    <row r="110" spans="1:7" x14ac:dyDescent="0.3">
      <c r="A110" s="48">
        <v>44480</v>
      </c>
      <c r="B110" s="31">
        <v>-2882334.84</v>
      </c>
      <c r="C110" t="s">
        <v>41</v>
      </c>
      <c r="D110" s="17"/>
      <c r="E110" s="23" t="str">
        <f t="shared" si="3"/>
        <v>Lai 2021-09</v>
      </c>
      <c r="F110" s="24">
        <f t="shared" si="4"/>
        <v>-4297521</v>
      </c>
      <c r="G110" s="25" t="str">
        <f t="shared" si="5"/>
        <v>Lai phat sinh</v>
      </c>
    </row>
    <row r="111" spans="1:7" x14ac:dyDescent="0.3">
      <c r="A111" s="48">
        <v>44480</v>
      </c>
      <c r="B111" s="31">
        <v>-39295.29</v>
      </c>
      <c r="C111" t="s">
        <v>41</v>
      </c>
      <c r="D111" s="17"/>
      <c r="E111" s="23" t="str">
        <f t="shared" si="3"/>
        <v>Lai 2021-09</v>
      </c>
      <c r="F111" s="24">
        <f t="shared" si="4"/>
        <v>-4297521</v>
      </c>
      <c r="G111" s="25" t="str">
        <f t="shared" si="5"/>
        <v>Lai phat sinh</v>
      </c>
    </row>
    <row r="112" spans="1:7" x14ac:dyDescent="0.3">
      <c r="A112" s="48">
        <v>44480</v>
      </c>
      <c r="B112" s="31">
        <v>-1375890.41</v>
      </c>
      <c r="C112" t="s">
        <v>41</v>
      </c>
      <c r="D112" s="17"/>
      <c r="E112" s="23" t="str">
        <f t="shared" si="3"/>
        <v>Lai 2021-09</v>
      </c>
      <c r="F112" s="24">
        <f t="shared" si="4"/>
        <v>-4297521</v>
      </c>
      <c r="G112" s="25" t="str">
        <f t="shared" si="5"/>
        <v>Lai phat sinh</v>
      </c>
    </row>
    <row r="113" spans="1:7" x14ac:dyDescent="0.3">
      <c r="A113" s="48">
        <v>44450</v>
      </c>
      <c r="B113" s="31">
        <v>-2855630.35</v>
      </c>
      <c r="C113" t="s">
        <v>41</v>
      </c>
      <c r="D113" s="17"/>
      <c r="E113" s="23" t="str">
        <f t="shared" si="3"/>
        <v>Lai 2021-08</v>
      </c>
      <c r="F113" s="24">
        <f t="shared" si="4"/>
        <v>-4317989</v>
      </c>
      <c r="G113" s="25" t="str">
        <f t="shared" si="5"/>
        <v>Lai phat sinh</v>
      </c>
    </row>
    <row r="114" spans="1:7" x14ac:dyDescent="0.3">
      <c r="A114" s="48">
        <v>44450</v>
      </c>
      <c r="B114" s="31">
        <v>-40605.14</v>
      </c>
      <c r="C114" t="s">
        <v>41</v>
      </c>
      <c r="D114" s="17"/>
      <c r="E114" s="23" t="str">
        <f t="shared" si="3"/>
        <v>Lai 2021-08</v>
      </c>
      <c r="F114" s="24">
        <f t="shared" si="4"/>
        <v>-4317989</v>
      </c>
      <c r="G114" s="25" t="str">
        <f t="shared" si="5"/>
        <v>Lai phat sinh</v>
      </c>
    </row>
    <row r="115" spans="1:7" x14ac:dyDescent="0.3">
      <c r="A115" s="48">
        <v>44450</v>
      </c>
      <c r="B115" s="31">
        <v>-1421753.42</v>
      </c>
      <c r="C115" t="s">
        <v>41</v>
      </c>
      <c r="D115" s="22"/>
      <c r="E115" s="23" t="str">
        <f t="shared" si="3"/>
        <v>Lai 2021-08</v>
      </c>
      <c r="F115" s="24">
        <f t="shared" si="4"/>
        <v>-4317989</v>
      </c>
      <c r="G115" s="25" t="str">
        <f t="shared" si="5"/>
        <v>Lai phat sinh</v>
      </c>
    </row>
    <row r="116" spans="1:7" x14ac:dyDescent="0.3">
      <c r="A116" s="48">
        <v>44419</v>
      </c>
      <c r="B116" s="31">
        <v>-2736242.83</v>
      </c>
      <c r="C116" t="s">
        <v>41</v>
      </c>
      <c r="D116" s="17"/>
      <c r="E116" s="23" t="str">
        <f t="shared" si="3"/>
        <v>Lai 2021-07</v>
      </c>
      <c r="F116" s="24">
        <f t="shared" si="4"/>
        <v>-4198601</v>
      </c>
      <c r="G116" s="25" t="str">
        <f t="shared" si="5"/>
        <v>Lai phat sinh</v>
      </c>
    </row>
    <row r="117" spans="1:7" x14ac:dyDescent="0.3">
      <c r="A117" s="48">
        <v>44419</v>
      </c>
      <c r="B117" s="31">
        <v>-40605.14</v>
      </c>
      <c r="C117" t="s">
        <v>41</v>
      </c>
      <c r="D117" s="17"/>
      <c r="E117" s="23" t="str">
        <f t="shared" si="3"/>
        <v>Lai 2021-07</v>
      </c>
      <c r="F117" s="24">
        <f t="shared" si="4"/>
        <v>-4198601</v>
      </c>
      <c r="G117" s="25" t="str">
        <f t="shared" si="5"/>
        <v>Lai phat sinh</v>
      </c>
    </row>
    <row r="118" spans="1:7" x14ac:dyDescent="0.3">
      <c r="A118" s="48">
        <v>44419</v>
      </c>
      <c r="B118" s="31">
        <v>-1421753.42</v>
      </c>
      <c r="C118" t="s">
        <v>41</v>
      </c>
      <c r="D118" s="17"/>
      <c r="E118" s="23" t="str">
        <f t="shared" si="3"/>
        <v>Lai 2021-07</v>
      </c>
      <c r="F118" s="24">
        <f t="shared" si="4"/>
        <v>-4198601</v>
      </c>
      <c r="G118" s="25" t="str">
        <f t="shared" si="5"/>
        <v>Lai phat sinh</v>
      </c>
    </row>
    <row r="119" spans="1:7" x14ac:dyDescent="0.3">
      <c r="A119" s="48">
        <v>44388</v>
      </c>
      <c r="B119" s="31">
        <v>-2539161.96</v>
      </c>
      <c r="C119" t="s">
        <v>41</v>
      </c>
      <c r="D119" s="17"/>
      <c r="E119" s="23" t="str">
        <f t="shared" si="3"/>
        <v>Lai 2021-06</v>
      </c>
      <c r="F119" s="24">
        <f t="shared" si="4"/>
        <v>-3954348</v>
      </c>
      <c r="G119" s="25" t="str">
        <f t="shared" si="5"/>
        <v>Lai phat sinh</v>
      </c>
    </row>
    <row r="120" spans="1:7" x14ac:dyDescent="0.3">
      <c r="A120" s="48">
        <v>44388</v>
      </c>
      <c r="B120" s="31">
        <v>-39295.29</v>
      </c>
      <c r="C120" t="s">
        <v>41</v>
      </c>
      <c r="D120" s="17"/>
      <c r="E120" s="23" t="str">
        <f t="shared" si="3"/>
        <v>Lai 2021-06</v>
      </c>
      <c r="F120" s="24">
        <f t="shared" si="4"/>
        <v>-3954348</v>
      </c>
      <c r="G120" s="25" t="str">
        <f t="shared" si="5"/>
        <v>Lai phat sinh</v>
      </c>
    </row>
    <row r="121" spans="1:7" x14ac:dyDescent="0.3">
      <c r="A121" s="48">
        <v>44388</v>
      </c>
      <c r="B121" s="31">
        <v>-1375890.41</v>
      </c>
      <c r="C121" t="s">
        <v>41</v>
      </c>
      <c r="D121" s="17"/>
      <c r="E121" s="23" t="str">
        <f t="shared" si="3"/>
        <v>Lai 2021-06</v>
      </c>
      <c r="F121" s="24">
        <f t="shared" si="4"/>
        <v>-3954348</v>
      </c>
      <c r="G121" s="25" t="str">
        <f t="shared" si="5"/>
        <v>Lai phat sinh</v>
      </c>
    </row>
    <row r="122" spans="1:7" x14ac:dyDescent="0.3">
      <c r="A122" s="48">
        <v>44358</v>
      </c>
      <c r="B122" s="31">
        <v>-2510823</v>
      </c>
      <c r="C122" t="s">
        <v>41</v>
      </c>
      <c r="D122" s="17"/>
      <c r="E122" s="23" t="str">
        <f t="shared" si="3"/>
        <v>Lai 2021-05</v>
      </c>
      <c r="F122" s="24">
        <f t="shared" si="4"/>
        <v>-3973182</v>
      </c>
      <c r="G122" s="25" t="str">
        <f t="shared" si="5"/>
        <v>Lai phat sinh</v>
      </c>
    </row>
    <row r="123" spans="1:7" x14ac:dyDescent="0.3">
      <c r="A123" s="48">
        <v>44358</v>
      </c>
      <c r="B123" s="31">
        <v>-40605.14</v>
      </c>
      <c r="C123" t="s">
        <v>41</v>
      </c>
      <c r="D123" s="17"/>
      <c r="E123" s="23" t="str">
        <f t="shared" si="3"/>
        <v>Lai 2021-05</v>
      </c>
      <c r="F123" s="24">
        <f t="shared" si="4"/>
        <v>-3973182</v>
      </c>
      <c r="G123" s="25" t="str">
        <f t="shared" si="5"/>
        <v>Lai phat sinh</v>
      </c>
    </row>
    <row r="124" spans="1:7" x14ac:dyDescent="0.3">
      <c r="A124" s="48">
        <v>44358</v>
      </c>
      <c r="B124" s="31">
        <v>-1421753.42</v>
      </c>
      <c r="C124" t="s">
        <v>41</v>
      </c>
      <c r="D124" s="17"/>
      <c r="E124" s="23" t="str">
        <f t="shared" si="3"/>
        <v>Lai 2021-05</v>
      </c>
      <c r="F124" s="24">
        <f t="shared" si="4"/>
        <v>-3973182</v>
      </c>
      <c r="G124" s="25" t="str">
        <f t="shared" si="5"/>
        <v>Lai phat sinh</v>
      </c>
    </row>
    <row r="125" spans="1:7" x14ac:dyDescent="0.3">
      <c r="A125" s="48">
        <v>44327</v>
      </c>
      <c r="B125" s="31">
        <v>-2326855.92</v>
      </c>
      <c r="C125" t="s">
        <v>41</v>
      </c>
      <c r="D125" s="17"/>
      <c r="E125" s="23" t="str">
        <f t="shared" si="3"/>
        <v>Lai 2021-04</v>
      </c>
      <c r="F125" s="24">
        <f t="shared" si="4"/>
        <v>-3742042</v>
      </c>
      <c r="G125" s="25" t="str">
        <f t="shared" si="5"/>
        <v>Lai phat sinh</v>
      </c>
    </row>
    <row r="126" spans="1:7" x14ac:dyDescent="0.3">
      <c r="A126" s="48">
        <v>44327</v>
      </c>
      <c r="B126" s="31">
        <v>-39295.29</v>
      </c>
      <c r="C126" t="s">
        <v>41</v>
      </c>
      <c r="D126" s="17"/>
      <c r="E126" s="23" t="str">
        <f t="shared" si="3"/>
        <v>Lai 2021-04</v>
      </c>
      <c r="F126" s="24">
        <f t="shared" si="4"/>
        <v>-3742042</v>
      </c>
      <c r="G126" s="25" t="str">
        <f t="shared" si="5"/>
        <v>Lai phat sinh</v>
      </c>
    </row>
    <row r="127" spans="1:7" x14ac:dyDescent="0.3">
      <c r="A127" s="48">
        <v>44327</v>
      </c>
      <c r="B127" s="31">
        <v>-1375890.41</v>
      </c>
      <c r="C127" t="s">
        <v>41</v>
      </c>
      <c r="D127" s="17"/>
      <c r="E127" s="23" t="str">
        <f t="shared" si="3"/>
        <v>Lai 2021-04</v>
      </c>
      <c r="F127" s="24">
        <f t="shared" si="4"/>
        <v>-3742042</v>
      </c>
      <c r="G127" s="25" t="str">
        <f t="shared" si="5"/>
        <v>Lai phat sinh</v>
      </c>
    </row>
    <row r="128" spans="1:7" x14ac:dyDescent="0.3">
      <c r="A128" s="48">
        <v>44297</v>
      </c>
      <c r="B128" s="31">
        <v>-2297505.79</v>
      </c>
      <c r="C128" t="s">
        <v>41</v>
      </c>
      <c r="D128" s="17"/>
      <c r="E128" s="23" t="str">
        <f t="shared" si="3"/>
        <v>Lai 2021-03</v>
      </c>
      <c r="F128" s="24">
        <f t="shared" si="4"/>
        <v>-3759864</v>
      </c>
      <c r="G128" s="25" t="str">
        <f t="shared" si="5"/>
        <v>Lai phat sinh</v>
      </c>
    </row>
    <row r="129" spans="1:7" x14ac:dyDescent="0.3">
      <c r="A129" s="48">
        <v>44297</v>
      </c>
      <c r="B129" s="31">
        <v>-40605.14</v>
      </c>
      <c r="C129" t="s">
        <v>41</v>
      </c>
      <c r="D129" s="17"/>
      <c r="E129" s="23" t="str">
        <f t="shared" si="3"/>
        <v>Lai 2021-03</v>
      </c>
      <c r="F129" s="24">
        <f t="shared" si="4"/>
        <v>-3759864</v>
      </c>
      <c r="G129" s="25" t="str">
        <f t="shared" si="5"/>
        <v>Lai phat sinh</v>
      </c>
    </row>
    <row r="130" spans="1:7" x14ac:dyDescent="0.3">
      <c r="A130" s="48">
        <v>44297</v>
      </c>
      <c r="B130" s="31">
        <v>-1421753.42</v>
      </c>
      <c r="C130" t="s">
        <v>41</v>
      </c>
      <c r="D130" s="17"/>
      <c r="E130" s="23" t="str">
        <f t="shared" ref="E130:E193" si="6">IF(OR(C130="Transaction",C130="Interests",C130="Misc",C130="Account Transfer"), IF(C130="Transaction", IF(B130&lt;0, "Du no", "Da thanh toan"), IF(C130="Interests", "Lai", IF(C130="Misc", "Phi", IF(C130="Account Transfer", IF(OR(ISNUMBER(SEARCH("Trich lai tra gop the TD", D130)), ISNUMBER(SEARCH("Chuyen lai tra gop con lai sang du no thong thuong khi BadDebt", D130))), IF(B130&lt;0, "Lai tra gop", ""), "" )))))) &amp; " " &amp; IF(C130="Interests", TEXT(EDATE(IF(DAY(A130)&gt;=11, A130, EDATE(A130,-1)), -1),"yyyy-mm"), TEXT(IF(DAY(A130)&gt;=11, A130, EDATE(A130,-1)),"yyyy-mm"))</f>
        <v>Lai 2021-03</v>
      </c>
      <c r="F130" s="24">
        <f t="shared" ref="F130:F193" si="7">IF(ISNUMBER(B130), ROUND(SUMIFS($B$2:$B$10000, $E$2:$E$10000, E130, $B$2:$B$10000, IF(B130&lt;0, "&lt;0", "&gt;0")), 0), "")</f>
        <v>-3759864</v>
      </c>
      <c r="G130" s="25" t="str">
        <f t="shared" ref="G130:G193" si="8">IF(F130&gt;0, IF(C130="Transaction", "Da thanh toan", "Duong"), IF(F130&lt;0, IF(C130="Transaction", "Du no", IF(C130="Interests", "Lai phat sinh", IF(C130="Misc", "Phi", IF(C130="Account Transfer", "Lai tra gop", "Am")))), "Bang 0"))</f>
        <v>Lai phat sinh</v>
      </c>
    </row>
    <row r="131" spans="1:7" x14ac:dyDescent="0.3">
      <c r="A131" s="48">
        <v>44266</v>
      </c>
      <c r="B131" s="31">
        <v>-1990129.93</v>
      </c>
      <c r="C131" t="s">
        <v>41</v>
      </c>
      <c r="D131" s="17"/>
      <c r="E131" s="23" t="str">
        <f t="shared" si="6"/>
        <v>Lai 2021-02</v>
      </c>
      <c r="F131" s="24">
        <f t="shared" si="7"/>
        <v>-3310970</v>
      </c>
      <c r="G131" s="25" t="str">
        <f t="shared" si="8"/>
        <v>Lai phat sinh</v>
      </c>
    </row>
    <row r="132" spans="1:7" x14ac:dyDescent="0.3">
      <c r="A132" s="48">
        <v>44266</v>
      </c>
      <c r="B132" s="31">
        <v>-36675.61</v>
      </c>
      <c r="C132" t="s">
        <v>41</v>
      </c>
      <c r="D132" s="17"/>
      <c r="E132" s="23" t="str">
        <f t="shared" si="6"/>
        <v>Lai 2021-02</v>
      </c>
      <c r="F132" s="24">
        <f t="shared" si="7"/>
        <v>-3310970</v>
      </c>
      <c r="G132" s="25" t="str">
        <f t="shared" si="8"/>
        <v>Lai phat sinh</v>
      </c>
    </row>
    <row r="133" spans="1:7" x14ac:dyDescent="0.3">
      <c r="A133" s="48">
        <v>44266</v>
      </c>
      <c r="B133" s="31">
        <v>-1284164.3799999999</v>
      </c>
      <c r="C133" t="s">
        <v>41</v>
      </c>
      <c r="D133" s="17"/>
      <c r="E133" s="23" t="str">
        <f t="shared" si="6"/>
        <v>Lai 2021-02</v>
      </c>
      <c r="F133" s="24">
        <f t="shared" si="7"/>
        <v>-3310970</v>
      </c>
      <c r="G133" s="25" t="str">
        <f t="shared" si="8"/>
        <v>Lai phat sinh</v>
      </c>
    </row>
    <row r="134" spans="1:7" x14ac:dyDescent="0.3">
      <c r="A134" s="48">
        <v>44238</v>
      </c>
      <c r="B134" s="31">
        <v>-2102005.2000000002</v>
      </c>
      <c r="C134" t="s">
        <v>41</v>
      </c>
      <c r="D134" s="17"/>
      <c r="E134" s="23" t="str">
        <f t="shared" si="6"/>
        <v>Lai 2021-01</v>
      </c>
      <c r="F134" s="24">
        <f t="shared" si="7"/>
        <v>-3564364</v>
      </c>
      <c r="G134" s="25" t="str">
        <f t="shared" si="8"/>
        <v>Lai phat sinh</v>
      </c>
    </row>
    <row r="135" spans="1:7" x14ac:dyDescent="0.3">
      <c r="A135" s="48">
        <v>44238</v>
      </c>
      <c r="B135" s="31">
        <v>-40605.14</v>
      </c>
      <c r="C135" t="s">
        <v>41</v>
      </c>
      <c r="D135" s="17"/>
      <c r="E135" s="23" t="str">
        <f t="shared" si="6"/>
        <v>Lai 2021-01</v>
      </c>
      <c r="F135" s="24">
        <f t="shared" si="7"/>
        <v>-3564364</v>
      </c>
      <c r="G135" s="25" t="str">
        <f t="shared" si="8"/>
        <v>Lai phat sinh</v>
      </c>
    </row>
    <row r="136" spans="1:7" x14ac:dyDescent="0.3">
      <c r="A136" s="48">
        <v>44238</v>
      </c>
      <c r="B136" s="31">
        <v>-1421753.42</v>
      </c>
      <c r="C136" t="s">
        <v>41</v>
      </c>
      <c r="D136" s="30"/>
      <c r="E136" s="23" t="str">
        <f t="shared" si="6"/>
        <v>Lai 2021-01</v>
      </c>
      <c r="F136" s="24">
        <f t="shared" si="7"/>
        <v>-3564364</v>
      </c>
      <c r="G136" s="25" t="str">
        <f t="shared" si="8"/>
        <v>Lai phat sinh</v>
      </c>
    </row>
    <row r="137" spans="1:7" x14ac:dyDescent="0.3">
      <c r="A137" s="48">
        <v>44207</v>
      </c>
      <c r="B137" s="31">
        <v>-2003454.57</v>
      </c>
      <c r="C137" t="s">
        <v>41</v>
      </c>
      <c r="D137" s="17"/>
      <c r="E137" s="23" t="str">
        <f t="shared" si="6"/>
        <v>Lai 2020-12</v>
      </c>
      <c r="F137" s="24">
        <f t="shared" si="7"/>
        <v>-3465813</v>
      </c>
      <c r="G137" s="25" t="str">
        <f t="shared" si="8"/>
        <v>Lai phat sinh</v>
      </c>
    </row>
    <row r="138" spans="1:7" x14ac:dyDescent="0.3">
      <c r="A138" s="48">
        <v>44207</v>
      </c>
      <c r="B138" s="31">
        <v>-40605.14</v>
      </c>
      <c r="C138" t="s">
        <v>41</v>
      </c>
      <c r="D138" s="17"/>
      <c r="E138" s="23" t="str">
        <f t="shared" si="6"/>
        <v>Lai 2020-12</v>
      </c>
      <c r="F138" s="24">
        <f t="shared" si="7"/>
        <v>-3465813</v>
      </c>
      <c r="G138" s="25" t="str">
        <f t="shared" si="8"/>
        <v>Lai phat sinh</v>
      </c>
    </row>
    <row r="139" spans="1:7" x14ac:dyDescent="0.3">
      <c r="A139" s="48">
        <v>44207</v>
      </c>
      <c r="B139" s="31">
        <v>-1421753.42</v>
      </c>
      <c r="C139" t="s">
        <v>41</v>
      </c>
      <c r="D139" s="17"/>
      <c r="E139" s="23" t="str">
        <f t="shared" si="6"/>
        <v>Lai 2020-12</v>
      </c>
      <c r="F139" s="24">
        <f t="shared" si="7"/>
        <v>-3465813</v>
      </c>
      <c r="G139" s="25" t="str">
        <f t="shared" si="8"/>
        <v>Lai phat sinh</v>
      </c>
    </row>
    <row r="140" spans="1:7" x14ac:dyDescent="0.3">
      <c r="A140" s="48">
        <v>44176</v>
      </c>
      <c r="B140" s="31">
        <v>-1849003.67</v>
      </c>
      <c r="C140" t="s">
        <v>41</v>
      </c>
      <c r="D140" s="17"/>
      <c r="E140" s="23" t="str">
        <f t="shared" si="6"/>
        <v>Lai 2020-11</v>
      </c>
      <c r="F140" s="24">
        <f t="shared" si="7"/>
        <v>-3264189</v>
      </c>
      <c r="G140" s="25" t="str">
        <f t="shared" si="8"/>
        <v>Lai phat sinh</v>
      </c>
    </row>
    <row r="141" spans="1:7" x14ac:dyDescent="0.3">
      <c r="A141" s="48">
        <v>44176</v>
      </c>
      <c r="B141" s="31">
        <v>-39295.29</v>
      </c>
      <c r="C141" t="s">
        <v>41</v>
      </c>
      <c r="D141" s="17"/>
      <c r="E141" s="23" t="str">
        <f t="shared" si="6"/>
        <v>Lai 2020-11</v>
      </c>
      <c r="F141" s="24">
        <f t="shared" si="7"/>
        <v>-3264189</v>
      </c>
      <c r="G141" s="25" t="str">
        <f t="shared" si="8"/>
        <v>Lai phat sinh</v>
      </c>
    </row>
    <row r="142" spans="1:7" x14ac:dyDescent="0.3">
      <c r="A142" s="48">
        <v>44176</v>
      </c>
      <c r="B142" s="31">
        <v>-1375890.41</v>
      </c>
      <c r="C142" t="s">
        <v>41</v>
      </c>
      <c r="D142" s="17"/>
      <c r="E142" s="23" t="str">
        <f t="shared" si="6"/>
        <v>Lai 2020-11</v>
      </c>
      <c r="F142" s="24">
        <f t="shared" si="7"/>
        <v>-3264189</v>
      </c>
      <c r="G142" s="25" t="str">
        <f t="shared" si="8"/>
        <v>Lai phat sinh</v>
      </c>
    </row>
    <row r="143" spans="1:7" x14ac:dyDescent="0.3">
      <c r="A143" s="48">
        <v>44146</v>
      </c>
      <c r="B143" s="31">
        <v>-1817377.6</v>
      </c>
      <c r="C143" t="s">
        <v>41</v>
      </c>
      <c r="D143" s="17"/>
      <c r="E143" s="23" t="str">
        <f t="shared" si="6"/>
        <v>Lai 2020-10</v>
      </c>
      <c r="F143" s="24">
        <f t="shared" si="7"/>
        <v>-3279736</v>
      </c>
      <c r="G143" s="25" t="str">
        <f t="shared" si="8"/>
        <v>Lai phat sinh</v>
      </c>
    </row>
    <row r="144" spans="1:7" x14ac:dyDescent="0.3">
      <c r="A144" s="48">
        <v>44146</v>
      </c>
      <c r="B144" s="31">
        <v>-40605.14</v>
      </c>
      <c r="C144" t="s">
        <v>41</v>
      </c>
      <c r="D144" s="17"/>
      <c r="E144" s="23" t="str">
        <f t="shared" si="6"/>
        <v>Lai 2020-10</v>
      </c>
      <c r="F144" s="24">
        <f t="shared" si="7"/>
        <v>-3279736</v>
      </c>
      <c r="G144" s="25" t="str">
        <f t="shared" si="8"/>
        <v>Lai phat sinh</v>
      </c>
    </row>
    <row r="145" spans="1:7" x14ac:dyDescent="0.3">
      <c r="A145" s="48">
        <v>44146</v>
      </c>
      <c r="B145" s="31">
        <v>-1421753.42</v>
      </c>
      <c r="C145" t="s">
        <v>41</v>
      </c>
      <c r="D145" s="17"/>
      <c r="E145" s="23" t="str">
        <f t="shared" si="6"/>
        <v>Lai 2020-10</v>
      </c>
      <c r="F145" s="24">
        <f t="shared" si="7"/>
        <v>-3279736</v>
      </c>
      <c r="G145" s="25" t="str">
        <f t="shared" si="8"/>
        <v>Lai phat sinh</v>
      </c>
    </row>
    <row r="146" spans="1:7" x14ac:dyDescent="0.3">
      <c r="A146" s="48">
        <v>44115</v>
      </c>
      <c r="B146" s="31">
        <v>-1673751.73</v>
      </c>
      <c r="C146" t="s">
        <v>41</v>
      </c>
      <c r="D146" s="17"/>
      <c r="E146" s="23" t="str">
        <f t="shared" si="6"/>
        <v>Lai 2020-09</v>
      </c>
      <c r="F146" s="24">
        <f t="shared" si="7"/>
        <v>-3088937</v>
      </c>
      <c r="G146" s="25" t="str">
        <f t="shared" si="8"/>
        <v>Lai phat sinh</v>
      </c>
    </row>
    <row r="147" spans="1:7" x14ac:dyDescent="0.3">
      <c r="A147" s="48">
        <v>44115</v>
      </c>
      <c r="B147" s="31">
        <v>-39295.29</v>
      </c>
      <c r="C147" t="s">
        <v>41</v>
      </c>
      <c r="D147" s="17"/>
      <c r="E147" s="23" t="str">
        <f t="shared" si="6"/>
        <v>Lai 2020-09</v>
      </c>
      <c r="F147" s="24">
        <f t="shared" si="7"/>
        <v>-3088937</v>
      </c>
      <c r="G147" s="25" t="str">
        <f t="shared" si="8"/>
        <v>Lai phat sinh</v>
      </c>
    </row>
    <row r="148" spans="1:7" x14ac:dyDescent="0.3">
      <c r="A148" s="48">
        <v>44115</v>
      </c>
      <c r="B148" s="31">
        <v>-1375890.41</v>
      </c>
      <c r="C148" t="s">
        <v>41</v>
      </c>
      <c r="D148" s="17"/>
      <c r="E148" s="23" t="str">
        <f t="shared" si="6"/>
        <v>Lai 2020-09</v>
      </c>
      <c r="F148" s="24">
        <f t="shared" si="7"/>
        <v>-3088937</v>
      </c>
      <c r="G148" s="25" t="str">
        <f t="shared" si="8"/>
        <v>Lai phat sinh</v>
      </c>
    </row>
    <row r="149" spans="1:7" x14ac:dyDescent="0.3">
      <c r="A149" s="48">
        <v>44085</v>
      </c>
      <c r="B149" s="31">
        <v>-1641290.97</v>
      </c>
      <c r="C149" t="s">
        <v>41</v>
      </c>
      <c r="D149" s="17"/>
      <c r="E149" s="23" t="str">
        <f t="shared" si="6"/>
        <v>Lai 2020-08</v>
      </c>
      <c r="F149" s="24">
        <f t="shared" si="7"/>
        <v>-3103650</v>
      </c>
      <c r="G149" s="25" t="str">
        <f t="shared" si="8"/>
        <v>Lai phat sinh</v>
      </c>
    </row>
    <row r="150" spans="1:7" x14ac:dyDescent="0.3">
      <c r="A150" s="48">
        <v>44085</v>
      </c>
      <c r="B150" s="31">
        <v>-40605.14</v>
      </c>
      <c r="C150" t="s">
        <v>41</v>
      </c>
      <c r="D150" s="17"/>
      <c r="E150" s="23" t="str">
        <f t="shared" si="6"/>
        <v>Lai 2020-08</v>
      </c>
      <c r="F150" s="24">
        <f t="shared" si="7"/>
        <v>-3103650</v>
      </c>
      <c r="G150" s="25" t="str">
        <f t="shared" si="8"/>
        <v>Lai phat sinh</v>
      </c>
    </row>
    <row r="151" spans="1:7" x14ac:dyDescent="0.3">
      <c r="A151" s="48">
        <v>44085</v>
      </c>
      <c r="B151" s="31">
        <v>-1421753.42</v>
      </c>
      <c r="C151" t="s">
        <v>41</v>
      </c>
      <c r="D151" s="17"/>
      <c r="E151" s="23" t="str">
        <f t="shared" si="6"/>
        <v>Lai 2020-08</v>
      </c>
      <c r="F151" s="24">
        <f t="shared" si="7"/>
        <v>-3103650</v>
      </c>
      <c r="G151" s="25" t="str">
        <f t="shared" si="8"/>
        <v>Lai phat sinh</v>
      </c>
    </row>
    <row r="152" spans="1:7" x14ac:dyDescent="0.3">
      <c r="A152" s="48">
        <v>44054</v>
      </c>
      <c r="B152" s="31">
        <v>-1555478.56</v>
      </c>
      <c r="C152" t="s">
        <v>41</v>
      </c>
      <c r="D152" s="17"/>
      <c r="E152" s="23" t="str">
        <f t="shared" si="6"/>
        <v>Lai 2020-07</v>
      </c>
      <c r="F152" s="24">
        <f t="shared" si="7"/>
        <v>-3017837</v>
      </c>
      <c r="G152" s="25" t="str">
        <f t="shared" si="8"/>
        <v>Lai phat sinh</v>
      </c>
    </row>
    <row r="153" spans="1:7" x14ac:dyDescent="0.3">
      <c r="A153" s="48">
        <v>44054</v>
      </c>
      <c r="B153" s="31">
        <v>-40605.14</v>
      </c>
      <c r="C153" t="s">
        <v>41</v>
      </c>
      <c r="D153" s="17"/>
      <c r="E153" s="23" t="str">
        <f t="shared" si="6"/>
        <v>Lai 2020-07</v>
      </c>
      <c r="F153" s="24">
        <f t="shared" si="7"/>
        <v>-3017837</v>
      </c>
      <c r="G153" s="25" t="str">
        <f t="shared" si="8"/>
        <v>Lai phat sinh</v>
      </c>
    </row>
    <row r="154" spans="1:7" x14ac:dyDescent="0.3">
      <c r="A154" s="48">
        <v>44054</v>
      </c>
      <c r="B154" s="31">
        <v>-1421753.42</v>
      </c>
      <c r="C154" t="s">
        <v>41</v>
      </c>
      <c r="D154" s="17"/>
      <c r="E154" s="23" t="str">
        <f t="shared" si="6"/>
        <v>Lai 2020-07</v>
      </c>
      <c r="F154" s="24">
        <f t="shared" si="7"/>
        <v>-3017837</v>
      </c>
      <c r="G154" s="25" t="str">
        <f t="shared" si="8"/>
        <v>Lai phat sinh</v>
      </c>
    </row>
    <row r="155" spans="1:7" x14ac:dyDescent="0.3">
      <c r="A155" s="48">
        <v>44023</v>
      </c>
      <c r="B155" s="31">
        <v>-1427088.67</v>
      </c>
      <c r="C155" t="s">
        <v>41</v>
      </c>
      <c r="D155" s="17"/>
      <c r="E155" s="23" t="str">
        <f t="shared" si="6"/>
        <v>Lai 2020-06</v>
      </c>
      <c r="F155" s="24">
        <f t="shared" si="7"/>
        <v>-2842274</v>
      </c>
      <c r="G155" s="25" t="str">
        <f t="shared" si="8"/>
        <v>Lai phat sinh</v>
      </c>
    </row>
    <row r="156" spans="1:7" x14ac:dyDescent="0.3">
      <c r="A156" s="48">
        <v>44023</v>
      </c>
      <c r="B156" s="31">
        <v>-39295.29</v>
      </c>
      <c r="C156" t="s">
        <v>41</v>
      </c>
      <c r="D156" s="17"/>
      <c r="E156" s="23" t="str">
        <f t="shared" si="6"/>
        <v>Lai 2020-06</v>
      </c>
      <c r="F156" s="24">
        <f t="shared" si="7"/>
        <v>-2842274</v>
      </c>
      <c r="G156" s="25" t="str">
        <f t="shared" si="8"/>
        <v>Lai phat sinh</v>
      </c>
    </row>
    <row r="157" spans="1:7" x14ac:dyDescent="0.3">
      <c r="A157" s="48">
        <v>44023</v>
      </c>
      <c r="B157" s="31">
        <v>-1375890.41</v>
      </c>
      <c r="C157" t="s">
        <v>41</v>
      </c>
      <c r="D157" s="17"/>
      <c r="E157" s="23" t="str">
        <f t="shared" si="6"/>
        <v>Lai 2020-06</v>
      </c>
      <c r="F157" s="24">
        <f t="shared" si="7"/>
        <v>-2842274</v>
      </c>
      <c r="G157" s="25" t="str">
        <f t="shared" si="8"/>
        <v>Lai phat sinh</v>
      </c>
    </row>
    <row r="158" spans="1:7" x14ac:dyDescent="0.3">
      <c r="A158" s="48">
        <v>43993</v>
      </c>
      <c r="B158" s="31">
        <v>-1393453.09</v>
      </c>
      <c r="C158" t="s">
        <v>41</v>
      </c>
      <c r="D158" s="17"/>
      <c r="E158" s="23" t="str">
        <f t="shared" si="6"/>
        <v>Lai 2020-05</v>
      </c>
      <c r="F158" s="24">
        <f t="shared" si="7"/>
        <v>-2855812</v>
      </c>
      <c r="G158" s="25" t="str">
        <f t="shared" si="8"/>
        <v>Lai phat sinh</v>
      </c>
    </row>
    <row r="159" spans="1:7" x14ac:dyDescent="0.3">
      <c r="A159" s="48">
        <v>43993</v>
      </c>
      <c r="B159" s="31">
        <v>-40605.14</v>
      </c>
      <c r="C159" t="s">
        <v>41</v>
      </c>
      <c r="D159" s="17"/>
      <c r="E159" s="23" t="str">
        <f t="shared" si="6"/>
        <v>Lai 2020-05</v>
      </c>
      <c r="F159" s="24">
        <f t="shared" si="7"/>
        <v>-2855812</v>
      </c>
      <c r="G159" s="25" t="str">
        <f t="shared" si="8"/>
        <v>Lai phat sinh</v>
      </c>
    </row>
    <row r="160" spans="1:7" x14ac:dyDescent="0.3">
      <c r="A160" s="48">
        <v>43993</v>
      </c>
      <c r="B160" s="31">
        <v>-1421753.42</v>
      </c>
      <c r="C160" t="s">
        <v>41</v>
      </c>
      <c r="D160" s="17"/>
      <c r="E160" s="23" t="str">
        <f t="shared" si="6"/>
        <v>Lai 2020-05</v>
      </c>
      <c r="F160" s="24">
        <f t="shared" si="7"/>
        <v>-2855812</v>
      </c>
      <c r="G160" s="25" t="str">
        <f t="shared" si="8"/>
        <v>Lai phat sinh</v>
      </c>
    </row>
    <row r="161" spans="1:7" x14ac:dyDescent="0.3">
      <c r="A161" s="48">
        <v>43962</v>
      </c>
      <c r="B161" s="31">
        <v>-1274489.04</v>
      </c>
      <c r="C161" t="s">
        <v>41</v>
      </c>
      <c r="D161" s="17"/>
      <c r="E161" s="23" t="str">
        <f t="shared" si="6"/>
        <v>Lai 2020-04</v>
      </c>
      <c r="F161" s="24">
        <f t="shared" si="7"/>
        <v>-2689675</v>
      </c>
      <c r="G161" s="25" t="str">
        <f t="shared" si="8"/>
        <v>Lai phat sinh</v>
      </c>
    </row>
    <row r="162" spans="1:7" x14ac:dyDescent="0.3">
      <c r="A162" s="48">
        <v>43962</v>
      </c>
      <c r="B162" s="31">
        <v>-39295.29</v>
      </c>
      <c r="C162" t="s">
        <v>41</v>
      </c>
      <c r="D162" s="17"/>
      <c r="E162" s="23" t="str">
        <f t="shared" si="6"/>
        <v>Lai 2020-04</v>
      </c>
      <c r="F162" s="24">
        <f t="shared" si="7"/>
        <v>-2689675</v>
      </c>
      <c r="G162" s="25" t="str">
        <f t="shared" si="8"/>
        <v>Lai phat sinh</v>
      </c>
    </row>
    <row r="163" spans="1:7" x14ac:dyDescent="0.3">
      <c r="A163" s="48">
        <v>43962</v>
      </c>
      <c r="B163" s="31">
        <v>-1375890.41</v>
      </c>
      <c r="C163" t="s">
        <v>41</v>
      </c>
      <c r="D163" s="17"/>
      <c r="E163" s="23" t="str">
        <f t="shared" si="6"/>
        <v>Lai 2020-04</v>
      </c>
      <c r="F163" s="24">
        <f t="shared" si="7"/>
        <v>-2689675</v>
      </c>
      <c r="G163" s="25" t="str">
        <f t="shared" si="8"/>
        <v>Lai phat sinh</v>
      </c>
    </row>
    <row r="164" spans="1:7" x14ac:dyDescent="0.3">
      <c r="A164" s="48">
        <v>43932</v>
      </c>
      <c r="B164" s="31">
        <v>-1240126.6599999999</v>
      </c>
      <c r="C164" t="s">
        <v>41</v>
      </c>
      <c r="D164" s="17"/>
      <c r="E164" s="23" t="str">
        <f t="shared" si="6"/>
        <v>Lai 2020-03</v>
      </c>
      <c r="F164" s="24">
        <f t="shared" si="7"/>
        <v>-2702485</v>
      </c>
      <c r="G164" s="25" t="str">
        <f t="shared" si="8"/>
        <v>Lai phat sinh</v>
      </c>
    </row>
    <row r="165" spans="1:7" x14ac:dyDescent="0.3">
      <c r="A165" s="48">
        <v>43932</v>
      </c>
      <c r="B165" s="31">
        <v>-40605.14</v>
      </c>
      <c r="C165" t="s">
        <v>41</v>
      </c>
      <c r="D165" s="17"/>
      <c r="E165" s="23" t="str">
        <f t="shared" si="6"/>
        <v>Lai 2020-03</v>
      </c>
      <c r="F165" s="24">
        <f t="shared" si="7"/>
        <v>-2702485</v>
      </c>
      <c r="G165" s="25" t="str">
        <f t="shared" si="8"/>
        <v>Lai phat sinh</v>
      </c>
    </row>
    <row r="166" spans="1:7" x14ac:dyDescent="0.3">
      <c r="A166" s="48">
        <v>43932</v>
      </c>
      <c r="B166" s="31">
        <v>-1421753.42</v>
      </c>
      <c r="C166" t="s">
        <v>41</v>
      </c>
      <c r="D166" s="17"/>
      <c r="E166" s="23" t="str">
        <f t="shared" si="6"/>
        <v>Lai 2020-03</v>
      </c>
      <c r="F166" s="24">
        <f t="shared" si="7"/>
        <v>-2702485</v>
      </c>
      <c r="G166" s="25" t="str">
        <f t="shared" si="8"/>
        <v>Lai phat sinh</v>
      </c>
    </row>
    <row r="167" spans="1:7" x14ac:dyDescent="0.3">
      <c r="A167" s="48">
        <v>43901</v>
      </c>
      <c r="B167" s="31">
        <v>-1094611.33</v>
      </c>
      <c r="C167" t="s">
        <v>41</v>
      </c>
      <c r="D167" s="17"/>
      <c r="E167" s="23" t="str">
        <f t="shared" si="6"/>
        <v>Lai 2020-02</v>
      </c>
      <c r="F167" s="24">
        <f t="shared" si="7"/>
        <v>-2462624</v>
      </c>
      <c r="G167" s="25" t="str">
        <f t="shared" si="8"/>
        <v>Lai phat sinh</v>
      </c>
    </row>
    <row r="168" spans="1:7" x14ac:dyDescent="0.3">
      <c r="A168" s="48">
        <v>43901</v>
      </c>
      <c r="B168" s="31">
        <v>-37985.449999999997</v>
      </c>
      <c r="C168" t="s">
        <v>41</v>
      </c>
      <c r="D168" s="17"/>
      <c r="E168" s="23" t="str">
        <f t="shared" si="6"/>
        <v>Lai 2020-02</v>
      </c>
      <c r="F168" s="24">
        <f t="shared" si="7"/>
        <v>-2462624</v>
      </c>
      <c r="G168" s="25" t="str">
        <f t="shared" si="8"/>
        <v>Lai phat sinh</v>
      </c>
    </row>
    <row r="169" spans="1:7" x14ac:dyDescent="0.3">
      <c r="A169" s="48">
        <v>43901</v>
      </c>
      <c r="B169" s="31">
        <v>-1330027.3999999999</v>
      </c>
      <c r="C169" t="s">
        <v>41</v>
      </c>
      <c r="D169" s="17"/>
      <c r="E169" s="23" t="str">
        <f t="shared" si="6"/>
        <v>Lai 2020-02</v>
      </c>
      <c r="F169" s="24">
        <f t="shared" si="7"/>
        <v>-2462624</v>
      </c>
      <c r="G169" s="25" t="str">
        <f t="shared" si="8"/>
        <v>Lai phat sinh</v>
      </c>
    </row>
    <row r="170" spans="1:7" x14ac:dyDescent="0.3">
      <c r="A170" s="48">
        <v>43872</v>
      </c>
      <c r="B170" s="31">
        <v>-1097317.21</v>
      </c>
      <c r="C170" t="s">
        <v>41</v>
      </c>
      <c r="D170" s="17"/>
      <c r="E170" s="23" t="str">
        <f t="shared" si="6"/>
        <v>Lai 2020-01</v>
      </c>
      <c r="F170" s="24">
        <f t="shared" si="7"/>
        <v>-2559676</v>
      </c>
      <c r="G170" s="25" t="str">
        <f t="shared" si="8"/>
        <v>Lai phat sinh</v>
      </c>
    </row>
    <row r="171" spans="1:7" x14ac:dyDescent="0.3">
      <c r="A171" s="48">
        <v>43872</v>
      </c>
      <c r="B171" s="31">
        <v>-40605.14</v>
      </c>
      <c r="C171" t="s">
        <v>41</v>
      </c>
      <c r="D171" s="17"/>
      <c r="E171" s="23" t="str">
        <f t="shared" si="6"/>
        <v>Lai 2020-01</v>
      </c>
      <c r="F171" s="24">
        <f t="shared" si="7"/>
        <v>-2559676</v>
      </c>
      <c r="G171" s="25" t="str">
        <f t="shared" si="8"/>
        <v>Lai phat sinh</v>
      </c>
    </row>
    <row r="172" spans="1:7" x14ac:dyDescent="0.3">
      <c r="A172" s="48">
        <v>43872</v>
      </c>
      <c r="B172" s="31">
        <v>-1421753.42</v>
      </c>
      <c r="C172" t="s">
        <v>41</v>
      </c>
      <c r="D172" s="17"/>
      <c r="E172" s="23" t="str">
        <f t="shared" si="6"/>
        <v>Lai 2020-01</v>
      </c>
      <c r="F172" s="24">
        <f t="shared" si="7"/>
        <v>-2559676</v>
      </c>
      <c r="G172" s="25" t="str">
        <f t="shared" si="8"/>
        <v>Lai phat sinh</v>
      </c>
    </row>
    <row r="173" spans="1:7" x14ac:dyDescent="0.3">
      <c r="A173" s="48">
        <v>43841</v>
      </c>
      <c r="B173" s="31">
        <v>-1026545.07</v>
      </c>
      <c r="C173" t="s">
        <v>41</v>
      </c>
      <c r="D173" s="17"/>
      <c r="E173" s="23" t="str">
        <f t="shared" si="6"/>
        <v>Lai 2019-12</v>
      </c>
      <c r="F173" s="24">
        <f t="shared" si="7"/>
        <v>-2488904</v>
      </c>
      <c r="G173" s="25" t="str">
        <f t="shared" si="8"/>
        <v>Lai phat sinh</v>
      </c>
    </row>
    <row r="174" spans="1:7" x14ac:dyDescent="0.3">
      <c r="A174" s="48">
        <v>43841</v>
      </c>
      <c r="B174" s="31">
        <v>-40605.14</v>
      </c>
      <c r="C174" t="s">
        <v>41</v>
      </c>
      <c r="D174" s="17"/>
      <c r="E174" s="23" t="str">
        <f t="shared" si="6"/>
        <v>Lai 2019-12</v>
      </c>
      <c r="F174" s="24">
        <f t="shared" si="7"/>
        <v>-2488904</v>
      </c>
      <c r="G174" s="25" t="str">
        <f t="shared" si="8"/>
        <v>Lai phat sinh</v>
      </c>
    </row>
    <row r="175" spans="1:7" x14ac:dyDescent="0.3">
      <c r="A175" s="48">
        <v>43841</v>
      </c>
      <c r="B175" s="31">
        <v>-1421753.42</v>
      </c>
      <c r="C175" t="s">
        <v>41</v>
      </c>
      <c r="D175" s="17"/>
      <c r="E175" s="23" t="str">
        <f t="shared" si="6"/>
        <v>Lai 2019-12</v>
      </c>
      <c r="F175" s="24">
        <f t="shared" si="7"/>
        <v>-2488904</v>
      </c>
      <c r="G175" s="25" t="str">
        <f t="shared" si="8"/>
        <v>Lai phat sinh</v>
      </c>
    </row>
    <row r="176" spans="1:7" x14ac:dyDescent="0.3">
      <c r="A176" s="48">
        <v>43810</v>
      </c>
      <c r="B176" s="31">
        <v>-928925.9</v>
      </c>
      <c r="C176" t="s">
        <v>41</v>
      </c>
      <c r="D176" s="17"/>
      <c r="E176" s="23" t="str">
        <f t="shared" si="6"/>
        <v>Lai 2019-11</v>
      </c>
      <c r="F176" s="24">
        <f t="shared" si="7"/>
        <v>-2344112</v>
      </c>
      <c r="G176" s="25" t="str">
        <f t="shared" si="8"/>
        <v>Lai phat sinh</v>
      </c>
    </row>
    <row r="177" spans="1:7" x14ac:dyDescent="0.3">
      <c r="A177" s="48">
        <v>43810</v>
      </c>
      <c r="B177" s="31">
        <v>-39295.29</v>
      </c>
      <c r="C177" t="s">
        <v>41</v>
      </c>
      <c r="D177" s="17"/>
      <c r="E177" s="23" t="str">
        <f t="shared" si="6"/>
        <v>Lai 2019-11</v>
      </c>
      <c r="F177" s="24">
        <f t="shared" si="7"/>
        <v>-2344112</v>
      </c>
      <c r="G177" s="25" t="str">
        <f t="shared" si="8"/>
        <v>Lai phat sinh</v>
      </c>
    </row>
    <row r="178" spans="1:7" x14ac:dyDescent="0.3">
      <c r="A178" s="48">
        <v>43810</v>
      </c>
      <c r="B178" s="31">
        <v>-1375890.41</v>
      </c>
      <c r="C178" t="s">
        <v>41</v>
      </c>
      <c r="D178" s="17"/>
      <c r="E178" s="23" t="str">
        <f t="shared" si="6"/>
        <v>Lai 2019-11</v>
      </c>
      <c r="F178" s="24">
        <f t="shared" si="7"/>
        <v>-2344112</v>
      </c>
      <c r="G178" s="25" t="str">
        <f t="shared" si="8"/>
        <v>Lai phat sinh</v>
      </c>
    </row>
    <row r="179" spans="1:7" x14ac:dyDescent="0.3">
      <c r="A179" s="48">
        <v>43780</v>
      </c>
      <c r="B179" s="31">
        <v>-892917.65</v>
      </c>
      <c r="C179" t="s">
        <v>41</v>
      </c>
      <c r="D179" s="17"/>
      <c r="E179" s="23" t="str">
        <f t="shared" si="6"/>
        <v>Lai 2019-10</v>
      </c>
      <c r="F179" s="24">
        <f t="shared" si="7"/>
        <v>-2355276</v>
      </c>
      <c r="G179" s="25" t="str">
        <f t="shared" si="8"/>
        <v>Lai phat sinh</v>
      </c>
    </row>
    <row r="180" spans="1:7" x14ac:dyDescent="0.3">
      <c r="A180" s="48">
        <v>43780</v>
      </c>
      <c r="B180" s="31">
        <v>-40605.14</v>
      </c>
      <c r="C180" t="s">
        <v>41</v>
      </c>
      <c r="D180" s="17"/>
      <c r="E180" s="23" t="str">
        <f t="shared" si="6"/>
        <v>Lai 2019-10</v>
      </c>
      <c r="F180" s="24">
        <f t="shared" si="7"/>
        <v>-2355276</v>
      </c>
      <c r="G180" s="25" t="str">
        <f t="shared" si="8"/>
        <v>Lai phat sinh</v>
      </c>
    </row>
    <row r="181" spans="1:7" x14ac:dyDescent="0.3">
      <c r="A181" s="48">
        <v>43780</v>
      </c>
      <c r="B181" s="31">
        <v>-1421753.42</v>
      </c>
      <c r="C181" t="s">
        <v>41</v>
      </c>
      <c r="D181" s="17"/>
      <c r="E181" s="23" t="str">
        <f t="shared" si="6"/>
        <v>Lai 2019-10</v>
      </c>
      <c r="F181" s="24">
        <f t="shared" si="7"/>
        <v>-2355276</v>
      </c>
      <c r="G181" s="25" t="str">
        <f t="shared" si="8"/>
        <v>Lai phat sinh</v>
      </c>
    </row>
    <row r="182" spans="1:7" x14ac:dyDescent="0.3">
      <c r="A182" s="48">
        <v>43749</v>
      </c>
      <c r="B182" s="31">
        <v>-803072.26</v>
      </c>
      <c r="C182" t="s">
        <v>41</v>
      </c>
      <c r="D182" s="17"/>
      <c r="E182" s="23" t="str">
        <f t="shared" si="6"/>
        <v>Lai 2019-09</v>
      </c>
      <c r="F182" s="24">
        <f t="shared" si="7"/>
        <v>-2218258</v>
      </c>
      <c r="G182" s="25" t="str">
        <f t="shared" si="8"/>
        <v>Lai phat sinh</v>
      </c>
    </row>
    <row r="183" spans="1:7" x14ac:dyDescent="0.3">
      <c r="A183" s="48">
        <v>43749</v>
      </c>
      <c r="B183" s="31">
        <v>-39295.29</v>
      </c>
      <c r="C183" t="s">
        <v>41</v>
      </c>
      <c r="D183" s="17"/>
      <c r="E183" s="23" t="str">
        <f t="shared" si="6"/>
        <v>Lai 2019-09</v>
      </c>
      <c r="F183" s="24">
        <f t="shared" si="7"/>
        <v>-2218258</v>
      </c>
      <c r="G183" s="25" t="str">
        <f t="shared" si="8"/>
        <v>Lai phat sinh</v>
      </c>
    </row>
    <row r="184" spans="1:7" x14ac:dyDescent="0.3">
      <c r="A184" s="48">
        <v>43749</v>
      </c>
      <c r="B184" s="31">
        <v>-1375890.41</v>
      </c>
      <c r="C184" t="s">
        <v>41</v>
      </c>
      <c r="D184" s="17"/>
      <c r="E184" s="23" t="str">
        <f t="shared" si="6"/>
        <v>Lai 2019-09</v>
      </c>
      <c r="F184" s="24">
        <f t="shared" si="7"/>
        <v>-2218258</v>
      </c>
      <c r="G184" s="25" t="str">
        <f t="shared" si="8"/>
        <v>Lai phat sinh</v>
      </c>
    </row>
    <row r="185" spans="1:7" x14ac:dyDescent="0.3">
      <c r="A185" s="48">
        <v>43719</v>
      </c>
      <c r="B185" s="31">
        <v>-762129.28</v>
      </c>
      <c r="C185" t="s">
        <v>41</v>
      </c>
      <c r="D185" s="17"/>
      <c r="E185" s="23" t="str">
        <f t="shared" si="6"/>
        <v>Lai 2019-08</v>
      </c>
      <c r="F185" s="24">
        <f t="shared" si="7"/>
        <v>-2194054</v>
      </c>
      <c r="G185" s="25" t="str">
        <f t="shared" si="8"/>
        <v>Lai phat sinh</v>
      </c>
    </row>
    <row r="186" spans="1:7" x14ac:dyDescent="0.3">
      <c r="A186" s="48">
        <v>43719</v>
      </c>
      <c r="B186" s="31">
        <v>-39760.080000000002</v>
      </c>
      <c r="C186" t="s">
        <v>41</v>
      </c>
      <c r="D186" s="17"/>
      <c r="E186" s="23" t="str">
        <f t="shared" si="6"/>
        <v>Lai 2019-08</v>
      </c>
      <c r="F186" s="24">
        <f t="shared" si="7"/>
        <v>-2194054</v>
      </c>
      <c r="G186" s="25" t="str">
        <f t="shared" si="8"/>
        <v>Lai phat sinh</v>
      </c>
    </row>
    <row r="187" spans="1:7" x14ac:dyDescent="0.3">
      <c r="A187" s="48">
        <v>43719</v>
      </c>
      <c r="B187" s="31">
        <v>-1392164.38</v>
      </c>
      <c r="C187" t="s">
        <v>41</v>
      </c>
      <c r="D187" s="17"/>
      <c r="E187" s="23" t="str">
        <f t="shared" si="6"/>
        <v>Lai 2019-08</v>
      </c>
      <c r="F187" s="24">
        <f t="shared" si="7"/>
        <v>-2194054</v>
      </c>
      <c r="G187" s="25" t="str">
        <f t="shared" si="8"/>
        <v>Lai phat sinh</v>
      </c>
    </row>
    <row r="188" spans="1:7" x14ac:dyDescent="0.3">
      <c r="A188" s="48">
        <v>43688</v>
      </c>
      <c r="B188" s="31">
        <v>-504493.15</v>
      </c>
      <c r="C188" t="s">
        <v>41</v>
      </c>
      <c r="D188" s="17"/>
      <c r="E188" s="23" t="str">
        <f t="shared" si="6"/>
        <v>Lai 2019-07</v>
      </c>
      <c r="F188" s="24">
        <f t="shared" si="7"/>
        <v>-2067799</v>
      </c>
      <c r="G188" s="25" t="str">
        <f t="shared" si="8"/>
        <v>Lai phat sinh</v>
      </c>
    </row>
    <row r="189" spans="1:7" x14ac:dyDescent="0.3">
      <c r="A189" s="48">
        <v>43688</v>
      </c>
      <c r="B189" s="31">
        <v>-14408.27</v>
      </c>
      <c r="C189" t="s">
        <v>41</v>
      </c>
      <c r="D189" s="22"/>
      <c r="E189" s="23" t="str">
        <f t="shared" si="6"/>
        <v>Lai 2019-07</v>
      </c>
      <c r="F189" s="24">
        <f t="shared" si="7"/>
        <v>-2067799</v>
      </c>
      <c r="G189" s="25" t="str">
        <f t="shared" si="8"/>
        <v>Lai phat sinh</v>
      </c>
    </row>
    <row r="190" spans="1:7" x14ac:dyDescent="0.3">
      <c r="A190" s="48">
        <v>43688</v>
      </c>
      <c r="B190" s="31">
        <v>-250413.19</v>
      </c>
      <c r="C190" t="s">
        <v>41</v>
      </c>
      <c r="D190" s="17"/>
      <c r="E190" s="23" t="str">
        <f t="shared" si="6"/>
        <v>Lai 2019-07</v>
      </c>
      <c r="F190" s="24">
        <f t="shared" si="7"/>
        <v>-2067799</v>
      </c>
      <c r="G190" s="25" t="str">
        <f t="shared" si="8"/>
        <v>Lai phat sinh</v>
      </c>
    </row>
    <row r="191" spans="1:7" x14ac:dyDescent="0.3">
      <c r="A191" s="48">
        <v>43688</v>
      </c>
      <c r="B191" s="31">
        <v>-422658.95</v>
      </c>
      <c r="C191" t="s">
        <v>41</v>
      </c>
      <c r="D191" s="17"/>
      <c r="E191" s="23" t="str">
        <f t="shared" si="6"/>
        <v>Lai 2019-07</v>
      </c>
      <c r="F191" s="24">
        <f t="shared" si="7"/>
        <v>-2067799</v>
      </c>
      <c r="G191" s="25" t="str">
        <f t="shared" si="8"/>
        <v>Lai phat sinh</v>
      </c>
    </row>
    <row r="192" spans="1:7" x14ac:dyDescent="0.3">
      <c r="A192" s="48">
        <v>43688</v>
      </c>
      <c r="B192" s="31">
        <v>-24318.95</v>
      </c>
      <c r="C192" t="s">
        <v>41</v>
      </c>
      <c r="D192" s="17"/>
      <c r="E192" s="23" t="str">
        <f t="shared" si="6"/>
        <v>Lai 2019-07</v>
      </c>
      <c r="F192" s="24">
        <f t="shared" si="7"/>
        <v>-2067799</v>
      </c>
      <c r="G192" s="25" t="str">
        <f t="shared" si="8"/>
        <v>Lai phat sinh</v>
      </c>
    </row>
    <row r="193" spans="1:7" x14ac:dyDescent="0.3">
      <c r="A193" s="48">
        <v>43688</v>
      </c>
      <c r="B193" s="31">
        <v>-851506.85</v>
      </c>
      <c r="C193" t="s">
        <v>41</v>
      </c>
      <c r="D193" s="17"/>
      <c r="E193" s="23" t="str">
        <f t="shared" si="6"/>
        <v>Lai 2019-07</v>
      </c>
      <c r="F193" s="24">
        <f t="shared" si="7"/>
        <v>-2067799</v>
      </c>
      <c r="G193" s="25" t="str">
        <f t="shared" si="8"/>
        <v>Lai phat sinh</v>
      </c>
    </row>
    <row r="194" spans="1:7" x14ac:dyDescent="0.3">
      <c r="A194" s="48">
        <v>43668</v>
      </c>
      <c r="B194" s="29">
        <v>-103581.89</v>
      </c>
      <c r="C194" t="s">
        <v>41</v>
      </c>
      <c r="E194" t="str">
        <f t="shared" ref="E194:E257" si="9">IF(OR(C194="Transaction",C194="Interests",C194="Misc",C194="Account Transfer"), IF(C194="Transaction", IF(B194&lt;0, "Du no", "Da thanh toan"), IF(C194="Interests", "Lai", IF(C194="Misc", "Phi", IF(C194="Account Transfer", IF(OR(ISNUMBER(SEARCH("Trich lai tra gop the TD", D194)), ISNUMBER(SEARCH("Chuyen lai tra gop con lai sang du no thong thuong khi BadDebt", D194))), IF(B194&lt;0, "Lai tra gop", ""), "" )))))) &amp; " " &amp; IF(C194="Interests", TEXT(EDATE(IF(DAY(A194)&gt;=11, A194, EDATE(A194,-1)), -1),"yyyy-mm"), TEXT(IF(DAY(A194)&gt;=11, A194, EDATE(A194,-1)),"yyyy-mm"))</f>
        <v>Lai 2019-06</v>
      </c>
      <c r="F194" s="7">
        <f t="shared" ref="F194:F257" si="10">IF(ISNUMBER(B194), ROUND(SUMIFS($B$2:$B$10000, $E$2:$E$10000, E194, $B$2:$B$10000, IF(B194&lt;0, "&lt;0", "&gt;0")), 0), "")</f>
        <v>-2112268</v>
      </c>
      <c r="G194" s="8" t="str">
        <f t="shared" ref="G194:G257" si="11">IF(F194&gt;0, IF(C194="Transaction", "Da thanh toan", "Duong"), IF(F194&lt;0, IF(C194="Transaction", "Du no", IF(C194="Interests", "Lai phat sinh", IF(C194="Misc", "Phi", IF(C194="Account Transfer", "Lai tra gop", "Am")))), "Bang 0"))</f>
        <v>Lai phat sinh</v>
      </c>
    </row>
    <row r="195" spans="1:7" x14ac:dyDescent="0.3">
      <c r="A195" s="48">
        <v>43657</v>
      </c>
      <c r="B195" s="29">
        <v>-617171.74</v>
      </c>
      <c r="C195" t="s">
        <v>41</v>
      </c>
      <c r="E195" t="str">
        <f t="shared" si="9"/>
        <v>Lai 2019-06</v>
      </c>
      <c r="F195" s="7">
        <f t="shared" si="10"/>
        <v>-2112268</v>
      </c>
      <c r="G195" s="8" t="str">
        <f t="shared" si="11"/>
        <v>Lai phat sinh</v>
      </c>
    </row>
    <row r="196" spans="1:7" x14ac:dyDescent="0.3">
      <c r="A196" s="48">
        <v>43657</v>
      </c>
      <c r="B196" s="29">
        <v>-38638.019999999997</v>
      </c>
      <c r="C196" t="s">
        <v>41</v>
      </c>
      <c r="E196" t="str">
        <f t="shared" si="9"/>
        <v>Lai 2019-06</v>
      </c>
      <c r="F196" s="7">
        <f t="shared" si="10"/>
        <v>-2112268</v>
      </c>
      <c r="G196" s="8" t="str">
        <f t="shared" si="11"/>
        <v>Lai phat sinh</v>
      </c>
    </row>
    <row r="197" spans="1:7" x14ac:dyDescent="0.3">
      <c r="A197" s="48">
        <v>43657</v>
      </c>
      <c r="B197" s="29">
        <v>-1352876.71</v>
      </c>
      <c r="C197" t="s">
        <v>41</v>
      </c>
      <c r="E197" t="str">
        <f t="shared" si="9"/>
        <v>Lai 2019-06</v>
      </c>
      <c r="F197" s="7">
        <f t="shared" si="10"/>
        <v>-2112268</v>
      </c>
      <c r="G197" s="8" t="str">
        <f t="shared" si="11"/>
        <v>Lai phat sinh</v>
      </c>
    </row>
    <row r="198" spans="1:7" x14ac:dyDescent="0.3">
      <c r="A198" s="48">
        <v>43627</v>
      </c>
      <c r="B198" s="29">
        <v>-551701.22</v>
      </c>
      <c r="C198" t="s">
        <v>41</v>
      </c>
      <c r="E198" t="str">
        <f t="shared" si="9"/>
        <v>Lai 2019-05</v>
      </c>
      <c r="F198" s="7">
        <f t="shared" si="10"/>
        <v>-1909231</v>
      </c>
      <c r="G198" s="8" t="str">
        <f t="shared" si="11"/>
        <v>Lai phat sinh</v>
      </c>
    </row>
    <row r="199" spans="1:7" x14ac:dyDescent="0.3">
      <c r="A199" s="48">
        <v>43627</v>
      </c>
      <c r="B199" s="29">
        <v>-37694.370000000003</v>
      </c>
      <c r="C199" t="s">
        <v>41</v>
      </c>
      <c r="E199" t="str">
        <f t="shared" si="9"/>
        <v>Lai 2019-05</v>
      </c>
      <c r="F199" s="7">
        <f t="shared" si="10"/>
        <v>-1909231</v>
      </c>
      <c r="G199" s="8" t="str">
        <f t="shared" si="11"/>
        <v>Lai phat sinh</v>
      </c>
    </row>
    <row r="200" spans="1:7" x14ac:dyDescent="0.3">
      <c r="A200" s="48">
        <v>43627</v>
      </c>
      <c r="B200" s="29">
        <v>-1319835.6200000001</v>
      </c>
      <c r="C200" t="s">
        <v>41</v>
      </c>
      <c r="E200" t="str">
        <f t="shared" si="9"/>
        <v>Lai 2019-05</v>
      </c>
      <c r="F200" s="7">
        <f t="shared" si="10"/>
        <v>-1909231</v>
      </c>
      <c r="G200" s="8" t="str">
        <f t="shared" si="11"/>
        <v>Lai phat sinh</v>
      </c>
    </row>
    <row r="201" spans="1:7" x14ac:dyDescent="0.3">
      <c r="A201" s="48">
        <v>43596</v>
      </c>
      <c r="B201" s="29">
        <v>-487881.65</v>
      </c>
      <c r="C201" t="s">
        <v>41</v>
      </c>
      <c r="E201" t="str">
        <f t="shared" si="9"/>
        <v>Lai 2019-04</v>
      </c>
      <c r="F201" s="7">
        <f t="shared" si="10"/>
        <v>-1801620</v>
      </c>
      <c r="G201" s="8" t="str">
        <f t="shared" si="11"/>
        <v>Lai phat sinh</v>
      </c>
    </row>
    <row r="202" spans="1:7" x14ac:dyDescent="0.3">
      <c r="A202" s="48">
        <v>43596</v>
      </c>
      <c r="B202" s="29">
        <v>-36478.43</v>
      </c>
      <c r="C202" t="s">
        <v>41</v>
      </c>
      <c r="E202" t="str">
        <f t="shared" si="9"/>
        <v>Lai 2019-04</v>
      </c>
      <c r="F202" s="7">
        <f t="shared" si="10"/>
        <v>-1801620</v>
      </c>
      <c r="G202" s="8" t="str">
        <f t="shared" si="11"/>
        <v>Lai phat sinh</v>
      </c>
    </row>
    <row r="203" spans="1:7" x14ac:dyDescent="0.3">
      <c r="A203" s="48">
        <v>43596</v>
      </c>
      <c r="B203" s="29">
        <v>-1277260.27</v>
      </c>
      <c r="C203" t="s">
        <v>41</v>
      </c>
      <c r="E203" t="str">
        <f t="shared" si="9"/>
        <v>Lai 2019-04</v>
      </c>
      <c r="F203" s="7">
        <f t="shared" si="10"/>
        <v>-1801620</v>
      </c>
      <c r="G203" s="8" t="str">
        <f t="shared" si="11"/>
        <v>Lai phat sinh</v>
      </c>
    </row>
    <row r="204" spans="1:7" x14ac:dyDescent="0.3">
      <c r="A204" s="48">
        <v>43566</v>
      </c>
      <c r="B204" s="29">
        <v>-456266.12</v>
      </c>
      <c r="C204" t="s">
        <v>41</v>
      </c>
      <c r="E204" t="str">
        <f t="shared" si="9"/>
        <v>Lai 2019-03</v>
      </c>
      <c r="F204" s="7">
        <f t="shared" si="10"/>
        <v>-1813796</v>
      </c>
      <c r="G204" s="8" t="str">
        <f t="shared" si="11"/>
        <v>Lai phat sinh</v>
      </c>
    </row>
    <row r="205" spans="1:7" x14ac:dyDescent="0.3">
      <c r="A205" s="48">
        <v>43566</v>
      </c>
      <c r="B205" s="29">
        <v>-37694.370000000003</v>
      </c>
      <c r="C205" t="s">
        <v>41</v>
      </c>
      <c r="E205" t="str">
        <f t="shared" si="9"/>
        <v>Lai 2019-03</v>
      </c>
      <c r="F205" s="7">
        <f t="shared" si="10"/>
        <v>-1813796</v>
      </c>
      <c r="G205" s="8" t="str">
        <f t="shared" si="11"/>
        <v>Lai phat sinh</v>
      </c>
    </row>
    <row r="206" spans="1:7" x14ac:dyDescent="0.3">
      <c r="A206" s="48">
        <v>43566</v>
      </c>
      <c r="B206" s="29">
        <v>-1319835.6200000001</v>
      </c>
      <c r="C206" t="s">
        <v>41</v>
      </c>
      <c r="E206" t="str">
        <f t="shared" si="9"/>
        <v>Lai 2019-03</v>
      </c>
      <c r="F206" s="7">
        <f t="shared" si="10"/>
        <v>-1813796</v>
      </c>
      <c r="G206" s="8" t="str">
        <f t="shared" si="11"/>
        <v>Lai phat sinh</v>
      </c>
    </row>
    <row r="207" spans="1:7" x14ac:dyDescent="0.3">
      <c r="A207" s="48">
        <v>43535</v>
      </c>
      <c r="B207" s="29">
        <v>-373961.03</v>
      </c>
      <c r="C207" t="s">
        <v>41</v>
      </c>
      <c r="E207" t="str">
        <f t="shared" si="9"/>
        <v>Lai 2019-02</v>
      </c>
      <c r="F207" s="7">
        <f t="shared" si="10"/>
        <v>-1600117</v>
      </c>
      <c r="G207" s="8" t="str">
        <f t="shared" si="11"/>
        <v>Lai phat sinh</v>
      </c>
    </row>
    <row r="208" spans="1:7" x14ac:dyDescent="0.3">
      <c r="A208" s="48">
        <v>43535</v>
      </c>
      <c r="B208" s="29">
        <v>-34046.53</v>
      </c>
      <c r="C208" t="s">
        <v>41</v>
      </c>
      <c r="E208" t="str">
        <f t="shared" si="9"/>
        <v>Lai 2019-02</v>
      </c>
      <c r="F208" s="7">
        <f t="shared" si="10"/>
        <v>-1600117</v>
      </c>
      <c r="G208" s="8" t="str">
        <f t="shared" si="11"/>
        <v>Lai phat sinh</v>
      </c>
    </row>
    <row r="209" spans="1:7" x14ac:dyDescent="0.3">
      <c r="A209" s="48">
        <v>43535</v>
      </c>
      <c r="B209" s="29">
        <v>-1192109.5900000001</v>
      </c>
      <c r="C209" t="s">
        <v>41</v>
      </c>
      <c r="E209" t="str">
        <f t="shared" si="9"/>
        <v>Lai 2019-02</v>
      </c>
      <c r="F209" s="7">
        <f t="shared" si="10"/>
        <v>-1600117</v>
      </c>
      <c r="G209" s="8" t="str">
        <f t="shared" si="11"/>
        <v>Lai phat sinh</v>
      </c>
    </row>
    <row r="210" spans="1:7" x14ac:dyDescent="0.3">
      <c r="A210" s="48">
        <v>43507</v>
      </c>
      <c r="B210" s="29">
        <v>-368467.62</v>
      </c>
      <c r="C210" t="s">
        <v>41</v>
      </c>
      <c r="E210" t="str">
        <f t="shared" si="9"/>
        <v>Lai 2019-01</v>
      </c>
      <c r="F210" s="7">
        <f t="shared" si="10"/>
        <v>-1725998</v>
      </c>
      <c r="G210" s="8" t="str">
        <f t="shared" si="11"/>
        <v>Lai phat sinh</v>
      </c>
    </row>
    <row r="211" spans="1:7" x14ac:dyDescent="0.3">
      <c r="A211" s="48">
        <v>43507</v>
      </c>
      <c r="B211" s="29">
        <v>-37694.370000000003</v>
      </c>
      <c r="C211" t="s">
        <v>41</v>
      </c>
      <c r="E211" t="str">
        <f t="shared" si="9"/>
        <v>Lai 2019-01</v>
      </c>
      <c r="F211" s="7">
        <f t="shared" si="10"/>
        <v>-1725998</v>
      </c>
      <c r="G211" s="8" t="str">
        <f t="shared" si="11"/>
        <v>Lai phat sinh</v>
      </c>
    </row>
    <row r="212" spans="1:7" x14ac:dyDescent="0.3">
      <c r="A212" s="48">
        <v>43507</v>
      </c>
      <c r="B212" s="29">
        <v>-1319835.6200000001</v>
      </c>
      <c r="C212" t="s">
        <v>41</v>
      </c>
      <c r="E212" t="str">
        <f t="shared" si="9"/>
        <v>Lai 2019-01</v>
      </c>
      <c r="F212" s="7">
        <f t="shared" si="10"/>
        <v>-1725998</v>
      </c>
      <c r="G212" s="8" t="str">
        <f t="shared" si="11"/>
        <v>Lai phat sinh</v>
      </c>
    </row>
    <row r="213" spans="1:7" x14ac:dyDescent="0.3">
      <c r="A213" s="48">
        <v>43476</v>
      </c>
      <c r="B213" s="29">
        <v>-324078.68</v>
      </c>
      <c r="C213" t="s">
        <v>41</v>
      </c>
      <c r="E213" t="str">
        <f t="shared" si="9"/>
        <v>Lai 2018-12</v>
      </c>
      <c r="F213" s="7">
        <f t="shared" si="10"/>
        <v>-1681609</v>
      </c>
      <c r="G213" s="8" t="str">
        <f t="shared" si="11"/>
        <v>Lai phat sinh</v>
      </c>
    </row>
    <row r="214" spans="1:7" x14ac:dyDescent="0.3">
      <c r="A214" s="48">
        <v>43476</v>
      </c>
      <c r="B214" s="29">
        <v>-37694.370000000003</v>
      </c>
      <c r="C214" t="s">
        <v>41</v>
      </c>
      <c r="E214" t="str">
        <f t="shared" si="9"/>
        <v>Lai 2018-12</v>
      </c>
      <c r="F214" s="7">
        <f t="shared" si="10"/>
        <v>-1681609</v>
      </c>
      <c r="G214" s="8" t="str">
        <f t="shared" si="11"/>
        <v>Lai phat sinh</v>
      </c>
    </row>
    <row r="215" spans="1:7" x14ac:dyDescent="0.3">
      <c r="A215" s="48">
        <v>43476</v>
      </c>
      <c r="B215" s="29">
        <v>-1319835.6200000001</v>
      </c>
      <c r="C215" t="s">
        <v>41</v>
      </c>
      <c r="E215" t="str">
        <f t="shared" si="9"/>
        <v>Lai 2018-12</v>
      </c>
      <c r="F215" s="7">
        <f t="shared" si="10"/>
        <v>-1681609</v>
      </c>
      <c r="G215" s="8" t="str">
        <f t="shared" si="11"/>
        <v>Lai phat sinh</v>
      </c>
    </row>
    <row r="216" spans="1:7" x14ac:dyDescent="0.3">
      <c r="A216" s="48">
        <v>43445</v>
      </c>
      <c r="B216" s="29">
        <v>-9727.58</v>
      </c>
      <c r="C216" t="s">
        <v>41</v>
      </c>
      <c r="E216" t="str">
        <f t="shared" si="9"/>
        <v>Lai 2018-11</v>
      </c>
      <c r="F216" s="7">
        <f t="shared" si="10"/>
        <v>-1585433</v>
      </c>
      <c r="G216" s="8" t="str">
        <f t="shared" si="11"/>
        <v>Lai phat sinh</v>
      </c>
    </row>
    <row r="217" spans="1:7" x14ac:dyDescent="0.3">
      <c r="A217" s="48">
        <v>43445</v>
      </c>
      <c r="B217" s="29">
        <v>-72833.149999999994</v>
      </c>
      <c r="C217" t="s">
        <v>41</v>
      </c>
      <c r="E217" t="str">
        <f t="shared" si="9"/>
        <v>Lai 2018-11</v>
      </c>
      <c r="F217" s="7">
        <f t="shared" si="10"/>
        <v>-1585433</v>
      </c>
      <c r="G217" s="8" t="str">
        <f t="shared" si="11"/>
        <v>Lai phat sinh</v>
      </c>
    </row>
    <row r="218" spans="1:7" x14ac:dyDescent="0.3">
      <c r="A218" s="48">
        <v>43445</v>
      </c>
      <c r="B218" s="29">
        <v>-208806.24</v>
      </c>
      <c r="C218" t="s">
        <v>41</v>
      </c>
      <c r="E218" t="str">
        <f t="shared" si="9"/>
        <v>Lai 2018-11</v>
      </c>
      <c r="F218" s="7">
        <f t="shared" si="10"/>
        <v>-1585433</v>
      </c>
      <c r="G218" s="8" t="str">
        <f t="shared" si="11"/>
        <v>Lai phat sinh</v>
      </c>
    </row>
    <row r="219" spans="1:7" x14ac:dyDescent="0.3">
      <c r="A219" s="48">
        <v>43445</v>
      </c>
      <c r="B219" s="29">
        <v>-16805.3</v>
      </c>
      <c r="C219" t="s">
        <v>41</v>
      </c>
      <c r="E219" t="str">
        <f t="shared" si="9"/>
        <v>Lai 2018-11</v>
      </c>
      <c r="F219" s="7">
        <f t="shared" si="10"/>
        <v>-1585433</v>
      </c>
      <c r="G219" s="8" t="str">
        <f t="shared" si="11"/>
        <v>Lai phat sinh</v>
      </c>
    </row>
    <row r="220" spans="1:7" x14ac:dyDescent="0.3">
      <c r="A220" s="48">
        <v>43445</v>
      </c>
      <c r="B220" s="29">
        <v>-340602.74</v>
      </c>
      <c r="C220" t="s">
        <v>41</v>
      </c>
      <c r="E220" t="str">
        <f t="shared" si="9"/>
        <v>Lai 2018-11</v>
      </c>
      <c r="F220" s="7">
        <f t="shared" si="10"/>
        <v>-1585433</v>
      </c>
      <c r="G220" s="8" t="str">
        <f t="shared" si="11"/>
        <v>Lai phat sinh</v>
      </c>
    </row>
    <row r="221" spans="1:7" x14ac:dyDescent="0.3">
      <c r="A221" s="48">
        <v>43445</v>
      </c>
      <c r="B221" s="29">
        <v>-936657.53</v>
      </c>
      <c r="C221" t="s">
        <v>41</v>
      </c>
      <c r="E221" t="str">
        <f t="shared" si="9"/>
        <v>Lai 2018-11</v>
      </c>
      <c r="F221" s="7">
        <f t="shared" si="10"/>
        <v>-1585433</v>
      </c>
      <c r="G221" s="8" t="str">
        <f t="shared" si="11"/>
        <v>Lai phat sinh</v>
      </c>
    </row>
    <row r="222" spans="1:7" x14ac:dyDescent="0.3">
      <c r="A222" s="48">
        <v>43417</v>
      </c>
      <c r="B222" s="29">
        <v>5000000</v>
      </c>
      <c r="C222" t="s">
        <v>43</v>
      </c>
      <c r="D222" t="s">
        <v>742</v>
      </c>
      <c r="E222" t="str">
        <f t="shared" si="9"/>
        <v>Da thanh toan 2018-11</v>
      </c>
      <c r="F222" s="7">
        <f t="shared" si="10"/>
        <v>5000000</v>
      </c>
      <c r="G222" s="8" t="str">
        <f t="shared" si="11"/>
        <v>Da thanh toan</v>
      </c>
    </row>
    <row r="223" spans="1:7" x14ac:dyDescent="0.3">
      <c r="A223" s="48">
        <v>43415</v>
      </c>
      <c r="B223" s="29">
        <v>-369007.06</v>
      </c>
      <c r="C223" t="s">
        <v>41</v>
      </c>
      <c r="E223" t="str">
        <f t="shared" si="9"/>
        <v>Lai 2018-10</v>
      </c>
      <c r="F223" s="7">
        <f t="shared" si="10"/>
        <v>-1712523</v>
      </c>
      <c r="G223" s="8" t="str">
        <f t="shared" si="11"/>
        <v>Lai phat sinh</v>
      </c>
    </row>
    <row r="224" spans="1:7" x14ac:dyDescent="0.3">
      <c r="A224" s="48">
        <v>43415</v>
      </c>
      <c r="B224" s="29">
        <v>-23680.2</v>
      </c>
      <c r="C224" t="s">
        <v>41</v>
      </c>
      <c r="E224" t="str">
        <f t="shared" si="9"/>
        <v>Lai 2018-10</v>
      </c>
      <c r="F224" s="7">
        <f t="shared" si="10"/>
        <v>-1712523</v>
      </c>
      <c r="G224" s="8" t="str">
        <f t="shared" si="11"/>
        <v>Lai phat sinh</v>
      </c>
    </row>
    <row r="225" spans="1:7" x14ac:dyDescent="0.3">
      <c r="A225" s="48">
        <v>43415</v>
      </c>
      <c r="B225" s="29">
        <v>-1319835.6200000001</v>
      </c>
      <c r="C225" t="s">
        <v>41</v>
      </c>
      <c r="E225" t="str">
        <f t="shared" si="9"/>
        <v>Lai 2018-10</v>
      </c>
      <c r="F225" s="7">
        <f t="shared" si="10"/>
        <v>-1712523</v>
      </c>
      <c r="G225" s="8" t="str">
        <f t="shared" si="11"/>
        <v>Lai phat sinh</v>
      </c>
    </row>
    <row r="226" spans="1:7" x14ac:dyDescent="0.3">
      <c r="A226" s="48">
        <v>43384</v>
      </c>
      <c r="B226" s="29">
        <v>-315822.58</v>
      </c>
      <c r="C226" t="s">
        <v>41</v>
      </c>
      <c r="E226" t="str">
        <f t="shared" si="9"/>
        <v>Lai 2018-09</v>
      </c>
      <c r="F226" s="7">
        <f t="shared" si="10"/>
        <v>-1615999</v>
      </c>
      <c r="G226" s="8" t="str">
        <f t="shared" si="11"/>
        <v>Lai phat sinh</v>
      </c>
    </row>
    <row r="227" spans="1:7" x14ac:dyDescent="0.3">
      <c r="A227" s="48">
        <v>43384</v>
      </c>
      <c r="B227" s="29">
        <v>-22916.32</v>
      </c>
      <c r="C227" t="s">
        <v>41</v>
      </c>
      <c r="E227" t="str">
        <f t="shared" si="9"/>
        <v>Lai 2018-09</v>
      </c>
      <c r="F227" s="7">
        <f t="shared" si="10"/>
        <v>-1615999</v>
      </c>
      <c r="G227" s="8" t="str">
        <f t="shared" si="11"/>
        <v>Lai phat sinh</v>
      </c>
    </row>
    <row r="228" spans="1:7" x14ac:dyDescent="0.3">
      <c r="A228" s="48">
        <v>43384</v>
      </c>
      <c r="B228" s="29">
        <v>-1277260.27</v>
      </c>
      <c r="C228" t="s">
        <v>41</v>
      </c>
      <c r="E228" t="str">
        <f t="shared" si="9"/>
        <v>Lai 2018-09</v>
      </c>
      <c r="F228" s="7">
        <f t="shared" si="10"/>
        <v>-1615999</v>
      </c>
      <c r="G228" s="8" t="str">
        <f t="shared" si="11"/>
        <v>Lai phat sinh</v>
      </c>
    </row>
    <row r="229" spans="1:7" x14ac:dyDescent="0.3">
      <c r="A229" s="48">
        <v>43354</v>
      </c>
      <c r="B229" s="29">
        <v>-283404.65000000002</v>
      </c>
      <c r="C229" t="s">
        <v>41</v>
      </c>
      <c r="E229" t="str">
        <f t="shared" si="9"/>
        <v>Lai 2018-08</v>
      </c>
      <c r="F229" s="7">
        <f t="shared" si="10"/>
        <v>-1626920</v>
      </c>
      <c r="G229" s="8" t="str">
        <f t="shared" si="11"/>
        <v>Lai phat sinh</v>
      </c>
    </row>
    <row r="230" spans="1:7" x14ac:dyDescent="0.3">
      <c r="A230" s="48">
        <v>43354</v>
      </c>
      <c r="B230" s="29">
        <v>-23680.2</v>
      </c>
      <c r="C230" t="s">
        <v>41</v>
      </c>
      <c r="E230" t="str">
        <f t="shared" si="9"/>
        <v>Lai 2018-08</v>
      </c>
      <c r="F230" s="7">
        <f t="shared" si="10"/>
        <v>-1626920</v>
      </c>
      <c r="G230" s="8" t="str">
        <f t="shared" si="11"/>
        <v>Lai phat sinh</v>
      </c>
    </row>
    <row r="231" spans="1:7" x14ac:dyDescent="0.3">
      <c r="A231" s="48">
        <v>43354</v>
      </c>
      <c r="B231" s="29">
        <v>-1319835.6200000001</v>
      </c>
      <c r="C231" t="s">
        <v>41</v>
      </c>
      <c r="E231" t="str">
        <f t="shared" si="9"/>
        <v>Lai 2018-08</v>
      </c>
      <c r="F231" s="7">
        <f t="shared" si="10"/>
        <v>-1626920</v>
      </c>
      <c r="G231" s="8" t="str">
        <f t="shared" si="11"/>
        <v>Lai phat sinh</v>
      </c>
    </row>
    <row r="232" spans="1:7" x14ac:dyDescent="0.3">
      <c r="A232" s="48">
        <v>43323</v>
      </c>
      <c r="B232" s="29">
        <v>-241563.76</v>
      </c>
      <c r="C232" t="s">
        <v>41</v>
      </c>
      <c r="E232" t="str">
        <f t="shared" si="9"/>
        <v>Lai 2018-07</v>
      </c>
      <c r="F232" s="7">
        <f t="shared" si="10"/>
        <v>-1585080</v>
      </c>
      <c r="G232" s="8" t="str">
        <f t="shared" si="11"/>
        <v>Lai phat sinh</v>
      </c>
    </row>
    <row r="233" spans="1:7" x14ac:dyDescent="0.3">
      <c r="A233" s="48">
        <v>43323</v>
      </c>
      <c r="B233" s="29">
        <v>-23680.2</v>
      </c>
      <c r="C233" t="s">
        <v>41</v>
      </c>
      <c r="E233" t="str">
        <f t="shared" si="9"/>
        <v>Lai 2018-07</v>
      </c>
      <c r="F233" s="7">
        <f t="shared" si="10"/>
        <v>-1585080</v>
      </c>
      <c r="G233" s="8" t="str">
        <f t="shared" si="11"/>
        <v>Lai phat sinh</v>
      </c>
    </row>
    <row r="234" spans="1:7" x14ac:dyDescent="0.3">
      <c r="A234" s="48">
        <v>43323</v>
      </c>
      <c r="B234" s="29">
        <v>-1319835.6200000001</v>
      </c>
      <c r="C234" t="s">
        <v>41</v>
      </c>
      <c r="E234" t="str">
        <f t="shared" si="9"/>
        <v>Lai 2018-07</v>
      </c>
      <c r="F234" s="7">
        <f t="shared" si="10"/>
        <v>-1585080</v>
      </c>
      <c r="G234" s="8" t="str">
        <f t="shared" si="11"/>
        <v>Lai phat sinh</v>
      </c>
    </row>
    <row r="235" spans="1:7" x14ac:dyDescent="0.3">
      <c r="A235" s="48">
        <v>43292</v>
      </c>
      <c r="B235" s="29">
        <v>-195562.42</v>
      </c>
      <c r="C235" t="s">
        <v>41</v>
      </c>
      <c r="E235" t="str">
        <f t="shared" si="9"/>
        <v>Lai 2018-06</v>
      </c>
      <c r="F235">
        <f t="shared" si="10"/>
        <v>-1495739</v>
      </c>
      <c r="G235" t="str">
        <f t="shared" si="11"/>
        <v>Lai phat sinh</v>
      </c>
    </row>
    <row r="236" spans="1:7" x14ac:dyDescent="0.3">
      <c r="A236" s="48">
        <v>43292</v>
      </c>
      <c r="B236" s="29">
        <v>-22916.32</v>
      </c>
      <c r="C236" t="s">
        <v>41</v>
      </c>
      <c r="E236" t="str">
        <f t="shared" si="9"/>
        <v>Lai 2018-06</v>
      </c>
      <c r="F236">
        <f t="shared" si="10"/>
        <v>-1495739</v>
      </c>
      <c r="G236" t="str">
        <f t="shared" si="11"/>
        <v>Lai phat sinh</v>
      </c>
    </row>
    <row r="237" spans="1:7" x14ac:dyDescent="0.3">
      <c r="A237" s="48">
        <v>43292</v>
      </c>
      <c r="B237" s="29">
        <v>-1277260.27</v>
      </c>
      <c r="C237" t="s">
        <v>41</v>
      </c>
      <c r="E237" t="str">
        <f t="shared" si="9"/>
        <v>Lai 2018-06</v>
      </c>
      <c r="F237">
        <f t="shared" si="10"/>
        <v>-1495739</v>
      </c>
      <c r="G237" t="str">
        <f t="shared" si="11"/>
        <v>Lai phat sinh</v>
      </c>
    </row>
    <row r="238" spans="1:7" x14ac:dyDescent="0.3">
      <c r="A238" s="48">
        <v>43262</v>
      </c>
      <c r="B238" s="29">
        <v>-162331.74</v>
      </c>
      <c r="C238" t="s">
        <v>41</v>
      </c>
      <c r="E238" t="str">
        <f t="shared" si="9"/>
        <v>Lai 2018-05</v>
      </c>
      <c r="F238">
        <f t="shared" si="10"/>
        <v>-1505848</v>
      </c>
      <c r="G238" t="str">
        <f t="shared" si="11"/>
        <v>Lai phat sinh</v>
      </c>
    </row>
    <row r="239" spans="1:7" x14ac:dyDescent="0.3">
      <c r="A239" s="48">
        <v>43262</v>
      </c>
      <c r="B239" s="29">
        <v>-23680.2</v>
      </c>
      <c r="C239" t="s">
        <v>41</v>
      </c>
      <c r="E239" t="str">
        <f t="shared" si="9"/>
        <v>Lai 2018-05</v>
      </c>
      <c r="F239">
        <f t="shared" si="10"/>
        <v>-1505848</v>
      </c>
      <c r="G239" t="str">
        <f t="shared" si="11"/>
        <v>Lai phat sinh</v>
      </c>
    </row>
    <row r="240" spans="1:7" x14ac:dyDescent="0.3">
      <c r="A240" s="48">
        <v>43262</v>
      </c>
      <c r="B240" s="29">
        <v>-1319835.6200000001</v>
      </c>
      <c r="C240" t="s">
        <v>41</v>
      </c>
      <c r="E240" t="str">
        <f t="shared" si="9"/>
        <v>Lai 2018-05</v>
      </c>
      <c r="F240">
        <f t="shared" si="10"/>
        <v>-1505848</v>
      </c>
      <c r="G240" t="str">
        <f t="shared" si="11"/>
        <v>Lai phat sinh</v>
      </c>
    </row>
    <row r="241" spans="1:7" x14ac:dyDescent="0.3">
      <c r="A241" s="48">
        <v>43231</v>
      </c>
      <c r="B241" s="29">
        <v>-113995.3</v>
      </c>
      <c r="C241" t="s">
        <v>41</v>
      </c>
      <c r="E241" t="str">
        <f t="shared" si="9"/>
        <v>Lai 2018-04</v>
      </c>
      <c r="F241">
        <f t="shared" si="10"/>
        <v>-1313772</v>
      </c>
      <c r="G241" t="str">
        <f t="shared" si="11"/>
        <v>Lai phat sinh</v>
      </c>
    </row>
    <row r="242" spans="1:7" x14ac:dyDescent="0.3">
      <c r="A242" s="48">
        <v>43231</v>
      </c>
      <c r="B242" s="29">
        <v>-16223.84</v>
      </c>
      <c r="C242" t="s">
        <v>41</v>
      </c>
      <c r="E242" t="str">
        <f t="shared" si="9"/>
        <v>Lai 2018-04</v>
      </c>
      <c r="F242">
        <f t="shared" si="10"/>
        <v>-1313772</v>
      </c>
      <c r="G242" t="str">
        <f t="shared" si="11"/>
        <v>Lai phat sinh</v>
      </c>
    </row>
    <row r="243" spans="1:7" x14ac:dyDescent="0.3">
      <c r="A243" s="48">
        <v>43231</v>
      </c>
      <c r="B243" s="29">
        <v>-4922.88</v>
      </c>
      <c r="C243" t="s">
        <v>41</v>
      </c>
      <c r="E243" t="str">
        <f t="shared" si="9"/>
        <v>Lai 2018-04</v>
      </c>
      <c r="F243">
        <f t="shared" si="10"/>
        <v>-1313772</v>
      </c>
      <c r="G243" t="str">
        <f t="shared" si="11"/>
        <v>Lai phat sinh</v>
      </c>
    </row>
    <row r="244" spans="1:7" x14ac:dyDescent="0.3">
      <c r="A244" s="48">
        <v>43231</v>
      </c>
      <c r="B244" s="29">
        <v>-1178630.1399999999</v>
      </c>
      <c r="C244" t="s">
        <v>41</v>
      </c>
      <c r="E244" t="str">
        <f t="shared" si="9"/>
        <v>Lai 2018-04</v>
      </c>
      <c r="F244">
        <f t="shared" si="10"/>
        <v>-1313772</v>
      </c>
      <c r="G244" t="str">
        <f t="shared" si="11"/>
        <v>Lai phat sinh</v>
      </c>
    </row>
    <row r="245" spans="1:7" x14ac:dyDescent="0.3">
      <c r="A245" s="48">
        <v>43217</v>
      </c>
      <c r="B245" s="29">
        <v>-530905.94999999995</v>
      </c>
      <c r="C245" t="s">
        <v>42</v>
      </c>
      <c r="E245" t="str">
        <f t="shared" si="9"/>
        <v>Phi 2018-04</v>
      </c>
      <c r="F245">
        <f t="shared" si="10"/>
        <v>-530906</v>
      </c>
      <c r="G245" t="str">
        <f t="shared" si="11"/>
        <v>Phi</v>
      </c>
    </row>
    <row r="246" spans="1:7" x14ac:dyDescent="0.3">
      <c r="A246" s="48">
        <v>43201</v>
      </c>
      <c r="B246" s="29">
        <v>-85682.72</v>
      </c>
      <c r="C246" t="s">
        <v>41</v>
      </c>
      <c r="E246" t="str">
        <f t="shared" si="9"/>
        <v>Lai 2018-03</v>
      </c>
      <c r="F246">
        <f t="shared" si="10"/>
        <v>-1318333</v>
      </c>
      <c r="G246" t="str">
        <f t="shared" si="11"/>
        <v>Lai phat sinh</v>
      </c>
    </row>
    <row r="247" spans="1:7" x14ac:dyDescent="0.3">
      <c r="A247" s="48">
        <v>43201</v>
      </c>
      <c r="B247" s="29">
        <v>-2418.6999999999998</v>
      </c>
      <c r="C247" t="s">
        <v>41</v>
      </c>
      <c r="E247" t="str">
        <f t="shared" si="9"/>
        <v>Lai 2018-03</v>
      </c>
      <c r="F247">
        <f t="shared" si="10"/>
        <v>-1318333</v>
      </c>
      <c r="G247" t="str">
        <f t="shared" si="11"/>
        <v>Lai phat sinh</v>
      </c>
    </row>
    <row r="248" spans="1:7" x14ac:dyDescent="0.3">
      <c r="A248" s="48">
        <v>43201</v>
      </c>
      <c r="B248" s="29">
        <v>-9088.6</v>
      </c>
      <c r="C248" t="s">
        <v>41</v>
      </c>
      <c r="E248" t="str">
        <f t="shared" si="9"/>
        <v>Lai 2018-03</v>
      </c>
      <c r="F248">
        <f t="shared" si="10"/>
        <v>-1318333</v>
      </c>
      <c r="G248" t="str">
        <f t="shared" si="11"/>
        <v>Lai phat sinh</v>
      </c>
    </row>
    <row r="249" spans="1:7" x14ac:dyDescent="0.3">
      <c r="A249" s="48">
        <v>43201</v>
      </c>
      <c r="B249" s="29">
        <v>-3224.93</v>
      </c>
      <c r="C249" t="s">
        <v>41</v>
      </c>
      <c r="E249" t="str">
        <f t="shared" si="9"/>
        <v>Lai 2018-03</v>
      </c>
      <c r="F249">
        <f t="shared" si="10"/>
        <v>-1318333</v>
      </c>
      <c r="G249" t="str">
        <f t="shared" si="11"/>
        <v>Lai phat sinh</v>
      </c>
    </row>
    <row r="250" spans="1:7" x14ac:dyDescent="0.3">
      <c r="A250" s="48">
        <v>43201</v>
      </c>
      <c r="B250" s="29">
        <v>-1217917.81</v>
      </c>
      <c r="C250" t="s">
        <v>41</v>
      </c>
      <c r="E250" t="str">
        <f t="shared" si="9"/>
        <v>Lai 2018-03</v>
      </c>
      <c r="F250">
        <f t="shared" si="10"/>
        <v>-1318333</v>
      </c>
      <c r="G250" t="str">
        <f t="shared" si="11"/>
        <v>Lai phat sinh</v>
      </c>
    </row>
    <row r="251" spans="1:7" x14ac:dyDescent="0.3">
      <c r="A251" s="48">
        <v>43186</v>
      </c>
      <c r="B251" s="29">
        <v>-391573.42</v>
      </c>
      <c r="C251" t="s">
        <v>42</v>
      </c>
      <c r="E251" t="str">
        <f t="shared" si="9"/>
        <v>Phi 2018-03</v>
      </c>
      <c r="F251">
        <f t="shared" si="10"/>
        <v>-391573</v>
      </c>
      <c r="G251" t="str">
        <f t="shared" si="11"/>
        <v>Phi</v>
      </c>
    </row>
    <row r="252" spans="1:7" x14ac:dyDescent="0.3">
      <c r="A252" s="48">
        <v>43170</v>
      </c>
      <c r="B252" s="29">
        <v>-51862.31</v>
      </c>
      <c r="C252" t="s">
        <v>41</v>
      </c>
      <c r="E252" t="str">
        <f t="shared" si="9"/>
        <v>Lai 2018-02</v>
      </c>
      <c r="F252">
        <f t="shared" si="10"/>
        <v>-1160330</v>
      </c>
      <c r="G252" t="str">
        <f t="shared" si="11"/>
        <v>Lai phat sinh</v>
      </c>
    </row>
    <row r="253" spans="1:7" x14ac:dyDescent="0.3">
      <c r="A253" s="48">
        <v>43170</v>
      </c>
      <c r="B253" s="29">
        <v>-2934.79</v>
      </c>
      <c r="C253" t="s">
        <v>41</v>
      </c>
      <c r="E253" t="str">
        <f t="shared" si="9"/>
        <v>Lai 2018-02</v>
      </c>
      <c r="F253">
        <f t="shared" si="10"/>
        <v>-1160330</v>
      </c>
      <c r="G253" t="str">
        <f t="shared" si="11"/>
        <v>Lai phat sinh</v>
      </c>
    </row>
    <row r="254" spans="1:7" x14ac:dyDescent="0.3">
      <c r="A254" s="48">
        <v>43170</v>
      </c>
      <c r="B254" s="29">
        <v>-2347.83</v>
      </c>
      <c r="C254" t="s">
        <v>41</v>
      </c>
      <c r="E254" t="str">
        <f t="shared" si="9"/>
        <v>Lai 2018-02</v>
      </c>
      <c r="F254">
        <f t="shared" si="10"/>
        <v>-1160330</v>
      </c>
      <c r="G254" t="str">
        <f t="shared" si="11"/>
        <v>Lai phat sinh</v>
      </c>
    </row>
    <row r="255" spans="1:7" x14ac:dyDescent="0.3">
      <c r="A255" s="48">
        <v>43170</v>
      </c>
      <c r="B255" s="29">
        <v>-3130.44</v>
      </c>
      <c r="C255" t="s">
        <v>41</v>
      </c>
      <c r="E255" t="str">
        <f t="shared" si="9"/>
        <v>Lai 2018-02</v>
      </c>
      <c r="F255">
        <f t="shared" si="10"/>
        <v>-1160330</v>
      </c>
      <c r="G255" t="str">
        <f t="shared" si="11"/>
        <v>Lai phat sinh</v>
      </c>
    </row>
    <row r="256" spans="1:7" x14ac:dyDescent="0.3">
      <c r="A256" s="48">
        <v>43170</v>
      </c>
      <c r="B256" s="29">
        <v>-1100054.79</v>
      </c>
      <c r="C256" t="s">
        <v>41</v>
      </c>
      <c r="E256" t="str">
        <f t="shared" si="9"/>
        <v>Lai 2018-02</v>
      </c>
      <c r="F256">
        <f t="shared" si="10"/>
        <v>-1160330</v>
      </c>
      <c r="G256" t="str">
        <f t="shared" si="11"/>
        <v>Lai phat sinh</v>
      </c>
    </row>
    <row r="257" spans="1:7" x14ac:dyDescent="0.3">
      <c r="A257" s="48">
        <v>43158</v>
      </c>
      <c r="B257" s="29">
        <v>-256515.65</v>
      </c>
      <c r="C257" t="s">
        <v>42</v>
      </c>
      <c r="E257" t="str">
        <f t="shared" si="9"/>
        <v>Phi 2018-02</v>
      </c>
      <c r="F257">
        <f t="shared" si="10"/>
        <v>-256516</v>
      </c>
      <c r="G257" t="str">
        <f t="shared" si="11"/>
        <v>Phi</v>
      </c>
    </row>
    <row r="258" spans="1:7" x14ac:dyDescent="0.3">
      <c r="A258" s="48">
        <v>43142</v>
      </c>
      <c r="B258" s="29">
        <v>-589315.06999999995</v>
      </c>
      <c r="C258" t="s">
        <v>41</v>
      </c>
      <c r="E258" t="str">
        <f t="shared" ref="E258:E321" si="12">IF(OR(C258="Transaction",C258="Interests",C258="Misc",C258="Account Transfer"), IF(C258="Transaction", IF(B258&lt;0, "Du no", "Da thanh toan"), IF(C258="Interests", "Lai", IF(C258="Misc", "Phi", IF(C258="Account Transfer", IF(OR(ISNUMBER(SEARCH("Trich lai tra gop the TD", D258)), ISNUMBER(SEARCH("Chuyen lai tra gop con lai sang du no thong thuong khi BadDebt", D258))), IF(B258&lt;0, "Lai tra gop", ""), "" )))))) &amp; " " &amp; IF(C258="Interests", TEXT(EDATE(IF(DAY(A258)&gt;=11, A258, EDATE(A258,-1)), -1),"yyyy-mm"), TEXT(IF(DAY(A258)&gt;=11, A258, EDATE(A258,-1)),"yyyy-mm"))</f>
        <v>Lai 2018-01</v>
      </c>
      <c r="F258">
        <f t="shared" ref="F258:F321" si="13">IF(ISNUMBER(B258), ROUND(SUMIFS($B$2:$B$10000, $E$2:$E$10000, E258, $B$2:$B$10000, IF(B258&lt;0, "&lt;0", "&gt;0")), 0), "")</f>
        <v>-2357260</v>
      </c>
      <c r="G258" t="str">
        <f t="shared" ref="G258:G321" si="14">IF(F258&gt;0, IF(C258="Transaction", "Da thanh toan", "Duong"), IF(F258&lt;0, IF(C258="Transaction", "Du no", IF(C258="Interests", "Lai phat sinh", IF(C258="Misc", "Phi", IF(C258="Account Transfer", "Lai tra gop", "Am")))), "Bang 0"))</f>
        <v>Lai phat sinh</v>
      </c>
    </row>
    <row r="259" spans="1:7" x14ac:dyDescent="0.3">
      <c r="A259" s="48">
        <v>43142</v>
      </c>
      <c r="B259" s="29">
        <v>-628602.74</v>
      </c>
      <c r="C259" t="s">
        <v>41</v>
      </c>
      <c r="E259" t="str">
        <f t="shared" si="12"/>
        <v>Lai 2018-01</v>
      </c>
      <c r="F259">
        <f t="shared" si="13"/>
        <v>-2357260</v>
      </c>
      <c r="G259" t="str">
        <f t="shared" si="14"/>
        <v>Lai phat sinh</v>
      </c>
    </row>
    <row r="260" spans="1:7" x14ac:dyDescent="0.3">
      <c r="A260" s="48">
        <v>43142</v>
      </c>
      <c r="B260" s="29">
        <v>-1139342.47</v>
      </c>
      <c r="C260" t="s">
        <v>41</v>
      </c>
      <c r="E260" t="str">
        <f t="shared" si="12"/>
        <v>Lai 2018-01</v>
      </c>
      <c r="F260">
        <f t="shared" si="13"/>
        <v>-2357260</v>
      </c>
      <c r="G260" t="str">
        <f t="shared" si="14"/>
        <v>Lai phat sinh</v>
      </c>
    </row>
    <row r="261" spans="1:7" x14ac:dyDescent="0.3">
      <c r="A261" s="48">
        <v>43127</v>
      </c>
      <c r="B261" s="29">
        <v>-249000</v>
      </c>
      <c r="C261" t="s">
        <v>42</v>
      </c>
      <c r="E261" t="str">
        <f t="shared" si="12"/>
        <v>Phi 2018-01</v>
      </c>
      <c r="F261">
        <f t="shared" si="13"/>
        <v>-249000</v>
      </c>
      <c r="G261" t="str">
        <f t="shared" si="14"/>
        <v>Phi</v>
      </c>
    </row>
    <row r="262" spans="1:7" x14ac:dyDescent="0.3">
      <c r="A262" s="48">
        <v>43082</v>
      </c>
      <c r="B262" s="29">
        <v>-50000000</v>
      </c>
      <c r="C262" t="s">
        <v>43</v>
      </c>
      <c r="D262" t="s">
        <v>743</v>
      </c>
      <c r="E262" t="str">
        <f t="shared" si="12"/>
        <v>Du no 2017-12</v>
      </c>
      <c r="F262">
        <f t="shared" si="13"/>
        <v>-50000000</v>
      </c>
      <c r="G262" t="str">
        <f t="shared" si="14"/>
        <v>Du no</v>
      </c>
    </row>
    <row r="263" spans="1:7" x14ac:dyDescent="0.3">
      <c r="A263" s="48">
        <v>43081</v>
      </c>
      <c r="B263" s="29">
        <v>50000000</v>
      </c>
      <c r="C263" t="s">
        <v>43</v>
      </c>
      <c r="D263" t="s">
        <v>44</v>
      </c>
      <c r="E263" t="str">
        <f t="shared" si="12"/>
        <v>Da thanh toan 2017-12</v>
      </c>
      <c r="F263">
        <f t="shared" si="13"/>
        <v>50000000</v>
      </c>
      <c r="G263" t="str">
        <f t="shared" si="14"/>
        <v>Da thanh toan</v>
      </c>
    </row>
    <row r="264" spans="1:7" x14ac:dyDescent="0.3">
      <c r="A264" s="48">
        <v>43056</v>
      </c>
      <c r="B264" s="29">
        <v>-50000000</v>
      </c>
      <c r="C264" t="s">
        <v>43</v>
      </c>
      <c r="D264" t="s">
        <v>744</v>
      </c>
      <c r="E264" t="str">
        <f t="shared" si="12"/>
        <v>Du no 2017-11</v>
      </c>
      <c r="F264">
        <f t="shared" si="13"/>
        <v>-50000000</v>
      </c>
      <c r="G264" t="str">
        <f t="shared" si="14"/>
        <v>Du no</v>
      </c>
    </row>
    <row r="265" spans="1:7" x14ac:dyDescent="0.3">
      <c r="A265" s="48">
        <v>43054</v>
      </c>
      <c r="B265" s="29">
        <v>50000000</v>
      </c>
      <c r="C265" t="s">
        <v>43</v>
      </c>
      <c r="D265" t="s">
        <v>44</v>
      </c>
      <c r="E265" t="str">
        <f t="shared" si="12"/>
        <v>Da thanh toan 2017-11</v>
      </c>
      <c r="F265">
        <f t="shared" si="13"/>
        <v>50000000</v>
      </c>
      <c r="G265" t="str">
        <f t="shared" si="14"/>
        <v>Da thanh toan</v>
      </c>
    </row>
    <row r="266" spans="1:7" x14ac:dyDescent="0.3">
      <c r="A266" s="48">
        <v>43035</v>
      </c>
      <c r="B266" s="29">
        <v>-50000000</v>
      </c>
      <c r="C266" t="s">
        <v>43</v>
      </c>
      <c r="D266" t="s">
        <v>745</v>
      </c>
      <c r="E266" t="str">
        <f t="shared" si="12"/>
        <v>Du no 2017-10</v>
      </c>
      <c r="F266">
        <f t="shared" si="13"/>
        <v>-50000000</v>
      </c>
      <c r="G266" t="str">
        <f t="shared" si="14"/>
        <v>Du no</v>
      </c>
    </row>
    <row r="267" spans="1:7" x14ac:dyDescent="0.3">
      <c r="A267" s="48">
        <v>43033</v>
      </c>
      <c r="B267" s="29">
        <v>50000000</v>
      </c>
      <c r="C267" t="s">
        <v>43</v>
      </c>
      <c r="D267" t="s">
        <v>44</v>
      </c>
      <c r="E267" t="str">
        <f t="shared" si="12"/>
        <v>Da thanh toan 2017-10</v>
      </c>
      <c r="F267">
        <f t="shared" si="13"/>
        <v>50000000</v>
      </c>
      <c r="G267" t="str">
        <f t="shared" si="14"/>
        <v>Da thanh toan</v>
      </c>
    </row>
    <row r="268" spans="1:7" x14ac:dyDescent="0.3">
      <c r="A268" s="48">
        <v>42992</v>
      </c>
      <c r="B268" s="29">
        <v>-50000000</v>
      </c>
      <c r="C268" t="s">
        <v>43</v>
      </c>
      <c r="D268" t="s">
        <v>746</v>
      </c>
      <c r="E268" t="str">
        <f t="shared" si="12"/>
        <v>Du no 2017-09</v>
      </c>
      <c r="F268">
        <f t="shared" si="13"/>
        <v>-50000000</v>
      </c>
      <c r="G268" t="str">
        <f t="shared" si="14"/>
        <v>Du no</v>
      </c>
    </row>
    <row r="269" spans="1:7" x14ac:dyDescent="0.3">
      <c r="A269" s="48">
        <v>42991</v>
      </c>
      <c r="B269" s="29">
        <v>50000000</v>
      </c>
      <c r="C269" t="s">
        <v>43</v>
      </c>
      <c r="D269" t="s">
        <v>44</v>
      </c>
      <c r="E269" t="str">
        <f t="shared" si="12"/>
        <v>Da thanh toan 2017-09</v>
      </c>
      <c r="F269">
        <f t="shared" si="13"/>
        <v>50000000</v>
      </c>
      <c r="G269" t="str">
        <f t="shared" si="14"/>
        <v>Da thanh toan</v>
      </c>
    </row>
    <row r="270" spans="1:7" x14ac:dyDescent="0.3">
      <c r="A270" s="48">
        <v>42959</v>
      </c>
      <c r="B270" s="29">
        <v>-50000000</v>
      </c>
      <c r="C270" t="s">
        <v>43</v>
      </c>
      <c r="D270" t="s">
        <v>747</v>
      </c>
      <c r="E270" t="str">
        <f t="shared" si="12"/>
        <v>Du no 2017-08</v>
      </c>
      <c r="F270">
        <f t="shared" si="13"/>
        <v>-50000000</v>
      </c>
      <c r="G270" t="str">
        <f t="shared" si="14"/>
        <v>Du no</v>
      </c>
    </row>
    <row r="271" spans="1:7" x14ac:dyDescent="0.3">
      <c r="A271" s="48">
        <v>42958</v>
      </c>
      <c r="B271" s="29">
        <v>50000000</v>
      </c>
      <c r="C271" t="s">
        <v>43</v>
      </c>
      <c r="D271" t="s">
        <v>44</v>
      </c>
      <c r="E271" t="str">
        <f t="shared" si="12"/>
        <v>Da thanh toan 2017-08</v>
      </c>
      <c r="F271">
        <f t="shared" si="13"/>
        <v>50000000</v>
      </c>
      <c r="G271" t="str">
        <f t="shared" si="14"/>
        <v>Da thanh toan</v>
      </c>
    </row>
    <row r="272" spans="1:7" x14ac:dyDescent="0.3">
      <c r="A272" s="48">
        <v>42928</v>
      </c>
      <c r="B272" s="29">
        <v>-50000000</v>
      </c>
      <c r="C272" t="s">
        <v>43</v>
      </c>
      <c r="D272" t="s">
        <v>748</v>
      </c>
      <c r="E272" t="str">
        <f t="shared" si="12"/>
        <v>Du no 2017-07</v>
      </c>
      <c r="F272">
        <f t="shared" si="13"/>
        <v>-50000000</v>
      </c>
      <c r="G272" t="str">
        <f t="shared" si="14"/>
        <v>Du no</v>
      </c>
    </row>
    <row r="273" spans="1:7" x14ac:dyDescent="0.3">
      <c r="A273" s="48">
        <v>42927</v>
      </c>
      <c r="B273" s="29">
        <v>50000000</v>
      </c>
      <c r="C273" t="s">
        <v>43</v>
      </c>
      <c r="D273" t="s">
        <v>44</v>
      </c>
      <c r="E273" t="str">
        <f t="shared" si="12"/>
        <v>Da thanh toan 2017-07</v>
      </c>
      <c r="F273">
        <f t="shared" si="13"/>
        <v>50000000</v>
      </c>
      <c r="G273" t="str">
        <f t="shared" si="14"/>
        <v>Da thanh toan</v>
      </c>
    </row>
    <row r="274" spans="1:7" x14ac:dyDescent="0.3">
      <c r="A274" s="48">
        <v>42898</v>
      </c>
      <c r="B274" s="29">
        <v>50000000</v>
      </c>
      <c r="C274" t="s">
        <v>43</v>
      </c>
      <c r="D274" t="s">
        <v>44</v>
      </c>
      <c r="E274" t="str">
        <f t="shared" si="12"/>
        <v>Da thanh toan 2017-06</v>
      </c>
      <c r="F274">
        <f t="shared" si="13"/>
        <v>50000000</v>
      </c>
      <c r="G274" t="str">
        <f t="shared" si="14"/>
        <v>Da thanh toan</v>
      </c>
    </row>
    <row r="275" spans="1:7" x14ac:dyDescent="0.3">
      <c r="A275" s="48">
        <v>42898</v>
      </c>
      <c r="B275" s="29">
        <v>-50000000</v>
      </c>
      <c r="C275" t="s">
        <v>43</v>
      </c>
      <c r="D275" t="s">
        <v>748</v>
      </c>
      <c r="E275" t="str">
        <f t="shared" si="12"/>
        <v>Du no 2017-06</v>
      </c>
      <c r="F275">
        <f t="shared" si="13"/>
        <v>-50000000</v>
      </c>
      <c r="G275" t="str">
        <f t="shared" si="14"/>
        <v>Du no</v>
      </c>
    </row>
    <row r="276" spans="1:7" x14ac:dyDescent="0.3">
      <c r="A276" s="48">
        <v>42867</v>
      </c>
      <c r="B276" s="29">
        <v>-50000000</v>
      </c>
      <c r="C276" t="s">
        <v>43</v>
      </c>
      <c r="D276" t="s">
        <v>749</v>
      </c>
      <c r="E276" t="str">
        <f t="shared" si="12"/>
        <v>Du no 2017-05</v>
      </c>
      <c r="F276">
        <f t="shared" si="13"/>
        <v>-50000000</v>
      </c>
      <c r="G276" t="str">
        <f t="shared" si="14"/>
        <v>Du no</v>
      </c>
    </row>
    <row r="277" spans="1:7" x14ac:dyDescent="0.3">
      <c r="A277" s="48">
        <v>42866</v>
      </c>
      <c r="B277" s="29">
        <v>50000000</v>
      </c>
      <c r="C277" t="s">
        <v>43</v>
      </c>
      <c r="D277" t="s">
        <v>44</v>
      </c>
      <c r="E277" t="str">
        <f t="shared" si="12"/>
        <v>Da thanh toan 2017-05</v>
      </c>
      <c r="F277">
        <f t="shared" si="13"/>
        <v>50000000</v>
      </c>
      <c r="G277" t="str">
        <f t="shared" si="14"/>
        <v>Da thanh toan</v>
      </c>
    </row>
    <row r="278" spans="1:7" x14ac:dyDescent="0.3">
      <c r="A278" s="48">
        <v>42838</v>
      </c>
      <c r="B278" s="29">
        <v>-50000000</v>
      </c>
      <c r="C278" t="s">
        <v>43</v>
      </c>
      <c r="D278" t="s">
        <v>749</v>
      </c>
      <c r="E278" t="str">
        <f t="shared" si="12"/>
        <v>Du no 2017-04</v>
      </c>
      <c r="F278">
        <f t="shared" si="13"/>
        <v>-50000000</v>
      </c>
      <c r="G278" t="str">
        <f t="shared" si="14"/>
        <v>Du no</v>
      </c>
    </row>
    <row r="279" spans="1:7" x14ac:dyDescent="0.3">
      <c r="A279" s="48">
        <v>42837</v>
      </c>
      <c r="B279" s="29">
        <v>50000000</v>
      </c>
      <c r="C279" t="s">
        <v>43</v>
      </c>
      <c r="D279" t="s">
        <v>44</v>
      </c>
      <c r="E279" t="str">
        <f t="shared" si="12"/>
        <v>Da thanh toan 2017-04</v>
      </c>
      <c r="F279">
        <f t="shared" si="13"/>
        <v>50000000</v>
      </c>
      <c r="G279" t="str">
        <f t="shared" si="14"/>
        <v>Da thanh toan</v>
      </c>
    </row>
    <row r="280" spans="1:7" x14ac:dyDescent="0.3">
      <c r="A280" s="48">
        <v>42808</v>
      </c>
      <c r="B280" s="29">
        <v>-50000000</v>
      </c>
      <c r="C280" t="s">
        <v>43</v>
      </c>
      <c r="D280" t="s">
        <v>749</v>
      </c>
      <c r="E280" t="str">
        <f t="shared" si="12"/>
        <v>Du no 2017-03</v>
      </c>
      <c r="F280">
        <f t="shared" si="13"/>
        <v>-50000000</v>
      </c>
      <c r="G280" t="str">
        <f t="shared" si="14"/>
        <v>Du no</v>
      </c>
    </row>
    <row r="281" spans="1:7" x14ac:dyDescent="0.3">
      <c r="A281" s="48">
        <v>42807</v>
      </c>
      <c r="B281" s="29">
        <v>50000000</v>
      </c>
      <c r="C281" t="s">
        <v>43</v>
      </c>
      <c r="D281" t="s">
        <v>44</v>
      </c>
      <c r="E281" t="str">
        <f t="shared" si="12"/>
        <v>Da thanh toan 2017-03</v>
      </c>
      <c r="F281">
        <f t="shared" si="13"/>
        <v>50000000</v>
      </c>
      <c r="G281" t="str">
        <f t="shared" si="14"/>
        <v>Da thanh toan</v>
      </c>
    </row>
    <row r="282" spans="1:7" x14ac:dyDescent="0.3">
      <c r="A282" s="48">
        <v>42780</v>
      </c>
      <c r="B282" s="29">
        <v>-50000000</v>
      </c>
      <c r="C282" t="s">
        <v>43</v>
      </c>
      <c r="D282" t="s">
        <v>749</v>
      </c>
      <c r="E282" t="str">
        <f t="shared" si="12"/>
        <v>Du no 2017-02</v>
      </c>
      <c r="F282">
        <f t="shared" si="13"/>
        <v>-50000000</v>
      </c>
      <c r="G282" t="str">
        <f t="shared" si="14"/>
        <v>Du no</v>
      </c>
    </row>
    <row r="283" spans="1:7" x14ac:dyDescent="0.3">
      <c r="A283" s="48">
        <v>42779</v>
      </c>
      <c r="B283" s="29">
        <v>50000000</v>
      </c>
      <c r="C283" t="s">
        <v>43</v>
      </c>
      <c r="D283" t="s">
        <v>44</v>
      </c>
      <c r="E283" t="str">
        <f t="shared" si="12"/>
        <v>Da thanh toan 2017-02</v>
      </c>
      <c r="F283">
        <f t="shared" si="13"/>
        <v>50000000</v>
      </c>
      <c r="G283" t="str">
        <f t="shared" si="14"/>
        <v>Da thanh toan</v>
      </c>
    </row>
    <row r="284" spans="1:7" x14ac:dyDescent="0.3">
      <c r="A284" s="48">
        <v>42747</v>
      </c>
      <c r="B284" s="29">
        <v>-50000000</v>
      </c>
      <c r="C284" t="s">
        <v>43</v>
      </c>
      <c r="D284" t="s">
        <v>750</v>
      </c>
      <c r="E284" t="str">
        <f t="shared" si="12"/>
        <v>Du no 2017-01</v>
      </c>
      <c r="F284">
        <f t="shared" si="13"/>
        <v>-50000000</v>
      </c>
      <c r="G284" t="str">
        <f t="shared" si="14"/>
        <v>Du no</v>
      </c>
    </row>
    <row r="285" spans="1:7" x14ac:dyDescent="0.3">
      <c r="A285" s="48">
        <v>42746</v>
      </c>
      <c r="B285" s="29">
        <v>50000000</v>
      </c>
      <c r="C285" t="s">
        <v>43</v>
      </c>
      <c r="E285" t="str">
        <f t="shared" si="12"/>
        <v>Da thanh toan 2017-01</v>
      </c>
      <c r="F285">
        <f t="shared" si="13"/>
        <v>50000000</v>
      </c>
      <c r="G285" t="str">
        <f t="shared" si="14"/>
        <v>Da thanh toan</v>
      </c>
    </row>
    <row r="286" spans="1:7" x14ac:dyDescent="0.3">
      <c r="A286" s="48">
        <v>42718</v>
      </c>
      <c r="B286" s="29">
        <v>-50000000</v>
      </c>
      <c r="C286" t="s">
        <v>43</v>
      </c>
      <c r="D286" t="s">
        <v>750</v>
      </c>
      <c r="E286" t="str">
        <f t="shared" si="12"/>
        <v>Du no 2016-12</v>
      </c>
      <c r="F286">
        <f t="shared" si="13"/>
        <v>-50000000</v>
      </c>
      <c r="G286" t="str">
        <f t="shared" si="14"/>
        <v>Du no</v>
      </c>
    </row>
    <row r="287" spans="1:7" x14ac:dyDescent="0.3">
      <c r="A287" s="48">
        <v>42717</v>
      </c>
      <c r="B287" s="29">
        <v>50000000</v>
      </c>
      <c r="C287" t="s">
        <v>43</v>
      </c>
      <c r="D287" t="s">
        <v>44</v>
      </c>
      <c r="E287" t="str">
        <f t="shared" si="12"/>
        <v>Da thanh toan 2016-12</v>
      </c>
      <c r="F287">
        <f t="shared" si="13"/>
        <v>50000000</v>
      </c>
      <c r="G287" t="str">
        <f t="shared" si="14"/>
        <v>Da thanh toan</v>
      </c>
    </row>
    <row r="288" spans="1:7" x14ac:dyDescent="0.3">
      <c r="A288" s="48">
        <v>42689</v>
      </c>
      <c r="B288" s="29">
        <v>-50000000</v>
      </c>
      <c r="C288" t="s">
        <v>43</v>
      </c>
      <c r="D288" t="s">
        <v>751</v>
      </c>
      <c r="E288" t="str">
        <f t="shared" si="12"/>
        <v>Du no 2016-11</v>
      </c>
      <c r="F288">
        <f t="shared" si="13"/>
        <v>-50000000</v>
      </c>
      <c r="G288" t="str">
        <f t="shared" si="14"/>
        <v>Du no</v>
      </c>
    </row>
    <row r="289" spans="1:7" x14ac:dyDescent="0.3">
      <c r="A289" s="48">
        <v>42685</v>
      </c>
      <c r="B289" s="29">
        <v>50000000</v>
      </c>
      <c r="C289" t="s">
        <v>43</v>
      </c>
      <c r="D289" t="s">
        <v>44</v>
      </c>
      <c r="E289" t="str">
        <f t="shared" si="12"/>
        <v>Da thanh toan 2016-11</v>
      </c>
      <c r="F289">
        <f t="shared" si="13"/>
        <v>50000000</v>
      </c>
      <c r="G289" t="str">
        <f t="shared" si="14"/>
        <v>Da thanh toan</v>
      </c>
    </row>
    <row r="290" spans="1:7" x14ac:dyDescent="0.3">
      <c r="A290" s="48">
        <v>42668</v>
      </c>
      <c r="B290" s="29">
        <v>-50000000</v>
      </c>
      <c r="C290" t="s">
        <v>43</v>
      </c>
      <c r="D290" t="s">
        <v>751</v>
      </c>
      <c r="E290" t="str">
        <f t="shared" si="12"/>
        <v>Du no 2016-10</v>
      </c>
      <c r="F290">
        <f t="shared" si="13"/>
        <v>-50000000</v>
      </c>
      <c r="G290" t="str">
        <f t="shared" si="14"/>
        <v>Du no</v>
      </c>
    </row>
    <row r="291" spans="1:7" x14ac:dyDescent="0.3">
      <c r="A291" s="48">
        <v>42667</v>
      </c>
      <c r="B291" s="29">
        <v>50000000</v>
      </c>
      <c r="C291" t="s">
        <v>43</v>
      </c>
      <c r="D291" t="s">
        <v>44</v>
      </c>
      <c r="E291" t="str">
        <f t="shared" si="12"/>
        <v>Da thanh toan 2016-10</v>
      </c>
      <c r="F291">
        <f t="shared" si="13"/>
        <v>50000000</v>
      </c>
      <c r="G291" t="str">
        <f t="shared" si="14"/>
        <v>Da thanh toan</v>
      </c>
    </row>
    <row r="292" spans="1:7" x14ac:dyDescent="0.3">
      <c r="A292" s="48">
        <v>42642</v>
      </c>
      <c r="B292" s="29">
        <v>-30000000</v>
      </c>
      <c r="C292" t="s">
        <v>43</v>
      </c>
      <c r="D292" t="s">
        <v>751</v>
      </c>
      <c r="E292" t="str">
        <f t="shared" si="12"/>
        <v>Du no 2016-09</v>
      </c>
      <c r="F292">
        <f t="shared" si="13"/>
        <v>-50000000</v>
      </c>
      <c r="G292" t="str">
        <f t="shared" si="14"/>
        <v>Du no</v>
      </c>
    </row>
    <row r="293" spans="1:7" x14ac:dyDescent="0.3">
      <c r="A293" s="48">
        <v>42639</v>
      </c>
      <c r="B293" s="29">
        <v>30000000</v>
      </c>
      <c r="C293" t="s">
        <v>43</v>
      </c>
      <c r="D293" t="s">
        <v>44</v>
      </c>
      <c r="E293" t="str">
        <f t="shared" si="12"/>
        <v>Da thanh toan 2016-09</v>
      </c>
      <c r="F293">
        <f t="shared" si="13"/>
        <v>30000000</v>
      </c>
      <c r="G293" t="str">
        <f t="shared" si="14"/>
        <v>Da thanh toan</v>
      </c>
    </row>
    <row r="294" spans="1:7" x14ac:dyDescent="0.3">
      <c r="A294" s="48">
        <v>42629</v>
      </c>
      <c r="B294" s="29">
        <v>-20000000</v>
      </c>
      <c r="C294" t="s">
        <v>43</v>
      </c>
      <c r="D294" t="s">
        <v>751</v>
      </c>
      <c r="E294" t="str">
        <f t="shared" si="12"/>
        <v>Du no 2016-09</v>
      </c>
      <c r="F294">
        <f t="shared" si="13"/>
        <v>-50000000</v>
      </c>
      <c r="G294" t="str">
        <f t="shared" si="14"/>
        <v>Du no</v>
      </c>
    </row>
    <row r="295" spans="1:7" x14ac:dyDescent="0.3">
      <c r="A295" s="48">
        <v>42621</v>
      </c>
      <c r="B295" s="29">
        <v>-30000000</v>
      </c>
      <c r="C295" t="s">
        <v>43</v>
      </c>
      <c r="D295" t="s">
        <v>751</v>
      </c>
      <c r="E295" t="str">
        <f t="shared" si="12"/>
        <v>Du no 2016-08</v>
      </c>
      <c r="F295">
        <f t="shared" si="13"/>
        <v>-30000000</v>
      </c>
      <c r="G295" t="str">
        <f t="shared" si="14"/>
        <v>Du no</v>
      </c>
    </row>
    <row r="296" spans="1:7" x14ac:dyDescent="0.3">
      <c r="A296" s="48">
        <v>46002</v>
      </c>
      <c r="B296" s="29">
        <v>-27284570.550000001</v>
      </c>
      <c r="C296" t="s">
        <v>41</v>
      </c>
      <c r="E296" t="str">
        <f t="shared" si="12"/>
        <v>Lai 2025-11</v>
      </c>
      <c r="F296">
        <f t="shared" si="13"/>
        <v>-29308438</v>
      </c>
      <c r="G296" t="str">
        <f t="shared" si="14"/>
        <v>Lai phat sinh</v>
      </c>
    </row>
    <row r="297" spans="1:7" x14ac:dyDescent="0.3">
      <c r="A297" s="48">
        <v>46002</v>
      </c>
      <c r="B297" s="29">
        <v>-56196.49</v>
      </c>
      <c r="C297" t="s">
        <v>41</v>
      </c>
      <c r="E297" t="str">
        <f t="shared" si="12"/>
        <v>Lai 2025-11</v>
      </c>
      <c r="F297">
        <f t="shared" si="13"/>
        <v>-29308438</v>
      </c>
      <c r="G297" t="str">
        <f t="shared" si="14"/>
        <v>Lai phat sinh</v>
      </c>
    </row>
    <row r="298" spans="1:7" x14ac:dyDescent="0.3">
      <c r="A298" s="48">
        <v>46002</v>
      </c>
      <c r="B298" s="29">
        <v>-1967671.23</v>
      </c>
      <c r="C298" t="s">
        <v>41</v>
      </c>
      <c r="E298" t="str">
        <f t="shared" si="12"/>
        <v>Lai 2025-11</v>
      </c>
      <c r="F298">
        <f t="shared" si="13"/>
        <v>-29308438</v>
      </c>
      <c r="G298" t="str">
        <f t="shared" si="14"/>
        <v>Lai phat sinh</v>
      </c>
    </row>
    <row r="299" spans="1:7" x14ac:dyDescent="0.3">
      <c r="A299" s="48">
        <v>45972</v>
      </c>
      <c r="B299" s="29">
        <v>-27010619.48</v>
      </c>
      <c r="C299" t="s">
        <v>41</v>
      </c>
      <c r="E299" t="str">
        <f t="shared" si="12"/>
        <v>Lai 2025-10</v>
      </c>
      <c r="F299">
        <f t="shared" si="13"/>
        <v>-29101949</v>
      </c>
      <c r="G299" t="str">
        <f t="shared" si="14"/>
        <v>Lai phat sinh</v>
      </c>
    </row>
    <row r="300" spans="1:7" x14ac:dyDescent="0.3">
      <c r="A300" s="48">
        <v>45972</v>
      </c>
      <c r="B300" s="29">
        <v>-58069.71</v>
      </c>
      <c r="C300" t="s">
        <v>41</v>
      </c>
      <c r="E300" t="str">
        <f t="shared" si="12"/>
        <v>Lai 2025-10</v>
      </c>
      <c r="F300">
        <f t="shared" si="13"/>
        <v>-29101949</v>
      </c>
      <c r="G300" t="str">
        <f t="shared" si="14"/>
        <v>Lai phat sinh</v>
      </c>
    </row>
    <row r="301" spans="1:7" x14ac:dyDescent="0.3">
      <c r="A301" s="48">
        <v>45972</v>
      </c>
      <c r="B301" s="29">
        <v>-2033260.27</v>
      </c>
      <c r="C301" t="s">
        <v>41</v>
      </c>
      <c r="E301" t="str">
        <f t="shared" si="12"/>
        <v>Lai 2025-10</v>
      </c>
      <c r="F301">
        <f t="shared" si="13"/>
        <v>-29101949</v>
      </c>
      <c r="G301" t="str">
        <f t="shared" si="14"/>
        <v>Lai phat sinh</v>
      </c>
    </row>
    <row r="302" spans="1:7" x14ac:dyDescent="0.3">
      <c r="A302" s="48">
        <v>45941</v>
      </c>
      <c r="B302" s="29">
        <v>-25072956.350000001</v>
      </c>
      <c r="C302" t="s">
        <v>41</v>
      </c>
      <c r="E302" t="str">
        <f t="shared" si="12"/>
        <v>Lai 2025-09</v>
      </c>
      <c r="F302">
        <f t="shared" si="13"/>
        <v>-27096824</v>
      </c>
      <c r="G302" t="str">
        <f t="shared" si="14"/>
        <v>Lai phat sinh</v>
      </c>
    </row>
    <row r="303" spans="1:7" x14ac:dyDescent="0.3">
      <c r="A303" s="48">
        <v>45941</v>
      </c>
      <c r="B303" s="29">
        <v>-56196.49</v>
      </c>
      <c r="C303" t="s">
        <v>41</v>
      </c>
      <c r="E303" t="str">
        <f t="shared" si="12"/>
        <v>Lai 2025-09</v>
      </c>
      <c r="F303">
        <f t="shared" si="13"/>
        <v>-27096824</v>
      </c>
      <c r="G303" t="str">
        <f t="shared" si="14"/>
        <v>Lai phat sinh</v>
      </c>
    </row>
    <row r="304" spans="1:7" x14ac:dyDescent="0.3">
      <c r="A304" s="48">
        <v>45941</v>
      </c>
      <c r="B304" s="29">
        <v>-1967671.23</v>
      </c>
      <c r="C304" t="s">
        <v>41</v>
      </c>
      <c r="E304" t="str">
        <f t="shared" si="12"/>
        <v>Lai 2025-09</v>
      </c>
      <c r="F304">
        <f t="shared" si="13"/>
        <v>-27096824</v>
      </c>
      <c r="G304" t="str">
        <f t="shared" si="14"/>
        <v>Lai phat sinh</v>
      </c>
    </row>
    <row r="305" spans="1:7" x14ac:dyDescent="0.3">
      <c r="A305" s="48">
        <v>45911</v>
      </c>
      <c r="B305" s="29">
        <v>-24814586.920000002</v>
      </c>
      <c r="C305" t="s">
        <v>41</v>
      </c>
      <c r="E305" t="str">
        <f t="shared" si="12"/>
        <v>Lai 2025-08</v>
      </c>
      <c r="F305">
        <f t="shared" si="13"/>
        <v>-26905917</v>
      </c>
      <c r="G305" t="str">
        <f t="shared" si="14"/>
        <v>Lai phat sinh</v>
      </c>
    </row>
    <row r="306" spans="1:7" x14ac:dyDescent="0.3">
      <c r="A306" s="48">
        <v>45911</v>
      </c>
      <c r="B306" s="29">
        <v>-58069.71</v>
      </c>
      <c r="C306" t="s">
        <v>41</v>
      </c>
      <c r="E306" t="str">
        <f t="shared" si="12"/>
        <v>Lai 2025-08</v>
      </c>
      <c r="F306">
        <f t="shared" si="13"/>
        <v>-26905917</v>
      </c>
      <c r="G306" t="str">
        <f t="shared" si="14"/>
        <v>Lai phat sinh</v>
      </c>
    </row>
    <row r="307" spans="1:7" x14ac:dyDescent="0.3">
      <c r="A307" s="48">
        <v>45911</v>
      </c>
      <c r="B307" s="29">
        <v>-2033260.27</v>
      </c>
      <c r="C307" t="s">
        <v>41</v>
      </c>
      <c r="E307" t="str">
        <f t="shared" si="12"/>
        <v>Lai 2025-08</v>
      </c>
      <c r="F307">
        <f t="shared" si="13"/>
        <v>-26905917</v>
      </c>
      <c r="G307" t="str">
        <f t="shared" si="14"/>
        <v>Lai phat sinh</v>
      </c>
    </row>
    <row r="308" spans="1:7" x14ac:dyDescent="0.3">
      <c r="A308" s="48">
        <v>45880</v>
      </c>
      <c r="B308" s="29">
        <v>-23763206.870000001</v>
      </c>
      <c r="C308" t="s">
        <v>41</v>
      </c>
      <c r="E308" t="str">
        <f t="shared" si="12"/>
        <v>Lai 2025-07</v>
      </c>
      <c r="F308">
        <f t="shared" si="13"/>
        <v>-25854537</v>
      </c>
      <c r="G308" t="str">
        <f t="shared" si="14"/>
        <v>Lai phat sinh</v>
      </c>
    </row>
    <row r="309" spans="1:7" x14ac:dyDescent="0.3">
      <c r="A309" s="48">
        <v>45880</v>
      </c>
      <c r="B309" s="29">
        <v>-58069.71</v>
      </c>
      <c r="C309" t="s">
        <v>41</v>
      </c>
      <c r="E309" t="str">
        <f t="shared" si="12"/>
        <v>Lai 2025-07</v>
      </c>
      <c r="F309">
        <f t="shared" si="13"/>
        <v>-25854537</v>
      </c>
      <c r="G309" t="str">
        <f t="shared" si="14"/>
        <v>Lai phat sinh</v>
      </c>
    </row>
    <row r="310" spans="1:7" x14ac:dyDescent="0.3">
      <c r="A310" s="48">
        <v>45880</v>
      </c>
      <c r="B310" s="29">
        <v>-2033260.27</v>
      </c>
      <c r="C310" t="s">
        <v>41</v>
      </c>
      <c r="E310" t="str">
        <f t="shared" si="12"/>
        <v>Lai 2025-07</v>
      </c>
      <c r="F310">
        <f t="shared" si="13"/>
        <v>-25854537</v>
      </c>
      <c r="G310" t="str">
        <f t="shared" si="14"/>
        <v>Lai phat sinh</v>
      </c>
    </row>
    <row r="311" spans="1:7" x14ac:dyDescent="0.3">
      <c r="A311" s="48">
        <v>45849</v>
      </c>
      <c r="B311" s="29">
        <v>-22049290.59</v>
      </c>
      <c r="C311" t="s">
        <v>41</v>
      </c>
      <c r="E311" t="str">
        <f t="shared" si="12"/>
        <v>Lai 2025-06</v>
      </c>
      <c r="F311">
        <f t="shared" si="13"/>
        <v>-24073158</v>
      </c>
      <c r="G311" t="str">
        <f t="shared" si="14"/>
        <v>Lai phat sinh</v>
      </c>
    </row>
    <row r="312" spans="1:7" x14ac:dyDescent="0.3">
      <c r="A312" s="48">
        <v>45849</v>
      </c>
      <c r="B312" s="29">
        <v>-56196.49</v>
      </c>
      <c r="C312" t="s">
        <v>41</v>
      </c>
      <c r="E312" t="str">
        <f t="shared" si="12"/>
        <v>Lai 2025-06</v>
      </c>
      <c r="F312">
        <f t="shared" si="13"/>
        <v>-24073158</v>
      </c>
      <c r="G312" t="str">
        <f t="shared" si="14"/>
        <v>Lai phat sinh</v>
      </c>
    </row>
    <row r="313" spans="1:7" x14ac:dyDescent="0.3">
      <c r="A313" s="48">
        <v>45849</v>
      </c>
      <c r="B313" s="29">
        <v>-1967671.23</v>
      </c>
      <c r="C313" t="s">
        <v>41</v>
      </c>
      <c r="E313" t="str">
        <f t="shared" si="12"/>
        <v>Lai 2025-06</v>
      </c>
      <c r="F313">
        <f t="shared" si="13"/>
        <v>-24073158</v>
      </c>
      <c r="G313" t="str">
        <f t="shared" si="14"/>
        <v>Lai phat sinh</v>
      </c>
    </row>
    <row r="314" spans="1:7" x14ac:dyDescent="0.3">
      <c r="A314" s="48">
        <v>45819</v>
      </c>
      <c r="B314" s="29">
        <v>-21812224.010000002</v>
      </c>
      <c r="C314" t="s">
        <v>41</v>
      </c>
      <c r="E314" t="str">
        <f t="shared" si="12"/>
        <v>Lai 2025-05</v>
      </c>
      <c r="F314">
        <f t="shared" si="13"/>
        <v>-23903554</v>
      </c>
      <c r="G314" t="str">
        <f t="shared" si="14"/>
        <v>Lai phat sinh</v>
      </c>
    </row>
    <row r="315" spans="1:7" x14ac:dyDescent="0.3">
      <c r="A315" s="48">
        <v>45819</v>
      </c>
      <c r="B315" s="29">
        <v>-58069.71</v>
      </c>
      <c r="C315" t="s">
        <v>41</v>
      </c>
      <c r="E315" t="str">
        <f t="shared" si="12"/>
        <v>Lai 2025-05</v>
      </c>
      <c r="F315">
        <f t="shared" si="13"/>
        <v>-23903554</v>
      </c>
      <c r="G315" t="str">
        <f t="shared" si="14"/>
        <v>Lai phat sinh</v>
      </c>
    </row>
    <row r="316" spans="1:7" x14ac:dyDescent="0.3">
      <c r="A316" s="48">
        <v>45819</v>
      </c>
      <c r="B316" s="29">
        <v>-2033260.27</v>
      </c>
      <c r="C316" t="s">
        <v>41</v>
      </c>
      <c r="E316" t="str">
        <f t="shared" si="12"/>
        <v>Lai 2025-05</v>
      </c>
      <c r="F316">
        <f t="shared" si="13"/>
        <v>-23903554</v>
      </c>
      <c r="G316" t="str">
        <f t="shared" si="14"/>
        <v>Lai phat sinh</v>
      </c>
    </row>
    <row r="317" spans="1:7" x14ac:dyDescent="0.3">
      <c r="A317" s="48">
        <v>45788</v>
      </c>
      <c r="B317" s="29">
        <v>-20232730.52</v>
      </c>
      <c r="C317" t="s">
        <v>41</v>
      </c>
      <c r="E317" t="str">
        <f t="shared" si="12"/>
        <v>Lai 2025-04</v>
      </c>
      <c r="F317">
        <f t="shared" si="13"/>
        <v>-22256598</v>
      </c>
      <c r="G317" t="str">
        <f t="shared" si="14"/>
        <v>Lai phat sinh</v>
      </c>
    </row>
    <row r="318" spans="1:7" x14ac:dyDescent="0.3">
      <c r="A318" s="48">
        <v>45788</v>
      </c>
      <c r="B318" s="29">
        <v>-56196.49</v>
      </c>
      <c r="C318" t="s">
        <v>41</v>
      </c>
      <c r="E318" t="str">
        <f t="shared" si="12"/>
        <v>Lai 2025-04</v>
      </c>
      <c r="F318">
        <f t="shared" si="13"/>
        <v>-22256598</v>
      </c>
      <c r="G318" t="str">
        <f t="shared" si="14"/>
        <v>Lai phat sinh</v>
      </c>
    </row>
    <row r="319" spans="1:7" x14ac:dyDescent="0.3">
      <c r="A319" s="48">
        <v>45788</v>
      </c>
      <c r="B319" s="29">
        <v>-1967671.23</v>
      </c>
      <c r="C319" t="s">
        <v>41</v>
      </c>
      <c r="E319" t="str">
        <f t="shared" si="12"/>
        <v>Lai 2025-04</v>
      </c>
      <c r="F319">
        <f t="shared" si="13"/>
        <v>-22256598</v>
      </c>
      <c r="G319" t="str">
        <f t="shared" si="14"/>
        <v>Lai phat sinh</v>
      </c>
    </row>
    <row r="320" spans="1:7" x14ac:dyDescent="0.3">
      <c r="A320" s="48">
        <v>45758</v>
      </c>
      <c r="B320" s="29">
        <v>-20008462.27</v>
      </c>
      <c r="C320" t="s">
        <v>41</v>
      </c>
      <c r="E320" t="str">
        <f t="shared" si="12"/>
        <v>Lai 2025-03</v>
      </c>
      <c r="F320">
        <f t="shared" si="13"/>
        <v>-22099792</v>
      </c>
      <c r="G320" t="str">
        <f t="shared" si="14"/>
        <v>Lai phat sinh</v>
      </c>
    </row>
    <row r="321" spans="1:7" x14ac:dyDescent="0.3">
      <c r="A321" s="48">
        <v>45758</v>
      </c>
      <c r="B321" s="29">
        <v>-58069.71</v>
      </c>
      <c r="C321" t="s">
        <v>41</v>
      </c>
      <c r="E321" t="str">
        <f t="shared" si="12"/>
        <v>Lai 2025-03</v>
      </c>
      <c r="F321">
        <f t="shared" si="13"/>
        <v>-22099792</v>
      </c>
      <c r="G321" t="str">
        <f t="shared" si="14"/>
        <v>Lai phat sinh</v>
      </c>
    </row>
    <row r="322" spans="1:7" x14ac:dyDescent="0.3">
      <c r="A322" s="48">
        <v>45758</v>
      </c>
      <c r="B322" s="29">
        <v>-2033260.27</v>
      </c>
      <c r="C322" t="s">
        <v>41</v>
      </c>
      <c r="E322" t="str">
        <f t="shared" ref="E322:E337" si="15">IF(OR(C322="Transaction",C322="Interests",C322="Misc",C322="Account Transfer"), IF(C322="Transaction", IF(B322&lt;0, "Du no", "Da thanh toan"), IF(C322="Interests", "Lai", IF(C322="Misc", "Phi", IF(C322="Account Transfer", IF(OR(ISNUMBER(SEARCH("Trich lai tra gop the TD", D322)), ISNUMBER(SEARCH("Chuyen lai tra gop con lai sang du no thong thuong khi BadDebt", D322))), IF(B322&lt;0, "Lai tra gop", ""), "" )))))) &amp; " " &amp; IF(C322="Interests", TEXT(EDATE(IF(DAY(A322)&gt;=11, A322, EDATE(A322,-1)), -1),"yyyy-mm"), TEXT(IF(DAY(A322)&gt;=11, A322, EDATE(A322,-1)),"yyyy-mm"))</f>
        <v>Lai 2025-03</v>
      </c>
      <c r="F322">
        <f t="shared" ref="F322:F337" si="16">IF(ISNUMBER(B322), ROUND(SUMIFS($B$2:$B$10000, $E$2:$E$10000, E322, $B$2:$B$10000, IF(B322&lt;0, "&lt;0", "&gt;0")), 0), "")</f>
        <v>-22099792</v>
      </c>
      <c r="G322" t="str">
        <f t="shared" ref="G322:G337" si="17">IF(F322&gt;0, IF(C322="Transaction", "Da thanh toan", "Duong"), IF(F322&lt;0, IF(C322="Transaction", "Du no", IF(C322="Interests", "Lai phat sinh", IF(C322="Misc", "Phi", IF(C322="Account Transfer", "Lai tra gop", "Am")))), "Bang 0"))</f>
        <v>Lai phat sinh</v>
      </c>
    </row>
    <row r="323" spans="1:7" x14ac:dyDescent="0.3">
      <c r="A323" s="48">
        <v>45727</v>
      </c>
      <c r="B323" s="29">
        <v>-17364966.02</v>
      </c>
      <c r="C323" t="s">
        <v>41</v>
      </c>
      <c r="E323" t="str">
        <f t="shared" si="15"/>
        <v>Lai 2025-02</v>
      </c>
      <c r="F323">
        <f t="shared" si="16"/>
        <v>-19253909</v>
      </c>
      <c r="G323" t="str">
        <f t="shared" si="17"/>
        <v>Lai phat sinh</v>
      </c>
    </row>
    <row r="324" spans="1:7" x14ac:dyDescent="0.3">
      <c r="A324" s="48">
        <v>45727</v>
      </c>
      <c r="B324" s="29">
        <v>-52450.06</v>
      </c>
      <c r="C324" t="s">
        <v>41</v>
      </c>
      <c r="E324" t="str">
        <f t="shared" si="15"/>
        <v>Lai 2025-02</v>
      </c>
      <c r="F324">
        <f t="shared" si="16"/>
        <v>-19253909</v>
      </c>
      <c r="G324" t="str">
        <f t="shared" si="17"/>
        <v>Lai phat sinh</v>
      </c>
    </row>
    <row r="325" spans="1:7" x14ac:dyDescent="0.3">
      <c r="A325" s="48">
        <v>45727</v>
      </c>
      <c r="B325" s="29">
        <v>-1836493.15</v>
      </c>
      <c r="C325" t="s">
        <v>41</v>
      </c>
      <c r="E325" t="str">
        <f t="shared" si="15"/>
        <v>Lai 2025-02</v>
      </c>
      <c r="F325">
        <f t="shared" si="16"/>
        <v>-19253909</v>
      </c>
      <c r="G325" t="str">
        <f t="shared" si="17"/>
        <v>Lai phat sinh</v>
      </c>
    </row>
    <row r="326" spans="1:7" x14ac:dyDescent="0.3">
      <c r="A326" s="48">
        <v>45699</v>
      </c>
      <c r="B326" s="29">
        <v>-18392518.199999999</v>
      </c>
      <c r="C326" t="s">
        <v>41</v>
      </c>
      <c r="E326" t="str">
        <f t="shared" si="15"/>
        <v>Lai 2025-01</v>
      </c>
      <c r="F326">
        <f t="shared" si="16"/>
        <v>-20483848</v>
      </c>
      <c r="G326" t="str">
        <f t="shared" si="17"/>
        <v>Lai phat sinh</v>
      </c>
    </row>
    <row r="327" spans="1:7" x14ac:dyDescent="0.3">
      <c r="A327" s="48">
        <v>45699</v>
      </c>
      <c r="B327" s="29">
        <v>-58069.71</v>
      </c>
      <c r="C327" t="s">
        <v>41</v>
      </c>
      <c r="E327" t="str">
        <f t="shared" si="15"/>
        <v>Lai 2025-01</v>
      </c>
      <c r="F327">
        <f t="shared" si="16"/>
        <v>-20483848</v>
      </c>
      <c r="G327" t="str">
        <f t="shared" si="17"/>
        <v>Lai phat sinh</v>
      </c>
    </row>
    <row r="328" spans="1:7" x14ac:dyDescent="0.3">
      <c r="A328" s="48">
        <v>45699</v>
      </c>
      <c r="B328" s="29">
        <v>-2033260.27</v>
      </c>
      <c r="C328" t="s">
        <v>41</v>
      </c>
      <c r="E328" t="str">
        <f t="shared" si="15"/>
        <v>Lai 2025-01</v>
      </c>
      <c r="F328">
        <f t="shared" si="16"/>
        <v>-20483848</v>
      </c>
      <c r="G328" t="str">
        <f t="shared" si="17"/>
        <v>Lai phat sinh</v>
      </c>
    </row>
    <row r="329" spans="1:7" x14ac:dyDescent="0.3">
      <c r="A329" s="48">
        <v>45668</v>
      </c>
      <c r="B329" s="29">
        <v>-17592087.969999999</v>
      </c>
      <c r="C329" t="s">
        <v>41</v>
      </c>
      <c r="E329" t="str">
        <f t="shared" si="15"/>
        <v>Lai 2024-12</v>
      </c>
      <c r="F329">
        <f t="shared" si="16"/>
        <v>-19683418</v>
      </c>
      <c r="G329" t="str">
        <f t="shared" si="17"/>
        <v>Lai phat sinh</v>
      </c>
    </row>
    <row r="330" spans="1:7" x14ac:dyDescent="0.3">
      <c r="A330" s="48">
        <v>45668</v>
      </c>
      <c r="B330" s="29">
        <v>-58069.71</v>
      </c>
      <c r="C330" t="s">
        <v>41</v>
      </c>
      <c r="E330" t="str">
        <f t="shared" si="15"/>
        <v>Lai 2024-12</v>
      </c>
      <c r="F330">
        <f t="shared" si="16"/>
        <v>-19683418</v>
      </c>
      <c r="G330" t="str">
        <f t="shared" si="17"/>
        <v>Lai phat sinh</v>
      </c>
    </row>
    <row r="331" spans="1:7" x14ac:dyDescent="0.3">
      <c r="A331" s="48">
        <v>45668</v>
      </c>
      <c r="B331" s="29">
        <v>-2033260.27</v>
      </c>
      <c r="C331" t="s">
        <v>41</v>
      </c>
      <c r="E331" t="str">
        <f t="shared" si="15"/>
        <v>Lai 2024-12</v>
      </c>
      <c r="F331">
        <f t="shared" si="16"/>
        <v>-19683418</v>
      </c>
      <c r="G331" t="str">
        <f t="shared" si="17"/>
        <v>Lai phat sinh</v>
      </c>
    </row>
    <row r="332" spans="1:7" x14ac:dyDescent="0.3">
      <c r="A332" s="48">
        <v>45637</v>
      </c>
      <c r="B332" s="29">
        <v>-16042366.279999999</v>
      </c>
      <c r="C332" t="s">
        <v>41</v>
      </c>
      <c r="E332" t="str">
        <f t="shared" si="15"/>
        <v>Lai 2024-11</v>
      </c>
      <c r="F332">
        <f t="shared" si="16"/>
        <v>-18032418</v>
      </c>
      <c r="G332" t="str">
        <f t="shared" si="17"/>
        <v>Lai phat sinh</v>
      </c>
    </row>
    <row r="333" spans="1:7" x14ac:dyDescent="0.3">
      <c r="A333" s="48">
        <v>45637</v>
      </c>
      <c r="B333" s="29">
        <v>-55257.54</v>
      </c>
      <c r="C333" t="s">
        <v>41</v>
      </c>
      <c r="E333" t="str">
        <f t="shared" si="15"/>
        <v>Lai 2024-11</v>
      </c>
      <c r="F333">
        <f t="shared" si="16"/>
        <v>-18032418</v>
      </c>
      <c r="G333" t="str">
        <f t="shared" si="17"/>
        <v>Lai phat sinh</v>
      </c>
    </row>
    <row r="334" spans="1:7" x14ac:dyDescent="0.3">
      <c r="A334" s="48">
        <v>45637</v>
      </c>
      <c r="B334" s="29">
        <v>-1934794.52</v>
      </c>
      <c r="C334" t="s">
        <v>41</v>
      </c>
      <c r="E334" t="str">
        <f t="shared" si="15"/>
        <v>Lai 2024-11</v>
      </c>
      <c r="F334">
        <f t="shared" si="16"/>
        <v>-18032418</v>
      </c>
      <c r="G334" t="str">
        <f t="shared" si="17"/>
        <v>Lai phat sinh</v>
      </c>
    </row>
    <row r="335" spans="1:7" x14ac:dyDescent="0.3">
      <c r="A335" s="48">
        <v>45607</v>
      </c>
      <c r="B335" s="29">
        <v>-12213586.460000001</v>
      </c>
      <c r="C335" t="s">
        <v>41</v>
      </c>
      <c r="E335" t="str">
        <f t="shared" si="15"/>
        <v>Lai 2024-10</v>
      </c>
      <c r="F335">
        <f t="shared" si="16"/>
        <v>-13780774</v>
      </c>
      <c r="G335" t="str">
        <f t="shared" si="17"/>
        <v>Lai phat sinh</v>
      </c>
    </row>
    <row r="336" spans="1:7" x14ac:dyDescent="0.3">
      <c r="A336" s="48">
        <v>45607</v>
      </c>
      <c r="B336" s="29">
        <v>-43515.9</v>
      </c>
      <c r="C336" t="s">
        <v>41</v>
      </c>
      <c r="E336" t="str">
        <f t="shared" si="15"/>
        <v>Lai 2024-10</v>
      </c>
      <c r="F336">
        <f t="shared" si="16"/>
        <v>-13780774</v>
      </c>
      <c r="G336" t="str">
        <f t="shared" si="17"/>
        <v>Lai phat sinh</v>
      </c>
    </row>
    <row r="337" spans="1:7" x14ac:dyDescent="0.3">
      <c r="A337" s="48">
        <v>45607</v>
      </c>
      <c r="B337" s="29">
        <v>-1523671.23</v>
      </c>
      <c r="C337" t="s">
        <v>41</v>
      </c>
      <c r="E337" t="str">
        <f t="shared" si="15"/>
        <v>Lai 2024-10</v>
      </c>
      <c r="F337">
        <f t="shared" si="16"/>
        <v>-13780774</v>
      </c>
      <c r="G337" t="str">
        <f t="shared" si="17"/>
        <v>Lai phat sinh</v>
      </c>
    </row>
    <row r="338" spans="1:7" x14ac:dyDescent="0.3">
      <c r="A338" s="46"/>
    </row>
    <row r="339" spans="1:7" x14ac:dyDescent="0.3">
      <c r="A339" s="46"/>
    </row>
    <row r="340" spans="1:7" x14ac:dyDescent="0.3">
      <c r="A340" s="46"/>
    </row>
    <row r="341" spans="1:7" x14ac:dyDescent="0.3">
      <c r="A341" s="46"/>
    </row>
    <row r="342" spans="1:7" x14ac:dyDescent="0.3">
      <c r="A342" s="46"/>
    </row>
    <row r="343" spans="1:7" x14ac:dyDescent="0.3">
      <c r="A343" s="46"/>
    </row>
    <row r="344" spans="1:7" x14ac:dyDescent="0.3">
      <c r="A344" s="46"/>
    </row>
    <row r="345" spans="1:7" x14ac:dyDescent="0.3">
      <c r="A345" s="46"/>
    </row>
    <row r="346" spans="1:7" x14ac:dyDescent="0.3">
      <c r="A346" s="46"/>
    </row>
    <row r="347" spans="1:7" x14ac:dyDescent="0.3">
      <c r="A347" s="46"/>
    </row>
    <row r="348" spans="1:7" x14ac:dyDescent="0.3">
      <c r="A348" s="46"/>
    </row>
    <row r="349" spans="1:7" x14ac:dyDescent="0.3">
      <c r="A349" s="46"/>
    </row>
    <row r="350" spans="1:7" x14ac:dyDescent="0.3">
      <c r="A350" s="46"/>
    </row>
    <row r="351" spans="1:7" x14ac:dyDescent="0.3">
      <c r="A351" s="46"/>
    </row>
    <row r="352" spans="1:7" x14ac:dyDescent="0.3">
      <c r="A352" s="46"/>
    </row>
    <row r="353" spans="1:1" x14ac:dyDescent="0.3">
      <c r="A353" s="46"/>
    </row>
    <row r="354" spans="1:1" x14ac:dyDescent="0.3">
      <c r="A354" s="46"/>
    </row>
    <row r="355" spans="1:1" x14ac:dyDescent="0.3">
      <c r="A355" s="46"/>
    </row>
    <row r="356" spans="1:1" x14ac:dyDescent="0.3">
      <c r="A356" s="46"/>
    </row>
    <row r="357" spans="1:1" x14ac:dyDescent="0.3">
      <c r="A357" s="46"/>
    </row>
    <row r="358" spans="1:1" x14ac:dyDescent="0.3">
      <c r="A358" s="46"/>
    </row>
    <row r="359" spans="1:1" x14ac:dyDescent="0.3">
      <c r="A359" s="46"/>
    </row>
    <row r="360" spans="1:1" x14ac:dyDescent="0.3">
      <c r="A360" s="46"/>
    </row>
    <row r="361" spans="1:1" x14ac:dyDescent="0.3">
      <c r="A361" s="46"/>
    </row>
    <row r="362" spans="1:1" x14ac:dyDescent="0.3">
      <c r="A362" s="46"/>
    </row>
    <row r="363" spans="1:1" x14ac:dyDescent="0.3">
      <c r="A363" s="46"/>
    </row>
    <row r="364" spans="1:1" x14ac:dyDescent="0.3">
      <c r="A364" s="46"/>
    </row>
    <row r="365" spans="1:1" x14ac:dyDescent="0.3">
      <c r="A365" s="46"/>
    </row>
    <row r="366" spans="1:1" x14ac:dyDescent="0.3">
      <c r="A366" s="46"/>
    </row>
    <row r="367" spans="1:1" x14ac:dyDescent="0.3">
      <c r="A367" s="46"/>
    </row>
    <row r="368" spans="1:1" x14ac:dyDescent="0.3">
      <c r="A368" s="46"/>
    </row>
    <row r="369" spans="1:1" x14ac:dyDescent="0.3">
      <c r="A369" s="46"/>
    </row>
    <row r="370" spans="1:1" x14ac:dyDescent="0.3">
      <c r="A370" s="46"/>
    </row>
    <row r="371" spans="1:1" x14ac:dyDescent="0.3">
      <c r="A371" s="46"/>
    </row>
    <row r="372" spans="1:1" x14ac:dyDescent="0.3">
      <c r="A372" s="46"/>
    </row>
    <row r="373" spans="1:1" x14ac:dyDescent="0.3">
      <c r="A373" s="46"/>
    </row>
    <row r="374" spans="1:1" x14ac:dyDescent="0.3">
      <c r="A374" s="46"/>
    </row>
    <row r="375" spans="1:1" x14ac:dyDescent="0.3">
      <c r="A375" s="46"/>
    </row>
    <row r="376" spans="1:1" x14ac:dyDescent="0.3">
      <c r="A376" s="46"/>
    </row>
    <row r="377" spans="1:1" x14ac:dyDescent="0.3">
      <c r="A377" s="46"/>
    </row>
    <row r="378" spans="1:1" x14ac:dyDescent="0.3">
      <c r="A378" s="46"/>
    </row>
    <row r="379" spans="1:1" x14ac:dyDescent="0.3">
      <c r="A379" s="46"/>
    </row>
    <row r="380" spans="1:1" x14ac:dyDescent="0.3">
      <c r="A380" s="46"/>
    </row>
    <row r="381" spans="1:1" x14ac:dyDescent="0.3">
      <c r="A381" s="46"/>
    </row>
    <row r="382" spans="1:1" x14ac:dyDescent="0.3">
      <c r="A382" s="46"/>
    </row>
    <row r="383" spans="1:1" x14ac:dyDescent="0.3">
      <c r="A383" s="46"/>
    </row>
    <row r="384" spans="1:1" x14ac:dyDescent="0.3">
      <c r="A384" s="46"/>
    </row>
    <row r="385" spans="1:1" x14ac:dyDescent="0.3">
      <c r="A385" s="46"/>
    </row>
    <row r="386" spans="1:1" x14ac:dyDescent="0.3">
      <c r="A386" s="46"/>
    </row>
    <row r="387" spans="1:1" x14ac:dyDescent="0.3">
      <c r="A387" s="46"/>
    </row>
    <row r="388" spans="1:1" x14ac:dyDescent="0.3">
      <c r="A388" s="46"/>
    </row>
    <row r="389" spans="1:1" x14ac:dyDescent="0.3">
      <c r="A389" s="46"/>
    </row>
    <row r="390" spans="1:1" x14ac:dyDescent="0.3">
      <c r="A390" s="46"/>
    </row>
    <row r="391" spans="1:1" x14ac:dyDescent="0.3">
      <c r="A391" s="46"/>
    </row>
    <row r="392" spans="1:1" x14ac:dyDescent="0.3">
      <c r="A392" s="46"/>
    </row>
    <row r="393" spans="1:1" x14ac:dyDescent="0.3">
      <c r="A393" s="46"/>
    </row>
    <row r="394" spans="1:1" x14ac:dyDescent="0.3">
      <c r="A394" s="46"/>
    </row>
    <row r="395" spans="1:1" x14ac:dyDescent="0.3">
      <c r="A395" s="46"/>
    </row>
    <row r="396" spans="1:1" x14ac:dyDescent="0.3">
      <c r="A396" s="46"/>
    </row>
    <row r="397" spans="1:1" x14ac:dyDescent="0.3">
      <c r="A397" s="46"/>
    </row>
    <row r="398" spans="1:1" x14ac:dyDescent="0.3">
      <c r="A398" s="46"/>
    </row>
    <row r="399" spans="1:1" x14ac:dyDescent="0.3">
      <c r="A399" s="46"/>
    </row>
    <row r="400" spans="1:1" x14ac:dyDescent="0.3">
      <c r="A400" s="46"/>
    </row>
    <row r="401" spans="1:1" x14ac:dyDescent="0.3">
      <c r="A401" s="46"/>
    </row>
    <row r="402" spans="1:1" x14ac:dyDescent="0.3">
      <c r="A402" s="46"/>
    </row>
    <row r="403" spans="1:1" x14ac:dyDescent="0.3">
      <c r="A403" s="46"/>
    </row>
    <row r="404" spans="1:1" x14ac:dyDescent="0.3">
      <c r="A404" s="46"/>
    </row>
    <row r="405" spans="1:1" x14ac:dyDescent="0.3">
      <c r="A405" s="46"/>
    </row>
    <row r="406" spans="1:1" x14ac:dyDescent="0.3">
      <c r="A406" s="46"/>
    </row>
    <row r="407" spans="1:1" x14ac:dyDescent="0.3">
      <c r="A407" s="46"/>
    </row>
    <row r="408" spans="1:1" x14ac:dyDescent="0.3">
      <c r="A408" s="46"/>
    </row>
    <row r="409" spans="1:1" x14ac:dyDescent="0.3">
      <c r="A409" s="46"/>
    </row>
    <row r="410" spans="1:1" x14ac:dyDescent="0.3">
      <c r="A410" s="46"/>
    </row>
    <row r="411" spans="1:1" x14ac:dyDescent="0.3">
      <c r="A411" s="46"/>
    </row>
    <row r="412" spans="1:1" x14ac:dyDescent="0.3">
      <c r="A412" s="46"/>
    </row>
    <row r="413" spans="1:1" x14ac:dyDescent="0.3">
      <c r="A413" s="46"/>
    </row>
    <row r="414" spans="1:1" x14ac:dyDescent="0.3">
      <c r="A414" s="46"/>
    </row>
    <row r="415" spans="1:1" x14ac:dyDescent="0.3">
      <c r="A415" s="46"/>
    </row>
    <row r="416" spans="1:1" x14ac:dyDescent="0.3">
      <c r="A416" s="46"/>
    </row>
    <row r="417" spans="1:1" x14ac:dyDescent="0.3">
      <c r="A417" s="46"/>
    </row>
    <row r="418" spans="1:1" x14ac:dyDescent="0.3">
      <c r="A418" s="46"/>
    </row>
    <row r="419" spans="1:1" x14ac:dyDescent="0.3">
      <c r="A419" s="46"/>
    </row>
    <row r="420" spans="1:1" x14ac:dyDescent="0.3">
      <c r="A420" s="46"/>
    </row>
    <row r="421" spans="1:1" x14ac:dyDescent="0.3">
      <c r="A421" s="46"/>
    </row>
    <row r="422" spans="1:1" x14ac:dyDescent="0.3">
      <c r="A422" s="46"/>
    </row>
    <row r="423" spans="1:1" x14ac:dyDescent="0.3">
      <c r="A423" s="46"/>
    </row>
    <row r="424" spans="1:1" x14ac:dyDescent="0.3">
      <c r="A424" s="46"/>
    </row>
    <row r="425" spans="1:1" x14ac:dyDescent="0.3">
      <c r="A425" s="46"/>
    </row>
    <row r="426" spans="1:1" x14ac:dyDescent="0.3">
      <c r="A426" s="46"/>
    </row>
    <row r="427" spans="1:1" x14ac:dyDescent="0.3">
      <c r="A427" s="46"/>
    </row>
    <row r="428" spans="1:1" x14ac:dyDescent="0.3">
      <c r="A428" s="46"/>
    </row>
    <row r="429" spans="1:1" x14ac:dyDescent="0.3">
      <c r="A429" s="46"/>
    </row>
    <row r="430" spans="1:1" x14ac:dyDescent="0.3">
      <c r="A430" s="46"/>
    </row>
    <row r="431" spans="1:1" x14ac:dyDescent="0.3">
      <c r="A431" s="46"/>
    </row>
    <row r="432" spans="1:1" x14ac:dyDescent="0.3">
      <c r="A432" s="46"/>
    </row>
    <row r="433" spans="1:1" x14ac:dyDescent="0.3">
      <c r="A433" s="46"/>
    </row>
    <row r="434" spans="1:1" x14ac:dyDescent="0.3">
      <c r="A434" s="46"/>
    </row>
    <row r="435" spans="1:1" x14ac:dyDescent="0.3">
      <c r="A435" s="46"/>
    </row>
    <row r="436" spans="1:1" x14ac:dyDescent="0.3">
      <c r="A436" s="46"/>
    </row>
    <row r="437" spans="1:1" x14ac:dyDescent="0.3">
      <c r="A437" s="46"/>
    </row>
    <row r="438" spans="1:1" x14ac:dyDescent="0.3">
      <c r="A438" s="46"/>
    </row>
    <row r="439" spans="1:1" x14ac:dyDescent="0.3">
      <c r="A439" s="46"/>
    </row>
    <row r="440" spans="1:1" x14ac:dyDescent="0.3">
      <c r="A440" s="46"/>
    </row>
    <row r="441" spans="1:1" x14ac:dyDescent="0.3">
      <c r="A441" s="46"/>
    </row>
    <row r="442" spans="1:1" x14ac:dyDescent="0.3">
      <c r="A442" s="46"/>
    </row>
    <row r="443" spans="1:1" x14ac:dyDescent="0.3">
      <c r="A443" s="46"/>
    </row>
    <row r="444" spans="1:1" x14ac:dyDescent="0.3">
      <c r="A444" s="46"/>
    </row>
    <row r="445" spans="1:1" x14ac:dyDescent="0.3">
      <c r="A445" s="46"/>
    </row>
    <row r="446" spans="1:1" x14ac:dyDescent="0.3">
      <c r="A446" s="46"/>
    </row>
    <row r="447" spans="1:1" x14ac:dyDescent="0.3">
      <c r="A447" s="46"/>
    </row>
    <row r="448" spans="1:1" x14ac:dyDescent="0.3">
      <c r="A448" s="46"/>
    </row>
    <row r="449" spans="1:1" x14ac:dyDescent="0.3">
      <c r="A449" s="46"/>
    </row>
    <row r="450" spans="1:1" x14ac:dyDescent="0.3">
      <c r="A450" s="46"/>
    </row>
    <row r="451" spans="1:1" x14ac:dyDescent="0.3">
      <c r="A451" s="46"/>
    </row>
    <row r="452" spans="1:1" x14ac:dyDescent="0.3">
      <c r="A452" s="46"/>
    </row>
    <row r="453" spans="1:1" x14ac:dyDescent="0.3">
      <c r="A453" s="46"/>
    </row>
    <row r="454" spans="1:1" x14ac:dyDescent="0.3">
      <c r="A454" s="46"/>
    </row>
    <row r="455" spans="1:1" x14ac:dyDescent="0.3">
      <c r="A455" s="46"/>
    </row>
    <row r="456" spans="1:1" x14ac:dyDescent="0.3">
      <c r="A456" s="46"/>
    </row>
    <row r="457" spans="1:1" x14ac:dyDescent="0.3">
      <c r="A457" s="46"/>
    </row>
    <row r="458" spans="1:1" x14ac:dyDescent="0.3">
      <c r="A458" s="46"/>
    </row>
    <row r="459" spans="1:1" x14ac:dyDescent="0.3">
      <c r="A459" s="46"/>
    </row>
    <row r="460" spans="1:1" x14ac:dyDescent="0.3">
      <c r="A460" s="46"/>
    </row>
    <row r="461" spans="1:1" x14ac:dyDescent="0.3">
      <c r="A461" s="46"/>
    </row>
    <row r="462" spans="1:1" x14ac:dyDescent="0.3">
      <c r="A462" s="46"/>
    </row>
    <row r="463" spans="1:1" x14ac:dyDescent="0.3">
      <c r="A463" s="46"/>
    </row>
    <row r="464" spans="1:1" x14ac:dyDescent="0.3">
      <c r="A464" s="46"/>
    </row>
    <row r="465" spans="1:1" x14ac:dyDescent="0.3">
      <c r="A465" s="46"/>
    </row>
    <row r="466" spans="1:1" x14ac:dyDescent="0.3">
      <c r="A466" s="46"/>
    </row>
    <row r="467" spans="1:1" x14ac:dyDescent="0.3">
      <c r="A467" s="46"/>
    </row>
    <row r="468" spans="1:1" x14ac:dyDescent="0.3">
      <c r="A468" s="46"/>
    </row>
    <row r="469" spans="1:1" x14ac:dyDescent="0.3">
      <c r="A469" s="46"/>
    </row>
    <row r="470" spans="1:1" x14ac:dyDescent="0.3">
      <c r="A470" s="46"/>
    </row>
    <row r="471" spans="1:1" x14ac:dyDescent="0.3">
      <c r="A471" s="46"/>
    </row>
    <row r="472" spans="1:1" x14ac:dyDescent="0.3">
      <c r="A472" s="46"/>
    </row>
    <row r="473" spans="1:1" x14ac:dyDescent="0.3">
      <c r="A473" s="46"/>
    </row>
    <row r="474" spans="1:1" x14ac:dyDescent="0.3">
      <c r="A474" s="46"/>
    </row>
    <row r="475" spans="1:1" x14ac:dyDescent="0.3">
      <c r="A475" s="46"/>
    </row>
    <row r="476" spans="1:1" x14ac:dyDescent="0.3">
      <c r="A476" s="46"/>
    </row>
    <row r="477" spans="1:1" x14ac:dyDescent="0.3">
      <c r="A477" s="46"/>
    </row>
    <row r="478" spans="1:1" x14ac:dyDescent="0.3">
      <c r="A478" s="46"/>
    </row>
    <row r="479" spans="1:1" x14ac:dyDescent="0.3">
      <c r="A479" s="46"/>
    </row>
    <row r="480" spans="1:1" x14ac:dyDescent="0.3">
      <c r="A480" s="46"/>
    </row>
    <row r="481" spans="1:1" x14ac:dyDescent="0.3">
      <c r="A481" s="46"/>
    </row>
    <row r="482" spans="1:1" x14ac:dyDescent="0.3">
      <c r="A482" s="46"/>
    </row>
    <row r="483" spans="1:1" x14ac:dyDescent="0.3">
      <c r="A483" s="46"/>
    </row>
    <row r="484" spans="1:1" x14ac:dyDescent="0.3">
      <c r="A484" s="46"/>
    </row>
    <row r="485" spans="1:1" x14ac:dyDescent="0.3">
      <c r="A485" s="46"/>
    </row>
    <row r="486" spans="1:1" x14ac:dyDescent="0.3">
      <c r="A486" s="46"/>
    </row>
    <row r="487" spans="1:1" x14ac:dyDescent="0.3">
      <c r="A487" s="46"/>
    </row>
    <row r="488" spans="1:1" x14ac:dyDescent="0.3">
      <c r="A488" s="46"/>
    </row>
    <row r="489" spans="1:1" x14ac:dyDescent="0.3">
      <c r="A489" s="46"/>
    </row>
    <row r="490" spans="1:1" x14ac:dyDescent="0.3">
      <c r="A490" s="46"/>
    </row>
    <row r="491" spans="1:1" x14ac:dyDescent="0.3">
      <c r="A491" s="46"/>
    </row>
    <row r="492" spans="1:1" x14ac:dyDescent="0.3">
      <c r="A492" s="46"/>
    </row>
    <row r="493" spans="1:1" x14ac:dyDescent="0.3">
      <c r="A493" s="46"/>
    </row>
    <row r="494" spans="1:1" x14ac:dyDescent="0.3">
      <c r="A494" s="46"/>
    </row>
    <row r="495" spans="1:1" x14ac:dyDescent="0.3">
      <c r="A495" s="46"/>
    </row>
    <row r="496" spans="1:1" x14ac:dyDescent="0.3">
      <c r="A496" s="46"/>
    </row>
    <row r="497" spans="1:1" x14ac:dyDescent="0.3">
      <c r="A497" s="46"/>
    </row>
    <row r="498" spans="1:1" x14ac:dyDescent="0.3">
      <c r="A498" s="46"/>
    </row>
    <row r="499" spans="1:1" x14ac:dyDescent="0.3">
      <c r="A499" s="46"/>
    </row>
    <row r="500" spans="1:1" x14ac:dyDescent="0.3">
      <c r="A500" s="46"/>
    </row>
    <row r="501" spans="1:1" x14ac:dyDescent="0.3">
      <c r="A501" s="46"/>
    </row>
    <row r="502" spans="1:1" x14ac:dyDescent="0.3">
      <c r="A502" s="46"/>
    </row>
    <row r="503" spans="1:1" x14ac:dyDescent="0.3">
      <c r="A503" s="46"/>
    </row>
    <row r="504" spans="1:1" x14ac:dyDescent="0.3">
      <c r="A504" s="46"/>
    </row>
    <row r="505" spans="1:1" x14ac:dyDescent="0.3">
      <c r="A505" s="46"/>
    </row>
    <row r="506" spans="1:1" x14ac:dyDescent="0.3">
      <c r="A506" s="46"/>
    </row>
    <row r="507" spans="1:1" x14ac:dyDescent="0.3">
      <c r="A507" s="46"/>
    </row>
    <row r="508" spans="1:1" x14ac:dyDescent="0.3">
      <c r="A508" s="46"/>
    </row>
    <row r="509" spans="1:1" x14ac:dyDescent="0.3">
      <c r="A509" s="46"/>
    </row>
    <row r="510" spans="1:1" x14ac:dyDescent="0.3">
      <c r="A510" s="46"/>
    </row>
    <row r="511" spans="1:1" x14ac:dyDescent="0.3">
      <c r="A511" s="46"/>
    </row>
    <row r="512" spans="1:1" x14ac:dyDescent="0.3">
      <c r="A512" s="46"/>
    </row>
    <row r="513" spans="1:1" x14ac:dyDescent="0.3">
      <c r="A513" s="46"/>
    </row>
    <row r="514" spans="1:1" x14ac:dyDescent="0.3">
      <c r="A514" s="46"/>
    </row>
    <row r="515" spans="1:1" x14ac:dyDescent="0.3">
      <c r="A515" s="46"/>
    </row>
    <row r="516" spans="1:1" x14ac:dyDescent="0.3">
      <c r="A516" s="46"/>
    </row>
    <row r="517" spans="1:1" x14ac:dyDescent="0.3">
      <c r="A517" s="46"/>
    </row>
    <row r="518" spans="1:1" x14ac:dyDescent="0.3">
      <c r="A518" s="46"/>
    </row>
    <row r="519" spans="1:1" x14ac:dyDescent="0.3">
      <c r="A519" s="46"/>
    </row>
    <row r="520" spans="1:1" x14ac:dyDescent="0.3">
      <c r="A520" s="46"/>
    </row>
    <row r="521" spans="1:1" x14ac:dyDescent="0.3">
      <c r="A521" s="46"/>
    </row>
    <row r="522" spans="1:1" x14ac:dyDescent="0.3">
      <c r="A522" s="46"/>
    </row>
    <row r="523" spans="1:1" x14ac:dyDescent="0.3">
      <c r="A523" s="46"/>
    </row>
    <row r="524" spans="1:1" x14ac:dyDescent="0.3">
      <c r="A524" s="46"/>
    </row>
    <row r="525" spans="1:1" x14ac:dyDescent="0.3">
      <c r="A525" s="46"/>
    </row>
    <row r="526" spans="1:1" x14ac:dyDescent="0.3">
      <c r="A526" s="46"/>
    </row>
    <row r="527" spans="1:1" x14ac:dyDescent="0.3">
      <c r="A527" s="46"/>
    </row>
    <row r="528" spans="1:1" x14ac:dyDescent="0.3">
      <c r="A528" s="46"/>
    </row>
    <row r="529" spans="1:1" x14ac:dyDescent="0.3">
      <c r="A529" s="46"/>
    </row>
    <row r="530" spans="1:1" x14ac:dyDescent="0.3">
      <c r="A530" s="46"/>
    </row>
    <row r="531" spans="1:1" x14ac:dyDescent="0.3">
      <c r="A531" s="46"/>
    </row>
    <row r="532" spans="1:1" x14ac:dyDescent="0.3">
      <c r="A532" s="46"/>
    </row>
    <row r="533" spans="1:1" x14ac:dyDescent="0.3">
      <c r="A533" s="46"/>
    </row>
    <row r="534" spans="1:1" x14ac:dyDescent="0.3">
      <c r="A534" s="46"/>
    </row>
    <row r="535" spans="1:1" x14ac:dyDescent="0.3">
      <c r="A535" s="46"/>
    </row>
    <row r="536" spans="1:1" x14ac:dyDescent="0.3">
      <c r="A536" s="46"/>
    </row>
    <row r="537" spans="1:1" x14ac:dyDescent="0.3">
      <c r="A537" s="46"/>
    </row>
    <row r="538" spans="1:1" x14ac:dyDescent="0.3">
      <c r="A538" s="46"/>
    </row>
    <row r="539" spans="1:1" x14ac:dyDescent="0.3">
      <c r="A539" s="46"/>
    </row>
    <row r="540" spans="1:1" x14ac:dyDescent="0.3">
      <c r="A540" s="46"/>
    </row>
    <row r="541" spans="1:1" x14ac:dyDescent="0.3">
      <c r="A541" s="46"/>
    </row>
    <row r="542" spans="1:1" x14ac:dyDescent="0.3">
      <c r="A542" s="46"/>
    </row>
    <row r="543" spans="1:1" x14ac:dyDescent="0.3">
      <c r="A543" s="46"/>
    </row>
    <row r="544" spans="1:1" x14ac:dyDescent="0.3">
      <c r="A544" s="46"/>
    </row>
    <row r="545" spans="1:1" x14ac:dyDescent="0.3">
      <c r="A545" s="46"/>
    </row>
    <row r="546" spans="1:1" x14ac:dyDescent="0.3">
      <c r="A546" s="46"/>
    </row>
    <row r="547" spans="1:1" x14ac:dyDescent="0.3">
      <c r="A547" s="46"/>
    </row>
    <row r="548" spans="1:1" x14ac:dyDescent="0.3">
      <c r="A548" s="46"/>
    </row>
    <row r="549" spans="1:1" x14ac:dyDescent="0.3">
      <c r="A549" s="46"/>
    </row>
    <row r="550" spans="1:1" x14ac:dyDescent="0.3">
      <c r="A550" s="46"/>
    </row>
    <row r="551" spans="1:1" x14ac:dyDescent="0.3">
      <c r="A551" s="46"/>
    </row>
    <row r="552" spans="1:1" x14ac:dyDescent="0.3">
      <c r="A552" s="46"/>
    </row>
    <row r="553" spans="1:1" x14ac:dyDescent="0.3">
      <c r="A553" s="46"/>
    </row>
    <row r="554" spans="1:1" x14ac:dyDescent="0.3">
      <c r="A554" s="46"/>
    </row>
    <row r="555" spans="1:1" x14ac:dyDescent="0.3">
      <c r="A555" s="46"/>
    </row>
    <row r="556" spans="1:1" x14ac:dyDescent="0.3">
      <c r="A556" s="46"/>
    </row>
    <row r="557" spans="1:1" x14ac:dyDescent="0.3">
      <c r="A557" s="46"/>
    </row>
    <row r="558" spans="1:1" x14ac:dyDescent="0.3">
      <c r="A558" s="46"/>
    </row>
    <row r="559" spans="1:1" x14ac:dyDescent="0.3">
      <c r="A559" s="46"/>
    </row>
    <row r="560" spans="1:1" x14ac:dyDescent="0.3">
      <c r="A560" s="46"/>
    </row>
    <row r="561" spans="1:1" x14ac:dyDescent="0.3">
      <c r="A561" s="46"/>
    </row>
    <row r="562" spans="1:1" x14ac:dyDescent="0.3">
      <c r="A562" s="46"/>
    </row>
    <row r="563" spans="1:1" x14ac:dyDescent="0.3">
      <c r="A563" s="46"/>
    </row>
    <row r="564" spans="1:1" x14ac:dyDescent="0.3">
      <c r="A564" s="46"/>
    </row>
    <row r="565" spans="1:1" x14ac:dyDescent="0.3">
      <c r="A565" s="46"/>
    </row>
    <row r="566" spans="1:1" x14ac:dyDescent="0.3">
      <c r="A566" s="46"/>
    </row>
    <row r="567" spans="1:1" x14ac:dyDescent="0.3">
      <c r="A567" s="46"/>
    </row>
    <row r="568" spans="1:1" x14ac:dyDescent="0.3">
      <c r="A568" s="46"/>
    </row>
    <row r="569" spans="1:1" x14ac:dyDescent="0.3">
      <c r="A569" s="46"/>
    </row>
    <row r="570" spans="1:1" x14ac:dyDescent="0.3">
      <c r="A570" s="46"/>
    </row>
    <row r="571" spans="1:1" x14ac:dyDescent="0.3">
      <c r="A571" s="46"/>
    </row>
    <row r="572" spans="1:1" x14ac:dyDescent="0.3">
      <c r="A572" s="46"/>
    </row>
    <row r="573" spans="1:1" x14ac:dyDescent="0.3">
      <c r="A573" s="46"/>
    </row>
    <row r="574" spans="1:1" x14ac:dyDescent="0.3">
      <c r="A574" s="46"/>
    </row>
    <row r="575" spans="1:1" x14ac:dyDescent="0.3">
      <c r="A575" s="46"/>
    </row>
    <row r="576" spans="1:1" x14ac:dyDescent="0.3">
      <c r="A576" s="46"/>
    </row>
    <row r="577" spans="1:1" x14ac:dyDescent="0.3">
      <c r="A577" s="46"/>
    </row>
    <row r="578" spans="1:1" x14ac:dyDescent="0.3">
      <c r="A578" s="46"/>
    </row>
    <row r="579" spans="1:1" x14ac:dyDescent="0.3">
      <c r="A579" s="46"/>
    </row>
    <row r="580" spans="1:1" x14ac:dyDescent="0.3">
      <c r="A580" s="46"/>
    </row>
    <row r="581" spans="1:1" x14ac:dyDescent="0.3">
      <c r="A581" s="46"/>
    </row>
    <row r="582" spans="1:1" x14ac:dyDescent="0.3">
      <c r="A582" s="46"/>
    </row>
    <row r="583" spans="1:1" x14ac:dyDescent="0.3">
      <c r="A583" s="46"/>
    </row>
    <row r="584" spans="1:1" x14ac:dyDescent="0.3">
      <c r="A584" s="46"/>
    </row>
    <row r="585" spans="1:1" x14ac:dyDescent="0.3">
      <c r="A585" s="46"/>
    </row>
    <row r="586" spans="1:1" x14ac:dyDescent="0.3">
      <c r="A586" s="46"/>
    </row>
    <row r="587" spans="1:1" x14ac:dyDescent="0.3">
      <c r="A587" s="46"/>
    </row>
    <row r="588" spans="1:1" x14ac:dyDescent="0.3">
      <c r="A588" s="46"/>
    </row>
    <row r="589" spans="1:1" x14ac:dyDescent="0.3">
      <c r="A589" s="46"/>
    </row>
    <row r="590" spans="1:1" x14ac:dyDescent="0.3">
      <c r="A590" s="46"/>
    </row>
    <row r="591" spans="1:1" x14ac:dyDescent="0.3">
      <c r="A591" s="46"/>
    </row>
    <row r="592" spans="1:1" x14ac:dyDescent="0.3">
      <c r="A592" s="46"/>
    </row>
    <row r="593" spans="1:1" x14ac:dyDescent="0.3">
      <c r="A593" s="46"/>
    </row>
    <row r="594" spans="1:1" x14ac:dyDescent="0.3">
      <c r="A594" s="46"/>
    </row>
    <row r="595" spans="1:1" x14ac:dyDescent="0.3">
      <c r="A595" s="46"/>
    </row>
    <row r="596" spans="1:1" x14ac:dyDescent="0.3">
      <c r="A596" s="46"/>
    </row>
    <row r="597" spans="1:1" x14ac:dyDescent="0.3">
      <c r="A597" s="46"/>
    </row>
    <row r="598" spans="1:1" x14ac:dyDescent="0.3">
      <c r="A598" s="46"/>
    </row>
    <row r="599" spans="1:1" x14ac:dyDescent="0.3">
      <c r="A599" s="46"/>
    </row>
    <row r="600" spans="1:1" x14ac:dyDescent="0.3">
      <c r="A600" s="46"/>
    </row>
    <row r="601" spans="1:1" x14ac:dyDescent="0.3">
      <c r="A601" s="46"/>
    </row>
    <row r="602" spans="1:1" x14ac:dyDescent="0.3">
      <c r="A602" s="46"/>
    </row>
    <row r="603" spans="1:1" x14ac:dyDescent="0.3">
      <c r="A603" s="46"/>
    </row>
    <row r="604" spans="1:1" x14ac:dyDescent="0.3">
      <c r="A604" s="46"/>
    </row>
    <row r="605" spans="1:1" x14ac:dyDescent="0.3">
      <c r="A605" s="46"/>
    </row>
    <row r="606" spans="1:1" x14ac:dyDescent="0.3">
      <c r="A606" s="46"/>
    </row>
    <row r="607" spans="1:1" x14ac:dyDescent="0.3">
      <c r="A607" s="46"/>
    </row>
    <row r="608" spans="1:1" x14ac:dyDescent="0.3">
      <c r="A608" s="46"/>
    </row>
    <row r="609" spans="1:1" x14ac:dyDescent="0.3">
      <c r="A609" s="46"/>
    </row>
    <row r="610" spans="1:1" x14ac:dyDescent="0.3">
      <c r="A610" s="46"/>
    </row>
    <row r="611" spans="1:1" x14ac:dyDescent="0.3">
      <c r="A611" s="46"/>
    </row>
    <row r="612" spans="1:1" x14ac:dyDescent="0.3">
      <c r="A612" s="46"/>
    </row>
    <row r="613" spans="1:1" x14ac:dyDescent="0.3">
      <c r="A613" s="46"/>
    </row>
    <row r="614" spans="1:1" x14ac:dyDescent="0.3">
      <c r="A614" s="46"/>
    </row>
    <row r="615" spans="1:1" x14ac:dyDescent="0.3">
      <c r="A615" s="46"/>
    </row>
    <row r="616" spans="1:1" x14ac:dyDescent="0.3">
      <c r="A616" s="46"/>
    </row>
    <row r="617" spans="1:1" x14ac:dyDescent="0.3">
      <c r="A617" s="46"/>
    </row>
    <row r="618" spans="1:1" x14ac:dyDescent="0.3">
      <c r="A618" s="46"/>
    </row>
    <row r="619" spans="1:1" x14ac:dyDescent="0.3">
      <c r="A619" s="46"/>
    </row>
    <row r="620" spans="1:1" x14ac:dyDescent="0.3">
      <c r="A620" s="46"/>
    </row>
    <row r="621" spans="1:1" x14ac:dyDescent="0.3">
      <c r="A621" s="46"/>
    </row>
    <row r="622" spans="1:1" x14ac:dyDescent="0.3">
      <c r="A622" s="46"/>
    </row>
    <row r="623" spans="1:1" x14ac:dyDescent="0.3">
      <c r="A623" s="46"/>
    </row>
    <row r="624" spans="1:1" x14ac:dyDescent="0.3">
      <c r="A624" s="46"/>
    </row>
    <row r="625" spans="1:1" x14ac:dyDescent="0.3">
      <c r="A625" s="46"/>
    </row>
    <row r="626" spans="1:1" x14ac:dyDescent="0.3">
      <c r="A626" s="46"/>
    </row>
    <row r="627" spans="1:1" x14ac:dyDescent="0.3">
      <c r="A627" s="46"/>
    </row>
    <row r="628" spans="1:1" x14ac:dyDescent="0.3">
      <c r="A628" s="46"/>
    </row>
    <row r="629" spans="1:1" x14ac:dyDescent="0.3">
      <c r="A629" s="46"/>
    </row>
    <row r="630" spans="1:1" x14ac:dyDescent="0.3">
      <c r="A630" s="4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BKTL</vt:lpstr>
      <vt:lpstr>THTT</vt:lpstr>
      <vt:lpstr>saokethe</vt:lpstr>
      <vt:lpstr>tinhnhanh</vt:lpstr>
      <vt:lpstr>saokethe!QT_IMPORT_SAOKETHE</vt:lpstr>
      <vt:lpstr>saokethe!QT_IMPORT_SAOKETHE_1</vt:lpstr>
      <vt:lpstr>saokethe!QT_IMPORT_SAOKETHE_2</vt:lpstr>
      <vt:lpstr>saokethe!QT_IMPORT_SAOKETHE_3</vt:lpstr>
      <vt:lpstr>saokethe!QT_IMPORT_SAOKETHE_4</vt:lpstr>
      <vt:lpstr>saokethe!QT_IMPORT_SAOKETHE_5</vt:lpstr>
      <vt:lpstr>saokethe!QT_IMPORT_SAOKETHE_6</vt:lpstr>
      <vt:lpstr>saokethe!QT_IMPORT_SAOKETHE_7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2026-07-27T16:32:56Z</dcterms:modified>
</cp:coreProperties>
</file>